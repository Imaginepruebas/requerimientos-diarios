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4.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N PROCESO (Bolivar)" sheetId="1" r:id="rId4"/>
    <sheet state="visible" name="EN PROCESO (Alfa)" sheetId="2" r:id="rId5"/>
    <sheet state="visible" name="PRUEBAS BOLIVAR" sheetId="3" r:id="rId6"/>
    <sheet state="visible" name="FINALIZADOS 2" sheetId="4" r:id="rId7"/>
    <sheet state="visible" name="FINALIZADOS" sheetId="5" r:id="rId8"/>
    <sheet state="hidden" name="Hoja2" sheetId="6" r:id="rId9"/>
    <sheet state="hidden" name="ASISTENCIA" sheetId="7" r:id="rId10"/>
    <sheet state="visible" name="Caidas del sistema" sheetId="8" r:id="rId11"/>
    <sheet state="hidden" name="pruebas i" sheetId="9" r:id="rId12"/>
  </sheets>
  <definedNames>
    <definedName hidden="1" localSheetId="0" name="_xlnm._FilterDatabase">'EN PROCESO (Bolivar)'!$A$1:$BN$1097</definedName>
    <definedName hidden="1" localSheetId="1" name="_xlnm._FilterDatabase">'EN PROCESO (Alfa)'!$A$1:$R$1036</definedName>
    <definedName hidden="1" localSheetId="2" name="_xlnm._FilterDatabase">'PRUEBAS BOLIVAR'!$A$1:$L$16</definedName>
    <definedName hidden="1" localSheetId="4" name="_xlnm._FilterDatabase">FINALIZADOS!$A$1:$M$219</definedName>
  </definedNames>
  <calcPr/>
  <extLst>
    <ext uri="GoogleSheetsCustomDataVersion2">
      <go:sheetsCustomData xmlns:go="http://customooxmlschemas.google.com/" r:id="rId13" roundtripDataChecksum="+Sp/ZpNegC+Vgw8lTUonpk/Bykl5F6KjywhEQUHW7oQ="/>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73">
      <text>
        <t xml:space="preserve">======
ID#AAABt3ijSVE
Implementacion Img    (2025-11-06 21:33:57)
Asignado por indicación de LP</t>
      </text>
    </comment>
    <comment authorId="0" ref="C221">
      <text>
        <t xml:space="preserve">======
ID#AAABt3ijSVA
Implementacion Img    (2025-11-06 21:30:58)
Se asigna por indicación de LP</t>
      </text>
    </comment>
    <comment authorId="0" ref="C104">
      <text>
        <t xml:space="preserve">======
ID#AAABrArsa-0
Implementacion Img    (2025-09-11 01:15:13)
Pruebas para el 25 de septiembre</t>
      </text>
    </comment>
  </commentList>
  <extLst>
    <ext uri="GoogleSheetsCustomDataVersion2">
      <go:sheetsCustomData xmlns:go="http://customooxmlschemas.google.com/" r:id="rId1" roundtripDataSignature="AMtx7mgWRw9wSGr9drowzT4YO5A695eQCQ=="/>
    </ext>
  </extLst>
</comments>
</file>

<file path=xl/sharedStrings.xml><?xml version="1.0" encoding="utf-8"?>
<sst xmlns="http://schemas.openxmlformats.org/spreadsheetml/2006/main" count="5900" uniqueCount="2776">
  <si>
    <t>Asignado a</t>
  </si>
  <si>
    <t>Jira Caja</t>
  </si>
  <si>
    <t xml:space="preserve">Requerimiento </t>
  </si>
  <si>
    <t xml:space="preserve">Descripcion req </t>
  </si>
  <si>
    <t>Actividad</t>
  </si>
  <si>
    <t>ESTADO</t>
  </si>
  <si>
    <t>% Avance</t>
  </si>
  <si>
    <t>dias estimados</t>
  </si>
  <si>
    <t>F.Asignado</t>
  </si>
  <si>
    <t>Fecha inicio</t>
  </si>
  <si>
    <t>Fecha estimada de entrega</t>
  </si>
  <si>
    <t>Finalizado</t>
  </si>
  <si>
    <t>Dias</t>
  </si>
  <si>
    <t>TEST</t>
  </si>
  <si>
    <t>PRODUCCION</t>
  </si>
  <si>
    <t>OBSERVACIONES</t>
  </si>
  <si>
    <t>VISIBLE</t>
  </si>
  <si>
    <t>Prioridad</t>
  </si>
  <si>
    <t>Jira TEST</t>
  </si>
  <si>
    <t>jira PROD</t>
  </si>
  <si>
    <t>Rama</t>
  </si>
  <si>
    <t xml:space="preserve">Seguimiento 5 mayo </t>
  </si>
  <si>
    <t xml:space="preserve">seguimiento 7 mayo </t>
  </si>
  <si>
    <t xml:space="preserve">seguimiento 9 mayo </t>
  </si>
  <si>
    <t>seguimiento 9 mayo  2</t>
  </si>
  <si>
    <t xml:space="preserve">seguimiento 12 mayo </t>
  </si>
  <si>
    <t xml:space="preserve">seguimiento 14 mayo </t>
  </si>
  <si>
    <t xml:space="preserve">seguimiento 15 mayo </t>
  </si>
  <si>
    <t xml:space="preserve">seguimiento 16 mayo </t>
  </si>
  <si>
    <t xml:space="preserve">seguimiento 19 mayo </t>
  </si>
  <si>
    <t xml:space="preserve">seguimiento 21 mayo </t>
  </si>
  <si>
    <t xml:space="preserve">seguimiento 23 mayo </t>
  </si>
  <si>
    <t xml:space="preserve">seguimiento 26 mayo </t>
  </si>
  <si>
    <t xml:space="preserve">seguimiento 28  mayo </t>
  </si>
  <si>
    <t xml:space="preserve">seguimiento  30 mayo </t>
  </si>
  <si>
    <t>seguimiento  4 Junio</t>
  </si>
  <si>
    <t>seguimiento  6 Junio</t>
  </si>
  <si>
    <t>seguimiento  9 Junio</t>
  </si>
  <si>
    <t>seguimiento  11 Junio</t>
  </si>
  <si>
    <t>seguimiento  13 Junio</t>
  </si>
  <si>
    <t>seguimiento  16 Junio</t>
  </si>
  <si>
    <t>seguimiento  18 Junio</t>
  </si>
  <si>
    <t>seguimiento  20 Junio</t>
  </si>
  <si>
    <t>seguimiento  25 Junio</t>
  </si>
  <si>
    <t>seguimiento  26 Junio</t>
  </si>
  <si>
    <t>seguimiento  27 Junio</t>
  </si>
  <si>
    <t>seguimiento  01 de Julio</t>
  </si>
  <si>
    <t>seguimiento  02 de Julio</t>
  </si>
  <si>
    <t>seguimiento  04 de Julio</t>
  </si>
  <si>
    <t>seguimiento  07 de Julio</t>
  </si>
  <si>
    <t>seguimiento  08 de Julio</t>
  </si>
  <si>
    <t>seguimiento  09 de Julio</t>
  </si>
  <si>
    <t>seguimiento  10 de Julio</t>
  </si>
  <si>
    <t>seguimiento  11 de Julio</t>
  </si>
  <si>
    <t>seguimiento  14 de Julio</t>
  </si>
  <si>
    <t>seguimiento  15 de Julio</t>
  </si>
  <si>
    <t>seguimiento  16 de Julio</t>
  </si>
  <si>
    <t>seguimiento  17 de Julio</t>
  </si>
  <si>
    <t>seguimiento  18 de Julio</t>
  </si>
  <si>
    <t>seguimiento  21 de Julio</t>
  </si>
  <si>
    <t>seguimiento  23 de Julio</t>
  </si>
  <si>
    <t>seguimiento  23 de Julio 2</t>
  </si>
  <si>
    <t>Column 61</t>
  </si>
  <si>
    <t>Column 62</t>
  </si>
  <si>
    <t>Column 63</t>
  </si>
  <si>
    <t>Column 64</t>
  </si>
  <si>
    <t>DANILO</t>
  </si>
  <si>
    <t>INTERNO-D001</t>
  </si>
  <si>
    <t>Radicación Express con IA  ( SALUD )</t>
  </si>
  <si>
    <t>PRUEBAS CLIENTE</t>
  </si>
  <si>
    <t>28/02/2025: modificó el script para entrenar con lenguaje natural; el modelo propio (basado en Verner) reconoce respuestas rápidas (ej. segunda opinión médica) tras retirar el destilado. Es ligero y responde rápido. Planea ajustar, subir a dev/test y usar una base preentrenada para optimizar.
03/03/2025: El viernes 28  se subieron las modificaciones  a un repositorio, pero aún falta un cambio que planea terminar y desplegar hoy, tras ajustes adicionales que retrasaron el despliegue inicial a dev y test.
04/03/2025: Ajustó el algoritmo del modelo (impresión y entrenamiento) el día anterior, subiendo los cambios al repositorio, pero falta un ajuste en el API para desplegarlo, ya que se alojará en un servidor distinto al de Oficina Virtual por limitaciones de capacidad; espera terminarlo pronto.
05/03/2025: No ha avanzado más en Radicación Express por priorizar el API de Recobros; habló con Jenry sobre cambios adicionales y planea retomarlo tras finalizar el API esta semana.
06/03/2025: Trabajó en una modificación para Radicación Express, pero no la finalizó por requerir más cambios; no dio más detalles ni avances significativos.
07/03/2025: Se detiene ya que se dedicara al API de recobros.
10/03/2025: Detenido ya que se encuentra trabajando en la Lectura de incapacidadaes por Python
12/03/2025 : Si es posible y se da el espacio en la sesion de presentación del API de recobros se realizara presentación de este requerimiento. 
14/03/2025: Ayer se presentó el avance del proyecto al cliente y Se realizó un ajuste en la implementación, cambiando el modelo de multi-language a una versión en español para mejorar el rendimiento. Este cambio impactó parcialmente el entrenamiento, pero se espera recuperar la estabilidad durante la semana.
17/03/2025: El viernes avanzó en Radicación Express, resolviendo problemas menores, y ajustó la lógica para llevar al usuario al segundo o tercer paso tras confirmar; hoy sigue dedicado a esto, ajustando los datos enviados al formulario para finalizar esa parte.
18/03/2025: Terminó la integración del formulario de Radicación Express con autorizaciones médicas, autocompletando datos (ciudad, IPS, médico) si están completos o dejando en el primer paso si no; hoy subirá los cambios tras reunirse con Jenry para validar o ajustar.
19/03/2025:  Desplegó Radicación Express en test, pero enfrentó problemas de capacidad en el servidor para entrenar el modelo (100 registros fallaron); ajustó el entrenamiento a un registro cada 15 minutos, logrando 3-4 ejemplos ayer, y hoy seguirá entrenando y ajustando.
20/03/2025:Verificó el modelo ayer, ajustó un fallo donde Python mataba el proceso a la mitad, y continuó el entrenamiento (pocos ciclos aún); hoy planea alcanzar 100 ciclos con registros diferentes.
21/03/2025: Revisó el entrenamiento del modelo, que ya superó 100 ejemplos sin problemas ayer; hoy seguirá monitoreando y avanzando en el entrenamiento
27/03/2025: El modelo ya se entrenó con los casos previos y reconoce información; hoy buscará tiempo para añadir 200 registros más para entrenar entre hoy y mañana.
28/03/2025: Ayer  no adiocno
28/03/2025: No revisada ayer por falta de tiempo; hoy planea agregar 500 registros para entrenar y retomar el avance.
31/03/2025: El viernes agregó 173 ejemplos más (total 473 casos); el modelo entrena bien, reconoce 4 de 5 casos con léxico colombiano; hoy o mañana terminará esta tanda y planea sumar 500 registros más.
01/04/2025: Ayer insertó nuevos registros para entrenar el modelo esta semana.
09/04/2025:  Entrenado con 800 casos, listo en test para pruebas por Santiago o usuarios; hoy se entregará oficialmente para pruebas por el cliente, con entrenamiento continuo; estiman 8 días para producción si se prioriza. 
03/09/2025: Se corrigieron errores recientes y se entregó una nueva versión a Santiago. Se encuentra en proceso de validación,</t>
  </si>
  <si>
    <t>TRUE</t>
  </si>
  <si>
    <t xml:space="preserve">Se entrega para  TEST </t>
  </si>
  <si>
    <t>INTERNO-D002</t>
  </si>
  <si>
    <t>Lectura de incapacidades por Python</t>
  </si>
  <si>
    <t>FINALIZADO</t>
  </si>
  <si>
    <r>
      <rPr>
        <rFont val="Quattrocento Sans"/>
        <b/>
        <color theme="1"/>
        <sz val="10.0"/>
      </rPr>
      <t xml:space="preserve">14/02/2025  Se encuentra ajustando cambio de OCR para minimizar el tiempo de lectura realizando entrenamiento.
17/02/2025 Se realizo cambio de OCR, y pruebas
18/02/2025 ajustar un modelo diferente a ollama para mejorar la lectura del OCR.
19/02/2025 Continuara con los ajustes
20/02/2025 Realizar ajustes para hacer una entrega parcial hoy
21/02/2025  En pruebas de entrenamiento al nuevo modelo.
24/02/2025  Organizar datos y consultas e implementarlos en el entrenamiento del modelo para posteriormente pasar a produccion.
25/02/2025 Se adelanta las consultas par la construccion del dataset para entrenar el modelo (Bert), despues de terminar la construccion serla a los ambientes y comenzar con el entrenamiento.
26/02/2025 Se re ealiza despliegue a produccion el 25 de febrero, se realizara una modificacion  en el dataset  desplegarla  a produccion  para que se encuentre lista para usar, realizar pruebas e iniciar  entrenamiento en las noche.
26/02/2025: </t>
    </r>
    <r>
      <rPr>
        <rFont val="Quattrocento Sans"/>
        <b val="0"/>
        <color theme="1"/>
        <sz val="10.0"/>
      </rPr>
      <t>Se suben a produccion las modificaciones y al iniciar  el entrenamiento del modelo se presentaron varios inconveniestes encuanto a nombres de facientes y fechas con la data de produccion para lo cual se debio ajustar el dataset.
27/02/2025:se le daran tres ciclos de incapacidades y a medio dia validar cual fue el nivle de aprendizaje.
28/02/2025:Culminó una etapa del modelo, entrenándolo con 2 ciclos (20 registros cada uno), logrando identificar nombre del paciente, fechas y número de incapacidades. Planea entrenar con un dataset más grande en la noche (por uso de RAM) y mejorar la clasificación con datos existentes
04/03/2025: Ayer ajusto los scripts de entrenamiento para que esta semana se pueda entrenar más rápido el modelo.
05/03/2025: Las últimas modificaciones se subieron el viernes 28 de febrero, el modelo se entrena en la noche y los fines de semana cada 6 horas con dataset construido dos horas antes; revisará resultados la próxima semana para evaluar el entrenamiento.
10/03/2025; Se encuentra realizando validaciones a los resutados del entrenamiento de la semana anterior y mejorando el regex mientras el modelo mejora su entrenamiento.
11/03/2025: Está trabajando en un tab para el portal de incapacidades que muestre la información leída por el modelo de IA; planea avanzar lo más posible hoy o terminarlo, sin bloqueos ni dudas reportadas.
12/03/2025: Ya se encuentra ajustado el algorimo de la lectura y se guarda la  información en una tabla para mostrar la información extraida en el aplicativo de incapacidades, hoy se ajustara la vista para mostrar la  información en la consulta de incapacidades.
13/03/2025: Ayer finalizó una vista para mostrar la información procesada por el modelo de IA, con ajustes adicionales completados; hoy espera definir prioridades tras una reunión de las 9 a.m.
14/03/2025: Se presentó el avance del proyecto a un grupo de personas, generando gran interés Se resolvieron dudas sobre la tecnología y se trabajará en una versión más completa.
18/03/2025:  No está trabajando activamente en esto; el modelo se entrena en la noche con un dataset de imágenes, pero con pocos casos aún para mejorar efectividad, y planea revisar pronto el porcentaje de precisión.
28/03/2025: No le dedicó tiempo ayer; hoy buscará agregar más registros para entrenar el modelo. 
01/04/2025: Revisó el modelo ayer; avanza poco, pero ajustó el entrenamiento para que sea más rápido sin afectar el servidor; entrena cada 6 horas los fines de semana para aprovechar recursos.
09/04/2025: Entrenado lentamente por recursos limitados (pocos ciclos para no afectar el servidor); lleva 15-20 días así, hoy revisarán su efectividad para decidir si ajustar o buscar alternativas.</t>
    </r>
  </si>
  <si>
    <t xml:space="preserve">Se correra un comando para revisar el estado de lectura de incapacidades, medir el avance del entrenamiento y validar los resultados obtenidos. </t>
  </si>
  <si>
    <t>No se pudo validar completamente el avance debido a una caída del servidor ocasionada por falta de direcciones IP, un problema que no había ocurrido anteriormente, validara hoy el avance</t>
  </si>
  <si>
    <t>El 19 de mayo,Se modifico el OCR  para mejorar la lectura y confirma que ha alcanzado una efectividad del 85%</t>
  </si>
  <si>
    <t>Falta un detalle menor para terminar la integración de la información extraída sobre incapacidades. Planea cerrarlo hoy.</t>
  </si>
  <si>
    <t>El 28 de mayo  Se implementó la ejecución automática de solicitudes de incapacidades a partir de la lectura con IA. Se visualiza en una pestaña separada para mostrar resultados al cliente. Se discutió que, aunque Bolívar no usa actualmente los datos extraídos, la información será útil para validaciones futuras.</t>
  </si>
  <si>
    <t>Los porcentajes de efectividad no superan el 50 % en pruebas recientes. En casos revisados, los valores más comunes rondan el 37 %, incluso en incapacidades actuales. Se recomienda revisar la calidad de los documentos fuente y optimizar la lógica de extracción</t>
  </si>
  <si>
    <t>No se ha podido validar el rendimiento del modelo</t>
  </si>
  <si>
    <t>entrenamiento fines semana</t>
  </si>
  <si>
    <t>27/06/2025:Pendiente validacion de efectividad  en la lectura  y ajuste del OCR  para disminuir el consumos de recusos.</t>
  </si>
  <si>
    <t>GD772-103</t>
  </si>
  <si>
    <t>Paso de documentos de fs a s3</t>
  </si>
  <si>
    <r>
      <rPr>
        <rFont val="Quattrocento Sans"/>
        <b/>
        <color theme="1"/>
        <sz val="11.0"/>
        <u/>
      </rPr>
      <t>Fecha de entrega al clente:</t>
    </r>
    <r>
      <rPr>
        <rFont val="Quattrocento Sans"/>
        <color theme="1"/>
        <sz val="11.0"/>
        <u/>
      </rPr>
      <t xml:space="preserve"> 10/11/2025</t>
    </r>
  </si>
  <si>
    <t>CANCELADO</t>
  </si>
  <si>
    <r>
      <rPr>
        <rFont val="Quattrocento Sans"/>
        <b/>
        <color theme="1"/>
        <sz val="10.0"/>
      </rPr>
      <t xml:space="preserve">19/02/2025 se tuvo sesion Con Juan Angel  para validar como hacer la copia de los documentos y se definio un orden para hacer las trasferencias, se programara la tarea para el 20 de Febrero y se validara el 21 de febrero el resultado 
21/02/2025 La tarea programada para la trasferencia de las imagenes se ejecuto ayer 20 de febrero y hoy se realizara la  validación de  resultados.
24/02/2025 Se realizó la validación, pero no se evidenciaron resultados. Se consultará con la persona encargada para determinar la razón por la cual la transferencia no fue exitosa
26/02/2025 Se radica ticket MDSB-770619 solicitando apoyo para ejecutar la transferencia de archivos desde el disco FS hacia el bucket S3.
27/02/2025 El Ticket MDSB-770619 escalado a bolivar  solicitando apoyo para ejecutar la transferencia de archivos desde el disco FS hacia el bucket S3 se en cuentra en estado en proceso.
28/02/2025 El Ticket MDSB-770619 escalado a bolivar  solicitando apoyo para ejecutar la transferencia de archivos desde el disco FS hacia el bucket S3 se en cuentra en estado en proceso.
04/03/2025 No hay avances ni respuestas al ticket  MDSB-770619 sobre el paso de documentos;
11/03/2025: Se comenta el ticket MDSB-770619 solicitando avances en la solicitud o si se requiere alguna información adicional o algún ajuste de nuestra parte para avanzar con la sincronización.
13/03/2025: A un no se obtiene avances del progreso del ticket MDSB-770619.
28/03/2025: Depende de Bolívar para transferir archivos; no hay avances locales por ahora.
02/04/2025: Ayer Infraestructura de Bolivar  realizo la sincronizacion del primer directorio Sincronización de /opt/storage/img04/arp, e indican que seguiran migrando los directorios en las noches ya que generan  afectacion en el servidor.
03/04/2025: Hoy infraestructura  informa la fecha tentativa de finalizacion es el 4 de abril. el dia de hoy estan terminando la carpeta IMG02
04/04/2025: el 3 de abril  en la noche se detuvo la transferencia de documentos debido a que  ocaciono la  caida del servidor a 10:52 pm. 
07/04/2025: Confirman finalizacion del paso de documentos, Se solverificar que el tamaño del disco S3 corresponda al mismo del FS.
09/04/2025: De acuerdo a la sesion con infraestructura de bolivar  se  Construira plan de paso Fs a S3, hoy se pasa el faltante y se expone el s3 a producción.
10/04/2025  se confirma paso de toda la informacion MDSB-770619 
</t>
    </r>
    <r>
      <rPr>
        <rFont val="Quattrocento Sans"/>
        <b val="0"/>
        <color theme="1"/>
        <sz val="10.0"/>
      </rPr>
      <t xml:space="preserve">01/10/2025: Se tiene previsto iniciar el trabajo de migración alrededor del 15 de octubre. Actualmente infraestructura ya realizó una transferencia hacia un repositorio intermedio (“grandote”), pero es necesario garantizar que la información también se replique en nuestro entorno para validar la integridad de los datos. Se sugiere solicitar a infraestructura un avance formal del estado de la migración, dado que el proceso lleva aproximadamente un mes en ejecución. El equipo considera importante iniciar desde ya la planeación de las pruebas de validación para asegurar que la transferencia se haya completado de manera correcta y sin pérdida de información.
</t>
    </r>
    <r>
      <rPr>
        <rFont val="Quattrocento Sans"/>
        <b/>
        <color theme="1"/>
        <sz val="10.0"/>
      </rPr>
      <t>06/10/2025: Se estima un tiempo de implementación de aproximadamente una semana, considerando revisión de sincronizaciones y definición del punto de partida
08/10/2025: Entre el 6 y 7 de octubre se avanzó en el mapeo de campos relacionados con las rutas de almacenamiento (campo BAT) y en la normalización de URLs para garantizar la correcta transferencia de archivos. Se detectaron registros fuera de estándar que serán reportados. Se implementa la lógica para transferencias diarias y eliminación de archivos con más de 90 días, con trazabilidad mediante logs. Se acordó definir una variable de entorno para el almacenamiento híbrido (local y S3), asegurando compatibilidad en los visores y consultas de archivos.
09/10/2025: Se escala control de cambios a test MDSB-907732 para la creación del esquema  auditoria y de la tabla auditoria.verificacion_efs_s3. Control de cambios ejecutado con exito.    
09/10/2025:  Se escala control de cambios a Producción MDSB-907823 para la creación del esquema  auditoria y de la tabla auditoria.verificacion_efs_s3.
10/10/2025: Durante los días anteriores se avanzó en múltiples tareas asociadas al requerimiento.
Se implementó y probó con éxito la lógica de sincronización diaria de los archivos del día anterior, con un tiempo promedio de ejecución de 6 minutos.
Se desarrolló e implementó la lógica para eliminación automática de archivos del disco FS con más de 90 días de antigüedad, validada en el entorno PRUN mediante pruebas exitosas.
Se ajustó la lógica de consulta de archivos desde las aplicaciones, la cual ya se encuentra funcional.
Se creó un control de certificación de migración, que valida la existencia de los archivos en S3
15/10/2025: El proceso de migración se encuentra finalizado en un 95 %. Falta aprobación del control de cambios para ejecutar las pruebas en producción y completar la verificación de registros. El script de validación está implementado y funcional.
17/10/2025: A la espera de la aprobación de control de cambios para ejecutar los scripts en producción y validar la integridad de la información migrada.
20/10/2025: En espera de aprobación del control de cambios por parte del  QA (Ricardo) para poder continuar con la sincronización de archivos
24/10/2025: El control de cambios se ejecutó correctamente en el ambiente de producción; sin embargo, se evidenció que faltan los permisos necesarios para acceder a la tabla. 
27/10/2025: Se escala control de cambios MDSB-918655 para los permisos requeridos.
29/10/2025: Control de cambios  MDSB-918655 ya obtuvo las aprovaciones necesarias para avanzar, se estima sea incluido en el comité  de cambios digitales de hoy, una vez ejecutado se continuará con la verificación y validación de las imágenes transferidas. 
05/11/2025: Control de cambios  MDSB-918655 ejwcutado con exito el  29 de octubre, a hoy no se 
11/11/2025: Requerimiento cancelado según instrucción de la gerencia de Imagine.</t>
    </r>
  </si>
  <si>
    <t>FALSE</t>
  </si>
  <si>
    <t>MDSB-907732</t>
  </si>
  <si>
    <t>MDSB-907823 / MDSB-918655</t>
  </si>
  <si>
    <t>verificar la transferencia de archivos, ya que se completó la transferencia de los documentos faltantes</t>
  </si>
  <si>
    <t>Validara la  cantidad de documentos tranferidos y dara respuesta al correo</t>
  </si>
  <si>
    <t>se revisó la transferencia de archivos, donde se detectaron diferencias que fueron comentadas en el jira.</t>
  </si>
  <si>
    <t>Implementara logica para el conteo de imagenes y  se prepara  para  realizar el cambio del disco el jueves 22 de mayo a las 6pm</t>
  </si>
  <si>
    <t>El 21 de mayo se implementó una lógica para el conteo de archivos transferidos, como parte de la preparación para el paso a producción programado para el lunes 26 de mayo. Las pruebas realizadas el 22 de mayo permitieron validar el montaje del FS en una unidad alternativa, lo cual ofrece flexibilidad para intervenir manualmente en caso de archivos faltantes o fallidos. Infraestructura será responsable de la transferencia de los registros faltantes durante el fin de semana, con posibilidad de apoyo nuestro si es necesario.</t>
  </si>
  <si>
    <t>Se avanzó en los conteos correspondientes a img04. Se espera consolidar los resultados en el transcurso del día para dar respuesta formal con evidencias a los correos correspondientes.</t>
  </si>
  <si>
    <t>El conteo de datos para FS y S3 sigue pendiente. se planea terminar hoy el conteo y compartir evidencias para análisis, el paso a produccion sigue pendiente.</t>
  </si>
  <si>
    <t>El 28  de mayo se termina el conteo y se envian evidencias, pendiente  confirmación de Bolivar</t>
  </si>
  <si>
    <t>Se ajustaron fechas para realizar un nuevo reconteo de archivos transferidos</t>
  </si>
  <si>
    <t>Para  el viernes  20 de junio se programo Ventana de mantenimiento a las 5 pm para  realizar paso a producción.</t>
  </si>
  <si>
    <t xml:space="preserve">25/06/2025: El viernes 20 de junio se intentó realizar el paso a producción, pero no fue exitoso, ya que al momento de cargar archivos el sistema no lo permitía debido a temas de permisos que no pudieron resolverse en ese momento,Por esta razón, fue necesario reversar la implementación.Se estima realizar nuevamente el paso a producción el día jueves 26 de junio. </t>
  </si>
  <si>
    <t>26/06/2025: Se programa paso a producción el día miércoles 2 de julio de 10:00 a 11:00 pm.</t>
  </si>
  <si>
    <t>02/07/2025: Para hoy esta  programado el paso a producción a las 10 Pm.</t>
  </si>
  <si>
    <t>04/07/2025: El paso  programado para el 2 de julio no fue exitoso debido aque se presentaron  dificultades al levantar el servicio, Bolivar propone clonar la máquina actual para probar configuraciones antes hacer el paso a producción. Se acordó que la máquina estaría lista para pruebas el lunes 7 de julio, con la realización de estas programadas para el martes 8 de julio.</t>
  </si>
  <si>
    <t>09/07/2025:Ayer 8 de junio se recibió el ambiente con S3 para pruebas de parte del cliente, se confirmó que la copia es fiel a producción realizando pruebas básicas de navegación. Se planea probar el montaje completo con S3 y revisar si el problema de bloqueo persiste al montar EBS.</t>
  </si>
  <si>
    <t>10/07/2025:Se  escala solicitud MDSB-844713  para habilitar el acceso a la instancia de pruebas_s3 para validar localmente la implementación de los discos, antes del paso a producción.</t>
  </si>
  <si>
    <t>11/07/2025: Pendiente respuesta del ticketMDSB-844713 ya que el bloqueo impide validar completamente las aplicaciones. Mientras tanto, se ha avanzado con otras tareas técnicas en ese entorno.</t>
  </si>
  <si>
    <t xml:space="preserve">14/07/2025: El viernes 11 de julio se supero el bloqueo de red que impedía comunicación con el puerto 80, lo cual permitió avanzar en el montaje del EC3. Se identificó un problema con el RECAPTCHA debido a que este está configurado para un dominio específico, y en el ambiente actual se está usando una IP directa, Se continuará en lo posible de solucionar y comenzar a realizar pruebas. </t>
  </si>
  <si>
    <t>16/07/2025: Se continúa con las pruebas y estabilización del S3 y el EBS. Ayer se intentó actualizar Apache, lo que obligó a reinstalar el sistema operativo por incompatibilidad de librerías. Se realizó la restauración del sistema para continuar con las pruebas hoy. Se está evaluando si el EBS es viable dado que su integración obliga a actualizar todo el sistema operativo.</t>
  </si>
  <si>
    <t xml:space="preserve">17/07/2025: Se  aplican las actualizaciones necesarias para corregir el problema con el disco EBS  pero la actualización no concluyó como se esperaba, nuevamente los discos en el ambiente de pruebas, manteniendo una estructura lógica diferente a la anterior </t>
  </si>
  <si>
    <t>18/07/2025: El 17 de julio se realizaron pruebas satisfactorias en el ambiente de pruebas S3. Se planea continuar con pruebas de rendimiento simulando entre 40 y 80 sesiones activas para validar el comportamiento similar al entorno productivo. Se espera finalizar hoy para liberar el ambiente y continuar con otras tareas como la actualización de Apache.</t>
  </si>
  <si>
    <t>21/07/2025: El viernes 18 de julio se realizaron pruebas de carga y funcionales, corrigiendo errores detectados. Se entregó informe y el ambiente quedó listo para el paso a producción. Se identificó mejora en la latencia desde FPM. Se requiere confirmación del cliente para la fecha de paso a producción.</t>
  </si>
  <si>
    <t>23/07/2025: Se realizara  paso a produccion 23 de julio a las 10 pm</t>
  </si>
  <si>
    <t>25/07/2025: El día miércoles 23 de julio se realizó un despliegue exitoso al entorno S3. Sin embargo, el 24 de julio fue necesario revertir los cambios debido a fallos de rendimiento detectados tras la implementación. Se requiere evaluar la capacidad actual del servidor y documentar lo ocurrido, con el fin de identificar las causas del problema y definir acciones correctivas que garanticen la estabilidad del sistema en futuros despliegues.</t>
  </si>
  <si>
    <t>30/07/2025:El proceso se encuentra en pausa hasta que se defina el método para el traspaso de imágenes</t>
  </si>
  <si>
    <t>GD772-64</t>
  </si>
  <si>
    <t xml:space="preserve">Api de recobros </t>
  </si>
  <si>
    <t>DETENIDO CLIENTE</t>
  </si>
  <si>
    <t>24/02/2025 Retomara esta tarea que estaba asignada a Jhoan.
26/02/2025 se encuentra pendiente hasta terminnar el desarrollo de la lectura de incapacidadaes por Python
27/02/2025:  Se intentara leer las URLs prefirmadas en T3. y revisar si lo que Joan desarrollo sirve o si se necesita crear una implementación distinta para que funcione bien.
28/02/2025: Avanzó en pruebas; las URL prefirmadas funcionan, pero faltan credenciales completas (Access Key ID y Secret Access Key) para permisos. Dejó un comentario al respecto en el ticket MDSB-766368.
03/03/2025: El viernes se recibe respuesta a un ticket relacionado con credenciales de usuario y una URL prefirmada. Validó que las credenciales funcionaran y logró resolver el tema del usuario quedando pendiente  Implementar la URL prefirmada (o listado de URLs) en la consulta exitosa.
04/03/2025: Avanzó configurando el ambiente en su máquina y revisando la lógica del API; hoy planea implementar el consumo de URLs prefirmadas y dejarlo listo si es posible.
05/03/2025 ajustó la recepción de parámetros y consultas del API, corrigiendo errores como la confusión entre siniestro y cédula, y añadió claves "not found" para identificar imágenes no disponibles en S3; falta terminar la consulta de facturas y revisar un PATH en tipologías, planeando compartir resultados de incapacidades hoy a las 10 y avanzar en facturas.
05/03/2025: No permite conectar al ambiente de desarrollo por el Administrador de Sesiones de AWS se radica ticket MDSB-774334
06/03/2025: Ayer por la mañana tuvo problemas de acceso al ambiente por un agente, pero en la tarde probó los cambios en incapacidades, generando URLs prefirmadas con claves "found" y "not found" (código 200), indicando imágenes no disponibles en S3; hoy planea avanzar en facturas, revisar tipologías y un posible Paht.
07/03/2025: Estandarizó consultas corrigiendo errores de sintaxis y añadió una validación para mostrar un mensaje genérico en errores 500 (con logs internos detallados); ya funciona la búsqueda de facturas, y hoy ajustará y compartirá la búsqueda de tipologías que usa la tabla Nexos para URLs prefirmadas.
10/03/2025: El viernes 7 de marzo finalizo el  requerimiento y reslizo entrega al cliente para  pruebas.
12/03/2025 :  Se escala solicitud MDSB-778771 implementar un control de acceso al dominio de imaginex-dev-recobros.segurosbolivar.com.para que únicamente se permita la comunicación desde los siguientes orígenes:
API Gateway de AWS Seguros Bolívar Refactoring ARL:
SegurosBolivar-Bienestar-ARL-DEV
SegurosBolivar-Bienestar-ARL-STG
SegurosBolivar-Bienestar-ARL-PROD
13/03/2025: La solicitud  MDSB-778771 escalada a infraestructura se en cuentra en estado en proceso.
18/03/2025: ayer infroman que los ajustes fueron realizados.
20/03/2025: Dedicó tiempo ayer a privatizar el dominio tras un ticket previo; DEV ya funciona con reglas, y hoy solicitará el dominio de test para avanzar. 
20/03/2025: Solicita dominio en el ticket MDSB-783892
21/03/2025: Ayer radicó el ticket MDSB-783892 para solicitar el dominio de test, ya que DEV funciona bien sin errores reportados, Realizara paso a test tan pronto se reciba una respuesta positiva  de la solicitud.
26/03/2025: En el  ticket MDSB-783892 solictan diligenciamiento de información, Danilo envia formato solicitado, confirman la generación del registro.
27/03/2025: Si todo sale bien con Autorizaciones Médicas esta mañana, por la tarde iniciará la implementación del host virtual en test.
28/03/2025: Ayer implementó el host virtual para test y validó reglas con el ticket MDSB-787645, restringiendo acceso al dominio; está avanzado, pendiente de pruebas finales.
01/04/2025:Ticket MDSB-787645 ejecutado con exito, y se escala Ticket MDSB-789767 solicitando  la creación del subdominio imaginex-recobros.segurosbolivar.com. (Produccion).
03/04/2025: Bolívar detuvo el requerimiento hasta aprobar fase 2; sigue avanzando el ticket MDSB-789767 para el DNS, falta completar el formato solicitado con el dato "value" (buscará apoyo de Edgar hoy).
04/04/2025: Se resolvió el ticket MDSB-789767  pendiente para la creación del DNS en producción, aunque la funcionalidad aún no está habilitada, Esto se hizo para evitar retrasos cuando se autorice el paso a producción.</t>
  </si>
  <si>
    <t>INTERNO-D003</t>
  </si>
  <si>
    <t>Comprimir información del body de la tabla cola_correos</t>
  </si>
  <si>
    <t>01/04/2025: Ayer trabajó en comprimir el body de la tabla cola_correos; una extensión externa logró un 25-26% de compresión (32 GB en producción), pero no tiene soporte para Postgres 15.5; propuso un script en Python que reduce hasta 50%, aunque se evita depender de scripts por ser implementación adicional; sigue en evaluación.  
02/04/2025: Se define que antes de implementar cualquier cambio, se debe consultar con el cliente (Bolívar). Se discutirán los resultados obtenidos y se determinará si la solución es aceptable. Se sugiere la alternativa de utilizar un trigger en la base de datos, lo que permitiría comprimir y descomprimir automáticamente los datos sin necesidad de modificaciones en el código de la aplicación. Esto simplificaría la implementación y reduciría la carga de desarrollo.
03/04/2025: De acuerdo a la sesion con Bolivar, quedó pendiente enviar la especificación técnica a Leidy para escalarla a tecnología y aprobar la solución propuesta por imagine (compresión del 25-26% o script al 50%); redactará el correo hoy con Jenry.  
09/04/2025: Pendiente de confirmación de Bolívar sobre la solución propuesta; Jenny sugirió pasarlo a producción, pero requiere una implementación (1 semana estimada)</t>
  </si>
  <si>
    <t>JAIRO</t>
  </si>
  <si>
    <t xml:space="preserve"> MDSB-707440/GD772-74</t>
  </si>
  <si>
    <t>Portal reembolsos ARL (FLUJO YII)</t>
  </si>
  <si>
    <t>03/03/2025: Iniciara despues de finalizar el req GD772-83 Boton Glosa parcial del total de la factura 
10/03/2025; Inicia con el desarrollo.
11/03/2025 : Inicio bajando el sitio, pero no avanzó mucho debido a que  Jenry le asignó otro requerimiento (Captura de datos e informe).
21/03/2025:Se iniciara con el desarrollo despues de cerrar el req GD772-72 Requerimiento Captura de datos e informe (Reembolsos).
27/03/2025: Continuará con este requerimiento tras subir GD772-72 a test; no reportó avances ayer.
28/03/2025: Iniciará hoy tras subir GD772-72 a test; no avanzó ayer.
02/04/2025: Espera reiniciar despues del medio dia con el req. 
10/04/2025: Se realizaron cambios menores previos a la activación. Se planea iniciar la activación hoy del req.
11/04/2025:  tiene el ambiente listo pero no ha iniciado código; espera mostrar avances esta tarde.
14/04/2025: tiene el ambiente listo pero no ha iniciado código,Informa que a un no ha reactivado el req.
11/08/2025: Aprueban control de cambios en comite de cambios digitales y se ejecutara hoy 11 de agosto a las 4:20pm
20/08/2025: El requerimiento ya fue implementado y migrado a producción el jueves 14 de agosto. Se estabilizó el viernes y quedó consolidado en la rama máster.</t>
  </si>
  <si>
    <t>MDSB-814902</t>
  </si>
  <si>
    <t>MDSB-856139</t>
  </si>
  <si>
    <t xml:space="preserve">Se retoma luego del 104 </t>
  </si>
  <si>
    <t xml:space="preserve">Se inicia requerimiento el 5 de mayo , en 2 semanas se entrega  </t>
  </si>
  <si>
    <t xml:space="preserve">seguimos en el proceso </t>
  </si>
  <si>
    <t xml:space="preserve">Se pausa y se da inicio a analiticia fila 56 </t>
  </si>
  <si>
    <t>Se está analizando el tema de asignación por valores y explorando cómo incorporar el componente de servicios.</t>
  </si>
  <si>
    <t>En el proceso de reembolsos se ha llegado a la etapa de asignación y radicación en "sí salud"</t>
  </si>
  <si>
    <t>pasar pacial, solicitara  cambios en  test, se escala control de cambios a test MDSB-814902</t>
  </si>
  <si>
    <t>Control de cambios MDSB-814902 ejecutado el viernes 16 de mayo,  está desarrollando actividades relacionadas con la radicación en salud. Se espera pasar un avance parcial pronto a tets para que Jenry pueda comenzar las pruebas de digitación</t>
  </si>
  <si>
    <t>Se realiza paso a test  20 de mayo un parcial y continuara trabajando en el restante del requerimiento</t>
  </si>
  <si>
    <t>Se realizaron ajustes en inconsistencias, permisos y roles. Se pasó un parcial para pruebas, y se está a la espera de validaciones para continuar con los ajustes finales.</t>
  </si>
  <si>
    <t>Se está trabajando en unificar los informes de ARL con los de Reembolso Salud en una misma pestaña, Las pruebas dependen de un servicio de Bolívar que aún no está disponible</t>
  </si>
  <si>
    <t>Se creó el primer informe específico para ARL basado en los ya existentes para Reembolso Salud. Está en proceso de pruebas,</t>
  </si>
  <si>
    <t>El API presenta fallas en ambiente de pruebas; según tecnología, se propondrá apuntar el sitio de test a produccion para poder llevar acabo las pruebas y autoricen el paso a produccion. Se debe considerar personalizar plantillas de respuesta para  ARL.</t>
  </si>
  <si>
    <t>Desarrollo ya se encuentra en  test, a la espera de confirmación si el rachivo de pagos en igual al de salud.</t>
  </si>
  <si>
    <t>El viernes 6 de junio se informa a Bolívar que pueden iniciar las pruebas con la implementación de la simulación del sistema SISalud, con el fin de validar el flujo completo de radicación en ausencia del entorno funcional</t>
  </si>
  <si>
    <t>A la espera de habilitación del ambiente de pruebas para que Bolivar continue con las pruebas, Bolivar debe gestionar la activación para continuar.</t>
  </si>
  <si>
    <t>El requerimiento sigue en ambiente de pruebas. No hay confirmación de validaciones de parte de Bolivar.</t>
  </si>
  <si>
    <t xml:space="preserve">Sigue en pruebas por Bolivar. </t>
  </si>
  <si>
    <t xml:space="preserve">27/06/2025: Se estima tiempo de entrega del resultado de las pruebas  el 1 de julio por parte de bolivar </t>
  </si>
  <si>
    <t>16/07/2025: El 15 de julio el  portal  fue entregado al cliente para pruebas, se entregaron tanto las cartas como la funcionalidad del flujo completo.</t>
  </si>
  <si>
    <t xml:space="preserve">Cambio en las cartas </t>
  </si>
  <si>
    <t xml:space="preserve">Pendiente confirmar  que modificaciòn se  requiere </t>
  </si>
  <si>
    <t>30/07/2025: El cliente ha dado visto bueno para realizar el paso a producción. Se procede a escalar el control de cambios MDSB-856139</t>
  </si>
  <si>
    <t>JESUS</t>
  </si>
  <si>
    <t>MDSB-780227</t>
  </si>
  <si>
    <t xml:space="preserve"> Duplicación de actividades en Nativo</t>
  </si>
  <si>
    <t>1. comando quitar duplicados 
2. Revisar la funcio´n de reasignar.
3. Revisar flujos (en nativo)</t>
  </si>
  <si>
    <t>18/03/2025: No alcanzo a revisar la duplicación de casos; hoy analizará los radicados por buzón (flujo correcto pero con actividades duplicadas), y podría crear un comando si no encuentra la causa.
19/03/2025: Revisó ayer por la mañana la duplicación de actividades en Nativo sin encontrar errores en el código; hoy continuará investigando la causa.
20/03/2025: Se detiene para darle pioridad al req GD772-92 - Malla CUPS en Nativo.
03/04/2025: Continua detenida ya que se debe dar prioridad al Req GD772-84 Comunicaciones gestión de aportes sin afiliacion (masivos).</t>
  </si>
  <si>
    <t>Retomara validación de la incidencia.</t>
  </si>
  <si>
    <t>se implemento check para colocar flujo en administracion. Se identificó que el error se debía a que algunas tipologías no tenían definido el tipo de asignación como "flujo", lo que permitía la apertura de múltiples actividades para un mismo caso. Se actualizó la configuración de dichas tipologías,</t>
  </si>
  <si>
    <t>GD772-87</t>
  </si>
  <si>
    <t xml:space="preserve">Implementar en laravel  la autenticación con QR </t>
  </si>
  <si>
    <t>03/02/2025  Generacion de la Vista del codigo de 2 pasos en login de Bolivar
05/02/2025  Se mostraran avances para el 7 de Febrero
07/02/2025 Inicia encriptación de datos, sesion  a 4pm hoy  para mostrar  avances en dev 
10/02/2025 Quitar  la  autorecuperación  del QR.
12/02/2025 Se sube a dev el login de laravel
21/02/2025: se debe incluir a donde se envia el correo de recuperación.
24/02/2025:  se escaló el control de cambios a test con el ticket MDSB-768688.
25/02/2025:   Se encuentra pendiente creacion de req caja para asociarlo al control de cambios y se de la aprobacion de QA.
28/02/2025: Pendiente creacion de requerimiento caja de parte de Bolivar, Imagine reaizara el envio del manual de usuario. 
03/03/2025 : El dia viernes 28 de febrero  Bolivar crea el requerimiento caja GD772-87 para adjuntarlo al control de cambios MDSB-768688 en test y continuar con el proceso.
04/03/2025: Control de cambios MDSB-768688 se encuentra en estado aprobacion QA de Bolivar.
05/03/2025: Control aprobado por QA, Control de cambios ejecutado con éxito 
06/03/2025: Subió el doble factor a test ayer, pero no compara bien el código del Authenticator; sospecha confusión por claves en Develop o un fallo en la librería, y lo revisará hoy.
07/03/2025: El doble factor no valida bien el código; ayer descartó conflictos en Develop borrando registros, y hoy investigará si es la librería o el dominio compartido.
10/03/2025. El viernes 7 de marzo identifico que la hora del servidor de tets esta adelantada respecto a la hora del celular, quedo ajustado.
21/03/2025: Pendiente resultado de pruebas de Bolivar y el visto bueno para realizar  paso a produccion.
26/03/2025: Bolivar informa que el resultado de las pruebas las enviaran la semana del 31 de marzo y confirman la  implementación en los 2 aplicativos (Nativo y Yii)
03/04/2025:Bolivar tiene  programadas para el 3 y 4 de abril con diferentes perfiles de usuario, de acuerdo al resultado solicitaran  paso a producción la próxima semana.
10/04/2025: Bolívar autorizó ayer iniciarlo en test para los ambientes de Yii y nativo
25/09/2025: Deacuerdo a nuevo mentodo de autenticación propuesto por el cliente seda por cancelado este requerimiento y se iniciara el GD772-146</t>
  </si>
  <si>
    <t>MDSB-768688</t>
  </si>
  <si>
    <t xml:space="preserve"> MDSB-849084</t>
  </si>
  <si>
    <t>Esta pendiente resultados de las pruebas de Bolivar</t>
  </si>
  <si>
    <t>El  18 de Junio   Bolivar informa que realizan las pruebas en test y aun realizando la exclusión de usuario (Listas blancas) se está solicitando doble factor de autenticación
Se identificó que la funcionalidad de Listas Blancas no está operando correctamente desde el navegador debido al score del CAPTCHA. Como propuesta, se sugiere implementar una validación directa por cédula, eliminando la dependencia del CAPTCHA.</t>
  </si>
  <si>
    <t>24/06/2025: Jesus entrega el viernes 20 de junio ajuste de Listas blancas, el usuario activo en listas blancas se le debe omitir la solicitud del codigo de verificación.
24/06/2025: Se aplica ajuste, se confirma funcionalidad y se le notifica al cliente para su validación.</t>
  </si>
  <si>
    <t>15/07/2025: El cliente confirma la aprobación para el paso a producción; sin embargo, la ejecución queda pendiente de definir la fecha, ya que se requiere realizar previamente la divulgación al equipo de trabajo, y por parte de Imagine  se debe solicitar control de cambios en produccion.</t>
  </si>
  <si>
    <t xml:space="preserve">solicitar control de cambios </t>
  </si>
  <si>
    <t xml:space="preserve">GD772-87 </t>
  </si>
  <si>
    <t xml:space="preserve">Implementar en Yii y Nativo  la autenticación con QR </t>
  </si>
  <si>
    <t>14/04/2025: Se estima iniciar con la implementación tras terminar con los ajustes del req GD772-84.
05/09/2025: En pruebas con nuevos usuarios se identificó un error: el mismo código no funciona en las tres plataformas, obligando a generar múltiples claves. Este comportamiento no se presentó en fases de prueba inicial. Se solicitó revisión técnica.
17/09/2025:El cliente informa que se requiere adicionar un segundo método de autenticación, similar al utilizado para la recuperación de clave
25/09/2025: Deacuerdo a nuevo mentodo de autenticación propuesto por el cliente seda por cancelado este requerimiento y se iniciara el GD772-146</t>
  </si>
  <si>
    <t>Bolivar  reporta 2 halazgo  en la pruebas.</t>
  </si>
  <si>
    <t>El 20 de mayo se realiza ajuste  en la recuperación de codigo y queda pendiente la inclusion de lsitas blancas tan pronto se ajuste el modulo en yii.</t>
  </si>
  <si>
    <t>continúa ajustando la lógica para excluir la validación de listas blancas en el doble factor.</t>
  </si>
  <si>
    <t>Se finalizó e implementó exitosamente en TES la funcionalidad pendiente de lista blanca relacionada con el doble factor. Este entregable ya está en ambiente de pruebas, se Realizaran pruebas de funcionamiento</t>
  </si>
  <si>
    <t>El 26 de mayo Se finalizan los ajustes indiecados por Bolivar y se infroma para que realicen las  pruebas.</t>
  </si>
  <si>
    <t>GD772-116</t>
  </si>
  <si>
    <t>Requerimiento gestión Medicamentos fase 2 - Sprint 2</t>
  </si>
  <si>
    <t xml:space="preserve">   09/06/2025: Estimación inicial de desarrollo  9 dias
16/06/2025: Se acordó iniciar el desarrollo el 18 de junio, una vez se finalicen tareas pendientes de giras
20/06/2025:El 19 de junio finalizó el punto 2,continuara con el punto 3.
25/06/2025:El desarrollo avanza en el punto 4 de la fase 2 (creación de tipología y actividades). Se ha completado aproximadamente el 40% del requerimiento 
27/06/2025: 27/06/2025: Se reporta un avance del  60%.
02/07/2025:Se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
04/07/2025: El desarrollo alcanza un 85% de avance. Ya se construyó la generación de carta para proveedor nuevo. Queda pendiente recibir el modelo de carta de cancelación y completar dos botones adicionales. La validación masiva vía Excel fue pospuesta para el final 
07/07/2025: Avance parcial durante el viernes 4 de julio en una nueva funcionalidad vinculada a botones de acción. Se priorizó el análisis de flujos con doble actividad y se atenderá el requerimiento de medicamentos durante la jornada de hoy, se estima entrega de desarrollo 8 de julio.
09/07/2025: El desarrollo se encuentra en su fase final, aunque ha experimentado algunos retrasos debido a revisiones relacionadas con otros temas. Actualmente, hay una duda funcional pendiente sobre el comportamiento del botón “Copiar y Reabrir Caso”, la cual está en revisión.Se solicitará el respectivo control de cambios para realizar las pruebas en el ambiente de test.
09/07/2025: Se escala control de cambios en test bajo el jira MDSB-844308.
10/07/2025: Control de cambios MDSB-844308 ejecutado con éxito.
11/07/2025: : 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
16/07/2025: Avanza la estabilización con enfoque en mejoras de experiencia de usuario. Faltan validaciones en gestión y pequeñas correcciones funcionales. Plantillas ya están disponibles.
18/07/2025: Se completó el flujo y ajustes hallados en las pruebas de medicamentos.
23/07/2025: Se realizaron los ajustes solicitados, los cuales incluyen la separación de vistas en pestañas para mejorar la organización de la información, así como la inclusión de botones para la gestión de casos relacionados.
30/07/2025: El día 28 de julio se realizó la entrega del desarrollo al cliente, quien iniciará el proceso de pruebas.
14/08/2025: El cliente ha dado su visto bueno para realizar el paso a producción del requerimiento.
15/08/2025: Se solicita al cliente proporcionar un listado similar al que habitualmente cargan los proveedores, preferiblemente con un volumen considerable, con el fin de realizar pruebas de carga en el aplicativo.
20/08/2025: Cliente envia Archivo solicitado.
25/08/2025: Se identificó riesgo de saturación del sistema si se procesa en línea. Se propuso implementar un proceso en segundo plano con validaciones y notificación por correo al finalizar.
29/08/2025: Se finalizan ajustes y pruebas 
15/09/2025: Se escala control de cambios MDSB-890762  para producción.
22/09/2025: Control de cambios ejecutado con exito en 20 de septiembre, código revisado y listo para desplegar en producción hoy a las 5 p.m.
24/09/2025: se corrigió la URL de despliegue, pasando de consulta salud a consulta ARL. El desarrollo quedó listo para pruebas en ambiente de test y posterior despliegue a producción.
25/09/2025: Se realizo despiegue a producción el 24 de septiembre y se encuentra en estabilización...
26/09/2025: En la estabilizacion se  corrigió error en producción relacionado con variables y trazabilidad de actividades.
Queda pendiente definir ejecución de colas sin duplicación entre servidores para proceso de encolado de cargue masivo en la consulta de autorizaciones. 
29/09/2025: Se inicia incluision de nuevas columnas al informe de de tiempos </t>
  </si>
  <si>
    <t>MDSB-844308</t>
  </si>
  <si>
    <t>MDSB-890762</t>
  </si>
  <si>
    <t xml:space="preserve">Estimación inicial de desarrollo  9 dias </t>
  </si>
  <si>
    <t xml:space="preserve"> Se acordó iniciar el desarrollo el 18 de junio, una vez se finalicen tareas pendientes de giras</t>
  </si>
  <si>
    <t>Inicia desarrollo</t>
  </si>
  <si>
    <t>20/06/2025:El 19 de junio finalizó el punto 2,continuara con el punto 3.</t>
  </si>
  <si>
    <t>25/06/2025:El desarrollo avanza en el punto 4 de la fase 2 (creación de tipología y actividades). Se ha completado aproximadamente el 40% del requerimiento</t>
  </si>
  <si>
    <t>27/06/2025: Se reporta un avance del  60%</t>
  </si>
  <si>
    <t>02/07/2025: 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t>
  </si>
  <si>
    <t>04/07/2025: El desarrollo alcanza un 85% de avance. Ya se construyó la generación de carta para proveedor nuevo. Queda pendiente recibir el modelo de carta de cancelación y completar dos botones adicionales. La validación masiva vía Excel fue pospuesta para el final</t>
  </si>
  <si>
    <t xml:space="preserve">07/07/2025: Avance parcial durante el viernes 4 de julio en una nueva funcionalidad vinculada a botones de acción. Se priorizó el análisis de flujos con doble actividad y se atenderá el requerimiento de medicamentos durante la jornada, se estima entrega de desarrollo 8 de julio. </t>
  </si>
  <si>
    <t>09/07/2025: El desarrollo se encuentra en su fase final, aunque ha experimentado algunos retrasos debido a revisiones relacionadas con otros temas. Actualmente, hay una duda funcional pendiente sobre el comportamiento del botón “Copiar y Reabrir Caso”, la cual está en revisión.
Se solicitará el respectivo control de cambios para realizar las pruebas en el ambiente de test.
09/07/2025: Se escala control de cambios en test bajo el jira MDSB-844308</t>
  </si>
  <si>
    <t>10/07/2025: Control de cambios MDSB-844308 ajecutado con exito.</t>
  </si>
  <si>
    <t>10/07/2025:El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t>
  </si>
  <si>
    <t>14/07/2025: El desarrollo fue montado en TES con todas las actividades, tipologías y configuración básica. Se encuentra en etapa de estabilización y pruebas conjuntas.</t>
  </si>
  <si>
    <t>16/07/2025: Avanza la estabilización con enfoque en mejoras de experiencia de usuario. Faltan validaciones en gestión y pequeñas correcciones funcionales. Plantillas ya están disponibles.</t>
  </si>
  <si>
    <t>18/07/2025: Se completo el flujo y ajustes  hallados en las  prubas de medicamentos.</t>
  </si>
  <si>
    <t>23/07/2025: Se realizaron los ajustes solicitados, los cuales incluyen la separación de vistas en pestañas para mejorar la organización de la información, así como la inclusión de botones para la gestión de casos relacionados.</t>
  </si>
  <si>
    <t>30/07/2025:El día 28 de julio se realizó la entrega del desarrollo al cliente, quien iniciará el proceso de pruebas.</t>
  </si>
  <si>
    <t>GD772-161</t>
  </si>
  <si>
    <t>Automatización actas de prevención Formato AT- 031 Agr”</t>
  </si>
  <si>
    <r>
      <rPr>
        <rFont val="Quattrocento Sans"/>
        <b/>
        <color theme="1"/>
        <sz val="11.0"/>
      </rPr>
      <t xml:space="preserve">Fecha entrega al cliente:
</t>
    </r>
    <r>
      <rPr>
        <rFont val="Quattrocento Sans"/>
        <color theme="1"/>
        <sz val="11.0"/>
      </rPr>
      <t>1. DESCRIPCIÓN DEL REQUERIMIENTO Se requiere crear una funcionalidad que permita la creación masiva de casos a partir de adjuntos y generación de respuesta por correo electrónico certificado bajo la tipología “Formato AT- 031 Agr”. 1.2 OBJETIVO Automatizar el proceso de envío de actas 1.3 EQUIPO DE TRABAJO Nombre Área ANA MILDRED BURGOS M Innovación y Desarrollo ARL FREDY DIAZ HERRERA Gerencia ARL VANESSA ESTHER ALVAREZ R Subgerencia de Prevención ARL 2. REQUERIMIENTOS FUNCIONALES Se requiere crear una funcionalidad que permita la creación masiva de casos a partir de adjuntos y generación de respuesta por correo electrónico certificado bajo la tipología “Formato AT- 031 Agr”. 2.1 Módulo para creación de casos 2.1.1 Cargue de pdf Se requiere la creación de un módulo en el cual se pueda realizar el cargue de archivos en formato pdf de manera masiva para la creación y generación de respuesta por correo electrónico certificado bajo la tipología “Formato AT- 031 Agr”. Modelo de pdf\r\nOpción 1 - Url de Drive. En el módulo se debe poder seleccionar la tipología (Formato AT 031 Agr) y el sistema debe solicitar la url de drive para traer la información, una vez el usuario coloque la url, el sistema deberá de guardar esa url para cargues futuro y únicamente solicitar la confirmación del usuario; sin embargo en cualquier momento el usuario podrá cambiar la url de cargue. Opción 2 - Selección de carpeta. En el módulo se debe poder seleccionar la tipología (Formato AT- 031 Agr) y el sistema debe solicitar los archivos en pdf sobre los cuales se requiere la creación del caso, para lo cual el usuario deberá de seleccionar la carpeta del PC y el sistema deberá de tomar todos los pdf que registren en dicha carpeta. 2.1.1 Creación de casos Una vez cargado los pdf el sistema deberá realizar la creación de los casos con la información que está nombrado en el pdf, se propone la siguiente estructura: NIT_NOMBREEMPRESA_CRONOGRAMA_SECUENCIA_CONSECUTIVO (CANTIDAD DE HOJAS), con esta información el sistema deberá realizar la creación de los casos. Si el pdf coincide en Nit,nombre,cronograma y secuencia en dos archivos o mas, se deberá de anexar la cantidad de pdf´s a un solo caso. Los datos obligatorios para la creación del caso son: nit, nombre , cronograma y secuencia. Si hay algún dato faltante para la creación del caso, este no deberá crear y se deberá notificar el error. De deberá de notificar al usuario los casos creados con la siguiente estructura: Si no es posible la creación del caso deberá indicar el error. 2.1.2 Proforma de respuesta Esta tipología deberá tener la proforma de respuesta con los campos variables indicados (ver anexo). 2.1.2 Generación de respuesta y envío Los casos creados por esta funcionalidad, deberán generar respuesta de manera automática al cliente por correo electrónico certificado, remitiendo los adjuntos cargados y la proforma anexa a este requerimiento (ver anexo). El correo electrónico del envío se deberá leer desde el pdf cargado. Tanto la actividad de generación de respuesta como la de radicación, deberá quedar a nombre del usuario que realiza el proceso. En caso de Los envíos no deben quedar en la misma cola de los masivos, estos deben salir el mismo día de radicación.devolución el caso debe quedar en la bandeja del usuario que radicó para gestión individual.\r\n</t>
    </r>
  </si>
  <si>
    <t>PAUSADO</t>
  </si>
  <si>
    <t>29/09/2025: Requerimiento aún en etapa de entendimiento. Reunión próxima con el cliente para detallar proceso y asignar responsables.
01/10/2025: El requerimiento se encuentra en etapa de análisis; hasta el momento solo se han revisado documentos y definiciones iniciales. No se han realizado desarrollos técnicos ni configuraciones. Se requiere concertar con el área de tecnología los posibles ajustes a implementar para definir un plan de trabajo.
28/10/2025: Se estima 20 dias habiles de desarrollo.
04/11/2025: Se envia al cliente las historias de usuario para validación y aprobación.
10/11/2025: Cliente confirma aceptación de las HU
27/11/2025: Se inicia con el desarrollo.
01/12/2025: El desarrollo avanzó al 35%. Ya se tienen listas las carpetas (.zip) en la ruta correspondiente y hoy se inicia el procesamiento de los activos según el requerimiento. Se estima terminar antes del tiempo inicialmente previsto.
03/12/2025: El desarrollo se encuentra en un avance aproximado del 70%. El comando ya crea los casos correctamente. Pendiente implementar lectura de PDF, extracción del correo y los pasos finales del flujo antes de completar el desarrollo. Se trabajará en ello durante el día.
05/12/2025: El desarrollo ya enlaza correctamente la lectura de PDF y la asociación de cada archivo a un caso independiente. Está listo para envío de correos certificados, pero se requiere ajustar el correo destino utilizado en Test y validar el cuerpo del correo para presentación a las 4 p.m. Solo faltan ajustes menores en visualización y pruebas finales del flujo.
10/12/2025: Se corrigieron las validaciones de nombres de archivos encontradas por Fabio. Se creó un nuevo comando para el envío de correos masivos y se logró el envío correcto utilizando la plantilla oficial. El único pendiente es guardar el correo enviado en PDF como adjunto del caso, lo cual será abordado hoy
11/12/2025: Se encuentran pendientes los siguientes ajustes:
1. Ajustar que los casos que presenten error de envío por ausencia de correo en el PDF queden asignados al usuario responsable que realizó el cargue masivo, con el fin de que pueda efectuar el envío manual correspondiente.
2. Ajustar que los casos que generen “devolución mail” queden igualmente asignados al usuario que realizó el cargue masivo, para que pueda gestionarlos manualmente.</t>
  </si>
  <si>
    <t>FABIO</t>
  </si>
  <si>
    <t>GD772-116_4</t>
  </si>
  <si>
    <t>Validación en test de columnas informe medicamentos fase2</t>
  </si>
  <si>
    <t>16/10/2025: Se envian envidencias de los hallazgos  en las pruebas realizadas al informe 
17/10/2025: Se definio subir el informe a producción para vaqlidar su generación con data real.</t>
  </si>
  <si>
    <t>jESUS</t>
  </si>
  <si>
    <t>GD772-177</t>
  </si>
  <si>
    <t>Mejora oficina entidades</t>
  </si>
  <si>
    <t>EN PROCESO</t>
  </si>
  <si>
    <t xml:space="preserve">10/12/2025: El equipo validará nuevamente para estimar tiempos. La actividad está en revisión inicial.
12/12/2025: El desarrollo inició el 11 de diciembre. Aunque la estimación de tiempo aún no estaba completamente definida, podría considerarse un plazo de tres días, con entrega prevista para el martes 16 de diciembre. A la fecha, ya se encuentran creadas las dos opciones de cargue: individual y masivo. 
15/12/2025: Se avanzó al 50 % en el requerimiento, El objetivo es finalizar el desarrollo entre el día siguiente y, como máximo, el miércoles en la mañana, sujeto a pruebas finales.
17/12/2025: Se avanzó significativamente en el requerimiento de juntas, pasando de un 50% a un 70%. El principal cambio consiste en modificar la lógica de radicación individual a radicación masiva, lo que implicó analizar cómo generar múltiples IDs por sesión para cada registro.
Se configuró la carta de notificación y se realizaron varios ajustes adicionales. El requerimiento no se finalizará hoy debido a retrasos por priorización de otras tareas, pero se espera completarlo entre la mañana.
18/12/2025: Hoy se esta validando el envio del correo de radicación Y  migrando los job creados de portales a bolivar para quitarle procesos a ese servidor </t>
  </si>
  <si>
    <t>GD772-116_2</t>
  </si>
  <si>
    <t>Encolar cargue de reporte de entrega efectiva  mayor a 1000 registros ( Medicamentos fase 2 - Sprint 2)</t>
  </si>
  <si>
    <t>Se recibió un archivo con 13.000 registros para actualización masiva. Se identificó riesgo de saturación del sistema si se procesa en línea. Se propuso implementar un proceso en segundo plano con validaciones y notificación por correo al finalizar.</t>
  </si>
  <si>
    <t>27/08/2025: desarrollo listo para  las  pruebas de encolamiento.
28/08/2025: Se está trabajando en la validación de las causas por las cuales no llega el correo de confirmación del cargue y la fecha de entrega no queda registrada después del proceso.
29/08/2025:Se finalizan las pruebas y ajustes en el ambiente de test relacionados con el encolamiento del reporte de no efectivos en la consulta. Se informa al cliente para que proceda con la validación correspondiente.</t>
  </si>
  <si>
    <t>GD772-146_4</t>
  </si>
  <si>
    <t>Eliminar posibilidad en laravel de actualizar correo</t>
  </si>
  <si>
    <t xml:space="preserve">Por favor ingresar dentro de los pendientes esta solicitud,  va relacionada al Jira doble factor de autenticación. 
Eliminar posibilidad de actualizar el campo correo electrónico en  laravel 
Opción perfi / correo electrónico
</t>
  </si>
  <si>
    <t xml:space="preserve">12/12/2025: Opcion de actualización de correo elininada en test y producción </t>
  </si>
  <si>
    <t>MDSB-943252</t>
  </si>
  <si>
    <t>Jiras día a día( El radicado que arroja el portal ARL en la radicación de autorizaciones no se visualiza en nativo.</t>
  </si>
  <si>
    <t>LA PAGINA WEB ESTÁ ARROJANDO UN RADICADO Y LUEGO NO APARECE “
Buenos días
Solicito su colaboración, porque estoy radicando archivos por la pagina web y me arroja un radicado, luego voy a consultar ese radicado para cambiarle la tipología o asignarlo al medico encargado y no aparecen, consulto con la cedula del trabajador y me aparece el caso creado, pero con otro radicado, esto pasa desde la semana pasada, pero apenas hoy noto que es repetitivo y adjunto evidencia de  dos casos en esta mañana.
Cordialmente</t>
  </si>
  <si>
    <t>paso a produccion</t>
  </si>
  <si>
    <t xml:space="preserve">10/12/2025: Se reportó un error intermitente donde el número de radicado generado no coincide con el que queda registrado en Nativo. Se presentaron tres casos recientes. El equipo identificó que el origen probablemente está en un job que se ejecuta desde Portales y podría estar produciendo inconsistencias. Jesús revisará el job para determinar si hay fallas puntuales o si puede estar afectando más usuarios de los que han reportado el problema.
12/12/2025:El 11 de diciembre se crea validación para consultar caso y así no se duplique el numero de radicado, se encuentra en test pero se presenta  error la pagina en portales expirando demasiado rapido con error 419.
15/12/2025: Fabio; Se valida y a un persite el inconveniente en test.
17/12/2025: Se soluciono la conexcion a  la instancia privada de test,  se rpueba pero los casos no replican, se espera ayuda para subir la cola  job_queue_portales en test. 
18/12/2025: Se realiza prueba de radicación en test y radica bien, se debe pasar ajuste a producción  </t>
  </si>
  <si>
    <t>GD772-100</t>
  </si>
  <si>
    <t xml:space="preserve"> Cambio de flujo radicación de facturas EPS</t>
  </si>
  <si>
    <t>Se requiere la modificación del flujo de radicación de facturas EPS, de acuerdo con el archivo anexo</t>
  </si>
  <si>
    <t xml:space="preserve">sin cambios  por parte de Bolivar </t>
  </si>
  <si>
    <t>No se han recibido nuevas indicaciones sobre este requerimiento de partes de Bolivar</t>
  </si>
  <si>
    <t>req fue cancelado  por Bolivar</t>
  </si>
  <si>
    <t>INTERNO-JA001</t>
  </si>
  <si>
    <t>Mejora informe glosa req GD772-104 Campos glosa aceptada y glosa conciliación</t>
  </si>
  <si>
    <t>PENDIENTE</t>
  </si>
  <si>
    <t xml:space="preserve"> el informe presenta limitaciones si existen más de tres Glosas, por lo que se propuso desarrollar un nuevo informe más claro y funcional.</t>
  </si>
  <si>
    <t>El 23 de mayo  avanzó en la construcción del informe de glosas como parte del requerimiento de valores de glosa.</t>
  </si>
  <si>
    <t>No se reportan avances</t>
  </si>
  <si>
    <t>Se encuentra pausado, se prioriza  la validación Informes de reembolso y colas de procesamiento</t>
  </si>
  <si>
    <t>Se trabajó parcialmente el viernes 6 de Junio (avance estimado: 30 %), Faltan datos completos en los queries para continuar el desarrollo</t>
  </si>
  <si>
    <t>Se ha avanzado con un script funcional; el desarrollo está en aproximadamente un 50 %.
Faltan ajustes adicionales en los datos generados</t>
  </si>
  <si>
    <t>Se cometió un error durante el desarrollo, pero se continúa con los ajustes. Se espera mostrar avances en la tarde.</t>
  </si>
  <si>
    <t>Se realizaron pruebas exitosas en producción del nuevo informe, aunque aún no está disponible para descarga, Falta conectar correctamente el enlace que lo activa desde la interfaz del sistema</t>
  </si>
  <si>
    <t>Se ajustó la lógica del informe. Está listo para pasarse a producción entre hoy y mañana.</t>
  </si>
  <si>
    <t xml:space="preserve">Se acordó pasar informe actualizado a producción el martes para no afectar la migración S3 </t>
  </si>
  <si>
    <t>25/06/2025: Aunque el nuevo informe está listo desde el viernes 20 de junio, no se ha pasado aún a producción debido a restricciones técnicas. Se planifica realizar este despliegue durante el día de hoy.</t>
  </si>
  <si>
    <t xml:space="preserve">Se finalizó se pasa hoy a produccion </t>
  </si>
  <si>
    <t>02/07/2025: El informe fue pasado a producción el viernes 27 de Junio. Se ajustó ordenamiento y visibilidad por usuario. Se encuentra completamente operativo.</t>
  </si>
  <si>
    <t>INTERNO-JA002</t>
  </si>
  <si>
    <t>Restablecimiento de contraseña en Laravel</t>
  </si>
  <si>
    <t>Se identificó un conflicto entre correos de usuarios en tablas diferentes, lo que impide el correcto restablecimiento de contraseñas. Se propone sincronizar los datos o generar mensajes de error amigables para el usuario final.</t>
  </si>
  <si>
    <t xml:space="preserve"> Se mencionó que es una tarea rápida: solo validar el correo y generar un mensaje en caso de error. Se iniciara ajuste hoy.</t>
  </si>
  <si>
    <t>El 5 de Junio se realiza ajuste a test;  Se realizan  pruebas y se identifican  2 hallazgos  pendiente su solución ,</t>
  </si>
  <si>
    <t>Se pausa debido a que en el momento no tiene  acceso al entorno de pruebas (test)</t>
  </si>
  <si>
    <t>Se confirmó que no se muestra el mensaje de “usuario no existe” cuando aplica. Para los usuarios nuevos que no pueden iniciar sesión después de restablecer la clave, Fabio realizara pruebas.</t>
  </si>
  <si>
    <t>25/06/2025: Pendiente  realizar pruebas por Fabio</t>
  </si>
  <si>
    <t xml:space="preserve">Se pasa hoy a produccion </t>
  </si>
  <si>
    <t>02/07/2025:  Se realizó el despliegue a producción el día viernes 27 de junio, correspondiente al ajuste que permite actualizar la tabla de usuarios en el aplicativo Laravel al momento de crear un nuevo usuario o restablecer la contraseña.</t>
  </si>
  <si>
    <t>GD772-81</t>
  </si>
  <si>
    <t xml:space="preserve">Calificador automático (1) </t>
  </si>
  <si>
    <t>13/08/2025: El 8 de agosto, el cliente reporta una incidencia en el envío físico. Tras la validación, no se evidencia el error, por lo cual se solicita una sesión para realizar una prueba conjunta y evidenciar la situación. La sesión queda programada para el 14 de agosto a las 10:00 a.m.
27/08/2025: La  sesion del 14 de agosto no se llevo acabo debido a falta de casos   de prueba en el ambiente de test, 
22/10/2025: En reestructuración tablas AFP y EPS por parte de Paola Conde, David Prieto</t>
  </si>
  <si>
    <t xml:space="preserve">El miercoles se paso a TEST parte del requerimiento </t>
  </si>
  <si>
    <t xml:space="preserve">Se entregó a test,  el vienres 2 de mayo </t>
  </si>
  <si>
    <t xml:space="preserve">se realizó pruebas el dia 6 de mayo </t>
  </si>
  <si>
    <t xml:space="preserve">El viernes 16 de mayo Se realizaron mejoras en la parte de envío físico, mostrando información completa (dirección, teléfono, nombre, etc.) cuando el caso es físico.  incluyendo el PDF de salida para nueve tipologías distintas, no solo una. También se configuró el administrador de cartas, permitiendo edición según cada tipología
</t>
  </si>
  <si>
    <t>08/07/2025: El 26 de junio el cliente envió los resultados de las pruebas, en los cuales informa que los soportes de 472 no están quedando adjuntos al caso. La validación de este comportamiento se realizará una vez se finalicen las actividades correspondientes a la fase 2 de Medicamentos.</t>
  </si>
  <si>
    <t>16/07/2025: Se retoma el requerimiento tras avanzar con medicamentos. Se planea dedicarle más tiempo esta semana para cumplir con entrega.</t>
  </si>
  <si>
    <t xml:space="preserve">Iniciaa </t>
  </si>
  <si>
    <t xml:space="preserve">Continua  revisando </t>
  </si>
  <si>
    <t>18/07/2025: El 17 de julio se identificaron diferencias en la forma de almacenamiento de los casos certificados y problemas con un script ausente en el entorno local. Se retomará hoy con foco total en este desarrollo, se buscará ajustar el script faltante con apoyo del Jairo.</t>
  </si>
  <si>
    <t>21/07/2025: Se corrigieron errores en la asignación de usuarios y en el procesamiento de datos. Se ajustó el script para que consulte correctamente el caso padre. Falta implementar el registro de logs para asegurar trazabilidad de acciones como envío de correos o procesos automáticos.</t>
  </si>
  <si>
    <t>ajustando  firma en carta y boton  que muesytre casoas hijo cali</t>
  </si>
  <si>
    <t xml:space="preserve">25/07/2025: El 23 de julio se envia ajuste de los  hallazgos reportados </t>
  </si>
  <si>
    <t>INTERNO-D004</t>
  </si>
  <si>
    <t>Migración S3 y aplicaciones a EBS</t>
  </si>
  <si>
    <t>El 19 de junio inicia la migración activa de archivos y logs a nuevo almacenamiento EBS.  
20/06/2025: Continua continúa con la migración y validación de servicios.</t>
  </si>
  <si>
    <t>25/06/2025: Se realizaron pruebas exitosas de carga de documentos con estructuras similares a producción. Se simularon distintos escenarios y cargas. Se espera aprobación para paso a producción el jueves, sujeto a pruebas de hoy de parte de bolivar. El componente EBS queda postergado por estabilidad.</t>
  </si>
  <si>
    <t>Mejorar el rendimiento del EBS por parte de bolivar</t>
  </si>
  <si>
    <t>23/07/2025:Durante los días anteriores se trabajó en la transferencia de aplicaciones y logs desde las instancias actuales al servicio de almacenamiento EBS y S3, como parte del proceso de migración.</t>
  </si>
  <si>
    <t>25/07/2025: El día miércoles 23 se avanzó en la organización de uno de los temas relacionados con la migración. Específicamente, se trabajó en la copia y transferencia de aplicaciones desde el entorno OPT hacia EBS. Adicionalmente, se realizó la organización del ambiente, actividad necesaria para preparar las condiciones adecuadas que permitan una migración efectiva y sin contratiempos.</t>
  </si>
  <si>
    <t>30/07/2025: Genero reporte de incidencia , esta tarea se da como finalizada  para dar paso a una nueva opcion de almacenamiento hibrido.</t>
  </si>
  <si>
    <t>INTERNO-D005</t>
  </si>
  <si>
    <t xml:space="preserve">Ajustar los portales para ser responsive </t>
  </si>
  <si>
    <t xml:space="preserve">se inicia el lunes con el desarrollo de los compos responsive en los portales. Danilo esta a medios tiempos  combinando con Proteccion </t>
  </si>
  <si>
    <t>Se define  y continuar  despuest de realizar  el req Lectura de nuevos datos de ordenes medicas  con IA</t>
  </si>
  <si>
    <t xml:space="preserve">Continuara pausado dando prioridad al req GD772-109 Lectura de nuevos datos de ordenes medicas  con IA con el fin de dejarlo terinado antes de salir a vacaiones el martes 3 de Junio. </t>
  </si>
  <si>
    <t>GD772-109</t>
  </si>
  <si>
    <t>Lectura de nuevos datos de ordenes medicas  con IA</t>
  </si>
  <si>
    <t>11/08/2025: El viernes 8 de agosto se agregan nuevos registros para entrenamiento. Se prevé entregar esta semana un porcentaje estimado de precisión del modelo.
20/08/2025: El 15 de agosto se agregó nueva información de órdenes médicas para entrenamiento. El modelo ya alcanza más del 70% de efectividad en lecturas. Se prevé que con poca información adicional quede listo para uso.
29/08/2025: Se realizara adicion de registros para entrenamiento durante el fin de semana.
07/11/2025: Proximo a reiniciar ejecucion, Se acordó enfocar el entrenamiento en dos formatos específicos para optimizar tiempo y precisión. El ajuste se realizará tanto en la lógica como en las expresiones regulares (regex) para mejorar la identificación de los formatos. Se estima un tiempo de uno a dos días para completar los ajustes y pruebas.
11/11/2025: Requerimiento Finalizado según instrucción de la gerencia de Imagine</t>
  </si>
  <si>
    <t>Se iniciara tan pronto  finalice el "Reemplazo negocio Proteccion ".</t>
  </si>
  <si>
    <t>Iniciara con la lectura de los nuevos datos.</t>
  </si>
  <si>
    <t>Continua en el desarrollo de la logica de la lectura.</t>
  </si>
  <si>
    <t>El viernes 16 de mayo alcanzo en un 30%  de avance,  Pretende  avanzar significativamente hoy y, si no surgen nuevos inconvenientes, para  finalizar mañana</t>
  </si>
  <si>
    <t>Ha logrado un avance de 70 %, continuara trabajando en paralelo con Paso de documentos de fs a s3.</t>
  </si>
  <si>
    <t xml:space="preserve">Se requiere ajustar el trayecto y la heurística del script de lectura de órdenes médicas, además de continuar el entrenamiento del modelo de imágenes para mejorar el reconocimiento automatizado.
</t>
  </si>
  <si>
    <t>Se completaron avances significativos en el ajuste del dataset y en la implementación de lógica con heurísticas y expresiones regulares. Se logró una efectividad preliminar del 52% sin entrenamiento, lo que demuestra un buen desempeño inicial del modelo. Quedan pendientes ajustes menores para iniciar el entrenamiento formal.</t>
  </si>
  <si>
    <t>Está ajustando el dataset y espera avanzar significativamente en su implementación, e incluso programar el entrenamiento del modelo si es posible, ayer trabajó en organizar la tabla base para el dataset y que la heurística de extracción está entre el 39% y el 50%.</t>
  </si>
  <si>
    <t>El modelo aún no ha sido entrenado. Están pendientes pruebas previas para validar la efectividad antes de programar su entrenamiento</t>
  </si>
  <si>
    <t>Pausado por  Vacaciones de Danilo</t>
  </si>
  <si>
    <t xml:space="preserve">retomara entre hoy y mañana un espacio de 1 a 2 horas para insertar más registros y así permitir que el sistema se entrene diariamente de forma continua.
</t>
  </si>
  <si>
    <t xml:space="preserve">El modelo no ha sido entrenado aún. Se plantea insertar registros progresivamente (1.000 diarios) para alcanzar una base de 5.000, se  revisara hoy </t>
  </si>
  <si>
    <t>20/06/2025: Se pausa para dar prioridad de la migración S3, se planea iniciar entrenamiento durante la proxima semana.</t>
  </si>
  <si>
    <t>27/06/2025: El fin de semana del 28 de junio se entrenara con mas de 800 registros.</t>
  </si>
  <si>
    <t xml:space="preserve">04/07/2025:Se continúa con el entrenamiento del modelo de IA. Se planea insertar aproximadamente 2.000 registros hoy para que el sistema se entrene durante el fin de semana. Debido a las limitaciones del asistente automático, el proceso de carga debe realizarse de forma incremental.
</t>
  </si>
  <si>
    <t>11/07/2025: Se ingresaran mas registros para continuar con el entrenamiento.</t>
  </si>
  <si>
    <t>21/07/2025: Se pretende  iniciar entrenamienro en el ambiente de contingencia (Anbiente generado para probar paso S3)</t>
  </si>
  <si>
    <t>23/07/2025: Se está ajustando el ambiente de contingencia, el cual fue generado para realizar pruebas relacionadas con el paso a S3. Una vez finalicen los ajustes, se dará inicio al proceso de entrenamiento.</t>
  </si>
  <si>
    <t>25/07/2025: Como ya quedó ajustado el tema de la instancia, ahora será necesario agregar registros para poder continuar con el entrenamiento del modelo de órdenes médicas.</t>
  </si>
  <si>
    <t>28/07/2025: El viernes 25 se agregaron registros y se actualizó la librería Selerator para corregir incidencias.</t>
  </si>
  <si>
    <t>01/08/2025: Se planea cargar aproximadamente 10.000 registros esta semana para mejorar la efectividad del sistema.</t>
  </si>
  <si>
    <t>MDSB-944059</t>
  </si>
  <si>
    <t>Jiras día a día( SOLICITUD HABILITAR E INHABILITAR DE 3 TIPOLOGIAS A 3 USUARIOS.</t>
  </si>
  <si>
    <t>:
1. favor habiiltar a JOHN ALEJANDRO MARTÍNEZ _1032366925  y a   GIOVANNY STIVEN NIETO1003530364 en las tipologías Mesa de conciliacion presencial, Mesa de conciliacion Virtual y Traslado de polizas, dejar por favor las mismas actividades con las que cuenta el usuario NATALIA ROCIO CUBIDES_1007155376.
2.  Por favor inhabilitar a LILIA ANDREA VELASQUEZ__1015430797 de las tipologias Mesa de conciliacion presencial, Mesa de conciliacion Virtual y Traslado de polizas, por vacaciones del funcionario.
3.  Solicitamos pro favor nos puedan confirmar qué usuarios se encuentran actualmente activos en las tres tipologías: Mesa de Conciliación Presencial, Mesa de Conciliación Virtual y Traslado de Pólizas</t>
  </si>
  <si>
    <t xml:space="preserve">12/12/2025: Se realizó la habilitación e inhabilitación de usuarios en las tipologías solicitadas. Adicionalmente, se adjunta la relación de usuarios actualmente asignados a dichas tipologías.  user_actividades_desc.csv </t>
  </si>
  <si>
    <t>MDSB-945492</t>
  </si>
  <si>
    <r>
      <rPr>
        <rFont val="Quattrocento Sans"/>
        <color theme="1"/>
      </rPr>
      <t>jiras dia adia (</t>
    </r>
    <r>
      <rPr>
        <rFont val="Quattrocento Sans"/>
        <b/>
        <color theme="1"/>
      </rPr>
      <t xml:space="preserve"> tipología malla de asignación no funciona</t>
    </r>
    <r>
      <rPr>
        <rFont val="Quattrocento Sans"/>
        <color theme="1"/>
      </rPr>
      <t>)</t>
    </r>
  </si>
  <si>
    <t>Nos encontramos escalando un caso a través de imagine para la tipología 10617- Datos Contacto - Riesgo Biológico, esta tipología se encuentra parametrizada en la asignación de tipologías por malla, sin embargo al realizar la radicación del caso se evidencia que no esta asignando de acuerdo a este parámetro , se realizaron pruebas con el número de documento 1147941511 que de acuerdo a la malla se debe asignar al usuario Erika Nathaly Martinez, sin embargo lo asigna a la persona que se encuentra creada en el flujo</t>
  </si>
  <si>
    <t>12/12/2025: Fabio: Se valida y se confirma que el NIT relacionado en el Jira no está incluido en la malla de asignación. Sin embargo, al realizar varias pruebas adicionales con NIT que sí se encuentran configurados en la malla, se evidencia que la asignación no está respetando dicha configuración. Actualmente, todos los casos están siendo asignados únicamente al usuario definido en el flujo, independientemente de la malla de asignación.
15/12/2025: Jesus iniciara validación  de la incidencia reportada.
16/12/2025: Durante el análisis se identificó que, si bien la tipología se encontraba parametrizada en la asignación por malla, esta tenía activa la asignación por flujo, lo cual generaba que el sistema priorizara dicha asignación sobre la asignación por célula, provocando que los casos se direccionaran al flujo “Neli Bonet” y no al usuario definido en la malla</t>
  </si>
  <si>
    <t>GD772-116_3</t>
  </si>
  <si>
    <t>Adicion de columnas informe medicamentos fase2</t>
  </si>
  <si>
    <t xml:space="preserve">Se requiere tener informes de la operación con el que se pueda medir la prestación efectiva de cada proveedor el informe debe seguir la siguiente estructura:
En este primer informe se debe poder visualizar un status actual de la operación y contendrá la siguiente estructura:
</t>
  </si>
  <si>
    <t>29/09/2025: Se Inicia con la adición de Columnas el informe de medicamentos
01/10/2025: “El informe de medicamentos se encuentra prácticamente finalizado; únicamente está pendiente una aclaración con el equipo solicitante respecto a la inclusión de la columna ‘Número de autorización’, con el fin de proceder con su cierre.
08/10/2025: Tras sesion aclaratoria con el ciente el 7 de octubre  se da claridad a las columnas que finalmente  se deben adicionar en el informe.
El infrome es entregado  para iniciar pruebas en test.
20/10/2025:Finalizan las pruebas del informe  y se le informa al cliente para que realice las pruebas y autorice el paso a producción.
12/12/2025: Pendiente confirmación de paso a producción.
16/12/2025: Cliente confirma paso a producción del informe
18/12/2025: Tras solucion de la conexion a la estacia de test, se realizara paso a producción.</t>
  </si>
  <si>
    <t>hotfix/informeInefectivos</t>
  </si>
  <si>
    <t>INTERNO-JA003</t>
  </si>
  <si>
    <t>Validación Informes de cuentas medicas y colas de procesamiento</t>
  </si>
  <si>
    <t xml:space="preserve">Aunque este informe no es problemático en tiempo de generación (menos de un minuto), su ejecución simultánea con otros puede saturar la cola. Se mantiene bajo observación para priorizar según criticidad.
</t>
  </si>
  <si>
    <t>A pesar de intentos de optimización con Python, los tiempos de generación siguen siendo similares No se identificaron mejoras sustanciales hasta ahora; se reconoce que el problema persiste</t>
  </si>
  <si>
    <t>Se encuentra en validacion de opciones de mejora.</t>
  </si>
  <si>
    <t xml:space="preserve">Debe continuar valición de los denas  informes </t>
  </si>
  <si>
    <t xml:space="preserve">Sin avances recientes. Se expusieron avances al jefe (Hernán), pero falta validación funcional.
</t>
  </si>
  <si>
    <t>Se continuará investigando otras alternativas para optimizar el proceso</t>
  </si>
  <si>
    <t>25/06/2025: Se planea optimizar tiempos de carga, actualmente afectados por el incremento de volumen de datos mes a mes.</t>
  </si>
  <si>
    <t xml:space="preserve">Se finalizo la mejora del informe mas pesado, el query y se mejoro descarga de inormes en 10 seg </t>
  </si>
  <si>
    <t>GD772-69_4</t>
  </si>
  <si>
    <t>Hacer contrato api incapacidades</t>
  </si>
  <si>
    <t>INTERNO-JE005</t>
  </si>
  <si>
    <t>Validaciòn CASO 31016845, no pasa  de estado radicaciòn (Incapacidades)</t>
  </si>
  <si>
    <t>10/07/2025: Se  realiza apertura del flujo para  continuar su gestion.</t>
  </si>
  <si>
    <t>GD772-69</t>
  </si>
  <si>
    <t>TEST Extraccion de Imagenes ( API) (Incapacidades firmadas por apache desde el disco EFS)</t>
  </si>
  <si>
    <t>16/09/2025: Desde el 15 de septiembre se encuentra disponible para pruebas el API de incapacidades firmadas por Apache desde el disco Amazon EFS en el ambiente TEST
24/09/2025: Se envio  link con imagenes de incapacidades al cliente.
29/09/2025: Cliente confirma paso a producción y se procede con el  paso.</t>
  </si>
  <si>
    <t>26/06/2025:Se escala jira  MDSB-836893 con la solicitud de creación del DNS en el ambiente de TEST,  Pruebas con el cliente  27 de Junio.</t>
  </si>
  <si>
    <t xml:space="preserve">02/07/2025 : Pendiente desplegar en test para validar permisos de IP y dominio. Se coordinarán pruebas desde cada estación de trabajo.
</t>
  </si>
  <si>
    <t>07/07/2025: Se deben realizar validaciones sobre los tiempos de respuesta, ya que se ha evidenciado que las consultas presentan demoras en el ambiente de test, a diferencia del comportamiento observado en el ambiente DEV.
07/07/2025:  Se optimizó el código y se modificó la forma de consultar y generar el recurso en S3.Anteriormente, el proceso se realizaba a través de un subproceso; ahora se utiliza una función propia de S3, lo que permitió agilizar la consulta en un 85%</t>
  </si>
  <si>
    <t>08/07/2025: Se realiza entrega al cliente para pruebas.</t>
  </si>
  <si>
    <t>14/07/2025: El cliente ha dado el visto bueno para realizar el paso a producción; sin embargo, este se ejecutará únicamente una vez se haya completado el paso correspondiente al S3.
14/07/2025: se realiza solicitud de creaciòn del DNS en produccion  MDSB-846727</t>
  </si>
  <si>
    <t>15/07/2025: Confirman creacion del subdominio solicitado en MDSB-846727</t>
  </si>
  <si>
    <t>16/07/2025:Se realizara hoy a las 3pm el paso a producción, pero sin habilitar consumo hasta que S3 esté listo en produccion.</t>
  </si>
  <si>
    <t>18/07/2025: Pendiente paso a produccion por falta de comunicación DNS, se escala jitar MDSB-848376 reportando incidencia. Se planea revisar hoy luego de finalizar pruebas del S3.</t>
  </si>
  <si>
    <t>22/07/2025: El 22 de julio dan respuest al  jira  MDSB-848376 indicando que el ajuste fue aplicado y ya  permite usar el DNS.</t>
  </si>
  <si>
    <t>GD772-69_2</t>
  </si>
  <si>
    <t>DEV Extraccion de Imagenes ( API) (Incapacidades)</t>
  </si>
  <si>
    <t>Se pausa  para trabajara en  Sistematización con IA (Segunda vista de incapacidades en portal)</t>
  </si>
  <si>
    <t>Contunuara con el desarrollo del metodo de incapacidades despues de culminar Sistematización con IA (Segunda vista de incapacidades en portal), se  estimada de entrega 9 de junio</t>
  </si>
  <si>
    <t>Se iniciará hoy con el desarrollo del primer método del modelo de incapacidades, debido a que el 6 de junio dedico el dia al Sistematización con IA (Segunda vista de incapacidades en portal)</t>
  </si>
  <si>
    <t xml:space="preserve">Ya  se encuentran los metodos de incapacidades y medicamentos, Hoy desarrollará el servicio y completará la URL pública para pruebas desde Postman u otros medios.
</t>
  </si>
  <si>
    <t>El 12 de junio finalizó la lógica de firma y reestructuración del código. El API está lista, solo falta habilitar el endpoint para completar las pruebas</t>
  </si>
  <si>
    <t xml:space="preserve"> El metodo de incapacidades ya está listo  en ambiente de desarrollo (DEV). Se creó un servicio provisional mientras se habilita la URL oficial para pruebas.</t>
  </si>
  <si>
    <t xml:space="preserve">El dominio ya está creado en DEV, pero la base de datos de imágenes no está funcionando correctamente, se acordó garantizar pruebas en DEV antes de migrar a TEST. Se cargarán imágenes de prueba.
</t>
  </si>
  <si>
    <t>Danilo escala jira MDSB-833779 a infraestructura  debido a que se  tiene acceso interno al dominio, pero externamente  se recibe un error.</t>
  </si>
  <si>
    <t xml:space="preserve">25/06/2025:Actualmente solo funciona la URL secundaria (opcional) en DEV La URL principal sigue pendiente por tema de permisos. El gira MDSB-833779 aún no ha sido atendido, bloqueando la validación completa.
</t>
  </si>
  <si>
    <t>26/06/2025: Jira  MDSB-833779 fuen resulto con exito, se tiene funcionalidad en ambiente de dev, se escala jira    Pruebas con el cliente  27 de Junio.</t>
  </si>
  <si>
    <t>27/06/2025:Fue cancelada la sesion de  Pruebas por el cliente.</t>
  </si>
  <si>
    <t xml:space="preserve"> MDSB-707440/GD772-74_1</t>
  </si>
  <si>
    <t>Generación de plantillas de cartas (glosa total, glosa parcial, devolución) Para Reembolsos ARL</t>
  </si>
  <si>
    <t>07/07/2025 : Inicia con la generación de plantillas de cartas de respuesta (glosa total, glosa parcial, devolución), Con estas cartas finaliza el desarrolle del Portal reembolsos ARL (FLUJO YII)</t>
  </si>
  <si>
    <t>09/07/2025: Retomara desarrollo tras finalizar el Levantamiento nueva máquina virtual.</t>
  </si>
  <si>
    <t>11/07/2025:  Las Plantillas ya estan listas, con inserciones preparadas, se realizara despliegue a test para  realizar  pruebas .</t>
  </si>
  <si>
    <t xml:space="preserve">14/07/2025: Se Realizan pruebas, pero fallaron, se estima entregar hoy antes de mediodía. </t>
  </si>
  <si>
    <t>GD772-136</t>
  </si>
  <si>
    <t>Cruce automatico Autorizado Vs Cobrado</t>
  </si>
  <si>
    <t>Descripción
Se requiere realizar el cruce automatico de lo autorizado, ya sea cargado de forma manual o por API con el lago vs lo cobrado en las facturas por el proveedor.
Una vez realizada esta comparacion, los registro en los que el valor cobrado, sea igual o menor al valor autorizado, se deben  asignar al usuario definido para pago masivo,  Asi mismo debe permitir seleccionar todos o algunos casos, para realizar la notificacion y el cierre de caso masivo.
Los caso cuyo valor cobrado es mayor al valor autorizado, deben pasar segun las reglas de asignación a los diferentes perfiles, en caso de que exista tarifa pactada, el usuario debe poder visualizar la tarifa pactada, autorizada y cobrada para su evaluacion.</t>
  </si>
  <si>
    <r>
      <rPr>
        <rFont val="Quattrocento Sans"/>
        <color theme="1"/>
        <sz val="10.0"/>
      </rPr>
      <t xml:space="preserve">10/09/2025: Revisión preliminar realizada.
22/10/2025: Se solicita control de cambios en test MDSB-915793
28/10/2025: Control de cambios ejecutado con éxito 
21/11/2025. Se escala control de cambios a test MDSB-934083 para la creación de  la tabla cm_actualizacion_facturas_sisalud y modificación de las tablas cm_pagos_masivos_generados y ctas_proveedores
Control de cambios MDSB-934083 ejecutado.
26/11/2025: Se avanzó en la implementación del cruce y la construcción de las bandejas de resultado. Falta validar el comportamiento del cruce asociado a proveedores y  solicitar la creación  de la tabla en producción. Continúan ajustes menores previos a las pruebas finales.
27/11/2025: Se escala control de cambios en producción MDSB-937531
01/12/2025: Control de cambios aun se encuentra pendiente por QA del cliente
03/12/2025: Control de cambios programado hoy  para aprobación por comité.
04/12/2025:  Control de cambios ejecutado con exito el 3 de diciembre.
10/12/2025: A un esta pendientes de pruebas para realizar paso a produncción.
12/12/2025: Se encuentra pendiente la ejecución del paso a producción y la realización de las pruebas en caliente una vez se despliegue el ajuste.
15/12/2025: El desarrollo principal ya se encuentra en producción, incluyendo la tabla y el código. Sin embargo, el proceso aún no se ha ejecutado de forma completa, ya que el cruce consulta facturas antiguas una a una contra el API. Se acordó no ejecutarlo aún y, por recomendación funcional, </t>
    </r>
    <r>
      <rPr>
        <rFont val="Quattrocento Sans"/>
        <b/>
        <color theme="1"/>
        <sz val="10.0"/>
      </rPr>
      <t>crear bandejas adicionales</t>
    </r>
    <r>
      <rPr>
        <rFont val="Quattrocento Sans"/>
        <color theme="1"/>
        <sz val="10.0"/>
      </rPr>
      <t xml:space="preserve"> para gestionar los casos no cruzados o glosados, antes de activar el proceso masivo.
17/12/2025: Se avanzó en la construcción de bandejas de gestión necesarias cuando el cruce en producción presenta fallos. Dichas bandejas están casi finalizadas e incluyen la lógica para gestión manual de casos (por ejemplo, cambios de estado en Salud).</t>
    </r>
  </si>
  <si>
    <t>MDSB-915793  / MDSB-934083</t>
  </si>
  <si>
    <t>MDSB-937531</t>
  </si>
  <si>
    <t>GD772-136_1</t>
  </si>
  <si>
    <r>
      <rPr>
        <rFont val="Quattrocento Sans"/>
        <b/>
        <color theme="1"/>
      </rPr>
      <t>Documentación tecnica.</t>
    </r>
    <r>
      <rPr>
        <rFont val="Quattrocento Sans"/>
        <color theme="1"/>
      </rPr>
      <t xml:space="preserve"> Reporte glosas para la Superfinanciera (Cruce automatico Autorizado Vs Cobrado)</t>
    </r>
  </si>
  <si>
    <t>18/12/2025: Jairo engtrega documentación en .md. se realizara  ajuste de formato y estilos</t>
  </si>
  <si>
    <t>INTERNO-JA005</t>
  </si>
  <si>
    <t xml:space="preserve">Mejoras informe  total  producto Salud </t>
  </si>
  <si>
    <t>07/07/2025 : Se estima iniciar con la validacion de este informe tan pronto finalice la Generación de plantillas de cartas (glosa total, glosa parcial, devolución) Para Reembolsos ARL</t>
  </si>
  <si>
    <t>09/07/2025: Iniciara mejoras  tras finalizar la  Generación de plantillas de cartas (glosa total, glosa parcial, devolución) Para Reembolsos ARL</t>
  </si>
  <si>
    <t>16/07/2025: Se inicio  el 15 de julio con la mejora del informe con revisión del query para optimización. Actualmente en un 5% de avance.</t>
  </si>
  <si>
    <t>18/07/2025: Se aplicaron mejoras al query del informe y se inició la validación de rendimiento respecto a la versión anterior. Se estima un 80% de avance manteniendo los mismos modelos usados en informes anteriores, con ajustes en operaciones específicas.</t>
  </si>
  <si>
    <t>21/07/2025: El viernes 18 de julio se realizaron pruebas sobre el informe para validar que los datos coincidieran entre ambos lados. Aunque inicialmente se evidenció una diferencia en la cantidad de registros, se confirmó que los datos eran correctos. Se avanzó en el ajuste para que solo se muestre el valor de la factura y la cédula en la primera línea, como requiere la estructura del informe, posiblemente por una macro de validación en Excel. Actualmente se continúan realizando correcciones para que el formato final sea consistente.</t>
  </si>
  <si>
    <t>23/07/2025: Se realiza paso a produccion el 21 de julio de los ajustes del informe total de salud.</t>
  </si>
  <si>
    <t>INTERNO-JA006</t>
  </si>
  <si>
    <t xml:space="preserve">Mejoras informes  por radicado producto Salud </t>
  </si>
  <si>
    <t>02/07/2025: Se avanzó en un 70% con el desarrollo del informe por radicado específico para el área de Salud. Se separó la lógica del informe de los casos ARL y EPS para facilitar su mantenimiento, y se optimizó la consulta SQL mejorando el rendimiento. Actualmente se están realizando pruebas de validación con datos reales, y se espera replicar mejoras de tiempo similares a las obtenidas en el informe de ARL. Pendiente validación final en ambiente de producción.</t>
  </si>
  <si>
    <t>04/07/2025.Se avanzó con pruebas en producción del informe. El query ya está construido y se están realizando validaciones con datos reales.</t>
  </si>
  <si>
    <t>07/07/2025: El nuevo informe por radicado fue desplegado a producción el 4 de julio, reduciendo el tiempo de ejecución de 40 a 2 minutos.</t>
  </si>
  <si>
    <t>GD772-60</t>
  </si>
  <si>
    <t>Descarga automatica de informes</t>
  </si>
  <si>
    <t>MDSB-833556</t>
  </si>
  <si>
    <t>MDSB-837144</t>
  </si>
  <si>
    <t>Se requiere mplementar la descarga automática diaria de informes relacionados con Salud, ARL, EPS y Vida, incluyendo inconsistencias, desde el 1 de enero del año vigente hasta la fecha actual, y generarlos por radicado para tres usuarios específicos.</t>
  </si>
  <si>
    <t>Se estima tiempo  inicial de desarrollo: 1.5 días</t>
  </si>
  <si>
    <t>Se debe crear una tabla que relacione informes con usuarios destino, para replicar informes automáticamente a múltiples usuarios, a un no se confirma fecha de inicio del desarrollo.</t>
  </si>
  <si>
    <t>El 11 de junio inicia en la creación de una tabla que permita asignar informes automáticos a múltiples usuarios. Falta desarrollar el panel administrativo y completar los ajustes en la estructura de CMS. hoy se estimae se solicitara control de cambios en test</t>
  </si>
  <si>
    <t>Pendiente envio del  script para realizar solicitud de control de  cambios para test.</t>
  </si>
  <si>
    <t>19 de junio se escala control de cambios MDSB-833556 para test, se ejecuta con exito y se pasa a test e iniciar pruebas por el cliente. A la espera de aprobación de negocio para paso a producción</t>
  </si>
  <si>
    <t>25/06/2025:El informe está listo en test, pero pendiente de aprobación por parte del negocio para proceder con el control de cambios para paso a produccion</t>
  </si>
  <si>
    <t>26/06/2025: Se recibe aprobacion para  paso a producción, se escala control de  cambios MDSB-837144</t>
  </si>
  <si>
    <t>27/06/2025:Pendiente aprobación de control de cambios de parte del cliente.</t>
  </si>
  <si>
    <t>02/07/2025: El 1 de julio se realizaron todas las aprobaciones pendientes. Actualmente, el cambio se encuentra en proceso de validación por parte del líder de Cambios Digitales, y se estima que sea incluido en el Comité de Cambios Digitales programado para el día de hoy.
02/07/2025: Control de cambios aprobado, se ejecutara 3 de Julio 4pm.</t>
  </si>
  <si>
    <t>03/07/2025:Se Realiza paso a producciòn con exito, La funcionalidad de copia automática de informes quedó establecida correctamente corrigiendo un error de totales en Glosas.</t>
  </si>
  <si>
    <t>INTERNO-D006</t>
  </si>
  <si>
    <t>Monitoreo de carga y alertas del servidor</t>
  </si>
  <si>
    <t xml:space="preserve">  11/06/2025: El 10 de junio se implementó lógica para enviar correos cuando el load average y el uso del procesador superan umbrales definidos.
Se toman snapshots para detectar procesos que generan cuellos de botella.
 Continúan ajustes y pruebas en esta funcionalidad.
13/06/2025: el 11 de junio 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</si>
  <si>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Se implementó lógica para enviar correos cuando el load average y el uso del procesador superan umbrales definidos.
Se toman snapshots para detectar procesos que generan cuellos de botella.
Continúan ajustes y pruebas en esta funcionalidad.</t>
  </si>
  <si>
    <t>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</si>
  <si>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27/06/2025:Sigue pendiente confirgura el envio de correo  de la notificación de caida del servidor.</t>
  </si>
  <si>
    <t>CNTI-271</t>
  </si>
  <si>
    <t>Vulnerabilidad, CVE-2016-4055 – DoS por expresiones regulares ineficientes en Moment.js (&lt; v2.11.2)</t>
  </si>
  <si>
    <t>Vulnerabilidad que permite ataques de denegación de servicio mediante uso excesivo de CPU al procesar duraciones con expresiones regulares mal optimizadas.</t>
  </si>
  <si>
    <t>Se actualizó a la versión 2.29.4 para corregir la vulnerabilidad, se deben realizar  pruebas en test para comprobar funcionamiento.</t>
  </si>
  <si>
    <t>Queda disponible  el 13 de Junio para  pruebas por Imagine en ambientes de test</t>
  </si>
  <si>
    <t xml:space="preserve">El 19 de junio Fabio  realiza pruebas en ambiente de test, no se evidenció un comportamiento anómalo ante entradas no válidas, se considera viable proceder con la implementación en ambiente de producción. Se propone  despliegue a produccion  hasta completar migración S3, para evitar confusión en trazabilidad de errores. </t>
  </si>
  <si>
    <t>24/06/2025: Se realiza  implementación de la correccion de la vulnerabilidad en produccion.</t>
  </si>
  <si>
    <t>GD772-69_1</t>
  </si>
  <si>
    <t>Error de acceso en test con TLS y certificados ( Api incapacidades)</t>
  </si>
  <si>
    <t>02/07/2025: Se prioriza identificar si el fallo es por cifrado propio o por certificados del proveedor
02/07/2025: No fue posible solucionar el error, entonces se agregó el comentario al ticket MDSB-837736 solicitando añadir imaginex-test-documentos.segurosbolivar.com a Alternate Domain Names (CNAMEs) del CloudFront.</t>
  </si>
  <si>
    <t>04/07/2025:El problema de acceso en el ambiente de pruebas fue resuelto el 2 de julio; el API ya se encuentra funcional con el DNS y TLS configurados. Actualmente se identifican problemas de lentitud en las consultas, posiblemente por la firma o consulta de imágenes. Se recomienda evaluar el rendimiento para optimizar el tiempo de respuesta.</t>
  </si>
  <si>
    <t>CNTI-195</t>
  </si>
  <si>
    <t>Vulnerabilidad, Implementación insegura de la integridad de los recursos secundarios (SRI) / imaginex</t>
  </si>
  <si>
    <t>No usar SRI permite que recursos externos como scripts o estilos sean manipulados sin ser detectados, exponiendo al sitio a posibles ataques si el servidor externo es comprometido</t>
  </si>
  <si>
    <t>Inicio ayerSe inició el trabajo sobre la vulnerabilidad el 17 de Junio.</t>
  </si>
  <si>
    <t>Se trabaja en una vulnerabilidad compleja relacionada con scripts ya, se requiere intervención manual en múltiples páginas.</t>
  </si>
  <si>
    <t>25/06/2025: Se avanza al 15% en la mitigación de esta vulnerabilidad.</t>
  </si>
  <si>
    <t xml:space="preserve">27/06/2025:Continua en desarrollo </t>
  </si>
  <si>
    <t>02/07/2025: No se reportan avances, se planea continuar hoy  despues de solucionar  el "Error de acceso en test con TLS y certificados ( Api incapacidades)"</t>
  </si>
  <si>
    <t>04/07/2025:El avance de la remediación de la vulnerabilidad llega al 70%. Se trabajó con dedicación el día anterior y se proyecta su cierre completo en el transcurso del día si se mantiene el ritmo.</t>
  </si>
  <si>
    <t>07/07/2025 : Se avanzó un 10% en la revisión y atención de la vulnerabilidad,  Se planea continuar hoy con la solución.</t>
  </si>
  <si>
    <t>09/07/2025: Se avanzó en la implementación   en todas las aplicaciones requeridas (nativo, autorizaciones, portales, portal de incapacidades) pero  no se pudo desplegar en ambiente TES por errores de carga de estilos. Se sospecha que puede deberse a conflictos con el recaptcha o pasos omitidos, contunuara  la validaciòn.</t>
  </si>
  <si>
    <t>09/07/2025: El SRI fue implementado y desplegado en ambiente test, con dificultades superadas el 9 de julio.</t>
  </si>
  <si>
    <t>14/07/2025: Se requieren pruebas generales para validar su correcto funcionamiento en todas las aplicaciones involucradas</t>
  </si>
  <si>
    <t>15/07/2025: Se realizara el paso a producción el día 16 de Julio a las 5pm</t>
  </si>
  <si>
    <t xml:space="preserve">despliegue hoy </t>
  </si>
  <si>
    <t>18/07/2025: El 16 de julio se completó el despliegue de SRI a producciòn.</t>
  </si>
  <si>
    <t>GD772-69_3</t>
  </si>
  <si>
    <t>Documentacion APi incapacidades (Seguridad)</t>
  </si>
  <si>
    <t>27/07/2025: entrega doucmentación de seguridad</t>
  </si>
  <si>
    <t>CNTI-96</t>
  </si>
  <si>
    <t>Vulnerabilidad,La política de seguridad de los contenidos contiene la directiva “unsafe” / imaginex</t>
  </si>
  <si>
    <t xml:space="preserve">Una configuración débil de la Política de Seguridad de Contenido (CSP) permite ejecutar scripts en línea o evaluar código dinámico, lo que incrementa el riesgo de ataques XSS.
</t>
  </si>
  <si>
    <t xml:space="preserve">Actualmente se trabaja en la vulnerabilidad relacionada con la política de seguridad de contenido (CSP) y el uso de unsafe-inline, necesario para integraciones con Google reCAPTCHA y Clarity, se plantea justificar su permanencia y demostrar que el nivel de seguridad general sigue siendo aceptable (B+ cercano a A).
</t>
  </si>
  <si>
    <t>Se resolvió la vulnerabilidad relacionada con la política de seguridad de contenidos (CSP), aunque su implementación en producción está limitada por la versión de Apache (actualmente en 2.4.57, mientras que se requiere mínimo 2.4.58).</t>
  </si>
  <si>
    <t xml:space="preserve">27/06/2025: Se pasa a produccion en primera semana de Julio despues del paso a produccion del  S3. </t>
  </si>
  <si>
    <t>07/07/2025 : iniciara preparaciòn para  paso a produccion ya  que la solución implica la actualización del servicio Apache, es necesario realizar un respaldo completo de los archivos de configuración, virtual hosts y demás elementos asociados, con el fin de prevenir cualquier incidente y permitir una restauración rápida en caso de ser necesario.</t>
  </si>
  <si>
    <t xml:space="preserve">08/07/2025: Se debe validar con el cliente, ya que la implementación en producción generará una indisponibilidad aproximada de 30 minutos en el servicio.
</t>
  </si>
  <si>
    <t>11/07/2025: Está pendiente una ventana de mantenimiento para desplegar los cambios en producción, ya que requiere actualización del servicio Apache y afecta servicios críticos. Se sugirió solicitar la ventana para el martes 15 o jueves 17</t>
  </si>
  <si>
    <t>14/07/2025: Se prevé realizar la actualización del servidor Apache para permitir configuraciones de seguridad modernas, pero aún está pendiente confirmación de ventana de mantenimiento para el 15 de julio 10 pm.</t>
  </si>
  <si>
    <t>16/07/2025: El paso a producción se pospone para la semana del 21 de julio, debido a que se debe evaluar una alternativa para mitigar la vulnerabilidad identificada. Actualizar Apache implicaría también la actualización del sistema operativo, por lo cual se analizarán otras opciones antes de proceder.</t>
  </si>
  <si>
    <t>30/07/2025:Se realizó la mitigación de la vulnerabilidad prioritaria sin necesidad de actualizar Apache, mediante la implementación de encabezados de seguridad. La solución fue probada exitosamente en ambiente de pruebas y se realiza paso a produccion 30 de julio en la mañana sin afectación al servicio.</t>
  </si>
  <si>
    <t>WILSON</t>
  </si>
  <si>
    <t>INTERNO-W001</t>
  </si>
  <si>
    <t>Sistema automatizado de clasificación de correos médicos con IA</t>
  </si>
  <si>
    <t xml:space="preserve">1. Integración sistemas médicos 
2. Aprendizaje automático 
3. Más categorías 
**Implementación:**
• Despliegue paso a paso 
• Monitoreo constante 
• Validación periódica 
**Mejoras por realizar:**
• Integrar estándares médicos 
• Diccionarios especializados 
• Validación cruzada términos 
**Mantenimiento:**
• Updates periódicos 
• Reentrenamiento programado 
• Control de métricas 
**CONCLUSIÓN**
Sistema robusto y eficiente para clasificación automática de correos médicos. Resultados perfectos en pruebas iniciales. Combina múltiples modelos de IA con procesamiento especializado médico.
**LOGROS CLAVE**
•	100% precisión
•	Validación perfecta
•	Procesamiento rápido
•	Especializado en medición
</t>
  </si>
  <si>
    <t>16/06/2025: Se detecto un problema en los análisis, se trabajo en una posible solución para ello, y es overfitting, que no es otra cosa que corregir estimaciones posiblemente equivocadas. Corregido por medio de scripts de testing y aquí el reporte de los resultados
18/06/2025: Se encuentra  realizando  cambios en mejoras de diccionario de datos y modelos enfocados a conceptos médicos en español.
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02/07/2025: 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
09/07/2025:Se encuentra modificando el servicio para realizar la implenetaciòn.
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
27/08/2025: Requerimiento finalizado agosto 26.</t>
  </si>
  <si>
    <t xml:space="preserve"> Se detecto un problema en los análisis, se trabajo en una posible solución para ello, y es overfitting, que no es otra cosa que corregir estimaciones posiblemente equivocadas. Corregido por medio de scripts de testing y aquí el reporte de los resultados </t>
  </si>
  <si>
    <t>Se encuentra  realizando  cambios en mejoras de diccionario de datos y modelos enfocados a conceptos médicos en español</t>
  </si>
  <si>
    <t xml:space="preserve">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t>
  </si>
  <si>
    <t>02/07/2025:El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t>
  </si>
  <si>
    <t>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t>
  </si>
  <si>
    <t>GD772-114</t>
  </si>
  <si>
    <t>ADICIONAR INFORMACIÓN DE TENGO DUDAS DE MIS REEMBOLSOS AL INFORME CONSOLIDADO</t>
  </si>
  <si>
    <t xml:space="preserve">24/06/2025: Se inicia ajuste
25/06/2025: Se realiza paso a producción </t>
  </si>
  <si>
    <t>Requerimiento asignado 17 de junio, en cola de trabajo.</t>
  </si>
  <si>
    <t>20/06/2025:Validara requerimiento y estimara tiempo de  desarrollo.</t>
  </si>
  <si>
    <t>25/06/2025:Este informe ya fue desplegado exitosamente a producción el 24 de junio. Fue integrado a la pestaña Digitación y se unificó el manejo de dudas y pendientes por digitar, mejorando la centralización de datos.</t>
  </si>
  <si>
    <t>INTERNO-F3</t>
  </si>
  <si>
    <t>Crear cuenta en GitHub con correo corporativo</t>
  </si>
  <si>
    <t>19/08/2025: Se crea cuenta " PruebasImagine"</t>
  </si>
  <si>
    <t>Se propuso integrarlo al GitHub de la organización Imaging SAS para que pueda crear issues directamente relacionados con los desarrollos</t>
  </si>
  <si>
    <t>CDC-T, req GD772-60 Descarga automatica de informes</t>
  </si>
  <si>
    <t>!9 de junio Se escala control de cambios en test para alterar una tabla y se crea otra.
Control de cambios ejecutado correctamente.</t>
  </si>
  <si>
    <t>CNTI-271_1</t>
  </si>
  <si>
    <t>Pruebas,Vulnerabilidad, CVE-2016-4055 – DoS por expresiones regulares ineficientes en Moment.js (&lt; v2.11.2)</t>
  </si>
  <si>
    <t>19/06/2025: El 19 de junio se realizan pruebas en ambiente de test, no se evidenció un comportamiento anómalo ante entradas no válidas, se considera viable proceder con la implementación en ambiente de producción.</t>
  </si>
  <si>
    <t>INTERNO-F001</t>
  </si>
  <si>
    <t>Desarrollo de informe interactivo de requerimientos</t>
  </si>
  <si>
    <t>Se requiere que el informe interactivo implementado para el seguimiento de requerimientos de Imagine, actualmente publicado en un repositorio personal de GitHub, sea migrado y publicado en el repositorio oficial de Imaginesas, garantizando su disponibilidad y gestión centralizada.</t>
  </si>
  <si>
    <t>03/10/2025: Hoy se realizó una sesión con Jhon, Jennifer y Jenry, en la cual se presentó el proceso para actualizar el informe en el repositorio de Imaginesas. Como primer paso, se iniciara con la actualización del código del informe para que la información se muestre de la misma forma en que actualmente se publica.
03/10/2025: El reporte queda actualizado y publicado desde el repositorio de Imaginesas.</t>
  </si>
  <si>
    <t>20/06/2025: Se esta trabajando en la actualizacion de req en el informe y en la  adicion del campo "Detalle de req"</t>
  </si>
  <si>
    <t>25/06/2025: Ya se encuentra el campo detalle req, se esta trabajando en la forma de alimentar este campo y el ingreso del historico de las observaciones de  cada req.</t>
  </si>
  <si>
    <t xml:space="preserve">01/07/2025: Se realiza actualización de estado de Req  y  cambio de Nombres de las  Unidades </t>
  </si>
  <si>
    <t>09/07/2025: Se está actualizando el informe con los detalles de los requerimientos y la trazabilidad de la gestión realizada. Adicionalmente, se ha venido desarrollando un módulo que permitirá a cualquier usuario con acceso al informe ingresar observaciones relacionadas con el contenido o el avance de los requerimientos.</t>
  </si>
  <si>
    <t>INTERNO-F008</t>
  </si>
  <si>
    <t>Inclusion de campos (fecha de compromiso con el cliente y nivel de dificultad del requerimiento)  informe interactivo de requerimientos</t>
  </si>
  <si>
    <t xml:space="preserve">Fabio muchas gracias por el informe y por tener la información actualizada, para Bolívar debemos incluir los jiras de la reunión del día hoy con ARL.
Tengo algunas observaciones de mejora para el informe,  incluir fecha de compromiso con el cliente, nivel de dificultad del requerimiento en el encabezado de cada descripción de requerimiento. 
El acceso está super fácil y llega correctamente el código de acceso.
</t>
  </si>
  <si>
    <t>INTERNO-F002</t>
  </si>
  <si>
    <t>Pruebas listas blancas para factor de doble autenticación</t>
  </si>
  <si>
    <t>24/06/2025: Se realizan pruebas al ingresar a un usuario en listas blancas y se deja activo  al ingresar a laravel y Yii no solicita codigo de autenticación, se identifica que Nativo no esta solicitando codigo de autenticación a ningun usuario se escala a Jesus para su ajuste.
24/06/2025: Jesus entrega ajuste, se realiza validación y se confirma funcionalidad y se le informa al cliente.</t>
  </si>
  <si>
    <t>INTERNO-F003</t>
  </si>
  <si>
    <t>Solicitud accesos ambiente Dev y Test (Jenry)</t>
  </si>
  <si>
    <t>24/06/2025: Se  escalan los siguientes  solicitud de accesos Dev = MDSB-835240   test= MDSB-835246
25/06/2025: Se asignan permisos solicitados y se confirma acceso a dev y test correctamente.</t>
  </si>
  <si>
    <t xml:space="preserve">MDSB-835580 </t>
  </si>
  <si>
    <t>Jira dia a dia  ajustar actividades caso  31012936 incapacidades</t>
  </si>
  <si>
    <t>25/06/2025: Se presento un error en la asignación de la actividad del caso, se corrige  asignandolo a la a ctividada correcta  "Analista de Liquidación".</t>
  </si>
  <si>
    <t>INTERNO-JE006</t>
  </si>
  <si>
    <t>Apertura de flujo  de 4 casos de Preautorizaciones poliza salud - delegacion analistas creados con una sola actividad</t>
  </si>
  <si>
    <t xml:space="preserve">25/06/2025: Flujos aperturados correctamente </t>
  </si>
  <si>
    <t>INTERNO-F004</t>
  </si>
  <si>
    <t>Pruebas Sistematización con IA (Segunda vista de incapacidades en portal)</t>
  </si>
  <si>
    <t>https://imaginex-arlbolivar.segurosbolivar.com/incapacidad/radicar</t>
  </si>
  <si>
    <t>CDC-P, req GD772-60 Descarga automatica de informes</t>
  </si>
  <si>
    <t>26/06/2025: Se escala control de cambios para  produccion, Pendiente  que el cliente   pase el req GD772-60 a estado PAP para continuar con el proceso.</t>
  </si>
  <si>
    <t>01/07/2025: Control de cambios avanza al siguiente  estado (Validación), se estima  sea incluido en el comite de cambios digitales  el 2 de Julio.</t>
  </si>
  <si>
    <t>03/07/2025: Control de cambios ejecutado con exito.</t>
  </si>
  <si>
    <t>MDSB-838905</t>
  </si>
  <si>
    <t xml:space="preserve">Jiras dia dia Inhabilitar 3 tipologias a 3 usuarios </t>
  </si>
  <si>
    <t>03/07/2025: se realiza inactivaciòn de  los  usuarios en las  tiplogias (1031) Traslado de Polizas,(10493)Mesa de Conciliacion Presencial y (10494)Mesa de conciliación Virtual</t>
  </si>
  <si>
    <t>MDSB-842592</t>
  </si>
  <si>
    <t>jira dia a dia, Cambiar planilla de ingresos en oficina virtual ARL</t>
  </si>
  <si>
    <t xml:space="preserve">07/07/2025 : Se realiza cambio de planilla </t>
  </si>
  <si>
    <t>MDSB-835432</t>
  </si>
  <si>
    <t>Jira dia a dia Error en cargue de anexos de casos</t>
  </si>
  <si>
    <t>07/07/2025: El viernes 4 de julio se implementó solución para prevenir la visualización incorrecta de archivos cargados simultáneamente por usuarios. Falta realizar pruebas en test para validar y solicitar paso a producción.
07/07/2025: La causa del comportamiento fue la ausencia de control para manejar cargas concurrentes. Como solución, el equipo de desarrollo implementó un ajuste en el sistema que permite que, en adelante, los documentos se guarden uno a uno y en el orden en que se reciben, evitando así cualquier sobrescritura o cruce de archivos entre casos.</t>
  </si>
  <si>
    <t>INTERNO-JA007</t>
  </si>
  <si>
    <t>Levantamiento nueva máquina virtual,</t>
  </si>
  <si>
    <t>09/07/2025:Ayer 8 de Julio se inició el levantamiento de una nueva máquina virtual para dar continuidad a los desarrollos, debido a fallas presentadas en los discos de la máquina física (RAID dañada), lo que obligó a migrar el entorno.
Actualmente, la nueva máquina virtual se encuentra casi lista, lo que permitirá retomar próximamente los desarrollos pendientes.</t>
  </si>
  <si>
    <t xml:space="preserve">11/07/2025: Fue completado el levantamiento de la máquina virtual necesaria para continuar el desarrollo. Se configuró con una base de datos y entorno de trabajo básico. Esto desbloquea tareas de desarrollo local.
</t>
  </si>
  <si>
    <t>INTERNO-JA008</t>
  </si>
  <si>
    <t>Devolver a Seguimiento para firmeza el radicado 30949303</t>
  </si>
  <si>
    <t>09/07/2025: Se le elimino la linea de cierre caso y se dejó en seguimiento firmeza.</t>
  </si>
  <si>
    <t>INTERNO-JA009</t>
  </si>
  <si>
    <t>Corregir CC a los  casos 31010548 - 31010549 en pensiones</t>
  </si>
  <si>
    <t>09/07/2025: El 8  de junio se realiza correciòn de la CC en los casos solicitados.</t>
  </si>
  <si>
    <t>INTERNO-JA004_1</t>
  </si>
  <si>
    <t>Mejoras de Performance y Validaciones</t>
  </si>
  <si>
    <t>18/11/2025: El viernes 14 de noviembre se realizaron mejoras de performance y validaciones, incluyendo la optimización de consultas y la depuración de datos. Entre los ajustes implementados se encuentran la eliminación de validaciones redundantes en resumenValidacionesGlobal, la mejora del resumen de procesamiento con conteos de validación, la validación de inconsistencias de ciudad en el procesamiento de facturas y la exclusión de registros con estado “10” en las consultas de distribución</t>
  </si>
  <si>
    <t>INTERNO-JA004_2</t>
  </si>
  <si>
    <t>Ajustes en Confirmación de Entrega de Lote</t>
  </si>
  <si>
    <t>Finalizar los ajustes pendientes en el sistema de confirmación de lotes procesados</t>
  </si>
  <si>
    <t>18/11/2025: Hoy se continuará con los ajustes del sistema de confirmación de entrega de lote, enfocando las actividades en completar las validaciones adicionales del proceso entregar_lote, mejorar la interfaz de confirmación y ejecutar las pruebas de integración end-to-end para validar el flujo completo, manteniendo el avance estimado en un 80%.
24/11/2025: Se continua con las pruebas para la entrega del lote. Se ajustó lógica de ciudades y probabilidades. Actualmente entregando lote tanto a almacenamiento como a auditoría; pruebas en curso.
26/11/2025: Los ajustes funcionales ya fueron aplicados y verificados. Falta ejecutar el ciclo completo de pruebas para validar el comportamiento en todos los escenarios del flujo</t>
  </si>
  <si>
    <t>GD772-159_2</t>
  </si>
  <si>
    <r>
      <rPr>
        <rFont val="Quattrocento Sans"/>
        <b/>
        <color theme="1"/>
      </rPr>
      <t>Ajuste en descargar volúmenes grandes</t>
    </r>
    <r>
      <rPr>
        <rFont val="Quattrocento Sans"/>
        <color theme="1"/>
      </rPr>
      <t xml:space="preserve"> (Valores de factura vs valores pendientes (validaciones del masivo) Gasto medico)</t>
    </r>
  </si>
  <si>
    <t>Se identificaron problemas en la lógica cuando los usuarios intentan descargar volúmenes grandes (más de 500 registros). Aunque se aplicó un ajuste rápido para permitir continuidad en pruebas, el componente aún falla en cargas altas. Se revisará la lógica para corregir errores en descargas masivas y depurar la validación de autorizaciones y estados</t>
  </si>
  <si>
    <t>10/12/2025: Se identificaron problemas en la lógica cuando los usuarios intentan descargar volúmenes grandes (más de 500 registros). Aunque se aplicó un ajuste rápido para permitir continuidad en pruebas, el componente aún falla en cargas altas. Se revisará la lógica para corregir errores en descargas masivas y depurar la validación de autorizaciones y estados
12/12/2025: El 11 de diciembre  se trabajó en el ajuste del tiempo de respuesta al momento de descargar el RPA, incrementándolo ligeramente para garantizar la correcta generación y disponibilidad del archivo.</t>
  </si>
  <si>
    <t>GD772-116_1</t>
  </si>
  <si>
    <t>Pruebas  gestión Medicamentos fase 2 - Sprint 2</t>
  </si>
  <si>
    <t>11/07/2025: Se inician pruebas del modulo de consulta en oficina virtual</t>
  </si>
  <si>
    <t>16/07/2025:Se evidencian mejoras orientadas a la experiencia de usuario. Se ha probado la marcación efectiva en la consulta del portal. Aún se encuentra pendiente la validación del módulo de gestión y la prueba de las cartas de respuesta</t>
  </si>
  <si>
    <t>18/07/2025: Se finalizan las pruebas y los ajustes por parte de Jesús sobre los hallazgos identificados.</t>
  </si>
  <si>
    <t>INTERNO-D007</t>
  </si>
  <si>
    <t>Validaciòn del CRONTAB / Tareas duplicadas</t>
  </si>
  <si>
    <t>14/07/2025: Se tomarán medidas de mitigación: inhabilitar el servicio CRONTAB, eliminar archivos de configuración y evitar reinicios automáticos que reactiven el proceso.</t>
  </si>
  <si>
    <t>16/07/2025. El incidente de duplicidad en tareas por CRONTAB se resolvió, era causado por una instancia duplicada.</t>
  </si>
  <si>
    <t>INTERNO-D008</t>
  </si>
  <si>
    <t>Vlidaciòn de herramientas IA (Google Cloud / Bolivar)</t>
  </si>
  <si>
    <t>03/09/2025: La revisión aún no ha sido iniciada. Se requiere programación de espacio de tiempo para ejecutar esta validación.
 07/11/2025: No se continúa utilizando herramientas alternas, el requerimiento se da por  cancelado.</t>
  </si>
  <si>
    <t>Se propuso investigar si es posible aprovechar herramientas de IA ofrecidas por Google, dado el contrato que Bolívar mantiene con ellos. Danilo asumirá esta tarea, con posible apoyo de Wilson para identificar contacto y canal apropiado.</t>
  </si>
  <si>
    <t>21/07/2025:Se Inicio validaciòn  de las herrramientas leer documentaciòn...</t>
  </si>
  <si>
    <t>23/07/2025: Se exploraron herramientas de Google con el fin de evaluar su integración en los flujos actuales. Si bien se identificó que podrían ser útiles para la gestión de procesos, aún no se ha logrado una funcionalidad concreta. Se requiere dedicar más tiempo a pruebas detalladas para validar su viabilidad.</t>
  </si>
  <si>
    <t>GD772-119</t>
  </si>
  <si>
    <t>Hablador ficha de solicitudes médicas</t>
  </si>
  <si>
    <t>Se requiere implementar un hablador en la ficha de solicitudes médicas</t>
  </si>
  <si>
    <t>21/07/2025:Se realiza implementación del hablador solicitado, A la espera del visto bueno del cliente para la implementación en produccion.</t>
  </si>
  <si>
    <t>21/07/2025: El día de ayer se realizó el paso a producción del hablador en el módulo de Solicitudes Médicas, cumpliendo con los ajustes planificados.</t>
  </si>
  <si>
    <t>GD772-120</t>
  </si>
  <si>
    <t>Bloqueo de facturas radicadas con información sensible y de manejo confidencialº</t>
  </si>
  <si>
    <t xml:space="preserve"> Se implementó una restricción inicial para que ciertas facturas solo sean visibles por usuarios autorizados; se requiere un módulo administrativo para gestionar esta configuración.
30/07/2025: Se tiene previsto iniciar el desarrollo el día de hoy
01/08/2025: Se encuentra en desarrollo un administrador para gestionar el bloqueo de facturas. Se ha implementado la lógica, pero falta probar la interfaz administrable. El avance fue estimado en un 60%
04/08/2025:Se escaló el control de cambios MDSB-858377 al ambiente de pruebas (test) y fue ejecutado correctamente. A continuación, se procederá con las pruebas en dicho entorno.
06/08/2025: Desarrollo en el ambiente de pruebas desde 4 de agosto.
11/08/2025: Pendiente implementación de otro control para asignar permisos solo a usuarios autorizados; se espera completarlo para pasar a pruebas en TEST.
12/08/2025: Se escala a test el control de cambios MDSB-862990, el cual se encontraba pendiente. Control de cambios ejecutado con exito.
13/08/2025: Se realizó un cambio en el bloqueo de facturas y se tiene pendiente subir un ajuste de código adicional antes de enviarlo a pruebas
20/08/2025: Se encuentra en fase de pruebas. Se ajustó la validación para permitir el ingreso de múltiples usuarios asociados a una factura. Se evalúa la mejor forma de almacenar esta relación (tabla relacional o arreglo).
22/08/2025: Pendiente modificación de query para permitir múltiples usuarios por factura (actualmente solo admite uno).
25/08/2025: Se identificó la necesidad de crear una tabla de relación muchos-a-uno para habilitar acceso de múltiples usuarios a una factura. El avance depende de la radicación de un ticket en JIRA.
27/08/2025: Pendiente solicitud de control  de cambios a test.
01/09/2025: Queda pendiente formalizar el Jira de control de cambios en test (Cambio Faltante).
01/09/2025: Se escala control de cambios MDSB-874296 para crear una nueva tabla llamada cm_factura_confidencial_usuario., Confirman que el control de cambios fue ejecutado correctamente.
05/09/2025: Se escala control de cambios MDSB-878302 en test para la creacion de la tabla ctas_medicas.cm_factura_confidencial_usuario.
08/09/2025: Se escala control MDSB-879140 reemplazando el MDSB-878302 ya que presento error en el script. 
12/09/2025: El desarrollo ya se encuentra desplegado en ambiente de pruebas (test) y está listo para realizar las validaciones correspondientes. Se requiere coordinar las pruebas con el equipo funcional para poder solicitar el control de cambios y pasarlo a producción.
18/09/2025: Se escala control de cambios a producción MDSB-893288
25/09/2025: El control de cambios aún se encuentra pendiente de aprobación por parte del QA del cliente.
01/10/2025: El Jira MDSB-893288 control de cambios  (radicado el 18 de septiembre) continúa pendiente de aprobación por parte de Ricardo Roa QA. Dado que la autorización es un requisito para avanzar
21/10/2025: Control de cambios completa aprobaciones y pasara a  validaciòn de comite de cambios digitales. 
22/10/2025: Control de cambios aplicado correctamente.
23/10/2025: Paso a producción  con exito.</t>
  </si>
  <si>
    <r>
      <rPr>
        <rFont val="Quattrocento Sans"/>
        <color theme="1"/>
        <sz val="10.0"/>
      </rPr>
      <t xml:space="preserve">MDSB-858377 / MDSB-862990/ MDSB-874296/ </t>
    </r>
    <r>
      <rPr>
        <rFont val="Quattrocento Sans"/>
        <color rgb="FFFF0000"/>
        <sz val="10.0"/>
      </rPr>
      <t xml:space="preserve">MDSB-878302 / </t>
    </r>
    <r>
      <rPr>
        <rFont val="Quattrocento Sans"/>
        <color theme="1"/>
        <sz val="10.0"/>
      </rPr>
      <t>MDSB-879140</t>
    </r>
  </si>
  <si>
    <t>MDSB-893288</t>
  </si>
  <si>
    <t xml:space="preserve">Iniciara hoy </t>
  </si>
  <si>
    <t>GD772-120_1</t>
  </si>
  <si>
    <t>Documentación técnica GD772-120 (Bloqueo de facturas radicadas con información sensible y de manejo confidencial)</t>
  </si>
  <si>
    <t>17/09/2025: Ducumentación tecnica entregada por Jairo
18/11/2025: Se ajusta documentación en el formato indicado y se adiciona al directorio designado,</t>
  </si>
  <si>
    <t>INTERNO-JA021</t>
  </si>
  <si>
    <t>Documento tecnico GD772-120 Bloqueo de facturas radicadas con información sensible y de manejo confidencial</t>
  </si>
  <si>
    <t>18/09/2025: Documento tecnico del desarrollo fue entregado el 17 de septiembre a pruebas.</t>
  </si>
  <si>
    <t>GD772-117</t>
  </si>
  <si>
    <t>Reporte glosas para la Superfinanciera (migración a lago de datos de los 2 informes de glosas (arl y salud)</t>
  </si>
  <si>
    <t>Entrega al cliente: 4/11/2025
Solicitamos disponer del reporte de glosa en el ambiente que pueda ser migrado al lago de datos de Seguros Bolívar, por cuanto es una de las fuentes principales para el reporte que se debe  transmitir cada mes a la Superfinanciera. Es importante que debe de traer todo el histórico de transacciones realizadas en Imagine.</t>
  </si>
  <si>
    <t>29/10/2025: Se escala control de cambios MDSB-920698 a test.
30/10/2025: Control de cambios ejecutado pendiente validación de desarrollo la creacion  de las tablas solicitdas
31/10/2025: El informe total de ARL fue mejorado para evitar duplicidad de valores; solo resta ajustar la lógica de repetición en los campos numéricos.
Los otros cuatro informes (RIPS, Glosas, Detallado L y Detallado Salud) ya cuentan con SQL listos y sin complejidad técnica.
Pendiente: Crear las tablas faltantes (una de ellas para el informe de detalle) y subir todos los informes a ambiente de test.
31/10/2025: Se escala nuevo control de cambios en test MDSB-921949 para la creación de las tablas informe_detallado_arl  y  informe_detallado_salud
04/11/2025: Control de cambios  ejecutado con exito.
05/10/2025: Se confirmó que el 4 de noviembre quedaron  todos los informes del Lago de Datos (Glosas, Detallado ARL, Detallado Salud y RIPS) ya se encuentran desplegados en ambiente de test 
Se entrega informe de Glosas para sus pruebas. 
Pendiente preparar y cuadrar el control de cambios para paso a producción, sujeto a aprobación del cliente.
19/11/2025 : Se escala control de cambios a producción MDSB-932138 y MDSB-932173.
24/11/2025: Los controles fueron aprobados por comite y ejecutados en la tarde como resultado exitoso para el  MDSB-932173 y se presento error en el script  del control MDSB-932138  para lo cual se debera escalar un nuevo control.
25/11/2025: Se escala nuevo control de cambios  MDSB-935841
01/12/2025: Control de cambios pendiente por aprobación de QA cliente.
03/12/2025: Control de cambios ejecutado con exito el 01 de diciembre
04/12/2025:  Control de cambios ejecutado con exito el 3 de diciembre.
05/12/2025: El requerimiento fue pasado a producción pero presenta un problema puntual con una fecha mal formateada en la data. Se corregirá un ajuste menor en el código. El resto del módulo asociado a largos de datos ya se encuentra en funcionamiento.
12/12/2025: El 8 de diciembre se ejecutaron y se corrigieron los errores presentados.</t>
  </si>
  <si>
    <t>MDSB-920698 / MDSB-921949</t>
  </si>
  <si>
    <r>
      <rPr>
        <rFont val="Quattrocento Sans"/>
        <color rgb="FFFF0000"/>
        <sz val="10.0"/>
      </rPr>
      <t>MDSB-932138</t>
    </r>
    <r>
      <rPr>
        <rFont val="Quattrocento Sans"/>
        <color theme="1"/>
        <sz val="10.0"/>
      </rPr>
      <t xml:space="preserve"> y MDSB-932173, MDSB-935841</t>
    </r>
  </si>
  <si>
    <t>GD772-117_1</t>
  </si>
  <si>
    <r>
      <rPr>
        <rFont val="Quattrocento Sans"/>
        <b/>
        <color theme="1"/>
      </rPr>
      <t>Documentación tecnica.</t>
    </r>
    <r>
      <rPr>
        <rFont val="Quattrocento Sans"/>
        <color theme="1"/>
      </rPr>
      <t xml:space="preserve"> Reporte glosas para la Superfinanciera (migración a lago de datos de los 2 informes de glosas (arl y salud)</t>
    </r>
  </si>
  <si>
    <t xml:space="preserve">12/12/2025: Se solicita docuemntación a Jairo
</t>
  </si>
  <si>
    <t>faLSE</t>
  </si>
  <si>
    <t>INTERNO-D009</t>
  </si>
  <si>
    <t xml:space="preserve">Script para uso de aplicaciones </t>
  </si>
  <si>
    <t xml:space="preserve">Se reallizar un script para analizar el uso de las aplicaciones por sitio.
21/07/2025: Se revisar el contexto del script y confirmar con Alejandro si ya está implementado correctamente en proteccion.
30/07/2025: Script implementado  en produccion el 24 de julio </t>
  </si>
  <si>
    <t>Se reallizar un script para analizar el uso de las aplicaciones por sitio.
21/07/2025: Se revisar el contexto del script y confirmar con Alejandro si ya está implementado correctamente en proteccion.</t>
  </si>
  <si>
    <t xml:space="preserve">30/07/2025: Script implementado  en produccion el 24 de julio </t>
  </si>
  <si>
    <t>INTERNO-D010</t>
  </si>
  <si>
    <t>Carga excesiva en servidor de portales</t>
  </si>
  <si>
    <t>23/07/2025: Se ha detectado una saturación de recursos en el servidor durante la ejecución de procesos masivos, particularmente durante el cargue de incapacidades. Este es un problema de comportamiento intermitente, asociado al procesamiento en tiempo real que realiza la aplicación. Actualmente, se está evaluando la posibilidad de enviar estos procesos a colas asíncronas como alternativa para reducir el impacto en los recursos del sistema. Sin embargo, esta solución podría afectar negativamente la experiencia del usuario final al introducir demoras perceptibles. Como medida prioritaria, se recomienda solicitar una ampliación de los recursos de infraestructura (memoria RAM y CPU), lo cual se considera la solución más adecuada para mantener la eficiencia del sistema sin comprometer la experiencia del usuario.
30/07/2025: El alto consumo de recursos en el portal ya fue analizado y explicado. No se requiere intervención adicional, por lo que este punto se considera cerrado.</t>
  </si>
  <si>
    <t>28/07/2025: Se analizará la justificación para ampliar recursos del servidor (actualmente con 3 GB RAM y 2 CPU) con el fin de mitigar alertamientos por alta carga.</t>
  </si>
  <si>
    <t>INTERNO-JA011</t>
  </si>
  <si>
    <t>Mejoras informe EPS</t>
  </si>
  <si>
    <t>23/07/2025: Se inició la validación del query asociado al informe EPS, con el objetivo de optimizar las consultas SQL involucradas. Esta optimización busca reducir el consumo de recursos y mejorar los tiempos de respuesta, manteniendo al mismo tiempo una estructura común y reutilizable para todos los informes. Como parte del plan de trabajo, se espera que el informe EPS esté ajustado y en producción antes del viernes.
25/07/2025: Se completó el query principal del informe EPS y se encuentra en fase de pruebas, con un avance estimado del 50%.
28/07/2025: Query principal terminado, se espera subirlo a producción para pruebas con datos reales hoy  antes del mediodía.
30/09/2025: El informe fue desplegado en producción con formato de prueba. Se corrigieron errores detectados durante la validación (especialmente en el formato de horas). Actualmente se encuentra en fase final de pruebas para habilitar completamente su funcionamiento.</t>
  </si>
  <si>
    <t>Se paso a produccion 29 de julio</t>
  </si>
  <si>
    <t>INTERNO-JE008</t>
  </si>
  <si>
    <t>Inconsistencia en cargue de proveedores Yii</t>
  </si>
  <si>
    <t>Al cargar un archivo que contiene varias filas con la misma cédula de ciudadanía (CC), solo se conserva o registra la última fila, y las anteriores se pierden del sistema.
25/07/2025:El día 24 de julio se realizaron los ajustes correspondientes a las validaciones, quedando el proceso de cargue completamente funcional en test</t>
  </si>
  <si>
    <t>MDSB-851497</t>
  </si>
  <si>
    <t>Jiras dia dia  Validar tipologia  Gestion Tercero Sin Poliza" no Genera informe por tipologia.</t>
  </si>
  <si>
    <t>25/07/2025: El 23 de julio se realizó la validación correspondiente y se identificó que el módulo no muestra información disponible para descarga, debido a que la tipología "Gestión Tercero Sin Póliza" no incluye en su flujo la actividad de generación de respuesta. Esta actividad es una condición necesaria para que una tipología sea considerada dentro del informe de tipologías</t>
  </si>
  <si>
    <t>INTERNO-JE024</t>
  </si>
  <si>
    <t>Documento tecnico GD772-116 Requerimiento gestión Medicamentos fase 2 - Sprint 2</t>
  </si>
  <si>
    <t>INTERNO-JE010</t>
  </si>
  <si>
    <t xml:space="preserve">Ajuste cargue masivo de marcacion  efectiva </t>
  </si>
  <si>
    <t>25/07/2025: Se identificó que el proceso de cargue masivo de marcación efectiva no estaba tomando la línea 2 del archivo. Ante esta situación, se realizaron las modificaciones necesarias y, tras los ajustes, el cargue quedó funcional.</t>
  </si>
  <si>
    <t>INTERNO-JE011</t>
  </si>
  <si>
    <t xml:space="preserve">Queries de informacion gestion tipologia </t>
  </si>
  <si>
    <t>25/07/2025: Se generaron los queries solicitados para cinco datos claves y están listos para ser revisados en conjunto con el equipo.
28/07/2025:La información requerida fue generada en su totalidad el día viernes 25 de julio.</t>
  </si>
  <si>
    <t xml:space="preserve">finalizado </t>
  </si>
  <si>
    <t>INTERNO-F005</t>
  </si>
  <si>
    <t>Creacion manual medicamentos fase 2 sprint 2</t>
  </si>
  <si>
    <t xml:space="preserve">25/07/2025: Se culminó la elaboración del manual de usuario, el cual será entregado junto con el requerimiento el día 28 de julio, se envia a Jenry y Liyibet para su validaciòn </t>
  </si>
  <si>
    <t>INTERNO-D011</t>
  </si>
  <si>
    <t>Trasferencia de imagenes pendientes del S3  al FS</t>
  </si>
  <si>
    <t>28/07/2025: Se identificaron imágenes pendientes en S3 que no estaban en el FS; se realizó validación y transferencia para corregir la sincronización.</t>
  </si>
  <si>
    <t>INTERNO-JA012</t>
  </si>
  <si>
    <t>Gestión de imágenes en módulo Cartera</t>
  </si>
  <si>
    <t>28/07/2025: Se identificó que al mover archivos a la carpeta de fecha no se completaba el proceso; se implementó un script para validar y restaurar imágenes,</t>
  </si>
  <si>
    <t>INTERNO-JA013</t>
  </si>
  <si>
    <t>Gestión de imagenes buzón ARL</t>
  </si>
  <si>
    <t>28/07/2025: El dia viernes 25 de julio  a Danilo le escalaron  un error donde casos radicados el 25 no cargaron imágenes ni se registraron en base de datos; se revisaron logs sin hallar causa, Jairo  iniciara validaciòn  para la implementaciòn del script implementado en las imagenes del modulo de cartera.
30/07/2025: Las imágenes fueron adjuntadas manualmente por el cliente, por lo tanto, se da por cerrada la incidencia reportada</t>
  </si>
  <si>
    <t>INTERNO-D012</t>
  </si>
  <si>
    <t xml:space="preserve"> Plan de trabajo IA – Radicación Express</t>
  </si>
  <si>
    <t xml:space="preserve">28/07/2025: Pendiente reunión con Jairo y Liyibet para definir plan de trabajo, tema prioritario que requiere asignación clara de tareas y etapas.
30/07/2025: Plan ya redactado y revisado por Jenry y Jairo. Solo falta envío formal.
</t>
  </si>
  <si>
    <t>Pendienten socialzar con Jenry  para enviar correo</t>
  </si>
  <si>
    <t>MDSB-849170</t>
  </si>
  <si>
    <t xml:space="preserve">Modalidades de trabajo – error en cargue
</t>
  </si>
  <si>
    <t>Usuaria indica que al momento de realizar el cargue masivo de trabajadores en el portal de arl le presenta un error cuando carga el documento de Excel
29/07/2025: Después de realizar varias validaciones, se identificó que el error que impedía el cargue del archivo correspondía a que el sistema estaba considerando el campo "Teléfono" como obligatorio. Como medida correctiva, se eliminó dicha obligatoriedad, y con ello el cargue del archivo ya puede realizarse correctamente.</t>
  </si>
  <si>
    <t>MDSB-844641</t>
  </si>
  <si>
    <t>Jiras dia a dia (Eliminar funcionarios inactivos - Informe Efectividad)</t>
  </si>
  <si>
    <t>De la manera más atenta agradezco su apoyo con la eliminación de los funcionarios relacionados a continuación en el informe de efectividad, estos usuarios ya fueron inactivados y se eliminaron del área, sin embargo sigue evidenciándose.
29/07/2025: Se realizó la corrección en la consulta del informe, ya que anteriormente no discriminaba si el usuario se encontraba activo o desactivado.Para solucionar esto, se adicionó la condición que permite identificar a los usuarios desactivados, asegurando así la correcta generación del informe.</t>
  </si>
  <si>
    <t>MDSB-849734</t>
  </si>
  <si>
    <t>Jiras dia a dia (Caso 38709479 sigue en la badeja del usuario despues de gestionado)</t>
  </si>
  <si>
    <t>29/07/2025: Se realizó la validación correspondiente y se identificó que el caso se visualizaba en la bandeja de pendientes debido a la existencia de actividades pendientes. Dado que la gestión del caso ya había finalizado, se procedió con el cierre de dichas actividades, permitiendo así que el caso fuera retirado de la bandeja</t>
  </si>
  <si>
    <t>MDSB-853919</t>
  </si>
  <si>
    <t>Jiras dia a dia (Reaperturar caso 39308376)</t>
  </si>
  <si>
    <t>29/07/2025: De acuerdo a  la  solicitud  se abre actividad Gestiona Caso para el  caso 39308376</t>
  </si>
  <si>
    <t>INTERNO-JE012</t>
  </si>
  <si>
    <t>Creación de Script para Anulación de Casos Asociados a un Cargue Masivo</t>
  </si>
  <si>
    <t>Se requiere desarrollar un script que permita anular automáticamente todos los casos individuales creados a partir de un proceso de cargue masivo, en los escenarios en que dicho cargue masivo sea anulado por el usuario o administrador.
30/07/2025: Se tiene previsto iniciar el desarrollo el día de hoy, Jenry indica que se deben elinimar los casos de la bd  y no dejarlos  ocupando espacio.
04/08/2025:El viernes 1 de agosto se finalizó el query que elimina correctamente el caso y su imagen para los casos nuevos de masivos. Actualmente, se está construyendo el script que permitirá realizar un borrado controlado de las imágenes asociadas a casos antiguos en estado 'Anulado'..
06/08/2025: Se desarrolló comando para eliminar 300.000 casos anulados uno a uno. El proceso está en ejecución y ha eliminado más de 100.000 registros en el ambiente producctivo.
11/08/2025: Anulacion de casos completa en produccion, se iniciara  paso a  produccion de la  funcionalidad.
12/08/2025: Se realiza el paso a producción y se ejecutan pruebas, las cuales arrojan resultados exitosos</t>
  </si>
  <si>
    <t xml:space="preserve">se realizo el viernes </t>
  </si>
  <si>
    <t>INTERNO-D013</t>
  </si>
  <si>
    <t>Caso radicado desde el portal sin registros (archivo faltante reportado por Leidy)</t>
  </si>
  <si>
    <t>30/07/2025: Ayer se identificó un caso radicado sin registros asociados. Se presume que pudo haberse presentado una falla durante el guardado de archivos por problemas de horario. El análisis quedó pendiente para continuar hoy, validando si los archivos fueron cargados y asociarlos manualmente si corresponde.</t>
  </si>
  <si>
    <t>MDSB-853188</t>
  </si>
  <si>
    <t>Jiras dia a dia ( Se Cambian los archivos adjuntos al caso 39349883 y 39345375</t>
  </si>
  <si>
    <t>30/07/2025: se evidenció que, durante el cargue de anexos, el sistema recibió de manera simultánea dos archivos asociados a casos diferentes, lo que provocó un conflicto de escritura en la carpeta correspondiente al día. E. la opción que permite adjuntar documentos en el momento de radicar el caso. Como medida correctiva, se implementó un ajuste en el sistema para que, en adelante, los documentos se guarden uno por uno y en el orden exacto en que se reciben, evitando así cualquier sobrescritura o cruce de archivos entre casos.</t>
  </si>
  <si>
    <t>INTERNO-D014</t>
  </si>
  <si>
    <t>Repositorio y comunicación por host virtual (Actualizaciòn nativo)</t>
  </si>
  <si>
    <t>30/07/2025: Se tiene un avance del 80% en la configuración del repositorio de despliegue y del esquema de publicación mediante host virtual. Faltan ajustes finales de redirección y certificados para habilitar la publicación formal
01/08/2025: Ayer  31 de julio se dejó funcionando una nueva aplicación en un contenedor Docker con una versión de PHP distinta a la del servidor principal. Este entorno está destinado a pruebas del nuevo desarrollo liderado por Jesús. Se presentaron errores de conexión por falta del archivo .env, que deben solucionarse antes de avanzar.
06/08/2025:Se identificó pérdida de permisos al reconstruir el contenedor. Se analizó la causa y se tiene claridad en la solución. Se continuará con su ajuste en el transcurso del día, Alfinalizar  el dia confirma finalizacion del ambiente y funcional.</t>
  </si>
  <si>
    <t>INTERNO-D015</t>
  </si>
  <si>
    <t>Modelo híbrido De almacenamiento de archivos (FS + S3)</t>
  </si>
  <si>
    <t>30/07/2025: Se está explorando un modelo híbrido de almacenamiento entre FS y S3. FS almacenaría temporalmente, S3 como histórico (&gt;30 días).
01/08/2025: El tema aún no ha sido abordado ni discutido con Bolívar. Se está a la espera de su decisión respecto a la implementación de días hábiles y detalles del modelo.
04/08/2025:  Se dejó en pausa para atender el requerimiento del informe de reembolsos.
  07/11/2025: Se definió no continuar con la implementación, se da por cancelado  por la gerencia.</t>
  </si>
  <si>
    <t>INTERNO-JA004</t>
  </si>
  <si>
    <t xml:space="preserve">Automatización cuentas medicas </t>
  </si>
  <si>
    <t>La gerencia de Imagine solicita la implementación de un proceso de automatización para las cuentas médicas, con el fin de optimizar la gestión, reducir tiempos operativos y minimizar errores manuales.</t>
  </si>
  <si>
    <t>26/09/2025: Ya se tiene parte lógica para iniciar desarrollo en PHP. Se prevé reactivar requerimeinto la próxima semana una vez finalicen pendientes de proveedores.
10/10/2025: Implementado flujo de radicación hacia tablas mediante RIPS, con validaciones preliminares.
27/10/2025: El desarrollo presenta un avance estimado del 60%. Se completaron las validaciones principales utilizando datos de producción en modo borrador. Está pendiente definir el orden de ejecución de los procesos (cambio de ciudad previo a homologación) y realizar la entrega parcial durante la semana.
05/11/2025:  Se iniciara   primer avance funcional de automatización despues de finalizar  req GD772-172 Ajustes de reembolsos ARL
10/11/2025: Actividad prioritaria del día, con objetivo de entregar una presentación funcional para el 12 de Noviembre
11/11/2025: Se realiza presentación del avance de la automatización.
13/11/2025: Continuara con ajustes en la automatización.
14/11/2025: Hoy continuara  con los ajustes automatización cuentas medicas.
18/11/2025: Se reporta un avance del 95% en el Sistema de Automatización de Facturas. Las funcionalidades implementadas incluyen: validación mejorada de autorizaciones, incorporación de lógica para evitar reprocesos por usuario, normalización de ciudades con comparación flexible, procesamiento para facturas inferiores a $100,000 con selección aleatoria, mejoras en el dashboard (dropdown optimizado), botón de confirmación con su lógica implementada, manejo de campos soportes y total_pagar, y limpieza de mensajes de workflow para eliminar caracteres no deseados. El sistema se encuentra próximo a finalizar.
Se realizará la validación completa del sistema de automatización implementado, abarcando la verificación integral de los flujos de procesamiento, reglas de validación y procesos de confirmación.
19/11/2025: Ayer 18 de noviembre Se realizaron ajustes en el procesamiento de facturas BR, incluyendo corrección de lógica, adición del campo producto y depuración de variables.
Se optimizó el proceso de autorización mediante un nuevo flag de control y mejoras en las validaciones.
Se fortaleció el feedback al usuario con validaciones más claras y corrección de mensajes.
Finalmente, se aplicaron optimizaciones generales al código, eliminando redundancias y simplificando el workflow.
26/11/2025: La automatización está lista para la presentación del día de hoy. Se detectó que las facturas de gran tamaño generan retrasos, por lo que se requiere ajustar la homologación de RIPs para mejorar rendimiento. Se planean nuevas pruebas después de la presentación.
26/11/2025: Se implementación de limpieza de caracteres no numéricos en los números de identificación (cédulas) para estandarizar su uso en claves, alertas y datos de usuario .
Mejora en el registro de errores (logging) para capturar excepciones completas y facilitar la depuración.
27/11/2025:  Primeras pruebas en caliente, validando casos y llevando a algunas correcciones:
Nueva validación para detectar facturas donde el pago total calculado no coincide con el total reportado en BIRC.
Inclusión de campos de IVA en las consultas BIRC y validación de facturas que contienen valores de IVA.
Optimización del código para evitar decodificaciones JSON redundantes, agregando validaciones de tipo array previas.
Mejora en el flujo de procesamiento de facturas: separación de facturas con errores generales en una categoría de "no procesadas", para que no se envien a guardar aquellas que retornaron con error
01/11/2025:Se procesaron más de 2.000 facturas durante las pruebas de jueves 27 y viernes 28 de noviembre. Se identificaron incidencias en la comparación de valores, las cuales ya fueron corregidas. Se continúa monitoreando y ajustando según se presente alguna necesidad.
03/12/2025: Se continúa con la validación y corrección de incidencias tras el paso a producción. Se agregaron nuevas validaciones y se implementó un log para detectar errores adicionales.
05/12/2025: Se encontró que el procedimiento guardaba un número incorrecto para el consecutivo de detalle. Se corrigió el error y se ajustaron manualmente algunos registros en Sisalud. El proceso ya está operando en producción y ha procesado cerca de 5.000 facturas de forma correcta. Se considera estable.
10/12/2025: Se realizaron actualizaciones para manejar variaciones en el origen de datos (archivos o registros con formatos inesperados). Se añadieron excepciones para evitar que estos casos afecten el proceso de automatización. Se mantienen ajustes incrementales según los patrones que continúen apareciendo.
12/12/2025: El 10 de diciembre se avanzó en las mejoras específicas para NIT con particularidades en el envío de RIPS, iniciando con el NIT 900047874 (Grupo Afin). Se implementó la lógica ciudad_afin, incluyendo cálculo, validación condicional, persistencia y limpieza del número de autorización; se desarrollaron funciones para el parseo de archivos XML y extracción de ítems de línea; se incorporó el procesamiento particular de ítems de factura tipo FLETE como “otros servicios”; y se realizaron ajustes en la agrupación de ítems, corrigiendo variables y optimizando el cálculo de cantidades y valores totales
El 11 de diciembre se realizó el refinamiento del código relacionado con la agrupación de ítems, incluyendo la conversión de cantidad_total a tipo float y la eliminación de actualizaciones redundantes en los totales por grupo. Adicionalmente, se mejoró el manejo de errores mediante la incorporación de la categoría ‘system.web’ en los mensajes registrados con Yii::log, con el fin de fortalecer la trazabilidad y facilitar las actividades de diagnóstico y depuración.
Lo informado ya se encuentra en producción y podríamos considerarlo al 100%; sin embargo, diariamente se identifican casos de mejora orientados a incrementar el volumen de aceptados. Por esta razón, dejamos el avance en un 99%, dado que se continuará trabajando en optimizaciones adicionales.</t>
  </si>
  <si>
    <t>Se está buscando una alternativa para mostrar avances en automatización</t>
  </si>
  <si>
    <t>Se han tenido avances en la lógica de radicación, continuará trabajando para lograr un avance significativo y contar con algo funcional que pueda ser mostrado.</t>
  </si>
  <si>
    <t xml:space="preserve">Se trabaja en pruebas con lotes de facturas, validando reconocimiento parcial. Avance estimado en esta tarea: 20 %.
</t>
  </si>
  <si>
    <t>No se trabajó en los últimos días. Continúa pendiente.</t>
  </si>
  <si>
    <t>20/06/2025: retomará revisión del tema durante el día de hoy.</t>
  </si>
  <si>
    <t xml:space="preserve">25/06/2025:No se reportan avances. </t>
  </si>
  <si>
    <t>04/07/2025: Sin avances técnicos reportados. El desarrollo sigue pendiente por falta de disponibilidad, pero se mantiene en la lista de tareas por retomar.</t>
  </si>
  <si>
    <t>18/07/2025: Se reinició el trabajo con librerías de Python y PDF para seleccionar porciones de imagen, pero sin avances concretos. El desarrollo avanza lentamente por el tiempo requerido en pruebas y validaciones.</t>
  </si>
  <si>
    <t xml:space="preserve">Sin avance </t>
  </si>
  <si>
    <t>MDSB-856002</t>
  </si>
  <si>
    <t>jiras dia a dia (Generar listado de usuarios de cada aplicativo)</t>
  </si>
  <si>
    <t>31/07/2025: Se genera informaciòn solicitada.</t>
  </si>
  <si>
    <t>GD772-122</t>
  </si>
  <si>
    <t>habilitar la extensiónes xls, xlsx, xlsm, xltx, xltm y xlt  para la tipología tengo dudas reembolsos, internacional y nacional</t>
  </si>
  <si>
    <t>05/08/2025: Se habilitan las extensiones .xls y .xlsx en la tipología 'Tengo dudas - Reembolsos', en ambiente de producción</t>
  </si>
  <si>
    <t>INTERNO-JA024</t>
  </si>
  <si>
    <t>Documento tecnico GD772-123 Asignación y Gestión de Tareas en la Solución de Cuentas Médicas</t>
  </si>
  <si>
    <t>GD772-123_1</t>
  </si>
  <si>
    <t>Dashboard de administración de eficiencia de auditores</t>
  </si>
  <si>
    <t>12/09/2025: Los primeros gráficos ya fueron construidos y se encuentran funcionales. La mayor complejidad ha sido la obtención de los datos correctos a través de los queries, pero ya se tienen avances significativos.
15/09/2025: Se escala control de cambio a producción con el jira MDSB-890559.
117/09/2025: Se presentó a los usuarios y recibieron de forma satisfactoria el dashboard de eficiencia en ambiente de pruebas. Se gestionó el control de cambios para su paso a producción. Se espera retroalimentación de los usuarios para identificar posibles ajustes adicionales.
25/09/2025: El control de cambios aún se encuentra pendiente de aprobación por parte del QA del cliente.
01/10/2025: Se realiza paso a producción el 30 de septiembre.</t>
  </si>
  <si>
    <t>MDSB-890559</t>
  </si>
  <si>
    <t>INTERNO-JA010</t>
  </si>
  <si>
    <t>Revisión  devolución de facturas pensionados</t>
  </si>
  <si>
    <t xml:space="preserve">20/08/2025: Requiere retomarse. Se definió como prioridad continuar después de finalizar el req GD772-123 Asignación y Gestión de Tareas en la Solución de Cuentas Médicas, ya que implica rehacer parte de la tabla de facturas de devolución y validar nuevamente con control de cambios.
22/08/2025: Avance estimado en 20%. Se fusionó rama de máster y se está ajustando la consulta para filtrar correctamente los casos listos para evolución.
01/09/2025: No se reportan mas avances </t>
  </si>
  <si>
    <t>16/07/2025: Se requiere reemplazar la vista materializada para cumplir con políticas de permisos de producción. Se está evaluando el cambio por una vista normal o query directo. En el momento se encuentra en evaluacion tecnica.</t>
  </si>
  <si>
    <t>GD772-124</t>
  </si>
  <si>
    <t>Creación Ficha de actualización de datos y quiero ser proveedor al portal de cuentas médicas.</t>
  </si>
  <si>
    <t>**CREACIÓN DE TIPOLOGÍAS PORTAL CUENTAS MÉDICAS**\r\n\r\n\r\nSe requiere agregar a una ficha de actualización de datos y quiero ser proveedor al portal de cuentas médicas.\r\n\r\nPortal de proveedores: \r\n \r\nSe requiere que cuando se de clic en el portal de proveedores al escoger la lista de tipologías  se agregue una denominada “ Actualice sus datos”\r\n\r\n\r\n\r\nAl seleccionar la opción actualice sus datos en el segundo paso se deben ver los siguientes campos:\r\n\r\n**2.1 INFORMACIÓN PERSONAL: ( Botón actualizar datos )**\r\n\r\n2.1.1; Nit del proveedor ( Solo caracteres numéricos sin dígito de verificación)*\r\n2.1.1 Nombre Comercial ( Sólo caracteres alfanuméricos)\r\n2.1.2 Dirección ( Campo alfanuméricos) En este campo debe existir un hablador que indique lo siguiente “ Incluya barrio, carrera, calle, número o cualquier otra información relevante para la ubicación “\r\n\r\n**2.2 TELÉFONOS DE CONTACTO**\r\n\r\n2.2.1 Teléfono personal ( Campo numéricos)\r\n2.2.2 Celular personal (Campo numéricos)\r\n2.3.2 Correo electrónico personal\r\n\r\n**2.3 CANALES DIGITALES**\r\n\r\n2.3.1 Lineas de whatsapp ( este campo debe permitir agregar más datos) ( Campo numérico)\r\n2.3.2 Teléfono consultorio ( Esta opción debe permitir agregar más teléfonos ) ( Campo numéricos)\r\n2.3.3 Correo de agendamiento\r\n2.3.4 Link de agendamiento\r\n2.3.5 Comentarios adicionales \r\n\r\n\r\nLos datos de gestión son los mismo relacionados anteriormente?\r\n\r\n\r\nEsta tipología en el segundo paso se debe ver de la siguiente manera:\r\n\r\n\r\n\r\nal dar clic en siguiente debe habilitar el campo de adjuntos, para esta tipología se requiere que el adjunto sea opcional no lleva nombre puede denominarse otros adjuntos.\r\n\r\n**FLUJO EN IMAGINE**\r\nUna vez el proveedor actualice la información o diligencie los datos debe suceder lo siguiente: (yii)\r\n\r\nAbrir un caso en imagine indicando cual es el dato que cambia del proveedor( este dato se debe marcar en un color diferente a la bandeja)\r\n\r\nImagine debe almacenar la información de los proveedores en un informe , en este informe debe visualizarse la información por fechas:\r\n\r\n\r\n\r\n\r\n\r\nEn el portal se debe precargar la información de los proveedores para la primera consulta bajo la siguiente estructura.\r\n\r\n\r\n\r\nUna vez el proveedor realice la modificación de datos en el aplicativo el sistema imagine almacenará el más reciente y este será el que le mostrará al proveedor para las siguientes consultas.\r\n\r\nEn la generación de respuesta se debe habilitar un campo en el que el actor responsable de respuesta pueda indicar en un campo de texto la respuesta tal como funciona actualmente en el aplicativo dudas reembolso:   \r\n\r\nRespuesta Generica\r\n\r\n\r\n\r\n\r\n\r\n\r\n**QUIERO SER PROVEEDOR (flujo 2)**\r\n\r\n\r\nSe requiere agregar al portal de cuentas médicas la opción quiero ser proveedor, en el cual al escoger esta opción deberá mostrar los siguientes datos:\r\n\r\n\r\n**Producto o servicio ofrecido:** campo text area- Obligatorio\r\n\r\n**tipo de documento : Campo desplegable con :** C.C, C.E, NIT, PP, - Obligatorio\r\n\r\n**Número de documento :** Campo numérico - Obligatorio\r\n\r\n**Nombres y apellidos o razón social:** campo alfanumérico - Obligatorio\r\n\r\n**Teléfono de contacto:**  Campo numérico - Obligatorio\r\n\r\n**Correo de contacto:**  campo alfanumérico - Obligatorio\r\n\r\n\r\nUna vez el proveedor  diligencie los datos debe dar clic en siguiente y pasar al paso de adjuntos: \r\n\r\n\r\nAl dar clic en siguiente debe habilitar el campo de adjuntos, para esta tipología se requiere que el adjunto sea obligatorio y debe denominarse propuesta de servicios , puede agregar más adjuntos.\r\n\r\n\r\nA nivel de flujos : \r\n\r\nAbrir un caso en imagine con un flujo predeterminado el cual debe ser parametrizable en cuanto actores\r\n\r\nel usuario en la bandeja debe poder ver todos los datos que fueron diligenciados por el proveedor en el portal \r\n\r\nEn la gestión del caso se debe poder almacenar en un campo el servicio ofrecido por el proveedor a campo de texto, en la gestión del caso\r\n\r\nEn la generación de respuesta se debe habilitar un campo en el que el actor responsable de respuesta pueda indicar en un campo de texto la respuesta tal como funciona actualmente en el aplicativo dudas reembolso:   \r\n\r\n\r\n\r\n\r\nadicional a esto debe permitir adjuntar archivos los cuales se relacionarán en la respuesta , este adjunto no es obligatorio\r\n</t>
  </si>
  <si>
    <t>10/09/2025: Se iniciará con el requerimiento tan pronto finalice el requerimiento GD772-123 Asignación y gestión de tareas. las pruebas estan programadas para 25 de septiembre.
22/09/2025: Iniciada rama de desarrollo para implementación de pestañas
24/09/2025: Se crearon las tipologías y se validó la lógica de negocio. Se tiene previsto subir a ambiente de pruebas el 25 de septiembre para iniciar validaciones.
26/09/2025: Se avanzó en la radicación y las bandejas ya se encuentran desarrolladas. Actualmente falta implementar la lógica y validar los campos solicitados por negocio, ya que aún no está definida con claridad la lógica de comparación con otras tablas. Adicional se encuentra en desarrollo las  vistas de gestión
29/09/2025: Se ajustó radicación para proveedores, se entregara a Jenry para pasarlo a test, y se continuara trabajando con todo el tema del  flujo.
30/09/2025: Se escala control de cambios en test MDSB-900977 para la creaciòn de las tablas rad_actualizacion_datos y rad_quiero_ser_proveedor. Control de cambios ejecutado con exito.
01/10/2025: A la fecha se finalizó el proceso de radicación junto con la gestión asociada. Actualmente se encuentra pendiente la realización de comparaciones con la tabla principal y el ajuste en la forma de presentar la respuesta. 
Se escala un segundo control de cambios MDSB-902017 para la creación  de la tabla maestro_proveedores y la adición de las columnas id_actividad_tipologia y usuario_asignado en las tablas rad_actualizacion_datos y rad_quiero_ser_proveedor, Confirman ejecucion exitosa de este cambio.
Se radica tercer  control de cambios a test MDSB-902521 para la creacion de la tabla log_cambios_proveedores
03/10/2025: El desarrollo presenta un 95% de avance, con flujos de radicación, maestro, historial y bandejas implementados. Solo resta validar la funcionalidad de “Quiero ser proveedor” y realizar pruebas finales en ambiente de test.
06/10/2025: Durante el viernes se realizaron correcciones a errores detectados y se avanzó en la funcionalidad de gestión del módulo “Quiero ser proveedor”, quedando pendiente la incorporación del componente para carga de adjuntos y el paso completo a ambiente de pruebas, sujeto a la actualización de la IP. La solicitud de acceso a pruebes se realizo en el ticket MDSB-903580.
08/10/2025: El desarrollo se encuentra en ambiente de pruebas (TEST) y funcional. Solo resta crear un informe de comportamiento por NIT y validar su ubicación dentro del sistema. Las pruebas iniciales de actualización y radicación fueron exitosas, quedando pendiente la validación por parte del usuario (Santiago)
23/10/2025: Clinete da el aval para proceder con el paso a producción, se escala control de cambios MDSB-916903
28/10/2025: Control de cambios aprobado por comité y ejecutado con exito.
29/10/2025: Se identificó un error en la creación de tablas en el esquema equivocado (TES: public / Producción: cuentas médicas)
31/10/2025: El 30 de octubre se realiza paso  a producción. La funcionalidad de radicación fue verificada parcialmente y se confirmó que el proceso opera correctamente .</t>
  </si>
  <si>
    <t>MDSB-900977 / MDSB-902017 / MDSB-902521</t>
  </si>
  <si>
    <t>MDSB-916903</t>
  </si>
  <si>
    <t>GD772-124_1</t>
  </si>
  <si>
    <t xml:space="preserve">Error de Esquema en Tablas (Cuentas Médicas / Public) Req actualización de datos y quiero ser proveedor </t>
  </si>
  <si>
    <t>Se identificó un error en la creación de tablas en el esquema equivocado (TES: public / Producción: cuentas médicas).</t>
  </si>
  <si>
    <t>29/10/2025: Pendiente ejecutar un control de cambios en test para unificar esquemas y asegurar la coherencia entre ambientes.
07/11/2025: Se estima solicitar hoy el cambio requerido.
12/11/2025: Se escala control de cambios a test  MDSB-928600
13/11/2025: Control de cambios ejecutado  correctamente.</t>
  </si>
  <si>
    <t>MDSB-928600</t>
  </si>
  <si>
    <t>CNTI-96-1</t>
  </si>
  <si>
    <t xml:space="preserve">Validar rechazo Vulnerabilidad CNTI-96  en cuanto a unsafe-inline y unsafe-eval </t>
  </si>
  <si>
    <t>01/08/2025: El 31 de julio se recibió un rechazo a la respuesta de la  vulnerabilidad CNTI-96 mitigada anteriormente. Se acordó revisar el caso nuevamente y gestionar la situación con las personas encargadas del tema de seguridad (SSP) para obtener validación.
04/08/2025: El día viernes se respondió indicando que es necesario validar con la persona encargada de infraestructura, ya que no contamos con el JIRA de aprobación solicitado.
11/08/2025: Se revisará nuevamente con el cliente debido a inconformidad con la respuesta inicial, justificando técnicamente las medidas tomadas.
20/08/2025: El 11 de agosto el requerimiento quedó resuelto. Se implementaron componentes de seguridad adicionales y el área de seguridad validó la solución.</t>
  </si>
  <si>
    <t>INTERNO-D016</t>
  </si>
  <si>
    <t>Implementacion de almacenamiento temporal de imágenes</t>
  </si>
  <si>
    <t>EN TEST</t>
  </si>
  <si>
    <t>01/08/2025:  Se detectó pérdida de imágenes al realizar cambios de infraestructura. Se propuso implementar un almacenamiento temporal de imágenes (buffer de contingencia por al menos 5 días) para evitar pérdida de información crítica en futuras contingencias.
04/08/2025: El viernes 1 de agosto se trabajó parcialmente en la radicación ARL y autorizaciones, pero fue interrumpido por otras tareas.
11/08/2025: Tarea pendiente de ejecución; se espera completarla en la jornada actual.
12/08/2025: Se realiza implementaciòn en ambiente de pruebas.
10/09/2025: Se definieron directorios para transferencia de archivos (BSS). Se creó requerimiento adicional de almacenamiento temporal por 7 días.  Fabio realizara pruebas del almacenamiento temporal.
29/10/2025: Se agendara sesión de prueba con Danilo y validar resultados.</t>
  </si>
  <si>
    <t>Inicia 01 de agosto</t>
  </si>
  <si>
    <t>GD772-128_0</t>
  </si>
  <si>
    <t xml:space="preserve">  HU Creaciòn Malla de asignación</t>
  </si>
  <si>
    <t>19/09/2025: Se entrega HU a Liyibet y Jenry para su validación y aprobación.
26/09/2025: HU aprobadas y enviadas al cliente el 24 de septiembre.
01/10/2025: se realiza modificaciones indicadas por el cliente.</t>
  </si>
  <si>
    <t>INTERNO-F006</t>
  </si>
  <si>
    <t>Incluir plantillas vacias en el modulo de envios masivos en Nativo</t>
  </si>
  <si>
    <t>26/09/2025: Ya se tienen la mayoria de las plantillas , solo esta pendiente la correspondiente al proceso de la  tipologia  "Masivo de Cobranza", esta fue solicitada a Duvan Tamayo y se esta a la espera del  envio.
01/10/2025: usuario confirma que esa tipologia para envios masivos no esta en uso.
03/10/2025: Se detiene hasta tanto desarrollo tenga espcio para realizar la actualizacion.
01/12/2025: Se solicita ayuda a Jesus  para  colocar los archivos requeridos en el madulo de envios masivos</t>
  </si>
  <si>
    <t>INTERNO-F009</t>
  </si>
  <si>
    <t>Documentación Técnica – Proceso de Envío Certificado 472</t>
  </si>
  <si>
    <t>10/11/2025: Se Finaliza la elaboración de la documentación técnica completa del proceso de envío certificado 472, describiendo su funcionamiento, flujo interno, dependencias y mantenimiento.
El documento detalla la estructura del comando certificacion:correos_pendientes, las tablas involucradas (cola_correos, seguimiento_mail_certificado, activacion_colas), la ejecución automática por cron, control de colas, manejo de errores comunes, logs y recomendaciones de monitoreo preventivo.</t>
  </si>
  <si>
    <t>GD772-161_1</t>
  </si>
  <si>
    <t>Elaboracion de HU Automatización actas de prevención Formato AT- 031 Agr</t>
  </si>
  <si>
    <t xml:space="preserve">30/10/2025: Se finalizan HU y se envian a Liyibet y Jenry para su validación y aprobación. </t>
  </si>
  <si>
    <t>INTERNO-F010</t>
  </si>
  <si>
    <t>Ajustar documentación tecnica de los Requerimientos: GD772-124,</t>
  </si>
  <si>
    <t>23/10/2025: Jairo suministra archivo .md  con la documentación  para  pasar  y ajustar en pdf.
01/12/2025: Organiza y se carga documentación tecnca en el directorio (Nativo).</t>
  </si>
  <si>
    <t>MDSB-927962</t>
  </si>
  <si>
    <t>Jiras dia a dia (Validar Error en la generación de cartas de Aviso de incumplimiento)</t>
  </si>
  <si>
    <t xml:space="preserve">Reporte:
“Error en la generación de cartas de Aviso de incumplimiento“
Se evidencia error en la generación de las cartas PDF para el Aviso de incumplimiento, dado que la estructura fue cargada de manera correcta pero en las cartas el campo periodo quedó en blanco.
Casos ejemplo:
40086182
40277999
 Solicitamos por favor su ayuda para identificar el error que esta generando las cartas con información incompleta. Dado que en el mes de agosto si estaba generando correctamente las cartas. Caso: 39507289 </t>
  </si>
  <si>
    <t>11/11/2025: Se solicitan los archivos cargados para realizar validaciones.
14/11/2025: Entre ayer y hoy, tras recibir los formatos utilizados por el usuario para los cargues masivos de agosto, septiembre y octubre, se realizaron las validaciones correspondientes.
Durante la revisión se identificó que el usuario que efectuó el cargue en septiembre y octubre es diferente al que realizó el cargue en agosto, siendo estos primeros los que presentan el error.
De acuerdo con las validaciones, se evidenció que cuando en la hoja “Empresas” se registra  “Bogota DC” en el campo Departamento (con el “DC” unido), el sistema no muestra el departamento en la carta de notificación ni el período de cotización.
19/11/2025: Se realiza la validación respecto al error reportado en la generación de cartas PDF de Aviso de Incumplimiento, específicamente por la ausencia del campo periodo en algunos casos.
Después de realizar varias pruebas con los formatos cargados en los meses de agosto, septiembre y octubre, se identifica lo siguiente:
El problema solo se presenta en los casos donde el campo “departamento” está diligenciado como “BOGOTA DC”.
Para los demás departamentos, las cartas se generan correctamente mostrando el periodo.
Al revisar los archivos correspondientes al mes de agosto, se evidencia que ningún registro tiene el departamento como “BOGOTA DC”, y por este motivo todas las cartas generadas en ese mes muestran correctamente el periodo.
Se realizaron pruebas ajustando el campo departamento a “BOGOTA D C” (separando las letras D y C), y con esta estructura las cartas se generan correctamente y el periodo se visualiza sin inconvenientes.
Con lo anterior, se confirma que el error está asociado al valor específico “BOGOTA DC” en el campo departamento, lo cual afecta la lógica que define la impresión del periodo en el PDF.</t>
  </si>
  <si>
    <t>GD772-137_2</t>
  </si>
  <si>
    <t>Pruebas  test Mejoras Modalidad teletrabajo transnacional (Flujo)</t>
  </si>
  <si>
    <t>07/10/2025: Se iniciaron las pruebas del flujo de modalidades; hasta el momento únicamente se han identificado hallazgos de forma, los cuales fueron notificados a Jesús para su respectiva corrección. 
27/10/2025: Tras la entrega al cliente para pruebas el 15 de octubre, el 22 de octubre se notificó un hallazgo relacionado con la ciudad del trabajador registrada en el caso después de la radicación. Jesús realizará el ajuste el día de hoy y posteriormente se efectuarán las pruebas correspondientes.</t>
  </si>
  <si>
    <t>GD772-137_3</t>
  </si>
  <si>
    <t>Manual de usuario_ Mejoras Modalidad teletrabajo transnacional (Flujo)</t>
  </si>
  <si>
    <t>MDSB-855985</t>
  </si>
  <si>
    <t>Jiras día a día (Corrección de casos radicados del buzón ARL sin trazabilidad)</t>
  </si>
  <si>
    <t xml:space="preserve">01/08/2025: Se identificaron 78 casos (de un total de 306 observados) que quedaron en estado incompleto debido a una falla en la trazabilidad del sistema. Se desarrollo un script para completar la asignación de tipología y restablecer su curso normal.
</t>
  </si>
  <si>
    <t>GD772-126</t>
  </si>
  <si>
    <t xml:space="preserve"> Bloquear la radicación de facturas por primera vez Colsubsidio</t>
  </si>
  <si>
    <t>Se solicita bloquear la radicación de facturas por primera vez al NIT 860007336, Colsubsidio, lo anterior por cierre de EPS.
04/08/2025:Se realiza el bloqueo del NIT 860007336 (Colsubsidio) y se despliega en los ambientes de prueba (test) y producción.</t>
  </si>
  <si>
    <t>inicia</t>
  </si>
  <si>
    <t>GD772-127</t>
  </si>
  <si>
    <t>Bloqueos radicación prestadores, paz y salvo</t>
  </si>
  <si>
    <t>Por cierre de EPS Bolívar se requiere que se bloquee la radicación de primera vez y respuesta a glosa para este ramo EPS de los prestadores relacionados en adjunto, con dichos prestadores se cuenta con paz y salvo por todo concepto.
05/08/2025: Se esacla control de  cambios para ambiente de pruebas MDSB-859020. Control de cambios ejecutado con exito.
06/08/2025: Se desarrollo se encuentra en ambiente de test para pruebas y aprobaciòn del cliente.
08/08/2025: Se escala control de cambios MDSB-861215 para producciòn. 
11/08/2025: Control de cambios en proceso de Aprobación QA / PO / Jefatura.
13/08/2025: Control de cambios aprobado por comite y se ejcutara el 13 de Agosto a las 4 pm:
19/08/2025: El 13 de agosto se ejecuta con exito el control de cambios en produccion
20/08/2025: El requerimiento fue migrado a producción el 14 de agosto y se encuentra estable en operación.</t>
  </si>
  <si>
    <t>MDSB-859020</t>
  </si>
  <si>
    <t>MDSB-861215</t>
  </si>
  <si>
    <t xml:space="preserve">inicia con control de cambios </t>
  </si>
  <si>
    <t>INTERNO-JA014</t>
  </si>
  <si>
    <t>Mejoras Informe consolidado ARL</t>
  </si>
  <si>
    <t>Se solicita la validación del informe debido a demoras identificadas en su tiempo de ejecución</t>
  </si>
  <si>
    <t>11/08/2025: Estima iniciar con las mejoras.
13/08/2025: Se pausa  para continuar con req GD772-123 Bloqueo de facturas.
20/08/2025: No se ha iniciado el desarrollo, aunque se identificó que el informe actual presenta tiempos de descarga altos (13–21 minutos). Se mantiene pendiente por priorización.
22/08/2025: Se organizó el query, avance 30%. Faltan pruebas para validar resultados y definir ajustes.
27/08/2025: Se encuentra pausado hasta termiar  req GD772-123 Asignación y Gestión de Tareas en la Solución de Cuentas Médicas.
17/09/2025: Se está ajustando el informe de ARL en paralelo con el paso de información al lago de datos, unificando campos y estructura para que ambas fuentes tengan datos consistentes.</t>
  </si>
  <si>
    <t>INTERNO-JA015</t>
  </si>
  <si>
    <t>Mejoras Informe consolidado SALUD</t>
  </si>
  <si>
    <t>Se solicita la validación del informe debido a demoras identificadas en su tiempo de ejecución
19/09/2025: El informe se encuentra listo para pasare a producciòn.</t>
  </si>
  <si>
    <t>INTERNO-JA019</t>
  </si>
  <si>
    <t>Mejoras informe ARL reembolsos (consolidado</t>
  </si>
  <si>
    <t>05/09/2025: El informe presentaba fallas desde su entrega inicial. Fue corregido y actualmente permite descarga y visualización correcta.</t>
  </si>
  <si>
    <t>INTERNO-D017</t>
  </si>
  <si>
    <t>Ajuste en Radicación Express</t>
  </si>
  <si>
    <t>04/08/2025:  El viernes 1 de agosto se detectaron causísticas no contempladas; se ajustó el modelo para mejorar la detección. Se validó el modelo, se reentrenó y se probaron registros.</t>
  </si>
  <si>
    <t>INTERNO-D018</t>
  </si>
  <si>
    <t>Mejoras del analisis  informe de reembolsos Salud</t>
  </si>
  <si>
    <t>04/08/2025: El viernes 1 de agosto se construyó un script para envío diario de análisis a correos configurables. Aún requiere depuración.
Mejorar analisis en pdf 
11/08/2025: Pendiente de mejora: generar el informe en PDF con información organizada y gráficos, reemplazando el archivo plano actual, Se retomara tan pronto finalice la Implementacion de almacenamiento temporal de imágenes.
22/08/2025: Implementación en un 70%. Ya se mejoró la presentación y estilos (PDF), se añadieron KPIs y metas SLA, pero faltan ajustes finales antes de liberar a producción.
01/09/2025: Se completó la mejora en los informes y se encuentra listo para paso a producción.
03/09/2025: Las mejoras correspondientes fueron implementadas y desplegadas en producción el 1 de septiembre, por lo cual el requerimiento se considera concluido.</t>
  </si>
  <si>
    <t>CNTI-488</t>
  </si>
  <si>
    <t xml:space="preserve"> Big Redirect Detected (Potential Sensitive Information Leak)</t>
  </si>
  <si>
    <t>04/08/2025: Se recibió información técnica sobre las vulnerabilidades (Redirect). No se han validado completamente pendiente de análisis
 Resuelto en produccion 
06/08/2025:Se resolvió la vulnerabilidad reportada en el manejo del error 302. La solución fue implementada el 05 de agosto y ya está en producción. Se enviaron las evidencias correspondientes.</t>
  </si>
  <si>
    <t>INTERNO-JA016</t>
  </si>
  <si>
    <t>Restringir la creación de usuarios en yii con igual correo</t>
  </si>
  <si>
    <t>06/08/2025: Se definió implementar validación en Yii para prevenir creación de nuevos usuarios con correos existentes. Afectará solo nuevos registros
11/08/2025: El viernes 8 de agosto se implementó en el ambiente de pruebas (test) la restricción para la creación de usuarios con el mismo correo en YII. Se confirma paso a produccion.
22/08/2025: Se realizan pruebas en produccion y se verifica que a un no está implementada la restricción.
22/08/2025: Se realiza paso a produccion.</t>
  </si>
  <si>
    <t>INTERNO-JE013</t>
  </si>
  <si>
    <t>Validar recuperacipon de contraseña para el  usuario 101010</t>
  </si>
  <si>
    <t>08/08/2025: El 6 de agosto se realizó la validación y se identificó que, en el ambiente de pruebas (test), al momento de efectuar la recuperación de contraseña, el sistema redirige directamente al login. Este comportamiento será revisado en conjunto con Danilo.
11/08/2025: La redirreciòn ya no se presenta, Funcionalidad operativa en otros entornos, pero sin retroalimentación visual en TEST. Pendiente revisión para evitar que el error pase a producción.</t>
  </si>
  <si>
    <t>MDSB-856527</t>
  </si>
  <si>
    <t>jiras dia a dia (Error en cargue de adjuntos nativo)</t>
  </si>
  <si>
    <t>05/08/2025:  La incidencia se originó debido a que el aplicativo reemplazaba los adjuntos al momento de su cargue, por coincidencias en los nombres de archivo. Como medida correctiva, se implementó la adición de un identificador único en el nombre de cada adjunto, lo que evita la sobrescritura y asegura que cada documento se almacene de forma independiente.</t>
  </si>
  <si>
    <t>INTERNO-JE001</t>
  </si>
  <si>
    <t>Realizar Imagen de docker de nativo para Jesus</t>
  </si>
  <si>
    <t>27/02/2025: No se ha podido realizar  debido que se encuentra en otras tareas asignadas.</t>
  </si>
  <si>
    <t>Se reasigna tarea a Jesus debido a que Wilson  se encuentra en desarrollo de otra actividad.</t>
  </si>
  <si>
    <t>MDSB-860939</t>
  </si>
  <si>
    <t>jiras dia a dia (Inactivación de 266 usuarios en Nativo)</t>
  </si>
  <si>
    <t>08/08/2025: Se realiza la inhabilitación de los usuarios solicitados.</t>
  </si>
  <si>
    <t>INTERNO-JE015</t>
  </si>
  <si>
    <t>Actuallizaciòn nativo a PHP 8 local</t>
  </si>
  <si>
    <t>08/08/2025: Se está realizando la instalación de la nueva aplicación en el entorno local
11/08/2025: El viernes 8 de Agosto se configuró entorno local y Docker con nueva versión de PHP</t>
  </si>
  <si>
    <t>MDSB-861385</t>
  </si>
  <si>
    <t>Jiras día a día (Reemplaza adjunto cargado en la radicación)</t>
  </si>
  <si>
    <t>11/08/2025: Se identificó que el problema se debía a que, al cargar un nuevo archivo, este quedaba con el mismo nombre del archivo utilizado en la radicación, lo que provocaba su reemplazo. Como medida correctiva, se implementó la adición de un identificador único al nombre de cada archivo al momento de su cargue, con el fin de evitar coincidencias y sobrescritas.</t>
  </si>
  <si>
    <t>INTERNO-JE016</t>
  </si>
  <si>
    <t>Control y Validación de Correos ARL vs Casos Radicados en Imagine</t>
  </si>
  <si>
    <t>12/08/2025: Se asigna el requerimiento y se solicita proporcionar una estimación para su desarrollo.
14/08/2025: Se implementa un reporte vía correo que informa la cantidad de correos ingresados al buzón, los que fueron radicados en YII, los excluidos y la diferencia con error. Esta diferencia con error corresponde a los correos cuyo estado debe ser validado. 
15/08/2025: El paso a producción permanece pendiente debido a que, al momento de realizar el despliegue, se presentan bloqueos en la URL
20/08/2025: Actualmente se trabaja en el ajuste del query de validación, dado que se identificó una interpretación errónea en la exclusión de correos.
22/08/2025: En revisión. El informe se está generando, aunque con retraso (pedido de un mes hacia atrás). Pendiente verificación de resultados.
25/08/2025: Reporte encuentra en produccion y llega a diario a las 6 am.</t>
  </si>
  <si>
    <t>INTERNO-D019</t>
  </si>
  <si>
    <t>Pruebas de carga en entorno simulado de producción</t>
  </si>
  <si>
    <t>12/08/2025: Se prepararon scripts para mantener usuarios activos y simular apertura/cierre de sesiones, consultas y consumo de API. Se adaptó el API para las pruebas, incluyendo pre-firmado de URL con Apache. Se programó la ejecución de la prueba integral para la tarde, con consumo de 500 imágenes en un escenario que replica las condiciones del servidor de producción.
20/08/2025: El miercoles 13 de agosto se ejecutaron y entregaron los reportes con resultados y evidencias. Hubo un inconveniente con pérdida de archivos temporales, pero se repitió el proceso y quedó cerrado.</t>
  </si>
  <si>
    <t>INTERNO-JE017</t>
  </si>
  <si>
    <t>Adicionar usuario a Informe de Casos con una sola actividad</t>
  </si>
  <si>
    <t>14/08/2025: Se adiciona el campo 'usuario' al reporte recibido por correo de casos con una sola actividad.</t>
  </si>
  <si>
    <t>GD772-81_1</t>
  </si>
  <si>
    <t>Adición de validaciones para el diligenciamiento de la información de envío físico de calificaciones en ambiente de pruebas (test)</t>
  </si>
  <si>
    <t>15/08/2025: Se implementa validaciònes en test.</t>
  </si>
  <si>
    <t>INTERNO-JE002</t>
  </si>
  <si>
    <t>Desarrollo clasificador de imágenes en Python (IA)</t>
  </si>
  <si>
    <t>16/05/2025 : Ya se encuentra  funcional en local, Se planteó la necesidad de buscar imágenes similares almacenadas en el disco compartido (IMG04) para   realizar  pruebas
19/05/2025 : el clasificador de imágenes está en ambiente de prueba, pero aún se requieren imágenes para probarlo adecuadamente. Se discute la posibilidad de generar imágenes desde archivos PDF si no se encuentran imágenes reales
26/05/2025: El Viernes 23 de mayo se implemento en el lector de PDF,  clasifica correctamente los archivos visuales, pero aún no segmenta adecuadamente los PDFs por tipo, agrupándolos en una sola carpeta. Se continuarán pruebas con PDFs diversos para refinar la lógica de clasificación.
28/05/2025: Las pruebas realizadas con el clasificador de archivos PDF no han alcanzado los resultados esperados. Se evalúan otras opciones, pero el enfoque actual está en la funcionalidad de Sistematización con IA (Segunda vista de incapacidades en portal).</t>
  </si>
  <si>
    <t xml:space="preserve">Ya se encuentra  funcional en local, Se planteó la necesidad de buscar imágenes similares almacenadas en el disco compartido (IMG04) para   realizar  pruebas </t>
  </si>
  <si>
    <t>el clasificador de imágenes está en ambiente de prueba, pero aún se requieren imágenes para probarlo adecuadamente. Se discute la posibilidad de generar imágenes desde archivos PDF si no se encuentran imágenes reales</t>
  </si>
  <si>
    <t>Iniciara el desarrollo del lector de imágenes para permitir el procesamiento de archivos PDF y su conversión a imágenes, como parte de un clasificador basado en IA.</t>
  </si>
  <si>
    <t>El Viernes 23 de mayo se implemento en el lector de PDF,  clasifica correctamente los archivos visuales, pero aún no segmenta adecuadamente los PDFs por tipo, agrupándolos en una sola carpeta. Se continuarán pruebas con PDFs diversos para refinar la lógica de clasificación.</t>
  </si>
  <si>
    <t xml:space="preserve">Las pruebas realizadas con el clasificador de archivos PDF no han alcanzado los resultados esperados. Se evalúan otras opciones, pero el enfoque actual está en la funcionalidad de Sistematización con IA (Segunda vista de incapacidades en portal).
</t>
  </si>
  <si>
    <t>MDSB-864436</t>
  </si>
  <si>
    <t>Optimización  informe prefactura 472</t>
  </si>
  <si>
    <t>19/08/2025: Se está ajustando el informe de prefactura 472 debido a que se identificaron varios errores en la lógica.
20/08/2025: Se continuará con la validación y se espera que la optimización culmine en el transcurso del día de hoy.
22/08/2025: Se corrigió la lógica del query para procesar datos por lotes y evitar demoras. Requerimiento en ajuste, pendiente validación de tiempos de ejecución.
25/08/2025: El viernes 22 de agosto se redujo el tiempo de ejecución del informe de más de 70 minutos a 19 minutos mediante ajustes técnicos. Se considera que aún puede optimizarse más.
27/08/2025: Se encuentra Validando errores evidenciados en la pruebas ( Registros duplicados, Columna adicional y falta de resultados  de los  procesos ARL y EPS)
28/08/2025:  Se escala control de cambios MDSB-872243 en test para creacion de indices.
29/08/2025: El control de cambios fue ejecutado con éxito en el ambiente de pruebas. Se escala el control de cambios MDSB-872523 para la creación de índices en el ambiente de producción.
03/09/2025: La creación de índices se encuentra en espera de aprobación de control de cambios aproduccion. La demora en la validación administrativa del cliente está impactando el avance del informe asociado.
12/09/2025: Control de cambios MDSB-872523 para producción ha sido aprobado por QA, se espera programaciò a comite de cambios digitales.
19/09/2025: Contro de cambios se incluyo en comite de cambios de digitales de hoy, a la espera de la  aprobación.
22/09/2025: Control de cambios ejecutado correctamente el 20 de septiembre, se ejecutaran  pruebas de desempeño en informe 472.
22/09/2025: Se realizaron pruebas de ejecución del informe con resultados satisfactorios, evidenciando una mejora en el desempeño. El tiempo de generación, que anteriormente era de 70 minutos, se redujo a 3 minutos tras los ajustes implementados.</t>
  </si>
  <si>
    <t>MDSB-872243</t>
  </si>
  <si>
    <t>MDSB-872523</t>
  </si>
  <si>
    <t>INTERNO-JA022</t>
  </si>
  <si>
    <t>Mejoras Informe consolidado EPS</t>
  </si>
  <si>
    <t>22/09/2025: Entregable finalizado y validado en gran parte de la data, con mejora notoria en el tiempo generación.</t>
  </si>
  <si>
    <t>GD772-121</t>
  </si>
  <si>
    <t>Identificar notas crédito radicadas por los prestado como estado nota crédito</t>
  </si>
  <si>
    <t>PENDIENTE CLIENTE</t>
  </si>
  <si>
    <t xml:space="preserve"> Se planteó la creación de un nuevo estado llamado “Cruce de notas crédito” para mejorar la clasificación y control de estos registros.
07/11/2025: Pendiente la aclaración por parte del cliente sobre el requerimiento a realizar</t>
  </si>
  <si>
    <t>GD852-72</t>
  </si>
  <si>
    <t>Ajustar lago de datos  (informes Cuentas Médicas)</t>
  </si>
  <si>
    <t>Se identificó la necesidad de ajustar lago de datos para que coincida con los cambios realizados en informes ARL.</t>
  </si>
  <si>
    <t>25/08/2025: Se escala control de cambios MDSB-869595 a produccòn.
28/08/2025: Control de cambios MDSB-869595 aprobado por comite y se ejecutara hoy a las 4:20 pm.
29/08/2025: Se ejecutó en ambiente test el Jira de control de cambios relacionado con el lago de datos. Se identificó que la primera ejecución requiere procesar todo el histórico de informes (desde 2019 hasta la fecha), lo que implica un volumen considerable. Actualmente se está evaluando si es necesario ajustar el código para optimizar la lógica de generación de informes y el desempeño del SQL, o si se mantiene la configuración actual.
01/09/2025: Los cambios fueron aplicados en producción, pero se requiere actualizar el código definitivo y validar pruebas adicionales en un entorno menos congestionado. 
03/09/2025: Ayer se pasó el lago de datos a producción y se realizaron pruebas con inconsistencias. El proceso llenó la tabla correctamente.</t>
  </si>
  <si>
    <t>MDSB-739779</t>
  </si>
  <si>
    <t>MDSB-869595</t>
  </si>
  <si>
    <t>INTERNO-JA018</t>
  </si>
  <si>
    <t>Documento tecnico GD852-72Ajustar lago de datos  (informes Cuentas Médicas)</t>
  </si>
  <si>
    <t>INTERNO-F011</t>
  </si>
  <si>
    <t>Actualización de requerimientos de Reembolsos en el tablero.</t>
  </si>
  <si>
    <t>Se necesita actualiza o incluir todos los  requerimientos que se han desarrollado  para reembolsos</t>
  </si>
  <si>
    <t xml:space="preserve">12/11/2025: Se realiza actualizacion </t>
  </si>
  <si>
    <t>MDSB-928468</t>
  </si>
  <si>
    <t>Jiras dia a dia (NO PERMITE GENERAR REEMBOLSO POR POLIZA DE SALUD )</t>
  </si>
  <si>
    <t>“NO PERMITE GENERAR REEMBOLSO POR POLIZA DE SALUD “
NO PERMITE GENERAR REEMBOLSO POR POLIZA DE SALUD 
Por favor contactarse con la cliente para valdiar el proceso se adjunta video con  la explicación de la cliente 
Alejandra Parra
18 mayo 1991
alejandraparrasalazar@gmail.com
3188645467
1136883142</t>
  </si>
  <si>
    <t>13/11/2025: Se realizan validaciones en el proceso de cargue de adjuntos del módulo de Reembolsos Salud, sin evidenciar inconvenientes en su funcionamiento.
Se establece contacto con la usuaria, quien informa que la incidencia ya no se está presentando.</t>
  </si>
  <si>
    <t>GD772-123</t>
  </si>
  <si>
    <t>Asignación y Gestión de Tareas en la Solución de Cuentas Médicas (Salud y ARL)</t>
  </si>
  <si>
    <t>**Requisitos de Asignación y Gestión de Tareas en la Solución de Cuentas Médicas**
Este documento detalla los requisitos específicos para la funcionalidad de asignación y gestión de tareas dentro de la solución de cuentas médicas, El objetivo es asegurar una distribución eficiente, equitativa y trazable de las solicitudes de cuentas médicas, optimizando los tiempos de respuesta y la operatividad.
**1. Configuración de ANS y Priorización de Solicitudes**
La solución debe permitir:
**● Parametrizar el Acuerdo de Nivel de Servicio (ANS)** para cada tipo de solicitud de cuentas médicas (ej. Pronto Pago, Glosa), asegurando que el sistema priorice las tareas según estos parámetros.
**● Priorizar la asignación en bandeja por fecha de radicado**, mostrando desde el más antiguo al más reciente en la primera vista y manteniendo los pendientes ordenados de lo más antiguo a lo más nuevo. Esta priorización debe ser rápida y eficiente, sin demoras en la búsqueda u ordenamiento, reflejando la fecha de radicado de Sisalud.
**● Priorizar las solicitudes próximas a vencer** según el ANS parametrizado, considerando la fecha de radicación.
**2. Asignación de Tareas por Radicado**
La solución debe asegurar que la asignación de tareas se realice de la siguiente manera:
**● Generar la asignación por número de radicado**, no por factura individual.
**● Asignar sin fraccionar las facturas**: Todos los radicados asociados a una misma factura deben ser asignados a una única persona, garantizando la continuidad en la gestión.
**● Parametrizar el tiempo de cada actividad** para incorporarlo en el plan de trabajo y en la asignación.
**● Respuestas a glosa**: Deben asignarse automáticamente al usuario que generó la glosa (o al área correspondiente, como auditoría médica). Si el usuario está inhabilitado (ej. por vacaciones), el sistema debe reasignar a otra persona del mismo perfil, considerando la carga de trabajo pendiente.
**3. Filtrado y Visualización de Bandejas**
La plataforma debe contar con las siguientes capacidades de filtrado y visualización:
**● Crear un filtro de cantidad** que muestre el número de facturas con respuesta a glosa, escalados, pronto pago y los pendientes de cuentas médicas.
**● Permitir filtrar la bandeja por la condición deseada** (ej. fecha de radicación, del más antiguo al más reciente), manteniendo el filtro activo hasta que el usuario desee desactivarlo.
**● Habilitar filtros por rango de fechas** en todas las pantallas.
**4. Reasignación Flexible y Equitativa**
Las bandejas de trabajo deben permitir la reasignación con las siguientes características:
**● Reasignar sin perder la equidad** en la distribución de la carga de trabajo.
**● Reasignar de forma individual o masiva por**: perfil, usuario, proveedor, complejidad, ramo, tipo de servicio, valor, fechas de radicación y pronto pago.
**● Reasignar por distribución de cargas o no**, sin existir bloqueante para el administrador.
**● Permitir asignar a una persona específica o distribuir equitativamente** entre usuarios correspondientes al mismo perfil.
**● Los casos reasignados deben visualizarse en la bandeja respetando la antigüedad y ** original del registro.
**5. Depuración y Actualización de Bandejas (Imagine)**
Se requiere que la solución realice una depuración automática de las bandejas de Imagine de la siguiente manera:
**● Realizar depuración de las bandejas de Imagine solo dejando las facturas en periodo vigente.**
**● Si la factura fue pagada según reporte de Sisalud en un 90%**, dejarla en estado inactivo. En caso de que llegue una conciliación, reactivar y reasignar.
**● Si la factura está en estado pagado en Sisalud totalmente**, dejarla en estado pagado.
**● Si la factura está en estado glosado en Sisalud**, dejarla en estado glosado.
**Si la factura está en estado pagado glosado**, dejarla en estado glosado.
**● Si el radicado se encuentra en estado anulado en Sisalud**, realizar el cruce con Sisalud para conocer el número de radicado con el que se pagó.
**● Todas las facturas deben continuar con los perfiles actuales** del administrador (como reasignar facturas, cambios de ramo según usuario), sin que exista ningún bloqueante.
**● Permitir habilitar y deshabilitar los ramos para cada usuario**, incluyendo la opción de tener acceso a dos ramos si es necesario, bajo gestión del administrador.
**● Permitir la habilitación del capacity por usuario y por perfil**: el administrador podrá parametrizar cuántos casos puede gestionar el usuario por día. Si se supera el capacity definido, se deberá generar una alerta.
**● Los perfiles deben estar atados al ramo a trabajar**. El administrador debe poder asignar o reasignar facturas según necesidad. En el momento en que se cambie de ramo, no puede continuar habilitado para que se le asignen facturas que no corresponden a este. A partir de la asignación del ramo por parte del administrador, Imagine no debe asignar un ramo diferente al perfil.
**6. Equidad en la Asignación y Control de Reglas
La asignación debe garantizar:**
**● Equidad**: Es decir, igual o similar número de radicados para cada analista, teniendo en cuenta el tipo de servicio y la complejidad en la asignación sin perder las reglas de negocio establecidas. El contador debe considerar el acumulado para lograr radicados similares.
**● Validación de Reglas del Motor**: Se deben validar nuevamente las reglas del motor para baja, media y alta complejidad según monto y tipo de servicio. Se revisará la tabla de reglas del motor que trabaja Imagine.
**7. Tableros de Control y Reportería Detallada**
La solución debe ofrecer las siguientes herramientas de monitoreo:
**● Tableros de control y gestión con base en reportes de Sisalud.** Se buscaría acceso a Sisalud Salud.
**● Permitir que el administrador pueda actualizar los radicados** sin necesidad de solicitar apertura a la factura y que quede la traza de los dos radicados, definiendo una regla para decidir de forma automática con cuál se pagó.
**● Reportes para administrador y analistas** del número de casos realizados, en tiempo real, acumulado, día, mes, año. Se basarán en el cruce de Imagine y Sisalud para lo gestionado y lo escalado. Deben indicar cuántos casos le faltan para cumplir la meta.
**● Para cartera, que se pueda visualizar una marca y filtrar** por la misma de facturas ya conciliadas y/o con paz y salvo.
**● Debe existir un tablero o un informe** que indique cuántos radicados está gestionando cada usuario por día, que muestre los tiempos de gestión para cada
radicado, poder validar los pendientes al momento de la consulta y una gráfica de la gestión realizada día a día.
De forma atenta me permito enviar solicitud de creación de carpetas para cada uno de los auditores con el fin de que las distribuciones de las facturas sean equitativas para los que tienen perfil de enfermería y a los médicos les sean asignadas las cuentas iguales o mayores a $50.000.000.
Con respecto a la respuesta a glosa, lo ideal es que le sea asignada a la persona que revisó. En sus inicios debería ser asignada a mi bandeja ya que el usuario que está revisando las facturas es el mío y posterior cuando empiecen a llegar las respuestas de las vistas por cada uno de los usuarios, a ellos mismos.
**A continuación, relaciono los perfiles con la parametrización requerida.**
CARGOCCNOMBREPerfilProfesional en enfermería55069610Claudia Lorena Montealegre GarciaAuditor de cuentas hasta $49.999.999 de forma aleatoria indiferente del proveedorProfesional en enfermería53108492Sandra Patricia Aranzales OchoaAuditor de cuentas hasta $49.999.999 de forma aleatoria indiferente del proveedorProfesional en enfermería1010204648Diego Ferney Castellanos FlórezAuditor de cuentas hasta $49.999.999 de forma aleatoria indiferente del proveedorProfesional en enfermería39813915Maria Marcela Bermudez TautivaAuditor de cuentas hasta $49.999.999 de forma aleatoria indiferente del proveedorProfesional en enfermería93.237.264Edwin Giovanni Ayala PavaAuditor de cuentas hasta $49.999.999 de forma aleatoria indiferente del proveedorProfesional en enfermería53048074Leidy Tatiana Figueroa MorenoAuditor de cuentas hasta $49.999.999 de forma aleatoria indiferente del proveedorProfesional en medicina1020792806Brandon Arevalo BernalAuditor de cuentas iguales o &gt; $50.00.000 de forma aleatoria indiferente del proveedorProfesional en medicina36068234Astrid Lliana Muñoz AñazcoAuditor de cuentas iguales o &gt; $50.00.000 de forma aleatoria indiferente del proveedorProfesional en medicina39789340Sandra Zoraya Munevar AvilaAuditor de cuentas iguales o &gt; $50.00.000 de forma aleatoria indiferente del proveedor</t>
  </si>
  <si>
    <t>REANUDAR</t>
  </si>
  <si>
    <t>13/08/2025: Se inició el 12 de agosto con la adaptación de la bandeja a un formato más interactivo según los requerimientos solicitados. La prioridad está en entregar la funcionalidad de asignación antes que otros entregables. Se continúa con ajustes a consultas y pruebas.
20/08/2025: Se trabajó en la bandeja, realizando ajustes visuales y validaciones con Henry. Falta incluir los registros antiguos y revisar a fondo la parte de asignación, por lo que el avance se estima en un 50%.
22/08/2025: Se presentó la vista inicial con filtros y gráficas. Avance inicial, pendiente la implementación de la lógica de asignación de casos.
25/08/2025: Se avanzó en la mejora de la bandeja y se incluiran dos temas pendientes relacionados con inconsistencias: “sí” e “inconsistencias: no”. 
29/08/2025: Se avanzó en cambios de la bandera. Persisten ajustes en la bandeja de consulta debido a lentitud en la ejecución de consultas y validación de inconsistencias. Se están revisando alternativas (consultas completas vs parciales con Ajax).
01/09/2025: Se realizaron pruebas locales y se avanza en la incorporación de control de capacity.
03/03/2025: El 2 de septiembre se realizó un paso parcial del módulo de asignación, implementando la nueva bandeja de pendientes
09/09/2025: Se escala control de cambios MDSB-887065 para la adicion de dos columna a dos tablas existentes. Control de cambios ejecutado con exito.
10/09/2025: Avance en queries para indicadores de ANS, se estima entregar esta semana.
12/09/2025: Se presentó el desarrollo a Sandra, quien lo revisó y lo aprobó de manera preliminar. El componente de lógica ya está implementado, incluyendo la corrección de la bandeja, la asignación por radicados y el control de capacidad, Actualmente esta en construcción los dashboards de administración para evaluar la eficiencia de los auditores
Se está a la espera del visto bueno para pasar a producción y validar con datos reales.
15/09/2025: Se escala control de cambio a producción con el jira MDSB-890559.
25/09/2025: El control de cambios aún se encuentra pendiente de aprobación por parte del QA del cliente.
01/10/2025: Control de cambios ejecutado el 29 de septiembre,  Se realiza paso a producción de la  implementación en salud, de acuerdo al  resultado se iniciara implementación en ARL</t>
  </si>
  <si>
    <t>MDSB-887065</t>
  </si>
  <si>
    <t>MDSB-886547</t>
  </si>
  <si>
    <t>Acceso Ambiente de desarrollo</t>
  </si>
  <si>
    <t>Se identificaron problemas de acceso a discos (EBS y S3), lo que ha limitado avances en varios frentes. Se radicará un ticket para resolver la falta de conectividad y habilitar pruebas en desarrollo.</t>
  </si>
  <si>
    <t>20/08/2025: Se radica ticket  MDSB-867281  donde se informa que no es posible establecer conexión desde la instancia de desarrollo imaginex-1_dev
22/08/2025: Se solucionó parcialmente; aún pendiente la conexión a la BD. Ya se solicitó soporte a infraestructura.
25/08/2025: El viernes 22 de agosto dan respuesta al ticket MDSB-867281  solicitando  una sesion para validar la solicitud a mas detalle.
27/08/2025: Pendiente realizar las validaciones de acceso y de funcionalidad.
29/08/2025: Se retoma el trabajo en el ambiente de desarrollo, con la expectativa de avanzar en conjunto con Infraestructura  para habilitarlo lo antes posible.
01/09/2025: El ambiente fue instalado y se encuentra en funcionamiento; sin embargo, se evidencian intermitencias de acceso y desactualización de ramas. Se acordó actualizar develop con test
01/09/2025: Se escala  ticket MDSB-874115 a infraestructura  ya que la instancia imaginex-1_dev en la cuenta de desarrollo presenta error de conexión SSH y solo aprueba 1/2 comprobaciones de estado. Se solicita restablecer acceso y disponibilidad.
03/09/2025: Se presentaron fallas en la instancia, la cual no inicia debido a un error del servicio de indexación. Se está evaluando la recuperación mediante traslado de volumen o reinstalación, lo cual condiciona el avance de otras tareas dependientes.
04/09/2025: Dan respuesta  al ticket  MDSB-874115 indicandos  que se lanzó una nueva instancia (ID: i-0055e0ea3de37d018) debido a que la anterior no logró levantar. Se tomó una copia del disco principal, la cual se adjuntó a la nueva instancia (vol-0203305eb3ff72cd2), a partir del snapshot snap-07cb97698540a8583.
05/09/2025: Se habilitó nuevamente la instancia, pero sin configuraciones previas. Se debe realizar instalación completa del sistema operativo, librerías y aplicaciones desde cero. Este ajuste tiene alta prioridad para garantizar continuidad de trabajo en equipo.
08/09/2025: Se avanzó en la reinstalación completa del sistema operativo y la instalación de librerías y paquetes necesarios para restablecer el ambiente de desarrollo. Aunque no se logró finalizar el viernes, ya se tiene parte configurada (incluyendo virtual hosts). Se espera concluir con la instalación de PHP 8.2 y validación de aplicaciones.
09/09/2025: Se escala el caso solicitando la validación de la configuración de CloudFront en el ambiente de DEV, debido a que actualmente no permite el acceso a determinadas URLs
10/09/2025: Se configuró el sistema operativo y librerías; persiste problema con CloudFront. Esperar respuesta del ticket y reunión con Juan Sebastián para destrabar.
12/09/2025: Actualmente bloqueado por problemas de acceso a través de CloudFront. Se radicó ticket y se ha insistido en su atención. Mientras no se resuelva el acceso, no es posible validar las aplicaciones ni las conexiones en el entorno. Se está a la espera de respuesta del área encargada.
15/09/2025: A un estamos pendientes a la respuesta del ticket MDSB-886547 donde se reporta error  502 Bad Gateway generado por CloudFront. 
17/09/2025: Se obtiene respuiesta al ticket MDSB-886547, "se reimporta el certificado y se evidencia correcto funcionamiento."
19/09/2025: Se logró restablecer el ambiente de desarrollo bajando la versión de PHP a 7.2 y ejecutando ajustes necesarios. Se corrió composer en las aplicaciones y se dejaron las ramas en dev, aunque aún falta realizar el rebase para sincronizar con la rama ETS
22/09/2025: Ambiente de desarrollo quedó operativo, Se espera corrección en la instancia de Gravity para validar su funcionamiento.</t>
  </si>
  <si>
    <t>INTERNO-D021</t>
  </si>
  <si>
    <t>Actualización de versiones (PHP, Apache y librerías) en dev</t>
  </si>
  <si>
    <t>Una vez habilitado el ambiente de dev, se realizará la actualización a la nueva versión de PHP, junto con las librerías asociadas (ej. PostgreSQL, Apache). Se resaltó la importancia de revisar compatibilidad y replicar las librerías en la nueva versión.
03/09/2025: No ha sido posible aplicar actualizaciones dado que el ambiente continúa inestable. El requerimiento permanece bloqueado hasta la disponibilidad de la instancia.
10/09/2025: Migración a PHP 8.2 en curso; incidencias ya documentadas y solucionadas. Se Validara compatibilidad completa de aplicaciones.
12/09/2025: Las nuevas versiones ya fueron instaladas en el servidor. Falta ejecutar pruebas para validar su correcto funcionamiento, lo cual está bloqueado por el acceso al ambiente.
15/09/2025: Se realizaron avances en la actualización de la versión de PHP y sus librerías asociadas en el ambiente de desarrollo. La actividad está supeditada a la disponibilidad del entorno, que aún presenta bloqueos de acceso.
22/09/2025: Ajustes realizados en Virtual Host para unificación de versiones PHP que tienen pues como todos los ambientes en este momento.</t>
  </si>
  <si>
    <t>GD772-130</t>
  </si>
  <si>
    <t xml:space="preserve"> Modalidad Teletrabajo Transnacional</t>
  </si>
  <si>
    <t>**MODULO COBETURA EN EL EXTERIOR  TELETRABAJO TRANSNACIONAL**\r\nDescripción del requerimiento: De acuerdo a la reforma laboral, se debe incluir en la página web de la ARL concretamente en el módulo de reporte modalidades de trabajo, la opción de teletrabajo transnacional este ítem debe tener los mismos campos de trabajo en casa desde el exterior, que existe actualmente \r\nObjetivo: Que las empresa puedan reportar la modalidad de trabajo transnacional en la Página WEB de la Ley 2266 de 2025.\r\n\r\nLos campos que debe traer esta nueva modalidad de trabajo son los siguientes:\r\nTeletrabajo Transnacional \r\n➔ Número Identificación del trabajador Campo numérico (Obligatorio)\r\n➔ Nombres y apellidos del trabajador Campo de Texto (Obligatorio)\r\n➔ Número de teléfono del trabajador Campo numérico (Obligatorio)\r\n➔ País de residencia, seleccione de la lista desplegable (Obligatorio)\r\n➔ Ciudad de residencia: Seleccionar de lista desplegable (obligatorio)\r\n➔ Dirección residencia Campo de texto (Obligatorio)\r\n➔ Hora inicio labor: Seleccionar de la lista (campo opcional)\r\n➔ Hora fin labor: Seleccionar de la lista (campo opcional)\r\n➔ Hora inicio de almuerzo: Seleccionar de la lista (campo opcional)\r\n➔ Hora fin de almuerzo: Seleccionar de la lista (campo opcional)\r\n➔ Fecha de inicio Seleccionar de la lista (campo obligatorio)\r\n➔ Fecha fin; Seleccionar de la lista (campo opcional)\r\n➔ Jornadas , Seleccionar de la lista “ Semanal o flexible” (si el usuario selecciona flexible se\r\nhabilita un campo de texto en el que se indique el mecanismo) “ máximo 200 caracteres”\r\n➔ Clase de Riesgo trabajador .Seleccionar de la lista desplegable\r\n➔ Descripción de actividades, Seleccionar de la lista desplegable\r\nPor otro lado se debe dejar un campo para que la empresa suba la póliza y sus anexos,   para que la ARL tenga el conocimiento, que el empleador cuanta con esta póliza para q las prestaciones asistenciales del trabajador en la modalidad de teletrabajo transnacional.\r\nNota , En este ítem ,debe relacionarse la siguiente nota:  “Recuerde que el teletrabajo transnacional es aquel en donde los teletrabajadores y teletrabajadoras de una relación laboral celebrada en Colombia laboran desde otro país, siendo responsabilidad del teletrabajador o teletrabajadora tener la situación migratoria regular, cuando aplique, y responsabilidad del empleador contar con un seguro que cubra al menos las prestaciones asistenciales en salud en caso de accidente o enfermedad (literal d) del artículo 52 de la Ley 2466 de 2025).\r\n</t>
  </si>
  <si>
    <t>22/08/2025: Avance del 50%. Se implementó parte de la lógica y la notificación/modal de información. Se espera entregar hoy para pruebas.
22/08/2025: Entrega  requerimiento en test para  pruebas, pendiente realizar ajustes de forma.
25/08/2025: El desarrollo fue finalizado y se corrigieron observaciones recientes. Actualmente se encuentra en etapa de pruebas.
27/08/2025: Requerimiento listo para entregar al cliente.
28/08/2025: Se debe habilitar la opción de carga de adjuntos con tres categorías: (1) Póliza y (2) Contrato, ambos de carácter obligatorio, y (3) Otros anexos, de carácter opcional. Estas opciones deben estar disponibles tanto para el cargue individual de trabajadores como para el cargue masivo.
29/08/2025: El ajuste en modalidades no se pudo trabajar ayer , pero se asignó como prioridad para el día de hoy.
01/09/2025: El desarrollo se encuentra implementado; sin embargo, en las pruebas realizadas se identificó que algunos adjuntos se mezclaban al momento de mostrarse. Queda pendiente ajustar este comportamiento y completar las pruebas locales para iniciar las pruebas en en test.
02/09/2025: El desarrollo quedo funcional en el ambiente de test el 01 de septiembre y hoy 2 de septiembre  se le in forma al cliente  para que inicien sus pruebas.
03/09/2025: El 2 de septiembre el cliente reportó tres hallazgos durante las pruebas, los cuales fueron solucionados. Hoy el cliente confirmó la ejecución exitosa de las pruebas y aprobó el paso a producción.
08/09/2025: Paso a produccion realizado el 03 de septiembre.</t>
  </si>
  <si>
    <t>MDSB-868186</t>
  </si>
  <si>
    <t xml:space="preserve">jiras dïa a dïa(  Informe general de autorizaciones está trayendo los radicados duplicados)  </t>
  </si>
  <si>
    <t xml:space="preserve">**Error al generar el informe autorizaciones general en ambiente salud**\n\nDesde el día viernes al generar el informe general de autorizaciones (ver imagen1), la base está trayendo los radicados duplicados cuando debe traer un solo registro por radicado desde la fecha de radicación hasta la fecha de cierre y no por actividad. \n\nSe adjuntan los archivos del informe, el denominado Base Error corresponde a cómo está generando el informe actualmente y el denominado Base Correcta (que fue generado el jueves) corresponde a como lo debe generar con un solo registro por radicado. </t>
  </si>
  <si>
    <t>22/08/2025 : Se identifica que el histórico muestra registros duplicados porque la tipología está asociada a dos áreas, y por ello el query trae los casos de cada una de ellas, Jesus confima solucion  pero al consultar el  informe presenta un  error que indica que al acceder a una columna llamada id que no existe en la tabla raddepartamentos, pendiente ajustar.
22/08/2025: Error corregido, actualmente el informe presenta la información de manera correcta.</t>
  </si>
  <si>
    <t>INTERNO-D022</t>
  </si>
  <si>
    <t>Event Party Financiero (plan de ejecución y reducción de costos)</t>
  </si>
  <si>
    <t>\n**Descripción:**\nSe debe elaborar un plan de ejecución por fases (documentación, objetivos, métricas y validaciones técnicas/no técnicas) para participar en el Event Party Financiero. El propósito principal es reducir costos de infraestructura tecnológica, evaluando alternativas como modelos híbridos de servidores y optimización de recursos. El plan debe contemplar:\n\nIdentificación de la infraestructura actual.\n\nEstrategias para reducción de costos (comparativas y porcentajes).\n\nDocumentación técnica y no técnica solicitada por la organización del evento.\n\nPreparación de entregables para cada fase (4 fases en total).\n\nEjecución y validación de resultados en las fechas del evento (16 y 17 de septiembre).</t>
  </si>
  <si>
    <t>22/08/2025: Se encuentra en la fase 3 de 4, con un avance estimado del 60% en documentación (se espera llegar al 80% la próxima semana). Se requiere apoyo de infraestructura y arquitectura para avanzar más rápido. La ejecución final está prevista para el 16-17 de septiembre.
27/08/2025: Se continúa con el avance de la fase 3 y se dará inicio a la fase 4.
01/09/2025: El avance se encuentra detenido parcialmente por depender de información de la PO. Se diligenció documentación parcial y queda pendiente un último punto para completar la entrega.
03/09/2025: La documentación fue completada en conjunto con Carlos y se encuentra finalizada. Actualmente el requerimiento está a la espera únicamente de la ejecución del evento.
19/09/2025: Evencto realizado el 18 de septiembre.
22/09/2025: participó en la actividad el 18 y 19 de septiembre, se cumplió con los objetivos planteados en la documentación, aunque el equipo quedó en cuarto puesto.</t>
  </si>
  <si>
    <t>INTERNO-D024</t>
  </si>
  <si>
    <t>Cambio de certicados  de seguridad del servidor test y produccion</t>
  </si>
  <si>
    <t>05/09/2025: El 4 de septiembre se implementaron los certificados  satisfactoriamente en ambiente de test y posteriormente en producción durante la noche. El requerimiento quedó finalizado.</t>
  </si>
  <si>
    <t>INTERNO-D025</t>
  </si>
  <si>
    <t>Mejoras Sistema de reembolsos Salud (mejoras solicitadas por gerencia)</t>
  </si>
  <si>
    <t>**Se requiere para el portal de Reembolsos:**\n- Visualización de facturas: poder ver la factura que estoy radicando, consultar si ya fue radicada, en qué estado se encuentra y tener un tiempo estimado de respuesta.\n- Gestión de casos y observaciones: cuando tenga un problema con un caso, poder digitar en la observación el número de caso y mi documento, para que el sistema asocie automáticamente el comentario al caso correspondiente y me permita reabrirlo si es necesario.</t>
  </si>
  <si>
    <t>05/09/2025: Se registra un avance estimado del 15%. La labor ha requerido investigación y entendimiento del proceso, por lo cual el progreso ha sido gradual. Continúa en desarrollo.
08/09/2025: El avance fue mínimo (aprox. 5%), debido a la priorización de la reinstalación del ambiente de desarrollo. El trabajo continuará hoy con mayor dedicación.
10/09/2025: Desarrollo con tres actividades; una ya  se esta probando, Se estima entregar primer avance esta semana.
121/09/2025: Se avanzó en la primera actividad del requerimiento, alcanzando un 50% de desarrollo. Se requiere desplegar en el ambiente de pruebas (test) para continuar con las validaciones.
15/09/2025: El viernes  12 de deptiembre se trabajó en optimizar el tiempo de respuesta del sistema de reembolsos, reduciendo la demora causada por procesos adicionales en el consumo de la API. Se planea subir los cambios al ambiente de pruebas durante el día.
16/09/2025: Cambios suibidos al ambiente de test  el 15 de septiembre para iniciar pruebas.
16/09/2025: Se realizan pruebas y se identifican problemas en el consumo del servicio (API).
07/11/2025: Proximo a reiniciar  ajustes  en el consumo</t>
  </si>
  <si>
    <t>INTERNO-D026</t>
  </si>
  <si>
    <t>Optimización del ambiente de pruebas</t>
  </si>
  <si>
    <t>Se requiere garantizar la estabilidad y disponibilidad del ambiente de pruebas, dado que se han presentado fallas por falta de espacio en el almacenamiento de la raíz, lo que ha impedido la creación de carpetas necesarias para la ejecución de procesos bajo FPM. El objetivo del requerimiento es liberar y optimizar el uso del espacio, así como asegurar que el servicio de FPM se ejecute de forma continua y sin interrupciones, permitiendo la validación y despliegue de desarrollos en condiciones adecuadas de prueba.</t>
  </si>
  <si>
    <t>05/09/2025: Se identificó que el almacenamiento en raíz estaba lleno, lo que impedía la creación de carpetas requeridas por FPM. Se liberó espacio parcialmente y se estabilizó temporalmente el servicio. Se mantiene monitoreo en conjunto con Wilson.
08/09/2025: Hoy el ambiente presenta  error "504 Gateway Time-out", Se escala  el ticket MDSB-879053 ya que  la instancia imaginex_imaginex-1_stage (ID: i-0656b5dc31eab8a8d) de la cuenta 886662616829 no funciona.
10/09/2025: El 8 de septiembre dan respuesta indicando que la instancia se pauso por que estaban instalando un servicio de phyton.</t>
  </si>
  <si>
    <t>INTERNO-JE2</t>
  </si>
  <si>
    <t>Errores intermitentes en casos y correos en test (colas Laravel)</t>
  </si>
  <si>
    <t>Se presenta intermitencia en el envío de correos de notificación de radicación en el portal ARL, así como en la replicación de casos en Nativo (entorno de pruebas).</t>
  </si>
  <si>
    <t>10/09/2025: Se detectó posible conflicto con workers en otros ambientes. se realizaran pruebas adicionales antes de escalar.
12/09/2025: No se han realizado avances desde la última reunión. El tema sigue pendiente por revisión y asignación de tiempo para su análisis.
30/09/2025: Se realiza un cambio de enfoque en la cola para que los casos repliquen correctamente en el aplicativo.</t>
  </si>
  <si>
    <t>GD772-141</t>
  </si>
  <si>
    <t>OFICINA  EXPRES  ARL -IA</t>
  </si>
  <si>
    <r>
      <rPr>
        <rFont val="Quattrocento Sans"/>
        <color theme="1"/>
        <sz val="10.0"/>
      </rPr>
      <t xml:space="preserve">16/09/2025: El 15 de septiembre se escala  ticket MDSB-891056  solicitando el aprovisionamiento de una máquina en la nube para el entrenamiento del modelo AI de Oficina Express,
19/09/2025: No se reportan avances recientes, el progreso depende de otro integrante (Cliente) y no ha habido movimientos en el requerimiento.
22/09/2025: El Viernes 20 de septiembre se resolvieron las dudas en reunión previa y se avanzó en el desarrollo.
23/09/2025: 22 de septiembre confirman creación de la maquina solicitada.
24/09/2025: Se avanzó en la implementación del modelo y del backend con su respectivo API, incluyendo entrenamiento inicial y pruebas. Se instaló la librería en la nueva instancia y se trabaja en la configuración de DNS para permitir el consumo desde otras instancias.
25/09/2025: Se esta montando el modelo en la instancia y probando la conexión con el dataset
26/09/2025: Se encuentra implementando la  instancia, y  se  identificó que la instancia entregada tiene menor capacidad de la solicitada lo cual sera reportado hoy.
29/09/2025: se reportó por correo que dicha instancia no cumplía con las especificaciones indicadas en el ticket, situación que fue corregida mediante el cambio a una nueva instancia. Sin embargo, la instancia anterior fue eliminada, por lo que actualmente se encuentra en proceso de reinstalación de librerías y configuración en la nueva instancia.”, Se espera finalizar instalación y publicación en test del servicio API.
01/10/2025: El modelo ya fue montado en la instancia y se encuentra en entrenamiento con datos reales. Sin embargo, el avance está limitado por la falta de comunicación entre servidores, necesaria para exponer el modelo como API y realizar pruebas de consumo. También se requiere acceso a la base de datos de producción para facilitar la extracción de información y garantizar un entrenamiento más alineado con el entorno final.
03/10/2025:  Se avanzó en el entrenamiento del modelo con tipologías depuradas, ajustando la información a 29 clases, aunque actualmente solo se entrenan 8 por falta de insumos. Persiste la limitación de conexión directa a producción, pero el proceso está casi listo para pruebas de radicación.
Se identificó que no existía conexión desde la instancia imaginex_ec2_private1 (i-01100c19c4e024efe) hacia la nueva instancia oficinaexpress-new-imaginex-stage-ec2. La situación se escaló mediante el ticket MDSB-903680, en el cual informan que ya se realizaron los ajustes requeridos para habilitar la conexión
Probando modelo con datos extraidos de producciñon
06/10/2025: Se avanzó en la implementación de la lógica para la radicación de casos; sin embargo, persisten dificultades de acceso a los ambientes de pruebas (TES), las cuales se espera resolver hoy. Se logró restablecer las credenciales de la VPN y se prevé finalizar el desarrollo entre hoy y mañana, dependiendo del restablecimiento de accesos.
22/10/2025: El 21 de Octubre se realizó el análisis de la documentación enviada por Freddy y se depuró el listado de tipologías a entrenar, quedando en 48 tipologías seleccionadas para el modelo con el fin de reducir ruido y mejorar estabilidad.
23/10/2025: Se reciben manuales de autorizaciones, Reembolsos e incapacidades, faltando  modalidades  y proveedores.
Se definen 63 tipologias finales para el entrebamiento del modelo.
24/10/2025: El requerimiento presenta avance significativo en la lógica y configuración del modelo IA, con resultados estables en local. Está previsto desplegar los cambios en ambiente de Test durante el día para iniciar pruebas la próxima semana.
27/10/2025: El componente ya fue desplegado en ambiente de test el 24 de octubre e integrado con los elementos funcionales requeridos. Actualmente se trabaja en el entrenamiento con datos reales para incrementar el nivel de confianza en las respuestas del modelo
29/10/2025: Se continúa con el mejoramiento de la lógica y diseño del modelo, además del entrenamiento
31/10/2025: El modelo se encuentra en fase de entrenamiento y ajuste de parámetros
Pendiente: Finalizar entrenamiento y entregar el modelo con datos ajustados antes de finalizar la semana.
05/11/2025: Se realizó la presentación del desarrollo al cliente, mostrando el funcionamiento del modelo de inteligencia artificial en la clasificación de solicitudes dentro de Oficina Express.
Durante la sesión, se definió que el modelo debe permitir, además, radicar los casos una vez finalizada la clasificación, iniciando el proceso formal de radicación de solicitudes ARL.
En atención a esta nueva necesidad, se acordó iniciar el desarrollo complementario
 despues de realizar la clasificación, para lo cual se debe iniciar con el desarrollo 
07/11/2025: Se avanzó en la configuración de parámetros y consumo de servicios. Se está utilizando información histórica de la base de datos para pruebas mientras se definen los insumos definitivos.
10/11/2025: Pendiente reactivar pruebas una vez se solucione el problema de replicación y AJUSTE VENTANA ERROR EN PORTALES
12/11/2025:  se ajustaron los parámetros y se realizaron pruebas adicionales.
Se realiza presentacion de avances el grupo  de imagiene y gerencia.
 14/11/2025:  Ayer se extrajo información desde producción para construir la base de datos de Oficina Express (50%), se desplegaron y validaron los cambios en test (100%), se avanzó en la radicación del caso (85%) y se entrenó el modelo en test (60%). Hoy se continúa trabajando en la radicación del caso y en el ajuste del entrenamiento del modelo en ambiente de test (progreso actual 50%). Quedan pendientes completar la radicación y finalizar los ajustes del modelo para alcanzar los objetivos de precisión.
18/11/2025: Se realiza entrega al cliente para inicio de las  poruebas. y pendiente de poarte del  cliente la entrega  de los manuales para las tarjetas faltantes del portal
24/11/2025: El Viernes 21 de noviembre se recibió un documento con evidencias de pruebas. Pendiente revisión detallada para identificar ajustes adicionales y validar si se requiere nuevo entrenamiento del modelo.
26/11/2025: Se avanza en un 95% en la radicación del caso, quedando pendientes ajustes en datos básicos y la revisión de incidencias detectadas en pruebas del cliente. El modelo en ambiente de Test mantiene buen desempeño, aunque se evaluará si se requiere un nuevo ciclo de entrenamiento según las inconsistencias encontradas. La extracción de información desde producción aún no inicia por falta de acceso autorizado, pero está previsto reutilizar el modelo validado en Test para el despliegue final. Adicionalmente, La información enviada por Imagine respecto al despliegue de la instancia de Oficina Express y al escalamiento de recursos en producción indica que, a partir de este punto, corresponde al cliente la creación del ticket en Jira para solicitar el escalamiento a infraestructura. Este paso es un requisito necesario para poder continuar con la siguiente fase del flujo de Oficina Express.
 01/12/2025: El viernas 28 de noviembre se implementaron casi todas las recomendaciones entregadas por IBEC. Únicamente falta ajustar la carta de la respuesta. El avance general del entregable se mantiene en 95%.
10/12/2025: Entre el 4 y 9 de diciembre se avanzó en la implementación de las reglas de Oficina Virtual dentro de Oficina Express, actividad que no se realizó inicialmente porque las tipologías recibidas correspondían a Nativo, donde no existen dichas reglas. Con la matriz final entregada por Fred, el desarrollo avanza y se encuentra próximo a finalizar. El objetivo del día es completar la implementación. Se estima entregar los ajustes antes del mediodía para continuar con otras tareas.
17/12/2025: Se revisaron incidencias encontradas durante las pruebas realizadas por el equipo funcional. No se resolvieron aún, ya que se esperaba el cierre del ciclo completo de pruebas para abordarlas de manera conjunta
18/12/2025: Se informa al cliente que pueden realizar validaciones controladas en Producción únicamente con el siguiente nit 123456789 para identificar fácilmente que son pruebas y no se deben gestionar los casos.   </t>
    </r>
    <r>
      <rPr>
        <rFont val="Quattrocento Sans"/>
        <color rgb="FF1155CC"/>
        <sz val="10.0"/>
        <u/>
      </rPr>
      <t>https://imaginex-arlbolivar.segurosbolivar.com/oficina/express/1</t>
    </r>
    <r>
      <rPr>
        <rFont val="Quattrocento Sans"/>
        <color theme="1"/>
        <sz val="10.0"/>
      </rPr>
      <t xml:space="preserve"> </t>
    </r>
  </si>
  <si>
    <t>INTERNO-JE025</t>
  </si>
  <si>
    <t>Configuración de colas (Supervisor en producción – nuevo portal)</t>
  </si>
  <si>
    <t>Jesus, solicitó creación y configuración del supervisor para colas en producción.</t>
  </si>
  <si>
    <t>01/10/2025: El supervisor configurado inicialmente en test presentó conflictos con las colas y fue eliminado. Se implementó un PM2 dedicado en test, replicando el esquema que funciona en el servidor antiguo. Se realizaron pruebas preliminares con resultados positivos, pero se requiere ejecutar pruebas integrales en todo el  portal  (incluyendo Bolívar) antes de replicar la solución en producción.
06/10/2025: Se Confirgura supervisor en producción.</t>
  </si>
  <si>
    <t>INTERNO-F007</t>
  </si>
  <si>
    <t>Pruebas integrales portal ARL test  (Supervisor en producción – nuevo portal)</t>
  </si>
  <si>
    <t>Se requiere realizar pruebas en el ambiente de test para validar el correcto funcionamiento de los procesos encolados en los portales ARL bajo la gestión de PM2, asegurando que las radicaciones, consultas y replicaciones de información en los aplicativos asociados operen de manera estable antes de su paso a producción.</t>
  </si>
  <si>
    <t>01/10/2025: Se inicia con la validación de radicación de solicitudes ARL
03/10/2025: De acuerdo con el plan de pruebas ejecutado en los portales ARL, se validó que los procesos encolados de radicación, consulta y generación de información operan correctamente en el ambiente de test.
No obstante, se identificaron algunos aspectos que requieren validación adicional, se envia resultados de las pruebas a desarrollo para su validacion.</t>
  </si>
  <si>
    <t>INTERNO-JE003</t>
  </si>
  <si>
    <t>Implementar cambio de contraseña a 30 dias en los tres aplicativos</t>
  </si>
  <si>
    <t>Se tiene previsto evacuar los requerimientos prioritarios para poder dar inicio a las validaciones correspondientes</t>
  </si>
  <si>
    <t>GD772-161_2</t>
  </si>
  <si>
    <t>Pruebas  Automatización actas de prevención Formato AT- 031 Agr”</t>
  </si>
  <si>
    <t>05/12/2025:Se realizan pruebas iniciales satisfactorias y se identifican algunos detalles de forma que fueron solucionados durante el proceso. Se espera que el martes 9 de diciembre finalice el envío del caso certificado y, posteriormente, se continuará con las pruebas correspondientes.
09/12/2025: Se continua con las pruebas  identificando errores en la validación de los adjuntos, y se adelanta la documentación de las  pruebas.
10/12/2025:Se realizarán validaciones sobre los ajustes implementados por Jesús y se continuará con las pruebas relacionadas con la extracción del correo desde el PDF para el envío de la respuesta, así como la verificación de que el adjunto correspondiente quede correctamente asociado al caso.
12/12/2025: Las pruebas de extracción de correo y la carta de respuesta  adjunta al  caso, fueron exitosas.
Queda pendiente la  implementación de la asignación del usuario responsable a la devolución mail y la asignación al usuario responsable  de los casos que el pdf no con tenga correo para que se gestionen manualmente.</t>
  </si>
  <si>
    <t>GD772-164</t>
  </si>
  <si>
    <t xml:space="preserve">Ajuste por exchange de respuestas de no radicación
</t>
  </si>
  <si>
    <t>Solicitamos por favor que las respuestas de "No es posible procesar solicitud"salgan por el canal masivo de correo Exchange con copia oculta al correo de servicioarl2@segurosbolivar.com, con el propósito de dejar copia de la trazabilidad y no llenar cuota del correo electrónico.</t>
  </si>
  <si>
    <t>28/10/2025: Se realiza ajuste en el correo de ARL</t>
  </si>
  <si>
    <t>GD772-165</t>
  </si>
  <si>
    <t xml:space="preserve">Copias de salida exchange.
</t>
  </si>
  <si>
    <t>Se solicita por favor que toda la información que actualmente genera salida por exchange y no cuenta con trazabilidad de envio genere copia oculta al correo servicioarl2@segurosbolivar.com.
Esto aplica para todos los envios a excepción de los que hoy generan copia al correo de novedades.</t>
  </si>
  <si>
    <t>31/10/2025: Se inicia el ajuste solicitado y se despliega en el ambiente de test para su validación, obteniendo resultados exitosos en las pruebas realizadas.
31/10/2025: Ajuste desplegado en producción.</t>
  </si>
  <si>
    <t>POR ASIGNAR</t>
  </si>
  <si>
    <t xml:space="preserve">GD772-168 </t>
  </si>
  <si>
    <t>Orquestador de incapacidades</t>
  </si>
  <si>
    <r>
      <rPr>
        <rFont val="Quattrocento Sans"/>
        <color theme="1"/>
        <sz val="11.0"/>
      </rPr>
      <t xml:space="preserve">Orquestador de Incapacidades
</t>
    </r>
    <r>
      <rPr>
        <rFont val="Quattrocento Sans"/>
        <b/>
        <color theme="1"/>
        <sz val="11.0"/>
      </rPr>
      <t>Objetivo</t>
    </r>
    <r>
      <rPr>
        <rFont val="Quattrocento Sans"/>
        <color theme="1"/>
        <sz val="11.0"/>
      </rPr>
      <t xml:space="preserve">
Automatizar el flujo completo de radicación, validación, liquidación y confirmación de incapacidades en el entorno ARL, integrando los sistemas IMAGINE, TRONADOR y SISALUD ARL mediante un orquestador de procesos, reduciendo la intervención manual y los errores operativos.
Alcance
El desarrollo contempla:
Automatización de las etapas del proceso de incapacidades desde la radicación hasta la confirmación del giro de pago.
Integración de servicios y APIs entre IMAGINE, TRONADOR y SISALUD ARL.
Implementación de validaciones automáticas de negocio y reglas parametrizables.
Generación de trazabilidad de cada fase dentro del flujo en IMAGINE.
Comunicación automática con el cliente final según resultado del proceso.
Descripción funcional
1. Registro de incapacidad
El cliente accede al portal de ARL y registra la incapacidad en IMAGINE.
Se adjunta el soporte documental (PDF o imagen).
Se invoca un servicio de OCR que extrae variables clave del documento.
Los datos radicados se complementan automáticamente y se genera confirmación de radicación.
Se consulta el API de TRON para precargar datos de cuenta. Si no están actualizados, se permite su actualización en línea.
2. Análisis automático
El orquestador ejecuta reglas de validación para revisar consistencia y completitud de datos.
Si se detectan errores o excepciones, IMAGINE asigna el caso al analista correspondiente.
No requiere intervención manual estándar.
3. Radicación en SISALUD ARL
El orquestador identifica radicaciones en IMAGINE pendientes de procesamiento.
Consulta datos de póliza desde TRONADOR y SISALUD ARL.
Ejecuta validaciones de negocio y registra automáticamente la incapacidad en SISALUD ARL.
Devuelve el resultado a IMAGINE, actualizando el estado del flujo.
4. Liquidación
El sistema consulta datos desde el lago de datos y aplica reglas de liquidación.
Si el monto supera un parámetro configurado, el orquestador deriva el caso para revisión humana.
Reglas principales:
Validar por número de cédula si la última novedad laboral es retiro previo a la incapacidad → liquidar por flujo manual.
Si el siniestro presenta marca de fallo judicial, asignar automáticamente el caso al analista correspondiente.
5. Confirmación de pago
Mediante un API de validación, se confirma la creación y ejecución de órdenes de pago en SISALUD ARL.
Si la transacción es exitosa → IMAGINE notifica al cliente.
Si presenta error → IMAGINE notifica la incidencia y genera tareas pendientes para el analista.
Integraciones
IMAGINE: punto central del flujo, gestión documental y trazabilidad.
TRONADOR: consulta de pólizas y datos de terceros.
SISALUD ARL: radicación, liquidación y generación de órdenes de pago.
OCR Service: lectura y extracción de datos del soporte de incapacidad.
Orquestador de procesos: componente central de automatización e integración.
Parámetros configurables
Monto máximo para liquidación automática.
Reglas de validación de negocio.
Reintentos y tiempos de espera para cada API.
Mensajes automáticos de notificación al cliente.
Beneficios esperados
Reducción significativa del tiempo de gestión de incapacidades.
Eliminación de reprocesos manuales y errores de digitación.
Mejora en la trazabilidad y control del proceso.
Optimización de la experiencia del cliente final.</t>
    </r>
  </si>
  <si>
    <t>ESTIMAR</t>
  </si>
  <si>
    <t>GD772-141_1</t>
  </si>
  <si>
    <r>
      <rPr>
        <rFont val="Quattrocento Sans"/>
        <color theme="1"/>
      </rPr>
      <t>OFICINA  EXPRES  ARL -IA</t>
    </r>
    <r>
      <rPr>
        <rFont val="Quattrocento Sans"/>
        <b/>
        <color theme="1"/>
      </rPr>
      <t xml:space="preserve"> Extracción de información en producción</t>
    </r>
  </si>
  <si>
    <t xml:space="preserve"> Extracción de información real en producción para la construcción de la base de datos de Oficina Express.</t>
  </si>
  <si>
    <t>18/11/2025:  El 14 de noviembre se da Inicio de la construcción de la base de datos a partir de registros productivos para alimentar el modelo y los procesos de radicación
19/11/2025: Se continuó con la obtención y depuración de registros productivos, validando campos clave para que la base de datos soporte de forma consistente el entrenamiento del modelo y los procesos de radicación.
24/11/2025: Actividad continua y progresiva. Actualmente estimada en 60%, pero seguirá ejecutándose mientras sea necesaria para enriquecer el entrenamiento del modelo.
26/11/2025: La extracción completa aún no inicia debido a que no se cuenta con acceso autorizado en producción. La intención es reutilizar el modelo validado en Test y completar el entrenamiento una vez se habiliten los permisos para realizar la descarga masiva.
El 24 de noviembre  imgine entregó la información y correcciones solicitadas al cliente para la implermentación de la instancia en producción. La radicación de la solicitud a infraestructura  por medio de Jira  queda ahora en manos del cliente.
01/12/2025: La extracción es un proceso continuo. Se realizaron nuevas pruebas con datos que anteriormente fallaban y ahora funcionan correctamente. El avance estimado se actualiza al 80%.
03/12/2025: El avance de extracción se actualizó al 85%. Se continúa extrayendo información real para usar en el entrenamiento y en la validación del flujo. No se registran bloqueos en esta actividad
10/12/2025:  Inicio de la construcción de la base de datos a partir de registros productivos para alimentar el modelo y los procesos de radicación.
18/12/2025:  Inicio de la construcción de la base de datos a partir de registros productivos para alimentar el modelo y los procesos de radicación.</t>
  </si>
  <si>
    <t>GD772-141_2</t>
  </si>
  <si>
    <r>
      <rPr>
        <rFont val="Quattrocento Sans"/>
        <color theme="1"/>
      </rPr>
      <t xml:space="preserve">OFICINA  EXPRES  ARL -IA </t>
    </r>
    <r>
      <rPr>
        <rFont val="Quattrocento Sans"/>
        <b/>
        <color theme="1"/>
      </rPr>
      <t>Radicación del caso</t>
    </r>
  </si>
  <si>
    <t>Avance en la radicación del caso correspondiente al flujo de Oficina Express.</t>
  </si>
  <si>
    <t>18/11/2025: El 14 de noviembre se realizan Ajustes sobre el flujo de radicación y validaciones asociadas al envío, con seguimiento al comportamiento en test.
19/11/2025: Se ajustaron validaciones del flujo de envío, se revisaron escenarios de prueba en el ambiente de test y se documentaron los casos de uso para asegurar trazabilidad del proceso.
24/11/2025: La radicación presenta avance significativo y estaría completándose entre hoy y mañana. Se ajustaron condiciones recibidas el viernes y se prevé dejar una versión previa lista al finalizar la radicación.
26/11/2025:  La radicación presenta un avance del 95%. Se identificaron ajustes pendientes en los datos básicos del formulario y una incidencia reportada durante la prueba manual (un campo no se estaba actualizando correctamente). Se espera finalizar estos ajustes hoy para dejar la radicación completamente operativa
01/12/2025: La radicación estuvo lista el viernes 28 de noviembre,pero presentó fallas al intentar ejecutar el registro del caso. Actualmente ya clasifica correctamente la tipología y procesa los datos, con un avance cercano al 98%. Hoy se continúa revisando el detalle que impide completar la radicación para dejarla totalmente operativa.
03/12/2025: Se completaron los cambios en la radicación y ya se validó correctamente desde el ambiente local y en Test. Sin embargo, el caso está radicando pero no se está replicando en Nativo. Se identificó que la ejecución desde Portales está intentando consumir la clase de Nativo desde Oficina Virtual, lo cual provoca que la cola no encuentre la clase adecuada. El equipo sugirió configurar la ejecución desde una cola específica para Portales o redirigirla a las colas de Bolívar para que el proceso se ejecute correctamente. Pendiente revisar con apoyo de Jesús y ajustar el método de ejecución 
05/12/2025: La replicación ya funciona al 100% después de ajustar la cola que ejecuta el proceso desde Portales. Se identificaron inconsistencias iniciales en algunas tipologías, pero todas fueron corregidas. Falta definir una nueva actividad relacionada con las 21 tipologías que realmente aplican para Oficina Virtual, ya que las suministradas inicialmente no estaban alineadas (se encontraron repetidas, mal clasificadas y campos obligatorios que no correspondían). Pendiente recibir la nueva relación de tipologías válidas para completar esta fase.</t>
  </si>
  <si>
    <t>GD772-141_3</t>
  </si>
  <si>
    <r>
      <rPr>
        <rFont val="Quattrocento Sans"/>
        <color theme="1"/>
      </rPr>
      <t xml:space="preserve">OFICINA  EXPRES  ARL -IA </t>
    </r>
    <r>
      <rPr>
        <rFont val="Quattrocento Sans"/>
        <b/>
        <color theme="1"/>
      </rPr>
      <t>Entrenamiento del modelo en ambiente de test</t>
    </r>
  </si>
  <si>
    <t xml:space="preserve"> Entrenamiento del modelo en el ambiente de pruebas.</t>
  </si>
  <si>
    <t>18/11/2025: El 14 de noviembre se realiza   Ajuste de parámetros y pruebas sobre el modelo para mejorar la clasificación y comportamiento antes de su uso definitivo.
19/11/2025: Ayer 18 de noviembre  se dejo con un entrenamiento y se esta a la espera de resultados de las pruebas.
24/11/2025: El modelo ha mejorado el entendimiento de contexto tras pruebas del viernes. Se incrementa su avance estimado a 80%. A partir de resultados de pruebas nuevas, se corregirán inconsistencias y se completará el entrenamiento.
26/11/2025: El modelo mostró buen comportamiento en las pruebas recientes, pero se detectaron inconsistencias asociadas a los cambios aplicados el viernes 21 de noviembre. Hoy se revisarán las incidencias para determinar si es necesario ejecutar un nuevo ciclo de entrenamiento y ajustar el entendimiento contextual del modelo.
03/12/2025: Se incrementó el avance del entrenamiento al 90%. Se extrajo nueva información desde producción para mejorar los datos de entrenamiento en Test. El modelo está respondiendo mejor, pero está pendiente una validación final dependiendo de la resolución del problema de replicación en Nativo.
05/12/2025:  No se realizaron avances en entrenamiento durante los últimos días, debido a que se priorizó el ambiente de desarrollo. El requerimiento se mantiene pausado hasta que se concluya la estabilización completa del entorno.
10/12/2025: El entrenamiento del modelo no presenta avances recientes debido a que se estaba en etapa de pruebas y aún no se ha recibido feedback de los resultados anteriores. El requerimiento permanece en espera de la retroalimentación funcional.
10/12/2025 Ajuste de parámetros y pruebas sobre el modelo para mejorar la clasificación y comportamiento antes de su uso definitivo
17/12/2025: Las incidencias asociadas al entrenamiento ya están identificadas y se consideran de rápida solución;
18/12/2025: Ajuste de parámetros y pruebas sobre el modelo para mejorar la clasificación y comportamiento antes de su uso definitivo.</t>
  </si>
  <si>
    <t>GD772-141_4</t>
  </si>
  <si>
    <r>
      <rPr>
        <rFont val="Quattrocento Sans"/>
        <color theme="1"/>
      </rPr>
      <t xml:space="preserve">OFICINA  EXPRES  ARL -IA </t>
    </r>
    <r>
      <rPr>
        <rFont val="Quattrocento Sans"/>
        <b/>
        <color theme="1"/>
      </rPr>
      <t>Reglas de validación dinámicas (Yii / Administración)</t>
    </r>
  </si>
  <si>
    <t>Configuración de reglas de validación dinámicas para campos y adjuntos de Oficina Express administrados desde Yii.</t>
  </si>
  <si>
    <t>12/12/2025: El 10 de diciembre se habilitaron los campos y adjuntos obligatorios desde la administración, con impacto directo en la validación del proceso en Oficina Express.</t>
  </si>
  <si>
    <t>GD772-141_5</t>
  </si>
  <si>
    <r>
      <rPr>
        <rFont val="Quattrocento Sans"/>
        <color theme="1"/>
      </rPr>
      <t xml:space="preserve">OFICINA  EXPRES  ARL -IA </t>
    </r>
    <r>
      <rPr>
        <rFont val="Quattrocento Sans"/>
        <b/>
        <color theme="1"/>
      </rPr>
      <t>Despliegue en la instancia privada de test)</t>
    </r>
  </si>
  <si>
    <t>Despliegue de cambios de Oficina Express en la instancia privada.</t>
  </si>
  <si>
    <t>12/12/2025: El 11 de diciembre la actividad no se pudo completar, no fue posible acceder a la instancia desde la consola de administración de AWS. Se reportó en el ticket MDSB-944861
17/12/2025: Confirman conexcion a la instancia.
18/12/2025:  La actividad no se pudo completar el día de hoy, no fue posible acceder a la instancia desde la consola de administración de AWS. Se reportó en el ticket MDSB-944861.</t>
  </si>
  <si>
    <t>GD772-141_6</t>
  </si>
  <si>
    <r>
      <rPr>
        <rFont val="Quattrocento Sans"/>
        <color theme="1"/>
      </rPr>
      <t xml:space="preserve">OFICINA  EXPRES  ARL -IA </t>
    </r>
    <r>
      <rPr>
        <rFont val="Quattrocento Sans"/>
        <b/>
        <color theme="1"/>
      </rPr>
      <t>Despliegue en producción)</t>
    </r>
  </si>
  <si>
    <t>Despliegue del servicio de Oficina Express en ambiente productivo.</t>
  </si>
  <si>
    <t>12/12/2025: El 11 de diciembre el despliegue avanza; sin embargo, no hay comunicación desde la instancia imaginex_ec2_private1 hacia la nueva instancia de Oficina Express, lo que impide finalizar las pruebas y el pase completo a producción. El bloqueo está radicado en el ticket MDSB-945314.
17/12/2025: ya se logró habilitar la comunicación entre servidores y es posible consumir el servicio de Oficina Express vía curl; sin embargo, el acceso desde el front continúa bloqueado por CloudFront, lo cual ya fue reportado y está en validación. Hasta que se libere esta restricción, no es posible validar los cambios completos desde la interfaz. 
18/12/2025: El despliegue se encuentra avanzado; sin embargo, no hay comunicación desde la instancia imaginex_ec2_private1 hacia la nueva instancia de Oficina Express, lo que impide finalizar las pruebas y el pase completo a producción. El bloqueo está radicado en el ticket MDSB-945314</t>
  </si>
  <si>
    <t>GD772-141_7</t>
  </si>
  <si>
    <r>
      <rPr>
        <rFont val="Quattrocento Sans"/>
        <color theme="1"/>
      </rPr>
      <t xml:space="preserve">OFICINA  EXPRES  ARL -IA </t>
    </r>
    <r>
      <rPr>
        <rFont val="Quattrocento Sans"/>
        <b/>
        <color theme="1"/>
      </rPr>
      <t>Solución de incidentes</t>
    </r>
  </si>
  <si>
    <t>Solución de incidentes reportados en Oficina Express.</t>
  </si>
  <si>
    <t>18/12/2025: Identificación del incidente, aplicación de las correcciones y revisión desde los ambientes(test/prod)</t>
  </si>
  <si>
    <t>INTERNO-D029</t>
  </si>
  <si>
    <t>Implementar log del API de incapacidades</t>
  </si>
  <si>
    <t>Se solicita implementar un mecanismo de registro (log) para el API de Incapacidades, ya publicado en producción, con el fin de capturar y monitorear las interacciones realizadas. El log debe permitir identificar si el API está siendo consumido, el volumen de consumo y los parámetros utilizados en la consulta (por cédula, fecha, caso, entre otros). Actualmente no se cuenta con este registro, lo cual limita la visibilidad sobre el uso real del API</t>
  </si>
  <si>
    <t>INTERNO-D028</t>
  </si>
  <si>
    <t>Migración y creación de nueva instancia en Snapchat para el ambiente de desarrollo</t>
  </si>
  <si>
    <t>Descripción:
Como equipo de desarrollo, se requiere reactivar y normalizar el ambiente de desarrollo (Dev), actualmente fuera de servicio por error 503, con el fin de disponer de un entorno funcional, estable y sincronizado con el ambiente de test.
Este ambiente permitirá realizar pruebas internas, validar integraciones y revisar nuevos desarrollos antes de su despliegue en test, evitando depender de la ejecución de controles de cambio para validaciones iniciales.</t>
  </si>
  <si>
    <t>31/10/2025: Se  reporta  en el  ticket  MDSB-921872 error en el arranque de la estancia de dev , y Se propone crear la instancia de DEV a partir de la de test, aprovechando su estabilidad y evitando reprocesos de instalación."
04/11/2025: Informan que no se puede copiar la instancia i-0656b5dc31eab8a8d porque al hacerlo se dañan los paquetes de Python y la instancia no inicia. Se sugiere hacer los ajustes directamente en la instancia imaginen_imaginez_5_dev y solicitar una copia antes de realizar cambios que puedan afectarla.
05/11/2025: Informan que cuando  se tengan lista la instancia con todo instalado, se les informa para crear la Imagen.
07/11/2025: La instancia no se logró levantar por conflictos con ejecuciones de Python. Se debe reinstalar y configurar nuevamente el ambiente, estimado en dos días.
24/11/2025: Instancia entregada y funcional. Pendiente iniciar instalación de paquetes y configuración para que las aplicaciones operen correctamente. Se deja en pausa hasta que se revise y retome.
26/11/2025: La instancia ya está desplegada, pero el proceso está en pausa a la espera de instalar paquetes, configurar dependencias y habilitar la ejecución de scripts.
03/12/2025: Se retomará el orden del ambiente de Desarrollo, para separar adecuadamente los ambientes Desarrollo, Pruebas y Producción, evitando la mezcla actual. El objetivo es reorganizar el flujo de despliegues.
05/12/2025: Se reinstaló desde cero el ambiente de desarrollo, se instalaron librerías necesarias y se clonaron todos los repositorios. Sin embargo, el DNS aún apunta a una instancia anterior, lo que impide visualizar logs externos por CloudFront. Se radicará un ticket para que infraestructura actualice la asociación del DNS. También se organizarán las ramas, ya que DEV está desactualizada y se alineará con TEST según lo acordado.
10/12/2025: El trabajo en el ambiente de desarrollo continúa bloqueado por falta de actualización del DNS. El ticket MDSB-942275 fue radicado desde el viernes 5 de diciembre y aún no ha sido atendido. Una vez se habilite el dominio correcto, se terminará la estabilización del entorno.
17/12/2025: El montaje del ambiente de desarrollo estuvo bloqueado debido a que los dominios apuntaban a un balanceador incorrecto. Inicialmente, infraestructura entregó solo un formato genérico, pero tras un nuevo reporte el problema fue corregido. El ambiente ya permite continuar con la migración y creación, aunque actualmente no se considera prioridad inmediata frente a otros frentes activos. queda en pausa.
18/12/2025: Se avanzó en la preparación del ambiente de desarrollo, actualmente se presenta bloqueo porque los subdominios de Desarrollo continúan apuntando al CloudFront del DNS anterior. El caso está radicado en el ticket MDSB-942275.</t>
  </si>
  <si>
    <t>CNTI-387</t>
  </si>
  <si>
    <t>Vulnerabilidades  portal ARL
(CNTI-391,CNTI-445,CNTI-446,CNTI-447,CNTI-448,CNTI-449)</t>
  </si>
  <si>
    <t>05/11/2025: Vulnerabilidades en solucionadas en test.
06/11/2025: Inicio de pruebas  fabio forero
Resultados de las pruebas 
o        No se visualizan los adjuntos cargados durante las radicaciones.
o        En algunos casos no se reciben los correos de notificación.
o        Se presentan errores al finalizar la radicación de solicitudes (reembolsos, proveedores e incapacidades).
07/11/2025: Se implementaron las medidas de mitigación a nivel de Apache. Fabio ya realizo pruebas, durante las cuales se detectaron incidencias menores derivadas del cambio. Se iniciara con la solución  con el fin de  entregar las vulnerabilidades  mitigadas el 10 de noviembre.
10/11/2025: Se continúan validando incidencias encontradas durante las pruebas. El log apunta a errores de replicación entre portales; pendiente revisión con Jairo para confirmar la causa y restablecer el servicio.
14/11/2025: Se cerró la implementación de Content-Security-Policy (CSP) con nonce por request en el sitio de producción imaginex-arlbolivar.segurosbolivar.com, incluyendo validación tanto para la cabecera inyectada como para el fallback automático 
Las evidencias enviadas el 6 de noviembre, las valida Danilo e indica que son agenas a la implementación realizada.</t>
  </si>
  <si>
    <t>JENRY</t>
  </si>
  <si>
    <t>MDSB-923632</t>
  </si>
  <si>
    <t>Jiras dia a día ( Falla descarga masiva en recobros)</t>
  </si>
  <si>
    <t xml:space="preserve">Usuario se comunica presentando fallas para realizar la descarga masiva ya que informa no permitir realizar el proceso, informa haber reportado la falla bajo el caso MDSB-812862: No permite realizar la descarga masiva
Cerrado
 </t>
  </si>
  <si>
    <t>07/11/2025: El proceso de firma y descarga de archivos grandes está operativo manualmente mientras se integra con el flujo automatizado al regreso de Jesús</t>
  </si>
  <si>
    <t>INTERNO-D031</t>
  </si>
  <si>
    <t>AJUSTE VENTANA ERROR EN PORTALES</t>
  </si>
  <si>
    <t>07/11/2025: Se identificó error al mantener una sesión abierta por largo tiempo en portales. El ajuste se realizará una vez finalicen las tareas de vulnerabilidades
14/11/2025 : Se reprograma ejecución de la  tarea  para el martes 18 de Noviembre.
18/11/2025: Corrección del comportamiento de la ventana de error reportada por Liyi, asegurando que el mensaje se muestre de forma adecuada al usuario final.</t>
  </si>
  <si>
    <t>CNTI-1308</t>
  </si>
  <si>
    <t>SECRETS EN REPOSITORIO IMAGINEX-INFRA</t>
  </si>
  <si>
    <t>Se solicita realizar una revisión y ajuste del repositorio IMAGINEX-INFRA, con el fin de verificar la posible exposición de secrets y aplicar las medidas necesarias para su corrección.</t>
  </si>
  <si>
    <t>11/11/2025: Se encuentra pendiente para definir fecha de inicio
13/11/2025: Se da respyesta al cliente</t>
  </si>
  <si>
    <t>MDSB-926886</t>
  </si>
  <si>
    <t>Jira dia a dia (BLOQUEO DE URL ANTIGUA PORTAL ARL)</t>
  </si>
  <si>
    <r>
      <rPr>
        <rFont val="Quattrocento Sans"/>
        <color theme="1"/>
        <sz val="11.0"/>
      </rPr>
      <t xml:space="preserve">El usuario reporta que no puede realizar la radicación de incapacidades en el portal ARL.
Tras la validación, se identifica que la URL a la que intenta acceder no corresponde al enlace habilitado para este tipo de radicación.
En consecuencia, se recomienda bloquear dicha URL para evitar su uso indebido.
Url repportada </t>
    </r>
    <r>
      <rPr>
        <rFont val="Quattrocento Sans"/>
        <color rgb="FF1155CC"/>
        <sz val="11.0"/>
        <u/>
      </rPr>
      <t>https://imaginex-portales.segurosbolivar.com/incapacidadeps/incapacidadeseps</t>
    </r>
    <r>
      <rPr>
        <rFont val="Quattrocento Sans"/>
        <color theme="1"/>
        <sz val="11.0"/>
      </rPr>
      <t xml:space="preserve"> </t>
    </r>
  </si>
  <si>
    <t>11/11/2025: Se estima realizar el bloque el 13 de noviembre ya que en el  momento Danilo se encuentra  dedicado a Oficina express, 
Se informa al usuario la url correcta  para realizar la radicación.
14/11/2025 : Se reprograma ejecución de la  tarea  para el martes 18 de Noviembre.
18/11/2025: Se realiza el redireccionamiento de la URL anterior hacia la URL actual</t>
  </si>
  <si>
    <t>GD772-128</t>
  </si>
  <si>
    <t>Mallas de asignación</t>
  </si>
  <si>
    <t>Se iniciará posterior a la finalización del  GD772-87 Doble factor de autenticación (14 de noviembre en test)</t>
  </si>
  <si>
    <t>MDSB-906320</t>
  </si>
  <si>
    <t xml:space="preserve">Jiras día a día (Error en Imagine al descargar base de “Datos contactos solicitudes ARL </t>
  </si>
  <si>
    <t xml:space="preserve">Por favor requiero de su valiosa ayuda con un error presentado en Imagine al intentar descargar la base “Datos contactos solicitudes ARL”. Al seleccionar la opción Solicitudes ARL – empresa y/o trabajador, el sistema arroja el mensaje “descargue exitoso”, sin embargo, al refrescar la página, no se refleja ninguna descarga ni base disponible.  
Ruta utilizada: Mariposa → Radicador → Informes → Datos contactos solicitudes ARL  Agradezco mucho su apoyo para revisar y solucionar este inconveniente. </t>
  </si>
  <si>
    <t>10/10/2025: Se definió que no es un caso crítico; se programó su revisión para el martes siguiente.
15/10/2025: Hoy se iniciara la validación.
17/10/2025: encuentra en etapa final de corrección. Se ha validado la lógica de inserción, roles y permisos sin encontrar causa aparente. Se realizarán nuevas pruebas hoy para identificar el motivo por el cual no se guarda la información.
17/10/2025: : De acuerdo con la validación realizada, se identificó que la incidencia reportada se debía a un problema en la asignación del rol del usuario, lo cual impedía la visualización del informe para su descarga.</t>
  </si>
  <si>
    <t>MDSB-911442</t>
  </si>
  <si>
    <t>Jiras día a día (Solicitud de información-  informe AT-031 correspondiente al año 2025 (enero a septiembre))</t>
  </si>
  <si>
    <t>​Agradezco su ayuda con la descarga del informe AT-031 correspondiente al año 2025 (enero a septiembre). Actualmente, al intentar descargarlo, solo se obtiene la información del mes anterior (septiembre).</t>
  </si>
  <si>
    <t>17/10/2025: Se iniciara generación de informe despues de solucionar  jira  MDSB-906320
17/10/2025: Información extraida y entregada al cliente</t>
  </si>
  <si>
    <t>MDSB-906749</t>
  </si>
  <si>
    <t xml:space="preserve">Jiras día a día (SOLICITUD HABILITAR E INHABILITAR DE 3 TIPOLOGIAS A 2 USUARIOS) </t>
  </si>
  <si>
    <t>Solicitamos por favor habiiltar a la sra LILIA ANDREA VELASQUEZ__1015430797 de las tipologias Mesa de conciliacion presencial, Mesa de conciliacion Virtual y Traslado de polizas, dejar por favor las mismas actividades con las que cuenta el usuario DEISY SUAREZ__1019069714.
Solicitamos por favor inhabiiltar al señor GIOVANNY STIVEN NIETO__1003530364 de las tipologias Mesa de conciliacion presencial, Mesa de conciliacion Virtual y Traslado de polizas, por vacaciones del funcionario.</t>
  </si>
  <si>
    <t xml:space="preserve">15/10/2025: Se realiza la inhabilitación y habilitacion de usuarios </t>
  </si>
  <si>
    <t>MDSB-905240</t>
  </si>
  <si>
    <t xml:space="preserve">Jiras día a día (Cambio de destinatario de respuesta en flujo Programa VBF) </t>
  </si>
  <si>
    <t>En Imagine existe una tipología que se llama “Programa VBF”, es de valoración biomecánica; cuando línea médica genera una autorización, esta va con copia a mi y a la Dra. Maria Elena.
Se requiere eliminar el envío que se hace a la Dra. Maria Elena maria.gaviria@segurosbolivar.com y en su reemplazo dejar a la Dra. Solmerys Recio solmerys.recio@segurosbolivar.com, se requiere este cambio en el flujo.</t>
  </si>
  <si>
    <t>15/10/2025: Se realiza habilitación de correo solicitado</t>
  </si>
  <si>
    <t>GD772-142</t>
  </si>
  <si>
    <t xml:space="preserve">Marcar como obligatorio datos bancarios en Reembolsos Salud </t>
  </si>
  <si>
    <t>Marcar como dato obligatorio campo de número de cuenta y entidad Bancaria en el aplicativo de solicitudes de salud</t>
  </si>
  <si>
    <t>01/10/2025: El 30 de septiembre se colocan datos  bancarios como obligatorios.</t>
  </si>
  <si>
    <t>CNTI-902</t>
  </si>
  <si>
    <t>Vulnerabilidades (Exposición de Directorio Raíz con Listado Público y Archivos Sensibles en Apache/Nginx (IP: 18.211.26.145)</t>
  </si>
  <si>
    <t>Descripción
Se identificó en el servidor web con dirección IP 18.211.26.145 un directorio raíz expuesto públicamente. El sitio muestra un listado completo de archivos y carpetas, lo cual indica que la opción de “Directory Listing” se encuentra habilitada en el servidor.
Dentro del listado se observan archivos sensibles con extensión .php (ej. functions.php, handler.php, restaurar_contrasena.php, validarusuario.php), así como carpetas que podrían contener información crítica (procesos/, requerimientos/, vendor/, utilidades/). La exposición de estos recursos permite a un atacante:
Obtener información sobre la estructura interna de la aplicación.
Identificar scripts ejecutables (.php) que podrían ser explotados mediante vulnerabilidades conocidas (ej. inyección de código, ejecución remota, bypass de autenticación).
Acceder a archivos relacionados con funcionalidades críticas como respaldo (reporteBackupsDiario.php), manejo de contraseñas (manualClave.php, restaurar_contrasena.php) y validación de usuarios.
Este hallazgo representa una superficie de ataque amplia y expone tanto la aplicación como posibles datos sensibles a riesgos de acceso no autorizado, fuga de información y compromiso de la infraestructura.</t>
  </si>
  <si>
    <t>17/09/2025: El 16 de septiembre se atendieron vulnerabilidades reportadas en el ticket CNTI-902, logrando su mitigación y cierre.
Adicional se se mitiga una  Exposición Pública de Consola de Consultas a Bases de Datos en Apache/Nginx</t>
  </si>
  <si>
    <t>GD772-139</t>
  </si>
  <si>
    <t>Informe de datos bancarios de solicitudes ARL.</t>
  </si>
  <si>
    <t>Se requiere información de los datos de las bancarias que se capturan en la pagina tanto de solicitudes ARL como de Solicitudes de salud \n\n\n\nNúmero de caso\n\nNúmero de documento del afiliado o trabajador\n\nNombre del Banco \n\nNúmero de cuenta ( Se requiere ver todo el número)</t>
  </si>
  <si>
    <t>10/09/2025: Se genera y entrega informe solicitado</t>
  </si>
  <si>
    <t>MDSB-872831</t>
  </si>
  <si>
    <t>Validacion de campo Documento de identificación Empresa o trabajador en solicitudes ARL.</t>
  </si>
  <si>
    <t>**Incidencia reportada:**\nError: IMAGINE no muestra todos los casos de los clientes.\n\n**Descripción:**\nAl realizar la validación de casos por NIT, no se muestran todos los registros correspondientes a un cliente. Sin embargo, al consultar directamente por número de caso, sí se evidencia que el caso existe y que el NIT asociado es correcto.\n\n**Análisis inicial:**\nSe identificó que algunos registros quedaron almacenados en la base de datos con un espacio en blanco al inicio del número de documento. Esto sucede cuando, en el proceso de radicación a través del portal, el usuario ingresa un espacio antes de digitar el NIT.\n\n**Acción correctiva propuesta:**\nAjustar las validaciones del campo “Documento de identificación Empresa o Trabajador” en las solicitudes ARL, de forma que se eliminen los espacios en blanco al inicio o al final antes de guardar el valor en la base de datos.</t>
  </si>
  <si>
    <t>10/09/2025: Se identificó que algunos casos no se mostraban por NIT debido a espacios en blanco registrados al inicio del número de documento durante la radicación en el portal. Se ajustarán las validaciones del campo “Documento de identificación Empresa o Trabajador” para evitar estas inconsistencias. Ajuste desplegado en producción 9 de septiembre.</t>
  </si>
  <si>
    <t>INTERNO-JA020</t>
  </si>
  <si>
    <t>Validar Plantilla de respuesta automática (Buzón ARL)</t>
  </si>
  <si>
    <t>Se identificó que la plantilla que debe notificar a remitentes no autorizados no está funcionando. Se requiere validar configuración en Laravel, ya que puede tratarse de un problema de rutas de archivos o notificación. Pendiente revisión técnica.</t>
  </si>
  <si>
    <t>08/09/2025: Leer el codigo para validar en funcionanmiento 
08/09/2025: Danilo en viernes 5 de sepriembre encontró en base de datos la plantilla “Excluidos”, utilizada para notificar a remitentes no autorizados. Sin embargo, aún no se identifica desde qué punto del código se invoca. Se requiere apoyo del equipo (Jairito o Jesús) para ubicar la lógica y habilitar la respuesta automática.\nJairo  identificó que la lógica de respuesta automática en el buzón ARL estaba comentariada en el código, motivo por el cual no se enviaban notificaciones, Se realizó la configuración de la respuesta automática en los correos de ARL y la funcionalidad ya fue desplegada en producción.</t>
  </si>
  <si>
    <t>INTERNO-D023</t>
  </si>
  <si>
    <t>Implementación de URLs prefirmadas con Apache  (AWS S3)</t>
  </si>
  <si>
    <t>Descripción:
Se requiere implementar la generación de URLs prefirmadas en AWS S3 para permitir la carga y visualización segura de archivos (imágenes/documentos) desde la aplicación. La solución debe incluir la firma, tiempo de expiración y condiciones de acceso, garantizando un menor consumo de recursos del servidor y una mejor latencia al acceder directamente al servicio S3.</t>
  </si>
  <si>
    <t>22/08/2025: Avance aproximado del 70%, pendiente ajuste en algoritmo de encriptación en Python. Se espera finalizar hoy mismo si se resuelve el error de visualización de imágenes.
25/08/2025: El viernes 22 de agosto se realizaron pruebas técnicas con URLs pre-firmadas, pero la solución genera lentitud en el API y bloqueos en CloudFront. Se evaluará implementar el algoritmo de encriptación desde Python para mantener compatibilidad y mejorar el rendimiento.
27/08/2025: Se continúa con la implementación; sin embargo, se presentan errores al momento de ejecutar el consumo.
29/08/2025: Se finalizaron mejoras en el API, enfocadas en seguridad y rendimiento.</t>
  </si>
  <si>
    <t>GD772-123_2</t>
  </si>
  <si>
    <t>Dashboard de pendientes y Administrativo ARL</t>
  </si>
  <si>
    <t>15/09/2025: Se está construyendo el dashboard de pendientes, que mostrará la distribución de actividades y facturas. Se espera completar esta semana.
22/09/2025: Pendiente de desarrollo tras cierre del Dashboard de eficiencia en producción</t>
  </si>
  <si>
    <t>GD772-133</t>
  </si>
  <si>
    <t>Consumo API Asegurados del lago de datos</t>
  </si>
  <si>
    <t>**CONSUMO INFORMACIÓN DE ASEGURADO DEL LAGO DE DATOS - IMAGINE**\r\n\r\n\r\n**OBJETIVO:**\r\n\r\nSe requiere poder tener conexión directa con el lago de datos para traer la información de los asegurados en linea , con el fin de que la clasificación de la malla de reembolsos se gestione en linea.\r\n\r\n\r\n**REQUERIMIENTOS FUNCIONALES:**\r\n\r\n\r\nSe requiere poder consumir el dato del tipo de póliza de acuerdo al cruce por el número de documento , el sistema debe tomar el número de documento de la factura que se encuentra discriminado en imagine en el siguiente espacio:\r\n\r\n\r\n\r\n\r\nNota :  Si existe una modificación en el tipo y número de documento se deben validar las reglas de asignación sólo si cambia el Tipo de Producto “ Nacional- Internacional”\r\n\r\n\r\nUna vez diligenciado el dato debe ir a cruzar contra el appi del lago de datos y traer los siguientes datos:\r\n\r\nCódigo y nombre del producto:\r\n\r\n\r\n\r\n\r\nUna vez identificado el dato debe agregarlo al campo de imagine denominado “ Tipo de Póliza” y consignar allí:\r\n\r\n\r\n\r\n\r\nSe requiere que haga la respectiva clasificación de acuerdo al valor y tipo de póliza , con base a las reglas con las que cuenta actualmente el sistema en el módulo de administración reembolsos tanto por asignación de pólizas como de montos y tipos de servicio:\r\n\r\n\r\n\r\n\r\n\r\n\r\n\r\n\r\nNota: Para que imagine cuente con la clasificación de la póliza es decir si es Nacional o Internacional debe tener en cuenta lo siguiente:\r\n\r\n\r\nLas pólizas internacionales son las siguientes: \r\n\r\nCódigo de producto : 66 Nombre de producto: ESSENTIAL/ SELECT\r\n\r\nCódigo de producto : 67 Nombre de producto: PREMIER/ELITE/ULTIMATE\r\n\r\nCódigo de producto : 77 Nombre de producto: SALUD INTERNACIONAL COLECTIVA\r\n\r\nPara los demás códigos de producto se debe clasificar como nacional, esta clasificación debe ser visualizada en el aplicativo de imagine en el siguiente espacio:  \r\n\r\n\r\n\r\n\r\n\r\nNombre empresa:\r\n\r\nSe requiere tomar el dato de nombre empresa del appi que se encuentra en el siguiente campo: \r\n\r\n\r\n\r\n\r\n\r\nel dato tomado debe ir a alimentar el cuadro donde imagine esta dejando ver la empresa por cada caso: \r\n\r\n\r\n\r\n\r\n\r\n\r\n\r\n\r\nInformación Asegurado:\r\n\r\nSe requiere crear una pestaña adicional en imagine en el que se visualicen datos del appi:\r\n\r\n\r\n\r\nAl dar clic en esta pestaña se espera poder visualizar los siguientes datos enviado por el servicio:\r\n\r\n\r\n\r\n\r\nestadoCliente\r\nnumeroPoliza\r\nfechaInicioPoliza\r\nfechaFinPoliza\r\nestadoPoliza\r\nrol\r\n\r\n\r\nInformes:\r\n\r\nEn la actualidad contamos con el informe consolidado en el cual por cada caso nos está clasificando el tipo de producto, de acuerdo a este consumo el informe debe seguir alimentando este campo , tal como se evidencia en la siguiente imagen:\r\n\r\n\r\n\r\n\r\nSe debe alimentar el informe consolidado como el detallado.\r\n\r\n\r\n\r\n\r\n\r\n\r\n</t>
  </si>
  <si>
    <t>05/09/2025: Se recibieron los API correspondientes y se avanzó en el consumo para mostrar datos en campos. Se requiere completar documentación técnica, ya que aún hay campos sin referencia clara. Se prevé entrega con pruebas hacia mitad de semana.
08/09/2025: Se avanzó en la construcción de información de asegurados desde el Data Lake, desplegado en ambiente de pruebas. El desarrollo cumple con lo solicitado en la documentación y está listo para validación en TEST.
15/09/2025: El 12 de septiembre se realizó el paso a producción de uno de los consumos de API que permite conexión directa con el lago de datos para obtener información en línea de asegurados</t>
  </si>
  <si>
    <t>MDSB-874893</t>
  </si>
  <si>
    <t>Jiras dia a dia( Lentitud en el modulo de facturas )</t>
  </si>
  <si>
    <t xml:space="preserve">“Lentitud Imagen“\n\nBuen dia, reportamos que el aplicativo de imagen presenta lentitud de mas de 30 minutos al momento de buscar una factura o seleccionar una sesión , requerimos por favor su colaboración, gracias\n\n\n\nProcedimiento: Se contacta a funcionaria que reporta la incidencia; se genera sesión por meet: \n\nSe le indica validar desde incógnito sin embargo por motivos de seguridad de ASD no lo tiene permitido. \n\nSe le indica realizar el procedimiento desde cero, cerrando por completo la aplicación. \n\nFuncionario informa la lentitud se presenta al ingresas en el módulo u opción de “Facturas“ ya que no es habitual que la aplicación presente dichas lentitudes al buscar y/o gestionar los procesos de facturación. \n\nIndica usuaria dicha novedad se presenta desde esta semana que al parecer implementaron una actualización en el aplicativo, ya que al buscar cada factura el cargue se generaba de manera inmediata. \n\nInforma usuaria lentitud se presenta solamente en dicha aplicación ya que demás aplicativos de bolívar se encuentra operativos y sin ninguna afectación. \n\n15 personas laborando todos desde casa, se valida desde microsoft edge y al igual usuaria percibe lentitud. </t>
  </si>
  <si>
    <t>02/09/2025: La causa de la lentitud presentada en el portal de facturas se debió a que, durante el paso a producción, quedaron pendientes algunos permisos por implementar.
La situación fue solucionada con la inclusión de los permisos faltantes, normalizando así el funcionamiento del portal.</t>
  </si>
  <si>
    <t>GD772-133_1</t>
  </si>
  <si>
    <t>Documento tecnico (Consumo API Asegurados del lago de datos)</t>
  </si>
  <si>
    <t>15/09/2025: Se genera docuementaciòn tecnica.</t>
  </si>
  <si>
    <t>GD772-129</t>
  </si>
  <si>
    <t>Ajuste facturas duplicadas Salud</t>
  </si>
  <si>
    <t>Se detectó que, en casos de timeout, las facturas pueden quedar duplicadas. Se definió como solución la inclusión de un campo adicional en el JSON para diferenciar reprocesos de radicaciones nuevas.</t>
  </si>
  <si>
    <t>Se solicita identificar las facturas duplicadas, marcar si se deben  reprocesar las facturas debido a este incidente reportado por Sisalud salud.
07/11/2025: Pendiente cliente ajustes del cliente  en sisalud.</t>
  </si>
  <si>
    <t>GD852-72-1</t>
  </si>
  <si>
    <t>Inconsistencias en la información (columnas corridas) Informes lago de datos.</t>
  </si>
  <si>
    <t>Se han identificado inconsistencias en la información proveniente del Data Lake, específicamente en la estructura de los reportes donde algunas columnas aparecen desalineadas o con datos corridos, afectando la confiabilidad y precisión de los resultados. Para garantizar la integridad de la información y la correcta generación de reportes, es necesario rehacer y optimizar los procesos de carga, validando que la data se almacene y consuma de manera estandarizada.</t>
  </si>
  <si>
    <t>05/09/2025:Se detectaron inconsistencias en la información (columnas corridas) que afectan la confiabilidad de los resultados. Se requiere rehacer parte de los procesos de carga para garantizar integridad de datos.
08/09/2025: La corrección está en curso y se espera completar en la semana..
12/09/2025: Una vez se finalice el despliegue de asignación, se retomará este punto para cierre definitivo.
15/09/2025: Se priorizó continuar con la corrección de los informes, que presentan columnas desalineadas. Esta tarea se retomará en paralelo con las actividades de asignación y dashboards.
19/09/2025: Los ajustes de columnas ya se encuentran  corregidos. Se espera tener todo listo el lunes.</t>
  </si>
  <si>
    <t>GD772-143</t>
  </si>
  <si>
    <t>CAMBIO VIDEOS TUTORIALES PORTAL RADICACION</t>
  </si>
  <si>
    <t>Descripción
Se solicita retirar los videos que se encuentran en este momento en el portal de radicación imagine como apoyo a radicación a los prestadores y dejar los adjuntos en correo enviado AJUSTE VIDEOS TUTORIALES- PORTAL WEB RADICACIÓN,</t>
  </si>
  <si>
    <t>19/09/2025: Se estima realizar a juste  y entrega durante el día de hoy.
22/09/2025: El Viernes 20 de septiembre se realizo el cambio de tutoriales en el portal.</t>
  </si>
  <si>
    <t>INTERNO-JA017</t>
  </si>
  <si>
    <t>Restricción para Glosas menores a $6.000</t>
  </si>
  <si>
    <t>Se identificó que el sistema no permite glosar facturas cuyo valor neto es inferior a $6.000, incluso si la factura original supera ese monto. Se revisó el caso y se determinó que debe ajustarse la validación para permitir Glosas en esos escenarios.</t>
  </si>
  <si>
    <t>22/08/2025: Pendiente ajuste de la restricción para evitar glosas completas en facturas de menor valor.
25/08/2025: Se tiene pendiente la implementación de un ajuste menor que se planea ejecutar en la jornada actual.
29/08/2025: Pausado hasta finalizar  Req GD772-123.</t>
  </si>
  <si>
    <t>GD772-147</t>
  </si>
  <si>
    <t>Mejora en la lectura del buzon arlbolivar@segurosbolivar.com (Wilson)</t>
  </si>
  <si>
    <t>Se requiere realizar una mejora en la lectura y asignación de los correos que llegan al buzon arlbolivar@segurosbolivar.com, para aumentar la efectividad de la asignación.</t>
  </si>
  <si>
    <t>25/09/2025:  Se escala control de cambios para test MDSB-897985
25/09/2025: Confirman ejecucion esxitosa del cambio.
20/10/2025: Se  cancela  por reestruccturacion del proyectao</t>
  </si>
  <si>
    <t>MDSB-897985</t>
  </si>
  <si>
    <t>INTERNO-JA025</t>
  </si>
  <si>
    <t>Depuración de correos pendientes buzon ARL</t>
  </si>
  <si>
    <t xml:space="preserve">Se requiere depurar la bandeja de correos pendientes, dado que se identificó que un alto volumen de estos registros ya se encuentra en estado anulado o cerrado, por lo cual no deberían continuar apareciendo como pendientes. </t>
  </si>
  <si>
    <t>26/09/2025: Se se encontraron alrededor de 500.000 registros, de los cuales, tras el cruce con la tipología y la validación en el caso nativo, se cerraron aproximadamente 490.000 por encontrarse anulados o ya cerrados</t>
  </si>
  <si>
    <t>GD772-134</t>
  </si>
  <si>
    <r>
      <rPr>
        <rFont val="Quattrocento Sans"/>
        <b/>
        <color theme="1"/>
      </rPr>
      <t>Mejoras REE Salud  primera entrega</t>
    </r>
    <r>
      <rPr>
        <rFont val="Quattrocento Sans"/>
        <color theme="1"/>
      </rPr>
      <t xml:space="preserve">
</t>
    </r>
  </si>
  <si>
    <t xml:space="preserve">Fecha entrega al cliente: 23 de diciembre
Mejoras REE Salud  primera entrega
1.MEJORA DE COMUNICADOS DE RESPUESTA.
2.MEJORA DUDAS REEMBOLSO
3.EDITAR EL VALOR   
4.CONSULTA POR NÚMERO DE RADICADO
MEJORAS REEMBOLSOS Primer entregable 
OBJETIVO: Se requiere implementar mejoras en el desarrollo actual de reembolsos con el fin de optimizar tiempos en la gestión de respuesta: 
1. Mejora de comunicados:
 Se requiere poder modificar todos los comunicados de respuesta para lo cual se envía adjunto a este documentos los comunicados que deben salir como respuesta a la solicitud, se agregan imágenes a modo de ilustración: Devolución Reembolsos:
Glosa Total Reembolsos: 
Glosa Parcial:
Pago en validación:
Pago efectivo:
Nota : Para todos los comunicados se debe enviar al usuario el html como cuerpo del correo de respuesta, y en la plataforma de reembolsos debe quedar como pdf , la respuesta adjunta a cada caso 
2. Mejora dudas reembolso:
 2.1 Se requiere que cuando el asegurado ingrese al portal de radicación de reembolsos y escoja la solicitud de tengo dudas con mi reembolso no sea obligatorio llenar el botón que indica “ El beneficiario del pago es diferente al de asegurado/ paciente 
2.2 Agregar archivos a la respuesta Se requiere que para todas las causales de respuesta“ devolución reembolsos, glosa total reembolsos , Glosa parcial, pagado en validación y tengo dudas con mi reembolso”, se habilite un campo de examinar para poder remitir archivos complementarios en la respuesta , los formatos que se pueden adjuntar allí son “ xlsx, csv, pdf jpg png..” este campo no será obligatorio para la gestión de la respuesta 
3. Editar el valor. 
Se requiere habilitar el botón editar sobre el campo total con el fin de que el perfil de analista pueda editar el valor digitado , esta actividad solo se podrá realizar solamente antes de que se dispare el botón “ radicación sisalud reembolso”
El campo que se cambio es cantidad y valor 
4. Consulta por número de radicado 
Se requiere poder realizar la búsqueda de caso por número de caso y no por factura como ocurre actualmente, lo que se busca es que este dato aparezca en el motor de búsqueda actual:
</t>
  </si>
  <si>
    <r>
      <rPr>
        <rFont val="Quattrocento Sans"/>
        <color theme="1"/>
        <sz val="10.0"/>
      </rPr>
      <t xml:space="preserve">10/12/2025: Se revisó nuevamente el requerimiento 134, que incluye múltiples mejoras sobre el portal de reembolsos de salud. Se acordó organizar el trabajo en bloques funcionales para priorizar lo más rápido y dejar por separado las tareas más complejas.
Adicionalmente, se discutió la necesidad de definir si el equipo desarrollará los ajustes UX basándose en lineamientos visuales o si el cliente deberá entregar un FIGMA completo, ya que el diseño responsivo requiere decidir la reorganización de elementos para móviles. El grupo considera necesario solicitar el FIGMA para los componentes de responsividad y para evitar ambigüedades posteriores.
12/12/2025: El 10 de diciembre se inició con los ajustes definidos para el proceso, implementando el cambio de lógica para utilizar una plantilla para la carta y otra para el cuerpo del correo, conforme a lo socializado con Liyi, estableciendo puntos rápidos para realizar dos entregas. Adicionalmente, se incorporó la verificación de respuesta_glosa en la condición de decisión para actividades de baja complejidad; se crearon múltiples nuevas plantillas de correo para distintos escenarios de devolución (total, parcial, validación, no efectivo, entre otros); y se mejoró la función de devolución de correos, adicionando el campo de observación del analista.
El 11 de diciembre se realizó la revisión y validación de las plantillas de correo implementadas el día anterior, garantizando su funcionamiento según lo esperado. Adicionalmente, se avanzó en la preparación para la primera entrega de los ajustes acordados con Liyi.
15/12/2025: El 12 de diciembre se avanzó en los ajustes considerados “fáciles”, </t>
    </r>
    <r>
      <rPr>
        <rFont val="Quattrocento Sans"/>
        <b/>
        <color theme="1"/>
        <sz val="10.0"/>
      </rPr>
      <t xml:space="preserve">como cambios de valores </t>
    </r>
    <r>
      <rPr>
        <rFont val="Quattrocento Sans"/>
        <color theme="1"/>
        <sz val="10.0"/>
      </rPr>
      <t xml:space="preserve">y </t>
    </r>
    <r>
      <rPr>
        <rFont val="Quattrocento Sans"/>
        <b/>
        <color theme="1"/>
        <sz val="10.0"/>
      </rPr>
      <t>carga de archivos adicionales en glosas</t>
    </r>
    <r>
      <rPr>
        <rFont val="Quattrocento Sans"/>
        <color theme="1"/>
        <sz val="10.0"/>
      </rPr>
      <t>, los cuales ya fueron desplegados en Test.
18/12/2025: Se trabajo en los comunicados para usar los formatos enviados, body correo esta OK pendiente ajustar pdf.</t>
    </r>
  </si>
  <si>
    <t>GD772-144</t>
  </si>
  <si>
    <t>Marcación de casos especiales fecha de cirugía (Salud)</t>
  </si>
  <si>
    <t>MARCACIÓN DE CASOS ESPECIALES AUTORIZACIONES
● OBJETIVO:
Se requiere brindar una autorización más rápida para los procedimientos que se encuentran programados para el siguiente día de la radicación
● REQUERIMIENTOS FUNCIONALES:
● Informe
Se requiere agregar al informe de pendientes salud y el informe de cups que se encuentra en el módulo de informes de salud una celda al informe en el que incluya el campo fecha de la cirugía que se encuentra expuesto en el portal de radicación:
Si el campo no viene diligenciado , dejar campo en blanco en el informe.
Ruta de informe en imagine nativo: https://imaginex-intranet.segurosbolivar.com/default.php
● Salud
● Mariposa
● Radicación
● Informes
● Pendientes salud
● Informe CUPS
● Actividad en flujo:
Una vez el cliente realice la marcación de la fecha el sistema debe validar la siguiente información:
- Debe realizar una resta de la fecha de cirugía contra la fecha de radicación , si el resultado de esa resta es 1 ó 2 días hábiles ( de lunes a viernes) debe marcar el caso en la bandeja asignada con un color diferencial para que se pueda ver la prioridad.
- Si la fecha se encuentra en blanco no debe ejecutar la acción anterior y debe continuar con la actividad como se encuentra a la fecha el aplicativo</t>
  </si>
  <si>
    <t>09/10/2025: Para este requerimiento únicamente se realizó la marcación del campo adicional en la bandeja. El ajuste correspondiente al informe no se desarrollará por el momento, dado que dicho informe requiere un análisis previo para optimizar los filtros de consulta</t>
  </si>
  <si>
    <t>INTERNO-JA028</t>
  </si>
  <si>
    <t>Dumentación tecnica_GD772-144 Marcación de casos especiales fecha de cirugía (Salud)</t>
  </si>
  <si>
    <t>09/10/2025: Dcumentación de la marcación entregada.</t>
  </si>
  <si>
    <t>GD772-144_1</t>
  </si>
  <si>
    <t>Mejora e Inclusion fecha cirujia en informes  pendientes salud y  cups</t>
  </si>
  <si>
    <t>09/10/2025:El ajuste correspondiente al informe no se desarrollará por el momento, dado que dicho informe requiere un análisis previo para optimizar los filtros de consulta
15/10/2025: Requiere optimización urgente. Se acordó revisar la consulta y aplicar filtros previos o procesamiento en cola (encolado) para reducir tiempos de respuesta.
27/10/2025: Se iniciara la validación del informe e inclusion de la fecha cirujia.
29/10/2025: El informe ya está encolado y funcional; se está optimizando el rendimiento antes de agregar el nuevo campo. (Fecha cirujia).
30/10/2025: Se Realiza paso a produccion para realizar pruebas  ya que en test no hay suficiente información.
31/10/2025: El 30 de octubre se completó la adición del campo “Fecha Cirugía” en el informe de CUPS.El tiempo de generación fue optimizado.
Pendiente: Incluir el mismo campo en el informe de Pendientes de Salud, solicitud confirmada por los usuarios el día anterior.
31/10/2025: Campo fecha cirujia incliodo en el infome de  Pendientes Salud.</t>
  </si>
  <si>
    <t>https://github.com/Imaginesas/bolivar_migration/compare/master...hotfix/yiras2810?expand=1</t>
  </si>
  <si>
    <t>GD772-140</t>
  </si>
  <si>
    <t>Ajuste  informe consolidado de reembolso Salud</t>
  </si>
  <si>
    <t xml:space="preserve">Informe Pendientes Reembolsos Salud
Al descargar el informe consolidado de reembolsos con un rango de fechas, no está generando los casos que se encuentran repaerturados pero que la radicación inicial fue anterior a la fecha seleccionada en imagine.
Se evidencia que el caso Factura: 10996446, inicialmente el caso fue radicado el 06 de Mayo y cerrado el 12 de Mayo, posteriormente la afiliada radica los documentos el 12 de Agosto 
El 8 de Septiembre se descarga el informe consolidado de reembolsos el cual se generó con un rango de fechas del 1ro de Junio al 8 de Septiembre
Al ingresar al mismo se busca el radicado y la factura pero los mismos no aparecen. 
Se requiere que al momento de reabrir el caso, en el informe consolidado de reembolsos aparezca con la fecha de la reapertura y no con la fecha de radicación inicial. 
</t>
  </si>
  <si>
    <t>15/10/2025: Se estima iniciar hoy con el ajuste solicitado
16/10/2025: se realiza el ajuste en la lógica del informe para que incluya tanto los reembolsos iniciales como las respuestas a glosas.
Ahora, el informe muestra ambos registros y en la columna final se indica si corresponde a una “respuesta a glosa” o no.</t>
  </si>
  <si>
    <t>GD772-158</t>
  </si>
  <si>
    <t>Ajuste en la fecha del informe al dar respuesta a una glosa ( Reembolsos  Salud)</t>
  </si>
  <si>
    <t>cuando se creó el informe de reembolsos, se está tomando como base la fecha de radicación del reembolso que se hizo desde el portal, pero cuando el usuario nos está registrando una respuesta glosa, estamos trabajando con base en ese mismo radicado, entonces por eso en los informes, las respuestas a glosas no se evidencian</t>
  </si>
  <si>
    <t>16/10/2025: se realiza el ajuste en la lógica del informe para que incluya tanto los reembolsos iniciales como las respuestas a glosas.
Ahora, el informe muestra ambos registros y en la columna final se indica si corresponde a una “respuesta a glosa” o no.</t>
  </si>
  <si>
    <t>GD772-159</t>
  </si>
  <si>
    <t>Valores de factura vs valores pendientes (validaciones del masivo) Gasto medico</t>
  </si>
  <si>
    <t>Descripción
Por favor las validaciones para paso masivo debe quedar así;
Valor autorizado- deducible= valor pendiente
Valor factura- deducible= Valor cobrado
Si los 2 coinciden pueden pasar a pago masivo.</t>
  </si>
  <si>
    <t>15/10/2025: Se revisaran los campos implicados para su implementación en el flujo de gasto médico.
17/10/2025: El 16 de octubre se inicio con la creacion de la  actividad que se llama Pago Masivo
20/10/2025: Se finalizó la lógica de comparación de campos y actualización de la actividad. Se encuentra en desarrollo la bandeja que permitirá a los usuarios con permiso descargar la información (por ahora en Excel). Se espera presentar el avance a Jenry para revisión y posterior despliegue a test.
22/10/2025: Se solicita control de cambios en test MDSB-915793
22/10/2025: Desarrollo técnico en etapa final. Se está a la espera de validación de campos y aprobación de control de cambios para despliegue a Test.
24/10/2025: Se modifican los scripts del control de cambios quedamos a la espera de la aprobación.
28/10/2025: Control de cambios  en test ejecutado con exito.
07/11/2025: Desarrollo en test, se espera  de parte del cliente un excel de salida ( RPA)
21/11/2025: Se escala control de cambios a producción MDSB-934240.
07/11/2025: Desarrollo en test, se espera  de parte del cliente un excel de salida ( RPA)
01/12/2025: Control de cambios aplicado correctamente, pendiente  paso a producción.
03/12/2025: Paso a produciòn  realizado en 2 de diciembre.</t>
  </si>
  <si>
    <t>MDSB-915793</t>
  </si>
  <si>
    <t>MDSB-934240</t>
  </si>
  <si>
    <t>GD772-183</t>
  </si>
  <si>
    <t>Mejoras REE Salud  segunda entrega</t>
  </si>
  <si>
    <t xml:space="preserve">1.ATAR EL CASO DE DUDAS CON EL CASO EN GESTIÓN:
2. DUPLICACIÓN DE CASO CUANDO VIENEN VARIAS FACTURAS
3. MARCACIÓN DIGITACIÓN CASOS ESPECIALES 
MEJORAS REEMBOLSOS segundo entregable 
1.ATAR EL CASO DE DUDAS CON EL CASO EN GESTIÓN: 
Se requiere que cuando el asegurado indique el número de caso en la opción de tengo dudas sobre mi reembolso : debe buscar el caso en el aplicativo y realizar la reapertura del caso, como si se tratara de una reapertura por el canal que tenemos actualmente del módulo de consultas Se debe asignar a la persona que realizó la gestión del caso, si por alguna razón esa persona ya no se encuentra en el flujo, el sistema debe ir al flujo y asignarlo al usuario que se encuentre dentro de ese roll Esta opción estará habilitada para todos los estados de reembolso Si el caso que indica el asegurado en el cuadro de número de caso de dudas reembolsos no existe , debe crear el caso como duda y no lo ata a ningún caso , si el asegurado lo deja en blanco debe pasar lo mismo que se describe en este párrafo 
2. DUPLICACIÓN DE CASO CUANDO VIENEN VARIAS FACTURAS
Se requiere que exista un botón de duplicación de caso, para que se pueda realizar la gestión de nuevas facturas, el estado al que debe pasar este caso es digitación pero debe tener una marcación de priorización para digitar el caso lo más rápido posible, se debe indicar cual es la factura nueva que llevará el caso. 
3. MARCACIÓN DIGITACIÓN CASOS ESPECIALES 
Se requiere contar con un mecanismo en el cual se pueda marcar la prioridad de los casos a digitar con el fin de que en la actividad digitación se marque de manera distintiva y el analista pueda realizar la digitación de manera prioritaria, esto sólo aplicará para los casos que se encuentren en la actividad digitación,
</t>
  </si>
  <si>
    <t>GD772-184</t>
  </si>
  <si>
    <r>
      <rPr>
        <rFont val="Quattrocento Sans"/>
        <b/>
        <color theme="1"/>
      </rPr>
      <t xml:space="preserve">Mejoras REE Salud  tercera entrega
</t>
    </r>
    <r>
      <rPr>
        <rFont val="Quattrocento Sans"/>
        <b val="0"/>
        <color theme="1"/>
      </rPr>
      <t xml:space="preserve">Cambiar a experiencia móvil  </t>
    </r>
  </si>
  <si>
    <t xml:space="preserve">MEJORAS REEMBOLSOS Tercer entregable 
Cambiar a experiencia móvil
Se requiere que el portal se adapte a la experiencia móvil, dado que nuestros asegurados utilizan la herramienta a través del teléfono:
Se requiere corregir y alinear las fuentes para que en la versión móvil se vea mejor ¿Qué requerimos para esto? Se requiere el FIGMA que indique como se debe ver el aplicativo para móviles (tables y cel) 
</t>
  </si>
  <si>
    <t>INTERNO-JA023</t>
  </si>
  <si>
    <t>Corrección en anulación de casos (sincronización entre sistemas Nativo y Yii)</t>
  </si>
  <si>
    <t>Se detectó que al anular un caso en Nativo no se refleja la anulación en el sistema Yii. Se acordó no procesar manualmente los casos pendientes hasta corregir el código, para que en adelante la anulación se propague correctamente en ambos sistemas.</t>
  </si>
  <si>
    <t>INTERNO-JA026</t>
  </si>
  <si>
    <t>Problemas intermitentes con 472 (envío de correos)</t>
  </si>
  <si>
    <t>Se identificó que cuando el servicio no está disponible, genera errores. Se debe implementar un manejo de estados de servicio para dejar correos en estado “pendiente de envío” sin bloquear procesos.</t>
  </si>
  <si>
    <t>26/09/2025: De momento quedara penndiente hasta escarlar propuesta al cliente y apruebe la implementación.</t>
  </si>
  <si>
    <t>MDSB-905675</t>
  </si>
  <si>
    <t>JIras dia a dia (Proveedor no puede ingresar a imagine)</t>
  </si>
  <si>
    <t xml:space="preserve">Usuaria se comunica indicando que está presentando problemas  para cargar soporte, en plataforma de  imagine, ya que no podido ingresar por primera vez, indica le permite el cambio de la contraseña, pero no le habita el botón para el ingreso al intentar dicho proceso en plataforma. </t>
  </si>
  <si>
    <t>17/10/2025:El 16 de octubre se incluyó un proveedor que no se encontraba registrado en el administrador de usuarios; sin embargo, el proveedor no podía ingresar debido a un fallo en la redirección posterior a la autenticación. Dicho inconveniente fue solucionado el día de hoy.
Aún se encuentra pendiente el ajuste para que, al crear un proveedor en el administrador de proveedores, este se cree de manera automática en el administrador de usuarios. Actualmente esto no ocurre debido a que no se está enviando el campo id_negocio durante el proceso de creación.
20/10/2025: El inconveniente inicial de acceso del proveedor fue resuelto. Sin embargo, persiste un problema en la creación de nuevos proveedores: las variables de sesión (IDNegocio) no se están almacenando correctamente al momento de creación desde el administrador de proveedores. Se identificó que el error está asociado a la actualización de tablas y perfiles de usuario.
Se requiere revisión técnica detallada para garantizar que los nuevos proveedores creados en el administrador se reflejen correctamente en el administrador de usuarios. No es prioritario hasta que se requieran nuevos registros.</t>
  </si>
  <si>
    <t>GD772-163</t>
  </si>
  <si>
    <t>EXPORTAR  RIPS PRESTADORES
Lago de datos</t>
  </si>
  <si>
    <t>Solicito la valiosa colaboración para exportar los Rips que los prestadores están adjuntando en formato JSON, y que antes los teníamos consolidados en formato TXT, esto debe realizarse de manera retroactiva desde el mes de enero del presente año.</t>
  </si>
  <si>
    <t>20/10/2025: Se definió la estructura de los archivos (nueve por mes). La tarea se mantiene en lista de seguimiento sin urgencia.
27/10/2025: TTras la actualización de la IP para el acceso al ambiente de test, se realizará la validación correspondiente. Se estima finalizar y entregar el proceso durante el transcurso de la semana.
29/10/2025: Se indica que con la finalizacion del req GD772-117 la exportación de los rips no seria necesaria.
07/11/2025: Se estima entregar  el martes 11 de noviembre.
19/11/2025 : Se escala control de cambios a producción MDSB-932138 y MDSB-932173
24/11/2025: Los controles fueron aprobados por comite y ejecutados en la tarde como resultado exitoso para el  MDSB-932173 y se presento error en el script  del control MDSB-932138  para lo cual se debera escalar un nuevo control.
25/11/2025: Se escala nuevo control de cambios MDSB-935841
01/12/2025: Control de cambios pendiente por aprobación de QA cliente.
03/12/2025: Control de cambios ejecutado con exito el 01 de diciembre.
04/12/2025:  Control de cambios ejecutado con exito el 3 de diciembre.
05/12/2025: El desarrollo de exportar RIPs ya está en producción y funcionando correctamente. No se requieren ajustes adicionales.</t>
  </si>
  <si>
    <r>
      <rPr>
        <rFont val="Quattrocento Sans"/>
        <color rgb="FFFF0000"/>
        <sz val="10.0"/>
      </rPr>
      <t>MDSB-932138</t>
    </r>
    <r>
      <rPr>
        <rFont val="Quattrocento Sans"/>
        <color theme="1"/>
        <sz val="10.0"/>
      </rPr>
      <t xml:space="preserve"> y MDSB-932173,MDSB-935841</t>
    </r>
  </si>
  <si>
    <t>INTERNO-JE004</t>
  </si>
  <si>
    <t>Sistematización con IA (Segunda vista de incapacidades en portal)</t>
  </si>
  <si>
    <t xml:space="preserve">Iniciara validando a que sistema  o proceso implementara  sitematizacion  con IA </t>
  </si>
  <si>
    <t>Se inicia la creación de una nueva vista de radicación con un solo paso, reduciendo la carga de datos que debe ingresar el usuario. La lógica se basará en consultar automáticamente la información relacionada a partir de la cédula del afiliado en el portal.Crean las ramas .</t>
  </si>
  <si>
    <t>Se desarrolló una nueva vista de radicación que consolida las tres actuales, permitiendo capturar la información automáticamente a partir del PDF y la cédula del usuario. Aún falta el botón de "finalizar" y guardar los datos, se presentan avances  al sr Hernan,  Se pausa para por prioridad de la solicituda  MDSB-822809  Descarga soportes AT 031 y AT 028</t>
  </si>
  <si>
    <t>Aún no se ha finalizado. Falta desarrollar el botón de “finalizar” que guarde la información completa para la gestión. Ya se cuenta con el API entregado por Danilo; lo siguiente es validar toda la lógica de guardado</t>
  </si>
  <si>
    <t>Dedicara hasta las  10 am de hoy para  finalizar el desarrollo.</t>
  </si>
  <si>
    <t>Dedico todo el dia del 6 de Junio Tuvo inconvenientes para conectarse al API que dejó Danilo, pero en horas de la tarde logro establecer la conexión. Realizo algunas pruebas y el servicio está funcionando correctamente. Lo que queda pendiente es entrenar  un poco más el método para mejorar su desempeño.</t>
  </si>
  <si>
    <t>Se reporta que algunas imágenes devuelven NIT en lugar de cédula.Se sugirió probar con múltiples imágenes y registrar patrones para mejoras futuras</t>
  </si>
  <si>
    <t>25/06/2025: Se encuentra pausado para dar continuidad a  Requerimiento gestión Medicamentos fase 2 - Sprint 2</t>
  </si>
  <si>
    <t xml:space="preserve">Pruesbas </t>
  </si>
  <si>
    <t>GD772-159_1</t>
  </si>
  <si>
    <r>
      <rPr>
        <rFont val="Quattrocento Sans"/>
        <b/>
        <color theme="1"/>
      </rPr>
      <t>Documentación tecnica</t>
    </r>
    <r>
      <rPr>
        <rFont val="Quattrocento Sans"/>
        <color theme="1"/>
      </rPr>
      <t>. ( Valores de factura vs valores pendientes )</t>
    </r>
  </si>
  <si>
    <t>01/12/2025: Tam pronto se realice el paso a producción se le solicitara a  Jairo los script.
12/12/2025: Se solicita docuemntación a Jairo
18/12/2025: Jairo engtrega documentación en .md. se realizara  ajuste de formato y estilos</t>
  </si>
  <si>
    <t>GD772-163_1</t>
  </si>
  <si>
    <r>
      <rPr>
        <rFont val="Quattrocento Sans"/>
        <b/>
        <color theme="1"/>
      </rPr>
      <t xml:space="preserve">Documentación tecnica </t>
    </r>
    <r>
      <rPr>
        <rFont val="Quattrocento Sans"/>
        <color theme="1"/>
      </rPr>
      <t>EXPORTAR  RIPS PRESTADORES
Lago de datos</t>
    </r>
  </si>
  <si>
    <t>05/12/2025: Pendiente solicitar script a jairo  para elaborar la docuemntación.
12/12/2025: Se solicita docuemntación a Jairo
17/12/2025: Jairo engtrega documentación en .md. se realizara  ajuste de formato y estilos</t>
  </si>
  <si>
    <t>MDSB-916570</t>
  </si>
  <si>
    <t>jiras día a día (Error en trazabilidad de certificado 472)</t>
  </si>
  <si>
    <t>Solicito revisíón del proceso de web services de correo electronico certificado, lo anteiror puesto que se identifica que desde la seaman pasada no se esta visulizando la información en trazabilidad de guias, sin embargo en la plataforma de 472 se encuetra la información, casos reportados:</t>
  </si>
  <si>
    <t>27/10/2025: Se iniciara tan pronto se finalice el ajuste del flujo de madalidades (Hallazgo cliente en la ciudad del trabajador)
28/10/2025: Durante el análisis se identifica que el caso 40227010 contenía un NIT con más de 30 dígitos, lo cual generaba un error que detenía el registro de la información de envío e impedía mostrar la trazabilidad en los casos posteriores.
Se corrige el registro del NIT que ocasionaba la falla, y actualmente la opción de trazabilidad de guías se encuentra visible y funcionando correctamente para todos los casos que presentaban la novedad.</t>
  </si>
  <si>
    <t>GD772-170</t>
  </si>
  <si>
    <t>Incluir campo Peso colombiano Si-No en informe consolidado Reembolsos salud.</t>
  </si>
  <si>
    <t>Incluir en el informe consolidado el campo Peso colombiano Si-No por cada caso</t>
  </si>
  <si>
    <t xml:space="preserve">24/10/2025: Se identificó que el campo existe en el informe detallado pero no en el consolidado. Se revisará el query para incluir el campo en ambas vistas.
28/10/2025: Ajuste implementado en producción </t>
  </si>
  <si>
    <t>GD772-171</t>
  </si>
  <si>
    <t>Cambiar pdf  en plataforma de radicación</t>
  </si>
  <si>
    <t>Por favor dejar en la plataforma de radicación Imagine el adjunto para radicación de facturas oportuna.</t>
  </si>
  <si>
    <t>27/10/2025: Se realiza cambio de PDF solicitado en el portal de radicación de facturas</t>
  </si>
  <si>
    <t>INTERNO-JA027</t>
  </si>
  <si>
    <t xml:space="preserve">Ajuste  consulta autorizaciones en Laravel </t>
  </si>
  <si>
    <t>MDSB-919192</t>
  </si>
  <si>
    <t>Jiras dia a día ( No esta actualizando estado del caso en portal) Reembolsos salud y Arl.</t>
  </si>
  <si>
    <t xml:space="preserve">Se evidencia que no se están actualizando los estados del caso en la consulta del portal “ consultado estado de solicitud , esto esta ocurriendo tanto para Reembolsos ARL como para Reembolsos Salud . </t>
  </si>
  <si>
    <t xml:space="preserve">29/10/2025: requiere ajuste en la lógica de actualización de estados, con plazo estimado de entrega para viernes 31 de octubre.
31/10/2025: Se avanzo en el  desarrolló del query de actualización para la opcion  devuelto en la interfaz de Bolivar.
Pendiente: Aplicar el cambio en ambiente test luego de finalizar las actividades del Lago de Datos.
05/11/2025: El 4 de noviembre  se realiza validación y se identifica que el proceso lógico que actualiza los estados sí funcionaba correctamente, pero no encontraba las equivalencias necesarias en la tabla, por lo que algunos registros no se actualizaban ni eran visibles en el portal.
Para lo cual se creó y completó la tabla de homologación faltante con todos los estados requeridos y se lanzó una actualización de la lógica de sincronización, la cual ahora cambia correctamente el estado tanto cuando se glosa como cuando se devuelve un reembolso.
</t>
  </si>
  <si>
    <t>GD772-172</t>
  </si>
  <si>
    <t>Ajustes Reembolsos ARL</t>
  </si>
  <si>
    <t xml:space="preserve">OBJETIVO:
Se requiere realizar ajustes en el desarrollo actual de reembolsos con el fin de optimizar tiempos en la gestión de respuesta
REQUERIMIENTOS FUNCIONALES:
1. INCLUIR NOTA EN LA COMUNICACIÓN DE DEVOLUCIÓN DE REEMBOLSOS 
Se requiere que cuando se de clic en el botón denominado “ devolución de reembolso “ se agregue a la notificación remitida por el correo la observación por la cual se está realizando la devolución, esta nota se captura en el campo de observación que se muestra a continuación:
Esta observación debe alimentar el formato de respuesta el cual se relaciona a continuación : Devolución Reembolsos
2. TRASLADAR CASO DE SALUD A ARL Y DE ARL A SALUD
Se requiere habilitar un botón en la gestión del caso que permita trasladar el caso a la gestión de REE SALUD, para que quede en la actividad digitación de reembolso en salud y allí se capture la información correspondiente ,
3. Editar el valor capturado
Se requiere habilitar el botón editar sobre el campo total con el fin de que el perfil de analista pueda editar el valor digitado , esta actividad solo se podrá realizar solamente antes de que se dispare el botón “ radicación sisalud reembolso”
4. Habilitar botón de retoma de casos 
Se requiere habilitar el botón de retoma de caso para los perfiles de auditoría y analista en los casos que se encuentran en estado pendiente:
5 Agregar tipo de documento
Se requiere agregar a la lista de documentos el documento que se encuentra creado como PT “ Permiso Temporal “ esto con el fin de poder realizar el envío de servicio entre sisalud e imagine con este tipo de documento:
6.Inscripción de cuenta radicación 
Se requiere que cuando los asegurados realicen la radicación y marquen que no tiene una cuenta inscrita en el aplicativo se habilita únicamente el formulario de inscripción de cuenta, tal como se muestra a continuación:
Se requiere un hablador que indique lo siguiente : “Para garantizar el pago de los reembolsos a cuenta bancaria o billetera electrónica, se requiere el diligenciamiento del formulario.”
7.Adjuntos en la respuesta
Se requiere que para todas las causales de respuesta“ devolución reembolsos, glosa total reembolsos , Glosa parcial, pagado en validación” , se habilite un campo de examinar para poder remitir archivos complementarios en la respuesta , los formatos que se pueden adjuntar allí son “ xlsx, csv, pdf jpg png..” este campo no será obligatorio para la gestión de la respuesta
8. Modificación texto de radicación respuestas:
Se requiere ajustar todas las plantillas de respuesta debido a la modificación que se tiene de radicación se adjunta documento con las modificaciones realizadas
</t>
  </si>
  <si>
    <t>05/11/2025: Se dara inicio a los ajustes  deacuardo al requrimiento.
07/11/2025:  Se estima entregar el 50% el martes  11 de noviembre  y  el otro 50%  el martes 18.
10/11/2025: Se avanza en ajustes, restan los temas de valores y cambio de área para permitir digitación. La mayoría de puntos están listos para pasar a test.
11/10/2025: Se solicita extender el plazo de entrega por incidencias en la radicación automática de facturas presentadas el 11 de noviembre.Nuevas fechas: 2 de noviembre (1.ª entrega) y 21 de noviembre (2.ª entrega).
12/11/2025: De los 8 puntos del desarrollo, se completaron 6. Quedan pendientes el ajuste de cambio de área (a la espera de definición del usuario) y el cambio de valor, que requiere una reingeniería más amplia para no alterar los cálculos
18/11/2025: Hoy se realizará la implementación de los puntos 2 y 3 del sistema de reembolsos, que incluyen el traslado de casos entre Salud y ARL y la edición del valor capturado, desarrollando estos ajustes sobre los modelos de reembolsos ARL/Salud e incorporando mejoras en las validaciones y en los informes asociados.
20/11/2025: El 19 de noviembre se realizo lo siguiente: 
1. Implementación de Modificación de Valores en Reembolsos
Se desarrolló la funcionalidad para editar cantidad y valor en los procedimientos de facturas de Reembolsos ARL y Salud, con validaciones específicas, control de valores originales y un panel para registrar observaciones y guardar los cambios. También se implementó un mecanismo de resumen y envío seguro de la información.
2. Corrección de Flujo al Cambiar Área
Se ajustó el proceso para garantizar que, al cambiar el área entre Reembolsos ARL ↔ Salud, se limpien correctamente los datos en backup, se restablezcan los valores requeridos y la factura quede en el estado adecuado para su reasignación.
Se iniciaran pruebas de los  cambios realizados.
24/11/2025: Se solicitara sesion con el cliente para realizar la segunda entrega de los ajnustes.
26/11/2025: Implementación de restricciones para la edición de valores solo se dejo para reembolsos ARL .
Actualización dinámica de las etiquetas en label del upload según el tipo de solicitud de factura para que las de reembolsos no vean el mensaje de ratificacion. Los ajustes realizados ya se encuentran listos para entrega final. 
La presentación al cliente está programada para el viernes 28 de noviembrte a las 2 p.m. Solo resta preparar el material final de soporte.
27/11/2025: Sej austa en la búsqueda de tipologías de usuario para excluir actividades marcadas como 'Rechazo' .
01/12/2025: Los ajustes fueron validados por el cliente el viernes  28 de noviembre. Solo falta incorporar un enlace pendiente en el portal; una vez agregado se solicita autorización para paso a producción. No requiere control de cambios.
03/12/2025:Los cambios ya estan en producción, salvo el punto 6 del portal que por ahora esta en test
Se realiza paso a producción del punto 6 faltante.</t>
  </si>
  <si>
    <t>GD772-172_1</t>
  </si>
  <si>
    <t>Ajustes Reembolsos ARL (Pruebas test punto 6 Inscripción de cuenta radicación)</t>
  </si>
  <si>
    <t xml:space="preserve">Inscripción de cuenta radicación 
Se requiere que cuando los asegurados realicen la radicación y marquen que no tiene una cuenta inscrita en el aplicativo se habilita únicamente el formulario de inscripción de cuenta, tal como se muestra a continuación:
Se requiere un hablador que indique lo siguiente : “Para garantizar el pago de los reembolsos a cuenta bancaria o billetera electrónica, se requiere el diligenciamiento del formulario.”
</t>
  </si>
  <si>
    <t>03/12/2025: se realizó la validación en el ambiente de test y se confirma que, cuando el usuario selecciona la opción de “no tiene cuenta inscrita”, los campos de cuenta bancaria se ocultan correctamente. En su lugar, queda habilitado el formulario de Google para la inscripción de la cuenta, junto con el hablador: “Por favor, completa el formulario en el siguiente enlace para inscribir tu cuenta”.
Se cargaron los adjuntos obligatorios y el sistema permitió finalizar la radicación sin inconvenientes. Caso radicado: 31036260.</t>
  </si>
  <si>
    <t>GD772-156</t>
  </si>
  <si>
    <t>ASIGNACION MEDICO BOLIVAR</t>
  </si>
  <si>
    <t xml:space="preserve">De forma atenta me permito enviar solicitud de creación de carpetas para cada uno de los auditores con el fin de que las distribuciones de las facturas sea equitativa para los que tienen perfil de enfermería y a los médicos les sean asignadas las cuentas iguales o mayores a $50.000.000.
Con respecto a la respuesta a glosa, lo ideal es que le sea asignada a la persona que revisó. En sus inicios debería ser asignada a mi(S.R.) bandeja ya que el usuario que está revisando las facturas es el mío (S.R.) y posterior cuando empiecen a llegar las respuestas de las vistas por cada uno de los usuarios, a ellos mismos.
</t>
  </si>
  <si>
    <t xml:space="preserve">27/10/2025: Se analizar el detalle del GIRA 156 para aplicar los cambios de asignación en la tabla de usuarios.
28/11/2025: Se iniciara la realización de algunos cambios en el cruce de facturas
03/12/2025 : Se </t>
  </si>
  <si>
    <t>INTERNO-JA029</t>
  </si>
  <si>
    <t>VALIDACIONES Y LOG EN LOS FLUJOS DE  Yii</t>
  </si>
  <si>
    <t>PENSIONADOS</t>
  </si>
  <si>
    <t>Ajustes y cargue de información en procesos de pensionados</t>
  </si>
  <si>
    <t>Requerimiento: Ajustes y cargue de información en procesos de pensionados
Objetivo:
Optimizar y adecuar el flujo de gestión de casos de pensionados, garantizando la correcta trazabilidad, visibilidad y carga de expedientes en el sistema, de acuerdo con las actividades definidas en el diagrama general del proceso de calificación.
Alcance del requerimiento
El requerimiento contempla las siguientes actividades:
1.Cargue de expedientes en casos de pensionados
*Implementar la funcionalidad que permita adjuntar y visualizar los documentos correspondientes al expediente del pensionado dentro del caso.
*Asegurar que los expedientes se asocien correctamente a cada radicación o trámite existente.
2. Ajuste de flujos de pensionados según diagrama general
*Revisar y adecuar el flujo de tareas del proceso de calificación de pensionados conforme a las actividades descritas en el diagrama.
*Verificar las condiciones de enrutamiento y los puntos de control definidos (por ejemplo, validaciones, decisiones y estados).
*Alinear los roles involucrados y los estados finales del caso con la secuencia establecida en el proceso.
3. Cargue de archivo histórico
*Permitir la carga de información histórica relacionada con los pensionados en el sistema, garantizando la conservación de los datos y su trazabilidad.
*Validar que la información cargada se refleje correctamente en los reportes y consultas del módulo correspondiente.</t>
  </si>
  <si>
    <t>20/11/2025: Iniciara con la creación de un mock para el módulo de Pensionados, específicamente para la funcionalidad de visualización de grandes imágenes.
24/11/2025: Requerimiento en etapa de análisis. Pendiente reunión con Liyi para revisar cambios en el flujo. Se han validado imágenes y se tienen ideas para avanzar, pero aún sin trabajo en código.
05/12/2025: Se avanzó en el análisis del grupo de pensionados y los cambios que desean realizar. Pendiente revisión con Liyi para definir si el flujo debe generar pagos o solo clasificación. Actividad en etapa de análisis, sin desarrollo activo.
10/12/2025: El flujo de pensionados se presentó nuevamente al cliente, quien indicó que aún deben revisar oportunidades adicionales de mejora antes de autorizar cambios. Por solicitud del cliente, el requerimiento queda pausado. No se debe desarrollar nada hasta nueva instrucción.</t>
  </si>
  <si>
    <t xml:space="preserve"> GD772-179</t>
  </si>
  <si>
    <t>RELACION DE IVAS EN INFORME POR RADICADO ( Salud)</t>
  </si>
  <si>
    <t>Se solicita traer la columna BP (ct_iva) de la base de datos adjunta al informe por radicado que se exporta desde imagine.</t>
  </si>
  <si>
    <t xml:space="preserve">01/12/2025: Se debe reemplazar todos los campos denominados IVA provenientes de BIR por ct_iva en los informes. El cambio aplica a todos los reportes donde se utilice ese campo. Actividad rápida y próxima a ejecutar.
02/12/2025: Ajuste desplegado a producción </t>
  </si>
  <si>
    <t>INTERNO-JA030</t>
  </si>
  <si>
    <t>Errores frecuentes en el servicio de 472</t>
  </si>
  <si>
    <t>13/11/2025: Se emitió la alerta correspondiente y se participó en las reuniones convocadas para subsanar el inconveniente.</t>
  </si>
  <si>
    <t>INTERNO-JA031</t>
  </si>
  <si>
    <t>Ajuste en la recepción del servicio de 472</t>
  </si>
  <si>
    <t xml:space="preserve"> Ajustes post-despliegue en API 472 basados en errores identificados</t>
  </si>
  <si>
    <t xml:space="preserve">14/11/2025: El 13 de noviembre se realizaron algunos ajustes en 472, Corrección de errores generados por nuevas respuestas del API tras despliegue en producción
 </t>
  </si>
  <si>
    <t>GD772-124_2</t>
  </si>
  <si>
    <t xml:space="preserve">Generacion opcion Informes Datos Proveedores
</t>
  </si>
  <si>
    <t xml:space="preserve">Finalización e implementación del informe solicitado en punto 3.2
 al  usuario de Santigo Prieto </t>
  </si>
  <si>
    <t xml:space="preserve">14/11/2025: El 13 de noviembre se Implementa en producción el informe Datos Proveedores.
- Total de solicitudes de Actualización de Datos (pendientes y cerradas)
  - Total de solicitudes "Quiero Ser Proveedor" (pendientes y cerradas)
  - Resumen mensual de solicitudes por tipo
  - Gráficos de radicación diaria (últimos 10 días) para cada tipo de solicitud
  - Opción con filtro de fechas para descargar informe
 </t>
  </si>
  <si>
    <t>INTERNO-JA032</t>
  </si>
  <si>
    <t>Descarga de Archivos Planos Informe de Datos Proveedor</t>
  </si>
  <si>
    <t>Generación de archivos planos Informe de Datos Proveedor para análisis de Santiago (Solicitud interna de Liyi)</t>
  </si>
  <si>
    <t>14/11/2025: Se realizó la descarga y análisis de las tablas actualización y datos proveedores. Queda pendiente únicamente la habilitación del acceso a la opción Informe de Datos Proveedor para completar las validaciones restantes</t>
  </si>
  <si>
    <t>GD772-155</t>
  </si>
  <si>
    <t>Retirar del portal radicación proveedores la tipología radicación facturas EPS</t>
  </si>
  <si>
    <t>Solicito la valiosa colaboración para retirar del portal radicación proveedores la tipología radicación facturas EPS, no contamos con este producto y adicional contamos con paz y salvo de las entidades prestadoras de servicios de salud.</t>
  </si>
  <si>
    <t>02/10/2025: Se retira tipologia solicitada.</t>
  </si>
  <si>
    <t>GD772-154</t>
  </si>
  <si>
    <t>Cambio de video tutorioales en portal de facturas</t>
  </si>
  <si>
    <t>Se solicita cambiar videos tutoriales en portal imagine, los que se subieron tienen problemas de edición que pueden confundir al prestador.</t>
  </si>
  <si>
    <t>30/09/2025: Videos  cambiados.</t>
  </si>
  <si>
    <t>GD772-138</t>
  </si>
  <si>
    <t xml:space="preserve">Agregar adjunto descargable Reembolsos ARL
</t>
  </si>
  <si>
    <t>**Agregar adjunto descargable Reembolsos ARL**\n\n**Descripción**\nSe requiere habilitar en el módulo de Reembolsos ARL la opción de descargar el archivo “Formato Solicitud de Reembolso” directamente desde la aplicación.\n\n**Objetivo**\nFacilitar al usuario el acceso al formato oficial de solicitud de reembolso, evitando trámites externos y asegurando que siempre se use la versión vigente.\n\n**Alcance**\n\nIncluir un botón/enlace de Descargar Formato en la sección de Reembolsos ARL.\n\nEl archivo debe descargarse en su formato original (XLSX).</t>
  </si>
  <si>
    <t>10/09/2025: Ajunto implementado en producción.</t>
  </si>
  <si>
    <t>MDSB-872831_1</t>
  </si>
  <si>
    <t>Actualizar base de datos eliminando espacios en el número de identificación de los casos existentes</t>
  </si>
  <si>
    <t>15/09/2025: Se ejecutó la actualización en base de datos para eliminar los espacios en el campo NIT de las tablas WF_Radicación y Valors. El proceso finalizó correctamente y el requerimiento queda solucionado.</t>
  </si>
  <si>
    <t>INTERNO-JE018</t>
  </si>
  <si>
    <t xml:space="preserve">Envíos masivos de conciliación </t>
  </si>
  <si>
    <t>Se identifica que el envío masivo 99085, correspondiente a 7.149 envíos, se detuvo en la creación de casos en el registro 4.710. Al realizar la consulta de los casos, se evidencia un adjunto en formato PDF que no permite ser visualizado. Se requiere iniciar la validación del proceso ejecutado con el fin de identificar las causas del incidente</t>
  </si>
  <si>
    <t>26/08/2025:Se asiste a sesión de entendimiento del proceso de cargue masivo y se identifica que corresponde al proceso de conciliaciones masivas, el cual no se encontraba en uso. Para lo cual se realiza la anulación del envío 99085 y se solicita efectuar nuevamente el cargue, quedando registrado con el ID 99377.
27/08/2025: Se realiza seguimiento al nuevo envío cargado y se identifica que este se detiene en la creación del caso (4710). La causa corresponde a que el NIT debe estar en la segunda posición del nombre del archivo PDF. En consecuencia, cuando el archivo no existe en la ruta, pero fue relacionado en el Excel, el caso no llega a crearse.
28/08/2025: Se acuerda realizar el envío de los 4.710 casos creados y solicitar a la usuaria la gestión de los 2.439 registros faltantes.
29/08/2025: Se corrigieron fallas en el envío masivo por una tipología interna y problemas de lectura de adjuntos en subcarpetas. Se implementaron mejoras de código y validaciones. Se está a la espera de un nuevo Excel para procesar 2.439 casos pendientes.</t>
  </si>
  <si>
    <t>INTERNO-JE007</t>
  </si>
  <si>
    <t>Validaciòn apertura de dos actividades en un mismo caso en Nativo</t>
  </si>
  <si>
    <t>04/07/2025: se abordarán posibles inconsistencias con doble actividad en la gestion de casos en nativo.</t>
  </si>
  <si>
    <t>07/07/2025 : El día viernes 4 de julio se realizó una revisión del problema relacionado con la apertura de dos actividades simultáneas. En nuestro caso, se analizaron aspectos del flujo, sus condiciones y las tablas involucradas. Se sostuvo una reunión en la tarde para este fin, pero no se alcanzó a concluir el análisis, por lo que se propone agendar un nuevo espacio para continuar con la revisión del tema.</t>
  </si>
  <si>
    <t>14/07/2025: Se dará inicio al análisis de los casos que se encuentran duplicados.El pasado viernes 11 de lulio se construyó un query  inicial para identificar los registros, y a partir de hoy se comenzará la revisión detallada caso por caso. Antes de proceder con los cierres, se validará nuevamente si cada caso puede o no cerrarse.</t>
  </si>
  <si>
    <t>18/07/2025: Se completó la revisión con la última condición enviada por el solicitante ( a menos que tenga act.cambia_user_asig = true si esta como true o 1 entonces busca a otro usuario.)</t>
  </si>
  <si>
    <t>INTERNO-JE020</t>
  </si>
  <si>
    <t>Validar inconsistencia  Reporte casos ARL sin gestión</t>
  </si>
  <si>
    <t xml:space="preserve">1. Reporta como error un correo que no se debe radicar:
2. El reporte Indica validar dos casos, pero no hay diferencias entre la columna yii= 318 + excluidos= 291 =  609.  contra el total de correos recibidos 609. 
</t>
  </si>
  <si>
    <t>28/08/2025: Se iniciara validacion despues  de terminar el req  Modalidad Teletrabajo Transnacional.
01/09/2025: Se identifica que el error se originaba porque en el campo message_id la consulta realizaba la división a partir de la cadena "@-" para obtener el correo y el dominio. En el caso del message_id ArIp3J4TTo-5bFv0tBXJBQ.K3fQBmq1Go6YQojGhUvrhj4@sfdc.net
, no se encontraba la secuencia "@-", lo que ocasionaba que tanto el correo como el dominio quedaran en valor null y, en consecuencia, la validación de la consulta resultara siempre positiva. El problema se corrigió implementando la validación del correo y el dominio de manera individual.</t>
  </si>
  <si>
    <t>INTERNO-JE021</t>
  </si>
  <si>
    <t>Validacion funcionamiento API 472</t>
  </si>
  <si>
    <t>Se debe validar la integración con el API de 472 físico para que el sistema recorra automáticamente los casos en estado “Entrega Courrier”.\nEn caso de que el API confirme que la guía en 472 figura como “Entregada”, el sistema debe cerrar el caso de manera correcta y adjuntar al caso la guía de entrega correspondiente para el cliente.</t>
  </si>
  <si>
    <t>03/09/2025: La validación del comando y de la función presenta un avance aproximado del 50%. El progreso se detuvo debido a la identificación de tres errores reportados por el cliente durante las pruebas de la modalidad de trabajo transnacional, los cuales deben incorporarse al flujo.
05/09/2025:Se realizó una nueva sesión para aclarar dudas sobre el requerimiento. Con base en ello, se reiniciará la ejecución validando la documentación técnica enviada por 472 para el consumo del servicio.
08/09/2025: Se inició desarrollo del comando en Laravel para integrar el consumo de correos físicos (472) junto al manejo de correos electrónicos, con el objetivo de unificar la lógica y facilitar mantenimiento. Se está documentando el proceso de certificados.
10/09/2025: El 9 de septiembre se realizaron pruebas con el servicio, pero la API no devolvió los resultados esperados. A pesar de ello, se avanzó en la construcción del código que procesará la respuesta. Se está a la espera de confirmación por parte de 472, ya que podría tratarse de parámetros incorrectos o credenciales vencidas/modificadas.
26/09/2025: El 24 de sepriembre se realizó una reunión con el equipo de 472 para tratar el tema relacionado con el manejo de comprobantes físicos. El inconveniente radicaba en que inicialmente solo se habían entregado credenciales de prueba, por lo cual no se contaba con acceso a producción y todo lo enviado quedaba en ambiente de test. En la reunión se solucionó la situación con la entrega de credenciales de producción.</t>
  </si>
  <si>
    <t>MDSB-874732</t>
  </si>
  <si>
    <t>Jiras dia a dia (Informe correos recibidos en el buzón de ARL desde el 1ro de enero de 2025 y no radicados en imagine)</t>
  </si>
  <si>
    <t>Fecha entrega cleinte: 15/10/2025
Se solicita por favor realizar una verificación de los correos recibidos en el buzón de ARL desde el 1ro de enero de 2025 y no radicados en imagine.Lo anterior para identificar los impactos de calificación de origen en casos no gestionados.</t>
  </si>
  <si>
    <t>05/09/2025: Se enviaron reportes históricos al correo desde enero agrupados en bloques de 4-5 días para evitar saturación de memoria en Node.js. El proceso funciona, aunque se detectaron algunos casos no replicados. Se evalúa un ajuste para mejorar la consistencia.
08/09/2025: Se enviaron casos de novedad por correo de manera detallada (día a día para agosto), mejorando la precisión frente a envíos anteriores. Pendiente validcion de llegada de todos los  correos.
10/09/2025: Desarrollar comparación entre casos creados, correos recibidos y validados.
12/09/2025: Se modificó toda la lógica del lector de correos con base en las sugerencias de Jenry. Las pruebas iniciales fueron satisfactorias. Hoy se ejecutará durante toda la jornada para validar que los conteos de correos coincidan exactamente y poder escalar gradualmente el procesamiento.
15/09/2025: Se restauraron los módulos de Node.js (NodeModules) a una versión estable tras detectar errores en los scripts. Se implementó una alternativa que parece estable, pero requiere ejecutar pruebas en varios días para validar consistencia. Se sugiere no actualizar módulos hasta hacer mantenimiento general.
19/09/2025: Se entregaron los reportes correspondientes al periodo del 1 al 15 del mes actual. Se está a la espera de la validación de cantidades por parte de Liyi para proceder con la generación de reportes de los meses anteriores.
01/10/2025: Se acordó generar un consolidado histórico (enero a septiembre) que será enviado únicamente a Fabio y Liyibet para revisión interna, además de mantener un reporte diario automático para el resto del equipo. El proceso ha mostrado lecturas estables, sin errores en los registros, pero se debe ajustar la parametrización para diferenciar los grupos de destinatarios de los reportes.
21/10/2025: Se encuentra en proceso la obtención de la información. Actualmente se está recopilando la correspondiente al mes de abril, quedando pendiente la información de los meses de marzo a enero de 2025.
27/10/2025: Se inicia generación reporte del mes de febrero de 2025.
07/11/2025: Se completo la generación de información  de enero a Noviembre, pendientre  validación de la  misma con Liyibet.
13/11/2025:Se realiza la validación de los correos en la consulta de correos de Yii correspondientes a aquellos que el reporte indica como no radicados.
Esto con el fin de corroborar su estado y depurar los que no representan una alerta, como es el caso de los mensajes Undeliverable..
14/11/2025: Se realiza entrega del informe solicitado</t>
  </si>
  <si>
    <t>MDSB-926910</t>
  </si>
  <si>
    <r>
      <rPr>
        <rFont val="Quattrocento Sans"/>
        <color theme="1"/>
      </rPr>
      <t>Jiras dia a dia (</t>
    </r>
    <r>
      <rPr>
        <rFont val="Quattrocento Sans"/>
        <b/>
        <color theme="1"/>
      </rPr>
      <t>Información duplicada - Caso radicado oficina virtual ARL servicio médico</t>
    </r>
    <r>
      <rPr>
        <rFont val="Quattrocento Sans"/>
        <color theme="1"/>
      </rPr>
      <t>)</t>
    </r>
  </si>
  <si>
    <t>Agradecemos su ayuda con la gestión del JIRA MDSB-926910 , dado que estamos evidenciando que al radicar serviciosa través de la oficina virtual de ARL en la opción de Servicios médicos, al dar clic en los servicios que se requieren,adjuntar los archivos y dar finalizar el sistema esta mostrando registros duplicados en la confirmación del número decaso, de hecho muestra servicios con un nombre de un proceso pero que el radicado pertenece a otro</t>
  </si>
  <si>
    <t>26/11/2025: Fabio documenta  incidencia-Se realizó la radicación en producción de dos tipos de autorización sin incluir medicamentos, y el sistema mostró correctamente los dos tipos de autorización registrados. Sin embargo, cuando dentro de los tipos de autorización se incluye Medicamentos, al finalizar la radicación el sistema despliega de forma duplicada los tipos “Procedimientos Ambulatorios” y “Medicina Laboral, Resonancia”.
Este resultado indica un posible error en la lógica de visualización o agrupación de tipos de autorización cuando se involucran medicamentos, lo cual requiere revisión por parte del equipo técnico, a la espera de la revision de Jesus.
27/11/2025: Jesus realizavalidación y ajuste de la duplicidad de los tipos de autorizacion en test, pero se evidencian inconsistencias en los adjuntos mostrados en laravel  respecto a los cargados  en medicamentos en el portal, para lo cual se realizaran pruebas en producción para descartar que se este presentando lo mismo. 
28/11/2025: Se realizan validaciones en producción y se identifica que, si bien el sistema ya no presenta la duplicidad de tipos de autorización al momento de mostrar los radicados, sí está omitiendo o dejando de mostrar algunos de los tipos de autorización radicados en el proceso.
Adicionalmente, se confirma que en los casos correspondientes a Medicamentos se siguen visualizando los adjuntos asociados a las demás autorizaciones radicadas de manera simultánea, lo que evidencia que persiste un error en la lógica de asociación y visualización de documentos.
01/12/2025:En las pruebas realizadas el viernes 28 de noviembre se identificó que, si bien el sistema ya no duplica los tipos de autorización, sí está ocultando algunos de ellos al mostrar el resultado de la radicación. Jesús se encuentra validando el ajuste correspondiente para corregir la visualización.
02/12/2025: Jesus realiza ajustes en autorizaciones de medicamentos, incluyendo revisión de imágenes. Pendiente validar que las imágenes estén disponibles en el flujo correcto antes de cerrar el caso.
03/12/2025: Se identifica que el comportamiento se debía al proceso interno que realiza la relación y agrupación de las autorizaciones que pertenecen a una misma tipología, el cual estaba generando la repetición de los nombres en la notificación.</t>
  </si>
  <si>
    <t>INTERNO-F012</t>
  </si>
  <si>
    <t xml:space="preserve">Reorganización directorio en Nativo para adjuntar documentación tecnica. </t>
  </si>
  <si>
    <t>15/12/2025: El directorio ya se encuentra organizado y se ira alimentando con la documentación tecnica que se vaya generando.</t>
  </si>
  <si>
    <t>MDSB-934230</t>
  </si>
  <si>
    <t>Jiras dia a dia validar  Error flujo tipología Dictamen Pcl Afp Y Común</t>
  </si>
  <si>
    <t xml:space="preserve">“ERROR DE FLUJO “
Buenos dias 
Solicito amablemente la ayuda con la validación del caso 43510302 ya que está presentando inconsistencia al momento de gestionarlo , no permite pasarlo al área encargada y se queda nuevamente en nuestra área quedando en la bandeja de algunos de nuestros compañeros. </t>
  </si>
  <si>
    <t>27/11/2025: Se inician las validaciones correspondientes; sin embargo, no fue posible replicar la incidencia reportada. Por lo anterior, se solicita a la usuaria proporcionar ejemplos de casos en los que la situación se haya presentado y casos en los que no, con el fin de realizar un análisis comparativo y avanzar en la identificación de la causa raíz</t>
  </si>
  <si>
    <t>INTERNO-F014</t>
  </si>
  <si>
    <t>HU nuevo proceso de incapacidades ARL</t>
  </si>
  <si>
    <t>16/12/2025: Se finalizan historias de usuario y se envian a Liyibet y Jenry, se recibe retroalimentación ya que se debe modificar la HU3 donde se indica que el usuario podia modificar o completar la información que se generaba despues de la extraccion lo cual se debe quitar ya que no fue aprobado por el cliente, pendiente realizar dicha modificación. 
17/12/2025: HU corregidas y entregadas.</t>
  </si>
  <si>
    <t>INTERNO-F013</t>
  </si>
  <si>
    <t>Error devolución de envio (Reporte de Doria)</t>
  </si>
  <si>
    <t>El siguiente caso de nativo 40282033, en el cual se presentó una devolución de 4-72. El usuario de Bolívar realizó la corrección de la dirección, pero esta no está llegando a la bandeja de firma digital para realizar el envío correspondiente en el día a día.
Estos casos son muy frecuentes y nos consultan constantemente por envíos que no se han realizado. Esta es la causa por la cual no se envían: al no llegar a la bandeja, no sabemos si la persona de Bolívar efectuó la corrección o no.</t>
  </si>
  <si>
    <t>21/11/2025: Se realiza sesion  con usuaria de Bolivar  para capturar el proceso que se realiza para generar la devolución del envio.
24/11/2025: Se detiene validación  por pruebas del doble factor.
25/11/2025: Se realiza documentación  de las dos pruebas realizadas  donde se concluyte  que:
El problema reportado por Andres corresponde a un comportamiento del flujo: si no se genera ni se ejecuta la actividad “Generación de Respuesta”, el caso no se visualizará en la bandeja de firma digital. Adicionalmente, se identificó un posible proceso automático que está cerrando actividades fuera de horario laboral, lo cual genera pérdida de casos en bandeja y requiere revisión. Se comparten evidencias por correo.</t>
  </si>
  <si>
    <t>MDSB-938347</t>
  </si>
  <si>
    <t>Error al finalizar solicitud de reembolsos en portal ARL</t>
  </si>
  <si>
    <t>Reporte:
Usuario se comunica presentando fallas para generar la solicitud de citas de terapias, ya que indica que al adjuntar los documentos y al finalizar le genera error “Debe cargar todos los archivos obligatorios. Faltan: Registro de asistencias a terapias“
Proceso:
Se genera una sesión por meet
Se solicita compartir pantalla
Se procede a validar la falla
Se realiza pruebas por incognito y la falla persiste
Se escala el caso ala rea encargada para su debida validación</t>
  </si>
  <si>
    <t>28/11/2025: Se valida la inconsistencia reportada y se evidencia que el usuario no cargó el documento obligatorio “Registro de asistencias a terapias” en la sección correspondiente, sino únicamente en Documentación Adicional, lo que generó el error mostrado por el sistema.</t>
  </si>
  <si>
    <t>MDSB-936732</t>
  </si>
  <si>
    <t>Jiras dia a dia (Informe formato AT 031 Profesional de gestión del riesgo no refleja todos los casos radicados por los GESTORES)</t>
  </si>
  <si>
    <t>“La descarga de casos Imagine tipología formato AT 031 Profesional de gestión del riesgo no refleja todos los casos radicados por los GESTORES“
Al realizar la descarga del archivo de informes en la plataforma Imagine,  la tipología  formato AT 031 Profesional de gestión del riesgo, y al hacer un cruce con la base sipab por cronogramas y secuencias, la consulta no arroja todos los radicados correspondientes. Al  realizar la búsqueda manual, se evidencia que la persona si radico los documentos para el cronograma y la secuencia, pero estos no se reflejan en la descarga de imagine como se indicó anteriormente, generando que se deba realizar una búsqueda manual para confirmar la radicación de las actas e informes. Se anexa documento excel donde se realiza el cruce de bases de datos donde para los meses de agosto, septiembre y octubre deberían aparecer varios casos y no estan reflejados, como el caso de Ruben tres Palacion, Angela Camila Moreno, Berenice Bermejo, Edgar Ricardo Gomez Parra, Paula Andrea Galvis, Cristian Smith Franco., Jose Eduardo Rojas, Katherin Jhoana Tonguino, por mencionar casos relevantes.</t>
  </si>
  <si>
    <t>26/11/2025: Se identifica que los usuarios reportados no tenían actualizado el rol en la tabla de usuarios, lo cual impedía que se reflejaran en el informe. Como medida correctiva, se solicita a Jesus la  actualización de los roles correspondientes.</t>
  </si>
  <si>
    <t>GD772-146_1</t>
  </si>
  <si>
    <t>Pruebas Doble factor de autentticación (Correo)</t>
  </si>
  <si>
    <t>Requermiento entregado en test  el 21 de noviembre en la tarde y se requiere realizar las pruebas de funcionamiento.</t>
  </si>
  <si>
    <t>24/11/2025: Se realizan pruebas de funcionamiento  donde se trabaja identifican mejoras de estilos en la notificación de correo y ajustes en la notificación del codigo expirado o errado,  se realiza toma de evidencias y se envian al Liyibet.</t>
  </si>
  <si>
    <t>INTERNO-JE009</t>
  </si>
  <si>
    <t>Funcionalidad para inhabilitar modificación de tipologías en Nativo</t>
  </si>
  <si>
    <t>Es necesario restringir cambios en tipologías una vez el portal esté activo, para evitar errores en procesos dependientes.
04/08/2025: El juenes 31 de julio se inactiva el menú de modificación de tipologías ubicado en Radicador &gt; Administración, dejando habilitada únicamente la opción disponible en Radicación Workflow para un conjunto específico de cédulas de ciudadanía (CC). La intención es crear o mejorar la funcionalidad de administración de tipologías en la nueva aplicación de Nativo, la cual se planea actualizar próximamente</t>
  </si>
  <si>
    <t>GD772-137</t>
  </si>
  <si>
    <t>Mejoras Modalidad teletrabajo transnacional (Flujo)</t>
  </si>
  <si>
    <t>**FLUJO DE TRABAJO MODALIDADES DE TRANSNACIONAL**\r\n\r\n\r\n**1.\tDESCRIPCIÓN DEL REQUERIMIENTO  **\r\n\r\nSe requiere ajustar el módulo de teletrabajo transnacional para la atención de casos desde nativo por flujo de trabajo.\r\n\r\n**1.2 OBJETIVO**\r\n●\tCreación de flujo de trabajo desde el módulo de teletrabajo\r\n\r\n**2. REQUERIMIENTOS FUNCIONALES**\r\n\r\n2.1 Creación de flujo de trabajo -Caso\r\nSe requiere que en el momento de recibir una solicitud de reporte desde el módulo de modalidades de trabajo por la modalidad de teletrabajo transnacional se cree un caso bajo el flujo de trabajo en nativo con la tipología 10679“ Teletrabajo transnacional”, la cual ya creamos en el workflow de nativo, es importante trasladar la información que se captura al momento de recibir la modalidad de trabajo por el módulo al igual que los adjuntos con el fin de realizar la verificación de información y soportes para afiliar el trabajador con esta modalidad o realiza la devolución de la solicitud. \r\nSi el reporte realizado por la empresa corresponde a una carga masiva, se deberá crear por cada trabajador reportado un caso para gestión, este debe tomar los datos generales y específicos, así como los adjuntos de manera individual.\r\n\r\n2.2 Notificación de creación de caso\r\nUna vez se radique una solicitud de reporte desde el módulo de modalidades de trabajo por la modalidad de teletrabajo transnacional, deberá de mostrar al usuario el número de caso de la radicación, para la respuesta.\r\n\r\n \r\nAdicionalmente deberá remitir copia del comunicado al correo electrónico registrado (para masivo y para individual ).\r\n \r\nEn caso de cargue masivo se deberá notificar la cantidad de casos creados por cada trabajador.\r\n \r\n\r\n\r\n2.3 Modificación de tiempo de atención\r\nSe deberá poder modificar el tiempo de atención de esta tipología en el módulo actual de YII, es decir debe ser parametrizable. Tiempo de atención inicial de 1 día.\r\n\r\n2.4 Informe \r\nSe requiere la creación de un informe dinámico que permita a la gerencia identificar de manera clara y en tiempo real el comportamiento del proceso relacionado con la modalidad de trabajo reportada por las empresas. El informe consolidará información por empresa y trabajador, y ofrecerá la posibilidad de descargar datos históricos en rangos de fechas configurables (meses o años, el rango máximo de 6 meses).\r\nEste desarrollo busca fortalecer la toma de decisiones estratégicas, optimizar la gestión operativa y brindar trazabilidad sobre las empresas y trabajadores que se encuentran bajo esta modalidad, asegurando transparencia y confiabilidad en la información.\r\n2.4.1 Objetivos\r\n●\tFacilitar la visualización del comportamiento del proceso a nivel global, por empresa y por trabajador.\r\n●\tPermitir la descarga de datos consolidados sobre la cantidad de empresas y trabajadores bajo esta modalidad.\r\n●\tImplementar filtros dinámicos por rango de fechas (mensual, trimestral, anual o multianual).\r\n●\tProporcionar un informe que sirva tanto para análisis operativo como para informes de gestión gerencial.\r\n2.4.2 Datos mínimos que debe contener el informe\r\nDatos Empresa\r\n●\tNit - Razón Social Empresa \r\n●\tNúmero de Cédula y nombre del trabajador\r\nCampos obligatorios\r\n●\tNúmero de identificación del trabajador\r\n●\tNombres y apellidos del trabajador\r\n●\tNúmero de teléfono del trabajador\r\n●\tPaís de residencia\r\n●\tCiudad de residencia\r\n●\tDirección de residencia\r\n●\tFecha de inicio\r\n●\tClase de riesgo del trabajador\r\n●\tDescripción de actividades\r\nCampos opcionales:\r\n●\tHora inicio labor\r\n●\tHora fin labor\r\n●\tHora inicio de almuerzo\r\n●\tHora fin de almuerzo\r\n●\tFecha de fin\r\n●\tJornadas (semanal o flexible, con campo de texto en caso de ser flexible)\r\n</t>
  </si>
  <si>
    <t>10/09/2025: Se socializa requerimiento  y se estima desarrollo de 10 habiles iniciando hoy.
12/09/2025: Se avanzó en local con la creación de tipologías y actividades iniciales. Actualmente se encuentra en etapa de construcción de casos. El progreso continúa según lo planificado.
15/09/2025: No se avanzó el viernes 12 por atender otros temas. Se retoma hoy con el objetivo de continuar la creación de tipologías y actividades.
16/09/2025: Se detiene desarrollo  para atender requerimiento de extraccion de imagenes contraloria.
17/09/2025: Se avanzó en el flujo de creación de casos desde el portal, logrando que los casos se asignen automáticamente a la actividad correspondiente y se visualicen correctamente. Falta desarrollar la parte de gestión (bandejas y seguimiento).
17/09/2025: El cliente solicita adicionar  en la parte inicial del proceso un espacio para que  la empresa  adjunte la plantilla de ingreso del trabajador
19/09/2025: Se estima un avance del 40% en el desarrollo. Se implementó una bandeja de consulta similar a la actual para mantener la experiencia de usuario. Este desarrollo continúa siendo prioridad.
22/09/2025: Se finalizaron dos bandejas de modalidades, avanzando hacia el desarrollo de funcionalidades de gestión y consulta de casos, Se detiene para realizar desarrollo de Ajustes modalidad transnaciioonal  modalidades  transnacional.
01/10/2025: Se reactiva desarrollo el 30 de septiembre  avanzando con éxito en la creación de vistas de gestión y consulta, Aún quedan pendientes detalles de trazabilidad y la definición del dashboard solicitado por el cliente, ya que este fue planteado de manera muy general y requiere precisar qué indicadores y gráficos se deben implementar.
02/10/2025: Se escala control de cambios en test MDSB-903049 para la inclusion de la columna  rad_solicitudes_id en la tabla circular_0041_trabajador , Control de cambios ejecutado con exito.
03/10/2025: El flujo de modalidades ya se encuentra listo aún no ha sido desplegado en el ambiente TES; se tiene previsto realizar la subida y comenzar las pruebas en dicho ambiente. Como pendiente queda la definición y desarrollo del informe dinámico.
06/10/2025: El flujo de modalidades fue desplegado en ambiente de pruebas, restando únicamente el informe dinámico y la validación del menú nuevo que aún no se visualiza. Se espera culminar el flujo antes del jueves
08/10/2025: Desarrollo entregado en test  para pruebas el 7 de octubre  faltando  el  Dashboard.
15/10/2025: Se entrega requerimiento al cliente para sus pruebas y confirmación de paso a producción.
22/10/2025:Cliente envia resultados de las pruebas donde reporta falla en la ciudad del trabajador que se visualiza en el caso radicado.
27/10/2025: Se establecio como prioritario en ajuste del hallazgo reportado por el cliente.
Se corrige error reportado y se informa al cliente para que completen sus pruebas.
07/11/2025: Cliente  informa error al visualizar adjuntos en laravel.
20/11/2025: Se inicia la validación del ajuste reportado por el cliente. Durante la revisión se identificó que las carpetas donde se almacenaban las imágenes en el ambiente de Test ya no existían y que los archivos PDF no se visualizaban por falta de permisos. Esta situación fue corregida y se informó al cliente para que continúe con sus pruebas.
Adicionalmente, se requiere ajustar las proformas según las versiones suministradas por el cliente.
28/11/2025: Cliente da el aval para realizar  paso a producción, se procedera a solicitar cacontrol de cambios a producción.
Se solicita control de cambios MDSB-938367 a producción.
01/12/2025: Control de cambios aprobado  por comité y se ejecutara hoy a las 4:40 pm
03/12/2025: El requerimiento fue pasado a producción el 2 de diciembre. El código está estable y no presenta fallas. Se realizarán casos de prueba en producción para validar comportamiento real una vez ingrese el primer caso.</t>
  </si>
  <si>
    <t>MDSB-903049</t>
  </si>
  <si>
    <t>MDSB-938367</t>
  </si>
  <si>
    <r>
      <rPr>
        <rFont val="Quattrocento Sans"/>
        <color theme="1"/>
        <sz val="10.0"/>
      </rPr>
      <t xml:space="preserve">https://github.com/Imaginesas/portales/compare/master...hotfix/flujo_modalidad
</t>
    </r>
    <r>
      <rPr>
        <rFont val="Quattrocento Sans"/>
        <color rgb="FF1155CC"/>
        <sz val="10.0"/>
        <u/>
      </rPr>
      <t>https://github.com/Imaginesas/bolivar/compare/master...feature/flujo_modalidades_2?expand=1</t>
    </r>
  </si>
  <si>
    <t>INTERNO-JE014</t>
  </si>
  <si>
    <t>Optimización de reporte "General de pendientes" en Nativo</t>
  </si>
  <si>
    <t>06/08/2025: Se identificó problema de rendimiento en el código. Se solicitará apoyo a Jairo para reutilizar funciones existentes y optimizar el informe.
08/08/2025: La optimizaciòn se realizara en la nuenva version de nativo  tras realizar la Actuallizaciòn nativo a PHP 8 en local.
11/08/2025: Inicia optimización del informe.</t>
  </si>
  <si>
    <t>GD772-177_1</t>
  </si>
  <si>
    <t>Mejora oficina entidades ( Realizar HU )</t>
  </si>
  <si>
    <t>04/12/2025: Se realizan historias de usuario  y se envian a Liyibet para su validacion.</t>
  </si>
  <si>
    <t>MDSB-940570</t>
  </si>
  <si>
    <t xml:space="preserve">Jiras dia a dia validar  error 403 forbidden en radicación proveedor </t>
  </si>
  <si>
    <t>Usuario se comunica a mesa indicando que tiene un inconveniete con una actividad. de cronograma de secuencia en imagine. Al momento de cargarla. Aparece error 403 forbidden 
Nit: 900051899
Cronograma: 1747471
Secuencia: 9</t>
  </si>
  <si>
    <t>04/12/2025: Se realizaron validaciones en conjunto con la usuaria y se evidenció que la inconsistencia era generada por el archivo adjunto utilizado durante la radicación. Al cargar un archivo diferente, el sistema funcionó correctamente y el proceso se completó sin inconvenientes. Caso se cierra por funcionamiento normal.</t>
  </si>
  <si>
    <t>MDSB-855049</t>
  </si>
  <si>
    <t>ERROR CONTEO DE DIAS BANDEJA DE PENDIENTES VRS INFORME DE EFECTIVIDAD</t>
  </si>
  <si>
    <t>faBIO</t>
  </si>
  <si>
    <t>GD772-137_4</t>
  </si>
  <si>
    <t>PRUEBAS  PRODUCCIÒN Mejoras Modalidad teletrabajo transnacional (Flujo)</t>
  </si>
  <si>
    <t>03/12/2025: Se realizan pruebas del flujo en el ambiente productivo y todo funciona correctamente, excepto la consulta de casos en Laravel, donde no se está mostrando la última actividad del caso, sino la penúltima. La situación se escala a Jesús para su validación. 
Jesus realñiza los ajustes necessarios y corrige el hallazgo, el flujo queda funcional en  produccion.</t>
  </si>
  <si>
    <t>GD772-137_1</t>
  </si>
  <si>
    <t xml:space="preserve">Informe de gestion  Modalidad teletrabajo transnacional </t>
  </si>
  <si>
    <t>Se requiere adicionar al informe actual una columna que incluya el dato correspondiente al número de radicado.</t>
  </si>
  <si>
    <t xml:space="preserve">26/11/2025: Columnas solicitadas implementadas en test  pendiente paso a producción 
28/11/2025: Cliente da el aval para realizar  paso a producción
01/12/2025: Control de cambios aprobado  por comité y se ejecutara hoy a las 4:40 pm
03/12/2025: Mejoras pasadas a producción </t>
  </si>
  <si>
    <t>GD772-162</t>
  </si>
  <si>
    <t>Ajuste servicio de Olimpia - Registraduria  API</t>
  </si>
  <si>
    <t xml:space="preserve">Implementar la integración con el servicio externo Olimpia para la validación de identidad ciudadana (registraduría).
El sistema deberá recibir, almacenar y gestionar los tokens de autenticación que provee Olimpia, garantizando seguridad y trazabilidad en los procesos de validación.
Se busca unificar el manejo de tokens utilizados en los diferentes módulos  en una sola tabla centralizada, evitando duplicidad de estructuras
</t>
  </si>
  <si>
    <t>22/10/2025: Se Iniciara  tan pronto finalice el desarrollo del req  GD772-159 (Jira).
24/10/2025: El requerimiento será abordado por Wilson, quien reutilizará estructuras y rutas ya desarrolladas. Se debe crear una nueva tabla para almacenar tokens y marcar los asociados al servicio de Olimpia. Se coordinó con Jairo para brindar contexto técnico durante la implementación.
26/11/2025: Este requerimeinto es reasignado a Jesus .</t>
  </si>
  <si>
    <t>MDSB-903228</t>
  </si>
  <si>
    <t>Jiras día a día (Validación  envio de correos Grupo Afin)</t>
  </si>
  <si>
    <t>Informa que no les esta llegando correo a proveedor grupo AFIN de los casos  asignados de medicamentos.</t>
  </si>
  <si>
    <t>06/10/2025: El viernes 03 de octubre se corrigieron incidencias relacionadas con el envío de correos desde el API de medicamentos y se creó un comando automático para verificar y reenviar correos pendientes.</t>
  </si>
  <si>
    <t>GD772-130_1</t>
  </si>
  <si>
    <t xml:space="preserve">Ajustes modalidad transnaciioonal (Inclusion plantilla de afiliación) </t>
  </si>
  <si>
    <t>Se solicita un ajuste al requerimiento en la primera parte, consistente en la creación de un espacio que permita al cliente adjuntar la plantilla de ingreso del trabajador, la cual contiene toda la información necesaria para su afiliación en el sistema.
La plantilla deberá ser direccionada dentro del flujo para que el analista de atención prioritaria pueda realizar el proceso de afiliación del trabajador.
En caso de cargues masivos, el sistema deberá replicar el mismo archivo en todos los casos generados.
Alcance del ajuste:
1.Crear botón en el portal de modalidades para que el cliente pueda descargar el formato de la plantilla de afiliación.
2. Incluir un nuevo anexo obligatorio denominado Plantilla de afiliación, además de los adjuntos ya existentes (Contrato y Póliza).
3. Asegurar que el archivo Excel cargado se asocie en todos los tipos de procesos de afiliación de trabajadores, tanto individual como masivo.</t>
  </si>
  <si>
    <t>22/09/2025: Se inicia con el desarrollo.
24/09/2025: Se debe implementar una validación en el cargue del excel donde deberá contener una cantidad de registros igual o superior a la cantidad de trabajadores previamente ingresados, garantizando así la integridad de la información en el proceso.
26/09/2025: Por temas de estabilización de medicamentos el 25 de septiembre se detuvo el desarrollo el cueal se retomara el dia de hoy.
29/09/2025: Requerimiento de carga de plantillas finalizado y desplegado en test para pruebas del cliente.
01/10/2025: El 30 de septiembre el cliente otorgó el visto bueno para el paso a producción, el cual se realizó de manera exitosa.</t>
  </si>
  <si>
    <t>MDSB-896795</t>
  </si>
  <si>
    <t>Jiras dia a dia (Informe de casos radicados en Julio 2025 de  formato at 031</t>
  </si>
  <si>
    <r>
      <rPr>
        <rFont val="Quattrocento Sans"/>
        <b/>
        <color rgb="FF292A2E"/>
      </rPr>
      <t xml:space="preserve">Descripcion de la solicitud del usuario
</t>
    </r>
    <r>
      <rPr>
        <rFont val="Quattrocento Sans"/>
        <color rgb="FF292A2E"/>
      </rPr>
      <t>Para atender mi proceso de evaluaciones relacionados a los casos radicados de soportes AT-031 - AT-028 en la plataforma IMAGINE, es necesario su gentil apoyo con una consulta global de todo lo radicado por nuestros aliados (proveedores) en el mes de julio 2025</t>
    </r>
  </si>
  <si>
    <t>29/09/2025: Informe generado y enviado al usuario</t>
  </si>
  <si>
    <t>MDSB-894424</t>
  </si>
  <si>
    <t>Jiras dia a dia (ERROR AL CERRAR CASO EN IMAGINE 40092760)</t>
  </si>
  <si>
    <t>ERROR AL CERRAR CASO EN IMAGINE - Caso: 40092760
MECANICOS ASOCIADOS S.A.S NIT.  891102723
Error al enviar respuesta de caso al cliente.
El correo a donde se intenta enviar la respuesta es un correo corporativo y anteriormente ya se habían enviado actas.
Aclaro que actualmente he logrado cerrar casos en Imagine normal, el error es solo para este caso.
Error: Se ha presentado un error al enviar el correo revise el mensaje 
{"status":"error","content":{"body":["body es obligatorio."]}}</t>
  </si>
  <si>
    <t>24/09/2025: Se estima resolver el error.
25/09/2025: Tras la validación realizada, se identificó que el error presentado se encontraba asociado a la tipología “Capacitación Clientes Top”, la cual actualmente no se encuentra en uso. Al revisar el histórico, se evidenció que no existen otros casos registrados con esta tipología en más de un año.
Se validó directamente con la usuaria y se confirmó que el caso fue radicado inicialmente con la tipología errada. Una vez se corrigió a la tipología correcta “Capacitación Clientes Top – Virtual”, el proceso se gestionó de manera exitosa, sin presentar nuevamente el error.</t>
  </si>
  <si>
    <t>MDSB-891111</t>
  </si>
  <si>
    <t>Extracciòn de imagenes Adecco y Quiron 2023, 2024 (contraloria)</t>
  </si>
  <si>
    <t xml:space="preserve">Por solicitud urgente de la Contraloría, bajo el requerimiento AG8-5, necesitamos que los archivos de ADECCO SERVICIOS COLOMBIA S.A. y QUIRONPREVENCION COLOMBIA SAS sean cargados de forma organizada por mes.
Para cada entidad agrupadora, por favor, crea una carpeta por mes (por ejemplo, Enero) y dentro de ella, coloca todos los archivos correspondientes a ese período para los años 2023 y 2024, para cada año y para cada aliado debe ser guardado en subcarpetas por mes. Cada archivo dentro de las subcarpetas por meses deberá ser guardado así Ejemplo: 12345-2. Dicha información debe corresponder con el caso más reciente radicado por estos aliados. En caso de que se encuentre más de un documento (AT 031 y AT 028) deben asignarle un consecutivo, ejemplo: 12345-2-1, 12345-2-2, 12345-2-3
Agradecemos tu pronta colaboración para atender este requerimiento a la mayor brevedad.
 </t>
  </si>
  <si>
    <t>17/09/2025: El 16 de sepriembre se hicieron ajustes al script de descarga de imágenes que hacen parte del proceso. la extraccion avanza satisfactoriamente.
17/09/2025: Se realiza entgrega del primer grupo de Imagenes correspondiente a 2023 Quiron.
19/09/2025: Se finaliza extraccion, descargue y entrega de soportes solicitados por el cliente.</t>
  </si>
  <si>
    <t>GD772-115</t>
  </si>
  <si>
    <t xml:space="preserve">Adicionar nombre de la tipologia en el modulo de envios masivos </t>
  </si>
  <si>
    <t>Como mejora del proceso de envios masivos, se solicita que dentro de la bandeja de envios masivos se visualice el nombre de la tipologia y no solo el numero de esta para tener mayor claridad en el usuario</t>
  </si>
  <si>
    <t>08/09/2025: El viernes 5 de septiembre se implementó la adición del nombre de la tipología en el módulo de envíos masivos en el ambiente productivo, pendiente implementar en el ambiente de test.
10/09/2025: Se implementa ajuste en test  ya que en dias anteriores no estaba el ambiente  no estaba estable.</t>
  </si>
  <si>
    <t>GD772-135</t>
  </si>
  <si>
    <t>AJUSTES IMAGINE VALIDACION CUVS</t>
  </si>
  <si>
    <t>Solicito la valiosa colaboración para ajustar imagine en el momento de radicación, de acuerdo a la La Circular Externa Conjunta 007 de 2025, emitida por el Ministerio de Salud y Protección Social y la SUPERINTENDENCIA NACIONAL DE SALUD establece de manera explícita que:\r\n\r\n**“Una vez se haya generado el CUV mediante el proceso de validación en el validador oficial del Ministerio, las Entidades Responsables de Pago (EAPB) no pueden abstenerse de continuar con el trámite de pago argumentando supuestos errores técnicos o de validación”**\r\n\r\nAsí las cosas si el CUVS presentado por el prestador tiene validación TRUE se debe de permitir la radicación sin generar bloqueos a la misma.</t>
  </si>
  <si>
    <t>29/08/2025: El ajuste solicitado ya se encuentra en producción. En caso de que el Ministerio rechace el CUV, se valida el estado correspondiente en el archivo TXT; si este se encuentra en valor TRUE, se procede con la aceptación de la radicación.</t>
  </si>
  <si>
    <t>INTERNO-W002</t>
  </si>
  <si>
    <t xml:space="preserve">Dashboard modalidades de trabajo </t>
  </si>
  <si>
    <t xml:space="preserve">REQUERIMIENTO TABLERO MODALIDADES DE TRABAJO
Para acceder al módulo que ingresa la data al módulo, seguimos las siguientes ruta, en el siguiente link, tanto en test como producción: 
https://imaginex-arlbolivar.segurosbolivar.com/solicitudesArl/index (pagina principal)
https://imaginex-arlbolivar.segurosbolivar.com/modalidades/home (Modalidades)
 Las modalidades relacionadas, será la lista objetivo de los diferentes informes alrededor del requerimiento, donde solamente el tipo teletrabajo transnacional tiene flujo, las demas listas son solo informativas:
La información que se registra en el portal anterior, se registra en el módulo en laravel ubicado en la siguiente ruta:
https://imaginex-test-portales.segurosbolivar.com/autorizaciones/informes
 Creación de informes 
1.	Crear rol para informe de modalidades, en la siguiente opción como muestra la imagen, en este rol se desarrollará el dashboar y el informe tipo sábana:
Ruta de acceso:
https://imaginex-test-portales.segurosbolivar.com/autorizaciones/informes
2.	Crear informe tipo sábana con todos los datos, dentro del rol generado en el punto anterior:
 Creación de graficas dinamicas Dashboard:
Las siguientes gráficas, se deben mostrar en cuanto el cliente ingresa al módulo de informes creado en el rol del punto 1 de este requerimiento.
Primer Gráfico Consolidado por modalidades de Trabajo, con las siguientes definiciones:
1.	Titulo del gráfico:  Consolidado por Modalidades de Trabajo
2.	Crear  Rango de fechas, debe permitir como máximo seleccionar un año. 
3.	Debe mostrar  por cada modalidad de trabajo  (7 cuadros de color), cantidad y porcentaje, sobre el total de modalidades radicadas en el periodo seleccionado en el rango de fechas (punto 1).
Formula: cantidad de radicados para X modalidad de trabajo  * 100 
                 Total de modalidades de trabajo
4.	Debe mostrar predefinido, la información con el consolidado del mes en curso.
Segundo  gráfica, consolidado Historico modalidades de Trabajo por mes, con las siguientes definiciones:
1.	Titulo del gráfico:  Consolidado Histórico Modalidades de Trabajo por Mes
2.	Debe mostrar predefinido el consolidado historico de todas las modalidades de Trabajo, iniciando por el mes en actual hacia atrás,  
3.	Limitar el gráfico por 2 años:
Tercer gráfica, consolidado modalidad de Trabajo Transnacional por estado, con las siguientes definiciones:
1.	Titulo del gráfico:  Total histórico Modalidad de Trabajo Transnacional 
2.	Debe mostrar predefinido el consolidado historico
3.	Los limites de estados del flujo de modalidad transnacional es Abierto y Cerrado. 
</t>
  </si>
  <si>
    <t xml:space="preserve">16/10/2025: Configurando el entorno local para iniciar a resolver el requerimiento.
17/10/2025: Se realizaron ajustes en entornos locales. Wilson levantó el sitio Bolívar y el portal en contenedores Docker, encontrando incompatibilidades con versiones de PHP (7.4 vs 8.3). Se solicitó copia actualizada de la base de datos de Bolívar para continuar.
22/10/2025: Se realizaron pruebas en conjuinto con Danilo  del informe con datos reales y de prueba, confirmando el correcto funcionamiento de la descarga y contenido.
24/10/2025: Finalizado en local 
27/10/2025: Requerimiento  finalizado y entregado en test y producción el 24 de octubre .
</t>
  </si>
  <si>
    <t>INTERNO-JE019</t>
  </si>
  <si>
    <t>Tarea programada de borrado de archivos en carpeta conciliacionMasivaPDF</t>
  </si>
  <si>
    <t>Se requiere programar una tarea automática que, el primer día hábil de cada mes, realice el borrado de los archivos almacenados en la carpeta conciliacionMasivaPDF.</t>
  </si>
  <si>
    <t xml:space="preserve">01/09/2025: Se iniciara  implementaciòn  tras finalizar  ajustes de  GD772-130 Modalidad Teletrabajo Transnacional
</t>
  </si>
  <si>
    <t>GD772-146_3</t>
  </si>
  <si>
    <t>Validación de usuarios creados en las diferentes tablas</t>
  </si>
  <si>
    <t>03/12/2025: El equipo recibió un correo con inconsistencias de usuarios encontrados en distintas tablas de las bases de datos. Se revisaron varias de ellas y se corrigieron. Faltan algunos ajustes por responder para habilitar el paso a producción.</t>
  </si>
  <si>
    <t>INTERNO-JE022</t>
  </si>
  <si>
    <t>control automático para detección de fallas en el envío de correos masivos</t>
  </si>
  <si>
    <r>
      <rPr>
        <color rgb="FF292A2E"/>
      </rPr>
      <t xml:space="preserve">Se detectaron inconvenientes en el envío de correos masivos, presentando fallas desde las 6:40 a.m. del 3 de </t>
    </r>
    <r>
      <rPr>
        <color rgb="FF1155CC"/>
        <u/>
      </rPr>
      <t>septiembre.Se</t>
    </r>
    <r>
      <rPr>
        <color rgb="FF292A2E"/>
      </rPr>
      <t xml:space="preserve"> requiere implementar un control automático que permita identificar interrupciones de forma oportuna</t>
    </r>
  </si>
  <si>
    <t>GD772-137_5</t>
  </si>
  <si>
    <t>Ducumentación tecnica -Mejoras Modalidad teletrabajo transnacional (Flujo)</t>
  </si>
  <si>
    <t>INTERNO-JE026</t>
  </si>
  <si>
    <t>Validación  imagenes empresa 900959051 Y 830094679</t>
  </si>
  <si>
    <t>Se reportó que un NIT específico no muestra información en el año 2024. El incidente genera dudas, ya que en otras fuentes sí aparece información parcial. Para avanzar en la validación, se requiere revisar directamente en la base de datos los registros asociados al NIT y confirmar si la información fue cargada o si existe algún error de consulta.</t>
  </si>
  <si>
    <t>GD772-146</t>
  </si>
  <si>
    <t>Doble factor de autentticación (Correo)</t>
  </si>
  <si>
    <t>Fecha de entrega al cliente: 14/11/2025
Doble factor de autenticación  
1. DESCRIPCIÓN DEL REQUERIMIENTO   
Se requiere crear un doble factor de autenticación como control de seguridad en   
ambientes de test y producción para todos los aplicativos (nativo, YII, laravel)  
1.2 OBJETIVO  
 Crear un doble factor de autenticación por correo electrónico  
1.3 EQUIPO DE TRABAJO  
Nombre Área  
Leidy Mayorga Administrativo  
2. REQUERIMIENTOS FUNCIONALES  
2.1 Creación de un doble factor de autenticación  
Se requiere que al momento de loguearse los aplicativos nativo, YII y laravel soliciten   
un doble factor de autenticación, el cual deberá ser remitido al correo electrónico   
registrado, teniendo en cuenta:  
1. Si el usuario únicamente está en nativo deberá tomar el correo electrónico   
registrado   
2. Si el usuario está en nativo y otro aplicativo (YII y laravel), deberá tomar el   
correo electrónico registrado en nativo y homologarlo en todos los aplicativo;   
garantizando que en todos los aplicativos tenga el mismo correo electrónico.  
3. Cuando se actualice un correo electrónico automáticamente se debe actualizar   
para el doble factor de autenticación.  
Una vez llegue el código del doble factor al correo electrónico, el usuario deberá   
registrarlo en el aplicativo para el acceso.  
El doble factor debe salir por Exchange.
SEGUROS BOLÍVAR S.A.  
OFICINA DE PROYECTOS (PMO)  
FORMATO ESPECIFICACIÓN DETALLADA DEL REQUERIMIENTO DE USUARIO   
FORMATO ESPECIFICACIÓN DETALLADA DEL REQUERIMIENTO _ Versión Septiembre 2012  
Este documento es propiedad intelectual de Seguros Bolívar S.A. Prohibido el uso, reproducción y/o distribución sin autorización de la compañía.  
2  
2.2 Omisión en listas blancas por usuario  
Se requiere que al momento de loguearse no solicite el doble factor de autenticación   
para los usuarios o IP que registran en las listas blancas, la omisión deberá aplicar para   
nativo, YII y laravel.   
Se debe poder incluir y eliminar IP y usuarios de la lista.  
Esto con el propósito de mantener los RPA actuales.  
2.3 Consulta listas blancas  
Se requiere que las restricciones de listas blancas sean identificadas, por lo cual es   
necesario que en el módulo de consulta registre:  
 IP o usuario  
 Fecha en la cual se registro  
 Usuario que registró  
 Estado (activo o inactivo de la lista blanca)  
Esto con el objetivo de conocer el estado de los usuarios e IP omitidas sin necesidad   
de consultar el usuario puntual , si no que muestre las existentes.</t>
  </si>
  <si>
    <t>27/10/2025: Iniciara con la configuración de los sitios en local 
31/10/2025: Se avanza en la implementación del segundo factor de autenticación con validaciones de usuario y contraseña operativas en Laravel.
Pendiente:
Ajustar el control del flujo de autenticación para evitar logueo sin validación.
Integrar el flujo de listas blancas (usuarios exentos del doble factor).
Definir tiempo de expiración del token según políticas de seguridad (30 minutos actuales deben revisarse). 
Se escala Control de cambios MDSB-921839 a test.
Control de cambios genero error  por lo cual se genero el MDSB-922162
04/11/2025: Control de cambios ejecutado con exito 
05/11/2025: Se continúa con el ajuste final del desarrollo en Laravel, una vez concluya las pruebas locales, procederá a migrar el desarrollo a los demás sitios uno a uno y dejarlo en ambiente de test, para posteriormente definir quién realizará el despliegue a producción.
07/11/2025: El 28 de octubre se envian HU  al cliente para su aprobación,Pendiente confirmación de tiempos de vigencia del token y unificación del proceso de autenticación. Enviada solicitud a Seguridad para definir tiempos de expiración
07/11/2025: Ciente confirma que el tiempo del token debe ser de 1 minuto y no autorizan la unificación del proceso de autenticación.
20/11/2025: Se realiza sesión con Wilson y Jesús para la entrega de los avances desarrollados por Wilson a Jesús.
Jesús continuará con la implementación de la autenticación por correo en los aplicativos Yii y Nativo, así como con la incorporación de las listas blancas correspondientes.
24/11/2025: Se integró el trabajo previo con la lógica del Authenticator ajustando tablas y unificando la validación para las tres aplicaciones. Queda pendiente aplicar estilos al correo del código de verificación. Funcionalidad general opera correctamente
25/11/2025: El 24 de noviembre se entrega desarrollo al cliente para sus pruebas y aprobación de paso a producción
26/11/2025: El cliente esta realizando pruebas ayer y hoy. La funcionalidad está estable; pendiente acompañamiento para resolver cualquier incidencia que se presente durante su validación.</t>
  </si>
  <si>
    <r>
      <rPr>
        <rFont val="Quattrocento Sans"/>
        <color rgb="FFFF0000"/>
        <sz val="10.0"/>
      </rPr>
      <t>MDSB-921839 /</t>
    </r>
    <r>
      <rPr>
        <rFont val="Quattrocento Sans"/>
        <color theme="1"/>
        <sz val="10.0"/>
      </rPr>
      <t>MDSB-922162</t>
    </r>
  </si>
  <si>
    <t>INTERNO-JE027</t>
  </si>
  <si>
    <t>Control de Monitoreo para Respuestas de Correos Certificados 472</t>
  </si>
  <si>
    <t>Se requiere implementar un control para el envío de correos certificados de 472, que permita generar una alerta cuando alguno de los correos enviados no reciba respuesta. Este mecanismo deberá facilitar la identificación oportuna de casos sin confirmación, garantizando el seguimiento y trazabilidad del proceso.</t>
  </si>
  <si>
    <t>MDSB-935345</t>
  </si>
  <si>
    <r>
      <rPr>
        <rFont val="Quattrocento Sans"/>
        <color theme="1"/>
      </rPr>
      <t>jiras dia adia (</t>
    </r>
    <r>
      <rPr>
        <rFont val="Quattrocento Sans"/>
        <b/>
        <color theme="1"/>
      </rPr>
      <t xml:space="preserve"> Solicitud de imagenes lote 344980</t>
    </r>
    <r>
      <rPr>
        <rFont val="Quattrocento Sans"/>
        <color theme="1"/>
      </rPr>
      <t>)</t>
    </r>
  </si>
  <si>
    <t xml:space="preserve"> Solicito de si colaboración con un imagine del cual requiero una información pero no se evidencia para ser mas precisa, la carta de inconformidad y sustento enviado por esta Arl en su debido momento, se evidencia que se realizo la notificación en físico pero no se evidencian los archivos que se enviaron, en el imagine 20748983 hay un numero de lote donde se guardaron los archivos, quisiera saber si es posible validar que documentos existen dentro del mismo, es un caso del año 2018 quedo atenta gracias.
CC 37933021
NYDIA TORRES TORRES
IE0012952
IMAGINE : 20748983
No. lote: 344980</t>
  </si>
  <si>
    <t>01/12/2025: Se solicita obtener las imágenes asociadas al lote 344988. El caso muestra que la imagen está indexada, pero no aparece en la tabla de imágenes. Pendiente identificar la ruta correcta o el origen del índice para entregar las evidencias requeridas. Se ennvian datos a Jenry  pavra ubicar las imagenes solicitdas.
18/12/2025: Se extraen  imagenes solicitadas y se da respuuesta a la solicitud.</t>
  </si>
  <si>
    <t>INTERNO-JE028</t>
  </si>
  <si>
    <t xml:space="preserve">Cambio de correo  en Reporte casos ARL sin gestión </t>
  </si>
  <si>
    <t>Por favor me ayudas a incluir en el informe "Reporte casos ARL sin gestión " a: wendy.lopez.ayala@segurosbolivar.com y eliminar a camilo.cubillos@segurosbolivar.com</t>
  </si>
  <si>
    <t>04/12/2025: Cambio realizado el 3 de diciembre</t>
  </si>
  <si>
    <t>MDSB-929466</t>
  </si>
  <si>
    <t>Jiras día a día (Error en creación de usuarios- Proveedores)</t>
  </si>
  <si>
    <t>Se identifica error en la creación de los usuarios de proveedor, al momento de crear el usuario por el modulo radicación/ Proveedores/Administración de proveedores, anteriormente se creaba el usaurio y permitia el acceso de este con el perfil “proveedor”; sin embargo se evidencia que actualmente al crear de esta manera el usuario no queda creado y debe de crearse nuevamente por el modulo de creación de usuario.
por favor validar el error y corregir totalmente
Se adjunta imagenes de ejemplo: 901414068
Se procede a crear manual nuevamente para atender la incidencia del usuario.</t>
  </si>
  <si>
    <t xml:space="preserve">26/11/2025: Se identificó que el inconveniente se presentaba debido a que el proceso no estaba actualizando el ID de negocio en la tabla de usuarios. Al no contar con este dato, el sistema detenía la ejecución y el usuario no quedaba registrado correctamente, lo que obligaba a realizar la creación desde el módulo de creación de usuarios.
Se realizó el ajuste necesario para garantizar la correcta actualización del ID de negocio y asegurar que los usuarios creados desde el módulo de proveedores queden registrados adecuadamente.
</t>
  </si>
  <si>
    <t>GD772-146_2</t>
  </si>
  <si>
    <t>Incluir  guia descargable Doble factor de autentticación (Correo)</t>
  </si>
  <si>
    <t xml:space="preserve">Se requiere incluir una guía descargable con el paso a paso del proceso de Autenticación en Dos Pasos. Esta guía debe estar disponible directamente en la interfaz donde el usuario selecciona el tipo de autenticación, con el fin de brindar apoyo visual y operativo durante el proceso de autenticación. </t>
  </si>
  <si>
    <t>25/11/2025: Guia incluida  en la seleccion del tipo de autenticación.</t>
  </si>
  <si>
    <t>MDSB-930256</t>
  </si>
  <si>
    <r>
      <rPr>
        <rFont val="Quattrocento Sans"/>
        <color theme="1"/>
      </rPr>
      <t>Jiras día a día (</t>
    </r>
    <r>
      <rPr>
        <rFont val="Quattrocento Sans"/>
        <b/>
        <color theme="1"/>
      </rPr>
      <t>SOLICITUD HABILITAR E INHABILITAR DE 3 TIPOLOGIAS A 2 USUARIOS</t>
    </r>
    <r>
      <rPr>
        <rFont val="Quattrocento Sans"/>
        <color theme="1"/>
      </rPr>
      <t xml:space="preserve">) </t>
    </r>
  </si>
  <si>
    <t>Se requiere  habilitar a la funcionaria NATALIA ROCIO CUBIDES – CC 1007155376 y DEISY SUAREZ__1019069714, en las tipologías
* Mesa de conciliacion presencial
* Mesa de conciliacion Virtual 
* Traslado de polizas, 
con las mismas actividades que LILIA ANDREA VELASQUEZ__1015430797. 
Inhabilitar a JOHN ALEJANDRO MARTÍNEZ __1032366925 de estas  mismas tipologías</t>
  </si>
  <si>
    <t>20/11/2025: Se habilitar a los usuarios  NATALIA ROCIO CUBIDES – CC 1007155376 y DEISY SUAREZ__1019069714 en las tipologías indicadas y Se inhabilita a JOHN ALEJANDRO MARTÍNEZ __1032366925  de las mismas tipologías.</t>
  </si>
  <si>
    <t>GD772-65</t>
  </si>
  <si>
    <t xml:space="preserve">Ajuste informe de Reembolsos </t>
  </si>
  <si>
    <t>13/01/2025: Se realizo gestión de JIRA el pasado 08/01/2025</t>
  </si>
  <si>
    <t>GD772-72</t>
  </si>
  <si>
    <t xml:space="preserve"> ( GD772-101) Requerimiento Captura de datos e informe (Reembolsos)</t>
  </si>
  <si>
    <t>10/03/2025: Inicia con el desarrollo del requerimiento.
11/03/2025: Completó el CRUD de RETUS y la tabla de tipos de documentos, avanzando al 20% en este requerimiento.
12/03/2025: El dia 11 de marzo se pausa desarrollo  ya que se encuentra trabajando en la presentación del modulo de facturas para Colmena.
13/03/2025 Retoma desarrollo del requerimiento, después de la entrega GD772-85 Cambio en el 2do envio de EPS (Imprimir valores del IVA).
14/03/2025: Se encuentre trabajando en el CRUD de la tabla de proveedores.
17/03/2025: El viernes completo los puntos 3, 4 y 5, y está en el sexto " Creacion de tabla terceros autorizados"
18/03/2025: Avanzó en el sexto punto, creando la tabla de terceros y mostrando datos en la consulta; hoy trabajará en los informes, se escala control de cambios MDSB-782279 para test.
19/03/2025: Terminó el query del punto 6 y lo pasó a control de cambios en test; tiene el informe casi listo (falta probarlo por falta de datos), y hoy subirá los cambios parciales, dejando pendientes el informe de digitación, retoma y adición de dudas 
20/03/2025: Está en test; ayer hizo pruebas preliminares con Jenry, faltan afinar el informe principal y comenzar el informe de digitación y retoma de dudas.
20/03/2025 : Se escala otr control de cambios en test  MDSB-784341 
21/03/2025: Está en test; ayer corrigió el informe principal (aún sin pasar), y se ejecutó el control de cambios MDSB-784341 para añadir una columna a ctaslocalfactura_br; pendiente iniciar el informe de digitación y retoma de dudas.
25/03/2025:  Resolvió el informe de digitación (punto 8); faltan el punto 9 (Retoma Caso Dudas sobre Mis Reembolsos) y el punto 10 (Adición de Dudas sobre Mis Reembolsos), que trabajará hoy.
26/03/2025:Avanzó en el punto 9 (Retoma Caso Dudas sobre Mis Reembolsos), pero tuvo dudas al no poder usar la misma vista; espera terminarlo hoy, faltando el punto 10 (Adición de Dudas).
27/03/2025:  Falta completar el informe "Dudas de Reembolsos"  recolecta datos tras correcciones y lo subirá a test cuando esté listo.  
28/03/2025: Terminó todo (informes y reasignación de dudas); hoy lo subirá a test para pruebas.
31/03/2025: El viernes mostró a Santiago los cambios solicitados; terminó el informe de digitación con analítica de datos (usando Python, Pandas y React), que está listo en local y se planea subir a producción tras validación, El requerimiento queda en pruebas por Bolivar.
01/04/2025: Ayer mostro el informe de digitación a Jenry y lo subio a test.
03/04/2025: Ayer subió a test la retoma del caso, número en consistencia y paso de moneda extranjera a Auditor; se programará reunión con Santiago para validar.
04/04/2025: Bolivar confirma paso a produccion, se debera solicitar control de cambios en produccion.
09/04/2025: Se escala control de cambios MDSB-794007 a producción
10/04/2025: Ayer se aprobo el control de  cambios  MDSB-794007 y se ejecutara hoy a las 4 pm.
11/04/2025: Ayer pasó a producción (sin tipología internacional); hoy enviará un script con índices para control de cambios en producción para atar este requerimiento; pendiente añadir roles y permisos.
11/04/2025: Se crea control de cambios en test  MDSB-795919 (indices).</t>
  </si>
  <si>
    <t xml:space="preserve"> MDSB-794007</t>
  </si>
  <si>
    <t>GD772-73</t>
  </si>
  <si>
    <t>GD772-73  Agregar al informe de numero de solicitu  que devuelve el servicio</t>
  </si>
  <si>
    <t>20/01/2025: Se inicia requerimiento el día de hoy 20/01/2025 se entregara el 22/01/2025
21/01/2025: Se finaliza req se encuentra en prod</t>
  </si>
  <si>
    <t>GD772-75</t>
  </si>
  <si>
    <t xml:space="preserve">Simular radicación cuando el servicio sisalud arroja error agregrar tipo y número de documento </t>
  </si>
  <si>
    <t>21/01/2025: Se realiza radicación de JIRA
23/01/2025: Se finaliza req se encuentra en prod</t>
  </si>
  <si>
    <t>GD772-76</t>
  </si>
  <si>
    <t xml:space="preserve">Contar días habiles despues de reabierto el caso y ajuste en el informe </t>
  </si>
  <si>
    <t>GD772-77</t>
  </si>
  <si>
    <t xml:space="preserve">Informe de inconsistencias </t>
  </si>
  <si>
    <t>Se requiere informe de inconsistencias par areembolsos salud tal como se tiene actualmente en cuentas médicas se adjunta estrcutra requerida</t>
  </si>
  <si>
    <t>GD772-91</t>
  </si>
  <si>
    <t>Tipología sin flujo de radicación sisalud (Escalar dudas Reembolsos)</t>
  </si>
  <si>
    <t>06/03/2025: El control de cambios sigue pendiente de aprobación por QA; Santiago subió evidencias, y esperan la colaboración de Luz para avanzar en JIRA.
07/03/2025 ; Control de cambios MDSB-772592 aprobado por QA y se encuentra pendiente por aprobación de Aprobación PO / Usuario Final.
10/03/2025; El control de cambio se encuentra programado  para hoy al comité de cambios digitales
11/03/2025: El control de cambios para la nueva tipología ya se ejecutó; está listo para pasar a producción hoy.
12/03/2025: Realizara paso a producción al final de la tarde.
13/03/2025 : Se realiza paso a produccion ayer en la tarde,se notifica al  clente para  realizar pruebas funcionales.</t>
  </si>
  <si>
    <t>GD772-92</t>
  </si>
  <si>
    <t>Malla CUPS en Nativo</t>
  </si>
  <si>
    <t>20/03/2025: Creará scripts para solicitar control de cambios en test e iniciará el desarrollo hoy.
21/03/2025:Creó un script para una nueva tabla y solicitó el control de cambios MDSB-784148 en test ayer; está terminando la vista del cargue del archivo y luego añadirá el campo para ingresar el número CUPS en el visor de imágenes en  la actividad “Atención de la solicitud”.  
25/03/2025: El viernes terminó el cargue del documento con el listado de CUPS (carga/actualiza); avanzó en la vista de imágenes con un botón y lógica condicional para la actividad específica, pero está pendiente la ejecucion del control de cambios MDSB-784148 en test. .
26/03/2025: Ayer terminó hasta el punto 3 (Regla de asignación), pero necesita más pruebas; falta el punto 4 (informe), en el que trabajará hoy.
27/03/2025: Ayer optimizó consultas para reducir costo computacional y está terminando el informe (punto 4); todo estará listo a las 10 a.m. para test.
31/03/2025: El viernes en la tarde realiza ajustes  de los hallasgos reportados en las pruebas, hoy se validaran en test..
01/04/2025: Se realizara los  ajustes  pendientes y los que sugan de las pruebas de hoy.
02/04/2025.trabajara  en la administración de tipologías, activar los flujos para su edición
03/04/2025: Finaliza  ajuste en  en la administración de tipologías, Ayer  se presento desarrollo al cliente  y aprueba  paso  a produccion, se escala control de cambios MDSB-790997.
04/04/2025: Pendiente cargue al requriemiento de las pruebas de Bolivar en test  para  continuar con el proceso del control de cambios MDSB-790997.
07/04/2025: Pruebas adjuntas al  requerimiento y control de cambios MDSB-790997 pasa a Aprobacion QA de bolivar
09/04/2025: Ayer Se realiza  paso a produccion.</t>
  </si>
  <si>
    <t>GD772-93</t>
  </si>
  <si>
    <t>Ajuste comunicado Glosa Parcial</t>
  </si>
  <si>
    <t>Se requiere ajustar el texto de la plantilla de respuesta de Glosa Parcial tal como se muestra en el siguiente enlace</t>
  </si>
  <si>
    <t xml:space="preserve">01/04/2025: Se encuentra pendiente de iniciar hasta que termine los ajustes de glosa parcial 
08/04/2025: Se realiza paso a produccion el dia 10 de abril
10/04/2025: Se realiza paso a producción </t>
  </si>
  <si>
    <t xml:space="preserve">GD772-94 </t>
  </si>
  <si>
    <t>tablero de analisis de la operación de reembolsos</t>
  </si>
  <si>
    <t>Se requiere tablero de analisis de la operación de reembolsos</t>
  </si>
  <si>
    <t>07/04/2025:Iniciara tan pronto finalice las vulnerabilidades pendientes.
09/04/2025: Ayer Danilo no avanzó por vulnerabilidades; hoy inicia la implementación, coordinará con Jairo (extrae datos del informe); estiman 3-4 días (hasta el jueves o viernes)
10/04/2025: No avanzó ayer por otras prioridades; hoy dedicará tiempo y coordinará con Jairo para el contexto; estiman 3-4 días. 
11/04/2025: Ayer ajustó el API del informe de digitación (puerto 888 en producción); hoy termina ajustes finales y avanza en la implementación en Yii, coordinado con Jairo para evitar duplicidad; Se solicita control de cambios MDSB-795762 en test, quedo ejecutado con exito y se escala control de  cambios a produccion MDSB-796132.
14/04/2025: Se encentra  terminando los ajustes necesarios  para  pasar el  req a test para  pruebas.
22/04/2025: Se realiza paso a producción.</t>
  </si>
  <si>
    <t>MDSB-795762</t>
  </si>
  <si>
    <t>GD772-102</t>
  </si>
  <si>
    <t xml:space="preserve">Ajuste informe Autorizaciones salud (2) </t>
  </si>
  <si>
    <t>Se requiere ajustar el informe de autorizaciones salud con el fin de que se tenga la siguiente estructura , este debe contemplar tanto los abiertos como los cerrados</t>
  </si>
  <si>
    <t xml:space="preserve">22/04/2025: Se encuentra pendiente por confirmar tiempo de desarrollo
02/05/2025: Inicia desarrollo y se entrega en test
05/5/2025: Se entrega a producción 5 de Mayo
</t>
  </si>
  <si>
    <t>GD772-107</t>
  </si>
  <si>
    <t xml:space="preserve">Accesos usuarios linea médica reembolsos </t>
  </si>
  <si>
    <t>Se requiere acceso al modulo de reembolsos para los usuarios de la lista adjunta</t>
  </si>
  <si>
    <t xml:space="preserve">07/05/2025: Se realiza asignacion de roles segun archivo adjunto 
13/05/2025: Se confirma con Ewein que ya se encuentran los usuarios asignados para consulta de reembolsos </t>
  </si>
  <si>
    <t>GD772-112</t>
  </si>
  <si>
    <t xml:space="preserve">Ajuste tablas comunicado Glosa Parcial </t>
  </si>
  <si>
    <t>Se requiere ajuste de comunicado de glosa parcial</t>
  </si>
  <si>
    <t>03/06/2025: Se crea GD información , se encuentra pendiente de confirmación de imagine  de tiempo de desarrollo 
05/06/2025: Se realiza paso a producción.</t>
  </si>
  <si>
    <t>GD772-113</t>
  </si>
  <si>
    <t>Captura información ordenes médicas a través de IA</t>
  </si>
  <si>
    <t>INTERNO-D034</t>
  </si>
  <si>
    <r>
      <rPr>
        <rFont val="Quattrocento Sans"/>
        <color theme="1"/>
      </rPr>
      <t>Infraestructura -</t>
    </r>
    <r>
      <rPr>
        <rFont val="Quattrocento Sans"/>
        <b/>
        <color theme="1"/>
      </rPr>
      <t xml:space="preserve"> Informe de volumetría para instancia imaginex_ec2_private1</t>
    </r>
  </si>
  <si>
    <t xml:space="preserve">El motivo del siguiente correo es solicitar su apoyo con las volumetrías que nos permitan elegir de manera correcta los recursos para la instancia imaginex_ec2_private1 (i-09c4f03e8ed0749c6). Por favor compartir los siguientes datos últimos 12 meses y proyección:
1. Volumen de carga
•	Número de archivos por mes, por día y pico por hora.
•	Estacionalidad (meses con picos) y crecimiento mensual esperado.
2. Tamaño y tipo de archivos
•	Tamaño promedio y los más pesados(MB).
•	Tipos más frecuentes (PDF, imágenes, ZIP).
3. Procesamiento actual
•	Tiempo promedio por archivo (validaciones, conversiones).
•	Número de procesos simultáneos en picos.
4. Métricas técnicas
•	Uso promedio y pico de CPU y memoria durante cargas altas.
•	Longitud promedio de la cola / retrabajos si aplica.
5. Proyección a 3 años
•	Crecimiento orgánico esperado y multiplicadores por temporada (Por ejemplo diciembre temporada alta).
</t>
  </si>
  <si>
    <t>18/12/2025:  Levantamiento de métricas (CPU, RAM, disco, I/O, red), análisis y picos, entrega para mejorar los recursos.</t>
  </si>
  <si>
    <t>INTERNO-D033</t>
  </si>
  <si>
    <t>Oficina Virtual – Ajuste de Conexiones / Error 502</t>
  </si>
  <si>
    <t>El portal de Oficina Virtual ha estado presentando errores 502 – Bad Gateway durante los picos de uso. El análisis evidenció que el problema se origina por el límite de conexiones simultáneas configurado en el servidor, el cual estaba establecido en 160 conexiones. Debido a esto, cuando la demanda supera ese umbral, el servidor rechaza nuevas solicitudes y genera los errores 502 para los usuarios.
El requerimiento consiste en ajustar el límite de conexiones para mejorar la disponibilidad del portal y mitigar los errores, evaluando la capacidad real del servidor para evitar inestabilidad.</t>
  </si>
  <si>
    <t>26/11/2025: El lunes 24 de noviembre se aumentó el límite de conexiones simultáneas de 160 a 200 para reducir los errores 502 detectados. El cliente solicitó evaluar un incremento mayor, pero no se recomienda hacerlo por riesgo de inestabilidad del servidor. Se debe enviar un correo formal explicando el análisis técnico y las limitaciones de capacidad.
01/12/2025: Se realizó el aumento de conexiones simultáneas para monitorear el comportamiento del portal durante el viernes. El sistema operó con normalidad y ya no se requiere una acción adicional. Se considera cerrado.</t>
  </si>
  <si>
    <t>INTERNO-D030</t>
  </si>
  <si>
    <t>Informe uso aplicaciones Bolivar ( Desacoplar componentes)</t>
  </si>
  <si>
    <t>Elaboración del informe de uso de aplicaciones Bolívar con enfoque en el desacople de componentes.</t>
  </si>
  <si>
    <t xml:space="preserve">12/11/2025: Compromiso de entrega 14 de noviembre
14/11/2025:  Se dejara lista a más tardar el martes y se envíar el correo
18/11/2025:  Construcción y ajuste del informe para ser entregado al cliente en la fecha comprometida. La tecnología que estamos usando no permite obtener las estadísticas de uso de cada archivo. Informe entregado hoy </t>
  </si>
  <si>
    <t>INTERNO-D032</t>
  </si>
  <si>
    <t>Soporte al caso 40301303 no permite su envio</t>
  </si>
  <si>
    <t>11/11/2025: Caso revisado: no se podía enviar correo debido a caracteres especiales en el asunto. Se ajusta el proceso para limpiar dichos caracteres y permitir el envío correctamente.</t>
  </si>
  <si>
    <t>GD772-160</t>
  </si>
  <si>
    <t>Ajustar Titulo Información Paciente</t>
  </si>
  <si>
    <t xml:space="preserve">17/10/2025: Cambio aplicado </t>
  </si>
  <si>
    <t># REQ</t>
  </si>
  <si>
    <t>Detalle del requerimiento</t>
  </si>
  <si>
    <t xml:space="preserve">Proceso </t>
  </si>
  <si>
    <t>%</t>
  </si>
  <si>
    <t>F. estimada de entrega</t>
  </si>
  <si>
    <t>Visible</t>
  </si>
  <si>
    <t>OBSERVACIONES  ALFA</t>
  </si>
  <si>
    <t>MAURICIO</t>
  </si>
  <si>
    <t>PRV_2025_001_1</t>
  </si>
  <si>
    <t>REVISIÓN DE LIQUIDACIÓN PARA PAGO,</t>
  </si>
  <si>
    <t>Previsional</t>
  </si>
  <si>
    <r>
      <rPr>
        <rFont val="Quattrocento Sans"/>
        <color theme="1"/>
        <sz val="10.0"/>
      </rPr>
      <t xml:space="preserve">Se notifica por par parte del jefe de unidad inconsistencias en Vistas de las fuentes de información entregadas. Carecen de data necesaria, 
09/06/2025 :El requerimirneo fue  pausado 12 mayo de 2025
10/06/2025: Hoy se definira si se contunua con el desarrollo o continua pausado.
11/06/2025: Ya se cuenta con los permisos y el query para la vista. Se sincronizan las reclamaciones de Cifren, pero falta integrar las de Plus (montadas en AWS) y ajustar la identificación del origen de cada reclamación.
Se estima que este requerimiento adicional tomará un día de trabajo Iniciando  el 12 de Junio
13/06/2025: Se obtuvo respuesta positiva sobre permisos para acceder a la vista de Plus. Sin embargo, falta que la vista tenga datos reales para completar la sincronización. 
16/06/2025 : Se completó la primera fase de validación y hoy se trabaja en la parte de gestión de pagos, cliente  realizara pruebas hoy 
</t>
    </r>
    <r>
      <rPr>
        <rFont val="Quattrocento Sans"/>
        <b/>
        <color theme="1"/>
        <sz val="10.0"/>
      </rPr>
      <t>17/06/2025</t>
    </r>
    <r>
      <rPr>
        <rFont val="Quattrocento Sans"/>
        <color theme="1"/>
        <sz val="10.0"/>
      </rPr>
      <t>: Se realizan en ajustes en la mañana de hallasgoz reportados por el cliente tras las pruebas, y se entregaran al cliente para sus pruebas. 
18/06/2025: Se adaptó el grid y los reportes a 
los distintos roles/permisos. También se incorporaron nuevos campos a solicitud del cliente; pendiente Pruebas  por el cliente.
19/06/2025; supero pruebas del cliente  y se aprueba paso a produccion  para el dia sabado 21 de Junio..
24/06/2025; Alfa aplazó el paso a produccion para el 5 de julio, debido a que tenían actualizaciones pendientes. Además, dependemos de la disponibilidad de ciertas vistas en el ambiente de producción para continuar con el proceso. 
07/07/2025: Se realiza paso a produccion el 5 de julio.</t>
    </r>
  </si>
  <si>
    <t>PRV_2025_001_2</t>
  </si>
  <si>
    <t>VALIDACIÓN DE LOTE PARA PAGO,
NOTIFICACIÓN DE PAGO</t>
  </si>
  <si>
    <t>El 16 de junio se inicia desarrollo confecha estimada de finalizacion  18 de junio. 
18/06/2025: El 17 de junio  se desarrollan dos informes adicionales: tesorería y porvenir, con definición de estructura en curso.
19/06/2025: Entrega al cliente para pruebas 19 de junio, Cliente solicita ajuste de vistas y campos  necesarios  para el proceso.
24/06/2025; Alfa aplazó el paso a produccion para el 5 de julio, debido a que tenían actualizaciones pendientes
07/07/2025: Se realiza paso a produccion el 5 de julio.</t>
  </si>
  <si>
    <t>PRV_2025_004</t>
  </si>
  <si>
    <t>AUXILIOS FUNERARIOS
PAGO AUX. FUNERARIOS</t>
  </si>
  <si>
    <t>Cargue de formatos de formalización y consolidado 100%
Opción de edición y opción de histórico del flujo 100%
Se notifica por par parte del jefe de unidad inconsistencias en Vistas de las fuentes de información entregadas. Carecen de data necesaria
09/06/2025 :El requerimirneo fue  pausado  el 6 de junio de 2025.
16/06/2025: Se comenzarán el jueves 19 de junio. Ya se están creando las vistas necesarias para ese flujo
19/06/2025: Inicio del desarrollo.
20/06/2025:No se pudo avanzar ayer 19 de junio por ajustes requeridos por el cliente para PRV_2025_001 VALIDACIÓN DE LOTE PARA PAGO,NOTIFICACIÓN DE PAGO,  Se retomara  desarrollo 24 de junio.
24/06/2025; Se encuentra sincronizando data, se estiman 2 dias para finalizar.
25/06/2025:Se ajustó la lógica del requerimiento tras diferenciarlo claramente del flujo de pagos. Se avanzó en la creación de vistas y en la sincronización inicial de datos. Se espera tener el desarrollo listo para pruebas el jueves 26. Se planea agregar botones para sincronización (Pago,auxilio y exportar) diferenciada según permisos,crear tabla de auxilios x año, ajustar campos (encabezados)de la vista de gestion y ajustar modulo de consulta.
26/06/2025: Se avanzó satisfactoriamente en la creación de la tabla de auxilios por año, el ajuste de encabezados en la vista de gestión y la incorporación de los botones de sincronización según permisos. PENDIENTE, Está pendiente la solución del error en la sincronización masiva, lo cual impide avanzar con la exportación y cargue de información. También sigue sin ajustes el módulo de consulta para auxilios.
27/06/2025: 
pendiente: 1. asignar opcion de pendientes
2. Ver consolidado pagos. (se envia masivamente y aprueba por el flujo para pasar a pagos).
3. Generar informe radicacion pagos plus.
Se estima toda la entrega para hoy
01/07/2025: Se ha avanzado en un 75% del desarrollo, incluyendo funcionalidades principales. El cierre del tema está previsto para hoy, Faltan por implementar la generación de informes, la edición de fecha de siniestro y valor, así como la opción de marcar como pendiente.
02/07/2025:El desarrollo del módulo de auxilios funerarios presenta un avance estimado del 90%. Ya se encuentra implementada la funcionalidad principal, incluyendo la creación de vistas, funciones de sincronización y flujo de radicación hasta aprobación. Se están finalizando los ajustes a los reportes en Excel, Se programó una sesión de revisión hoy a las 2:00 p.m. para validación funcional y ajuste de pendientes.
04/07/2025: Se resolvió un error en la validación de pagos, el módulo ya está funcional. Se finalizó el desarrollo y se ajustaron validaciones necesarias para la gestión masiva y manual. Solo queda pendiente la validación del cliente, ya que la sesión programada fue cancelada.
07/07/2025: Se Pasado a producción el 5 de julio sin habilitar el menú. Faltan validaciones finales por el cliiente.
16/07/2025: Las pruebas no se han culminado por un error en el sistema del cliente al cargar unos registros. Sin estos registros no puedo ver la data que necesitamos en Imagine.
29/07/2025: Se proyecta acompañar al àrea para realizar pruebas con los recursos existentes para ya dejar cerrado el requerimiento
01/08/2025: Hoy se retoma el módulo con el cliente, para validar que se tiene hasta el momento, funcionalidad y posibles desviaciones, para dar gestion y cierre del requerimiento
04/08/2025: Se continùa validaciones y ajustes correspondientes para proyectar paso a producciòn el viernes 08 de agosto
12/08/2025: Debido a incidencia presentada en la conexión Plus + UAT , no fue posible el paso a producciòn el viernes 08 de agosto, por tanto se proyecta el despliegue para el viernes 15 de agosto
20/08/2025: Despliegue a produccion realizado en 15 de Agosto.</t>
  </si>
  <si>
    <t>15/07/2025 Ya se encuenra en produccion</t>
  </si>
  <si>
    <t>PRV_2025_009</t>
  </si>
  <si>
    <t>DESARROLLO PREVISIONALES  INCAPACIDADES</t>
  </si>
  <si>
    <t>09/06/2025: El Objetivo Automatizar el cálculo de incapacidades en el sistema Imagine, replicando el proceso manual actual utilizado por los liquidadores y presentando los resultados en un formato claro y compatible con Excel.\niniciara  con el desarrollo.
11/06/2025: Mauricio completó la función de cálculo y está terminando el formulario de consulta. Planea entregar el requerimiento completo hoy para subir a pruebas el jueves.
13/06/2025: Ya fue entregado en ambiente de pruebas para validación del cliente. Está funcionando correctamente y aplicando los cálculos según lo solicitado.
9/06/2025: Paso a produccion para el 21 de junio.
24/06/2025: Fala aplazó el paso a produccion para el 5 de julio, debido a que tenían actualizaciones pendientes.
07/07/2025: Igual que Auxilios se paso a producciòn el 5 de julio sin habilitar el menu. Se requiere validación del cliente para habilitar.
16/07/2025: Requerimiento funcional en produccion con el menu habiitado.</t>
  </si>
  <si>
    <t>PRV_2025_007</t>
  </si>
  <si>
    <t>CALCULO IBL</t>
  </si>
  <si>
    <t>11/06/2025: Continuara con el desarrollo tras finalizar  req PRV_2025_001  REVISIÓN DE LIQUIDACIÓN PARA PAGO
13/06/2025:Se programó su inicio para hoy. Mauricio confirmara la estimación del tiempo de desarrollo.
16/06/2025: Se requiere una sesion con Carlos, Jenry, Mauricio y Fabio para entender el detalle de validaciones. Aún no se tiene fecha ni estimación.
04/07/2015:Se inicia desarrollo con  un avance del 20%. Se ajustaron funciones en Postgres para cálculos correctos según las vistas generadas. El siguiente paso es crear la funcionalidad de consulta por cédula o siniestro y desplegar cálculos de acuerdo a la fecha indicada. Se estima finalizar req hoy   para  realizar paso a produccion el  5 de julio.
07/07/2025: Se realizo paso a producciòn el 5 de Julio sin habiitar el menu, Faltan pruebas formales del cliente para habilitación final.
11/07/2025: El 10 de julio se realizó un ajuste para excluir los casos con auxilios funerarios. Ahora, el sistema valida que el origen del caso sea únicamente incapacidad o supervivencia; en caso contrario, se lanza una alerta.
16/07/2025: Se realiza paso a producción el 14 de julio en la noche.</t>
  </si>
  <si>
    <t>10/07/2025 Posterior a pruebas se solicito ajuste a Mauricio para que no mostrara informacion diferentes a cod_origen 1,2
15/07/2025 Ya se encuenra en produccion</t>
  </si>
  <si>
    <t>PRV_2025_005</t>
  </si>
  <si>
    <t>HISTORIA LABORAL</t>
  </si>
  <si>
    <t xml:space="preserve">Rentas </t>
  </si>
  <si>
    <t>11/06/2025: Continuara con el desarrollo tras finalizar  req  PRV_2025_007 CALCULO IBL
07/07/2025: Inicia desarrollo 
08/07/2025: Se reporta un avance del 50 % entre analisis y desarrollo del requerimeinto. 
09/07/2025: Se Finaliza desarrollo y se entrega al cliente  para pruebas.
14/07/2025: El 10 de julio se ajustó el reporte para incluir los períodos que existen en Multifondos pero no en Alfa. Adicionalmente, se incorporó una nueva columna que muestra el salario mensualizado proveniente de Porvenir. Los cambios ya fueron implementados y se encuentran listos para validación.
16/07/2025: Se realiza paso a producción el 14 de julio en la noche.</t>
  </si>
  <si>
    <t>10/07/2025 Posterior a pruebas se solicito a Mauricio ajustes para visualizar los periodos a los cuales no se realizo analisis y tambien columna adicional para periodos falsos con calculo de el valor del los dias (Valor salario MF * 30) / Dias cotizados 
11/07/2025: El 10 de julio se ajustó el reporte para incluir periodos que existan en multifondos pero no en Alfa. Se agregó una columna adicional para mostrar el salario mensualizado proveniente de Porvenir. Cambios ya implementados y listos para validación.
15/07/2025 Ya se encuenra en produccion</t>
  </si>
  <si>
    <t>AJUST_REN_2025_001_1</t>
  </si>
  <si>
    <t>INCLUIR VALIDACION DOCUMENTAL PARA NUEVO ORIGEN SUSTITUCION PENSIONAL I</t>
  </si>
  <si>
    <t>11/07/2025: Dado que ya se crearon las tablas de referencia, se finalizó este proceso el día 10 de julio. Queda pendiente validar el impacto que estas puedan tener en los diferentes módulos y consultas del sistema para que el cliente realice las pruebas.
14/07/2025:  El viernes 11 se  valida en ambiente de pruebas los ajustes realizados, confirmando funcionamiento correcto en: cargue de cotización y contratación, gestión telefónica desde call center, exportación del informe de Presidencia y descarga de documentos. Quedan pendientes por validar: envío de correos del portafolio de servicios, envío de comprobantes de nómina y validación de consultas.\n Hoy se trabajará en los informes que deben reflejar esta nueva parametrización y se verificará si afecta portafolios o comprobantes de nómina.
15/07/2025: El lunes 14 de julio se finalizó el desarrollo del ajuste, se realizaron las pruebas correspondientes con resultados exitosos y se procedió con el paso a producción.</t>
  </si>
  <si>
    <t>26/06/2025 Se incluyen requerimientos de acuerdo  a sesiones con el cliente. Corresponde a ajustes a plataforma ya en produccion
10/07/2025 ya que crearon las tablas de referencia. pendiente validar el impacto en los diferetnes modulos y consutas.
11/07/2025 Se valida ajustes realizados por mauricio en pruebas posterior a la incluision de nuevo ORIGEN. Para esto se confirma que esta correcto: 1. Cargue cotizacion y contratacion 2. Gestion telefonica call center 3. Exportar informe Presidencia 4. Descarga de documentos con nuevo Origen.) PENDIENTES: 5. Envio correos Portafolio de servicio  6. Envio Comprobantes de nomina 7. Valdacion de consultas.
15/07/2025 Ya se encuenra en produccion</t>
  </si>
  <si>
    <t>AJUST_REN_2025_001_2</t>
  </si>
  <si>
    <t xml:space="preserve">INFORME DE PRESIDENCIA (Validación Documental Rentas) </t>
  </si>
  <si>
    <t>10/07/2025: Se realizaron los ajustes solicitados por el área y estos ya fueron entregados en el ambiente de producción. El cliente efectuó las pruebas correspondientes y confirmó que el ajuste fue aplicado correctamente.</t>
  </si>
  <si>
    <t>26/06/2025 Se incluyen requerimientos de acuerdo  a sesiones con el cliente. Corresponde a ajustes a plataforma ya en produccion
10/07/2025 Se realizan ajustes solicitados por el area. Y ya se entregaron en produccion. El cliente realizo pruebas y confirmo ajuste.</t>
  </si>
  <si>
    <t>AJUST_REN_2025_001_3</t>
  </si>
  <si>
    <t>CAMBIO DE ESTADO DE IMÁGENES PARA RENTAS NO CONTRATADAS</t>
  </si>
  <si>
    <t>15/07/2025: Se inician ajustes solicitados
18/07/2025 Se culminaron los ajustes requeridos por el área, se realiza paso a produccion el 17 de julio.</t>
  </si>
  <si>
    <t>15/07/2025 Se inicia ajustes requeridos
17/07/2025 Requerimiento probado y en produccion. Se realizo paso a produccion el dia 17/07/2025</t>
  </si>
  <si>
    <t>AJUST_REN_2025_001_4</t>
  </si>
  <si>
    <t>VALIDAR INCONSISTENCIA INFORME RENTAS RCMA – DDEP</t>
  </si>
  <si>
    <t>11/07/2025: EL 10 de julio Se realizaron pruebas por parte de Carlos Rodríguez. Actualmente, el cambio se encuentra pendiente de ser implementado en el ambiente de producción.
15/07/2025:Se realizó el paso a producción el día 14 de julio.</t>
  </si>
  <si>
    <t>26/06/2025 Se incluyen requerimientos de acuerdo  a sesiones con el cliente. Corresponde a ajustes a plataforma ya en produccion
10/07/2025 Se realizaron pruebas por parte de Carlos Rodriguez. Pendiente pasar a producicon.
15/07/2025 Ya se encuenra en produccion
15/07/2025 Se solcito por parte del usuario incluir una nueva validacion.</t>
  </si>
  <si>
    <t>AJUST_REN_2025_001_5</t>
  </si>
  <si>
    <t>INCLUIR VALIDACIÓN ADICIONAL PARA RCMA – DDEP.</t>
  </si>
  <si>
    <t>16/07/2025: Se finaliza ajuste 15 de julio y se realiza despliegue a produccion el 16 de julio en la mañana.</t>
  </si>
  <si>
    <t>PRV_2025_011</t>
  </si>
  <si>
    <t>ANS - TABLERO DE CONTROL  - dashboard</t>
  </si>
  <si>
    <t>18/07/2025: Se completó el query de base. Se trabaja en selección de librería gráfica compatible con Laravel. Se estima un 20% de avance general.
21/07/2025: Se esta trabajando en las graficas de ANS, se estima terminar el 22 de julio para paso a pruebas UAT
24/07/2025: El 22/07/2025 se continua en gestión del tablero de control ANS, sacaba error en los gráficos, se estima terminar el 23/07/2025 por compromiso con el cliente.
23/07/2025: Se terminan los gráficos del tablero de control.
24/07/2025: Se trabaja en el export de la data de las estadisticas
25/07/2025. Se entrega al área tablero de ANS finalizado, programado subir los cambios para paso a producción el 25/07/2025 a las 5:00 pm</t>
  </si>
  <si>
    <t>17/07/2025 Se solicita realizar desarrollo inicial para lo que ya se encuentra en produccion en cuanto a pagos. Este modulo tambien debe conterner lo correpondiente a Auxilio funerario que actualmente se encuentra pausado</t>
  </si>
  <si>
    <t>CARLOS</t>
  </si>
  <si>
    <t>PRV_2025_002</t>
  </si>
  <si>
    <t>REPORTE ANEXO 1 (Lentantamiento de requerimiento)</t>
  </si>
  <si>
    <t>21/07/2025: Carlos esta adelantando el levantamiento del requerimiento, para proyectar entrega
23/07/2025: Se encuentra en definición con el cliente, para establecer algunas prioridades en los requerimientos siguientes
25/08/2025: Se retoma el levantamiento del requerimiento  y se proyecta entrega a Mauricio para desarrollo el día de mañana, sin embargo, se estan priorizando informes propios de la operación de Imagine.
03/09/2025: Requerimiento en pausa debido a que Imaginex actualmente no cuenta con permisos para creación de vistas, se encuentra en validación por infraestructura para una solución.
26/09/2025: El 22 de septiembre se termino el levantamiento del requerimiento, en el transcurso de la semana se han estado elaborando vistas, sin embargo, Imagine no tiene acceso y permisos para editar o crear vistas en DLL, AUT ni producción.
03/10/2025: El 02 de octubre se obtienen los permisos y se inicia con la creación de las vistas 
14/10/2025: Se proyecta finalizar el levantamiento del requerimiento para pasar a desarrollo</t>
  </si>
  <si>
    <t>17/07/2025 Se esta culminado el query para generar reporte</t>
  </si>
  <si>
    <t>PRV_2025_002-1</t>
  </si>
  <si>
    <t>REPORTE ANEXO 1 (desarrollo )</t>
  </si>
  <si>
    <t>17/10/2025: El 15 de octubre se termino el desarrollo del requerimiento Anexo 1, posteriormente se han realizado validaciones y ajustes que se cruzan con otros requerimientos, con el fin de no presentar incindencias</t>
  </si>
  <si>
    <t>PRV_2025_001</t>
  </si>
  <si>
    <t xml:space="preserve">Ajuste flujo de  pagos </t>
  </si>
  <si>
    <t>21/07/2025: El 17/07/2025 Se envía correo por parte de Carlos a Seguros Alfa, solicitando modificar 2 vistas:
a. Sipren: Ajustes V_consolidado_reclamaciones_img
b. Plus: AjustesV_consolidado_tramites_plus
Pendiente presentarlo a comité para efectuar el cambio correspondiente en las vistas.
El 18/07/2025, Mauricio realizó un ajuste en el módulo de flujo de pagos, mediante el cual se asocia a cada estado del flujo una ruta u opción de acceso específica. Anteriormente, independientemente del permiso asignado, los usuarios podían visualizar los estados a los que contaban con permiso.
23/07/2025: El 22 de Julio se entrega al cliente  para pruebas, al pendiente de aceptacion  para paso a produccion.
24/07/2025: Se solicita a Mauricio subir los cambios de flujo de pagos modificados en las vistas que actualizò Carlos. Validar los cambios y ajustes requeridos por el cliente en requerimientos ya cerrados para paso a producción.
25/07/2025: Se finalizan los ajustes solicitados por el área (un campo llamado parentesco y mostrarlo en el export, en el Excel que exporta el cliente). Programado subir cambios para paso a producción el 25/07/2025 a las 5:00 pm
28/07/2025: El viernes 25 de julio sobre las 6:00 pm hasta las 7:30 pm se realiza el despliegue a producción.
El dìa de hoy se encuentra validando que los cambiosy ajustes en el paso a producciòn están funcionando correctamente.
Se evidencia que hubo una inconsistencia en los datos que Alfa suministra en el cambio a producción. Se encuentra en validación.
01/08/2025: Se vuelve a validar con Alfa la información reportada en el script, sin embargo, se encuentran a la espera de que el área de producción entregue el DLL que se envió en el despliegue. Por parte de Imagine no hay pendientes.
08/08/2025: El 06 de Agosto a raíz de la reunión con el área Previsionales el día 05 de agosto, surgieron ajustes solicitados por parte del vicepresidente de Alfa.
1.        Incluir el cálculo IBL dentro del flujo. Validar primero el nombre de las etiquetas.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se sale un valor, según valido Hugo Gómez
El día de hoy 08 de agosto, se trabaja en en control de cambios en Flujo de pagos solicitado por el Vicepresidente de Alfa.
20/08/2025: Se pasa a producciòn el 16 de agosto</t>
  </si>
  <si>
    <t>Carlos y Cindy</t>
  </si>
  <si>
    <t>PRV_2025_003</t>
  </si>
  <si>
    <t>AVISO A LA RENTA (Levantamiento del requerimiento)</t>
  </si>
  <si>
    <t>25/07/2025: Carlos y Cindy estan trabajando en el levantamiento del requerimiento para pasar a Mauricio y que inicie con el desarrollo para que quede en el paso a producción programado para el 25/07/2025 a las 5:00 pm
28/07/2025: El viernes 25 de julio se hace socializaciòn del requerimiento con Mauricio y Jairo.
20/08/2025: El sabado 16 se realizo el paso a producciòn</t>
  </si>
  <si>
    <t>PRV_2025_003-1</t>
  </si>
  <si>
    <t>AVISO A LA RENTA (Desarrollo)</t>
  </si>
  <si>
    <t>28/07/2025, el viernes 25 de julio, debido a una inconsistencia en el aplicativo ALFASST del área SST con unas ordenes de servicio, se tuvo que dar prioridad y Mauricio no pudo iniciar el desarrollo de Avisos a la renta.
El día de hoy, luego de terminar validaciones de paso a producción de otros requerimientos, se inicia desarrollo de este requerimiento.
29/07/2025: Mauricio se enfocarà en terminar el requerimiento completamente.
30/07/2025: Se reporta un avance del 50% en el desarrollo del módulo de avisos de renta. Ya se visualizan los pagos correctamente y quedan pendientes las funcionalidades de notificación, descarga de Excel y eliminación de registros. Se espera finalizar hoy.
01/08/2025: A 31 de julio ya esta por entregar, Mauricio el dìa de hoy mostrara el funcionamiento y el flujo del reporte, para identificar posibles desviaciones y validar si es posible automatizarlo.
04/08/2025: El 01 de agosto quedo funcional el requerimiento, esta proyectado para paso a producción el viernes 08 de agosto
13/08/2025. Se proyecta paso a producción el sabado 16 de agosto.
20/08/2025: Paso a produccion realizado 16 de Agosto.</t>
  </si>
  <si>
    <t>Img_2025_001</t>
  </si>
  <si>
    <t>Validar servidor de contingencia</t>
  </si>
  <si>
    <t>Imagine</t>
  </si>
  <si>
    <t>01/08/2025: Se realizarà validación del servidor de contingencia el día de hoy, puesto que en meses pasado se presentaron incidencias y debemos garantizar que toda la información se encuentre sincronizada de forma correcta.
04/08/2025: Se programo sesiòn con Wilson y Mauricio para validaciòn y acompañamiento en la sincronización de la contingencia.
08/08/2025: Validación de error de la sincronización de contingencia, con Alfa y Claro - Onpremise
2. Validación cambio de llaves AWS.
12/08/2025: Se encuentra pendiente ajuste a permisos de carpetas para la sincronización y notificación por correo del error  en la sincronización o éxito en la misma.
La reunión del viernes para cambio de llaves AWS, se reprogramo para hoy a las 9:00 am hasta las 10:15 am aproximadamente.</t>
  </si>
  <si>
    <t>PRV_2025_004-1</t>
  </si>
  <si>
    <t>Ajustes modulo auxilios funerario</t>
  </si>
  <si>
    <t>08/08/2025: el 05 de Agosto, se realiza acompañamiento en la sesión del área de Previsionales con Blanca Romero, Elizabeth Guerrero y Hugo Gomez, por si surgen dudas u observaciones.
Se trabaja en informes de Pagos y Auxilios Funerarios.
11/08/2025: A raíz de la sesión del viernes surgieron ajustes adicionales:
1. Incluir el cálculo del IBL dentro del flujo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sale un valor, según valido Hugo Gomez.
Estos puntos ya quedaron gestionados el día de ayer en un 90%, falta culminar:
- Control de cambios en flujo de pagos
- Incluir el cálculo del IBL dentro del flujo. Validar nombre de las etiquetas
12/08/2025: El viernes hubo incidencia en el cargue del Excel archivo de formalización de Auxilios Funerarios, sin embargo, este ya quedo solucionado. Se continúa trabajando en los ajustes faltantes requeridos por vicepresidencia de Seguridad Social.
13/08/2025: Reunión con el área de coordinación y desarrollo para instrucciones de entrega de documentación.
- Creación de documentos técnicos requeridos por Alfa para paso a comité de cambios el día de hoy 13 de agosto y mañana 14. 
- Ajustes por pruebas de usuario en error de cargue de archivo y mejora de la consulta.
- Se proyecta paso a producción de aviso a la renta y auxilios funerarios el sabado 16 de agosto.
20/08/2025: El dìa sabado 16 se realiza paso a producciòn</t>
  </si>
  <si>
    <t>PRV_2025_004-2</t>
  </si>
  <si>
    <t>Ajustes auxilios funerarios y aviso a la renta</t>
  </si>
  <si>
    <t>14/08/2025: Ajuste a bugs reportados por el cliente para Auxilios Funerarios y Aviso a la Renta (formatos y consultas). Ya el dìa de hoy se certifico por parte del cliente el paso a producciòn, el cual se progrma realizar por parte de Mauricio el sabado 16 de agosto.
Se requiriò acompañamiento de Mauricio en las sesiones para solucionar de forma inmediata las inconsistencias, durante las horas de la mañana y tarde.
20/08/2025: EL sabado 16 se realizo paso a producciòn</t>
  </si>
  <si>
    <t>PRV_2025_004-3</t>
  </si>
  <si>
    <t xml:space="preserve">Genera  informes generales pagos y auxilios funerarios </t>
  </si>
  <si>
    <t>Generar un informe con el detalle de mostrar consulta y la trazabilidad de los casos de los procesos entregados a producciòn en semanas anteriores.</t>
  </si>
  <si>
    <t>27/08/2025: El 26 de agosto se trabajo en el desarrollo del informe general de pagos y auxilios funerarios.</t>
  </si>
  <si>
    <t>Img_2025_002</t>
  </si>
  <si>
    <t>Crear .bash para notificar  sincronización en base de datos</t>
  </si>
  <si>
    <t>15/08/2025: Se reconfiguraron los permisos y Mauricio estarà validando el tema el día de hoy, sincronizaciòn y funcionamiento
20/08/2025: Al 19 de agosto, se encuentra pendiente reporte por parte de Claro informando las actividades realizadas el dìa viernes de acuerdo al refresh de la llave.
Pendiente por parte Mauricio crear .bash para notificar cuando sincronice las bases de datos
25/08/2025: El viernes 22 de agosto se creo el .bash solicitado, sin embargo, se esta presentando una incidencia en la actualización, que no actualiza en la base de datos a diferencia del que corre a las 3 am. Mauricio estará validando otras funcionalidades y en caso de que continue la inconsistencia, se apoyará con Jairo  y Jenry
27/08/2025: El 25 de agosto se valido con tecnologìa el tema de crear una conexión SSH, el día de hoy 27 de agosto, dieron respuesta que se puede realizar sin problema.
03/09/2025: Mauricio indica que queda pendiente el sabado 06 de septiembre validar la sincronizaciòn y Carlos Rodriguez debe realizar la documentación de la sincronización para presentar a Alfa.
20/10/2025: El 17 de octubre se realizó sincronización manual de producción a contingencia, debido a que el procesos automático de las 3 am, dejo algunos archivos corruptos</t>
  </si>
  <si>
    <t>SST_2025_001</t>
  </si>
  <si>
    <t>Ajustes en servidores QA y PT de ALFASST AWS</t>
  </si>
  <si>
    <t>SST</t>
  </si>
  <si>
    <t>29/08/2025: 25/08/2025: Los desarrollos para esta aplicación se encontraban detenidos desde el año pasado. Por lo cual los ambientes no se encontraban actualizados y/o con data actualizada para pruebas.</t>
  </si>
  <si>
    <t>SST_2025_002</t>
  </si>
  <si>
    <t>29/08/2025: 25/08/2025: Se retomaron las pruebas en los entornos QA y PT para validar nuevos requerimientos y hacer seguimiento al estado de aquellos que aún se encuentran pendientes por ser desplegados en producción.</t>
  </si>
  <si>
    <t>SST_2025_003</t>
  </si>
  <si>
    <t>29/08/2025: 25/08/2025: Durante este proceso, se identificaron algunas incidencias en los servidores, por lo que fue necesario realizar ajustes y correcciones técnicas para garantizar un entorno estable que permitiera continuar con la validación de los cambios.</t>
  </si>
  <si>
    <t>SST_2025_004</t>
  </si>
  <si>
    <t>29/08/2025: 25/08/2025: Se restablecieron los cronogramas del año vigente en los entornos QA y PT para habilitar el nuevo módulo de profesionales y permitir sus respectivas pruebas.</t>
  </si>
  <si>
    <t>SST_2025_005</t>
  </si>
  <si>
    <t>Validar el modulo de profesionales para que el àrea pueda realizar pruebas</t>
  </si>
  <si>
    <t>29/08/2025: 25/08/2025: Se solucionaron errores en el módulo de profesionales y se realizaron correcciones funcionales.</t>
  </si>
  <si>
    <t>SST_2025_006</t>
  </si>
  <si>
    <t>Accesos y configuración técnica QA ALFASST AWS</t>
  </si>
  <si>
    <t>29/08/2025: 25/08/2025: Se refrescaron claves y accesos, especialmente en el servidor de pruebas, que presentaba problemas de ingreso.</t>
  </si>
  <si>
    <t>SST_2025_007</t>
  </si>
  <si>
    <t>29/08/2025: 25/08/2025: Se ajustó la configuración de pgAdmin para garantizar la conexión con las distintas bases de datos de ALFASST.</t>
  </si>
  <si>
    <t>PRV_2025_006</t>
  </si>
  <si>
    <t>Sincronización de estados de casos</t>
  </si>
  <si>
    <t>29/08/2025: 25/08/2025: Se implementó el ajuste para que, al cambiar un caso de estado CORRECCIÓN → REVISADO, se ejecute la sincronización individual del valor, considerando posibles modificaciones.</t>
  </si>
  <si>
    <t>PRV_2025_0011</t>
  </si>
  <si>
    <t>29/08/2025: 25/08/2025: Queda pendiente el desarrollo de la sincronización masiva, lo cual implica ajustes en las funciones de sincronización entre bases de datos.
03/09/2025: Requerimiento en pausa debido a que Imaginex actualmente no cuenta con permisos para creación de vistas, se encuentra en validación por infraestructura para una solución.
01/10/2025: El 30 de septiembre se obtienen permisos pendientes, lo cual permitio finalizar el desarrollo del requerimiento</t>
  </si>
  <si>
    <t>PRV_2025_008</t>
  </si>
  <si>
    <t>Flujo de Pagos Control de cambios</t>
  </si>
  <si>
    <t>29/08/2025: 25/08/2025: Permitir la modificación del campo VALOR_PAGO en casos específicos, exclusivamente dentro del primer flujo del proceso.
03/09/2025: Requerimiento en pausa debido a que Imaginex actualmente no cuenta con permisos para creación de vistas, se encuentra en validación por infraestructura para una solución.
01/10/2025: El 30 de septiembre se habilita la ediciòn del campo VALOR_PAGO ya que algunos casos lo requieren, modificaciòn restringida unicamente al primer flujo</t>
  </si>
  <si>
    <t>PRV_2025_012</t>
  </si>
  <si>
    <t>Auxilios Funerarios Control de Cambios</t>
  </si>
  <si>
    <t>29/08/2025: 25/08/2025: Sincronizar y actualizar automáticamente la fecha de siniestro según información proveniente de Porvenir.
03/09/2025: Requerimiento en pausa debido a que Imaginex actualmente no cuenta con permisos para creación de vistas, se encuentra en validación por infraestructura para una solución.
01/10/2025: El 30 de septiembre se creo opciòn para cuando se sincronicen las solicitudes permitan actualizar las fechas de siniestro</t>
  </si>
  <si>
    <t>PRV_2025_010</t>
  </si>
  <si>
    <t>Aviso a la Renta Control de Cambios</t>
  </si>
  <si>
    <t>29/08/2025: 25/08/2025: Incluir en el reporte:
* fecha_cierre
* número de solicitud
* fecha de envío de correo
03/09/2025: Requerimiento en pausa debido a que Imaginex actualmente no cuenta con permisos para creación de vistas, se encuentra en validación por infraestructura para una solución.
20/10/2025: Se incluyen campos solicitados por el área</t>
  </si>
  <si>
    <t>SST_2025_008</t>
  </si>
  <si>
    <t>Validación Modulo de Profesionales</t>
  </si>
  <si>
    <t>29/08/2025: 25/08/2025: Se solucionaron errores en el módulo de profesionales y se realizaron correcciones funcionales en ambiente Imagine.</t>
  </si>
  <si>
    <t>PRV_2025_013</t>
  </si>
  <si>
    <t>Auxilios Funerarios Control de Cambios Archivo</t>
  </si>
  <si>
    <t>29/08/2025: 25/08/2025: Al cargar el archivo de Excel, debe ejecutarse automáticamente el proceso de sincronización asociado.
03/09/2025: Requerimiento en pausa debido a que Imaginex actualmente no cuenta con permisos para creación de vistas, se encuentra en validación por infraestructura para una solución.
08/10/2025: El 30 de septiembre se creo opciòn para cuando se sincronicen las solicitudes permitan actualizar las fechas de siniestro</t>
  </si>
  <si>
    <t>PRV_2025_014</t>
  </si>
  <si>
    <t>Aviso a la Renta Control de Cambios Reporte</t>
  </si>
  <si>
    <t xml:space="preserve">29/08/2025: 25/08/2025: Automatizar el envío del informe:
Frecuencia: todos los viernes a las 6:00 a.m.
En caso de festivo, el informe debe enviarse el día hábil anterior.
03/09/2025: Requerimiento en pausa debido a que Imaginex actualmente no cuenta con permisos para creación de vistas, se encuentra en validación por infraestructura para una solución.
20/10/2025: El viernes 17 de octubre se agrego la funcionalidad para la ejecución del proceso Aviso a la Renta, mediante las tareas programadas. </t>
  </si>
  <si>
    <t>SST_2025_009</t>
  </si>
  <si>
    <t>Ajuste modulo profesionales</t>
  </si>
  <si>
    <t>Se requiere validar y realizar ajustes de errores e incidencias que se están presentando en el módulo para realizar las pruebas por parte del cliente y sea certificado el paso a producción</t>
  </si>
  <si>
    <t>01/09/2025: El 30 de agosto Mauricio realizando otras pruebas identifico un error en el modulo de profesionales en el ambiente de pruebas Alfa, por tanto se radica caso el 01 de septiembre para soporte de AWS y se contacta co Oscar Pérez para que nos ayuden con la incidencia reportada. Ya que hasta no sea solucionado no podremos realizar pruebas y el cliente tampoco.
La fecha estimada relacionada es solo si nos gestionan en soporte ALFA el día de hoy, de lo contrario se verá afectada y cambiará de acuerdo con la solución del caso radicado.
03/09/2025: El 02 de septiembre queda solucionada la incidencia y queda pendiente realizar pruebas internas antes de entregar a Nohora Carolina de SST para pruebas del área.
05/09/2025: El 04 de septiembre se iniciaron pruebas internas, sin embargo, no fue posible culminarlas debido a una incidencia presentada con el plan de trabajo en el ambiente QA. 
08/09/2025: El viernes 05 de septiembre, Mauricio trabajo en el cronograma en ambiente de pruebas, ya se libero presupuesto pero se esta validando porque no carga actividades y programas.
11/09/2025: El 10 de septiembre Mauricio continua validando, ajustando incidencias en el ambiente de QA que no han permitido realizar las pruebas correspondientes.
15/09/2025: El viernes 12 de septiembre Mauricio se enfoco en seguri revisando errores que se estan presentando en el módulo de cronogramas y edición de ordenes de servicios
18/09/2025: Durante los días del 15 al 17 Mauricio detecto errores en el desarrollo y ha trabajado en corregir y mejorar su funcionalidad, adicional de mejorar la apariencia siendo mas intuitivo para el usuario.
Se refactorizo el diseño de la gestión de profesionales a acreditar  y la gestión de proveedores.
22/09/2025: El viernes 19 de septiembre, Mauricio subió los ajustes de los modulos de profesionales y cronograma de trabajo.</t>
  </si>
  <si>
    <t>PRV_2025_015</t>
  </si>
  <si>
    <t>Creaciòn Vistas en DLL Alfa</t>
  </si>
  <si>
    <t>Creaciòn de vistas en ambiente DLL Alfa para desarrollo de requerimientos previsionales</t>
  </si>
  <si>
    <t>01/09/2025: El 29 de agosto a Mauricio se le entregaron credenciales por parte de infraestructura Alfa para permisos y creación de vistas en Desarrollo Sipren Plus, sin embargo, permitió coneción preo no la creación de las vistas.
03/09/2025: Requerimiento en pausa debido a que Imaginex actualmente no cuenta con permisos para creación de vistas, se encuentra en validación por infraestructura para una solución.
01/10/2025: Desde el 30 de septiembre se obtuvieron los permisos pendientes y se esta adelantando la creaciòn de vistas de los requerimientos que se han levantado
03/10/2025: el 02 de octubre se asignan nuevas vistas en la función de sincronización</t>
  </si>
  <si>
    <t>PRV_2025_016</t>
  </si>
  <si>
    <t>Actualización Tablero de Estadistica y Cumplimiento</t>
  </si>
  <si>
    <t>Se incluye en las graficas aux funerarios</t>
  </si>
  <si>
    <t>03/09/2025: 01/09/2025 Mauricio trabaja en la inclusión de la data de Auxilios Funerarios en el tablero de ANS.
02/09/2025: Se trabaja en los graficos de aux funerarios y en la consulta requerida para validar datos de flujo de pagos y aux funerario.
Pendientes pruebas internas para antes de entregar para pruebas por parte del área de previsionales
04/09/2025: el 03 de septiembre el desarrollo del gráfico está en fase final, restando únicamente ajustes de personalización en los tooltips. Se programó una reunión con el cliente para la socialización de avances, debido a que no alcanzo el tiempo, se reprogramo sesión para el jueves 4 de septiembre a las 9:00 am
El día de hoy 04 de septiembre, se realizan unas pruebas internas antes de entregar al cliente para sus respectivas pruebas y certificaciòn, siendo exitosas. En la sesión al momento de ingresar al aplicativo de pruebas Imagine, el cliente no pudo ya que por politicas de la compañia al parecer les quitaron permisos, se encuentran en validaciòn con el area tecnologica y sin embargo, por parte de Imagine les mostramos el módulo, los graficos, los cambios y los reportes. Se entrega para que apenas tengan acceso puedan validar y confirmar funcionalidad.
11/09/2025: Se confirma funcionalidad por parte del área de Previsionales</t>
  </si>
  <si>
    <t>Img_2025_004</t>
  </si>
  <si>
    <t>Conexiones con Ministerio -SAT</t>
  </si>
  <si>
    <t xml:space="preserve">04/09/2025: Se identificaron cambios en la configuración, por lo que se programó la reconfiguración de servicios en horas de la tarde.
</t>
  </si>
  <si>
    <t>PRV_2025_017</t>
  </si>
  <si>
    <t>Consultas y optimización de vistas (Alfa)</t>
  </si>
  <si>
    <t>Se requiere optimizar rendimiento y capacidad de las funciones del aplicativo Alfasst</t>
  </si>
  <si>
    <t>04/09/2025: El 03 de septiembre Mauricio trabaja en realizar ajustes en consultas y procesos de automatización. Continúa pendiente la optimización de querys para mejorar el rendimiento general.
18/09/2025: Durante los ultimos dìas Mauricio se ha encargado de identificar mejoras en las consultas
29/10/2025: El viernes 24 de octubre Mauricio estuvo validando mejoras en consultas y mejorar el rendimiento del aplicativo.</t>
  </si>
  <si>
    <t>Img_2025_005</t>
  </si>
  <si>
    <t>Conexiones con Ministerio -SAT Independientes</t>
  </si>
  <si>
    <t>08/09/2025: El viernes 05 de septiembre, Mauricio trabajo en la restructuración de BD del ambiente local ya que se encuentra desactualizada para realizar pruebas con el Ministerio.
10/09/2025: Durante los días 08 y 09 de septiembre, Mauricio ha trabajado en las conexiones SAT del Ministerio para el requerimiento de independientes.
11/09/2025: El 10 de septiembre, Mauricio finalizò la conexiòn en integraciòn con la URL del Ministerio.</t>
  </si>
  <si>
    <t>Img_2025_006</t>
  </si>
  <si>
    <t>PRV_2025_004-8</t>
  </si>
  <si>
    <t>Solicitar acceso a vistas y tablas</t>
  </si>
  <si>
    <t>15/08/2025: El dìa de hoy se tuvo incidencia debido a una restauraciòn de las bases de datos en SIPREN, en ambiente de pruebas, se borraron algunas vistas. Carlos realizó solicitud de nuevo de los permisos para lectura de tablas y vistas en ambiente de pruebas Sipren y Plus de unavez, ya que el dìa de hoy o mañana tambien realizaran restauración de bases de datos.
20/08/2025: Al 19 de agosto ya se encuentran los permisos e Imagine se encuntra en proceso de restauraciòn de las vistas y tablas borradas</t>
  </si>
  <si>
    <t>PRV_2025_004-4</t>
  </si>
  <si>
    <t>Ajuste Modulo de Pagos 1</t>
  </si>
  <si>
    <t>21/08/2025: El día 20 de agosto, luego del paso a producciòn y de las pruebas realizadas por el cliente, se identificaron incidencias en los requerimientos que se subiron en el despliegue, para el modulo de pagos, se presentaron las siguientes:
Incidencia: En el Excel de reportes se estaban duplicando los registros.
Solución: Se ajustó la consulta  incorporando la condición WHERE status = TRUE para filtrar únicamente los registros válidos.</t>
  </si>
  <si>
    <t>PRV_2025_004-5</t>
  </si>
  <si>
    <t>Ajuste Modulo de Pagos 2</t>
  </si>
  <si>
    <t>21/08/2025: El día 20 de agosto, luego del paso a producciòn y de las pruebas realizadas por el cliente, se identificaron incidencias en los requerimientos que se subiron en el despliegue, para el modulo de pagos, se presentaron las siguientes:
Incidencia: Los valores del último pago no coincidían.
Solución: Se modificó la vista ultimo_pago para incluir el cod_concepto = 2 y se corrigió el cálculo, que anteriormente sumaba pago_total en lugar de valor_concepto.</t>
  </si>
  <si>
    <t>PRV_2025_004-6</t>
  </si>
  <si>
    <t>Ajuste Aviso a la Renta</t>
  </si>
  <si>
    <t xml:space="preserve">21/08/2025: El día 20 de agosto, luego del paso a producciòn y de las pruebas realizadas por el cliente, se identificaron incidencias en los requerimientos que se subiron en el despliegue, para aviso a la renta, se presentaron las siguientes:
Incidencia: Se solicitó revisar el SELECT de la consulta utilizada para el aviso a la renta.
Solución: Se validó la formulación de la consulta y se confirmó que es correcta.
Nota: Carlos Rodríguez solicitó revisar y analizar el detalle de dicha consulta.
</t>
  </si>
  <si>
    <t>PRV_2025_004-7</t>
  </si>
  <si>
    <t>Ajuste Auxilio Funerario</t>
  </si>
  <si>
    <t>21/08/2025: El día 20 de agosto, luego del paso a producciòn y de las pruebas realizadas por el cliente, se identificaron incidencias en los requerimientos que se subieron en el despliegue, para auxilios funerarios, se presentaron las siguientes:
Incidencia: Error al cargar el formato Excel de auxilios cuando contiene varias hojas.
Solución: Se identificó que el sistema solo procesa correctamente la hoja activa. Se intentó ajustar para cargar únicamente esa hoja; sin embargo, por agilidad operativa, se solicita al usuario dejar una sola hoja en el archivo antes del cargue, mediante validación al cargar y un mensaje informativo.</t>
  </si>
  <si>
    <t>PRV_2025_004-9</t>
  </si>
  <si>
    <t xml:space="preserve">21/08/2025: El día 20 de agosto, luego del paso a producciòn y de las pruebas realizadas por el cliente, se identificaron incidencias en los requerimientos que se subiron en el despliegue, para auxilios funerarios, se presentaron las siguientes:
Incidencia: Falta de valor del auxilio funerario.
Solución: Se incluyó un ajuste final que complementa la información con la fecha esto solucionando el 70% del trabajo del analista. Se detectó que no se estaba completando el valor calculado del pago; por ello, se actualizó la condición WHERE para que también actualizara dicho valor.
</t>
  </si>
  <si>
    <t>PRV_2025_004-10</t>
  </si>
  <si>
    <t>21/08/2025: El día 20 de agosto, luego del paso a producciòn y de las pruebas realizadas por el cliente, se identificaron incidencias en los requerimientos que se subiron en el despliegue, para auxilios funerarios, se presentaron las siguientes:
Incidencia: Algunas funciones no fueron desplegadas en producción el día 16 de agosto.
Solución: Se realizó la creación e implementación de las funciones faltantes en el ambiente productivo.</t>
  </si>
  <si>
    <t>Img_2025_002-1</t>
  </si>
  <si>
    <t>Validar servidor de contingencia - Tarea 1</t>
  </si>
  <si>
    <t>22/08/2025: El día 21 de agosto Mauricio se ha encargado de atender tareas asignadas por Jenry para mejorar el tema de control y seguimiento en ambiente de contingencia:
- Parametrizar el mostrar los tiempos que demora la sincronización</t>
  </si>
  <si>
    <t>Img_2025_002-2</t>
  </si>
  <si>
    <t>Validar servidor de contingencia - Tarea 2</t>
  </si>
  <si>
    <t>Crear .bash para mostrar registros de contingencia en producción</t>
  </si>
  <si>
    <t>22/08/2025: El día 21 de agosto Mauricio se ha encargado de atender tareas asignadas por Jenry para mejorar el tema de control y seguimiento en ambiente de contingencia:
- Crear .bash que muestre los registros de contingencia con producción
25/08/2025: El viernes 22 de agosto se creo el .bash solicitado</t>
  </si>
  <si>
    <t>Img_2025_002-3</t>
  </si>
  <si>
    <t>Validar servidor de contingencia - Tarea 3</t>
  </si>
  <si>
    <t>22/08/2025: El día 21 de agosto Mauricio se ha encargado de atender tareas asignadas por Jenry para mejorar el tema de control y seguimiento en ambiente de contingencia:
- Revisar cada cuanto se sincronizan las imagenes, si cada hora de lunes a viernes</t>
  </si>
  <si>
    <t>Img_2025_003</t>
  </si>
  <si>
    <t>Restauración BD Pruebas Imagine</t>
  </si>
  <si>
    <t>Se requiere realizar la homologación y restauración de las bases de datos en el servidor de pruebas de Imagine, con el fin de garantizar la disponibilidad y consistencia de la información para las validaciones correspondientes, según la solicitud presentada por fala.</t>
  </si>
  <si>
    <t>22/08/2025: El día 21 de agosto Mauricio se ha encargado de atender tareas asignadas por Jenry para mejorar el tema de control y seguimiento en ambiente de contingencia:
- Renombrar las BD en pruebas y restaurar producción
25/08/2025: Entre el viernes 22 y sabado 23 Mauricio realizo la homologaciòn y restauraciòn de las BD</t>
  </si>
  <si>
    <t>Img_2025_007</t>
  </si>
  <si>
    <t>Servicios SAT Independientes - 1</t>
  </si>
  <si>
    <t>Crear servicio del Ministerio de Salud y Protección Social de Afiliaciones Independientes</t>
  </si>
  <si>
    <t>11/09/2025: El 10 de septiembre se realizó el despliegue del servicio de Afiliaciones de Independientes en el ambiente de pruebas OnPremise
Falta realizar pruebas iniciales en el primer servicio de 13 servicios.
18/09/2025: Se culmina el desarrollo, falta que el Ministerio certifique funcionalidad.
08/10/2025: Se terminan desarrollos del servicio SAT afiliaciones independientes</t>
  </si>
  <si>
    <t>Img_2025_008</t>
  </si>
  <si>
    <t>Servicios SAT Independientes - 2</t>
  </si>
  <si>
    <t xml:space="preserve">Crear servicio del Ministerio de Salud y Protección Social de Retractación </t>
  </si>
  <si>
    <t>15/09/2025: El viernes 12 de septiembre se realizó el despliegue del servicio de Retractación de afiliaciones de Trabajadores Independientes en el ambiente de pruebas OnPremise
Falta realizar pruebas
18/09/2025: Se culmina el desarrollo, falta que el Ministerio certifique funcionalidad.
08/10/2025: Se terminan desarrollos del servicio SAT retractacciones independientes</t>
  </si>
  <si>
    <t>Img_2025_009</t>
  </si>
  <si>
    <t>Servicios SAT Independientes - 3</t>
  </si>
  <si>
    <t>Crear servicio del Ministerio de Salud y Protección Social de Terminación de Afiliación</t>
  </si>
  <si>
    <t>15/09/2025: El viernes 12 de septiembre se realizó el despliegue del servicio de Terminaciòn de afiliaciones de la ARL de Trabajadores Independientes en el ambiente de pruebas OnPremise
Falta realizar pruebas
18/09/2025: Se culmina el desarrollo, falta que el Ministerio certifique funcionalidad.
08/10/2025: Se terminan desarrollos del servicio SAT terminacion de afiliacion independientes</t>
  </si>
  <si>
    <t>Img_2025_010</t>
  </si>
  <si>
    <t>Servicios SAT Independientes - 4</t>
  </si>
  <si>
    <t>Crear servicio del Ministerio de Salud y Protección Social de Traslado de ARL</t>
  </si>
  <si>
    <t>18/09/2025: El 17 de septiembre se creo el servicio de Traslado de ARL de Trabajadores Independientes. 
Pendiente ajuste en el maestro de empleados.
08/10/2025: Se terminan desarrollos en el servicio SAT para traslado de ARL independientes</t>
  </si>
  <si>
    <t>Img_2025_011</t>
  </si>
  <si>
    <t>Servicios SAT Independientes - 5</t>
  </si>
  <si>
    <t>Crear servicio del Ministerio de Salud y Protección Social de Cambio de Ocupación en Independientes Voluntarios</t>
  </si>
  <si>
    <t>18/09/2025: El 17 de septiembre se creo el servicio de Cambio de Ocupación en Independientes Voluntarios de Trabajadores Independientes. 
Pendiente ajuste en el maestro de empleados.
08/10/2025: Se terminan desarrollos del servicio SAT cambio de ocupacion u oficio en independientes voluntarios</t>
  </si>
  <si>
    <t>PRV_2025_018</t>
  </si>
  <si>
    <t>ANS - TABLERO DE CONTROL  - Ajuste</t>
  </si>
  <si>
    <t>Se requiere crear un nuevo grupo para incluir los estados ANULADOS, en las gráficas del tablero de estadisticas</t>
  </si>
  <si>
    <t>22/09/2025: El 19 de septiembre, Mauricio trabajo en la correcciòn del error Bad Request y se agrego un nuevo estado Anulado a flujos de pagos y auxilios funerarios.
Pendientes las pruebas por parte de Imagine para posterior entrega actualizaciones al cliente y certifiquen el ajuste.</t>
  </si>
  <si>
    <t>Img_2025_012</t>
  </si>
  <si>
    <t>Servicios SAT Independientes - Consultas</t>
  </si>
  <si>
    <t>Desarrollar consultas de los servicios creados en SAT para independientes de afiliaciones activas</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</si>
  <si>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afiliaciones activas</t>
  </si>
  <si>
    <t>Img_2025_013</t>
  </si>
  <si>
    <t>Desarrollar consultas de los servicios creados en SAT para independientes en Mora ARL</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</si>
  <si>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independiente en Mora ARL</t>
  </si>
  <si>
    <t>REN_2025_05</t>
  </si>
  <si>
    <t>Validación Documental_Ajuste</t>
  </si>
  <si>
    <t>Validar y parametrizar los documentos en validacion documental para el nuevo origen Sustitucion, sin embargo, en el parentesco Hijos no mostraba informaciòn correcta</t>
  </si>
  <si>
    <t>26/09/2025: El 25 de septiembre, se brinda soporte a Rentas, dando solución a una incidencia presentada en la parametrización de origen de archivos de Sustitucion con el parentesco Hijos.</t>
  </si>
  <si>
    <t>SST_2025_010</t>
  </si>
  <si>
    <t>Ajuste modulo profesionales-Lentitud</t>
  </si>
  <si>
    <t>Se requiere validar el modulo de profesionales ya que en pruebas no carga para realizar el test correspondiente, adicional presenta lentitud en algunas funciones</t>
  </si>
  <si>
    <t>03/10/2025: El 02 de octubre, Mauricio valida incidencia en la lentitud o no cargue al editar en modulo de profesionales en el rol Gestor en pruebas.</t>
  </si>
  <si>
    <t>PRV_2025_019</t>
  </si>
  <si>
    <t>Revisión error en URL</t>
  </si>
  <si>
    <t>Validar error de restricción de URL/Bad Request</t>
  </si>
  <si>
    <t>03/10/2025: Se recibe caso reportado por el área, sobre un error de restricción de URL/Bad Request. Se proyecta que hoy Mauricio inicie soluciòn a estas incidencias presentadas.
06/10/2025: El sabado 04 de octubre Mauricio con apoyo de Jairo Niño, resuelve la incidencia presentada</t>
  </si>
  <si>
    <t>PRV_2025_020</t>
  </si>
  <si>
    <t>Revisión generación de correo doble</t>
  </si>
  <si>
    <t>Validar error de generación de doble correo en flujo de pagos</t>
  </si>
  <si>
    <t>03/10/2025: Se recibe caso reportado por el área, sobre notificación de correos dobles en el flujo de pagos. Se proyecta que hoy Mauricio inicie soluciòn a estas incidencias presentadas.
06/10/2025: El sabado 04 de octubre Mauricio con apoyo de Jairo Niño, resuelve la incidencia presentada</t>
  </si>
  <si>
    <t>Img_2025_014</t>
  </si>
  <si>
    <t>Se requiere realizar la homologación y restauración de las bases de datos en el servidor de pruebas de Imagine, con el fin de garantizar la disponibilidad y consistencia de la información para las validaciones correspondientes, según la solicitud presentada por Alfa</t>
  </si>
  <si>
    <t>03/10/2025: Hoy se creará el plan de trabajo para restaurar las bases de datos de producción en el ambiente de pruebas., Esto incluyendo la revisión de tablas, funciones, procedimientos y disparadores (triggers).
06/10/2025: El 04 de octubre se procedió con la restauración de la base de datos de pruebas. Se realizó la homologación de tablas, funciones, procedimientos y demás elementos.
Queda pendiente realizar pruebas funcionales de las aplicaciones</t>
  </si>
  <si>
    <t>PRV_2025_021</t>
  </si>
  <si>
    <t>Modulo Objeciones y Devoluciones</t>
  </si>
  <si>
    <t>08/10/2025: Entre 06 y 07 de octubre, se crea modulo para el requerimiento de notificaciòn Objeciones y Devoluciones, asociado a casos sincronizados con la vista de inventario.
Pendiente: Crear tarea programada para que se ejecute a diario de lunes a viernes a las 4 pm.</t>
  </si>
  <si>
    <t>PRV_2025_022</t>
  </si>
  <si>
    <t>Aviso a la Renta - Ajuste</t>
  </si>
  <si>
    <t>Se requiere agregar campos solicitados por el cliente</t>
  </si>
  <si>
    <t>08/10/2025: El 07 de octubre se agregan los campos de fecha cierre y fecha de notificaciòn, solicitados por el área.
Pendientes: Automatizar envio de informe y correr sincronizacion al cargar el Excel</t>
  </si>
  <si>
    <t>Img_2025_015</t>
  </si>
  <si>
    <t>Servicios SAT Independientes - 6</t>
  </si>
  <si>
    <t>Crear servicio del Ministerio de Salud y Protección Social de Reporte en Mora</t>
  </si>
  <si>
    <t>08/10/2025: Entre 06 y 07 de octubre, se realizó el despliegue del servicio de Reporte de mora, acuerdos de pago e incumplimiento de Independientes en el ambiente de pruebas OnPremise</t>
  </si>
  <si>
    <t>Img_2025_016</t>
  </si>
  <si>
    <t>Desarrollar consultas de los servicios creados en SAT para independientes de detalle de afiliaciones activas</t>
  </si>
  <si>
    <t>08/10/2025: Entre 06 y 07 de octubre, se desarrolla formulario de consulta para servicios del Ministerio del detalle de afiliaciones activas en la ARL</t>
  </si>
  <si>
    <t>Img_2025_017</t>
  </si>
  <si>
    <t>Desarrollar consultas de los servicios creados en SAT para independientes de trabajadores trasladables</t>
  </si>
  <si>
    <t>08/10/2025: Entre 06 y 07 de octubre, se desarrolla formulario de consulta para servicios del Ministerio de Trabajadores Independientes Trasladables de ARL.</t>
  </si>
  <si>
    <t>PRV_2025_023</t>
  </si>
  <si>
    <t>Modulo Objeciones y Devoluciones - Ajuste</t>
  </si>
  <si>
    <t>Implementar tarea programada para envío de notificaciones</t>
  </si>
  <si>
    <t>14/10/2025: El 08 de octubre Mauricio implementò la opcion de tarea programada en el modulo de Objeciones y Devoluciones, para notificación diaria a las 4 pm</t>
  </si>
  <si>
    <t>PRV_2025_024</t>
  </si>
  <si>
    <t>Modulo de Indicadores Pendientes</t>
  </si>
  <si>
    <t>Se implementa modulo para mostrar los casos sin resolucion</t>
  </si>
  <si>
    <t>14/10/2025: El 09 de octubre, Mauricio desarrolla el modulo de indicadores de pendientes, el cual muestra los casos sin resolver, clasificados por rangos de tiempo: Del dia 1 al dia 8, y mas de 8 dias. Este informe se presenta por usuario</t>
  </si>
  <si>
    <t>Img_2025_018</t>
  </si>
  <si>
    <t>Servidor de Produccion y Contingencia</t>
  </si>
  <si>
    <t>Sincronizacion BD</t>
  </si>
  <si>
    <t>14/10/2025: El viernes 10 de octubre, se notifico al area de TI Alfa, sobre la imposobilidad de sincronizar el servidor de produccion con el servidor de contingencia</t>
  </si>
  <si>
    <t>SST_2025_011</t>
  </si>
  <si>
    <t>Ajuste modulo profesionales-Ajuste</t>
  </si>
  <si>
    <t>Se requiere validar el cargue de documentos en la creacion del profesional, ya que no quedan adjuntos</t>
  </si>
  <si>
    <t>14/10/2025: El 10 de octubre, Mauricio realiza validacion y ajustes correspondientes en la incidencia presentada en cuanto al cargue de documentos como hoja de vida y licencia en la creaciòn de un profesional.</t>
  </si>
  <si>
    <t>PRV_2025_025</t>
  </si>
  <si>
    <t>Modulo de Inventarios - Ajuste 1</t>
  </si>
  <si>
    <t>Crear export de detalles</t>
  </si>
  <si>
    <t>15/10/2025: El 14 de octubre se agrega opción para exportar informe.
Pendiente definir por el área que campos se mostrarán, ya que actualmente exporta todos los datos</t>
  </si>
  <si>
    <t>Img_2025_019</t>
  </si>
  <si>
    <t>Ajuste en vista</t>
  </si>
  <si>
    <t>15/10/2025: El 14 de octubre se realiza ajuste a la vista de búsqueda de los servicios SAT Independientes</t>
  </si>
  <si>
    <t>PRV_2025_026</t>
  </si>
  <si>
    <t>Modulo de Inventarios - Ajuste 2</t>
  </si>
  <si>
    <t>Crear tarea programada</t>
  </si>
  <si>
    <t>15/10/2025: El 14 de octubre se crea tarea programada para la sincronización de inventarios cada media hora.</t>
  </si>
  <si>
    <t>PRV_2025_027</t>
  </si>
  <si>
    <t>Modulo Procesos Juridicos</t>
  </si>
  <si>
    <t>Se requiere crear opción de sincronizaciòn de información</t>
  </si>
  <si>
    <t>17/10/2025: El 15 de octubre Se refactorizó el módulo de procesos jurídicos, implementando un botón para la sincronización de información</t>
  </si>
  <si>
    <t>PRV_2025_028</t>
  </si>
  <si>
    <t>Modulo Procesos Juridicos - Ajuste</t>
  </si>
  <si>
    <t>Ajustar el cargue masivo</t>
  </si>
  <si>
    <t>17/10/2025: Actualmente se esta trabajando en el cargue masivo de procesos juridicos.
20/10/2025: Se realiza la corrección en el cargue masivo, para evitar errores</t>
  </si>
  <si>
    <t>PRV_2025_029</t>
  </si>
  <si>
    <t>Modulo Anexo 1 - Ajuste</t>
  </si>
  <si>
    <t>Se requiere export con el  reporte de casos</t>
  </si>
  <si>
    <t>17/10/2025: Al finalizar el proceso de sincronización (Anexo 1), se agrogo la funcionalidad de exportar un reporte detallado. Este reporte ahora incluye el conteo de cuantos casos de procesos juridicos se tienen por aplicación (Sipren Plus o Sipren Tierra)</t>
  </si>
  <si>
    <t>PRV_2025_030</t>
  </si>
  <si>
    <t>Modulo Aviso a la Renta - Ajuste</t>
  </si>
  <si>
    <t>Se requiere corregir programación de la tarea.</t>
  </si>
  <si>
    <t>20/10/2025: La solicitud original requeria ejecutar la tarea todos los viernes a las 6 pm con el ajuste al día anterior si era festivo, lo cual ha cambiado.  Ahora se requiere la ejecución diaria, de lunes a viernes a las 6pm</t>
  </si>
  <si>
    <t>PRV_2025_029_1</t>
  </si>
  <si>
    <t>PRV_2025_031</t>
  </si>
  <si>
    <t>Se requiere agregar ANS</t>
  </si>
  <si>
    <t>24/10/2025: Se implementó la opción de agregar indicadores de gestión</t>
  </si>
  <si>
    <t>PRV_2025_032</t>
  </si>
  <si>
    <t>Ajustar tarea programada para envío de notificaciones</t>
  </si>
  <si>
    <t>24/10/2025: Se ajusto la tarea programada para jecutar diariamente de lunes a viernes y días hábiles.</t>
  </si>
  <si>
    <t>PRV_2025_033</t>
  </si>
  <si>
    <t>Modulo Honorarios Jurídicos</t>
  </si>
  <si>
    <t>Implementar módulo de pago de honorarios juridicos del área Previsionales</t>
  </si>
  <si>
    <t>29/10/2025: Se avanza en el análisis y diseño del mòdulo requerido por el área de previsionales.
05/11/2025: Se avanzo en la construcción de validaciones para consolidar los valores a pagar.
Se finaliza el modulo para cargar el formato de prefactura y visualizar los casos pendientes de pago.
07/11/2025: Se crea grid como estaba la vista.
Pendiente validaciòn para pagos.
08/11/2025: Se continua trabajando en mejoras del diseño y visualizaciòn de datos y se genera el export del informe de honorarios juridicos a pagar.
10/11/2025: Con ayuda del jefe de unidad se valida y se verifican las validaciones que se deben tener en cuenta para los casos que van a ser objetados y pagados, revisando que las reglas si cumplan con la necesidad del cliente. Se reafina la vista y el grid.
11/11/2025: Se procede a integrar opción de edición directamente en la grid para los casos que no se sabe si se van a objetar o a pagar. Se incluye un combo con estado de "PAGAR" Y  "OBJETAR".
12/11/2025: Se termina de ajustar la funcionalidad para que el grid se pueda pagar y objetar, se agrega campo de observaciones y se agrega validaciones al momento de seleccionar el combo.
Se crea funcionalidad de cierre masivo.
El módulo se divide en dos pestañas: gestión de casos y el histórico.
13/11/2025: Se continua con la creacion de la pestaña de historico, donde se debe visualizar los casos cerrados y permitir exportar los formatos que se reportan a cada una de las areas correspondientes como PLUS, SIPREN y Tesoreria.
Se sostiene reunión con el área de previsionales para mostar los avances, pendiente por parte del cliente validar la información de los formatos si están acordes con el proceso.
14/11/2025: Se termina opciòn de històrico de honorarios jurìdicos, con cada una de las funcionalidades requeridas como descargar los formatos de SIPREN, Plus y Tesorerìa, se agrego funcionalidad de notificar cuando se hace el cierre manual.
18/11/2025: Reuniòn con el cliente para probar el mòdulo, realizando el cargue de la prefactura, cierre y gestiòn del proceso. De esta reunion surgieron recomendaciones y ajustes:
1. Que al descargar la prefactura baje tal cual como sube y permita agregar el estado "OBJETAR" y "PAGAR", que se agregue la causal de devoluciòn.
2. Que cuando se cargue nuevamente cambie el estado y la causal masivamente.
19/11/2025: Se continua realizando los ajustes solicitados en la reuniòn.
Se realiza sesiòn y se presenta nuevamente el mòdulo y genero issu en el cargue. Donde sale consumo de memoria. Se revisa el problema el cual se sigio presnetando hasta el 20 de noviembre, por lo que se requiriò una refactorizaciòn en el cargue..
24/11/2025: Se estuvo probando el modulo de honorarios juridicos, surgieron ajustes y control de cambios para el modulo.
25/11/2025: Entre el 24 y 25 se diò gestiòn a estos ajustes de incidencia, los de control de cambio se adelantan en un 70%</t>
  </si>
  <si>
    <t>REN_2025_06</t>
  </si>
  <si>
    <t>Validar y parametrizar los documentos en validacion documental en tipificación de documentos</t>
  </si>
  <si>
    <t xml:space="preserve">rentas </t>
  </si>
  <si>
    <t>29/10/2025: Se soluciona la incidencia reportada en la validación documental para la tipificación DDEP</t>
  </si>
  <si>
    <t>REN_2025_07</t>
  </si>
  <si>
    <t>05/11/2025:Se brinda apoyo a rentas vitalicias en cuanto a la validación documental y unos errores que se estaban presentando con una tipología.</t>
  </si>
  <si>
    <t>SST_2025_012</t>
  </si>
  <si>
    <t>Soporte a Seguridad y Salud en el Trabajo - SST</t>
  </si>
  <si>
    <t>05/11/2025: Se brinda soporte en ALFASST, para la definición de actividades transversales</t>
  </si>
  <si>
    <t>Img_2025_020</t>
  </si>
  <si>
    <t>Soporte a Wilson Aponte</t>
  </si>
  <si>
    <t>05/11/2025: Se brinda soporte en el ambiente de pruebas de Imaginex para el proceso masivo de certificados</t>
  </si>
  <si>
    <t>Img_2025_021</t>
  </si>
  <si>
    <t>06/11/2025: Se clona maquina local y se genera export por solicitud de Wilson Aponte, para montar el ambiente en su maquina virtual.</t>
  </si>
  <si>
    <t>Img_2025_022</t>
  </si>
  <si>
    <t>Sin conexión</t>
  </si>
  <si>
    <t>06/11/2025: El dìa 06 de noviembre Mauricio no tuvo conexiòn debido al traslado de equipo fisico a otro punto. Por tanto, no pudo avanzar en requerimientos.</t>
  </si>
  <si>
    <t>SST_2025_013</t>
  </si>
  <si>
    <t>Validar incidencia en creaciòn de cronograma</t>
  </si>
  <si>
    <t>07/11/2025: Se brinda soporte a SST en el módulo Alfasst ya que presentaba incidencia en la creaciòn de una OD en el cronograma</t>
  </si>
  <si>
    <t>REN_2025_08</t>
  </si>
  <si>
    <t>07/11/2025: Se brinda soporte a Rentas Vitalicias ya que estaba presentando error en el cargue de unas imagenes.</t>
  </si>
  <si>
    <t>Img_2025_023</t>
  </si>
  <si>
    <t>Despliegue a producción</t>
  </si>
  <si>
    <t>Realizar paso a producciòn de 3 requerimientos de Previsionales</t>
  </si>
  <si>
    <t>09/11/2025: Se realiza despliegue de los modulos Inventario, Devoluciòn y Objeciones y ANS Devoluciones y Objeciones. El proceso arranco a las 11:00 am y finalizó a las 3:00 pm</t>
  </si>
  <si>
    <t>Img_2025_024</t>
  </si>
  <si>
    <t>Soporte a Wilson Aponte - Certificados Masivos</t>
  </si>
  <si>
    <t>Subir funcionalidad de certificados masivos</t>
  </si>
  <si>
    <t>11/11/2025: Se desplegó en el ambiente de pruebas de Imagine, nueva funcionalidad de generaciòn de certificados masivos.</t>
  </si>
  <si>
    <t>SST_2025_014</t>
  </si>
  <si>
    <t>Se requiere eliminar imagenes</t>
  </si>
  <si>
    <t>13/11/2025: El área de SST reportan que necesitan eliminar unos archivos que se adjuntaron a la OS amp-118-2025, que no corresponden a la misma. Se procede a dar gestión y solución.
Pendiente novedad que al momento del usuario eliminar no borró y lo lleva a la pestaña de adjunto.</t>
  </si>
  <si>
    <t>REN_2025_09</t>
  </si>
  <si>
    <t>Se requiere un ajuste para que muestre todos los beneficiarios de las rentas y no solo prioridad</t>
  </si>
  <si>
    <t>13/11/2025: Solicitan habilitar gestión de documentos para que muestre todos los documentos de todos los beneficiarios y no solo prioridad de unas rentas en particular, para unos temas de auditoría. Ya finalizada la auditoría se realizó actualización y reversión del ajuste.</t>
  </si>
  <si>
    <t>Img_2025_025</t>
  </si>
  <si>
    <t>Se requiere soporte para despliegue a producciòn y pruebas del modulo certificados masivos</t>
  </si>
  <si>
    <t>18/11/2025: Se brinda soporte a Wilson Aponte para bajar cambios de este modulo nuevo en producciòn y en pruebas. Durante el proceso se presento inconveniente con el repositorio debido a connection time out.</t>
  </si>
  <si>
    <t>SST_2025_015</t>
  </si>
  <si>
    <t>Validar incidencia reportada por el àrea en cierre de ordenes de servicio</t>
  </si>
  <si>
    <t xml:space="preserve">19/11/2025: El àrea reporta lentitud en el proceso de auditoria de prefactura, donde se generaba un error 500. Este error indicaba que el servidor se quedo sin espacio, lo que impedia finalizar o cerrar OS, se procede a dar soluciòn reubicando los soportes y actas a un disco con mas capacidad.
</t>
  </si>
  <si>
    <t>SST_2025_016</t>
  </si>
  <si>
    <t>Validar incidencia reportada por el àrea para el cargue de documentos por parte de los proveedores</t>
  </si>
  <si>
    <t>20/11/2025: Nos reportan incidencia en el cargue de los soportes por parte de los proveedores, por lo cual se procediò a corregir el tema debido a la contingencia reportada el dia anterior, no se tuvo en cuenta los permisos de carpeta, se corrige y se notifica al cliente.</t>
  </si>
  <si>
    <t>PRV_2025_034</t>
  </si>
  <si>
    <t>Informe Anexo 1</t>
  </si>
  <si>
    <t>Se requiere reajustar la vista del requerimiento</t>
  </si>
  <si>
    <t>20/11/2025: Se refactoriza script de anexo 1, acorde a lo enviado por el àrea para ser ajustadocon base a la lògica solicitada. Se realiza el ajuste pertinente , sin embargo se presenta inconsistencia con la informaciòn, en espera de respuesta del àrea para finalizar el tema.</t>
  </si>
  <si>
    <t>Img_2025_026</t>
  </si>
  <si>
    <t>Soporte modulo Imaginex</t>
  </si>
  <si>
    <t>Se requiere validaciòn en cambio de contraseña, arroja error</t>
  </si>
  <si>
    <t>21/11/2025: Se brindo apoyo para el cambio de contraseña a la Doc Claudia Vargas, ya que generaba error al redirigirla en la opciòn de cambiar la contraseña</t>
  </si>
  <si>
    <t>Img_2025_027</t>
  </si>
  <si>
    <t>20/11/2025: Se monta caso a tecnologia notificando que nos encontramos sin conexiòn con el repositorio. En horas de la tarde en sesiòn con Jenry Henao, nos manifesto que este inconveniente se presento debido a una falla en github, lo que impedia realizar Pull. Una vez restabecido el servicio, se procediò a desplegar los cambios en pruebas y producciòn.</t>
  </si>
  <si>
    <t>Img_2025_028</t>
  </si>
  <si>
    <t>Aviso de Incumplimiento</t>
  </si>
  <si>
    <t>Se require validar fechas de envio de notificaciones de aviso de incumplimiento</t>
  </si>
  <si>
    <t>25/11/2025: Llega solicitud que el envio masivo de incumplimiento esta llegando con fecha de pago incorrecta por lo cual nos solicitan corregir esto con base a los días hábiles de acuerdo a los rangos de los últimos dos dígitos del nit.
Se está analizando el codigo que realiza el proceso o si no aplicar funcionalidad para obtener los días hábiles de acuerdo a las reglas establecidas.</t>
  </si>
  <si>
    <t>PRV_2025_035</t>
  </si>
  <si>
    <t>Modulo Honorarios Jurídicos - Ajuste</t>
  </si>
  <si>
    <t>Validar incidencias y cambios de control que surgieron en sesiòn de pruebas UAT</t>
  </si>
  <si>
    <t xml:space="preserve">26/11/2025: En la sesión tenia con el cliente surgieron algunos temas de mejoras, se procedió a realizar los ajustes requeridos y se solucionaron los issus reportados.  
28/11/2025: se realiza sesión para revisar los temas propuestos en las sesiones pasadas, se realizan las pruebas satisfactoriamente, a excepción de dos cosas que no realizo cierre del mes de junio y se debe ajustar el campo rubro ya que hay formatos donde llega item-rubro. 
04/12/2025: Se tuvo reunión con el cliente para la realización de pruebas por parte de la funcionaria que realiza los pagos, y pidieron ajuste en los formatos de plus, sipren y tesoreria.
Se realizo el respectivo a ajuste. </t>
  </si>
  <si>
    <t>Img_2025_029</t>
  </si>
  <si>
    <t>Notificaciòn de Alto Flujo de Memoria Servidor de Pruebas</t>
  </si>
  <si>
    <t>Validar consumo de memoria</t>
  </si>
  <si>
    <t>28/11/2025: Se valida el servidor para identificar que proceso esta generando alto consumo de memoria y no se lograr evidenciar causa. Se solicita a tecnología que por favor que cuando se presente alto consumo, notificarnos con pantallazo del proceso que lo causa.</t>
  </si>
  <si>
    <t>SST_2025_017</t>
  </si>
  <si>
    <t>Plan de Trabajo ALFASST</t>
  </si>
  <si>
    <t>Validar cambios que se requieren para la elaboraciòn de Cronograma, generaciòn de OD</t>
  </si>
  <si>
    <t>01/12/2025: Se requiere que el plan de trabajo se pueda agendar las ordene de servicio por periodo y ajustar tarifa para que tenga parametrización mas como lo es temática.  El dia de hoy se analizara el requerimiento con el jefe de unidad.
02/12/2025: Se estuvo analizando este nuevo ajuste el módulo de plan de trabajo, donde se requieren varios ajustes al módulo en cuanto a parámetros, productos, cronogramas y validar si no afecta modulo de profesionales.   
03/12/2025: Se realizó acompañamiento al jefe de unidad en la construcción del mockup del modulo de productos  y afinando estos nuevos ajustes.
Posterior se tuvo reunión con el cliente, para mostrar los mockups de cómo va ir quedando los modulo y despejar dudas frente a estos nuevos cambios.</t>
  </si>
  <si>
    <t>Img_2025_030</t>
  </si>
  <si>
    <t>Correspondencia - Soporte</t>
  </si>
  <si>
    <t xml:space="preserve">03/12/2025: Se presenta issu en el cargue de archivos debido a que el sistema tiene limitado el cargue 2MB, por lo tanto, de aumenta tamaño a 5MB </t>
  </si>
  <si>
    <t>PRV_2025_036</t>
  </si>
  <si>
    <t>Soporte Previsionales</t>
  </si>
  <si>
    <t>Asignar permisos</t>
  </si>
  <si>
    <t>03/12/2025: Solicitan asignar nuevos permisos a dos integrantes a los modulos que actualmente maneja Blanca.</t>
  </si>
  <si>
    <t>SST_2025_018</t>
  </si>
  <si>
    <t>Plan de Trabajo ALFASST - Parámetros</t>
  </si>
  <si>
    <t>Validar parámetros</t>
  </si>
  <si>
    <t>05/12/2025: Se estuvo ajustando el módulo de productos, para que en los parametros de temáticas se puede asociar a un programa.
Para las actividades se les puede asociar un valor.</t>
  </si>
  <si>
    <t>PRV_2025_037</t>
  </si>
  <si>
    <t>Soporte Previsionales - Cambio de Contraseña</t>
  </si>
  <si>
    <t>Validar cambios de contraseña</t>
  </si>
  <si>
    <t xml:space="preserve">05/12/2025: Nos notifican que esta teniendo problemas con el cambio de contraseña, se realiza refactorización de url y se le notifica al cliente. </t>
  </si>
  <si>
    <t>SST_2025_019</t>
  </si>
  <si>
    <t>Plan de Trabajo ALFASST - Productos</t>
  </si>
  <si>
    <t>Validar Productos</t>
  </si>
  <si>
    <t>10/12/2025 y 11/12/2025:  Se inició el trabajo de refactorización del módulo de productos, enfocándose en todo el proceso de creación y modificación. Esto se debe al cambio en la estructura de datos: la anterior (programa, actividades, categoría y concepto) fue reemplazada por la nueva (programa, temática y actividades).
15/12/2025, 17/12/2025 y 18/12/2025: Continúa el proceso de refactorización en la creación y modificación de productos. Se está adaptando toda la lógica a la nueva estructura: pasando del modelo anterior (programa, actividades, categoría y concepto) al nuevo esquema de programa, temática y actividades.</t>
  </si>
  <si>
    <t>PRV_2025_038</t>
  </si>
  <si>
    <t>Validar de pagos y formatos</t>
  </si>
  <si>
    <t>16/12/2025: Se completaron los siguientes requerimientos:
        Parámetro de factura: Creación del campo para observaciones (solo modificable en periodo vigente). (100%)
        Plantilla SIPREN: Ajuste de formato (sin títulos, formatos de campo ni totales). (100%)
        Plantilla PLUS: Ajuste de formato (sin formatos de campo ni totales). (100%)
        Formato CSV: Configuración de salida SIPREN con separador ";" (punto y coma). (100%)
        Informe Tesorería: Se eliminó la validación del número de giro para permitir la gestión total de la información. (100%)
        Investigaciones: Análisis de viabilidad para control de cambios o Fase II. (PENDIENTE)
        Notificación de Cierre: Ajuste de la plantilla de correo (aplicativo, cantidad y valor). 
18/12/2025: Se llevó a cabo una sesión con el cliente para realizar la revisión y validación de los ajustes desarrollados en el módulo de Honorarios Jurídicos.</t>
  </si>
  <si>
    <t>PRV_2025_039</t>
  </si>
  <si>
    <t>Soporte y Gestòn</t>
  </si>
  <si>
    <t>Validar permisos</t>
  </si>
  <si>
    <t>12/12/2025: Se asignarán permisos de administrador a los funcionarios solicitados por el área de previsionales.
        Se realizará una reunión con el jefe de unidad para analizar y contextualizar temas solicitados.</t>
  </si>
  <si>
    <t>PRV_2025_040</t>
  </si>
  <si>
    <t>Soporte Previsionales - Modulo Dev y Objeciones</t>
  </si>
  <si>
    <t>Validar incidencias reportadas para el módulo de Devoluciones y Objeciones</t>
  </si>
  <si>
    <t xml:space="preserve">18/12/2025: Notificaciones: Se ajustó el envío masivo para que opere exclusivamente en días hábiles (lunes a viernes).
        Exportación: Se corrigió el generador de archivos (export); el despliegue a producción queda pendiente.
        Inventario: Se inició la validación de casos duplicados asociados al mismo siniestro.
</t>
  </si>
  <si>
    <t>Asignado</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</si>
  <si>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</si>
  <si>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</si>
  <si>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</si>
  <si>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</si>
  <si>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</si>
  <si>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</si>
  <si>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</si>
  <si>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</si>
  <si>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</si>
  <si>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</si>
  <si>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</si>
  <si>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</si>
  <si>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rFont val="Quattrocento Sans"/>
        <color theme="1"/>
        <sz val="11.0"/>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rFont val="Quattrocento Sans"/>
        <b/>
        <color theme="1"/>
        <sz val="11.0"/>
      </rPr>
      <t>*13/11/2024</t>
    </r>
    <r>
      <rPr>
        <rFont val="Quattrocento Sans"/>
        <color theme="1"/>
        <sz val="11.0"/>
      </rPr>
      <t xml:space="preserve"> se escala control de cambios a produccion MDSB-705441.</t>
    </r>
  </si>
  <si>
    <t>MDSB-683637 REQ Ajustes datos migración EPS-Davinci</t>
  </si>
  <si>
    <t>Ajustar Glosa  por procedimiento</t>
  </si>
  <si>
    <t>*29/10/2024 Continua con el desarrollo
*30/10/2024 Finalizado</t>
  </si>
  <si>
    <t>DANILO RAMIREZ</t>
  </si>
  <si>
    <t xml:space="preserve"> GD772-52 Eliminar envio de correo de notificación de tipologia</t>
  </si>
  <si>
    <r>
      <rPr>
        <rFont val="Quattrocento Sans"/>
        <color theme="1"/>
        <sz val="11.0"/>
      </rPr>
      <t>Para la tipologia "</t>
    </r>
    <r>
      <rPr>
        <rFont val="Quattrocento Sans"/>
        <b/>
        <color theme="1"/>
        <sz val="11.0"/>
      </rPr>
      <t>Creación O Cambio De Usuario Administrador Pagina Web - Ap</t>
    </r>
    <r>
      <rPr>
        <rFont val="Quattrocento Sans"/>
        <color theme="1"/>
        <sz val="11.0"/>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</si>
  <si>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</si>
  <si>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</si>
  <si>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</si>
  <si>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</si>
  <si>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</si>
  <si>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</si>
  <si>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</si>
  <si>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</si>
  <si>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</si>
  <si>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</si>
  <si>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</si>
  <si>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</si>
  <si>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</si>
  <si>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</si>
  <si>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</si>
  <si>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</si>
  <si>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</si>
  <si>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</si>
  <si>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</si>
  <si>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</si>
  <si>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</si>
  <si>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</si>
  <si>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</si>
  <si>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 xml:space="preserve">Seguimiento 28 Abril </t>
  </si>
  <si>
    <t>Seguimiento 28 Abril  2</t>
  </si>
  <si>
    <t>Column 4</t>
  </si>
  <si>
    <t>Column 5</t>
  </si>
  <si>
    <t xml:space="preserve">vulnerabilidades claudia </t>
  </si>
  <si>
    <t>07/04/2025: Pendiente de revisar; implica cambiar librerías como JavaScript o Bootstrap, lo que evaluará hoy para determinar viabilidad,Iniciara tan pronto finalice implementación de la Vulnerabilidad- Web Application Information Disclosure.
08/04/2025: Inicio
09/04/2025:Ayer finalizó y resolvió esta vulnerabilidad; todas las vulnerabilidades están cerradas por ahora.</t>
  </si>
  <si>
    <t xml:space="preserve">Se trabajaran alternando espacios con que permita la IA </t>
  </si>
  <si>
    <t xml:space="preserve">Pendiente cipres </t>
  </si>
  <si>
    <t xml:space="preserve">Paso a produccion 5 mayo </t>
  </si>
  <si>
    <t xml:space="preserve">finalizado 6 mayo </t>
  </si>
  <si>
    <t>Vulnerabilidades Retest</t>
  </si>
  <si>
    <t xml:space="preserve">02/04/2025: Inicia con la implementación 
03/04/2025:  Ayer comenzó esta vulnerabilidad, avanzó poco por otras tareas; hoy continuará trabajando en ella.  
04/04/2025: Unque avanzó bastante, la tarea aún no está finalizada. Hoy se continuará con ese objetivo.
07/04/2025 Finalizada en test
07/04/2025:  haciendo un cambio en Application error messages y subira  a test
08/04/2025: Finalizo implementación en test </t>
  </si>
  <si>
    <t xml:space="preserve">pendiente 2 vulnerabilidades se entrega hoy </t>
  </si>
  <si>
    <t xml:space="preserve">finaliado 6 mayo </t>
  </si>
  <si>
    <t xml:space="preserve">Vulnerabilidades Edgar </t>
  </si>
  <si>
    <t>25/03/2025: El viernes trabajó en esta vulnerabilidad, resolviendo varios detalles; estima terminarla hoy al mediodía y luego pasará a Lectura de Autorizaciones Médicas con IA.
26/03/2025: Ayer terminó esta vulnerabilidad y la subió a test; ya está resuelta, se realizaran pruebas y se subira a produccion.
28/03/2025: Subida a test el anteayer con pruebas listas; pendiente pasar a producción.  
31/03/2025: Se soliitara  crear una ventana para subirlo, se realizara  una solicitud  a Leydi Mayorga.
01/04/2025: falta pasar a producción; requiere reiniciar Apache (5 minutos), planeado para la noche para minimizar impacto.
03/04/2025: Listo en test, solo falta reiniciar Apache (segundos); lo hará hoy, preferiblemente en la noche para evitar interrupciones.
04/04/2025: Se aplicaron cambios relacionados con vulnerabilidades en Apache, pero no se reflejaron en producción, Hoy se hará validación para identificar el problema.
07/04/2025:No avanzó el viernes por priorizar Web Application Information Disclosure; hoy sacará tiempo para realizar la validación.
09/04/2025: Un se encuentra  pendiente validar el porque los cambios nose replicaron en produccion.
10/04/2025: Ayer tarde intentó cambios en los cifrados; funciona en test pero no en producción tras mucho tiempo invertido; lo dejará pendiente para buscar una solucion.</t>
  </si>
  <si>
    <t xml:space="preserve">MDSB-707440 </t>
  </si>
  <si>
    <t xml:space="preserve"> Portal reembolsos ARL</t>
  </si>
  <si>
    <t xml:space="preserve">Pausado por otras prioridades del negocio </t>
  </si>
  <si>
    <t xml:space="preserve">Todo este requerimiento es de Jairto </t>
  </si>
  <si>
    <t>Implementación de observacion  en la consulta de "Reconsideración Negativa de Servicios"</t>
  </si>
  <si>
    <t>28/01/2025 continua con la implementación del cargue y eliminación  de los archivos</t>
  </si>
  <si>
    <t xml:space="preserve">Relacionado con 440 jira </t>
  </si>
  <si>
    <t>Cambio de nombres en pensiones</t>
  </si>
  <si>
    <t>09/04/2025: Liyibet  pidió por correo ajustar nombres en pensiones; proponen una opción manual con rol (como Jesús hizo antes), evitando cambios manuales frecuentes; Jairo lo revisará.
10/04/2025: Hoy  ajustara por base de datos el registro solicitado por Liyibet  y quedara pendiente la implementación de la opcion automatica para la autogestion.
11/04/2025: no lo ha hecho por no encontrar el correo; lo reenvían hoy para avanzar con un update. 
14/04/2025: Hoy realizo modificacion solicitada, quedara pendiente la implementación de la opcion automatica para la autogestion.</t>
  </si>
  <si>
    <t>Confirguración de Tipología internacional (dudas).</t>
  </si>
  <si>
    <t>04/04/2025: Hoy continuara  con la confirguración de la tipologia.
07/04/2025: No trabajó en esto el viernes por otros temas; hoy configurará consultas y evaluará si se puede copiar o ajustar
09/04/2025: Ayer finalizó y pasó a test; listo para que Santiago inicie pruebas; incluye ajustes de fase 1 y 2 de reembolsos (dudas, retoma, informe).
10/04/2025: Santiago aprueba  paso a produccion, se estima pasarlo  junto  con el req GD772-61.
11/04/2025: Pendiente  realizar paso a produccion.
14/04/2025:Realizo paso a produccion hoy en la  mañana.</t>
  </si>
  <si>
    <t>Gestión de glosas y anticipos (Se identificaron errores por glosas parciales enviadas sin completar el flujo de anticipos)</t>
  </si>
  <si>
    <t>MDSB-797891</t>
  </si>
  <si>
    <t>04/04/2025: Se propuso agregar un botón de confirmación para validar el monto con el usuario antes de enviar la diferencia al centralizador contable, Iniciara al finalizar la Confirguración de Tipología internacional (dudas).
07/04/2025:Bolivat debera  radicar un jira con los  cambios requeridos.</t>
  </si>
  <si>
    <t xml:space="preserve">Hoy se pasa a produccion el comando </t>
  </si>
  <si>
    <t xml:space="preserve">pendiente pasar a produccion </t>
  </si>
  <si>
    <t xml:space="preserve">Finalizado viernes 2 Mayo </t>
  </si>
  <si>
    <t xml:space="preserve">MDSB-791997 </t>
  </si>
  <si>
    <t>Listado solicitudes 1de enero de 2024 al 31 de marzo de 2024</t>
  </si>
  <si>
    <t>04/04/2025: Bolivar requiere listado del total de solicitudes tramitadas por imagine mensualmente de 1de enero de 2024 al 31 de marzo de 2024, Continuara despues de  finalizar GD772-84 Comunicaciones gestión de aportes sin afiliacion 
09/04/2025: Ayer creó un query para contar casos por origen (masivos, portales, etc.) para ARL (nativo, medicamentos, incapacidades, fallos); Jairo ejecutó uno y dará tabla de fallos; sigue pendiente para incapacidades y medicamentos. 
10/04/2025: Ayer avanzó en query  para casos por origen; falta la tabla de fallos (Jairo la proporcionará hoy);  
14/04/2025: Se envia  informe solicitado  por Bolivar.</t>
  </si>
  <si>
    <t>Consulta de estado del CUPS en la malla</t>
  </si>
  <si>
    <t>10/04/2025: Se sugiere implementar consulta directa del estado del CUPS (activo/inactivo) en la vista de carga, incluyendo usuario y fecha de inactivación. Se puede reutilizar la función existente.</t>
  </si>
  <si>
    <t>GD772-84</t>
  </si>
  <si>
    <t>Comunicaciones gestión de aportes sin afiliacion (masivos)</t>
  </si>
  <si>
    <t>02/04/2025: Iniciara  tan pronto finalice GD772-92 - Malla CUPS en Nativo
03/04/2025: Iniciara hoy con el desarrollo.
04/04/2025: avanzó en la implementación para leer una segunda hoja de los archivos Excel de masivos, hoy se continuará con el armado de la respuesta y se realizarán pruebas en la tarde.
07/04/2025: El viernes probó con Fabio dos PDFs nuevos para masivos; funcionó bien, pero las plantillas están quemadas; hoy ajustarán un editor dinámico para plantillas y corregirán detalles menores, evaluando paso a producción. 
09/04/2025: Ayer corrigió fechas en PDFs para dos tipologías; listo en test para pruebas del cliente, pendiente paso a producción.
10/04/2025: Se realizara entrega al cliente  hoy.
11/04/2025: En pruebas con el cliente se presentó un hallazgo: el sistema tomó el mismo comunicado para las dos tipologías, cuando cada una debe tener un comunicado diferente. Se validará, ya que este error no ocurrió en pruebas previas.
14/04/2025 Realizara  validción y ajuste  del hallazgo de las  pruebas realizadas el 10 de Abril con el  cliente.
14/04/2025:Se realizan ajustes, se remite al cliente para pruebas y aprueba paso a produccion.</t>
  </si>
  <si>
    <t xml:space="preserve">GD772-95 </t>
  </si>
  <si>
    <t>MONTOS MINIMO GLOSA</t>
  </si>
  <si>
    <t xml:space="preserve">10/04/2025: Se plantea restricción para glosas parciales menores a $6.000. Se mostrará mensaje al usuario y se bloqueará si no cumple con el mínimo.
11/04/2025: Implementado en local (mensaje para glosas parciales &lt; 6.000 pesos); hoy lo pasará a producción tras pruebas en test.
14/04/2025: Requerimiento en test
14/04/2025: Se realiza pasoa produccion. </t>
  </si>
  <si>
    <t xml:space="preserve">GD772-96  </t>
  </si>
  <si>
    <t>VALOR RIPS</t>
  </si>
  <si>
    <t xml:space="preserve">10/04/2025: Hoy implementará que los campos de valor en JSON (ValorServices) sean mayores a cero en el portal, evitando RIPS en cero; tarea rápida de la mañana.
11/04/2025: Implementado en local (valor &gt; 0 en ValorServices); hoy lo pasará a producción tras pruebas en test.
14/04/2025: Requerimiento en test
14/04/2025: Se realiza  paso a produccion </t>
  </si>
  <si>
    <t xml:space="preserve">GD772-97 </t>
  </si>
  <si>
    <t>BOTON ENVIO PAGO DE FACTURAS RESPUESTA A GLOSA PARA EPS</t>
  </si>
  <si>
    <t>11/04/2025:  No lo entiende; pendiente de aclaración con el usuario para avanzar
14/04/2025:Se realiza paso a produccion.</t>
  </si>
  <si>
    <t>GD772-98</t>
  </si>
  <si>
    <t xml:space="preserve"> FACTURA PAGO ANTICIPO EPS</t>
  </si>
  <si>
    <t xml:space="preserve">11/04/2025: Implementado en local; hoy lo pasará a producción tras pruebas en test.  
14/04/2025: Requerimiento en test
14/04/2025: Se realiza paso a producción </t>
  </si>
  <si>
    <t>MDSB-796714</t>
  </si>
  <si>
    <t xml:space="preserve"> . JIRA SERVIENTREGA </t>
  </si>
  <si>
    <t>jESUS PEÑA</t>
  </si>
  <si>
    <t>MDSB-729146</t>
  </si>
  <si>
    <t xml:space="preserve">Jiras dia a dia </t>
  </si>
  <si>
    <t>MDSB-764755</t>
  </si>
  <si>
    <t>MDSB-765184</t>
  </si>
  <si>
    <t>MDSB-780326</t>
  </si>
  <si>
    <t>MDSB-781420</t>
  </si>
  <si>
    <t>MDSB-788689</t>
  </si>
  <si>
    <t>MDSB-793360</t>
  </si>
  <si>
    <t>MDSB-792179</t>
  </si>
  <si>
    <t>Interno</t>
  </si>
  <si>
    <t xml:space="preserve">Publicación informe analitica  en nativo </t>
  </si>
  <si>
    <t xml:space="preserve">Se realizo ajuste en prod el vienres </t>
  </si>
  <si>
    <t>MDSB-803317</t>
  </si>
  <si>
    <t xml:space="preserve">Error de recobros (Consulta Masiva de Soportes) </t>
  </si>
  <si>
    <t xml:space="preserve">Se subió a produccion en la mañana el ajuste </t>
  </si>
  <si>
    <t xml:space="preserve">Control para casos anulados en trazabilidad </t>
  </si>
  <si>
    <t xml:space="preserve">Control para casos sin usuario radicacion </t>
  </si>
  <si>
    <t>WILSON APONTE</t>
  </si>
  <si>
    <t xml:space="preserve">Interno </t>
  </si>
  <si>
    <t xml:space="preserve">Analitica de factura de cuentas medicas </t>
  </si>
  <si>
    <t xml:space="preserve">Se entregó el 8 de mayo </t>
  </si>
  <si>
    <t>Informe de RIPS (soporte)</t>
  </si>
  <si>
    <t xml:space="preserve">Se iniicia soporte </t>
  </si>
  <si>
    <t xml:space="preserve">finalizado el 5 mayo </t>
  </si>
  <si>
    <t>FABIO FORERO</t>
  </si>
  <si>
    <t>Manual MDSB-707440 - Portal Reembolsos ARL</t>
  </si>
  <si>
    <t>05/03/2025: Se iniciara al finalizar  Prueba en test GD772-82 Tipología sin flujo de radicación sisalud.</t>
  </si>
  <si>
    <t xml:space="preserve">Reemplazo negocio Proteccion </t>
  </si>
  <si>
    <t>Medio dia dedicado a proteccion, lo demas bolivar responsive</t>
  </si>
  <si>
    <t>Se tiene previsto avanzar lo máximo posible en Protección y luego retomar el nuevo requerimiento relacionado con autorizaciones médica</t>
  </si>
  <si>
    <t>Termino documentación  y seguimiento, Aunque se ha avanzado en el tema de protección, no se da por cerrado, ya que surgen casos constantemente. Ayer no se reportaron incidentes nuevos, pero en los días anteriores sí hubo, por lo cual se mantendrá como una tarea en proceso hasta que Alejandro retome la responsabilidad.</t>
  </si>
  <si>
    <t>Se trabajara en casos de protección que surjan</t>
  </si>
  <si>
    <t>La gestión  fue retomada por Alejandro desde el martes. No se han realizado más acciones sobre este tema desde el viernes 16 de mayo anterior, por lo que se da por cerrado el soporte temporal.</t>
  </si>
  <si>
    <t xml:space="preserve">Ajuste validación un cero al inicio en la lectura de IA CUPS </t>
  </si>
  <si>
    <t xml:space="preserve">Se entrega el dia de hoy </t>
  </si>
  <si>
    <t>Se confirma que el ajuste implementado el viernes  9 de mayo fue desplegado exitosamente en producción hacia las 6:00 p.m.</t>
  </si>
  <si>
    <t>Corrección de vulnerabilidad en la consulta de solicitudes ARL</t>
  </si>
  <si>
    <t>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</si>
  <si>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t>El  14 de mayo,Se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</si>
  <si>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r>
      <rPr>
        <rFont val="Quattrocento Sans"/>
        <b/>
        <color rgb="FF1155CC"/>
        <sz val="10.0"/>
        <u/>
      </rPr>
      <t>GD772-102</t>
    </r>
  </si>
  <si>
    <t>Bolivar da visto bueno para  pasar a produccion.</t>
  </si>
  <si>
    <t xml:space="preserve">El 12 de mayo  se realizo paso a produccion </t>
  </si>
  <si>
    <t>MDSB-809245</t>
  </si>
  <si>
    <t>Jira dia a dia ( Generar informe tipologias 10007, 10008, 10581 de pensiones</t>
  </si>
  <si>
    <t>Iniciara  con la generación del informe por DB</t>
  </si>
  <si>
    <t>Informe generado 13 de mayo y enviado  14 de mayo</t>
  </si>
  <si>
    <t>jeSUS PEÑA</t>
  </si>
  <si>
    <t>MDSB-792259</t>
  </si>
  <si>
    <t>Jira dia a dia ( Generar informe de casos radicados inicialmente bajo la tipología “Otro tipo de solicitud”</t>
  </si>
  <si>
    <t>Informe generado y enviado  13 de mayo</t>
  </si>
  <si>
    <r>
      <rPr>
        <rFont val="Roboto"/>
        <color rgb="FF1155CC"/>
        <sz val="9.0"/>
        <u/>
      </rPr>
      <t>GD772-81</t>
    </r>
  </si>
  <si>
    <t xml:space="preserve">Calificador automático (Ajuste de carta de respuesta) </t>
  </si>
  <si>
    <t>subira a test para  pruebas</t>
  </si>
  <si>
    <t>El viernes 16 de mayo  Se subieron a test varios ajustes, incluyendo el PDF de salida para nueve tipologías distintas, no solo una. También se configuró el administrador de cartas, permitiendo edición según cada tipología</t>
  </si>
  <si>
    <t>MDSB-786579</t>
  </si>
  <si>
    <t xml:space="preserve"> No permite enlazar tipologías (Nativo</t>
  </si>
  <si>
    <t xml:space="preserve">Inicia validación </t>
  </si>
  <si>
    <t>MDSB-812125</t>
  </si>
  <si>
    <t>Error en generación de cartas no furat (Nativo)</t>
  </si>
  <si>
    <t>Se realiza validación con la usuaria y se identifica una carta adicional creada en el administrador que no permitia que el  proceso tomara la  carta correcta, se inactiva la  carta y se espera que el  usuario realice pruebas y nos confirme que ha quedado correcto.</t>
  </si>
  <si>
    <t>El 20 de Mayo  lLeidy mayorga confirma que la  carta se esta generando bien.</t>
  </si>
  <si>
    <t>interno</t>
  </si>
  <si>
    <t>Validar funcionamiento listas blancas en test</t>
  </si>
  <si>
    <t>Iniciara con la Validación  hoy</t>
  </si>
  <si>
    <t>Se solucionó un error que impedía el correcto funcionamiento de listas blancas en ambiente de pruebas</t>
  </si>
  <si>
    <t>Adicionar sleep(1) en la DB en Nativo</t>
  </si>
  <si>
    <t xml:space="preserve">Ya lo tiene  creado  en local  para   subir a produccion  </t>
  </si>
  <si>
    <t>El 22  de mayo se  subio s produccion La instrucción sleep(1) se implementó para mitigar problemas de duplicación de actividades. Sin embargo, se detectó que otras funciones también abren/cierra casos</t>
  </si>
  <si>
    <t>MDSB-818098</t>
  </si>
  <si>
    <t>Jira solicitud de información(Informe seguimiento x actividades)</t>
  </si>
  <si>
    <t>Se genero informe a partir de una solicitud JIRA. El informe ya está elaborado, pero requiere apoyo para su generación final.</t>
  </si>
  <si>
    <t>MDSB-814988</t>
  </si>
  <si>
    <t>jiras dia a dia (Ajustar roll usuario 1024539753)</t>
  </si>
  <si>
    <t>MDSB-818156</t>
  </si>
  <si>
    <t>jiras dia a dia (Ajustar roll usuario 1082157117)</t>
  </si>
  <si>
    <t>Cerrar trazabilidad de Tipologias cierre automatico</t>
  </si>
  <si>
    <t>Realizara hoy el cierre</t>
  </si>
  <si>
    <t>MDSB-812348</t>
  </si>
  <si>
    <t>Jiras dia a dia ( Generacion de  informe  formato at 031 año 2024</t>
  </si>
  <si>
    <t>Informe generado y enviado al usuario</t>
  </si>
  <si>
    <t>GD772-104</t>
  </si>
  <si>
    <t>campos glosa aceptada y glosa conciliacion (pend JIRA)</t>
  </si>
  <si>
    <t>MDSB-803316</t>
  </si>
  <si>
    <t>MDSB-814807</t>
  </si>
  <si>
    <t xml:space="preserve">Se debe revisar el error de los campos de tamaño,  sin eso no se puede avanzar este req, ya se encuentra proximo a test </t>
  </si>
  <si>
    <t xml:space="preserve">Se entrega para TEST miercoles 30 abril </t>
  </si>
  <si>
    <t xml:space="preserve">Se pausó para soporte de informe RIPS </t>
  </si>
  <si>
    <t>Se realizaron ajustes solicitados relacionados con los campos de GLOSA, específicamente desde la línea 39. También se atendieron solicitudes de cambios adicionales</t>
  </si>
  <si>
    <t>se han aplicado algunos cambios solicitados en Campus Glossa, los cuales ya están en ambiente de pruebas. Solo se espera la validación final por parte del equipo solicitante, Adicional se está revisando si ese orden de la carta solicitado se encuentra implementado correctamente o si requiere ajustes.</t>
  </si>
  <si>
    <t>Se solicita control  de cambios a produccion MDSB-814807</t>
  </si>
  <si>
    <t>aún se está esperando el Jira MDSB-814807, se requiere aprobación por parte de varios actores</t>
  </si>
  <si>
    <t>El control de cambios se encuentra pendiente por aprovación de Juan David Leon, se estima la aprovación  hoy  para que sea incluido en comite de cambios digitales
*Control de cambios aprobado y ejecutado 21 de mayo a las 4pm.</t>
  </si>
  <si>
    <t>El desarrollo fue pasado a producción e incluye los nuevos campos solicitados. Sin embargo, el informe presenta limitaciones si existen más de tres Glosas, por lo que se propuso desarrollar un nuevo informe más claro y funcional.</t>
  </si>
  <si>
    <t>INTERNO</t>
  </si>
  <si>
    <t>Botón para radicación directa de nota crédito</t>
  </si>
  <si>
    <t>Se propuso automatizar la radicación de notas crédito mediante un botón que simplifique el proceso repetitivo. El desarrollo aún no ha iniciado, pero se estima de rápida implementación.</t>
  </si>
  <si>
    <t>ya está en producción y deben ser mostradas a los usuarios.(John)</t>
  </si>
  <si>
    <t>Validación informe general ARL-prd</t>
  </si>
  <si>
    <t>El informe presenta demoras al abrirse en Excel debido al alto volumen de registros. Se recomendó reducir el rango de fechas a 15 días y exportar en formato CSV para evitar bloqueos del sistema y mejorar el rendimiento.</t>
  </si>
  <si>
    <t>IIniciara hoy con la validación del imforme</t>
  </si>
  <si>
    <t>26 de Mayo finalizza ajuste del informe cambiando el formato de descarga a .csv, haciendo mas ligera la generación y apertura del informe.</t>
  </si>
  <si>
    <t xml:space="preserve">MDSB-794658
</t>
  </si>
  <si>
    <t>jira dia a dia ( No muestra infromación actualizada en consulta de autorizaciones)</t>
  </si>
  <si>
    <t>Se ajusta el limit de la consulta</t>
  </si>
  <si>
    <t>Apertura de flujo  caso 38929896 (Nativo Dictamen Jrci)</t>
  </si>
  <si>
    <t>El 29 de Mayo se realiza apertura del fllujo ya que el caso habia quedado con una sola actividad.</t>
  </si>
  <si>
    <t>MDSB-822809</t>
  </si>
  <si>
    <t>Jira dia a dia ( Descarga soportes AT 031 y AT 028)</t>
  </si>
  <si>
    <t>Se  implementara una  consulta para realizar  la descarga de los soportes  ya que son demasioado pesados.</t>
  </si>
  <si>
    <t xml:space="preserve">Buscar Tabla Log de calificación  </t>
  </si>
  <si>
    <t xml:space="preserve"> Jesús debe ubicar la tabla y realizar una consulta select para continuar con esta tarea, Falizada hoy 
</t>
  </si>
  <si>
    <t>Nuevos datos de ordenes medicas  con IA (Adicion de campos  informe cups)</t>
  </si>
  <si>
    <t>***</t>
  </si>
  <si>
    <t>Está en ambiente de prueba; faltan dos columnas cuya fuente debe identificarse</t>
  </si>
  <si>
    <t>El 5 de junio se realizan prueba y ajustes de los hallazgo en test, hoy realizara  despliegue a produccion</t>
  </si>
  <si>
    <t>Los Ajustes del  informe se pasaron a produccion el 6 de Junio.</t>
  </si>
  <si>
    <r>
      <rPr>
        <rFont val="Quattrocento Sans"/>
        <b/>
        <color rgb="FF1155CC"/>
        <sz val="10.0"/>
        <u/>
      </rPr>
      <t>GD772-88</t>
    </r>
  </si>
  <si>
    <t>Requerimiento gestión Medicamentos fase 2 - Sprint 1</t>
  </si>
  <si>
    <t xml:space="preserve">inicia requerimiento </t>
  </si>
  <si>
    <t xml:space="preserve">Se entrega para hoy </t>
  </si>
  <si>
    <t xml:space="preserve">Jesus subio a justes  a test 9 de mayo,  Fabio iniciara pruebas
</t>
  </si>
  <si>
    <t>Jesus realiza ajustes de hallazgos evidenciados en las  pruebas, se realizara validación de los ajustes  y realizar entrega al cliente hoy.</t>
  </si>
  <si>
    <t>En sesion de seguimiento con Bolivar confirman paso a produccion</t>
  </si>
  <si>
    <t>Se programa paso a produccion para  hoy en la tarde (5 pm)</t>
  </si>
  <si>
    <t xml:space="preserve">Se realiza paso a produccion </t>
  </si>
  <si>
    <t>MDSB-827826</t>
  </si>
  <si>
    <t>Jira dia a dia (Modificación texto carta comunicaciones masivas)</t>
  </si>
  <si>
    <t xml:space="preserve">El 10 de junio se realiza ajuste de las cartas por base de datos </t>
  </si>
  <si>
    <t>Vulnerabilidad, CVE-2017-18214 (Moment.js) – ReDoS al procesar cadenas de fecha maliciosas (&lt; v2.19.3)</t>
  </si>
  <si>
    <t>Permite ataques DoS por expresiones regulares (ReDoS) al manejar fechas especialmente diseñadas en Moment.js para Node.js</t>
  </si>
  <si>
    <t>Se actualizó a la versión 2.29.4 para corregir la vulnerabilidad</t>
  </si>
  <si>
    <t>Vulnerabilidad,CVE-2017-18214 (Linux Kernel) – Error en el subsistema DCCP del kernel de Linux</t>
  </si>
  <si>
    <t>Vulnerabilidad distinta con mismo identificador CVE, afecta al kernel de Linux y no está relacionada con Moment.js.</t>
  </si>
  <si>
    <t>Se cierre vulnerabilidad debido a que la  Versión de kernel es superior (5.15.0-1084-aws)</t>
  </si>
  <si>
    <t xml:space="preserve">Analitica de factura de cuentas medicas  (ingresar en el portal de yii)  ArL </t>
  </si>
  <si>
    <t xml:space="preserve">Pendiente hasta que lo active wilson </t>
  </si>
  <si>
    <t xml:space="preserve">Se inica dado que wilson ya entregó informe </t>
  </si>
  <si>
    <t>confirma estar trabajando en el portal. Comenta que durante el jueves y viernes estuvo enfocado principalmente en el informe elaborado por Wilson, sin embargo, encontró errores que ya fueron comunicados a Wlson, los cuales parecen estar relacionados con cambios que sufrió el informe después de haber comenzado su desarrollo</t>
  </si>
  <si>
    <t>El script que estaba utilizando Wilson se encuentra desactualizado respecto a la nueva estructura del informe. Es importante actualizar el script o definir un responsable para garantizar compatibilidad y evitar errores de ejecución.</t>
  </si>
  <si>
    <t>SE indicó por correo que el desarrollo estaba listo para subir, pero al hacerlo se detectaron errores. Aún no se ha recibido respuesta posterior de Wilson, posiblemente porque está involucrado en otros temas.</t>
  </si>
  <si>
    <t>Realizara validación e informara a Jairo cuando este listo.</t>
  </si>
  <si>
    <t>Wilson entrega  informe en HTML con imágenes a Jiaro, pero presenta inconvenientes técnicos para su visualización correcta. Se requiere solución que permita mostrar el contenido de forma segura e integrada.</t>
  </si>
  <si>
    <t xml:space="preserve"> El 23 de Mayo inició la revisión del informe de analítica de facturas de cuentas médicas en el portal Yii de la ARL, basado en el trabajo de Wilson, pero no alcanzó a completarla.</t>
  </si>
  <si>
    <t>No se han realizado avances en este requerimiento. Continúa pendiente de priorización frente a otras tareas.</t>
  </si>
  <si>
    <t xml:space="preserve">Aún no se ha retomado este requerimiento. Se planea revisarlo tan pronto como sea posible.
</t>
  </si>
  <si>
    <t>Se retomará el desarrollo durante la mañana de hoy. El objetivo es mostrar resultados concretos en esta jornada</t>
  </si>
  <si>
    <t xml:space="preserve">No se ha retomado el desarrollo. Se planea continuar una vez finalizado la  Mejora informe glosa req GD772-104
</t>
  </si>
  <si>
    <t>Ya fue desplegada en producción desde el 17 de junio. Pendiente revisión con el cliente (actualmente en vacaciones).</t>
  </si>
  <si>
    <t>MDSB-820704</t>
  </si>
  <si>
    <t>Jira dia a dia Error en generación informe mail 472 (Prefactura)</t>
  </si>
  <si>
    <t>En cola de trabajo</t>
  </si>
  <si>
    <t>Retomara validación de la incidencia</t>
  </si>
  <si>
    <t>Se identifica que el problema fue causado por un valor en el campo direccion_destino, donde la descripción de la dirección incluía un punto y coma (;) como parte del texto, Se añadió una codificación UTF-8 al tratamiento del texto, permitiendo omitir o interpretar correctamente el punto y coma, evitando así el desbordamiento de columnas al momento de cargar el archivo .csv</t>
  </si>
  <si>
    <t xml:space="preserve">Jira dia a dia Marcar como envio certificado tipologia  10665 Solicitud paz y salvo prestadores asistenciales. </t>
  </si>
  <si>
    <t>Se realiza maracación solicitada para la tipologia 10665 Solicitud paz y salvo prestadores asistenciales.</t>
  </si>
  <si>
    <t>Automatización de notas crédito</t>
  </si>
  <si>
    <t>Se implementó automatización basada en lectura del XML para reconocer y anular automáticamente notas crédito. Ya se encuentra  en producción desde el  17 de Junio.</t>
  </si>
  <si>
    <t>F. estimada de entrea</t>
  </si>
  <si>
    <t>VULNERABILIDADES ALTAS</t>
  </si>
  <si>
    <t>Cross site scripting</t>
  </si>
  <si>
    <t>*01/10/2024 Se encuentra en pruebas en test 
*02/10/2024 desplegado a  produccion el 1de octubre</t>
  </si>
  <si>
    <t>Arbitrary file upload</t>
  </si>
  <si>
    <t>*01/10/2024 Se encuentra en pruebas en test 
*01/10/2024 desplegado a  produccion.</t>
  </si>
  <si>
    <t>VULNERABILIDADES MEDIAS</t>
  </si>
  <si>
    <t>Database Error Message Disclosure</t>
  </si>
  <si>
    <t>*02/10/2024 finalizado</t>
  </si>
  <si>
    <t>Application error messages</t>
  </si>
  <si>
    <t>Development configuration files</t>
  </si>
  <si>
    <r>
      <rPr>
        <rFont val="Segoe UI"/>
        <b/>
        <color theme="1"/>
        <sz val="10.0"/>
      </rPr>
      <t>MDSB-679569</t>
    </r>
    <r>
      <rPr>
        <rFont val="Segoe UI"/>
        <color theme="1"/>
        <sz val="10.0"/>
      </rPr>
      <t xml:space="preserve"> No estan ingresando casi casos a la bandeja de con Externa y Crónicos.</t>
    </r>
  </si>
  <si>
    <t>*02/10/2024 Validar estadistico y no se evidencia intermitencia en el servicio.</t>
  </si>
  <si>
    <t>Cargue masivo de imágenes a casos reportados por John</t>
  </si>
  <si>
    <r>
      <rPr>
        <rFont val="Quattrocento Sans"/>
        <color theme="1"/>
        <sz val="10.0"/>
      </rPr>
      <t>*</t>
    </r>
    <r>
      <rPr>
        <rFont val="Segoe UI"/>
        <b/>
        <color theme="1"/>
        <sz val="10.0"/>
      </rPr>
      <t>02/10/2024, las imágenes se encuentran en una maquina local  se debe validar la forma de como pasarlas al  servidor</t>
    </r>
  </si>
  <si>
    <t>Validar creacion de plantillas de respuesta en nativo salud</t>
  </si>
  <si>
    <t>PRUEBAS</t>
  </si>
  <si>
    <t>* 02/10/2024 Realizando pruebas en local.</t>
  </si>
  <si>
    <t>JHOAN QUICENO</t>
  </si>
  <si>
    <t xml:space="preserve">MDSB-679787  Error cargue Constitución en Mora </t>
  </si>
  <si>
    <t>*03/10/2024 Se realiza despliegue a  produccion.</t>
  </si>
  <si>
    <t>Ausencia de control de peticiones</t>
  </si>
  <si>
    <t xml:space="preserve">*03/10/2024 Pendiente paso a produccion </t>
  </si>
  <si>
    <t>Enumeración de usuarios</t>
  </si>
  <si>
    <t>MDSB-665946 La lista blanca no esta tomando las IP</t>
  </si>
  <si>
    <t>*03/10/2024 se validara con Jenry la incidencia 
*04/10/2024 Se debe escalar a seguridad.</t>
  </si>
  <si>
    <t>GD772-39-incluir registro histórico de incapacidades por CC en bandeja de pendientes de cada analista</t>
  </si>
  <si>
    <t>*04/10/2024 Jose da el go para el paso a produccion,
*04/10/2024 Se realiza  paso a producción.</t>
  </si>
  <si>
    <t>https://github.com/Imaginesas/bolivar/compare/master...hotfix/anadirBotonCedulas</t>
  </si>
  <si>
    <t xml:space="preserve">Dar respuesta  al jira </t>
  </si>
  <si>
    <t xml:space="preserve">*04/10/2024 Se da respuesta al caso </t>
  </si>
  <si>
    <t xml:space="preserve">ENVIO DE ADJUNTOS DE ORDENES AFI </t>
  </si>
  <si>
    <t>No envia los adjuntos en el primer envio</t>
  </si>
  <si>
    <t>*04/10/2024 se agregó un delayed de 1 segundo para darle el tiempo que necesita el disco en reconstruir la imagen.</t>
  </si>
  <si>
    <t>Casos  que no se no se encuentra el  adjunto</t>
  </si>
  <si>
    <t>ADJUNTAR DOCUMENTOS PORTAL SALUD (Reembolsos)</t>
  </si>
  <si>
    <t>Agregar ipload para el cargue documentos por el  usuario y reabra los casos</t>
  </si>
  <si>
    <t>03/10/2024; reabrir casos
*04/10/2024 Cambios en test  para  pruebas.
07/10/2024 pruebaS.</t>
  </si>
  <si>
    <t>Requerimiento salud nativo</t>
  </si>
  <si>
    <t>Ajustar creación y edición de tipologías por un roll en específico</t>
  </si>
  <si>
    <t>EN PRUEBAS</t>
  </si>
  <si>
    <r>
      <rPr>
        <rFont val="Quattrocento Sans"/>
        <color theme="1"/>
        <sz val="10.0"/>
      </rPr>
      <t>* 02/10/2024 creacion de  un super roll  y se solicitara control de cambios a test</t>
    </r>
    <r>
      <rPr>
        <rFont val="Segoe UI"/>
        <b/>
        <color theme="1"/>
        <sz val="10.0"/>
      </rPr>
      <t>.
* 03/10/2024 controles de cambios MDSB-680626 y MDSB-680647 ejecutados correctamente, Se realizara despliegue a test para pruebas.</t>
    </r>
  </si>
  <si>
    <t>Corrección en la creación y actualización de usuarios por cada negocio en administracion de usuarios</t>
  </si>
  <si>
    <r>
      <rPr>
        <rFont val="Segoe UI"/>
        <b val="0"/>
        <color theme="1"/>
        <sz val="10.0"/>
      </rPr>
      <t>*02/10/2024, se subiran los ajustes  pendientes reportados en las pruebabas del 26 de septiembre</t>
    </r>
    <r>
      <rPr>
        <rFont val="Segoe UI"/>
        <b/>
        <color theme="1"/>
        <sz val="10.0"/>
      </rPr>
      <t>.
*03/10/2024 Se programara sesion para  validar los ajustes.</t>
    </r>
  </si>
  <si>
    <t>Administracion menu</t>
  </si>
  <si>
    <t xml:space="preserve">*04/10/2024 en test para  pruebas </t>
  </si>
  <si>
    <t>JOHN ROLON</t>
  </si>
  <si>
    <t>Paso de imágenes al servidor</t>
  </si>
  <si>
    <r>
      <rPr>
        <rFont val="Segoe UI"/>
        <b val="0"/>
        <color theme="1"/>
        <sz val="10.0"/>
      </rPr>
      <t>*02/10/2024 Validar la  forma de pasar las  imágenes al servidor.</t>
    </r>
    <r>
      <rPr>
        <rFont val="Segoe UI"/>
        <b/>
        <color theme="1"/>
        <sz val="10.0"/>
      </rPr>
      <t xml:space="preserve">
* 03/10/2024 Se realizara validacion  hoy.
*04/10/2024 se cargan 651 casos, quedan pendinetes 81 imágenes por  procesar por falta del numero de caso.</t>
    </r>
  </si>
  <si>
    <t>Ajustar visualizacion de Actividades, informacion caso internet y visor de imágenes, no se activan al  radicar  un caso.</t>
  </si>
  <si>
    <t>Realizar pruebas en test</t>
  </si>
  <si>
    <t xml:space="preserve">*04/10/2024 Se evidencia hallazgo en el borrado de plantillas y queda pendiente la validacion de las plantillas en gestion del caso.
*07/10/2024 a un no se ha desplegado el ajuste a test 
*07/10/2024 Las plantillas de no salen en gestion de caso </t>
  </si>
  <si>
    <t>Error 500 al consultar CC del radicado 30890192</t>
  </si>
  <si>
    <t>*08/10/2024 Revisar log de errores
*08/10/2024 Error producido por una modficación erronea de la fecha inc de la incapacidad.</t>
  </si>
  <si>
    <t xml:space="preserve">Ajustes visuales en la vista de gestión </t>
  </si>
  <si>
    <t>*08/10/2024 Se realizara paso a test para pruebas con Jenry</t>
  </si>
  <si>
    <t>Validar creación de plantillas de respuesta en nativo salud</t>
  </si>
  <si>
    <t>Validación de error al borrar plantillas</t>
  </si>
  <si>
    <t xml:space="preserve">*07/10/2024 Pendiente despliegue  a  test.
* 08/10/2024 se realiza validación y a un no permite el borrado
*09/10/2024 ajuste  aplicado correctamente, permite borrar la  plantilla </t>
  </si>
  <si>
    <t>MDSB-672997 Error en creación de usuario proveedores nit 811007144</t>
  </si>
  <si>
    <t>* 08/10/2024 No permite crear usuario como proveedor debido a que ya se encuentra creado como usuario de gestión, se dará respuesta de acuerdo a esta  validación
*09/10/2024 Se evidencia error en el roll asignado</t>
  </si>
  <si>
    <t>Creación  del API</t>
  </si>
  <si>
    <t xml:space="preserve">*08/10/2024 Compromiso de entrega  hoy en la tarde.
*09/10/2024 pendiente despliegue del jira </t>
  </si>
  <si>
    <t>Implementación del API en los servicios para actualizacion de estados.</t>
  </si>
  <si>
    <t>IMPLEMENTADO</t>
  </si>
  <si>
    <t>*09/10/2024 Pendiente creación de la tabla de estados en test para  probar.</t>
  </si>
  <si>
    <t>MDSB-685249 Erroren la  recuperacion de contraseña Yii</t>
  </si>
  <si>
    <t>*09/10/2024no tenía permisos la carpeta cache</t>
  </si>
  <si>
    <t>Ajustar validacion de la fecha inicial de inc en la edicion de fechas</t>
  </si>
  <si>
    <t xml:space="preserve">*09/10/2024 Fabio,realiza validación en  produccion y funciona correctamente </t>
  </si>
  <si>
    <t>https://github.com/Imaginesas/bolivar/compare/master...hotfix/fechaEnGestionEdicion</t>
  </si>
  <si>
    <t>MDSB-683770 ERROR EN EL ENVIO NOTIFICACIONES DE PAGO</t>
  </si>
  <si>
    <t>Confirmar que la notificación se envié al correo registrado.</t>
  </si>
  <si>
    <r>
      <rPr>
        <rFont val="Quattrocento Sans"/>
        <color theme="1"/>
        <sz val="11.0"/>
      </rPr>
      <t>*07/10/2024 Pendiente subir ajuste
*08/10/2024 Pendiente subir a producción</t>
    </r>
    <r>
      <rPr>
        <rFont val="Quattrocento Sans"/>
        <b/>
        <color theme="1"/>
        <sz val="11.0"/>
      </rPr>
      <t xml:space="preserve">
*09/10/2024 Subira a test y posteriomente a producción </t>
    </r>
  </si>
  <si>
    <t>https://github.com/Imaginesas/bolivar/compare/master...hotfix/correosMasivos</t>
  </si>
  <si>
    <t>VULNERABILIDADES BAJAS</t>
  </si>
  <si>
    <t>Web Server Allows Password Auto-Completion</t>
  </si>
  <si>
    <r>
      <rPr>
        <rFont val="Quattrocento Sans"/>
        <color theme="1"/>
        <sz val="11.0"/>
      </rPr>
      <t>*04/10/2024 pruebas
*</t>
    </r>
    <r>
      <rPr>
        <rFont val="Quattrocento Sans"/>
        <b/>
        <color theme="1"/>
        <sz val="11.0"/>
      </rPr>
      <t xml:space="preserve"> 07/10/2024 se entrega a Danilo para  pruebas y posterior despliegue a producción
* 09/10/2024 Confirmar entrega de rama a Danilo
* 10/10/2024 Etregadas a Danilo 9 de octubre </t>
    </r>
  </si>
  <si>
    <t>Autocomplete Enabled</t>
  </si>
  <si>
    <t xml:space="preserve">*04/10/2024 pruebas
* 07/10/2024 se entrega a Danilo para  pruebas y posterior despliegue a producción
* 09/10/2024 Confirmar entrega de rama a Danilo
* 10/10/2024 Etregadas a Danilo 9 de octubre </t>
  </si>
  <si>
    <t>Internal Server Error</t>
  </si>
  <si>
    <t>Reabrir casos devueltos por falta de documentación</t>
  </si>
  <si>
    <r>
      <rPr>
        <rFont val="Quattrocento Sans"/>
        <color theme="1"/>
        <sz val="11.0"/>
      </rPr>
      <t xml:space="preserve">*07/10/2024 Se escala jira MDSB-684400 para creación de tabla de estados en test
* 08/10/2024 Se realizara sesión para  validar el  proceso de estados.
</t>
    </r>
    <r>
      <rPr>
        <rFont val="Quattrocento Sans"/>
        <b/>
        <color theme="1"/>
        <sz val="11.0"/>
      </rPr>
      <t>*09/10/2024 pendiente creación de tabla de estados solicitad en jira MDSB-684795
*10/10/2024 implementación de la  lógica reabrir casos en devolución por documentos.</t>
    </r>
  </si>
  <si>
    <t>Crear combo obligatorio en generación de respuesta (Aceptado o Devolución ) Para casos radicados por el portal</t>
  </si>
  <si>
    <r>
      <rPr>
        <rFont val="Quattrocento Sans"/>
        <color theme="1"/>
        <sz val="11.0"/>
      </rPr>
      <t>*07/10/2024 Se escala jira MDSB-684400 para creación de tabla de estados en test
*08/10/2024 se escala nuevo jira MDSB-684795, por errores en el anterior.
*</t>
    </r>
    <r>
      <rPr>
        <rFont val="Quattrocento Sans"/>
        <b/>
        <color theme="1"/>
        <sz val="11.0"/>
      </rPr>
      <t>09/10/2024 pendiente creación de tabla de estados solicitad en jira MDSB-684795
*10/10/2024 Tabla de estados creada.</t>
    </r>
  </si>
  <si>
    <t>Ajustes de hallazgos obtenidos en pruebas de portal autorizaciones (Enviado por correo)</t>
  </si>
  <si>
    <t xml:space="preserve">Ordenar alfabeticamente tipo de solicitud </t>
  </si>
  <si>
    <t>*15/10/2024 finlizado</t>
  </si>
  <si>
    <t>Consumo de sisalud (Recurso de Bolívar)</t>
  </si>
  <si>
    <t>*08/10/2024 se encuentra realizando la lógica  para enviar el recurso a sisalud después de pagar.
*09/10/2024 Pruebas con Jenry
*10/10/2024 Se crearon los nuevos campos para homologar los estados de sisalud, pendiente crear campo para el cambio de servicio.
* 15/10/2024 ya permite el cambio de servicio.</t>
  </si>
  <si>
    <t>Buscar la ciudad con respecto al archivo de pagos( Facturas asistenciales)</t>
  </si>
  <si>
    <t xml:space="preserve">Creacion de indices </t>
  </si>
  <si>
    <t>* 15/10/2024 Finalizado</t>
  </si>
  <si>
    <t>MDSB-684778 Modificación texto carta de comunicaciones de cartera</t>
  </si>
  <si>
    <t>PASO A PRODUCCION</t>
  </si>
  <si>
    <t>*09/10/2024 Se habilitan plantillas para las tipologías de comunicados de cartera para que puedan ser modificadas, Aprobado para realizar paso a producción 10 de Octubre.
*10/10/2024 Se realizara paso a producción hoy.</t>
  </si>
  <si>
    <t>Campo Razon social  sea alfanumerico.</t>
  </si>
  <si>
    <t>15/10/2024, se subira ajuste hoy
15/10/2024 Fabio, Valida y el ajuste  quedo  ok</t>
  </si>
  <si>
    <t>Cambio de cuenta de correo de salida del nuevo portal de autorizaciones</t>
  </si>
  <si>
    <t>Cambio de cuenta de correo (POLIZAS DE SEGUROS)</t>
  </si>
  <si>
    <r>
      <rPr>
        <rFont val="Quattrocento Sans"/>
        <color theme="1"/>
        <sz val="11.0"/>
      </rPr>
      <t>*Iniciara tan pronto finalice la gestión de vulnerabilidades
*03/10/2024 Inicio al finalizar ADJUNTAR DOCUMENTOS PORTAL SALUD (Reembolsos)
*07/10/2024 Inicio con los ajustes desde el 4 de octubre.
*08/10/2024 Finalizado en local en pruebas</t>
    </r>
    <r>
      <rPr>
        <rFont val="Quattrocento Sans"/>
        <b/>
        <color theme="1"/>
        <sz val="11.0"/>
      </rPr>
      <t xml:space="preserve">
*09/10/2024 Pendiente ejecución de jira MDSB-684795 para  iniciar pruebas en test.
*10/10/2024 Crear el campo en la administración y adaptarla  lógica para agregarlo a la cola se subirá a test hoy  para pruebas.
*15/10/2024, Fabio, Valida y el correo llega  por la  cuenta indicada. (31022012).</t>
    </r>
  </si>
  <si>
    <t>Dejar registro de la "devolucion por documentos en la observación del caso"</t>
  </si>
  <si>
    <t>En la observacion del caso en nativo se debe registrar el usuario "Internet" con una observacion que indique que el caso fue  reabierto desde el portal</t>
  </si>
  <si>
    <t>*15/10/2024 Subira ajuste hoy</t>
  </si>
  <si>
    <t>Ajustes de hallazgos obtenidos en pruebas de portal Reembolsos (Enviado por correo)</t>
  </si>
  <si>
    <t>Ajustar variable reportada por Jenry</t>
  </si>
  <si>
    <t>15/10/2024 inicio de ajuste.
*16/10/2024 se adiciono una validacion adicional</t>
  </si>
  <si>
    <t xml:space="preserve"> Ajustas plantilla genérica para que no aparezca el Warning</t>
  </si>
  <si>
    <t>*15/10/2024 pendiente validar el ajuste 
*15/10/2024, A un sale en Warning</t>
  </si>
  <si>
    <t xml:space="preserve">Quitar  opciones "Pendientes por segmentación"  se encuentran en la pantalla de consulta. </t>
  </si>
  <si>
    <t>En la bandeja de pendientes se debe identificar que el caso fue reabierto por cargue de documentos en el portal</t>
  </si>
  <si>
    <t>*21/10/2024 prueba en test realizadas el viernes 18 de octubre boton  funciona ok.</t>
  </si>
  <si>
    <t>Consulta "Caso internet" en nativo</t>
  </si>
  <si>
    <t>*18/10/2024, pendiente ajuste de la consulta en Laravel de parte de Danilo</t>
  </si>
  <si>
    <t>Implementar Causales deglosas</t>
  </si>
  <si>
    <t>17/10/2024 Realizando la logica  para  incluir las casusales 
* 22/10/2024 Finalizado 17 de octubre</t>
  </si>
  <si>
    <t>Cargue de archivo de pagos</t>
  </si>
  <si>
    <r>
      <rPr>
        <rFont val="Quattrocento Sans"/>
        <color theme="1"/>
        <sz val="11.0"/>
      </rPr>
      <t>*26/09/2024 cargue del archivo después de finalizar la  implementación de cartas.
* 02/10/2024 continuara después de realizar paso  a   producción del nuevo portal.
*09/10/2024 control de cambios en test para agregar campos  y posterior pruebas con Jenry</t>
    </r>
    <r>
      <rPr>
        <rFont val="Quattrocento Sans"/>
        <b/>
        <color theme="1"/>
        <sz val="11.0"/>
      </rPr>
      <t xml:space="preserve">
10/10/2024 realizar  pruebas en test 
* 15/10/2024 pendiente cruce cuando esta pagado en validación 
*16/10/2024 Corregir incidencias en pruebas, corregir envio de formulario al dar F5
*17/10/2024 mostrar resumen de la radicacion 
*22/10/2024 Finalizado 17 de octubre</t>
    </r>
  </si>
  <si>
    <t>Ajustar el administrador de cartas para que salgan todas las  tipologias.</t>
  </si>
  <si>
    <t>*22/10/2024 Probado en test y  funciona correctamente, Fabio</t>
  </si>
  <si>
    <t>Crear una  opcion  Plantillas para la visualizacion de la tipologia en el administrador de cartas</t>
  </si>
  <si>
    <t xml:space="preserve">Validar geneación de informes de pendinete ARL  y Salud </t>
  </si>
  <si>
    <t>*22/10/2024 se escala  control de cambios MDSB-692401 para la modificación de la vista sql.</t>
  </si>
  <si>
    <t>Validar informe generación de volumenes y oportunidad</t>
  </si>
  <si>
    <t>*22/10/2024 Inicia Separación  por negocios.</t>
  </si>
  <si>
    <t>Hallazgos enviado 26 de septiembre</t>
  </si>
  <si>
    <r>
      <rPr>
        <rFont val="Quattrocento Sans"/>
        <color theme="1"/>
        <sz val="11.0"/>
      </rPr>
      <t>*07/10/2024, Iniciara con los ajustes.
* 08/10/2024 Continúa con los ajustes  
*</t>
    </r>
    <r>
      <rPr>
        <rFont val="Quattrocento Sans"/>
        <b/>
        <color theme="1"/>
        <sz val="11.0"/>
      </rPr>
      <t>09/10/2024 Subirá los puntos resueltos hasta el momento para pruebas.
*11/10/2024 Pendiente quitar bloqueo "Caso internet" y cola de correos.
*15/10/2024 ajustado el envio de correo por colas.
*16/10/2024 pendiente  consulta de "caso internet" se le asigna a juste a Luis Bayona
*21/10/2024 Ajustar consulta en laravel para mostrar "Caso internet" en nativo</t>
    </r>
  </si>
  <si>
    <t>Agregar la cuenta de correo de medicamentos</t>
  </si>
  <si>
    <t>gestion.farmaceutica@segurosbolivar.com</t>
  </si>
  <si>
    <t>*08/10/2024 se validara con Liyibet la cuenta que se debe cambiar
*09/10/2024 Pendiente confirmación de la contraseña de la  cuenta 
* 11/10/2024 Liyibet envia credenciales 10/10/2023 
*15/10/2024 finalizado para pruebas.
* Paso a produccion 22 de octbre</t>
  </si>
  <si>
    <t>Preparacion de scritp para paso a produccion oficina virtual salud</t>
  </si>
  <si>
    <t>Jira pqr_bolivar</t>
  </si>
  <si>
    <t>*23/10/2024 jira  radicado MDSB-693206 en aprobación QA</t>
  </si>
  <si>
    <t>Jira riesgos</t>
  </si>
  <si>
    <t>24/10/2024 jira  radicado MDSB-693891 en aprobación QA</t>
  </si>
  <si>
    <t>Jira radicador</t>
  </si>
  <si>
    <t>*23/10/2024 jira  radicado MDSB-693912 en aprobación QA</t>
  </si>
  <si>
    <t xml:space="preserve"> GD772-44 - Ajuste en la consulta del informe datos contactos solicitudes ARL (Rango de consulta no debe superar un mes)</t>
  </si>
  <si>
    <t xml:space="preserve">No muestras en algunos  casos el numero de identificación y nombres  en los informes de producción </t>
  </si>
  <si>
    <t>EN PRODUCCION</t>
  </si>
  <si>
    <t>*09/10/2024 paso a producción
*11/10/2024 Validando  incidencia
* 15/10/2024 Se reunirá con Johan  para validar  dudas para la sl de la incidencia.
* 16/10/2024 se realiza  sesión  con jairo y se ajusta campo identificación trabajador, luis ajustara  el campo identificación empresa.
*18/10/2024 presenta  error al generar el informe de prefactura.
*21/10/2024 Despliegue a produccion 18 de octubre</t>
  </si>
  <si>
    <t>GD772-48 Bloqueo de radicación de incapacidades que ya se encuentren radicadas y pagadas con el mismo número de CC y fecha de inicio</t>
  </si>
  <si>
    <t xml:space="preserve">EN PRODUCCIÓN </t>
  </si>
  <si>
    <t xml:space="preserve">*01/10/2024 Pendiente go para paso a produccion.
*25/10/2024 Se realiza paso a producion a las 9:57 a. m. </t>
  </si>
  <si>
    <t>Encriptar  numero de cuenta (Dejar visibles los promeros 5 numeros, EN CONSULTA   y BANDEJA DE AUDITORIA</t>
  </si>
  <si>
    <t xml:space="preserve">*23/10/2024 Continua trabajando.
*25/10/2024 Encripta los ultimos 4 digitos de la cluenta </t>
  </si>
  <si>
    <t>Generar el ajuste para adicionar el campo del ID en la integración de Glosas</t>
  </si>
  <si>
    <t>CONTROL CAMBIOS PROD/ stand by</t>
  </si>
  <si>
    <r>
      <rPr>
        <rFont val="Quattrocento Sans"/>
        <color theme="1"/>
        <sz val="11.0"/>
      </rPr>
      <t>*</t>
    </r>
    <r>
      <rPr>
        <rFont val="Quattrocento Sans"/>
        <b/>
        <color theme="1"/>
        <sz val="11.0"/>
      </rPr>
      <t xml:space="preserve">07/10/2024  </t>
    </r>
    <r>
      <rPr>
        <rFont val="Quattrocento Sans"/>
        <color theme="1"/>
        <sz val="11.0"/>
      </rPr>
      <t xml:space="preserve">Entrega de estimación 8 de octubre
</t>
    </r>
    <r>
      <rPr>
        <rFont val="Quattrocento Sans"/>
        <b/>
        <color theme="1"/>
        <sz val="11.0"/>
      </rPr>
      <t>*09/10/2024 Pendiente estimación 
*10/10/2024 jira  para alterar la tabla MDSB-685532 ejecutado correctamente, se solicitara control de cambios  para  producción.
11/10/2024 Se continuara  finalizando rembolsos.
*15/10/2024 Pendiente incluir campo en el envio.
*16/10/2024 jira MDSB-689499 control de cambios prod.
*21/10/2024 Control de cambios ejecutado 18 de octubre</t>
    </r>
  </si>
  <si>
    <t>Resoluion de jiras Incidencias</t>
  </si>
  <si>
    <r>
      <rPr>
        <rFont val="Quattrocento Sans"/>
        <b/>
        <color theme="1"/>
        <sz val="11.0"/>
      </rPr>
      <t xml:space="preserve">MDSB-588398 </t>
    </r>
    <r>
      <rPr>
        <rFont val="Quattrocento Sans"/>
        <color theme="1"/>
        <sz val="11.0"/>
      </rPr>
      <t>asignacion de casos a usuaria inhabilitada para  la  tipologia Control vencimiento recomendaciones laborales</t>
    </r>
  </si>
  <si>
    <t>*24/10/2024 En el requerimiento inicial  se contemplo la opcion de como se asignaria los casos de control de vencimiento  si el usuario asignado en el caso padre ya no trabajara en la compañía.</t>
  </si>
  <si>
    <t xml:space="preserve">WILSON </t>
  </si>
  <si>
    <t>Pruebas  imágenes fs a  s3</t>
  </si>
  <si>
    <t>Pruebas copiar imágenes en desarrollo</t>
  </si>
  <si>
    <t>*15/10/2024 revisara si la  tarea en que porcentaje va</t>
  </si>
  <si>
    <t>Oficina virtual (nuevo portal)</t>
  </si>
  <si>
    <t>Ajuste en la fecha de autorizacion en la consulta del proveedor</t>
  </si>
  <si>
    <t>*24/10/2024 Sitio de laravel ajustado  para  iniciar validaciones.
*25/10/2024 Inicia validacion del hallazgo</t>
  </si>
  <si>
    <t>Validación de campos requeridos al cargar excel</t>
  </si>
  <si>
    <t>*24/10/2024 Sitio de laravel ajustado  para  iniciar validaciones.
*25/10/2024 Inicia validacion del hallazgo
*28/10/2024 soliictar paso a test  y crear jira control de cmbios prod</t>
  </si>
  <si>
    <t>carta de pago en validación</t>
  </si>
  <si>
    <t xml:space="preserve">*24/10/2024 en proceso de implementación </t>
  </si>
  <si>
    <t>inconsistencia en la asignación de usuarios a las tipologias</t>
  </si>
  <si>
    <t>x</t>
  </si>
  <si>
    <t>Desarrollo para el control de ID consecutivo por parte de Imagine en la integración de Glosas</t>
  </si>
  <si>
    <r>
      <rPr>
        <rFont val="Quattrocento Sans"/>
        <color theme="1"/>
        <sz val="11.0"/>
      </rPr>
      <t>*07/10/2024  Entrega de estimación 8 de octubre</t>
    </r>
    <r>
      <rPr>
        <rFont val="Quattrocento Sans"/>
        <b/>
        <color theme="1"/>
        <sz val="11.0"/>
      </rPr>
      <t xml:space="preserve">
*09/10/2024 Pendiente estimación.
10/10/2024 Se creo un campo nuevo en la tabla para manejar un consecutivo que se enviara en el reporte davinci, solicitara control de cambios  para  producción
11/10/2024 Se continuara  finalizando rembolsos.
*25/10/2024 reinicia  con esta actividad.</t>
    </r>
  </si>
  <si>
    <t>Adicionar en reenvió en portales (Autorizaciones y Reembolsos)</t>
  </si>
  <si>
    <r>
      <rPr>
        <rFont val="Quattrocento Sans"/>
        <color theme="1"/>
        <sz val="11.0"/>
      </rPr>
      <t xml:space="preserve">15/10/2024 Continua con este  ajuste.
*16/10/2024 continua con el ajuste para Reembolsos y después de terminado continuara con autorizaciones
*17/10/2024 probar reenvió de rembolsos y continua con autorizaciones.
*18/10/2024 Lógica para reenvió ya se encuentra, validar encolamiento
*21/10/2024 Validar consumo de colas para el reenvio.
*22/10/2024 Queda ajustado el reenvio para nativo
</t>
    </r>
    <r>
      <rPr>
        <rFont val="Quattrocento Sans"/>
        <b/>
        <color theme="1"/>
        <sz val="11.0"/>
      </rPr>
      <t>*24/10/2024</t>
    </r>
    <r>
      <rPr>
        <rFont val="Quattrocento Sans"/>
        <b/>
        <color rgb="FFFF0000"/>
        <sz val="11.0"/>
      </rPr>
      <t xml:space="preserve"> </t>
    </r>
    <r>
      <rPr>
        <rFont val="Quattrocento Sans"/>
        <b/>
        <color theme="1"/>
        <sz val="11.0"/>
      </rPr>
      <t>Presenta inconsistencia en el reevio en autorizaciones, Reenvia la primera respuesta no la ultima.
*25/10/2024 Ajustara notificación del reenvio de correo de envio donde muestre la cuenta de correo a que se envio el reenvio.
*28/10/2024 Notificación de correo de reenvio ajustado.</t>
    </r>
  </si>
  <si>
    <t>Mejoras autorizaciones, mensajes y respuestas</t>
  </si>
  <si>
    <t xml:space="preserve">*25/10/2024 se han realizado modificaciónes 
*25/10/2024 pendiente ajus messajes en el formulario de salud.
*28/10/2024 Validacion de mas campos.
</t>
  </si>
  <si>
    <t xml:space="preserve">Realizar  a justes  de hallazgos  de las pruebas consulta de autorizaciones  en oficina virtual </t>
  </si>
  <si>
    <r>
      <rPr>
        <rFont val="Quattrocento Sans"/>
        <color theme="1"/>
        <sz val="11.0"/>
      </rPr>
      <t>*21/10/2024 Se realiza validación de ajustes en test  y a un queda pendiente  que la fecha de autorización cargano no coincide con la arrojada en la consulta y  permite el  cargue de una misma autorizacion a diferente paciente.
*</t>
    </r>
    <r>
      <rPr>
        <rFont val="Quattrocento Sans"/>
        <b/>
        <color theme="1"/>
        <sz val="11.0"/>
      </rPr>
      <t>22/10/2024 Jesus se encuentra incapacitado hasta del 21 hasta el 29 de Octubre</t>
    </r>
  </si>
  <si>
    <t>Cierre de actividades de casos de incapacidades  ya cerrados ( Solicitud reportada  por Liyibet)</t>
  </si>
  <si>
    <t>Cierre de actividades abiertas</t>
  </si>
  <si>
    <t>Devolver caso 30554693 a la actividad correspondencia avisado (Pensionados)</t>
  </si>
  <si>
    <t>Devolver actividad</t>
  </si>
  <si>
    <t>Caso 31022540 registra 2 veces en la bandeja de pendientes Autorizaciones</t>
  </si>
  <si>
    <t>*30/10/2024 Al realizar la prueba en test presenta error en la gestion de casos, hasta no resolver esta incidencia no es posible balidar ajuste de la bandeja.
*31/10/2024 Fabio valida ajuste y funciona correctamnete.</t>
  </si>
  <si>
    <t>Modificaciones del flujo y codigo.</t>
  </si>
  <si>
    <t>*30/10/2024 continua con las modificaciones.
*31/10/2024 Continua en la logica de cada boton.
*01/11/2024 en test</t>
  </si>
  <si>
    <r>
      <rPr>
        <rFont val="Quattrocento Sans"/>
        <b/>
        <color theme="1"/>
        <sz val="11.0"/>
      </rPr>
      <t>MDSB-700005</t>
    </r>
    <r>
      <rPr>
        <rFont val="Quattrocento Sans"/>
        <color theme="1"/>
        <sz val="11.0"/>
      </rPr>
      <t xml:space="preserve"> Solicitud de imágenes lote 158660</t>
    </r>
  </si>
  <si>
    <t>GD772-50 Actualización Guía depuración de inconsistencias</t>
  </si>
  <si>
    <t>Cambiar archivo descarble de la tipologia " 11 Conciliación y Depuración de inconsistencias de aportes"</t>
  </si>
  <si>
    <t xml:space="preserve">*07/11/2024 En paso a produccion </t>
  </si>
  <si>
    <t xml:space="preserve"> Warning en gestion del caso </t>
  </si>
  <si>
    <t>*12/11/2024 se correguen en la estibilización del sistema.</t>
  </si>
  <si>
    <t xml:space="preserve">Reporte de caida del servidor </t>
  </si>
  <si>
    <t xml:space="preserve">Verificación de procesos y recoleccion de evidencias </t>
  </si>
  <si>
    <t>Preparar sitio para  paso a producción</t>
  </si>
  <si>
    <t xml:space="preserve">*22/10/2024 solicitar creación de tablas en  producción 
*23/10/2024 continuar con la adaptación del sitio, DNS funcional
*24/10/2024 continuara con la  preparación  apuntando a test
*24/10/2024 Queda montado el sitio en la url de producción  hace falta las claves para el recaptcha.
*25/10/2024 Liyibet envio solicitud de las claves del recapcha
*29/10/2024 Pendiente aprobación de jiras a producción y la entrega del Recapchat
*31/10/2024  Recapchat implemtendo, pendiente control de cambios 
*05/11/2024 Ejecutar los insert del restos de los formularios y cambiar la url de test a producción.
*06/11/2024 Pendiente la creación de 2 tipologías una nacional y otra  internacional (descripción muy larga) -  pendiente ejecución del control de cambios MDSB-700129
*07/11/2024 control de cambios ejecutado y se ajusta tipología con descripción de la tiologia </t>
  </si>
  <si>
    <t>GD772-30 Informe cuentas médicas 472 ( Informe de prefactura)</t>
  </si>
  <si>
    <t xml:space="preserve">Cargue de Excel y validaciones entre tablas </t>
  </si>
  <si>
    <r>
      <rPr>
        <rFont val="Quattrocento Sans"/>
        <color theme="1"/>
        <sz val="11.0"/>
      </rPr>
      <t>*04/10/2024 Pendiente  socializar req
* 08/10/2024 entregara 9 de octubre
*</t>
    </r>
    <r>
      <rPr>
        <rFont val="Quattrocento Sans"/>
        <b/>
        <color theme="1"/>
        <sz val="11.0"/>
      </rPr>
      <t>09/10/2024 adaptar lógica
* 10/10/2024 pruebas locales entrega 10 am
11/10/2024 Solicitud de control de cambios a test MDSB-687277
*15/10/2024 debe ajustar el SQL para solicitar otro control de cambios ya que el MDSB-687277 presento error. 
*16/10/2024 subira ajuste a test 16 de octubre
*17/10/2024 Debe  validar  encolamiento y la vista del imforme en el aplicativo.
*22/10/2024 Debe finalizar ajustes indicados  por Jenry.
*24/10/2024 se debe solicitar cotrol de cambios en produccion.
*25/10/2024 Se adjunta documento de pruebas de imagine alGD772-30
*07/11/2024 Control de cambios ejecutado 6 de noviembre, se realizara  paso a produccion despues del paso de portales salud.
*12/11/2024 Se debe realizar despliegue a produccion
*13/11/2024 paso a produccion realizado el 12 de noviembre en la tarde.</t>
    </r>
  </si>
  <si>
    <t>MDSB-670944  REENVIO DE CORREO CUENTA NOVEDADES</t>
  </si>
  <si>
    <t>*31/10/2024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se asignara a Johan para su validación.</t>
  </si>
  <si>
    <t>HABILITAR PERMISOS EN DEV PARA S3</t>
  </si>
  <si>
    <t>Habilitar permisos en las carpetas de dev</t>
  </si>
  <si>
    <t>*06/11/2024 Validar como dar permiso definitivo a las carpetas para el ingreso a dev.
*13/11/2024 se va a realizar cambio de disco por tanto no se realizara modificaciones.</t>
  </si>
  <si>
    <t>ESTABILIZACIÓN DEL SISTEMA.</t>
  </si>
  <si>
    <t>Ajustar busqueda de casos por secuencia y cronograma</t>
  </si>
  <si>
    <r>
      <rPr>
        <rFont val="Quattrocento Sans"/>
        <b/>
        <color theme="1"/>
        <sz val="11.0"/>
      </rPr>
      <t>MDSB-700537</t>
    </r>
    <r>
      <rPr>
        <rFont val="Quattrocento Sans"/>
        <color theme="1"/>
        <sz val="11.0"/>
      </rPr>
      <t xml:space="preserve"> Cargue de adjunto al caso 29831254</t>
    </r>
  </si>
  <si>
    <t>*07/11/2024 se realizara el cargue en compañía de Jenry
*08/11/2024 Jenry realiza en cargue del documento.</t>
  </si>
  <si>
    <r>
      <rPr>
        <rFont val="Quattrocento Sans"/>
        <b/>
        <color theme="1"/>
        <sz val="11.0"/>
      </rPr>
      <t xml:space="preserve">Envió de correo de notificaciones de pago cuentas médicas  </t>
    </r>
    <r>
      <rPr>
        <rFont val="Segoe UI"/>
        <b val="0"/>
        <color theme="1"/>
        <sz val="11.0"/>
      </rPr>
      <t xml:space="preserve">(Respuesta glosa Adición de 5 correos) </t>
    </r>
  </si>
  <si>
    <r>
      <rPr>
        <rFont val="Segoe UI"/>
        <b val="0"/>
        <color theme="1"/>
        <sz val="11.0"/>
      </rPr>
      <t>*02/10/2024 pasara  a producción  con el portal</t>
    </r>
    <r>
      <rPr>
        <rFont val="Segoe UI"/>
        <b/>
        <color theme="1"/>
        <sz val="11.0"/>
      </rPr>
      <t xml:space="preserve">
*03/10/2024 pendiente pasar código a producción, el  control de cambios ya esta  realizado
*13/11/2024 realizo estbilización de rama y se realizara  paso a produccion 13 de noviembre
*14/11/2024 en produccion</t>
    </r>
  </si>
  <si>
    <t>REQUERIMIENTO GD772-45,CLARITY Y ANALYTICS EN OFICINA VIRTUAL</t>
  </si>
  <si>
    <t>Implementación ambiente en dev</t>
  </si>
  <si>
    <t>*12/09/2024 A la espera de la confirmación del dominio de desarrollo de la plataforma.
*07/11/2024 Colocar rama en clarity
*08/11/2024 implementado dev
*13/11/2024 Se corrigio administración de Clarity y validara si se estan generando estadisticas.
*14/11/2024 realizo cambio de url e implementación en test.
*15/11/2024 Realiza paso a producción el 14 de noviembre.</t>
  </si>
  <si>
    <t>CONSULTAS POR NIT</t>
  </si>
  <si>
    <t>*15/11/2024 Se desplegara a test
*18/11/2024 se pasa ajuste directamente a produccion debido aque test no esta habilitado, se realiza prueba con el nt 800216345 y se pueden consultar los  casos correctamente.</t>
  </si>
  <si>
    <t>Cambio carta de autorizacion de pago de beneficiario diferente a tomador en reembolsos</t>
  </si>
  <si>
    <t>*19/11/2024 Liyibet comparte carta  para produccion
*19/11/2024 Implementación realizada.</t>
  </si>
  <si>
    <t>Generar listado de usuarios para reasignación 
(Validar con Leidy cuales de esos usuarios deben salir en reasignación)</t>
  </si>
  <si>
    <t>informe de pendientes ARL arroja información de masivos</t>
  </si>
  <si>
    <t>*14/11/2024 Se escala jira MDSB-705234 para ajustar la vista.
*18/11/2024 Ya no se registra información de masivos y aun se detectan lineas corridas a la derecha.
*20/11/2024 Se debe  incluir la  actividad.</t>
  </si>
  <si>
    <t>Error de masivos en producción,  no pasa del punto 4 al usuario 1013628744  para la tipología aviso incumplimiento</t>
  </si>
  <si>
    <t>*19/11/2024 Se aumenta el limit en PHP.</t>
  </si>
  <si>
    <t>Está permitiendo radicar casos sin adjuntar los soportes en el portal de Arl
Ejemplo: 29907461</t>
  </si>
  <si>
    <t>*18/11/2024 pediente validar a profuncidad la incidencia ya que se realizan pruebas y no permite la radicación  sin adjuntos</t>
  </si>
  <si>
    <t xml:space="preserve">Caida del servidor </t>
  </si>
  <si>
    <t>Revisar los servicios activos de FTP, para evaluar si hay usuarios haciendo uso del servicio.</t>
  </si>
  <si>
    <t>*19/11/2024 Inicia validación 18 de noviembre.
*22/11/2024 Enviar correo con las ulr de la reunion del 21 de noviembre y otro reportando lo que se le han echo al servidor.</t>
  </si>
  <si>
    <t>Error en la tabla facturas pendientes para la  radicación de Country.</t>
  </si>
  <si>
    <t>*25/11/2024 en Pruebas locales y se sube a produccion</t>
  </si>
  <si>
    <t>AJUSTES REEMBOLSOS</t>
  </si>
  <si>
    <t>Implementar una validación que garantice que la póliza 'Genérica' tenga asignado un usuario en los campos Analista y Auditores.</t>
  </si>
  <si>
    <r>
      <rPr>
        <rFont val="Quattrocento Sans"/>
        <b/>
        <color theme="1"/>
        <sz val="11.0"/>
      </rPr>
      <t xml:space="preserve">26/11/2024 En test ya se encuentra  validación implementada "Usuarios no puede ser nulo.", se valida en producción y la  validación  ya se encuentra implñementada. </t>
    </r>
    <r>
      <rPr>
        <rFont val="Quattrocento Sans"/>
        <b/>
        <color rgb="FFFF0000"/>
        <sz val="11.0"/>
      </rPr>
      <t>Por ende  no se implementa  validación a dicional.</t>
    </r>
  </si>
  <si>
    <t>Crear un área llamada 'Reembolsos Salud'</t>
  </si>
  <si>
    <t>INICIO</t>
  </si>
  <si>
    <r>
      <rPr>
        <rFont val="Quattrocento Sans"/>
        <b/>
        <color theme="1"/>
        <sz val="11.0"/>
      </rPr>
      <t>26/11/2024 No representa  cambio en codigo.</t>
    </r>
    <r>
      <rPr>
        <rFont val="Quattrocento Sans"/>
        <b/>
        <color rgb="FFFF0000"/>
        <sz val="11.0"/>
      </rPr>
      <t xml:space="preserve"> Por tanto no se hara modificaciones</t>
    </r>
    <r>
      <rPr>
        <rFont val="Quattrocento Sans"/>
        <b/>
        <color theme="1"/>
        <sz val="11.0"/>
      </rPr>
      <t xml:space="preserve"> </t>
    </r>
  </si>
  <si>
    <t>Jenry Henao</t>
  </si>
  <si>
    <t xml:space="preserve">MDSB-705835  Borrar  spam correo solucionesdocumental@mintrabajo.gov.co </t>
  </si>
  <si>
    <t>*18/11/2024 se deben solicitar casos para eliminar.
*20/11/2024 Finalizado</t>
  </si>
  <si>
    <t>GD772-51 Modificacion en generación de plano ARPTRAD</t>
  </si>
  <si>
    <t>Ajuste de la lectura del archivo</t>
  </si>
  <si>
    <t>*12/11/2024 Finalizado en DEV y subira a test
*13/11/2024 Se realiza prueba en test, se insertan los datos en la  tabla pero al consultar en nativo no muestra  información, de acuerdo a validación con Johan la  infromación de trabajadores va ligada con la de empresas.. 
*22/11/2024 Se debe desarcer los cambios realizados y solo ajustar los caracteres especiales que hace que se desplace la  información hacia la derecha.lo entregara 22 de noviembre
*25/11/2024 Se ajusta funcion para quitar acentos y "ñ", se pasa a test prueba exitosa. 
*26/11/2024 se realiza paso a produccion.</t>
  </si>
  <si>
    <t xml:space="preserve">Crear un rol  llamado “Consultas Reembolsos Salud” </t>
  </si>
  <si>
    <t>*15/11/2024 separando bandejas con 50% de progreso.
*18/11/2024 Se detiene por Vacaciones 
*25/11/2024 Retoma  con generacion de una  nueva  bandeja para reembolsos  en test
*26/11/2024 Se pasara a produccion 
27/11/2024 Pendiente  paso del codigo a producción
*28/11/2024 Pendiente  paso del codigo a producción
29/11/2024 En produccion</t>
  </si>
  <si>
    <t>Ajuste de informe de volumenes</t>
  </si>
  <si>
    <t>PRUEBAS PRD</t>
  </si>
  <si>
    <t>*29/10/2024,  28 de octubre se solicita control de cambios en test MDSB-696174  modificación de vista sql.
*30/10/2024 Pendiente aporbacion de QA
*13/11/2024 se solicitara control de cambios a produccion, Control de cambios MDSB-705234.
*15/11/2024 Control de cambios en aprobacion comité
*18/11/2024 Se realizan pruebas y genera con algunos  casos que no trae el numero de nit.
*19/11/2024 validara tabla de donde se estan realizando las consulta del nit.</t>
  </si>
  <si>
    <t>Implementación de discos ebs y s3 en dev
(Pasar aplicaciones y logs)</t>
  </si>
  <si>
    <t>*27/11/2024 Discos e infraestructura montadas..
*28/11/2024 Realizar  copias de las aplicaciones y subir el sitio.
*29/11/2024 La implementación  quedo aplicada en dev y test</t>
  </si>
  <si>
    <t>MDSB-717180 Modificación de Tipo de documento y número de documento del proceso de reembolsos</t>
  </si>
  <si>
    <t>29/11/2024 Creación de formulario
02/12/2024 Ajuste aplicado en producción.</t>
  </si>
  <si>
    <t>GD772-30 Informe cuentas médicas 472 (MDSB-705663)</t>
  </si>
  <si>
    <t xml:space="preserve">Encolar informe  </t>
  </si>
  <si>
    <t>22/11/2024, Se debe reiniciar el requerimiento debido a que se ejecuto en una  opcion diferente a al  indicada en el  requerimiento. 
25/11/2024 Se estima entrega 25 de Noviembre antes de medio día
*27/11/2024 Confirman en la   tarde  el encolamiento del informe de salida.
*28/11/2024  se realiza  paso a  producción, se debe solucionar error al ejecutar el informe en producción.
* 29/11/2024 Se ajusta error en produccion y permite  genera informe correctamente.</t>
  </si>
  <si>
    <t>GD772-56 incluir campo " ACTIVIDAD" en informe pendientes ARL.</t>
  </si>
  <si>
    <t>Adicion de campo en la tabla de Test</t>
  </si>
  <si>
    <t>EN PRODUCCCIN</t>
  </si>
  <si>
    <t>*20/11/2024 Se escala jira MDSB-709927 para control de cambios en test.
*22/11/2024 Control de cambios ejecutado correctamente el 21 de Niviembre.
*25/11/2024 Se escala control de cambio a producción MDSB-713871
*28/11/2024 Control de cambios en aprobación  QA.
*02/12/2024 Control de cambios en Aprobación PO
*04/12/2024 Control de cambios ejecutado correctamente el 3 de diciembre.
*05/12/2024 paso  aproducion realizado  4 de diciembre</t>
  </si>
  <si>
    <t>Faltan filtros de busqueda dentro de la consulta de casos por nit</t>
  </si>
  <si>
    <t>22/11/2024 Realizando validaciones  para  identificar la causa del error.
22/11/2024 Se realizan pruebas en test y se muestran los  filtros.
*05/12/2024 Paso a produccion 4 de diciembre.</t>
  </si>
  <si>
    <t>Organizar informes de salud y queden en la pestaña de autorizaciones</t>
  </si>
  <si>
    <t>*25/11/2024 Los informes ya se encuentran el la pestaña autorizaciones, pendiente  generación de informes 
*27/11/2024 Informe de tipologias esta funcional.
*05/12/2024 Paso a produccion 4 de diciembre.</t>
  </si>
  <si>
    <t>Dividir por negocio el informe de pendientes de cuidado al trabajador</t>
  </si>
  <si>
    <t>*26/11/2024 en test no  genera informe para  validar la  division de negocio
*27/11/2024 Genera informe  pero sin mostrar información y no esposible validar si la tipologias de salud salen o no.
27/11/2024 se realiza ajuste, ya descarga información y no salen las tipologias de salud, pendiente  validar porque no salen los  casos redicados por redicador de salida.
*05/12/2024 paso a produccion 4 de diciembre</t>
  </si>
  <si>
    <t>Error reembolsos poliza internacional (No permite pasar del paso 2)</t>
  </si>
  <si>
    <t>*04/12/2024 se realizan pruebas y se sigue presentando el error, se encontrba pendiente pasar los cambios al servidor de prd.</t>
  </si>
  <si>
    <t>Cambio de tipoologias de Salud que se encuentran en ARL ( Nativo)</t>
  </si>
  <si>
    <t>*02/12/2024 se realizara validación con santiago de los  casos que no se estan visualizando..
*04/12/2024 Iniciara gestion.
*06/12/2024 se pasan directamente a produccion ya que en test tienen codigos direntes.</t>
  </si>
  <si>
    <t>Implementación  del API en dev</t>
  </si>
  <si>
    <t>*05/12/2024 Da respuesta interna mas no externa, Se solicito consumo del API por el puerto 8000
06/12/2024 pendiente  apertura  de puerto 8000, Nohan dado respuesta al ticket de solicitud.
09/12/2024 Utiliza un puerto que ya estaba abierto (2443) y se espera que Johan realice las  pruebas y certifique el funcionamiento.</t>
  </si>
  <si>
    <t>Implementación  del API en test</t>
  </si>
  <si>
    <t>ERROR EN EL CARGUE DE ADJUNTOS EN EL MODULO DE GESTION DE INCAPACIDADES EN TEST.</t>
  </si>
  <si>
    <t>*06/12/2024 esperar a permisos en test  para  validar permisos…
*10/12/2024 Se realiza validación y permite adjuntar y descargar adjuntos correctamente.</t>
  </si>
  <si>
    <t>Ajuste del recaptcha</t>
  </si>
  <si>
    <t>10/12/2024 Finalizado  e implementado en produccion.</t>
  </si>
  <si>
    <t>ERROR ASIGNACIÓN DE INCAPACIDADES</t>
  </si>
  <si>
    <t>09/12/2024 continurevisando traza de los casos  para encontrar el error
*10/12/2024 Los  casos se radicaron dos  veces desde el portal, continua con la  busqueda de la  causa del error, se ejecutara query para  cerrar casos abiertos..
*10/12/2024 se cierran los casos y se implementa  ajustes para que no se vuelva a presentar....en pruebas.
Despues de la  validación se realizan los ajustes, se encuentra en pruebas..
11/12/2024 las pruebas exitosas.</t>
  </si>
  <si>
    <t>Desarrollo para la edicion de campos y procedimientos</t>
  </si>
  <si>
    <t>09/12/2024 Continua con el desarrollo
*10/12/2024 se pasara a produccion  para  pruebas  internas.
11/12/2024 ya se encuentra en produccion, pendiente realizar cambios solicitados  por Jenry
12/12/2024 Cambios  realizados.</t>
  </si>
  <si>
    <t xml:space="preserve">Ocultar campos </t>
  </si>
  <si>
    <t>16/12/2024  Campos ocultados el 13 de diciembre.</t>
  </si>
  <si>
    <t>Error en  informe 472 mail</t>
  </si>
  <si>
    <t>Implementar funcion para reemplazar las comillas</t>
  </si>
  <si>
    <t>*11/12/2024 en pruebas  para  implementar  funcion para reemplazar comillas, se realiza paso a produccion
*12/12/2024 reportan  un nuevo  error en el cargue de un nuevo archivo.
16/12/2024 se pasa a produccion 12 de diciembre</t>
  </si>
  <si>
    <t>MDSB-723805 error 500 al ingresar a imagine  en el campo "caso internet" ( caso 29687692)</t>
  </si>
  <si>
    <t xml:space="preserve">Ajuste de la  Logica </t>
  </si>
  <si>
    <t>*12/12/2024 Pendiente  pruebas en test.</t>
  </si>
  <si>
    <t>MDSB-719675 SOLICITUD DE INACTIVACIÓN TEMPORAL DE FUNCIONARIOS EN LAS TIPOLOGIAS DE TRASLADOS Y MESAS DE CONCILIACION</t>
  </si>
  <si>
    <t>MDSB-719903 Error en el cargue de constitución en Mora</t>
  </si>
  <si>
    <t>Script  para radicacion facturas cuentas medicas</t>
  </si>
  <si>
    <t>Radicacion automatica</t>
  </si>
  <si>
    <t>Encolamiento de informes</t>
  </si>
  <si>
    <t>Configurar correo polizadeseguridad@segurosbolivar.com - Poliza Salud en nativo</t>
  </si>
  <si>
    <t>Ajuste de fecha de radicacion al  cargar adjuntos en la consulta del portal (Reembolsos)</t>
  </si>
  <si>
    <t>VULNERABILIDADES ( MEDIA)</t>
  </si>
  <si>
    <t>Permissive HTTP Strict Transport Security Policy Detected</t>
  </si>
  <si>
    <t xml:space="preserve">06/12/2024 En implementación </t>
  </si>
  <si>
    <t>VULNERABILIDADES (BAJA)</t>
  </si>
  <si>
    <t xml:space="preserve">HTTP Header Information Disclosure </t>
  </si>
  <si>
    <t>Missing 'Cache-Control' Header</t>
  </si>
  <si>
    <t>VULNERABILIDADES (Critica)</t>
  </si>
  <si>
    <t>SQL Injection 
(incidencias a nivel general de Nativo)</t>
  </si>
  <si>
    <t xml:space="preserve">12/12/2024 continua con la  validación y estima  terminarla 12 de diciembre
16/12/2024 Continua en la  validación de las  vulnerabilidad.
17/12/2024 Pendientes terminar de subir  cambios.
18/12/2024 Paso a produccion </t>
  </si>
  <si>
    <t xml:space="preserve"> Boolean Based SQL Injection
(incidencias a nivel general de Nativo)</t>
  </si>
  <si>
    <t>16/12/2024 16/12/2024 Continua en la  validación de las  vulnerabilidad.
17/12/2024 Pendientes terminar de subir  cambios.
18/12/2024 Paso a produccion</t>
  </si>
  <si>
    <t>Cierre de casos de la vista materializada</t>
  </si>
  <si>
    <t>Revisar las plantillas de salud no se estan guardando ni mostrando en la generación de respuesta</t>
  </si>
  <si>
    <t xml:space="preserve">18/12/2024 Pendiente  pruebas  para  pasar a produccion </t>
  </si>
  <si>
    <t>Visualizacion historico malla celulas</t>
  </si>
  <si>
    <t>MDSB-728431 marcar en un color diferencial los casos de moneda extranjera en la bandeja del analista o auditor(reembolsos)</t>
  </si>
  <si>
    <t>MDSB-722921 Informe de control de pendientes de reembolsos salud</t>
  </si>
  <si>
    <t>Creción del menu para informes</t>
  </si>
  <si>
    <t>*10/12/2024 Inicia  desarrollo.
16/12/2024 pendiente radicación de  control de cambios (Indices). Control de cambios para test MDSB-727561, Jira ejecutado correctamente en test
18/12/2024 Solucion de errores en el conteo de dias ok, pendiente cambio de usuario de imagine
20/12/2024 control de  cambios en PRD MDSB-729552 se ejecuto correctamente. Pendiente menu de descarga.
23/12/2024 Se entrega vista de informe en  produccion</t>
  </si>
  <si>
    <t>Consulta de caso del portal en bandeja de pendientes</t>
  </si>
  <si>
    <t>10/12/2024 se paso directamente a produccion.</t>
  </si>
  <si>
    <t>Retoma de casos</t>
  </si>
  <si>
    <t xml:space="preserve">12/12/2024 La opcion de retoma que existe hoy  en dia funciona  para la  cunmplir la necesidad </t>
  </si>
  <si>
    <t>Reasignacion de casos</t>
  </si>
  <si>
    <t>12/12/2024 Corregira error en la trazabilidad y se estima pasar a test  12 de diciembre.</t>
  </si>
  <si>
    <t xml:space="preserve">Paso a ambientes bajos de Lectura de archivos en python </t>
  </si>
  <si>
    <t>18/12/2024 Se llevara acabo sesion para iniciar paso a dev. Por  recursos del servidos del ambiente de dev no es posible ejecutar la aplicación, se realizara prueba en produccion en la  intancia de portales.</t>
  </si>
  <si>
    <t>Ajuste reembolsos para  poder simular el envio a Sisalud</t>
  </si>
  <si>
    <t>MDSB-734746 Creación de habilidad para crear RT</t>
  </si>
  <si>
    <t>Se realiza ajustes solicitado y se realiza entrega a  Santiago Prieto y Alexandra González.</t>
  </si>
  <si>
    <t>Informe de Reembolsos</t>
  </si>
  <si>
    <t>Informe de infraestructura</t>
  </si>
  <si>
    <t>MDSB-734626 caso de autorizaciones sin adjuntos</t>
  </si>
  <si>
    <t xml:space="preserve">No fue posible recuperar los  adjuntos </t>
  </si>
  <si>
    <t xml:space="preserve">No genera informe 472 fisico </t>
  </si>
  <si>
    <t>16/12/2024 Se debe  realizar  validación de consultas.
26/12/2024 ontinua con validaciones 
30/12/2024 Error en en el diligenciamiento del archivo de carga</t>
  </si>
  <si>
    <t>MDSB-735323 casos sin adjuntos notificación ( 30945076 y 30945045)</t>
  </si>
  <si>
    <t>Lectura de archivos en python</t>
  </si>
  <si>
    <t>Implementación en produccion</t>
  </si>
  <si>
    <t xml:space="preserve">07/01/2025 Evaluara el comportamiento del servicio al implementarlo en produccion.
08/01/2025 se realizan pruebas en produccion 7 de enero en la tarde arrojando resultados  exitosos, se debe ajustar la respuesta del json.
</t>
  </si>
  <si>
    <t>Vallidar hallazgos de portal proveedores</t>
  </si>
  <si>
    <t>No permite realizar la consulta por nit en el aplicativo (Nativo)</t>
  </si>
  <si>
    <t xml:space="preserve"> Ajustar el nombre del módulo a “Radicación de proveedores”</t>
  </si>
  <si>
    <t>MDSB-739336 Informe de tipologias activas y el area a la  que corresponde</t>
  </si>
  <si>
    <t xml:space="preserve">Ajuste de formato de fechas lago de datos </t>
  </si>
  <si>
    <t>Cambios en el  codigo y creacion de vistas</t>
  </si>
  <si>
    <t>08/01/2025 Se debe escalar control de  cambios en test  para la creación de alter
08/01/2025 se escala control de cambios en test MDSB-739779
09/01/2025 Control de cambios en test ejecutado.</t>
  </si>
  <si>
    <t>GD772-54  Radicacion Proveedor por portal ARL (Formato At - 031 Hoja De Seguimiento)</t>
  </si>
  <si>
    <t>*13/11/2024 Se estima 2 dias de desarrollo con pruebas.
*15/11/2024 comienza ejecución
25/11/2024, El dia  viernes 22 de noviembre termino el  paso 1 y 25 de noviembre inicia paso 2 el cual estima  terminar 25 de Noviembre. 
*27/11/2024 desarrollo en test, presenta error en la  visualizacion de  campos en nativo.
*28/11/2024 Solucion de error reportado 27 de noviembre.
*04/12/2024 Pendiente realizar pruebas de los ajustes de los hallazgos reportados el 28 de Noviembre
* 06/12/2024 Se han realizado pruebas a los ajustes de los hallazgos y se confirma que los resultados fueron exitosos, garantizando que el proceso de radicación se ejecuta correctamente
18/12/2024 entregado a bolivar para pruebas 
10/01/2025 Paso a produccion 10 de enero de 2025</t>
  </si>
  <si>
    <r>
      <rPr>
        <rFont val="Quattrocento Sans"/>
        <b/>
        <color theme="1"/>
        <sz val="11.0"/>
      </rPr>
      <t>PASO 1</t>
    </r>
    <r>
      <rPr>
        <rFont val="Quattrocento Sans"/>
        <color theme="1"/>
        <sz val="11.0"/>
      </rPr>
      <t xml:space="preserve">
</t>
    </r>
    <r>
      <rPr>
        <rFont val="Quattrocento Sans"/>
        <b/>
        <color theme="1"/>
        <sz val="11.0"/>
      </rPr>
      <t>H1</t>
    </r>
    <r>
      <rPr>
        <rFont val="Quattrocento Sans"/>
        <color theme="1"/>
        <sz val="11.0"/>
      </rPr>
      <t xml:space="preserve"> Crear en el portal de solicitudes ARL opción de radicación de proveedores
</t>
    </r>
    <r>
      <rPr>
        <rFont val="Quattrocento Sans"/>
        <b/>
        <color theme="1"/>
        <sz val="11.0"/>
      </rPr>
      <t>H2</t>
    </r>
    <r>
      <rPr>
        <rFont val="Quattrocento Sans"/>
        <color theme="1"/>
        <sz val="11.0"/>
      </rPr>
      <t xml:space="preserve"> Creación de formulario para radicación 
</t>
    </r>
    <r>
      <rPr>
        <rFont val="Quattrocento Sans"/>
        <b/>
        <color theme="1"/>
        <sz val="11.0"/>
      </rPr>
      <t>H5</t>
    </r>
    <r>
      <rPr>
        <rFont val="Quattrocento Sans"/>
        <color theme="1"/>
        <sz val="11.0"/>
      </rPr>
      <t xml:space="preserve"> Precargar datos proveedor</t>
    </r>
  </si>
  <si>
    <t>*15/11/2024 Genera error al confirgurar campos.
*18/11/2024 Continua con la validación del error. 
*19/11/2024 Se detuvo la gestion, ya que empleo gran parte del tiempo atendiendo la caida de los ambientes dev y test
*27/11/2024 en test</t>
  </si>
  <si>
    <r>
      <rPr>
        <rFont val="Quattrocento Sans"/>
        <b/>
        <color theme="1"/>
        <sz val="11.0"/>
      </rPr>
      <t>PASO 2</t>
    </r>
    <r>
      <rPr>
        <rFont val="Quattrocento Sans"/>
        <color theme="1"/>
        <sz val="11.0"/>
      </rPr>
      <t xml:space="preserve">
</t>
    </r>
    <r>
      <rPr>
        <rFont val="Quattrocento Sans"/>
        <b/>
        <color theme="1"/>
        <sz val="11.0"/>
      </rPr>
      <t>H2</t>
    </r>
    <r>
      <rPr>
        <rFont val="Quattrocento Sans"/>
        <color theme="1"/>
        <sz val="11.0"/>
      </rPr>
      <t xml:space="preserve"> Creación de formulario para radicación.
</t>
    </r>
  </si>
  <si>
    <t>*25/11/2024 Formularios  ok
*27/11/2024 en test</t>
  </si>
  <si>
    <r>
      <rPr>
        <rFont val="Quattrocento Sans"/>
        <b/>
        <color theme="1"/>
        <sz val="11.0"/>
      </rPr>
      <t>PASO 3</t>
    </r>
    <r>
      <rPr>
        <rFont val="Quattrocento Sans"/>
        <color theme="1"/>
        <sz val="11.0"/>
      </rPr>
      <t xml:space="preserve">
</t>
    </r>
    <r>
      <rPr>
        <rFont val="Quattrocento Sans"/>
        <b/>
        <color theme="1"/>
        <sz val="11.0"/>
      </rPr>
      <t>H4</t>
    </r>
    <r>
      <rPr>
        <rFont val="Quattrocento Sans"/>
        <color theme="1"/>
        <sz val="11.0"/>
      </rPr>
      <t xml:space="preserve"> Debe permitir subir varios archivos.
</t>
    </r>
    <r>
      <rPr>
        <rFont val="Quattrocento Sans"/>
        <b/>
        <color theme="1"/>
        <sz val="11.0"/>
      </rPr>
      <t>H3</t>
    </r>
    <r>
      <rPr>
        <rFont val="Quattrocento Sans"/>
        <color theme="1"/>
        <sz val="11.0"/>
      </rPr>
      <t xml:space="preserve"> Asociacion de tipología portal vs nativo.
</t>
    </r>
    <r>
      <rPr>
        <rFont val="Quattrocento Sans"/>
        <b/>
        <color theme="1"/>
        <sz val="11.0"/>
      </rPr>
      <t>H4</t>
    </r>
    <r>
      <rPr>
        <rFont val="Quattrocento Sans"/>
        <color theme="1"/>
        <sz val="11.0"/>
      </rPr>
      <t xml:space="preserve"> Opción consulta casos en portal ARL</t>
    </r>
  </si>
  <si>
    <r>
      <rPr>
        <rFont val="Quattrocento Sans"/>
        <color theme="1"/>
        <sz val="11.0"/>
      </rPr>
      <t>*25/11/2024  Administración de archivos finalizado 
26/11/2024 continua con la  H3 
*</t>
    </r>
    <r>
      <rPr>
        <rFont val="Quattrocento Sans"/>
        <b/>
        <color theme="1"/>
        <sz val="11.0"/>
      </rPr>
      <t>27/11/2024 Trabajara en error al  replicar los  casos en nativo, no se visualizan algunos  campos.
*28/11/2024 subir  cambios de los  ajustes de los errores de la replica de nativo.</t>
    </r>
  </si>
  <si>
    <t>Ajustes de halazgos pruebas test</t>
  </si>
  <si>
    <t>02/12/2024 Inciara validaciones 
*03/12/2024 Falta la incidencia # 8 
04/12/2024 Pendiente realizar  pruebas de los  ajustes.
06/12/2024 Se han realizado pruebas a los ajustes de los hallazgos y se confirma que los resultados fueron exitosos, garantizando que el proceso de radicación se ejecuta correctamente</t>
  </si>
  <si>
    <t xml:space="preserve">Cookie Without Secure Flag Detected </t>
  </si>
  <si>
    <t>*10/12/2024 Continua con la  implementación.
19/12/2024 continua con las correcciones.
20/12/2024 EN TEST.
10/01/2025 Se despliega a produccion</t>
  </si>
  <si>
    <t>Cookie Without HttpOnly Flag Detected</t>
  </si>
  <si>
    <t>19/12/2024 continua con las correcciones.
20/12/2024 en test.
10/01/2025 Se despliega a produccion</t>
  </si>
  <si>
    <t>Cookie Without SameSite Flag Detected</t>
  </si>
  <si>
    <t>19/12/2024 continua con las correcciones.
20/12/2024 continua con las correcciones.
10/01/2025 10/01/2025 Se despliega a produccion</t>
  </si>
  <si>
    <t xml:space="preserve"> Missing Content Security Policy </t>
  </si>
  <si>
    <t>19/12/2024 continua con las correcciones.
20/12/2024 continua con las correcciones.
10/01/2025 Se despliega a produccion</t>
  </si>
  <si>
    <t>Hacer comando en medicamenteos para el cierre de caso despues de 3 dias del envio de la respuesta si no se obtiene resuesta</t>
  </si>
  <si>
    <t>MDSB-740230 Informe tipologia 10182 incluyendo campos (caso - fecha radicación- fecha cierre -  Razón social - Tipología en la que se cerró el caso- Área de la tipología)</t>
  </si>
  <si>
    <t>MDSB-739939 Desahabilitar plantilla  y validar adjuntos  requeridos en solicitudes ARL</t>
  </si>
  <si>
    <t>14/01/2025 Se ajusta en test por codigo la desabilitación del archivo descargable, pendiente solucionar los adjuntos  requeridos.</t>
  </si>
  <si>
    <t xml:space="preserve">MDSB-734210 Validar observaciones de la tipologia "Estrategia CAVI"  y adiocionar al  informe de tipologias </t>
  </si>
  <si>
    <t xml:space="preserve">GD772-47 - Requerimiento ajuste comunicados de cartera </t>
  </si>
  <si>
    <t xml:space="preserve">Enviar script para solicitar control de cambios a produccion </t>
  </si>
  <si>
    <t>20/01/2025 No se creara mas controles de cambios se dejara el creado en Diciembre MDSB-732153</t>
  </si>
  <si>
    <t>Validar error al ejecutar el comando en test</t>
  </si>
  <si>
    <t>Validar cargue de archivo de trabajadores enviado por Doria</t>
  </si>
  <si>
    <t>16/01/2025 Fabio realiza la validacion y no hay error, solo que el archivo es demasiado grande y se debe cargar seccionado.</t>
  </si>
  <si>
    <t>MDSB-740958 Error en el tipo de correo para gestión de devoluciones</t>
  </si>
  <si>
    <t>14/01/2025 Se detiene para  trabajar jira  MDSB-738724.</t>
  </si>
  <si>
    <t>MDSB-738724  Revisar asignación de casos para que se puedan gestionar,(Radicados por el proveedor)</t>
  </si>
  <si>
    <t>13/01/2025: el viernes 10 de enero  realiza validaciones pero no evidencia el error.
14/01/2025 a un no se identifica la causa del error, 
16/01/2025 se evidencia un dos cedulas con el mismo nombre.
16/01/2025, Se evidencia que no es un error del aplicativo, sino que corresponde a la creacion del mismo usuario con numero de CC diferentes.</t>
  </si>
  <si>
    <t>MDSB-746480 Subir a la malla de asignación tipologías</t>
  </si>
  <si>
    <t>MDSB-706522 Tablero de Indicadores de control de la operación, control imagine y validación factura imagine</t>
  </si>
  <si>
    <t>*27/11/2024 Ya esta creada la vista y validara el query entregado por Jenry. 
*28/11/2024 inicia  en la  elaboración del  primer  indicador.</t>
  </si>
  <si>
    <t>Oportunidad Radicación en Sisalud</t>
  </si>
  <si>
    <t xml:space="preserve">*02/12/2024 continua  con ajustes 
03/12/2024 se subira a test 
*04/12/2024 Pendiente subir a test. Sin acceso a test
*05/12/2024 Pendiente permisos en test para  subir ajustes.
*10/12/2024 Indicador  ya se encuentra en produccion.
</t>
  </si>
  <si>
    <t>Oportunidad en la gestion de  inconsistencias</t>
  </si>
  <si>
    <t>*04/12/2024 En proceso
*05/12/2024 continua con el desarrollo, se estima  subir a test 5 de diciembre.
*06/12/2024 en produccion incompleto para pruebas solo con el usuario de jenry
*09/12/2024 Pendiente realizar ajustes indicados por Jenry
*10/12/2024 pendiente dividir el informe de  inconsistencias de bolivar y de Imagine.
*27/12/2024 Realizara la  division de  usuarios de bolivar y de Imagine.
30/12/2024 inicia  con la separación de usuarios, Creación de la  vista</t>
  </si>
  <si>
    <t>MDSB-728389 Crear tipos de documento para disparar servicio</t>
  </si>
  <si>
    <r>
      <rPr>
        <rFont val="Quattrocento Sans"/>
        <b/>
        <color theme="1"/>
        <sz val="11.0"/>
      </rPr>
      <t xml:space="preserve">19/12/2024 </t>
    </r>
    <r>
      <rPr>
        <rFont val="Quattrocento Sans"/>
        <b val="0"/>
        <color theme="1"/>
        <sz val="11.0"/>
      </rPr>
      <t>Los tipos de documentos se encuentran quemados en el  codigo en prd, pendiente realizar tabla para manejar los  portales.
20/12/2024 pendiente realizar tabla para manejar los  portales.</t>
    </r>
  </si>
  <si>
    <t>Comando en incapacidades para los casos  que quedan en devolucion y no se cierran y los que generan doble actividad</t>
  </si>
  <si>
    <t>1.Dos actividades abiertas
2, Cuando hay cierre  caso y queda una actividad abierta
3. Cuando queda en devolucion abierta.</t>
  </si>
  <si>
    <t>13/01/2025 Continuara con el desarrollo.
15/01/2025 Entregara hoy
20/01/2025 Se pasara a producción hoy.</t>
  </si>
  <si>
    <t>MDSB-744896 a la  usuaria no le aparece el boton  para gestionar el caso 30236793</t>
  </si>
  <si>
    <t>23/01/2025 Se identifica que el problema es cuando se obtienen radicaciones del buzon se validara el  proceso con Freddy tibocha y se sugiere crear otro caso para la gestion del que presenta la inconsistencia.</t>
  </si>
  <si>
    <t>MDSB-738836  Se evidencia que los casos asignados a los usuarios 1106308141 y 1024530884 no aparecen en los informes de Arl.</t>
  </si>
  <si>
    <t>FINALIZADOS</t>
  </si>
  <si>
    <t>14/01/2025se soluciona error reportado al consultar los  uusarios en la reasignacion por tipologias, quedo en  producción   y la solucion definitiva esta en test.
15/01/2025 Continuara con la valida de los usuario que en administración  quedan con un area y rol difeente al que  se muestra en la  reasignación
16/01/2025 Usuario indica que aun los casos  radicados no se contabilizan en un informe de efectividad, estamos a las espera de la ruta de dicho informe para  validar.
23/01/2025 Se identifica error en el codigo del area de la  tabla de usuarios.</t>
  </si>
  <si>
    <t>Ajustar Formato informes ARL en Yii</t>
  </si>
  <si>
    <t>08/01/2025 Se  subiran ajustes a test 
10/01/2025 se sube a test el 9 de enero
17/01/2025 Se realiza paso a producción 
20/01/2025 Debe  validar formularios que aun no traen el formato de fecha correcto
20/01/2025 Solucion lista para  subir a test 
22/01/2025 SE SUBEN AJUSTES  A PRD EL  21 DE ENERO</t>
  </si>
  <si>
    <t>GD772- 77 ADICIONAR 2 INFORMES, GLOSAS E INCONSISTENCIAS  PARA REEMBOLSOS</t>
  </si>
  <si>
    <t xml:space="preserve">Ajustar informes glosas </t>
  </si>
  <si>
    <t>no incluir reembolsos</t>
  </si>
  <si>
    <t xml:space="preserve">GD772-75 Simulacion  la radicacion de reembolsos según mensaje tipo y numero de documento </t>
  </si>
  <si>
    <t>GD772-76 Cambio en el calculo de los informes de reembolsos</t>
  </si>
  <si>
    <t xml:space="preserve">GD772-46 REQ DE MEDICAMENTOS </t>
  </si>
  <si>
    <t>Resolver incidencias reportadas por bolivar 10 de enero (7 puntos)</t>
  </si>
  <si>
    <t>DESPLIEGUE PRODUCCION</t>
  </si>
  <si>
    <t>13/01/2025 Subira a test para  ir probando.
14/01/2025 pendiente solucionar el  punto 6 Informe de salida de correos.
16/01/2025 pendiente retirar del  informe de salida de correos los  casos que se encuentran pendientes de gestion.</t>
  </si>
  <si>
    <t>Agregar en la  gestion  una pestaña para  el  historial de reembolsos por CC</t>
  </si>
  <si>
    <t>27/01/2025 entregar a Jenry para subir aproduccion 
29/01/2025 se pasara a produccion y se actualizara test.</t>
  </si>
  <si>
    <t>Redireccionamiento del viejo portal al nuevo portal de ARL</t>
  </si>
  <si>
    <t>Se estima medio día</t>
  </si>
  <si>
    <t>29/01/2025 Continua con el redirecionamiento.</t>
  </si>
  <si>
    <t>MDSB-752092 ERROR  FLUJO  Tipología  10537  Dictamen Pcl Afp Y Comun</t>
  </si>
  <si>
    <t>No se identifico error ya que la tipologia esta para la radicacion de casos del buzon.</t>
  </si>
  <si>
    <t>Req boton anular Caso en pensiones</t>
  </si>
  <si>
    <t>30/01/2025 INCLUIR BOTON  EN CONSULTA 
31/01/2025 se sube a produccion el 30 de enero</t>
  </si>
  <si>
    <t>Ajustar envio de adjuntos para AFIN</t>
  </si>
  <si>
    <t>Validar error en autollenado del nombre trabajador /razon social empresa en portales  test y produccion.</t>
  </si>
  <si>
    <t xml:space="preserve">29/01/2025 se realiza validaciones y no es posible una solucion, se continuara despues de Redireccionamiento del viejo portal al nuevo portal de ARL.
30/01/2025 Continuara  con la validacion del campo y realizacion de  cambios.
31/01/2025 Continua con la validación del error  y  se espera dejar solucionado hoy.
</t>
  </si>
  <si>
    <t>Ajuste de glosas por procedimeinto en ARL</t>
  </si>
  <si>
    <r>
      <rPr>
        <rFont val="Quattrocento Sans"/>
        <color theme="1"/>
        <sz val="11.0"/>
      </rPr>
      <t>*04/12/2024 Subira a teste hoy, pendiente de ajustar boton de tramitar envio.
*05/12/2024 Pendiente permisos en test para  subir ajustes.
*10/12/2024 se subira a test.
*11/12/2024 En test  para  pruebas.
*</t>
    </r>
    <r>
      <rPr>
        <rFont val="Quattrocento Sans"/>
        <b/>
        <color theme="1"/>
        <sz val="11.0"/>
      </rPr>
      <t>12/12/2024 Validar error  en test
17/12/2024 Pendiente validar error en test
20/12/2024 Pendiente validar error en test
23/12/2024 continua validando error
26/12/2024 Corregir error en test
27/12/2024 Realiza  correccion de errores y cambios de validación, quedan en test
03/02/2025 Sube a producción</t>
    </r>
  </si>
  <si>
    <t>Cambio de lógica en la recepción de los nuevos rips en el portal de facturas</t>
  </si>
  <si>
    <t>Actulizar con respecto a Master  correguir conflictos</t>
  </si>
  <si>
    <t>04/02/2025 en proceso de estabilizacion</t>
  </si>
  <si>
    <t>Llenar las nuevas tablas de rips</t>
  </si>
  <si>
    <r>
      <rPr>
        <rFont val="Quattrocento Sans"/>
        <color theme="1"/>
        <sz val="11.0"/>
      </rPr>
      <t xml:space="preserve">*01/10/2024, Se solicita control de cambios producción MDSB-678685 30 de septiembre
*02/10/2024 estado jira MDSB-678685  en Validación
</t>
    </r>
    <r>
      <rPr>
        <rFont val="Segoe UI"/>
        <b/>
        <color theme="1"/>
        <sz val="11.0"/>
      </rPr>
      <t xml:space="preserve">*03/10/2024 Jira ejecutado correctamente, Pendiente  pasar código a  producción por cambios en la resolución. </t>
    </r>
  </si>
  <si>
    <t xml:space="preserve">Validación de cartas </t>
  </si>
  <si>
    <r>
      <rPr>
        <rFont val="Quattrocento Sans"/>
        <color theme="1"/>
        <sz val="11.0"/>
      </rPr>
      <t xml:space="preserve">* 02/10/2024 pendiente ajustar plantilla de radicación y de las devoluciones de nota crédito.
*04/10/2024 Continuara ya que se dedico a trabajar en el envió de correos d autorizaciones.
</t>
    </r>
    <r>
      <rPr>
        <rFont val="Quattrocento Sans"/>
        <b/>
        <color theme="1"/>
        <sz val="11.0"/>
      </rPr>
      <t>*07/10/2024, Se detiene para continuar trabajando en reembolsos.
04/02/2025 Reinicia ajuste.</t>
    </r>
  </si>
  <si>
    <t>consulta del CUV</t>
  </si>
  <si>
    <r>
      <rPr>
        <rFont val="Quattrocento Sans"/>
        <b/>
        <color theme="1"/>
        <sz val="11.0"/>
      </rPr>
      <t xml:space="preserve">*03/10/2024 </t>
    </r>
    <r>
      <rPr>
        <rFont val="Quattrocento Sans"/>
        <b val="0"/>
        <color theme="1"/>
        <sz val="11.0"/>
      </rPr>
      <t>En cuanto a código ya esta listo, se sesión  hoy con Bolívar  para  validar la demora en la respuesta del  recuso suministrado</t>
    </r>
    <r>
      <rPr>
        <rFont val="Quattrocento Sans"/>
        <b/>
        <color theme="1"/>
        <sz val="11.0"/>
      </rPr>
      <t xml:space="preserve">
*07/10/2024, Se detiene para continuar trabajando en reembolsos.</t>
    </r>
  </si>
  <si>
    <t>Glosas con nueva estructura (norma 2284)</t>
  </si>
  <si>
    <r>
      <rPr>
        <rFont val="Quattrocento Sans"/>
        <color theme="1"/>
        <sz val="11.0"/>
      </rPr>
      <t>*12/09/2024 Pendiente envió de facturas de partes de bolívar para  Realizar pruebas 
*02/10/2024 pasara  a producción  con el portal, pendiente aclaración de carta de glosa efectiva y masiva.</t>
    </r>
    <r>
      <rPr>
        <rFont val="Segoe UI"/>
        <b/>
        <color theme="1"/>
        <sz val="11.0"/>
      </rPr>
      <t xml:space="preserve">
*03/10/2024 resolución cambio en las fechas de salida, queda pendiente pasar código a  producción.</t>
    </r>
  </si>
  <si>
    <t>*22/10/2024 Se realizara sesion con Jenifer para despejar dudas.
*23/10/2024 Jenifer  enviara información detallada  para cada una de las tipologias.
*28/10/2024 24 de Octubre Jennifer envia las estructuras finales.
*06/11/2024 Continuara Luis con el desarrollo del  req, se realizara sesion de entendimiento. (22/11/2024).
*07/11/2024 Luis iniciara tan pronto termine el req GD772-51
*13/11/2024 Se da sesion de entendimiento e inicia con el desarrollo, Validación de la lógica y flijo.
*14/11/2024 inicio de la  implementación
*19/11/2024 solicitara  paso a TEST para inicio de pruebas.
*21/11/2024 Se realizan preubas en test no y genera errores, El requerimiento lo  retomara Johan la  proxima  semana.
* 28/11/2024 Johan retoma  req, en creación de los archivos .csv
*02/12/2024 Jira de control de cambios test MDSB-717693 en estado abierta, control de cambios ejecutado...
19/12/2024 Realizar ajustes  finales para la entrega.
23/12/2024 Se entrega req a bolivar  para  pruebas el 20 de diciembre 
Se escala control de cambios prd MDSB-732153
27/01/2025 dan go para  paso a produccion.
01/02/2025 Control de cambios ejecutado correctamente</t>
  </si>
  <si>
    <t>Creacion de archivos csv</t>
  </si>
  <si>
    <t>29/11/2024 se escala  control de cambios MDSB-717693 en test.</t>
  </si>
  <si>
    <t>Salida de correos por Exchange copia al correo de novedades, solo las 2 tipologías que salen por arl correo certificado no cambia</t>
  </si>
  <si>
    <t>Modificar proformas de acuerdo a las plantillas de Word del req</t>
  </si>
  <si>
    <t>Validar que las devoluciones  caigan a quien debe ser.</t>
  </si>
  <si>
    <t>09/12/2024 Continua con la validación.
10/12/2024 se implementa un cron que  todos los días va a revisar los casos en estado devolución y garantizara que queden a quien realizó el envío masivo</t>
  </si>
  <si>
    <t>Pruebas en test para entregar a Bolivar</t>
  </si>
  <si>
    <t>19/12/2024 Realizar ajustes  finales para la entrega.</t>
  </si>
  <si>
    <t>ADICION DE CAMPO TIPO DE DOCUMENTO EN ARCHIVO GD772-47  COMUNICADOS DE CARTERA</t>
  </si>
  <si>
    <t xml:space="preserve">07/01/2025 se sube cambio a test </t>
  </si>
  <si>
    <t>H2 Crear menú con nombre:  Autorizaciones, bandeja autorizaciones</t>
  </si>
  <si>
    <t>05/02/2025 Control de cambios produccion  MDSB-755413 ejecutado correctamente.
06/02/2025 Despliegue  programado para el  10 de Febrero.</t>
  </si>
  <si>
    <t xml:space="preserve">H3 Creación de menú administración autorizaciones </t>
  </si>
  <si>
    <r>
      <rPr>
        <rFont val="Quattrocento Sans"/>
        <color theme="1"/>
        <sz val="11.0"/>
      </rPr>
      <t xml:space="preserve">*10/10/2024 Vista de reasignación ok, En realización de la lógica de las vistas ya creadas. Estima entrega  para 11 de octubre
*15/10/2024. En local ya esta lista la  creación de casos 
*16/10/2024 se estima la entrega de la  historia para 17 de octubre.
*17/10/2024 Implementar la  logica que el caso se asigne correctamente.
* </t>
    </r>
    <r>
      <rPr>
        <rFont val="Quattrocento Sans"/>
        <b/>
        <color theme="1"/>
        <sz val="11.0"/>
      </rPr>
      <t xml:space="preserve">22/10/2024 Jesus se encuentra incapacitado hasta del 21 hasta el 29 de Octubre
*29/10/2024 Reinicia  gestion en dev, crear  campos  y  realizar pruebas..
*30/10/2024 Presenta error al ingresar a aws para  ingresar a dev
*01/11/2024 Finalizado en local, pendiente permisos en dev para realizar pruebas.
*06/11/2024 acceso a dev solucionado, subira desarrollo a dev 
*03/12/2024 solicitar control de cambios a test </t>
    </r>
  </si>
  <si>
    <t>H4 Creación de opción asignación por tiempos</t>
  </si>
  <si>
    <r>
      <rPr>
        <rFont val="Quattrocento Sans"/>
        <color theme="1"/>
        <sz val="11.0"/>
      </rPr>
      <t>*09/10/2024 Confirmar  fecha de finalización
*10/10/2024 En realización de la lógica de las vistas ya creadas estima entrega  para 11 de octubre
*11/10/2024 Se acalraran dudas con Jenry en la asignación de casos a los usuarios.
*15/10/2024 se realiza entendimiento con Jenry asignación de casos por tiempos, se debe validar si en caso de no tener usuarios activos habrá uno que este las 24 H disponible para recibir los casos.
*16/10/2024 creación de nueva tabla.
*16/10/2024 se estima la entrega de la  historia para 17 de octubre
*17/10/2024 realizo la vista de asignacón por tiempos y cambio de fechas de asignación, continua con la  reasignación.
* 18/10/2024 subira a develo
*</t>
    </r>
    <r>
      <rPr>
        <rFont val="Quattrocento Sans"/>
        <b/>
        <color theme="1"/>
        <sz val="11.0"/>
      </rPr>
      <t>22/10/2024 Jesus se encuentra incapacitado hasta del 21 hasta el 29 de Octubre
*29/10/2024 Reinicia  gestion en dev Reinicia  gestion en dev, crear  campos  y  realizar pruebas..
*30/10/2024 Presenta error al ingresar a aws para  ingresar a dev
*01/11/2024 Finalizado en local, pendiente permisos en dev para realizar pruebas.
06/11/2024 acceso a dev solucionado, subira desarrollo a dev</t>
    </r>
  </si>
  <si>
    <r>
      <rPr>
        <rFont val="Quattrocento Sans"/>
        <b/>
        <color theme="1"/>
        <sz val="11.0"/>
      </rPr>
      <t>H5</t>
    </r>
    <r>
      <rPr>
        <rFont val="Quattrocento Sans"/>
        <color theme="1"/>
        <sz val="11.0"/>
      </rPr>
      <t xml:space="preserve"> Crear dentro del menú con Autorizaciones, opción:  Administración Autorizaciones /Agregar proveedor -Gestor farmaceutico (Crud)</t>
    </r>
  </si>
  <si>
    <t>*30/10/2024 Inicia desarrollo 29 de octubre  de esta historia.
*31/10/2024 Continua con el desarrollo.
*01/11/2024 finalizado en local
*06/11/2024 acceso a dev solucionado, subira desarrollo a dev</t>
  </si>
  <si>
    <r>
      <rPr>
        <rFont val="Quattrocento Sans"/>
        <b/>
        <color theme="1"/>
        <sz val="11.0"/>
      </rPr>
      <t>H6</t>
    </r>
    <r>
      <rPr>
        <rFont val="Quattrocento Sans"/>
        <color theme="1"/>
        <sz val="11.0"/>
      </rPr>
      <t xml:space="preserve"> Crear la opción cargue grupo afin dentro del menu administración.</t>
    </r>
  </si>
  <si>
    <t>*01/11/2024 Inicio de desarrollo.
*06/11/2024 solucionar error y subr a dev
*07/11/2024 Validar error en el paginador</t>
  </si>
  <si>
    <t>H7 Creación Bandeja de gestión Autorizaciones</t>
  </si>
  <si>
    <t xml:space="preserve">*06/11/2024 Inicia desarrollo  y confirmara  tiempo estimado de entrega.
*07/11/2024 Estima finalizar desarrollo  8 de noviembre en la tarde.
*12/11/2024 Fecha de entrega 13 de noviembre.
*14/11/2024 finalizado en local, realiza paso oa Dev.
* 04/12/2024 Adiciono actividad faltante </t>
  </si>
  <si>
    <r>
      <rPr>
        <rFont val="Quattrocento Sans"/>
        <b/>
        <color theme="1"/>
        <sz val="11.0"/>
      </rPr>
      <t xml:space="preserve">H8 Creación funcionalidad Bandeja de gestión Autorizaciones </t>
    </r>
    <r>
      <rPr>
        <rFont val="Quattrocento Sans"/>
        <color theme="1"/>
        <sz val="11.0"/>
      </rPr>
      <t xml:space="preserve">
* Crear campos dinamicos en Yii
* Organizar vista de gestion (Flujo).</t>
    </r>
  </si>
  <si>
    <t>*14/11/2024 inicia y pendiente estimar entrega.
*15/11/2024 el 14 de noviembre organiza la  vista del flujo y realiza pruebas radicando casos desde el portal, 15 de noviembre se encuentra disfrutando del dia de la familia.
*18/11/2024 Continuara sulicionar errores (muestra de imagenes en gestión)en dev  para  continuar con el  flujo, 3 prueba en Dev..
*19/11/2024 Continua con eldesarrollo creando modal.
*20/11/2024 Solicitara control de cambios en test
*22/11/2024 Se solicita control de cambios en test MDSB-712296</t>
  </si>
  <si>
    <r>
      <rPr>
        <rFont val="Quattrocento Sans"/>
        <b/>
        <color theme="1"/>
        <sz val="11.0"/>
      </rPr>
      <t>H9</t>
    </r>
    <r>
      <rPr>
        <rFont val="Quattrocento Sans"/>
        <color theme="1"/>
        <sz val="11.0"/>
      </rPr>
      <t xml:space="preserve"> Creación funcionalidad Bandeja de gestión Autorizaciones -</t>
    </r>
    <r>
      <rPr>
        <rFont val="Quattrocento Sans"/>
        <b/>
        <color theme="1"/>
        <sz val="11.0"/>
      </rPr>
      <t xml:space="preserve"> Medicamento autorización total</t>
    </r>
    <r>
      <rPr>
        <rFont val="Quattrocento Sans"/>
        <color theme="1"/>
        <sz val="11.0"/>
      </rPr>
      <t>:</t>
    </r>
  </si>
  <si>
    <r>
      <rPr>
        <rFont val="Quattrocento Sans"/>
        <color theme="1"/>
        <sz val="11.0"/>
      </rPr>
      <t xml:space="preserve">25/11/2024 Modal finalizado 21 de noviembre en local.
*27/11/2024 Generación de plantaillas de envio = ok.
</t>
    </r>
    <r>
      <rPr>
        <rFont val="Quattrocento Sans"/>
        <b/>
        <color theme="1"/>
        <sz val="11.0"/>
      </rPr>
      <t>28/11/2024 Implementar envio de correo a proveedor = ok</t>
    </r>
  </si>
  <si>
    <r>
      <rPr>
        <rFont val="Quattrocento Sans"/>
        <b/>
        <color theme="1"/>
        <sz val="11.0"/>
      </rPr>
      <t>H10</t>
    </r>
    <r>
      <rPr>
        <rFont val="Quattrocento Sans"/>
        <color theme="1"/>
        <sz val="11.0"/>
      </rPr>
      <t xml:space="preserve"> Creación funcionalidad Bandeja de gestión Autorizaciones - </t>
    </r>
    <r>
      <rPr>
        <rFont val="Quattrocento Sans"/>
        <b/>
        <color theme="1"/>
        <sz val="11.0"/>
      </rPr>
      <t>Medicamento autorización parcial:</t>
    </r>
  </si>
  <si>
    <r>
      <rPr>
        <rFont val="Quattrocento Sans"/>
        <color theme="1"/>
        <sz val="11.0"/>
      </rPr>
      <t xml:space="preserve">*25/11/2024 estima finalizar el modal 25 de noviembre.
* 26/11/2024 Pendiente ajuste de la logica  
*27/11/2024 Generación de plantaillas de envio =ok.
</t>
    </r>
    <r>
      <rPr>
        <rFont val="Quattrocento Sans"/>
        <b/>
        <color theme="1"/>
        <sz val="11.0"/>
      </rPr>
      <t>*28/11/2024 Implementar envio de correo a proveedor.=ok</t>
    </r>
  </si>
  <si>
    <r>
      <rPr>
        <rFont val="Quattrocento Sans"/>
        <color theme="1"/>
        <sz val="11.0"/>
      </rPr>
      <t xml:space="preserve">H11 Creación funcionalidad Bandeja de gestión Autorizaciones - </t>
    </r>
    <r>
      <rPr>
        <rFont val="Quattrocento Sans"/>
        <b/>
        <color theme="1"/>
        <sz val="11.0"/>
      </rPr>
      <t>Medicamento no autorizado</t>
    </r>
  </si>
  <si>
    <r>
      <rPr>
        <rFont val="Quattrocento Sans"/>
        <color theme="1"/>
        <sz val="11.0"/>
      </rPr>
      <t xml:space="preserve">*25/11/2024 estima finalizar el modal 2 y 3 para el 25 de noviembre.
*26/11/2024 Pendiente ajuste de la logica, validaciones y  subir  adev 
*27/11/2024 Generación de plantaillas de envio = ok.
</t>
    </r>
    <r>
      <rPr>
        <rFont val="Quattrocento Sans"/>
        <b/>
        <color theme="1"/>
        <sz val="11.0"/>
      </rPr>
      <t>*29/11/2024 Realizar crud para la administración de la causal de devolución</t>
    </r>
    <r>
      <rPr>
        <rFont val="Quattrocento Sans"/>
        <color theme="1"/>
        <sz val="11.0"/>
      </rPr>
      <t>.= ok 
*03/12/2024 Se solicitara  control de cambios en test para  permisos en la secuencia.
*04/12/2024 Control de cambios MDSB-719403 ejecutado correctamente.</t>
    </r>
  </si>
  <si>
    <t>H12 Permitir adjuntar documento a casos</t>
  </si>
  <si>
    <t>* 02/12/2024 Contimua con el desarrollo</t>
  </si>
  <si>
    <r>
      <rPr>
        <rFont val="Quattrocento Sans"/>
        <b/>
        <color theme="1"/>
        <sz val="11.0"/>
      </rPr>
      <t>H16</t>
    </r>
    <r>
      <rPr>
        <rFont val="Quattrocento Sans"/>
        <color theme="1"/>
        <sz val="11.0"/>
      </rPr>
      <t xml:space="preserve"> Informe autorización y tiempos (unificar)</t>
    </r>
  </si>
  <si>
    <t>*06/12/2024 trabajando en encolamiento..
09/12/2024 estima finalizar informes para el 10 de diciembre
*10/12/2024  organizar campos según estructura</t>
  </si>
  <si>
    <r>
      <rPr>
        <rFont val="Quattrocento Sans"/>
        <b/>
        <color theme="1"/>
        <sz val="11.0"/>
      </rPr>
      <t>H17</t>
    </r>
    <r>
      <rPr>
        <rFont val="Quattrocento Sans"/>
        <color theme="1"/>
        <sz val="11.0"/>
      </rPr>
      <t xml:space="preserve"> Informe pendientes</t>
    </r>
  </si>
  <si>
    <r>
      <rPr>
        <rFont val="Quattrocento Sans"/>
        <b/>
        <color theme="1"/>
        <sz val="11.0"/>
      </rPr>
      <t xml:space="preserve">H18  </t>
    </r>
    <r>
      <rPr>
        <rFont val="Quattrocento Sans"/>
        <b val="0"/>
        <color theme="1"/>
        <sz val="11.0"/>
      </rPr>
      <t>Informe de control salida de correos:</t>
    </r>
  </si>
  <si>
    <t>*06/12/2024 trabajando en encolamiento..
*10/12/2024  organizar campos según estructura</t>
  </si>
  <si>
    <r>
      <rPr>
        <rFont val="Quattrocento Sans"/>
        <b/>
        <color theme="1"/>
        <sz val="11.0"/>
      </rPr>
      <t xml:space="preserve">H19 </t>
    </r>
    <r>
      <rPr>
        <rFont val="Quattrocento Sans"/>
        <b val="0"/>
        <color theme="1"/>
        <sz val="11.0"/>
      </rPr>
      <t>Configuración del correo electrónico</t>
    </r>
  </si>
  <si>
    <t>*05/12/2024 La cuenta de correo gestion.farmaceutica@segurosbolivar.com. Ya se encuentra configurada.
09/12/2024 estima finalizar informes para el 10 de diciembre</t>
  </si>
  <si>
    <t xml:space="preserve">Ajustes pruebas test medicamentos </t>
  </si>
  <si>
    <t>16/12/2024 pendientes realizar  ajustes envidenciados 13 de diciembre
17/12/2024 : se suben cambios a test para  pruebas.
19/12/2024 Se completaran ajustes pendiente para  la entrega.
20/12/2024 Finalizar ajustes.</t>
  </si>
  <si>
    <t>Validar lector de  correo y creación actividad</t>
  </si>
  <si>
    <t>20/12/2024 Iniciara con la logica  para los casos que generan devolucion 
23/12/2024 ontmi
26/12/2024 Continua  con la  gestion de lectura de corregir
27/12/2024 se creo endpoint  para la logica de los  correos devueltos.
30/12/2024 Quitar funciones innecesarias y  pruebas locales, y crear modal al usuario que gestiono el caso y pueda corregir el correo de envio que genero la devolución.
02/01/2025 hacer pruebas y subir a test.
03/01/2025 creacion de vista de envio de correos, pendiente subir reenvio de correos.
08/01/2025 Cambios subidos test el 7 de Enero para pruebas</t>
  </si>
  <si>
    <t>Mejoras según entrega a Bilivar</t>
  </si>
  <si>
    <t>27/12/2024 Continua con los ajustes indicados en la entrega del requerimiento a  bolivar.
27/12/2024 Quitar campos sobrantes y adición de los  campos  nuevos. El 26 de diciembre se escala control de cambios en test MDSB-733905 quedo ejecutado correctament.
27/12/2024 Mejoras  en  test para pruebas.
07/01/2025 Trabajara en puntos enviados  por Liyibet
08/01/2025 pustos listos  para pruebas.</t>
  </si>
  <si>
    <t>Ajustar los pediodos en la carta que se envia al cliente</t>
  </si>
  <si>
    <t xml:space="preserve">21/01/2025 En test para pruebas </t>
  </si>
  <si>
    <t>MDSB-752072 Error en el funcionario asignado en los casos  del  informe efectividad de  Gestión Control Conciliación UGPP</t>
  </si>
  <si>
    <t>El informe funciona correctamente "Se realizó la validación del tablero de efectividad de Gestión Control Conciliación UGPP y no se identificaron inconsistencias.
Para que un caso aparezca como cerrado en el tablero, debe cumplir con la condición de tener la actividad "Generación de Respuesta" en estado cerrado y registrara el usuario que realizó dicho cierre."</t>
  </si>
  <si>
    <t>Query de información incapacidades (Primer formulario)</t>
  </si>
  <si>
    <t>05/02/2025  Entregado a Liyibet</t>
  </si>
  <si>
    <t xml:space="preserve"> JIRAS MDSB-753991 y MDSB-755565, No registra empresa a la que esta afiliado el trabajador  los casos 30311197 y 30334336 (Drummond NIT 800021308) y no se visualizan los  casos por consulnta  pot CC</t>
  </si>
  <si>
    <t>05/02/2025 La incidencia se ocaciono por un espacio al final del numero de documento registrado en la tabla.</t>
  </si>
  <si>
    <t>MDSB-753221 caso 30310430 radicado por el  buzon no muestra la Empresa a la que esta activo el trabajador</t>
  </si>
  <si>
    <t>GD772-46 REQ DE MEDICAMENTOS (Estabilizacion producción)</t>
  </si>
  <si>
    <t>ajustar trazabilidad ( muestra diferente a la del caso)</t>
  </si>
  <si>
    <t xml:space="preserve">Ajustar usuario Interner aparece en la gestion </t>
  </si>
  <si>
    <t>Errores de correso duplicados 472</t>
  </si>
  <si>
    <t>Manejando la exceocion de los errores.</t>
  </si>
  <si>
    <t>12/02/2025 Se realizan ajustes, Guardando en la tabla  correos con error</t>
  </si>
  <si>
    <t>Query de incapacidades para  incluir en API de  recobros</t>
  </si>
  <si>
    <t xml:space="preserve">Creación  bitácora  de pensiones </t>
  </si>
  <si>
    <t>ESTIMACION</t>
  </si>
  <si>
    <t xml:space="preserve">Creacion de tabla </t>
  </si>
  <si>
    <t>09/01/2025 Se escala control de cambios en test MDSB-740424
10/01/2025 El codigo esta terminado al pendiente de la ejecucion del control de cambios en test
13/01/2025 Control de cambios ejecutado correctamente.
14/01/2025 se realizan pruebas en test y ya se encuentra funcional
20/01/2025 se escala jira MDSB-746991 para control de cambios en PRD
24/01/2025 Pendiente que cristian suba evidencias al jira, ingresa de vacaciones el lunes 27 de enero
31/01/2025 pendiente subir evidencia de las  pruebas en test  de parte de PO
12/02/2025 control de cambio aprobado se ejecutara 4:30pm.
13/02/2025 Se realiza despliegue a produccion.</t>
  </si>
  <si>
    <t>Revisar archivos temporales del servidor  de portales para que no se llene.</t>
  </si>
  <si>
    <t xml:space="preserve">Implementar validacion para la eliminación de archivos temporales </t>
  </si>
  <si>
    <t>13/02/2025 Se ajusto el cron para que eliminara los archivos que llevaran mas de 7 dias.</t>
  </si>
  <si>
    <r>
      <rPr>
        <rFont val="Quattrocento Sans"/>
        <b/>
        <color theme="1"/>
        <sz val="11.0"/>
      </rPr>
      <t xml:space="preserve">MDSB-670944 </t>
    </r>
    <r>
      <rPr>
        <rFont val="Quattrocento Sans"/>
        <color theme="1"/>
        <sz val="11.0"/>
      </rPr>
      <t>validar reenvio de casos (Cuenta novedades)</t>
    </r>
  </si>
  <si>
    <t>*31/10/2024 se realiza validación con Danilo y se evidencia que la cuenta esta inhabilitada, se espera activación  para realizar validación  nuevamente
*31/10/2024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*20/11/2024 Se realizar nueva validación  sin obtener resultados exitosos, Caso problema
14/02/2025 Tras la salida del req de comunicados de  cartera la cuenta no se utilizara mas para los reenvios.</t>
  </si>
  <si>
    <t>Ajuste informe de pendientes de cuidado al trabajador ( Saltos  de linea)</t>
  </si>
  <si>
    <t>18/12/2024 Pendiente envio de casos que se deben ajustar de parte de Fabio
19/12/2024 se envia casos  que presentan error en el informe(Fabio).</t>
  </si>
  <si>
    <t>Validar consumo de digital</t>
  </si>
  <si>
    <t>30/01/2025 En pruebas.
31/01/2025 pendiente envio de la URL para  realizar el  consumo.</t>
  </si>
  <si>
    <t>Migraciaón Digital a Nativo</t>
  </si>
  <si>
    <t>*28/10/2024 se requiere una segunda sesion de entendimiento con Jenry.
*29/10/2024 Validación de dudas con Jairo.
*30/10/2024 Esta en la migración de servicios a nativo.
*31/10/2024 Entrega hoy en la tarde para revision con Jenry en local..
*01/11/2024 falta  procesos de calificacion y ver pdf,  aclarara dudas con Jairo de tema procedimental .
*05/11/2024 probar consulta de documento y radicacion del caso.
*06/11/2024 subir a dev para mostrar a Jenry
*07/11/2024 Requerimiento en DEV  para validar con jenry
03/01/2025 Cambios de subidos a tets que generaban conflicto.
08/01/2025 Validar creación de casos 
10/01/2025 Se encuentra validando el porque no esta generando los dos  casos.
14/01/2025  13 de enero sube ajustes a test  para  realizar pruebas 
27/01/2025 Realizara validación del porque los  casos creados no se replican en Nativo
28/01/2025 solucionar error en insert de los  casos, se bube solucucion a test.
29/01/2025 realizar  pruebas..
31/01/2025 se detiene  para  dar  paso 
05/02/2025 Se realizara sesion para  realizar paso a paso.
06/02/2025 Tras la sesion, se debe ajustar notificacion de de descarga  de pdf y la marcación de los casos en Nativo</t>
  </si>
  <si>
    <t>Lectura de archivos en python en el ambiente DEV</t>
  </si>
  <si>
    <t>Montar ambiente dev en local</t>
  </si>
  <si>
    <t>LOCAL</t>
  </si>
  <si>
    <t>*20/11/2024 Validando error.
22/11/2024 requerimiento funcional, pendiente realizar ajuste para guardar datos en base de datos 
27/11/2024 Continuara al terminara ajustes de 472.
*28/11/2024 Ajustes en la busqueda de documentos.
*02/12/2024 implementado modelo de clasificación de información = ok, se estima entrega hoy  hacia el medio día.
*03/12/2024 validar modelo implementado ya que la información no la clsifica de manera consistente.
*04/12/2024 Debe  cambiar modelo de busqueda de acuerdo a sesion con Faber.
*05/12/2024 ya estrae información  consistente, estan en pruebas con mas incapacidades. (falta mostrar  dias y el codigo de diagnostico), se realizara sesion con Jenry para validar avance.
*09/12/2024 Revisar con Danilo y Jairo se realizaron  pruebas en servidor de Jairo y funciono correctamente.
*10/12/2024 se realizara despliegue a dev  en la tarde para pruebas.
*10/12/2024 generar los  campos  adicionales.
17/12/2024 Pendiente  prueba de los nuevos campos y ajustar para que solo traiga el texto netamnete de la  incapacidad
18/12/2024 Implementar validacion para la extraccion de solo la información de la incapacidad, se realizara sesion 18 de diciembre para iniciar despliegue a dev.
19/12/2024 se realizara despliegue a produccion para prueba ya que no es posible desplegar en dev por temas de recursos insuficientes..
20/12/2024 pruebas de lectura de documentos.
23/12/2024 Prue finalizadas exitosaas
30/12/2024 Crear una linea de comandos  para tomar la ruta de la  imagen.
02/01/2025 pruebas  
03/01/2025 se suben cambios 
07/01/2025 Reaizara pruebas de implementación den  produccion con  Danilo
08/01/2025 Ajustar respuesta del Json 
14/01/2025 Conexion para traer adjuntos de la db por consola y enviarlos a la API
15/01/2025 Implemnetado ruta para acceder a los archivos de manera externa.
20/01/2025 Se desplego a produccion el 17 de enero, se debe validar generación del Json
23/01/2025 realiza cambios en el api, y realizara pruebas con mas modelos...para paso a produccion.
27/01/2025 subira  cambios  para pruebas en  produccion 
28/01/2025 en produccion para  pruebas 
31/01/2025 Validar errores evidenciados en la Reu con Danilo y Jairo.( Se genera un bucle al guardar los datos)
04/02/2025 En pruebas  de cambios  al momento de enviar datos ( No envia el texto).
05/02/2025 listo  para subir a producción  y  pruebas.
06/02/2025 Pendiente completar despliegue a produccion y realizar pruebas con Jairo</t>
  </si>
  <si>
    <t>Generar log en cada una de las etapas para validar el tiempo de ejecucion.</t>
  </si>
  <si>
    <t>*12/12/2024 En pruebas locales
16/12/2024 ya se encuentran realizados  y muestra los  porcentajes en cada etapa, Se requiere Pasar a dev.</t>
  </si>
  <si>
    <t>Corrección de información registrada erradamente en Imagine</t>
  </si>
  <si>
    <t>SIN ASIGNAR</t>
  </si>
  <si>
    <t>MDSB-660738 Error en generación de plano ARPTRAD</t>
  </si>
  <si>
    <t>Ajustar recepción del archivo de acuerdo a la nueva estructura.</t>
  </si>
  <si>
    <t>* 10/10/2024 Se cancela jira de incidencia MDSB-660738, Pendiente que Bolívar radique el  requerimiento con el  histórico de trabajadores para la  actualización en  imagine.</t>
  </si>
  <si>
    <t>DETALLE DE LAS  IMÁGENES COBRADAS (Estadistico de facturación)</t>
  </si>
  <si>
    <t>Modificación en la copia de información del fs al S3</t>
  </si>
  <si>
    <t>Hacer un script para cambiar la forma en que se están copiando las imágenes</t>
  </si>
  <si>
    <t>13/01/2025 termina el script  pero se deben realizar algunas modificaciones…
14/01/2025 La implementación se podra realizar hasta que aws defina si hay otra manera de ejecutarlo.</t>
  </si>
  <si>
    <t>Vulnerabilidad DDS- DOS de portales (denegación de servicio distribuido)</t>
  </si>
  <si>
    <t>14/01/2025 continua con la implementación, se estima 2 semanas.
15/01/2025 continuara con la  implementación.</t>
  </si>
  <si>
    <t>Validación de incidentes en cargue de envios en produccion</t>
  </si>
  <si>
    <t>06/02/2025 Continua con ajustes.
07/02/2025 Implementar otra opcion para ejecutar la  linea de codigo  para la creacion de casos usar las funciones  exec y system.
10/02/2025 paso a produccion los ajustes el 7 de febrero, pero hoy reportan nuevamente problemas al generar los  casos al parecer es problema de  cron tab.</t>
  </si>
  <si>
    <t>API, peticiones GET generan errores en el CloudFront (Recobros)</t>
  </si>
  <si>
    <t>Solicitar a bolivar permisos para hacer las peticiones GET en ambientes bajos</t>
  </si>
  <si>
    <t>11/12/2024 se reaiza solicitud de permisos bajo el  jira MDSB-724459
12/12/2024 A no se optine  respuesta a la  solicitud.
30/12/2024 Ajustar el host viirtual</t>
  </si>
  <si>
    <t>Implementación del host virtual  (1 Dia)</t>
  </si>
  <si>
    <t>07/01/2025 el sitio de desarrollo no esta funcionando  por tanto se escala  jira  reportando la incidencia.
10/01/2025  el dominio es tabien  creado solo que esta apuntado a una IP que no debe ser, Se escala jira  MDSB-740596 para actualizar el registro 
13/01/2025 Validar si la ectualizacion requerida ya ha sido resuelta.
22/01/2025 dan respuesta al  jira MDSB-738879 indicando que el acceso a dev ha quedado  habilitado.
23/01/2025 genera error en la implementacón, se debe validar que tipo de rerror es 
27/01/2025 Hoy  Wilson y Danilo validaran el error originado al enviar la peticion desde  Postman a Imaginex.
28/01/2025 En pruebas se identifican problemas en el cifrado externo, se solicita a Redes la verificacion del dominio bajo en jira MDSB-751187
29/01/2025 Radicar jira a infraestructura  para  validación del error..
30/01/2025 validar si es posible  cambiar el metodo..
14/02/2025 Quedo ajustado los errores.</t>
  </si>
  <si>
    <t>Ajustar archivo de pagos (reembolsos)</t>
  </si>
  <si>
    <t>27/01/2025 entregar a Jenry para subir aproduccion 
28/01/2025 Organizar botones en la  gestion (Organizando la logica del archivo)
29/01/2025 se pasara a produccion corriendo archivo con filtro para las pagadas y se actualizara test.
30/01/2025 Falta correr los rechazon, Glosas parciales y bolivar validara los de check para correlos.
31/01/2025, El 30 de enero se sube reporte glosa parcial, Pendiente los  rechazos
07/02/2025 Cambio de la logica del flujo  para dejarlo en analista ( rechazos), se pasara hoy al sitio para vallidación 
10/02/2025 se pasara hoy a produccion  y se validara con Jenry.
11/02/2025  se pasara hoy a produccion,
12/02/2025 se subira a produccion.
13/02/2025 Pendiente resolucion de dudas, sesion 9:30 am.
14/02/2025 se deben realizar difrentes cambios  para que reciba primero un documento y luego el otro.
17/02/2025 archivo listo para  pasar a produccion con los cambios  realizados.
18/02/2025 Se corrige carta de  devoluciones.</t>
  </si>
  <si>
    <t xml:space="preserve"> MDSB-764326 incluir a CC 1019137718 Laura Pinzón en  el tablero de efectividad de Servicio - Acogida y Cercanía</t>
  </si>
  <si>
    <t>19/02/2025 Usuaria incluida en el tablero, pendiente que registren los casos pendientes y cerrados.</t>
  </si>
  <si>
    <t xml:space="preserve"> MDSB-758207 error en consulta de trabajadores para El trabajador CC 382286 </t>
  </si>
  <si>
    <t>19/02/2025 pendiente ajustar empresa asignada al caso 30375027</t>
  </si>
  <si>
    <t>MDSB-756755   error en consulta de trabajadores para El trabajador CC  Martha Liliana</t>
  </si>
  <si>
    <t>19/02/2025 pendiente ajustar empresa asignada al caso 30313251</t>
  </si>
  <si>
    <t>Radicación de facturas con zip con subcarpetas</t>
  </si>
  <si>
    <t>19/02/2025 En pruebas.</t>
  </si>
  <si>
    <t>Copiar paginas, rutas de yii  que se pasaran a  laravel para  posterior enliminacion</t>
  </si>
  <si>
    <t>Alistar requerimiento  para pasar a produccion</t>
  </si>
  <si>
    <t>10/02/2025 Se debe realizar el paso a produccion.
11/02/2025 Se realiza paso a produccion 10 de febrero, y se validaran hallazgos en validacion de funcionamiento</t>
  </si>
  <si>
    <t>268 Casos que en el informe indica que no son  de AFIN y que en realidad si lo son</t>
  </si>
  <si>
    <t>21/02/2025 Los caso reportados en informe de medicamentos como no AFIN, en la validación  se identifican que si son de AFIN, la radicacion de estos  casos no se concluto por un error de correo presentado el dia 12 y 13 de  febrero, los casos seran borrados ya  que los usuario realizaron una segunda radicación de forma efectiva.</t>
  </si>
  <si>
    <t>No permite la gestionar la devolucion (Validar error de adjunto)</t>
  </si>
  <si>
    <t>12/02/2025 Revisando error de adjuntos ya que en la devolución no hay adjuntos.
14/02/2025 Continua con la validación, Se valido el codigo y esta bien.</t>
  </si>
  <si>
    <t>Error 500 al  reasignar desde usuario Internet.</t>
  </si>
  <si>
    <t xml:space="preserve">Caso 30432276 radicado sin numero de cedula y nombres, Nuevo caso30470385 </t>
  </si>
  <si>
    <t>14/02/2025 se identica que son casos que se estan radicando dobles y el duplicado radica sin algunos  datos.
18/02/2025 reportan nuevo caso 30470385  
19/02/2025 se implementara una condicional en portales  para la validacion de campos vienen al  crear al caso.
20/02/2025 se suben ajustes a prd el 19 de febrero</t>
  </si>
  <si>
    <t>Nuero de contacto no salio en la atorizacion  total, caso 30431258.</t>
  </si>
  <si>
    <t>Otorga permisos de consulta a 468 usuarios de medicamentos.</t>
  </si>
  <si>
    <t>13/02/2025 Se le asignan permiso de consulta a los 468 usuarios.</t>
  </si>
  <si>
    <t>Correo AFIN se esta enviando sin datos y sin adjuntos.</t>
  </si>
  <si>
    <t>Caida ambiente de desarrollo</t>
  </si>
  <si>
    <t>24/02/2025 cuando se sube el servicio de phppm, depende de unos directorios, de unas carpetas, y había una de esas carpetas que no estaba creada, o se había Borrado, Tocó crearlo, otorgarle permisos y subir nuevamente el servicio</t>
  </si>
  <si>
    <t>MDSB-757942 radicado 30954156  asociado a sisalud 7532107 no se encuentra.</t>
  </si>
  <si>
    <t>11/02/2025 el caso aparece en la  tabla Rad_solicitudes si aparece el  caso pero en la  tabla red_incapacidades no esta el  caso.
12/02/2025 Se buscara el ID del caso para buscar la  información  para  hacer la  insersion.
14/02/2025 a un no se ha encontrado la causa de la desaparicion del caso, se solicita que se revise con la usuaria si al momento de radicar sele presento algun error o si se pueden obtener la  imagenes para radicar el caso manual.
24/02/2025 : Edison envia la  imagen de la incapacidad para  crearla de nuevo en el  portal
25/02/2025: Tras realizar diversas validaciones no se evidencian las causasde la desaparicion del caso, la sra Nini sabogal  nos informa que la empresa radicó el caso 30968621, generando el radicado 7585377 y dejando como glosado el 7532107, lo que permite dar continuidad a la gestión.</t>
  </si>
  <si>
    <t>Consulta de casos antiguos en el nuevo portal</t>
  </si>
  <si>
    <t>EN PRODUCCIO</t>
  </si>
  <si>
    <t>19/02/2025 ya se pueden consultar los casos antiguos,  falta mostrar adjuntos y detalle de trazabilidad..
20/02/2025 Ya se pueden ver los casos y adjuntos, pendiente mostrar la trazabilidad.
21/02/2025 Se encuentra en finalización de configuraciones esenciales para la consulta de casos antiguos de medicamentos en el nuevo portal, se estima implementar esta consulta en producción el 21 de febrero
24/02/2025 El 21 de febrero se sube a produccion</t>
  </si>
  <si>
    <t>Pruebas en test MDSB-707440 - Portal Reembolsos ARL</t>
  </si>
  <si>
    <t>25/02/2025 Se finalizan las pruebas confirmando que el sistema cumple con los criterios establecidos en aspectos clave como la validación de solicitudes, la inscripción y modificación de cuentas bancarias, la carga de adjuntos y la consulta de casos.</t>
  </si>
  <si>
    <t>No se evidencia trazabilidad y detalle en los  casos 30499547 - 30378640 de medicamentos.</t>
  </si>
  <si>
    <t>FINALIZADA</t>
  </si>
  <si>
    <t>25/02/2025 Se encuentra en validación de la  incidencia.
26/02/2025 La incidencia ha quedado solucionada, se presento por temas de cache.</t>
  </si>
  <si>
    <t>Ajustes informe Reembolsos Salud</t>
  </si>
  <si>
    <t>26/02/2025: Se ajusta informe para que muestra la  última fecha de gestión del analista o del auditor.
27/02/2025: Se subira a test para realizar entrega al cliente.
28/02/2025: Se realiza entrega de ajustes del informe al cliente en el ambiente de producción</t>
  </si>
  <si>
    <t xml:space="preserve">Ajustar Caso 30521678: Asignado a usuario internet sin trazabilidad 
</t>
  </si>
  <si>
    <t xml:space="preserve">28/02/2025: Validar porque si dos personas tienen igual cantidad de casos, no se asigna ninguno. Planea ajustar el query para asignar a cualquiera en caso de empate.
</t>
  </si>
  <si>
    <t>Crear manual doble factor de autenticación en Laravel dev</t>
  </si>
  <si>
    <t>24/02/2025 Al momento de ingresar al ambiente dev, indica que el servicio no está disponible,Se le notifica a Jesús para la solución.
26/02/2025 Se realiza entrega del manual a Liyibet y Jenry, se recibe retroalimentación para  ajustes.
27/02/2025: Se incluyen requicitos previos antes de activar el doble factor de autenticación
28/02/2025: Se incluyen requicitos previos antes de activar el doble factor de autenticación, y se realizara envio del manual al cliente.</t>
  </si>
  <si>
    <t xml:space="preserve">Caso 30965971: Incapacidades inexistentes
</t>
  </si>
  <si>
    <t xml:space="preserve">28/02/2025: Del area de incapacidades reportan un caso que no existe al consultarlo en el aplicativo, Se debe destinar un buen tiempo para su validacion.
03/03/2025: Se recupera el caso y se realiza un cambio (eliminar o comentar el "delete") para evitar que se pierdan incapacidades al pasar entre actividades.
</t>
  </si>
  <si>
    <t>Ajustar aplicación Nativo en local:</t>
  </si>
  <si>
    <t>24/02/2025: Al descargar el repositorio encontro cinco archivos de de 472 de nativo que tienen un signo de interrogación y requiere renombrarlos.
25/02/2025 Continua la organización del sitio, se estima que este listo para el 25 de febrero.
25/02/2025 Se descargar el repositorio haciendo que Git ignorara los archivos con problemas, Se instalaran los Composer para poder iniciar con las tareas de Nativo.
26/02/2025:En actualización de la  base de datos con las tablas nuevas
27/02/2025: Continua con la actualizacion de la base de datos.
28/02/2025: creó nuevos campos y tablas, estabilizando hasta la vista de informes sin errores en local.
03/03/2025: El viernes no hubo avance debido a que a que se dedico a validar los incidentes  reportados por medicamentos, hoy continuara  con el desarrollo
04/03/2025: Estabilizó Nativo en su local, creando 50 casos de prueba para generar datos y validar informes; ya está completamente funcional en su entorno.</t>
  </si>
  <si>
    <t xml:space="preserve">Manual bitacora de pensiones </t>
  </si>
  <si>
    <t xml:space="preserve">27/02/2025: Inicia con el desarrollo
03/03/2025: Se finaliza manual y se realiza envio al cliente. </t>
  </si>
  <si>
    <t xml:space="preserve">Manual boton de devolución </t>
  </si>
  <si>
    <t xml:space="preserve">28/02/2025: Se iniciara al finalizar manual de Bitacora
03/03/2025 Se finaliza elaboración de manual de usuario y se entrega a Liyibet. </t>
  </si>
  <si>
    <t>Enviar informacion a cristian de la devolucion  de actividades.</t>
  </si>
  <si>
    <t>Control de cambios test  MDSB-772562 para  Req  GD772-83  GD772-85</t>
  </si>
  <si>
    <t>03/03/2025 Se escala control de cambios, Control ejecutado con éxito</t>
  </si>
  <si>
    <t>MANUAL FLUJO DE ENVÍOS MASIVOS EN IMAGINE</t>
  </si>
  <si>
    <t>13/02/2025 se inicia la elaboracion del manual con las tipologias ajustadas en el requerimiento de comunicados de cartera.
25/02/2025 se estima entrega el 26 de febrero.
26/02/2025 Se realiza envio del  manual a Liyibet para su validación y aprobación.</t>
  </si>
  <si>
    <t>Escalar control de cambios en test para Req de doble factor de autenticación (MDSB-768688)</t>
  </si>
  <si>
    <t xml:space="preserve">24/02/2025 El control de cambios quedó escalado bajo el Jira MDSB-768688, Pendiente la creación del req caja de parte de Bolívar para asociarlo al control de cambios y que QA pueda aprobarlo
28/02/2025: Pendiente de parte de Bolivar la creacion del requerimiento caja 
03/03/2025 : El dia viernes 28 de febrero  Bolivar crea el requerimiento caja GD772-87 para adjuntarlo al control de cambios en test y continuar con el proceso.
04/03/2025: Control de cambios MDSB-768688 se encuentra en estado aprobacion QA de Bolivar, Se solicita gestion para la aprobación. </t>
  </si>
  <si>
    <t>Opcion de devolucion de actividades ( Pensionados)</t>
  </si>
  <si>
    <t>DEVOLUCION DE ACTIVIDAD (Sin actividades paralelas AVISADO Y JURIDICO)</t>
  </si>
  <si>
    <t>31/01/2025 Se subira a test para pruebas, se requiere enviar a Jesus listado de tipologias paralelas.
04/02/2025 Incluir  actividades paralelas
04/03/2025: Hoy se realizara paso del desarrollo al ambiente productivo
05/03/2025: Pendiente pasar a producción la devolución de actividades en pensionados, planeado para hoy.
05/03/2025;Se realiza paso a produccion.
06/03/2025: : Ayer subió a producción la devolución de casos en pensionados; probarán hoy un caso pendiente y entregarán resultados el viernes a Cristian.</t>
  </si>
  <si>
    <t>Abrir fljujo caso 30527802 PREAUTORIZACIONES POLIZA SALUD - Analista (incluido en reporte de casos con una sola actividad.</t>
  </si>
  <si>
    <t>05/03/2025: Se reportó un caso de salud en radicación sin avanzar; requiere añadir trazabilidad al flujo, pero Jesús desconoce el proceso exacto que realizaba Joan, se validará con Liyibet.
05/03/2025: Se abre flujo del caso reportado.
06/03/2025: Ayer abrió urgentemente la trazabilidad de un caso de Nativo que estaba solo en radicación, resolviéndolo en la tarde.</t>
  </si>
  <si>
    <t>Ajuste de error al descargar facturas de Birc</t>
  </si>
  <si>
    <t>07/03/2025 : Resolvió un error en la descarga de facturas de Birc cambiando el consumo, y ya funciona correctamente.</t>
  </si>
  <si>
    <t>Colocar manual en video en el portal de facturas</t>
  </si>
  <si>
    <t>07/03/2025: Tiene pendiente subir un video manual al portal de facturas, además de atender unas incidencias recientes.
10/03/2025 : Manual quedo en produccion el 7 de marzo.</t>
  </si>
  <si>
    <t xml:space="preserve">MDSB-775090 Revisar error en infrome de de seguimiento x actividad en nativo </t>
  </si>
  <si>
    <t>06/03/2025 : Presenta error en las fechas arrojadas en el informe y solicitan validacion urgente por motivos de auditoria a Bolivar.
07/03/2025: Hoy revisará un error en un informe de Nativo por un formato de fecha incorrecto que afecta cálculos de horas.
10/03/2025: El error fue solucionado el 7 de marzo, el error se debio a registros con fechas nulas que generaban un conflicto en el procesamiento del informe y se soluciono agregar una validación en el código para ignorar dichas fechas.</t>
  </si>
  <si>
    <t xml:space="preserve">https://github.com/Imaginesas/bolivar_migration/compare/hotfix/repararInformeArl?expand=1 </t>
  </si>
  <si>
    <t>Crear dos campos en nativo</t>
  </si>
  <si>
    <t>06/03/2025: Se debe validar con Jenry los campos que se deben adicionar.</t>
  </si>
  <si>
    <t>Revisar cargue de trabajadores en nativo que esta afectando la malla</t>
  </si>
  <si>
    <t>Revisar casos duplicados en informe viejos</t>
  </si>
  <si>
    <t>07/03/2025: Configuró tres informes (incluido el de Johanna) corrigiendo duplicados y errores de cantidades; se subirán a producción hoy a las 10 a.m.
10/03/2025: Ajuste desplegado a produccion el 7 de marzo</t>
  </si>
  <si>
    <t>https://github.com/Imaginesas/bolivar/compare/master...hotfix/estabilizacionMed02</t>
  </si>
  <si>
    <t>Informe de medicamentos ajustar según correo de  Johana</t>
  </si>
  <si>
    <t xml:space="preserve">06/03/2025: Se requiere adicionar y eleiminar campos en el informe de medicamentos.
10/03/2025: Ajuste desplegado a produccion el 7 de marzo, solo queda pendiente ajustar el nombre de la columna L a "Ciudad de residencia". </t>
  </si>
  <si>
    <t>Ajuste en la asignación de casos de Medicamentos( Creacion del Log)</t>
  </si>
  <si>
    <t>05/03/2025; el comando que se ejecuta en la noche (12:10 a.m.) no se ejecutó antes de anoche por posibles fallos del servidor o bloqueos, pero anoche sí funcionó. Añadirá logs para monitorearlo.
06/03/2025: El log ha sido creado y lo subira hoy a produccion.
07/03/2025: Creó un log para el comando de la noche de asignación de casos, que se subirá a producción hoy junto con otros cambios en la misma rama.
10/03/2025: Ajuste desplegado a produccion el 7 de marzo</t>
  </si>
  <si>
    <t>MDSB-777203 en la oficina virtual para autorizaciones   genera doble radicado para la misma tipología</t>
  </si>
  <si>
    <t>11/03/2025: Se confirma que la interfaz muestra un historial de radicaciones sin recargar la vista, lo que puede dar la impresión de que existen radicados duplicados, se concluye que no se trata de un error del sistema en la generación de radicados, sino de la forma en que se visualizan en la interfaz</t>
  </si>
  <si>
    <t>Ajuste en informe formato de hora en los campos gestión autorización y  total tiempo de autorización.</t>
  </si>
  <si>
    <t xml:space="preserve">11/03/2025: Cambio el formato de hora en el informe de medicamentos (de días y horas a solo horas),ajuste  desplegado hoy a produccion.
</t>
  </si>
  <si>
    <t>MDSB-753982  botón administrativo para poder asignar por malla</t>
  </si>
  <si>
    <t>06/03/2025: Este es un desarrollo que Jhoan Qiceno dejo en el ambiente Test el 11 de Febrero y el 12 de febrero se escalaron los controles de cambios para pasar aproduccion MDSB-762066 y MDSB-762083 los cuales estaban pendientes por aprobacion de Bolivar, fueron aprobados ayer 5 de marzo y estamos a la espere de que sean incluidos en el comite de control de cambios para su aprobacion final.07/03/2025
07/03/2025; Los controles de cambios fueron aprobados por el comite de cambios digitales y ejecutados con exito, se realizara despliege del codigo a produccion el lunes 10 de marzo.
11/03/2025: Jesus identifica la rama para realizar el paso a produccion  pero le presenta conflictos.
12/03/2025: Se realiza paso a produccion, se realiza sesion  para  validar errores en la asignación por malla y en la actualización de datos en producción. Se evidenció la necesidad de corregir mensajes incorrectos en la interfaz y mejorar la función que procesa las asignaciones. El equipo realizará pruebas locales y revisará permisos en producción para garantizar el correcto funcionamiento del sistema.
13/03/2025: Ayer desplegó en producción el ajuste de roles y permisos para asignación por malla, corrigiendo errores de campos distintos entre ambientes; ya está estable.</t>
  </si>
  <si>
    <t>AJUSTES  DE INFORMES DE PENDIENTES  Y  VOLUMENES  EN SALUD  DE NATIVO</t>
  </si>
  <si>
    <t>26/02/2025: Iniciara tan pronto finalice el ajuste del aplicativo Nativo en su equipo local
28/02/2025: Iniciara a trabajar en el informe mas complejo (Volumenes).
03/03/2025: El viernes no hubo avance debido a que a que se dedico a validar los incidentes  reportados por medicamentos, hoy continuara  con el desarrollo.
04/03/2025: Modificó el informe de volúmenes añadiendo fechas de inicio y fin, pero identificó un error en la tabla "Informe Gestión" que duplica datos al llenarse; no encontró el origen del llenado tras buscar en los ambientes y seguirá investigando.
05/03/2025: Reestructuró el informe de volúmenes, lo está probando en local y lo subirá a Dev hoy, pasando a Test si faltan datos reales.
06/03/2025: Planeaba subir los informes a producción hoy tras probar en local (50 casos creados), pero en Test y Develop no hay datos del negocio 2; solucionó un warning en producción y espera casos reales para validar
07/03/2025: Sube a produccion ajuste de informes el 6 de febrero
07/03/2025: Subió los informes a producción ayer a las 3:30 p.m., pero la vista sigue lenta (6,000 registros en la tabla); ajustará el orden de actividades para que la última (ej. cierre caso) aparezca al final, como en la trazabilidad del caso..
11/03/2025: Ajuste pendiente por pasar a produccion. 
13/03/2025: Ayer se despliego ajuste  del orden de actividades en el informes.</t>
  </si>
  <si>
    <t xml:space="preserve">https://github.com/Imaginesas/bolivar_migration/compare/master...hotfix/reportesParaProduccion?expand=1 </t>
  </si>
  <si>
    <t>GD772-91 Tipología sin flujo de radicación sisalud (Escalar dudas Reembolsos)</t>
  </si>
  <si>
    <t>06/02/2025 Se realizara sesion de entendimeinto del  req
07/02/2025 Pediente Sesion de entendimiento con Jenry, Iinicia  bajando el sitio Oficina vitual.
10/02/2025 continuara con las  estabilización del sitio
11/02/2025 Se inicia con el analisis y desarrollo del requerimiento.
12/02/2025 Detenido para solucionar error en solicitudes de cartera.
13/02/2025continua la creación de la tipologia y la gestion,
14/02/2025 Validar un archivo para la radicacion desde el portal e iniciara con la Gestion del flujo de la tipologia.
17/02/2025 Implementara la logica del  flujo
19/02/2025 falta pestaña de gestion.
20/02/2025 se estima hacer entrega en test.
21/02/2025 incluir consultas  para pasar a test, Se escala control de cambios en test. MDSB-767526
24/02/2025 control de cambios ejecutado pero presenta errores, se escala  un nuevo control de cambios MDSB-768725
25/02/2025 Se escala un nuevo control de cambios en test MDSB-769335, Control de cambios ejecutado con exito.
26/02/2025: El desarrollo correspondiente a la oficina virtual ya se encuenttra en test para realizar pruebas, y se continuara desplegandolo en Yii  para iniciar la creacion del flujo, se citara al  cliente  hoy 4 pm para motrar los avances
27/02/2025:Se encuentra en pruebas por Bolivar y se de el go para escalar el control de cambios a producion.
28/02/2025:Se encuentra en pruebas por Bolivar, Imagine queda al pendiente de el visto bueno para realizar el  paso a produccion.
03/03/2025: Se escala  control de cambios a produccion MDSB-772592.
04/03/2025 Imagine esta a la espera que Santiago cargue al requerimiento evidencias de pruebas para que el control de cambios continue su proceso.
06/03/2025: El control de cambios sigue pendiente de aprobación por QA; Santiago subió evidencias, y esperan la colaboración de Luz para avanzar en JIRA.
07/03/2025 ; Control de cambios MDSB-772592 aprobado por QA y se encuentra pendiente por aprobación de Aprobación PO / Usuario Final.
10/03/2025; El control de cambio se encuentra programado  para hoy al comité de cambios digitales
11/03/2025: El control de cambios para la nueva tipología ya se ejecutó; está listo para pasar a producción hoy.
12/03/2025: Realizara paso a producción al final de la tarde.
13/03/2025 : Se realiza paso a produccion ayer en la tarde,se notifica al  clente para  realizar pruebas funcionales.</t>
  </si>
  <si>
    <t xml:space="preserve"> Ajuste en descuadre glosa</t>
  </si>
  <si>
    <t xml:space="preserve">11/03/2025: bloqueará la edición del campo en el sistema para reflejar solo el valor exacto de la glosa previa, dejando ajustes posteriores en Access.
12/03/2025: 12/03/2025: El dia 11 de marzo se pausa desarrollo  ya que se encuentra trabajando en la presentación del modulo de facturas para Colmena
13/03/2025: Se encientra pendiente hasta finalizar los req GD772-85 Cambio en el 2do envio de EPS (Imprimir valores del IVA)  y GD772-72 Requerimiento Captura de datos e informe (Reembolsos).
14/03/2025: Reinicio los ajustes en la recepcion de la glosa y se va a hacer una corrección donde se editan los datos para que haga la validación de la cantidad.
17/03/2025: El viernes quedaron los ajustes en test, hoy se realizaran algunos ajustes para realizar el  paso a produccion.
18/03/2025: Se Ajustó ayer en la mañana una validación en producción para facturas con respuesta glosa y anticipo, corrigiendo descuadres (valor a pagar menos anticipo), ya que test no tiene datos suficientes.
</t>
  </si>
  <si>
    <t>Radicación de juntas</t>
  </si>
  <si>
    <t xml:space="preserve">17/03/2025 : Se propone implementar un cron para validar diariamente el grupo de Juntas, que falla sin causa clara, evitando depender de reportes externos; por ahora, se explorara  una consulta diaria mientras investiga la raíz del problema.
18/03/2025: Solucionó ayer un problema de radicación de juntas reportado por Liyibet, dejándolo resuelto.
</t>
  </si>
  <si>
    <t>Abrir flujo del caso 30588265 PREAUTORIZACIONES POLIZA SALUD - Analistas</t>
  </si>
  <si>
    <t>17/03/2025: El viernes realizo la apertura del flujo.
18/03/2025: Confirmó que el flujo del caso ya quedó abierto ayer tras revisarlo</t>
  </si>
  <si>
    <t xml:space="preserve"> MDSB-776307 Ajuste en envios masivos para las tipologias 3_comunicación Aviso Al Mintrabajo  y  constitucion en mora</t>
  </si>
  <si>
    <t>10/03/2025; Se debe validar porque en la carta de envio no se consolidad los trabajadores por periodos y muestra el desgloce de los trabajadores expuestos.
11/03/2025: Se realiza sesion con el cliente y se acuerda ajustar las notificaciones agrupando el total de trabajadores por periodo, ajuste en test para pruebas por Bolivar
13/03/2025: hoy el cliente probará en test para subirlo a producción tras validar.
14/03/2025: Se validó que las dos tipologías que presentaban error ya fueron corregidas. Sin embargo, al revisar el grupo completo de seis tipologías, se identificó una que aún no está agrupando correctamente. Se trabajará en su ajuste.
17/03/2025: El viernes corrigió una tipología de cargue masivo que fallaba desde hace meses; las 6 tipologías están bien en test, pendientes de subir a producción tras aprobación.
18/03/2025: Ayer se realiza paso a produccion de los ajustes tras aprobación  de Bolivar.</t>
  </si>
  <si>
    <t>Error en el cargue del archivo de trabajadores en imagine</t>
  </si>
  <si>
    <t xml:space="preserve">10/03/2025; Iniciara validacipon tan pronto termine con "El ajuste de envios masivos".
13/03/2025; Iniciara con la  validacion de errores.
14/03/2025: Se identificó y solucionó un error que desplazaba la información cuando había caracteres especiales como "ñ" o tildes. Se ajustó la decodificación para evitar este problema, e continuará trabajando en los otros dos problemas detectados en el proceso de carga.
17/03/2025: Continuara con las validaciónes tras terminar  MDSB-780227 Duplicación de actividades en Nativo.
18/03/2025: Ayer añadió una función para actualizar el estado (Activo/Retirado) de acuerdo al archivo que se cargue en imagine y revisó la actualización del NIT en el los casos; duda entre dos NIT en la tabla WF Radicación (NIT y NIT_empresa), y espera reunión para definir lógica antes de subir a test.
19/03/2025: Ayer probó con Fabio los dos primeros puntos en test (funcionan bien); para el tercer punto (actualización del NIT de empresa), propone un comando separado para evitar sobrecargar el cargue directo, ya que actualizar miles de registros en tablas relacionadas es pesado..
20/03/2025: Ayer revisó con Fabio el flujo en Nativo (correcto) y encontró en Yii un error por falta de "order by", trayendo la primera empresa en lugar de la última; lo corrigió, hoy a las 10 a.m. se paso a produccion  y se ralizaron pruebas  las cuales fueron exitosas. 
</t>
  </si>
  <si>
    <t xml:space="preserve">Errores en imágenes de facturas </t>
  </si>
  <si>
    <t>25/03/2025:  El viernes resolvió un problema con imágenes de las facturas ya que generaba un error al digitar.</t>
  </si>
  <si>
    <t>Ajuste de casos con error en nombre de empresa al radicar</t>
  </si>
  <si>
    <t xml:space="preserve">25/03/2025 : El viernes por la tarde se actualizó el NIT de empresa de 5 casos en Imagine reportados como erróneos; ya está resuelto
</t>
  </si>
  <si>
    <t>Vulnerabilidades - Cookie without HttpOnly flag set   Y   Cookie without Secure flag set</t>
  </si>
  <si>
    <t>18/03/2025 Tras entregar Radicación Express a Jenry, se dedicará a temas de seguridad, priorizados con fechas específicas
19/03/2025:  Ayer trabajó poco en vulnerabilidades, avanzó algo pero no lo terminó; hoy priorizará otras tareas antes de retomarlo.
20/03/2025:Ayer trabajó en estas vulnerabilidades, enfrentó inconvenientes y no las terminó; sigue en proceso sin avances significativos reportados hoy.
21/03/2025: Ayer implementó ambas vulnerabilidades y hoy las subirá a test; planea avanzar en otras vulnerabilidades, revisando las de alta prioridad para priorizarlas.
25/03/2025: mplementadas el viernes, pero no subidas a test; hoy las subirá junto con Weak Ciphers y mostrará cómo probarlas.
26/03/2025: Ayer subio la impementación a produccion.</t>
  </si>
  <si>
    <t xml:space="preserve">MDSB-752092 Error en el flujo de la tipología Dictamen PCL AFP y COMUN, y Acta de ejecutoria </t>
  </si>
  <si>
    <t>25/03/2025: Iniciará hoy la validación del comportamiento de estas tipologías.
26/03/2025: Ayer identificó y solucionó un error en la asignación de usuarios (campo "Tipo de asignación" no se llenaba como "Flujo"); ya está resuelto.</t>
  </si>
  <si>
    <t>MDSB-770809 La tipología Dictamen Jrci - Drummond asigna directamente desde buzón sin estar incluida en el lector de correos .</t>
  </si>
  <si>
    <t>25/03/2025 Iniciara tan pronto  termine con MDSB-752092 Error en el flujo de la tipología Dictamen PCL AFP y COMUN, y Acta de ejecutoria.
26/03/2025: Validó el código con Jairo, no encontró errores en la asignación; se identificó que fue asignada manualmente.</t>
  </si>
  <si>
    <t xml:space="preserve">Error en el asunto en la respuesta del caso 30690847 </t>
  </si>
  <si>
    <t>27/03/2025: No lo revisó ayer; lo hará hoy tras subir Malla CUPS a test.
28/03/2025: Ayer encontró que el módulo de correos (hecho por Jairo) falla por asuntos no obligatorios en tablas de Nativo; propone validar y usar un asunto por defecto, Al intentar a justar el caso se evidencia que el caso fue anulado por el usuario.</t>
  </si>
  <si>
    <t>Vulnerabilidades - Misconfigured Access-Control-Allow-Origin Header .</t>
  </si>
  <si>
    <t>28/03/2025:  Hoy continuará con esta vulnerabilidad si el control de cambios de Autorizaciones Médicas no se ejecuta; de lo contrario, priorizará pruebas de GD772-92.
31/03/2025: El viernes resolvió esta vulnerabilidad y la mostró a Fabio; ya está en producción, aunque las pruebas externas fueron complicadas y se hicieron internamente.</t>
  </si>
  <si>
    <t>Adicionar actividad devolución mail caso 30256921</t>
  </si>
  <si>
    <t>28/03/2025:Reportado por Leidy, el caso no activó la actividad de devolución tras una respuesta devuelta; lo abrirá hoy; La actividad quedo incluida.</t>
  </si>
  <si>
    <t>MDSB-788329 usuario Medicos Gici no permite realizar reasignación por tipologia.</t>
  </si>
  <si>
    <t>31/03/2025: Se identifica  que el usuario no tenia  el rol actualizado en la tabla de  usuarios.</t>
  </si>
  <si>
    <t xml:space="preserve">23/01/2025 Inicio de pruebas  para  pasar a test
31/01/2025 entregado a prubas Bolivar
26/03/2025: Bolivar requiere pasarlo a produccion y ocultar la opcion en el portal hasta que ellos lo indiquen
27/03/2025: Bolívar pidió ayer desplegarlo a producción con la pestaña oculto hasta que indiquen habilitarlo; es viable, se confirmara fecha de despliegue. 
28/03/2025: Listo para producción con botón oculto (solicitado por Bolívar); hoy revisará el código y rama para asegurar el despliegue.  
03/04/2025: ayer en la tarde Se realiza paso a produccion de acuerdo a la  indicación del cliente. </t>
  </si>
  <si>
    <t>https://github.com/Imaginesas/portales/compare/master...hotfix/juntasFase1?expand=1</t>
  </si>
  <si>
    <t>GD772-92 - Malla CUPS en Nativo</t>
  </si>
  <si>
    <t>GD772-92 Lectura de Autorizaciones Médicas con IA</t>
  </si>
  <si>
    <t>25/03/2025: Planea iniciar después del mediodía la validación  de como integrar con la Malla CUPS de Jesús, explorando el reconocimiento de documentos con IA. 
26/03/2025: Inició ayer y avanzó; hoy seguirá trabajando para mostrar progreso si no hay bloqueos. 
26/03/2025: Se escala control de cambios a test MDSB-787009 para la creación de un  trigger.
27/03/2025: Ayer trabajó en modificaciones para leer documentos al insertar solicitudes, solicitó el control de cambios MDSB-787009 para un trigger; coordinó con Jesús la URL para integrar CUPS, y hoy implementará y desplegará a test si se aprueba el control.
28/03/2025: Ayer terminó el consumo del endpoint, pero no puede probar hasta que se ejecute el control de cambios MDSB-787009; hoy espera su aprobación para desplegar a test y realizar pruebas.
01/04/2025 : Control de cambios MDSB-787009 aplicado, iniciara  con el paso a test e iniciar pruebas.
02/04/2025: Se realizaron cambios en la implementación de un servicio, se creó un nuevo servicio que utiliza un token de autenticación a través de Nativo.
03/04/2025: Ayer subió el cambio a test; tras aprobación del cliente, solicitó el control de cambios MDSB-790997 en producción para crear el trigger y avanzar al paso final.  
04/04/2025: Pendiente pruebas de Bolivar para continuar el avance del control de cambios.
07/04/2025: Pruebas adjuntas al  requerimiento y control de cambios MDSB-790997 pasa a Aprobacion QA de bolivar
09/04/2025: Ayer se desplegó a producción sin problemas; hubo una confusión con códigos de tipologías, ajustada con Jesús y Danilo en 5 minutos hoy; queda cerrado tras seguimiento.
10/04/2025:Ayer ajustó la lógica para que deje de leer un caso tras extraer el CUPS y pase al siguiente; el cambio se subió, validó durante el día y está en producción</t>
  </si>
  <si>
    <t>GD772-85 Cambio en el 2do envio de EPS (Imprimir valores del IVA)</t>
  </si>
  <si>
    <t>26/02/2025: se encuentra pendiente hasta terminar el req GD772-82 Tipología sin flujo de radicación sisalud y GD772-83 Boton Glosa parcial del total de la factura.
28/02/2025:está avanzado y listo para pruebas, pero tiene una duda sobre glosa parcial  ¿Cómo se trabajaría? ¿Qué se debería hacer? que resolverán en la reunión de hoy a las 11 a.m.
03/03/2025: El viernes 28 de febrero se aclaran dudas para lo cual se escala control de cambios en test MDSB-772562.Control ejecutado con exito
04/03/2025: Tras la ejecucion exitosa del control de cambios hoy trabajara en la estabilizacion en test logrando su finalizacion. 
05/03/2025: Está listo para pasar a test con validaciones de IVA, descuentos y glosas, ajustado para no exceder valores pagados o glosados, y se probará con Jenry generando archivo JSON.
06/03/2025: Está haciendo cambios para el IVA y JSON en test, pero detectó un fallo (busca 31 columnas cuando son 33), y planea resolverlo hoy con Jenry.
07/03/2025: Terminó el requerimiento en test y ayer hizo pruebas con Jenry, quedando listo para probar con el cliente.
11/03/2025: Pendiente agendamiento de sesion para realizar pruebas con el cliente.
13/03/2025: Está listo para pruebas en conjunto con el cliente a las 11 a.m., esperando que todo funcione bien tras preparativos de ayer.
14/03/2025; Se realiza presentación delrequerimiento al cliente y surge una  pequeña corrección en las tarifas del IVA, la cual fue ajustada en la tarde.
17/03/2025:Esta a la  espera  de envio de parte del cliente el envio de data  para realizar nuevamente las pruebas.
18/03/2025: Está listo para mostrar hoylos ajustes, pero no hay servicio en test, lo que podría afectar la presentación.
19/03/2025: Hay una reunión hoy con EPS, pero no enviaron escenarios; se mostrará lo disponible en test, esperando que Karol tenga acceso para presentarlo.
20/03/2025: Ayer no se mostró la información. Bolivar tenía la tarea de enviar escenarios para crear facturas, pero los envió justo antes de la reunión.Jairo se comprometió a entregarlos el martes, pero hoy habrá otra reunión para ajustarlos, ya que incluían solo procedimientos glosados o con IVA, generando glosas incorrectas.
26/03/2025:  Ayer organizó facturas y realizó una prueba exitosa con el cliente; hoy hay otra reunión con EPS para radicar glosas (últimos escenarios), y estaría listo tras eso.
27/03/2025: Ayer no hubo pruebas por falta de acceso  a test del usuario de bolivar (sin permisos de IP).
01/04/2025 : se espera  confirmación de despliegue a produccion para soicitar control de cambios.
03/04/2025:  Pendiente de respuesta de Bolívar sobre las pruebas, retrasadas por visita de la Superintendencia; sigue en espera.
09/04/2025: 09/04/2025: Se escala control de cambios MDSB-794007 a producción
10/04/2025: Ayer se aprobo el control de  cambios  MDSB-794007 y se ejecutara hoy a las 4 pm.
11/04/2025: Ayer pasó a producción junto con glosas parciales; Santiago fue notificado de los cambios.</t>
  </si>
  <si>
    <t>GD772-83 Boton Glosa parcial del total de la factura (El boton debe  permitir seleccionar cups para realizar glosa general)</t>
  </si>
  <si>
    <t>24/02/2025:Se encuentra hecha la tabla con los checks.
25/02/2025 : Inicia con la lógica para colocar botones en los campos read-only para que solo se editen según la tabla, y realizara pruebas de los checks que funcionen de manera dinamica.
26/02/2025 :Se encuentra en la ejecucion de las devoluciones y despejando algunas  dudas..
27/02/2025: Se realizara  paso a test  y solicitara sesion con el cliente para la entrega.
28/02/2025: Requerimiento en ambiente test, pendieinte que Bolivar de el espacio para realizarles la entrega.
03/03/2025: Se realiza entrega a Bolivar el 28 de febrero donde solicitan una modificación  en el descuento  para lo cual se debe realizar un cambio en la logica y se escala control de cambios en test MDSB-772562, Control aejecutado con exito
04/03/2025: Tras la ejecucion exitosa del control de cambios hoy trabajara en la estabilizacion en test logrando su finalizacion.
07/03/2025: Terminó el requerimiento en test quedando listo para probar con el cliente
05/03/2025: Se fusionó con GD772-85 (2do envío de EPS) para un desarrollo conjunto
06/03/2025: Ayer trabajó en el tema de glosas, pero en test aparece un error por columnas no encontradas en la base de datos, por lo que necesita corregirlo.
07/03/2025:Terminó el requerimiento en test  quedando listo para probar con el cliente.
11/03/2025: Está en test, vinculado con el req Cambio en el 2do envio de EPS; se espera la validación de la usuaria.
14/03/2025: A la espera del agendamiento de la sesion de parte del cliente para realizar la entrega.   
02/04/2025:Adiciono funcionalidad a las glosas de ARL
03/04/2025: Pasó a test la funcionalidad de seleccionar CUPS para glosa general en ARL; no se mencionan pendientes adicionales.
09/04/2025: Se escala control de cambios MDSB-794007 a producción
10/04/2025: Ayer se aprobo el control de  cambios  MDSB-794007 y se ejecutara hoy  a las 4 pm.
11/04/2025: Ayer pasó a producción con req GD772-85 IVA</t>
  </si>
  <si>
    <t>GD772-61 Manejo de IVa Facturas EPS (Incluye req GD772-72, GD772-85 y GD772-83 )</t>
  </si>
  <si>
    <t>09/04/2025: Se escala control de cambios MDSB-794007 a producción, se estima aprovacion hoy de comité de control de cambios, en este control de cambios se incluyen los cambios de los  req GD772-72, GD772-85 y GD772-83.
10/04/2025: Ayer se aprobo el control de  cambios  MDSB-794007 y se ejecutara hoy  a las 4 pm.
11/04/2025:Control de cambios ejecutado con exito y se realiza despliegue a produccion.</t>
  </si>
  <si>
    <t xml:space="preserve">MDSB-767213 Error en corrección de número de documento del caso (Nativo) </t>
  </si>
  <si>
    <t>03/04/2025: Revisó el error; el módulo de correcciones actualiza la razón social pero no el NIT; implemento solucion en local está haciendo pruebas para validar hoy en test.
04/04/2025: Ayer se ajustaron una funciones en el codigo que no permitian la actualizacion del cambio de nit, falta  revisar  una tipologia "Viaticos" radicada desde el portal que a un no esta tomando los  cambios implementados.
07/04/2025: Pendiente revisar  una tipologia "Viaticos" radicada desde el portal que a un no esta tomando los  cambios implementados.
10/04/2025: falta ajustar la lógica para la tabla de valores en otras tipologías; planea terminarlo hoy antes de las 10 a.m.
11/04/2025: Incidencia  ajustada y finalizada</t>
  </si>
  <si>
    <t>MDSB-753982</t>
  </si>
  <si>
    <t>botón administrativo para poder asignar por malla</t>
  </si>
  <si>
    <t>EN CONTROL DE CAMBIO PRD</t>
  </si>
  <si>
    <t>04/02/2025 Creando administrador de permisos para la vista de la asignación
05/02/2025 se en etregara  jueves 6 de febrero, detenido 
05/02/2025 Se detiene hasta resolver incidencias de comunicados de cartera en Prd.
10/02/2025 Se escalan controles de cambios a test (MDSB-760269  y MDSB-760283)
11/02/2025 Controles ejecutados correctamente, se realiza despliegue a test.
11/02/2025 pruebas exitosas en test, al pendiente de que Santiago relice las pruebas y de el go para paso a producción,
12/02/2025: Santiago adjunta evidencias de las pruebas en test y se escalan control de cambios a produccion MDSB-762066 y MDSB-762083, pendiente aprobacion de Santiago para que continue el proceso.
20/02/2025: QA de bolivar realiza aprobacion de los controles y  Santiago prieto realiza aprobación de PO, quedando pendiente  por aprobación de Jefatura de desarrollo de Bolivar (Juan David León Sánchez).
06/03/2025: Jefatura de desarrollo de Bolivar (Juan David León Sánchez) realiza aprobación  de control de  cambios.</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</si>
  <si>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</si>
  <si>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</si>
  <si>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</si>
  <si>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</si>
  <si>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</si>
  <si>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</si>
  <si>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</si>
  <si>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</si>
  <si>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</si>
  <si>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</si>
  <si>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</si>
  <si>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</si>
  <si>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</si>
  <si>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</si>
  <si>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</si>
  <si>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</si>
  <si>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</si>
  <si>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</si>
  <si>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</si>
  <si>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</si>
  <si>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</si>
  <si>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</si>
  <si>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</si>
  <si>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</si>
  <si>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</si>
  <si>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</si>
  <si>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</si>
  <si>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</si>
  <si>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</si>
  <si>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</si>
  <si>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</si>
  <si>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</si>
  <si>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</si>
  <si>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</si>
  <si>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</si>
  <si>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</si>
  <si>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</si>
  <si>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JENRY HENAO</t>
  </si>
  <si>
    <t>LIYIBET PEREZ</t>
  </si>
  <si>
    <t>nomina</t>
  </si>
  <si>
    <t>NOMINA</t>
  </si>
  <si>
    <t>Fecha  Caida</t>
  </si>
  <si>
    <t>Hora Inicio</t>
  </si>
  <si>
    <t>Hora Fin</t>
  </si>
  <si>
    <t xml:space="preserve">Duración </t>
  </si>
  <si>
    <t>Mesa de crisis</t>
  </si>
  <si>
    <t xml:space="preserve">Observaciones </t>
  </si>
  <si>
    <t xml:space="preserve">SI </t>
  </si>
  <si>
    <t>El balanceador se quedo sin Ips, se creo un nuevo cidr vinculado a la misma etc para extender las ips</t>
  </si>
  <si>
    <t>504 Gateway Time-out
INC-SOFTWARE-Imagine-MASTER - MDSB-827224</t>
  </si>
  <si>
    <t>La conexión SSH se ha terminado con un error.
Razón:
Clase de error: Desconexión SSH local (LocalSshDisconn),
CPor la aplicación (ByApplication),
Mensaje: FlowSshPacketDecoder: tiempo de espera por falta de respuesta.</t>
  </si>
  <si>
    <t>Encolar informe de efectividad de salud</t>
  </si>
  <si>
    <t xml:space="preserve">*02/10/2024 inicia  gestion.
*03/10/2024 Finalizar la consulta y realizar pruebas
* 07/10/2024 desarrollo en test  para  pruebas </t>
  </si>
  <si>
    <r>
      <rPr>
        <rFont val="Quattrocento Sans"/>
        <color theme="1"/>
        <sz val="10.0"/>
      </rPr>
      <t>*04/10/2024 pruebas
*</t>
    </r>
    <r>
      <rPr>
        <rFont val="Quattrocento Sans"/>
        <b/>
        <color theme="1"/>
        <sz val="10.0"/>
      </rPr>
      <t xml:space="preserve"> 07/10/2024 se entrega a Danilo para  pruebas y posterior despliegue a producción
* 09/10/2024 Confirmar entrega de rama a Danilo
* 10/10/2024 Etregadas a Danilo 9 de octubre, </t>
    </r>
  </si>
  <si>
    <t>Autocomplete Enabled (15 Y 18)</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</si>
</sst>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dd&quot;-&quot;mm&quot;-&quot;yyyy"/>
    <numFmt numFmtId="165" formatCode="dd&quot;/&quot;mm&quot;/&quot;yyyy"/>
    <numFmt numFmtId="166" formatCode="d/M/yyyy"/>
    <numFmt numFmtId="167" formatCode="dd/mm/yyyy"/>
    <numFmt numFmtId="168" formatCode="yyyy/mm/dd"/>
  </numFmts>
  <fonts count="143">
    <font>
      <sz val="12.0"/>
      <color theme="1"/>
      <name val="Quattrocento Sans"/>
      <scheme val="minor"/>
    </font>
    <font>
      <b/>
      <u/>
      <sz val="9.0"/>
      <color theme="1"/>
      <name val="Quattrocento Sans"/>
    </font>
    <font>
      <b/>
      <u/>
      <sz val="10.0"/>
      <color theme="1"/>
      <name val="Quattrocento Sans"/>
    </font>
    <font>
      <u/>
      <sz val="11.0"/>
      <color theme="1"/>
      <name val="Quattrocento Sans"/>
    </font>
    <font>
      <u/>
      <sz val="11.0"/>
      <color theme="1"/>
      <name val="Quattrocento Sans"/>
    </font>
    <font>
      <b/>
      <u/>
      <sz val="10.0"/>
      <color theme="1"/>
      <name val="Quattrocento Sans"/>
    </font>
    <font>
      <u/>
      <sz val="10.0"/>
      <color theme="1"/>
      <name val="Quattrocento Sans"/>
    </font>
    <font>
      <b/>
      <sz val="10.0"/>
      <color theme="1"/>
      <name val="Quattrocento Sans"/>
    </font>
    <font>
      <b/>
      <sz val="8.0"/>
      <color theme="1"/>
      <name val="Quattrocento Sans"/>
    </font>
    <font>
      <b/>
      <sz val="13.0"/>
      <color rgb="FF000000"/>
      <name val="Quattrocento Sans"/>
    </font>
    <font>
      <b/>
      <u/>
      <sz val="9.0"/>
      <color theme="1"/>
      <name val="Quattrocento Sans"/>
    </font>
    <font>
      <sz val="11.0"/>
      <color theme="1"/>
      <name val="Quattrocento Sans"/>
      <scheme val="minor"/>
    </font>
    <font>
      <u/>
      <sz val="11.0"/>
      <color theme="1"/>
      <name val="Quattrocento Sans"/>
    </font>
    <font>
      <b/>
      <u/>
      <sz val="10.0"/>
      <color theme="1"/>
      <name val="Quattrocento Sans"/>
    </font>
    <font>
      <u/>
      <sz val="10.0"/>
      <color theme="1"/>
      <name val="Quattrocento Sans"/>
    </font>
    <font>
      <sz val="10.0"/>
      <color theme="1"/>
      <name val="Quattrocento Sans"/>
    </font>
    <font>
      <u/>
      <sz val="11.0"/>
      <color theme="1"/>
      <name val="Quattrocento Sans"/>
    </font>
    <font>
      <u/>
      <sz val="11.0"/>
      <color theme="1"/>
      <name val="Quattrocento Sans"/>
    </font>
    <font>
      <color rgb="FF000000"/>
      <name val="&quot;Quattrocento Sans&quot;"/>
    </font>
    <font>
      <b/>
      <u/>
      <sz val="9.0"/>
      <color theme="1"/>
      <name val="Quattrocento Sans"/>
    </font>
    <font>
      <u/>
      <sz val="11.0"/>
      <color theme="1"/>
      <name val="Quattrocento Sans"/>
    </font>
    <font>
      <u/>
      <sz val="10.0"/>
      <color theme="1"/>
      <name val="Quattrocento Sans"/>
    </font>
    <font>
      <u/>
      <sz val="10.0"/>
      <color theme="1"/>
      <name val="Quattrocento Sans"/>
    </font>
    <font>
      <u/>
      <sz val="11.0"/>
      <color theme="1"/>
      <name val="Quattrocento Sans"/>
    </font>
    <font>
      <u/>
      <sz val="10.0"/>
      <color theme="1"/>
      <name val="Quattrocento Sans"/>
    </font>
    <font>
      <u/>
      <sz val="10.0"/>
      <color theme="1"/>
      <name val="Quattrocento Sans"/>
    </font>
    <font>
      <b/>
      <sz val="9.0"/>
      <color theme="1"/>
      <name val="Quattrocento Sans"/>
    </font>
    <font>
      <color theme="1"/>
      <name val="Quattrocento Sans"/>
      <scheme val="minor"/>
    </font>
    <font>
      <sz val="11.0"/>
      <color theme="1"/>
      <name val="Quattrocento Sans"/>
    </font>
    <font>
      <b/>
      <u/>
      <sz val="11.0"/>
      <color theme="1"/>
      <name val="Quattrocento Sans"/>
    </font>
    <font>
      <color rgb="FF292A2E"/>
      <name val="Quattrocento Sans"/>
      <scheme val="minor"/>
    </font>
    <font>
      <u/>
      <sz val="10.0"/>
      <color theme="1"/>
      <name val="Quattrocento Sans"/>
    </font>
    <font>
      <u/>
      <sz val="11.0"/>
      <color rgb="FF000000"/>
      <name val="&quot;Quattrocento Sans&quot;"/>
    </font>
    <font>
      <u/>
      <color rgb="FF000000"/>
      <name val="&quot;Quattrocento Sans&quot;"/>
    </font>
    <font>
      <u/>
      <color rgb="FF000000"/>
      <name val="&quot;Quattrocento Sans&quot;"/>
    </font>
    <font>
      <sz val="10.0"/>
      <color rgb="FF000000"/>
      <name val="&quot;Quattrocento Sans&quot;"/>
    </font>
    <font>
      <u/>
      <sz val="11.0"/>
      <color rgb="FF000000"/>
      <name val="&quot;Quattrocento Sans&quot;"/>
    </font>
    <font>
      <u/>
      <sz val="11.0"/>
      <color rgb="FF0000FF"/>
      <name val="Roboto"/>
    </font>
    <font>
      <sz val="11.0"/>
      <color rgb="FF000000"/>
      <name val="&quot;Quattrocento Sans&quot;"/>
    </font>
    <font>
      <u/>
      <sz val="11.0"/>
      <color rgb="FF0000FF"/>
      <name val="Quattrocento Sans"/>
    </font>
    <font>
      <b/>
      <sz val="13.0"/>
      <color theme="1"/>
      <name val="Quattrocento Sans"/>
    </font>
    <font>
      <b/>
      <sz val="11.0"/>
      <color theme="1"/>
      <name val="Quattrocento Sans"/>
    </font>
    <font>
      <sz val="11.0"/>
      <color rgb="FF434343"/>
      <name val="Roboto"/>
    </font>
    <font>
      <u/>
      <sz val="10.0"/>
      <color theme="1"/>
      <name val="Quattrocento Sans"/>
    </font>
    <font>
      <u/>
      <sz val="11.0"/>
      <color theme="1"/>
      <name val="Quattrocento Sans"/>
    </font>
    <font>
      <u/>
      <sz val="11.0"/>
      <color theme="1"/>
      <name val="Quattrocento Sans"/>
    </font>
    <font>
      <u/>
      <sz val="10.0"/>
      <color rgb="FF0000FF"/>
      <name val="Quattrocento Sans"/>
    </font>
    <font>
      <b/>
      <color theme="1"/>
      <name val="Quattrocento Sans"/>
      <scheme val="minor"/>
    </font>
    <font>
      <sz val="12.0"/>
      <color rgb="FF434343"/>
      <name val="Roboto"/>
    </font>
    <font>
      <sz val="7.0"/>
      <color theme="1"/>
      <name val="Quattrocento Sans"/>
    </font>
    <font>
      <u/>
      <sz val="10.0"/>
      <color theme="1"/>
      <name val="Quattrocento Sans"/>
    </font>
    <font>
      <u/>
      <color rgb="FF292A2E"/>
      <name val="Roboto"/>
    </font>
    <font>
      <sz val="2.0"/>
      <color theme="1"/>
      <name val="Quattrocento Sans"/>
    </font>
    <font>
      <color rgb="FF000000"/>
      <name val="Arial"/>
    </font>
    <font>
      <u/>
      <sz val="10.0"/>
      <color theme="1"/>
      <name val="Quattrocento Sans"/>
    </font>
    <font>
      <b/>
      <u/>
      <color rgb="FFFFFFFF"/>
      <name val="Quattrocento Sans"/>
    </font>
    <font>
      <b/>
      <u/>
      <sz val="10.0"/>
      <color theme="1"/>
      <name val="Quattrocento Sans"/>
    </font>
    <font>
      <u/>
      <sz val="10.0"/>
      <color theme="1"/>
      <name val="Quattrocento Sans"/>
    </font>
    <font>
      <b/>
      <u/>
      <color theme="1"/>
      <name val="Quattrocento Sans"/>
    </font>
    <font>
      <b/>
      <u/>
      <color theme="1"/>
      <name val="Quattrocento Sans"/>
    </font>
    <font>
      <b/>
      <u/>
      <sz val="10.0"/>
      <color theme="1"/>
      <name val="Quattrocento Sans"/>
    </font>
    <font>
      <b/>
      <u/>
      <sz val="10.0"/>
      <color theme="1"/>
      <name val="Quattrocento Sans"/>
    </font>
    <font>
      <u/>
      <sz val="9.0"/>
      <color rgb="FF000000"/>
      <name val="Roboto"/>
    </font>
    <font>
      <u/>
      <sz val="11.0"/>
      <color rgb="FF000000"/>
      <name val="Quattrocento Sans"/>
    </font>
    <font>
      <b/>
      <u/>
      <sz val="10.0"/>
      <color theme="1"/>
      <name val="Quattrocento Sans"/>
    </font>
    <font>
      <u/>
      <sz val="11.0"/>
      <color theme="1"/>
      <name val="Quattrocento Sans"/>
    </font>
    <font>
      <b/>
      <u/>
      <color theme="1"/>
      <name val="Quattrocento Sans"/>
    </font>
    <font>
      <b/>
      <u/>
      <color theme="1"/>
      <name val="Quattrocento Sans"/>
    </font>
    <font>
      <u/>
      <sz val="11.0"/>
      <color theme="1"/>
      <name val="Quattrocento Sans"/>
    </font>
    <font>
      <b/>
      <u/>
      <color theme="1"/>
      <name val="Quattrocento Sans"/>
    </font>
    <font>
      <b/>
      <u/>
      <sz val="9.0"/>
      <color theme="1"/>
      <name val="Quattrocento Sans"/>
    </font>
    <font>
      <b/>
      <u/>
      <color theme="1"/>
      <name val="Quattrocento Sans"/>
    </font>
    <font>
      <u/>
      <sz val="10.0"/>
      <color theme="1"/>
      <name val="Quattrocento Sans"/>
    </font>
    <font>
      <u/>
      <sz val="11.0"/>
      <color rgb="FF000000"/>
      <name val="&quot;Quattrocento Sans&quot;"/>
    </font>
    <font>
      <u/>
      <color rgb="FF000000"/>
      <name val="&quot;Quattrocento Sans&quot;"/>
    </font>
    <font>
      <u/>
      <color rgb="FF000000"/>
      <name val="&quot;Quattrocento Sans&quot;"/>
    </font>
    <font>
      <u/>
      <sz val="10.0"/>
      <color theme="1"/>
      <name val="Quattrocento Sans"/>
    </font>
    <font>
      <u/>
      <sz val="10.0"/>
      <color theme="1"/>
      <name val="Quattrocento Sans"/>
    </font>
    <font>
      <b/>
      <u/>
      <sz val="10.0"/>
      <color theme="1"/>
      <name val="Quattrocento Sans"/>
    </font>
    <font>
      <b/>
      <u/>
      <sz val="9.0"/>
      <color theme="1"/>
      <name val="Quattrocento Sans"/>
    </font>
    <font>
      <b/>
      <u/>
      <color theme="1"/>
      <name val="Quattrocento Sans"/>
    </font>
    <font>
      <u/>
      <sz val="11.0"/>
      <color theme="1"/>
      <name val="Quattrocento Sans"/>
    </font>
    <font>
      <sz val="12.0"/>
      <color theme="1"/>
      <name val="Quattrocento Sans"/>
    </font>
    <font>
      <b/>
      <u/>
      <sz val="12.0"/>
      <color rgb="FF434343"/>
      <name val="Quattrocento Sans"/>
    </font>
    <font>
      <u/>
      <color rgb="FF11734B"/>
      <name val="Quattrocento Sans"/>
    </font>
    <font>
      <color theme="1"/>
      <name val="Quattrocento Sans"/>
    </font>
    <font>
      <b/>
      <u/>
      <sz val="12.0"/>
      <color rgb="FF434343"/>
      <name val="Quattrocento Sans"/>
    </font>
    <font>
      <u/>
      <color theme="1"/>
      <name val="Quattrocento Sans"/>
    </font>
    <font>
      <sz val="12.0"/>
      <color rgb="FF434343"/>
      <name val="Quattrocento Sans"/>
    </font>
    <font>
      <u/>
      <color theme="1"/>
      <name val="Quattrocento Sans"/>
    </font>
    <font>
      <b/>
      <u/>
      <sz val="12.0"/>
      <color rgb="FF434343"/>
      <name val="Quattrocento Sans"/>
    </font>
    <font>
      <u/>
      <sz val="11.0"/>
      <color theme="1"/>
      <name val="Quattrocento Sans"/>
    </font>
    <font>
      <b/>
      <u/>
      <sz val="12.0"/>
      <color rgb="FF434343"/>
      <name val="Quattrocento Sans"/>
    </font>
    <font>
      <u/>
      <color rgb="FF11734B"/>
      <name val="Quattrocento Sans"/>
    </font>
    <font>
      <b/>
      <u/>
      <sz val="12.0"/>
      <color rgb="FF434343"/>
      <name val="Quattrocento Sans"/>
    </font>
    <font>
      <u/>
      <sz val="12.0"/>
      <color rgb="FF11734B"/>
      <name val="Quattrocento Sans"/>
    </font>
    <font>
      <b/>
      <u/>
      <sz val="12.0"/>
      <color rgb="FF434343"/>
      <name val="Quattrocento Sans"/>
    </font>
    <font>
      <u/>
      <sz val="12.0"/>
      <color rgb="FF11734B"/>
      <name val="Quattrocento Sans"/>
    </font>
    <font>
      <b/>
      <u/>
      <sz val="9.0"/>
      <color rgb="FF434343"/>
      <name val="Quattrocento Sans"/>
    </font>
    <font>
      <u/>
      <sz val="11.0"/>
      <color rgb="FF434343"/>
      <name val="Quattrocento Sans"/>
    </font>
    <font>
      <u/>
      <sz val="12.0"/>
      <color rgb="FF473821"/>
      <name val="Quattrocento Sans"/>
    </font>
    <font>
      <u/>
      <sz val="12.0"/>
      <color rgb="FF434343"/>
      <name val="Quattrocento Sans"/>
    </font>
    <font>
      <u/>
      <sz val="10.0"/>
      <color theme="1"/>
      <name val="Quattrocento Sans"/>
    </font>
    <font>
      <b/>
      <u/>
      <sz val="9.0"/>
      <color rgb="FF434343"/>
      <name val="Quattrocento Sans"/>
    </font>
    <font>
      <b/>
      <u/>
      <sz val="12.0"/>
      <color rgb="FF434343"/>
      <name val="Quattrocento Sans"/>
    </font>
    <font>
      <u/>
      <sz val="11.0"/>
      <color rgb="FF434343"/>
      <name val="Quattrocento Sans"/>
    </font>
    <font>
      <b/>
      <u/>
      <sz val="12.0"/>
      <color rgb="FF434343"/>
      <name val="Quattrocento Sans"/>
    </font>
    <font>
      <u/>
      <sz val="12.0"/>
      <color rgb="FF473821"/>
      <name val="Quattrocento Sans"/>
    </font>
    <font>
      <u/>
      <sz val="12.0"/>
      <color rgb="FF11734B"/>
      <name val="Quattrocento Sans"/>
    </font>
    <font>
      <u/>
      <sz val="12.0"/>
      <color rgb="FF434343"/>
      <name val="Quattrocento Sans"/>
    </font>
    <font>
      <u/>
      <sz val="11.0"/>
      <color rgb="FF434343"/>
      <name val="Quattrocento Sans"/>
    </font>
    <font>
      <u/>
      <sz val="12.0"/>
      <color rgb="FF11734B"/>
      <name val="Quattrocento Sans"/>
    </font>
    <font>
      <u/>
      <sz val="11.0"/>
      <color rgb="FF434343"/>
      <name val="Quattrocento Sans"/>
    </font>
    <font>
      <u/>
      <sz val="12.0"/>
      <color rgb="FF434343"/>
      <name val="Quattrocento Sans"/>
    </font>
    <font>
      <b/>
      <sz val="12.0"/>
      <color rgb="FF434343"/>
      <name val="Quattrocento Sans"/>
    </font>
    <font>
      <sz val="9.0"/>
      <color theme="1"/>
      <name val="Roboto"/>
    </font>
    <font>
      <sz val="11.0"/>
      <color rgb="FF000000"/>
      <name val="Calibri"/>
    </font>
    <font>
      <sz val="10.0"/>
      <color theme="1"/>
      <name val="Quattrocento Sans"/>
      <scheme val="minor"/>
    </font>
    <font>
      <b/>
      <u/>
      <sz val="10.0"/>
      <color theme="1"/>
      <name val="Quattrocento Sans"/>
    </font>
    <font>
      <u/>
      <sz val="9.0"/>
      <color rgb="FF0000FF"/>
      <name val="Roboto"/>
    </font>
    <font>
      <u/>
      <sz val="10.0"/>
      <color rgb="FF0000FF"/>
      <name val="Quattrocento Sans"/>
    </font>
    <font>
      <b/>
      <u/>
      <sz val="9.0"/>
      <color rgb="FF000000"/>
      <name val="&quot;Quattrocento Sans&quot;"/>
    </font>
    <font>
      <u/>
      <color rgb="FF000000"/>
      <name val="&quot;Quattrocento Sans&quot;"/>
    </font>
    <font>
      <u/>
      <sz val="11.0"/>
      <color theme="1"/>
      <name val="Quattrocento Sans"/>
    </font>
    <font>
      <u/>
      <sz val="10.0"/>
      <color theme="1"/>
      <name val="Quattrocento Sans"/>
    </font>
    <font>
      <b/>
      <u/>
      <sz val="9.0"/>
      <color theme="1"/>
      <name val="Quattrocento Sans"/>
    </font>
    <font>
      <u/>
      <sz val="9.0"/>
      <color theme="1"/>
      <name val="Roboto"/>
    </font>
    <font>
      <u/>
      <sz val="11.0"/>
      <color theme="1"/>
      <name val="Quattrocento Sans"/>
    </font>
    <font>
      <u/>
      <sz val="9.0"/>
      <color theme="1"/>
      <name val="Roboto"/>
    </font>
    <font>
      <b/>
      <u/>
      <sz val="10.0"/>
      <color theme="1"/>
      <name val="Quattrocento Sans"/>
    </font>
    <font>
      <u/>
      <sz val="11.0"/>
      <color theme="1"/>
      <name val="Quattrocento Sans"/>
    </font>
    <font>
      <b/>
      <sz val="9.0"/>
      <color rgb="FF000000"/>
      <name val="&quot;Quattrocento Sans&quot;"/>
    </font>
    <font>
      <u/>
      <sz val="10.0"/>
      <color theme="10"/>
      <name val="Quattrocento Sans"/>
    </font>
    <font>
      <u/>
      <sz val="12.0"/>
      <color theme="10"/>
      <name val="Quattrocento Sans"/>
    </font>
    <font>
      <u/>
      <sz val="12.0"/>
      <color theme="10"/>
      <name val="Quattrocento Sans"/>
    </font>
    <font>
      <b/>
      <sz val="12.0"/>
      <color theme="1"/>
      <name val="Quattrocento Sans"/>
    </font>
    <font>
      <u/>
      <sz val="12.0"/>
      <color theme="1"/>
      <name val="Quattrocento Sans"/>
    </font>
    <font/>
    <font>
      <u/>
      <sz val="12.0"/>
      <color theme="10"/>
      <name val="Quattrocento Sans"/>
    </font>
    <font>
      <u/>
      <sz val="12.0"/>
      <color theme="10"/>
      <name val="Quattrocento Sans"/>
    </font>
    <font>
      <b/>
      <sz val="11.0"/>
      <color rgb="FFFF0000"/>
      <name val="Quattrocento Sans"/>
    </font>
    <font>
      <sz val="12.0"/>
      <color rgb="FFFF0000"/>
      <name val="Quattrocento Sans"/>
    </font>
    <font>
      <b/>
      <sz val="12.0"/>
      <color rgb="FFFF0000"/>
      <name val="Quattrocento Sans"/>
    </font>
  </fonts>
  <fills count="20">
    <fill>
      <patternFill patternType="none"/>
    </fill>
    <fill>
      <patternFill patternType="lightGray"/>
    </fill>
    <fill>
      <patternFill patternType="solid">
        <fgColor rgb="FF00FF00"/>
        <bgColor rgb="FF00FF00"/>
      </patternFill>
    </fill>
    <fill>
      <patternFill patternType="solid">
        <fgColor rgb="FFFFFFFF"/>
        <bgColor rgb="FFFFFFFF"/>
      </patternFill>
    </fill>
    <fill>
      <patternFill patternType="solid">
        <fgColor rgb="FFFFFF00"/>
        <bgColor rgb="FFFFFF00"/>
      </patternFill>
    </fill>
    <fill>
      <patternFill patternType="solid">
        <fgColor rgb="FFC9DAF8"/>
        <bgColor rgb="FFC9DAF8"/>
      </patternFill>
    </fill>
    <fill>
      <patternFill patternType="solid">
        <fgColor rgb="FF051524"/>
        <bgColor rgb="FF051524"/>
      </patternFill>
    </fill>
    <fill>
      <patternFill patternType="solid">
        <fgColor rgb="FFFF9900"/>
        <bgColor rgb="FFFF9900"/>
      </patternFill>
    </fill>
    <fill>
      <patternFill patternType="solid">
        <fgColor rgb="FF356854"/>
        <bgColor rgb="FF356854"/>
      </patternFill>
    </fill>
    <fill>
      <patternFill patternType="solid">
        <fgColor rgb="FFF6F8F9"/>
        <bgColor rgb="FFF6F8F9"/>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2F2F2"/>
        <bgColor rgb="FFF2F2F2"/>
      </patternFill>
    </fill>
    <fill>
      <patternFill patternType="solid">
        <fgColor theme="0"/>
        <bgColor theme="0"/>
      </patternFill>
    </fill>
    <fill>
      <patternFill patternType="solid">
        <fgColor rgb="FFD9D9D9"/>
        <bgColor rgb="FFD9D9D9"/>
      </patternFill>
    </fill>
    <fill>
      <patternFill patternType="solid">
        <fgColor rgb="FFFFE598"/>
        <bgColor rgb="FFFFE598"/>
      </patternFill>
    </fill>
    <fill>
      <patternFill patternType="solid">
        <fgColor rgb="FFD8D8D8"/>
        <bgColor rgb="FFD8D8D8"/>
      </patternFill>
    </fill>
    <fill>
      <patternFill patternType="solid">
        <fgColor rgb="FFDEEAF6"/>
        <bgColor rgb="FFDEEAF6"/>
      </patternFill>
    </fill>
    <fill>
      <patternFill patternType="solid">
        <fgColor rgb="FFB4C6E7"/>
        <bgColor rgb="FFB4C6E7"/>
      </patternFill>
    </fill>
  </fills>
  <borders count="31">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left style="thin">
        <color rgb="FF356854"/>
      </left>
      <right style="thin">
        <color rgb="FF356854"/>
      </right>
      <top style="thin">
        <color rgb="FF284E3F"/>
      </top>
      <bottom style="thin">
        <color rgb="FF284E3F"/>
      </bottom>
    </border>
    <border>
      <left style="thin">
        <color rgb="FFFFFFFF"/>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FFFFF"/>
      </left>
      <right style="thin">
        <color rgb="FFFFFFFF"/>
      </right>
      <top style="thin">
        <color rgb="FFFFFFFF"/>
      </top>
      <bottom style="thin">
        <color rgb="FF284E3F"/>
      </bottom>
    </border>
    <border>
      <left style="thin">
        <color rgb="FF000000"/>
      </left>
      <right style="thin">
        <color rgb="FF000000"/>
      </right>
      <top style="thin">
        <color rgb="FF000000"/>
      </top>
    </border>
    <border>
      <left style="thin">
        <color rgb="FF000000"/>
      </left>
      <right style="thin">
        <color rgb="FF000000"/>
      </right>
      <top style="thin">
        <color rgb="FF000000"/>
      </top>
      <bottom/>
    </border>
    <border>
      <left/>
      <right style="thin">
        <color rgb="FF000000"/>
      </right>
      <top style="thin">
        <color rgb="FF000000"/>
      </top>
      <bottom style="thin">
        <color rgb="FF000000"/>
      </bottom>
    </border>
    <border>
      <left/>
      <right/>
      <top/>
      <bottom/>
    </border>
    <border>
      <left style="thin">
        <color rgb="FF000000"/>
      </left>
      <right style="thin">
        <color rgb="FF000000"/>
      </right>
      <top/>
      <bottom/>
    </border>
    <border>
      <left style="thin">
        <color rgb="FF000000"/>
      </left>
      <right style="thin">
        <color rgb="FF000000"/>
      </right>
      <top/>
      <bottom style="thin">
        <color rgb="FF000000"/>
      </bottom>
    </border>
    <border>
      <left style="thin">
        <color rgb="FF000000"/>
      </left>
      <right style="thin">
        <color rgb="FF000000"/>
      </right>
      <bottom style="thin">
        <color rgb="FF000000"/>
      </bottom>
    </border>
    <border>
      <right style="thin">
        <color rgb="FF000000"/>
      </right>
      <top style="thin">
        <color rgb="FF000000"/>
      </top>
    </border>
    <border>
      <right style="thin">
        <color rgb="FF000000"/>
      </right>
    </border>
    <border>
      <top style="thin">
        <color rgb="FF000000"/>
      </top>
    </border>
    <border>
      <bottom style="thin">
        <color rgb="FF000000"/>
      </bottom>
    </border>
    <border>
      <left style="thin">
        <color rgb="FF000000"/>
      </left>
      <top style="thin">
        <color rgb="FF000000"/>
      </top>
    </border>
    <border>
      <left style="thin">
        <color rgb="FF000000"/>
      </left>
    </border>
    <border>
      <left style="thin">
        <color rgb="FF000000"/>
      </left>
      <right style="thin">
        <color rgb="FF000000"/>
      </right>
    </border>
    <border>
      <left style="thin">
        <color rgb="FF000000"/>
      </left>
      <right/>
      <top style="thin">
        <color rgb="FF000000"/>
      </top>
      <bottom/>
    </border>
    <border>
      <left style="thin">
        <color rgb="FF000000"/>
      </left>
      <top style="thin">
        <color rgb="FF000000"/>
      </top>
      <bottom style="thin">
        <color rgb="FF000000"/>
      </bottom>
    </border>
    <border>
      <left/>
      <right style="thin">
        <color rgb="FF000000"/>
      </right>
      <top/>
      <bottom style="thin">
        <color rgb="FF000000"/>
      </bottom>
    </border>
    <border>
      <right style="thin">
        <color rgb="FF000000"/>
      </right>
      <bottom style="thin">
        <color rgb="FF000000"/>
      </bottom>
    </border>
    <border>
      <left/>
      <right/>
      <top style="thin">
        <color rgb="FF000000"/>
      </top>
      <bottom/>
    </border>
    <border>
      <left style="thin">
        <color rgb="FF000000"/>
      </left>
      <right/>
      <top/>
      <bottom style="thin">
        <color rgb="FF000000"/>
      </bottom>
    </border>
    <border>
      <left style="thin">
        <color rgb="FF000000"/>
      </left>
      <right/>
      <top/>
      <bottom/>
    </border>
    <border>
      <left style="thin">
        <color rgb="FF000000"/>
      </left>
      <right/>
      <top style="thin">
        <color rgb="FF000000"/>
      </top>
      <bottom style="thin">
        <color rgb="FF000000"/>
      </bottom>
    </border>
    <border>
      <left/>
      <right style="thin">
        <color rgb="FF000000"/>
      </right>
      <top style="thin">
        <color rgb="FF000000"/>
      </top>
      <bottom/>
    </border>
    <border>
      <left/>
      <right/>
      <top/>
      <bottom style="thin">
        <color rgb="FF000000"/>
      </bottom>
    </border>
  </borders>
  <cellStyleXfs count="1">
    <xf borderId="0" fillId="0" fontId="0" numFmtId="0" applyAlignment="1" applyFont="1"/>
  </cellStyleXfs>
  <cellXfs count="900">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2" numFmtId="0" xfId="0" applyAlignment="1" applyFont="1">
      <alignment horizontal="center" readingOrder="0" shrinkToFit="0" vertical="center" wrapText="0"/>
    </xf>
    <xf borderId="0" fillId="0" fontId="3" numFmtId="0" xfId="0" applyAlignment="1" applyFont="1">
      <alignment horizontal="left" readingOrder="0" shrinkToFit="0" vertical="center" wrapText="0"/>
    </xf>
    <xf borderId="0" fillId="0" fontId="4" numFmtId="49" xfId="0" applyAlignment="1" applyFont="1" applyNumberFormat="1">
      <alignment horizontal="left" readingOrder="0" shrinkToFit="0" vertical="center" wrapText="0"/>
    </xf>
    <xf borderId="0" fillId="0" fontId="5" numFmtId="0" xfId="0" applyAlignment="1" applyFont="1">
      <alignment horizontal="center" readingOrder="0" shrinkToFit="0" vertical="center" wrapText="0"/>
    </xf>
    <xf borderId="0" fillId="0" fontId="6" numFmtId="0" xfId="0" applyAlignment="1" applyFont="1">
      <alignment horizontal="center" readingOrder="0" shrinkToFit="0" vertical="center" wrapText="1"/>
    </xf>
    <xf borderId="0" fillId="0" fontId="7" numFmtId="49" xfId="0" applyAlignment="1" applyFont="1" applyNumberFormat="1">
      <alignment horizontal="center" readingOrder="0" shrinkToFit="0" vertical="center" wrapText="0"/>
    </xf>
    <xf borderId="0" fillId="0" fontId="8" numFmtId="49" xfId="0" applyAlignment="1" applyFont="1" applyNumberFormat="1">
      <alignment horizontal="center" readingOrder="0" shrinkToFit="0" vertical="center" wrapText="1"/>
    </xf>
    <xf borderId="0" fillId="0" fontId="7" numFmtId="0" xfId="0" applyAlignment="1" applyFont="1">
      <alignment horizontal="center" readingOrder="0" shrinkToFit="0" vertical="center" wrapText="0"/>
    </xf>
    <xf borderId="0" fillId="0" fontId="7" numFmtId="0" xfId="0" applyAlignment="1" applyFont="1">
      <alignment horizontal="center" readingOrder="0" shrinkToFit="0" vertical="center" wrapText="1"/>
    </xf>
    <xf borderId="0" fillId="0" fontId="7" numFmtId="14" xfId="0" applyAlignment="1" applyFont="1" applyNumberFormat="1">
      <alignment horizontal="center" readingOrder="0" shrinkToFit="0" vertical="top" wrapText="0"/>
    </xf>
    <xf borderId="0" fillId="0" fontId="7" numFmtId="49" xfId="0" applyAlignment="1" applyFont="1" applyNumberFormat="1">
      <alignment horizontal="center" readingOrder="0" shrinkToFit="0" vertical="top" wrapText="1"/>
    </xf>
    <xf borderId="0" fillId="2" fontId="9" numFmtId="0" xfId="0" applyAlignment="1" applyFill="1" applyFont="1">
      <alignment horizontal="center" readingOrder="0" shrinkToFit="0" vertical="top" wrapText="1"/>
    </xf>
    <xf borderId="0" fillId="0" fontId="7" numFmtId="0" xfId="0" applyAlignment="1" applyFont="1">
      <alignment horizontal="center" readingOrder="0" shrinkToFit="0" vertical="top" wrapText="1"/>
    </xf>
    <xf borderId="1" fillId="3" fontId="10" numFmtId="0" xfId="0" applyAlignment="1" applyBorder="1" applyFill="1" applyFont="1">
      <alignment horizontal="center" readingOrder="0" shrinkToFit="0" vertical="center" wrapText="1"/>
    </xf>
    <xf borderId="1" fillId="0" fontId="11" numFmtId="0" xfId="0" applyAlignment="1" applyBorder="1" applyFont="1">
      <alignment shrinkToFit="0" vertical="center" wrapText="0"/>
    </xf>
    <xf borderId="1" fillId="3" fontId="12" numFmtId="0" xfId="0" applyAlignment="1" applyBorder="1" applyFont="1">
      <alignment horizontal="left" readingOrder="0" shrinkToFit="0" vertical="center" wrapText="1"/>
    </xf>
    <xf borderId="1" fillId="3" fontId="13" numFmtId="0" xfId="0" applyAlignment="1" applyBorder="1" applyFont="1">
      <alignment horizontal="center" shrinkToFit="0" vertical="center" wrapText="1"/>
    </xf>
    <xf borderId="1" fillId="3" fontId="14" numFmtId="0" xfId="0" applyAlignment="1" applyBorder="1" applyFont="1">
      <alignment readingOrder="0" shrinkToFit="0" vertical="center" wrapText="1"/>
    </xf>
    <xf borderId="1" fillId="3" fontId="15" numFmtId="0" xfId="0" applyAlignment="1" applyBorder="1" applyFont="1">
      <alignment horizontal="center" readingOrder="0" shrinkToFit="0" vertical="center" wrapText="1"/>
    </xf>
    <xf borderId="1" fillId="3" fontId="7" numFmtId="14" xfId="0" applyAlignment="1" applyBorder="1" applyFont="1" applyNumberFormat="1">
      <alignment horizontal="center" readingOrder="0" shrinkToFit="0" vertical="center" wrapText="0"/>
    </xf>
    <xf borderId="1" fillId="3" fontId="15" numFmtId="164" xfId="0" applyAlignment="1" applyBorder="1" applyFont="1" applyNumberFormat="1">
      <alignment shrinkToFit="0" vertical="center" wrapText="1"/>
    </xf>
    <xf borderId="1" fillId="3" fontId="15" numFmtId="165" xfId="0" applyAlignment="1" applyBorder="1" applyFont="1" applyNumberFormat="1">
      <alignment shrinkToFit="0" vertical="center" wrapText="1"/>
    </xf>
    <xf borderId="1" fillId="3" fontId="7" numFmtId="165" xfId="0" applyAlignment="1" applyBorder="1" applyFont="1" applyNumberFormat="1">
      <alignment readingOrder="0" shrinkToFit="0" vertical="center" wrapText="0"/>
    </xf>
    <xf borderId="1" fillId="3" fontId="15" numFmtId="1" xfId="0" applyAlignment="1" applyBorder="1" applyFont="1" applyNumberFormat="1">
      <alignment horizontal="center" shrinkToFit="0" vertical="center" wrapText="1"/>
    </xf>
    <xf borderId="1" fillId="3" fontId="7" numFmtId="166" xfId="0" applyAlignment="1" applyBorder="1" applyFont="1" applyNumberFormat="1">
      <alignment shrinkToFit="0" vertical="center" wrapText="0"/>
    </xf>
    <xf borderId="1" fillId="3" fontId="15" numFmtId="0" xfId="0" applyAlignment="1" applyBorder="1" applyFont="1">
      <alignment horizontal="left" readingOrder="0" shrinkToFit="0" vertical="top" wrapText="0"/>
    </xf>
    <xf borderId="1" fillId="3" fontId="15" numFmtId="49" xfId="0" applyAlignment="1" applyBorder="1" applyFont="1" applyNumberFormat="1">
      <alignment readingOrder="0" shrinkToFit="0" vertical="top" wrapText="0"/>
    </xf>
    <xf borderId="1" fillId="3" fontId="15" numFmtId="14" xfId="0" applyAlignment="1" applyBorder="1" applyFont="1" applyNumberFormat="1">
      <alignment horizontal="center" shrinkToFit="0" vertical="center" wrapText="1"/>
    </xf>
    <xf borderId="1" fillId="3" fontId="7" numFmtId="0" xfId="0" applyAlignment="1" applyBorder="1" applyFont="1">
      <alignment shrinkToFit="0" vertical="center" wrapText="0"/>
    </xf>
    <xf borderId="1" fillId="3" fontId="15" numFmtId="0" xfId="0" applyAlignment="1" applyBorder="1" applyFont="1">
      <alignment horizontal="left" readingOrder="0" shrinkToFit="0" vertical="top" wrapText="0"/>
    </xf>
    <xf borderId="1" fillId="3" fontId="15" numFmtId="0" xfId="0" applyAlignment="1" applyBorder="1" applyFont="1">
      <alignment horizontal="left" readingOrder="0" shrinkToFit="0" vertical="top" wrapText="0"/>
    </xf>
    <xf borderId="0" fillId="3" fontId="15" numFmtId="0" xfId="0" applyAlignment="1" applyFont="1">
      <alignment horizontal="left" readingOrder="0" shrinkToFit="0" vertical="top" wrapText="0"/>
    </xf>
    <xf borderId="0" fillId="3" fontId="15" numFmtId="0" xfId="0" applyAlignment="1" applyFont="1">
      <alignment horizontal="left" readingOrder="0" shrinkToFit="0" vertical="top" wrapText="0"/>
    </xf>
    <xf borderId="1" fillId="3" fontId="15" numFmtId="165" xfId="0" applyAlignment="1" applyBorder="1" applyFont="1" applyNumberFormat="1">
      <alignment readingOrder="0" shrinkToFit="0" vertical="center" wrapText="1"/>
    </xf>
    <xf borderId="1" fillId="3" fontId="7" numFmtId="0" xfId="0" applyAlignment="1" applyBorder="1" applyFont="1">
      <alignment horizontal="left" readingOrder="0" shrinkToFit="0" vertical="top" wrapText="0"/>
    </xf>
    <xf borderId="1" fillId="3" fontId="7" numFmtId="0" xfId="0" applyAlignment="1" applyBorder="1" applyFont="1">
      <alignment horizontal="left" readingOrder="0" shrinkToFit="0" vertical="top" wrapText="0"/>
    </xf>
    <xf borderId="1" fillId="3" fontId="7" numFmtId="0" xfId="0" applyAlignment="1" applyBorder="1" applyFont="1">
      <alignment horizontal="left" readingOrder="0" shrinkToFit="0" vertical="top" wrapText="0"/>
    </xf>
    <xf borderId="0" fillId="3" fontId="7" numFmtId="0" xfId="0" applyAlignment="1" applyFont="1">
      <alignment horizontal="left" readingOrder="0" shrinkToFit="0" vertical="top" wrapText="0"/>
    </xf>
    <xf borderId="1" fillId="3" fontId="16" numFmtId="0" xfId="0" applyAlignment="1" applyBorder="1" applyFont="1">
      <alignment horizontal="left" shrinkToFit="0" vertical="center" wrapText="1"/>
    </xf>
    <xf borderId="1" fillId="4" fontId="17" numFmtId="0" xfId="0" applyAlignment="1" applyBorder="1" applyFill="1" applyFont="1">
      <alignment horizontal="left" readingOrder="0" shrinkToFit="0" vertical="center" wrapText="1"/>
    </xf>
    <xf borderId="1" fillId="3" fontId="18" numFmtId="165" xfId="0" applyAlignment="1" applyBorder="1" applyFont="1" applyNumberFormat="1">
      <alignment horizontal="right" readingOrder="0" shrinkToFit="0" vertical="center" wrapText="0"/>
    </xf>
    <xf borderId="1" fillId="3" fontId="15" numFmtId="164" xfId="0" applyAlignment="1" applyBorder="1" applyFont="1" applyNumberFormat="1">
      <alignment readingOrder="0" shrinkToFit="0" vertical="center" wrapText="1"/>
    </xf>
    <xf borderId="1" fillId="3" fontId="15" numFmtId="1" xfId="0" applyAlignment="1" applyBorder="1" applyFont="1" applyNumberFormat="1">
      <alignment horizontal="center" readingOrder="0" shrinkToFit="0" vertical="center" wrapText="1"/>
    </xf>
    <xf borderId="1" fillId="3" fontId="7" numFmtId="0" xfId="0" applyAlignment="1" applyBorder="1" applyFont="1">
      <alignment readingOrder="0" shrinkToFit="0" vertical="center" wrapText="0"/>
    </xf>
    <xf borderId="1" fillId="3" fontId="7" numFmtId="0" xfId="0" applyAlignment="1" applyBorder="1" applyFont="1">
      <alignment horizontal="left" readingOrder="0" shrinkToFit="0" vertical="top" wrapText="1"/>
    </xf>
    <xf borderId="1" fillId="3" fontId="7" numFmtId="0" xfId="0" applyAlignment="1" applyBorder="1" applyFont="1">
      <alignment horizontal="left" readingOrder="0" shrinkToFit="0" vertical="top" wrapText="1"/>
    </xf>
    <xf borderId="0" fillId="3" fontId="7" numFmtId="0" xfId="0" applyAlignment="1" applyFont="1">
      <alignment horizontal="left" readingOrder="0" shrinkToFit="0" vertical="top" wrapText="1"/>
    </xf>
    <xf borderId="1" fillId="3" fontId="7" numFmtId="14" xfId="0" applyAlignment="1" applyBorder="1" applyFont="1" applyNumberFormat="1">
      <alignment horizontal="center" shrinkToFit="0" vertical="center" wrapText="0"/>
    </xf>
    <xf borderId="1" fillId="3" fontId="7" numFmtId="165" xfId="0" applyAlignment="1" applyBorder="1" applyFont="1" applyNumberFormat="1">
      <alignment shrinkToFit="0" vertical="center" wrapText="0"/>
    </xf>
    <xf borderId="1" fillId="3" fontId="15" numFmtId="14" xfId="0" applyAlignment="1" applyBorder="1" applyFont="1" applyNumberFormat="1">
      <alignment horizontal="left" shrinkToFit="0" vertical="top" wrapText="0"/>
    </xf>
    <xf borderId="0" fillId="3" fontId="7" numFmtId="0" xfId="0" applyAlignment="1" applyFont="1">
      <alignment horizontal="left" readingOrder="0" shrinkToFit="0" vertical="top" wrapText="0"/>
    </xf>
    <xf borderId="1" fillId="3" fontId="19" numFmtId="0" xfId="0" applyAlignment="1" applyBorder="1" applyFont="1">
      <alignment horizontal="center" readingOrder="0" shrinkToFit="0" vertical="center" wrapText="0"/>
    </xf>
    <xf borderId="1" fillId="5" fontId="20" numFmtId="0" xfId="0" applyAlignment="1" applyBorder="1" applyFill="1" applyFont="1">
      <alignment horizontal="left" readingOrder="0" shrinkToFit="0" vertical="center" wrapText="0"/>
    </xf>
    <xf borderId="1" fillId="3" fontId="21" numFmtId="0" xfId="0" applyAlignment="1" applyBorder="1" applyFont="1">
      <alignment shrinkToFit="0" vertical="center" wrapText="0"/>
    </xf>
    <xf borderId="1" fillId="3" fontId="15" numFmtId="0" xfId="0" applyAlignment="1" applyBorder="1" applyFont="1">
      <alignment horizontal="center" readingOrder="0" shrinkToFit="0" vertical="center" wrapText="0"/>
    </xf>
    <xf borderId="1" fillId="0" fontId="15" numFmtId="0" xfId="0" applyAlignment="1" applyBorder="1" applyFont="1">
      <alignment shrinkToFit="0" vertical="center" wrapText="0"/>
    </xf>
    <xf borderId="1" fillId="3" fontId="15" numFmtId="164" xfId="0" applyAlignment="1" applyBorder="1" applyFont="1" applyNumberFormat="1">
      <alignment shrinkToFit="0" vertical="center" wrapText="0"/>
    </xf>
    <xf borderId="1" fillId="3" fontId="15" numFmtId="165" xfId="0" applyAlignment="1" applyBorder="1" applyFont="1" applyNumberFormat="1">
      <alignment readingOrder="0" shrinkToFit="0" vertical="center" wrapText="0"/>
    </xf>
    <xf borderId="1" fillId="3" fontId="15" numFmtId="166" xfId="0" applyAlignment="1" applyBorder="1" applyFont="1" applyNumberFormat="1">
      <alignment readingOrder="0" shrinkToFit="0" vertical="center" wrapText="0"/>
    </xf>
    <xf borderId="1" fillId="3" fontId="15" numFmtId="0" xfId="0" applyAlignment="1" applyBorder="1" applyFont="1">
      <alignment readingOrder="0" shrinkToFit="0" vertical="center" wrapText="1"/>
    </xf>
    <xf borderId="1" fillId="3" fontId="15" numFmtId="0" xfId="0" applyAlignment="1" applyBorder="1" applyFont="1">
      <alignment readingOrder="0" shrinkToFit="0" vertical="center" wrapText="0"/>
    </xf>
    <xf borderId="1" fillId="3" fontId="15" numFmtId="0" xfId="0" applyAlignment="1" applyBorder="1" applyFont="1">
      <alignment readingOrder="0" shrinkToFit="0" vertical="center" wrapText="1"/>
    </xf>
    <xf borderId="1" fillId="3" fontId="15" numFmtId="0" xfId="0" applyAlignment="1" applyBorder="1" applyFont="1">
      <alignment readingOrder="0" shrinkToFit="0" vertical="center" wrapText="1"/>
    </xf>
    <xf borderId="0" fillId="3" fontId="15" numFmtId="0" xfId="0" applyAlignment="1" applyFont="1">
      <alignment readingOrder="0" shrinkToFit="0" vertical="center" wrapText="1"/>
    </xf>
    <xf borderId="1" fillId="3" fontId="22" numFmtId="0" xfId="0" applyAlignment="1" applyBorder="1" applyFont="1">
      <alignment shrinkToFit="0" vertical="center" wrapText="1"/>
    </xf>
    <xf borderId="1" fillId="3" fontId="15" numFmtId="0" xfId="0" applyAlignment="1" applyBorder="1" applyFont="1">
      <alignment horizontal="center" shrinkToFit="0" vertical="center" wrapText="1"/>
    </xf>
    <xf borderId="1" fillId="3" fontId="15" numFmtId="165" xfId="0" applyAlignment="1" applyBorder="1" applyFont="1" applyNumberFormat="1">
      <alignment shrinkToFit="0" vertical="center" wrapText="0"/>
    </xf>
    <xf borderId="1" fillId="3" fontId="15" numFmtId="166" xfId="0" applyAlignment="1" applyBorder="1" applyFont="1" applyNumberFormat="1">
      <alignment shrinkToFit="0" vertical="center" wrapText="0"/>
    </xf>
    <xf borderId="1" fillId="3" fontId="15" numFmtId="0" xfId="0" applyAlignment="1" applyBorder="1" applyFont="1">
      <alignment shrinkToFit="0" vertical="top" wrapText="0"/>
    </xf>
    <xf borderId="1" fillId="3" fontId="15" numFmtId="0" xfId="0" applyAlignment="1" applyBorder="1" applyFont="1">
      <alignment horizontal="center" shrinkToFit="0" vertical="center" wrapText="0"/>
    </xf>
    <xf borderId="1" fillId="3" fontId="15" numFmtId="0" xfId="0" applyAlignment="1" applyBorder="1" applyFont="1">
      <alignment shrinkToFit="0" vertical="center" wrapText="0"/>
    </xf>
    <xf borderId="1" fillId="3" fontId="15" numFmtId="0" xfId="0" applyAlignment="1" applyBorder="1" applyFont="1">
      <alignment readingOrder="0" shrinkToFit="0" vertical="top" wrapText="0"/>
    </xf>
    <xf borderId="0" fillId="3" fontId="15" numFmtId="0" xfId="0" applyAlignment="1" applyFont="1">
      <alignment readingOrder="0" shrinkToFit="0" vertical="top" wrapText="0"/>
    </xf>
    <xf borderId="0" fillId="3" fontId="15" numFmtId="0" xfId="0" applyAlignment="1" applyFont="1">
      <alignment readingOrder="0" shrinkToFit="0" vertical="top" wrapText="0"/>
    </xf>
    <xf borderId="1" fillId="3" fontId="23" numFmtId="0" xfId="0" applyAlignment="1" applyBorder="1" applyFont="1">
      <alignment horizontal="left" readingOrder="0" shrinkToFit="0" vertical="center" wrapText="0"/>
    </xf>
    <xf borderId="1" fillId="3" fontId="15" numFmtId="1" xfId="0" applyAlignment="1" applyBorder="1" applyFont="1" applyNumberFormat="1">
      <alignment horizontal="center" shrinkToFit="0" vertical="center" wrapText="0"/>
    </xf>
    <xf borderId="1" fillId="3" fontId="15" numFmtId="0" xfId="0" applyAlignment="1" applyBorder="1" applyFont="1">
      <alignment readingOrder="0" shrinkToFit="0" vertical="center" wrapText="0"/>
    </xf>
    <xf borderId="1" fillId="3" fontId="15" numFmtId="0" xfId="0" applyAlignment="1" applyBorder="1" applyFont="1">
      <alignment shrinkToFit="0" vertical="center" wrapText="0"/>
    </xf>
    <xf borderId="0" fillId="3" fontId="15" numFmtId="0" xfId="0" applyAlignment="1" applyFont="1">
      <alignment shrinkToFit="0" vertical="center" wrapText="0"/>
    </xf>
    <xf borderId="0" fillId="3" fontId="15" numFmtId="0" xfId="0" applyAlignment="1" applyFont="1">
      <alignment readingOrder="0" shrinkToFit="0" vertical="center" wrapText="0"/>
    </xf>
    <xf borderId="1" fillId="3" fontId="15" numFmtId="164" xfId="0" applyAlignment="1" applyBorder="1" applyFont="1" applyNumberFormat="1">
      <alignment readingOrder="0" shrinkToFit="0" vertical="center" wrapText="0"/>
    </xf>
    <xf borderId="1" fillId="3" fontId="15" numFmtId="0" xfId="0" applyAlignment="1" applyBorder="1" applyFont="1">
      <alignment readingOrder="0" shrinkToFit="0" vertical="center" wrapText="0"/>
    </xf>
    <xf borderId="1" fillId="3" fontId="15" numFmtId="0" xfId="0" applyAlignment="1" applyBorder="1" applyFont="1">
      <alignment readingOrder="0" shrinkToFit="0" vertical="center" wrapText="0"/>
    </xf>
    <xf borderId="1" fillId="3" fontId="24" numFmtId="0" xfId="0" applyAlignment="1" applyBorder="1" applyFont="1">
      <alignment horizontal="left" shrinkToFit="0" vertical="center" wrapText="1"/>
    </xf>
    <xf borderId="1" fillId="3" fontId="25" numFmtId="0" xfId="0" applyAlignment="1" applyBorder="1" applyFont="1">
      <alignment readingOrder="0" shrinkToFit="0" vertical="center" wrapText="0"/>
    </xf>
    <xf borderId="1" fillId="3" fontId="15" numFmtId="0" xfId="0" applyAlignment="1" applyBorder="1" applyFont="1">
      <alignment horizontal="left" readingOrder="0" shrinkToFit="0" vertical="top" wrapText="1"/>
    </xf>
    <xf borderId="1" fillId="3" fontId="15" numFmtId="0" xfId="0" applyAlignment="1" applyBorder="1" applyFont="1">
      <alignment horizontal="left" shrinkToFit="0" vertical="top" wrapText="1"/>
    </xf>
    <xf borderId="1" fillId="3" fontId="15" numFmtId="0" xfId="0" applyAlignment="1" applyBorder="1" applyFont="1">
      <alignment horizontal="left" readingOrder="0" shrinkToFit="0" vertical="top" wrapText="1"/>
    </xf>
    <xf borderId="1" fillId="3" fontId="15" numFmtId="0" xfId="0" applyAlignment="1" applyBorder="1" applyFont="1">
      <alignment horizontal="left" readingOrder="0" shrinkToFit="0" vertical="top" wrapText="1"/>
    </xf>
    <xf borderId="0" fillId="3" fontId="15" numFmtId="0" xfId="0" applyAlignment="1" applyFont="1">
      <alignment horizontal="left" readingOrder="0" shrinkToFit="0" vertical="top" wrapText="1"/>
    </xf>
    <xf borderId="0" fillId="3" fontId="15" numFmtId="0" xfId="0" applyAlignment="1" applyFont="1">
      <alignment horizontal="left" readingOrder="0" shrinkToFit="0" vertical="top" wrapText="1"/>
    </xf>
    <xf borderId="1" fillId="3" fontId="26" numFmtId="0" xfId="0" applyAlignment="1" applyBorder="1" applyFont="1">
      <alignment horizontal="center" readingOrder="0" shrinkToFit="0" vertical="center" wrapText="0"/>
    </xf>
    <xf borderId="1" fillId="4" fontId="11" numFmtId="0" xfId="0" applyAlignment="1" applyBorder="1" applyFont="1">
      <alignment readingOrder="0" shrinkToFit="0" vertical="center" wrapText="0"/>
    </xf>
    <xf borderId="1" fillId="0" fontId="27" numFmtId="0" xfId="0" applyAlignment="1" applyBorder="1" applyFont="1">
      <alignment shrinkToFit="0" vertical="center" wrapText="1"/>
    </xf>
    <xf borderId="1" fillId="3" fontId="28" numFmtId="0" xfId="0" applyAlignment="1" applyBorder="1" applyFont="1">
      <alignment horizontal="left" readingOrder="0" shrinkToFit="0" vertical="center" wrapText="0"/>
    </xf>
    <xf borderId="1" fillId="3" fontId="15" numFmtId="0" xfId="0" applyAlignment="1" applyBorder="1" applyFont="1">
      <alignment horizontal="left" shrinkToFit="0" vertical="center" wrapText="0"/>
    </xf>
    <xf borderId="1" fillId="3" fontId="15" numFmtId="0" xfId="0" applyAlignment="1" applyBorder="1" applyFont="1">
      <alignment horizontal="center" readingOrder="0" shrinkToFit="0" vertical="center" wrapText="0"/>
    </xf>
    <xf borderId="1" fillId="3" fontId="15" numFmtId="167" xfId="0" applyAlignment="1" applyBorder="1" applyFont="1" applyNumberFormat="1">
      <alignment horizontal="center" readingOrder="0" shrinkToFit="0" vertical="center" wrapText="0"/>
    </xf>
    <xf borderId="1" fillId="3" fontId="15" numFmtId="164" xfId="0" applyAlignment="1" applyBorder="1" applyFont="1" applyNumberFormat="1">
      <alignment readingOrder="0" shrinkToFit="0" vertical="center" wrapText="0"/>
    </xf>
    <xf borderId="1" fillId="3" fontId="15" numFmtId="165" xfId="0" applyAlignment="1" applyBorder="1" applyFont="1" applyNumberFormat="1">
      <alignment readingOrder="0" shrinkToFit="0" vertical="center" wrapText="0"/>
    </xf>
    <xf borderId="1" fillId="3" fontId="15" numFmtId="166" xfId="0" applyAlignment="1" applyBorder="1" applyFont="1" applyNumberFormat="1">
      <alignment readingOrder="0" shrinkToFit="0" vertical="center" wrapText="0"/>
    </xf>
    <xf borderId="1" fillId="3" fontId="15" numFmtId="14" xfId="0" applyAlignment="1" applyBorder="1" applyFont="1" applyNumberFormat="1">
      <alignment horizontal="center" shrinkToFit="0" vertical="center" wrapText="0"/>
    </xf>
    <xf borderId="1" fillId="3" fontId="15" numFmtId="0" xfId="0" applyAlignment="1" applyBorder="1" applyFont="1">
      <alignment readingOrder="0" shrinkToFit="0" vertical="center" wrapText="0"/>
    </xf>
    <xf borderId="1" fillId="3" fontId="15" numFmtId="0" xfId="0" applyAlignment="1" applyBorder="1" applyFont="1">
      <alignment horizontal="left" shrinkToFit="0" vertical="top" wrapText="0"/>
    </xf>
    <xf borderId="0" fillId="3" fontId="15" numFmtId="0" xfId="0" applyAlignment="1" applyFont="1">
      <alignment horizontal="left" shrinkToFit="0" vertical="top" wrapText="0"/>
    </xf>
    <xf borderId="1" fillId="0" fontId="11" numFmtId="0" xfId="0" applyAlignment="1" applyBorder="1" applyFont="1">
      <alignment readingOrder="0" shrinkToFit="0" vertical="center" wrapText="0"/>
    </xf>
    <xf borderId="1" fillId="0" fontId="27" numFmtId="0" xfId="0" applyAlignment="1" applyBorder="1" applyFont="1">
      <alignment shrinkToFit="0" vertical="center" wrapText="0"/>
    </xf>
    <xf borderId="1" fillId="3" fontId="29" numFmtId="0" xfId="0" applyAlignment="1" applyBorder="1" applyFont="1">
      <alignment horizontal="left" readingOrder="0" shrinkToFit="0" vertical="center" wrapText="0"/>
    </xf>
    <xf borderId="1" fillId="3" fontId="15" numFmtId="0" xfId="0" applyAlignment="1" applyBorder="1" applyFont="1">
      <alignment readingOrder="0" shrinkToFit="0" vertical="center" wrapText="0"/>
    </xf>
    <xf borderId="1" fillId="0" fontId="27" numFmtId="0" xfId="0" applyAlignment="1" applyBorder="1" applyFont="1">
      <alignment readingOrder="0" shrinkToFit="0" vertical="center" wrapText="1"/>
    </xf>
    <xf borderId="1" fillId="0" fontId="30" numFmtId="0" xfId="0" applyAlignment="1" applyBorder="1" applyFont="1">
      <alignment readingOrder="0" shrinkToFit="0" vertical="center" wrapText="0"/>
    </xf>
    <xf borderId="1" fillId="3" fontId="15" numFmtId="0" xfId="0" applyAlignment="1" applyBorder="1" applyFont="1">
      <alignment readingOrder="0" shrinkToFit="0" vertical="center" wrapText="1"/>
    </xf>
    <xf borderId="1" fillId="3" fontId="15" numFmtId="49" xfId="0" applyAlignment="1" applyBorder="1" applyFont="1" applyNumberFormat="1">
      <alignment readingOrder="0" shrinkToFit="0" vertical="center" wrapText="1"/>
    </xf>
    <xf borderId="1" fillId="3" fontId="15" numFmtId="0" xfId="0" applyAlignment="1" applyBorder="1" applyFont="1">
      <alignment horizontal="left" readingOrder="0" shrinkToFit="0" vertical="top" wrapText="0"/>
    </xf>
    <xf borderId="1" fillId="3" fontId="28" numFmtId="0" xfId="0" applyAlignment="1" applyBorder="1" applyFont="1">
      <alignment horizontal="left" readingOrder="0" shrinkToFit="0" vertical="center" wrapText="1"/>
    </xf>
    <xf borderId="1" fillId="3" fontId="15" numFmtId="0" xfId="0" applyAlignment="1" applyBorder="1" applyFont="1">
      <alignment shrinkToFit="0" vertical="top" wrapText="1"/>
    </xf>
    <xf borderId="1" fillId="3" fontId="15" numFmtId="0" xfId="0" applyAlignment="1" applyBorder="1" applyFont="1">
      <alignment readingOrder="0" shrinkToFit="0" vertical="center" wrapText="1"/>
    </xf>
    <xf borderId="1" fillId="3" fontId="15" numFmtId="14" xfId="0" applyAlignment="1" applyBorder="1" applyFont="1" applyNumberFormat="1">
      <alignment horizontal="center" shrinkToFit="0" vertical="center" wrapText="0"/>
    </xf>
    <xf borderId="1" fillId="3" fontId="15" numFmtId="0" xfId="0" applyAlignment="1" applyBorder="1" applyFont="1">
      <alignment shrinkToFit="0" vertical="center" wrapText="1"/>
    </xf>
    <xf borderId="0" fillId="3" fontId="15" numFmtId="0" xfId="0" applyAlignment="1" applyFont="1">
      <alignment shrinkToFit="0" vertical="center" wrapText="1"/>
    </xf>
    <xf borderId="1" fillId="4" fontId="27" numFmtId="0" xfId="0" applyAlignment="1" applyBorder="1" applyFont="1">
      <alignment readingOrder="0" shrinkToFit="0" vertical="center" wrapText="1"/>
    </xf>
    <xf borderId="1" fillId="0" fontId="28" numFmtId="0" xfId="0" applyAlignment="1" applyBorder="1" applyFont="1">
      <alignment horizontal="left" readingOrder="0" shrinkToFit="0" vertical="center" wrapText="0"/>
    </xf>
    <xf borderId="1" fillId="3" fontId="15" numFmtId="0" xfId="0" applyAlignment="1" applyBorder="1" applyFont="1">
      <alignment readingOrder="0" shrinkToFit="0" vertical="center" wrapText="0"/>
    </xf>
    <xf borderId="1" fillId="3" fontId="31" numFmtId="0" xfId="0" applyAlignment="1" applyBorder="1" applyFont="1">
      <alignment horizontal="left" shrinkToFit="0" vertical="center" wrapText="0"/>
    </xf>
    <xf borderId="1" fillId="0" fontId="15" numFmtId="14" xfId="0" applyAlignment="1" applyBorder="1" applyFont="1" applyNumberFormat="1">
      <alignment horizontal="center" shrinkToFit="0" vertical="center" wrapText="0"/>
    </xf>
    <xf borderId="1" fillId="3" fontId="15" numFmtId="0" xfId="0" applyAlignment="1" applyBorder="1" applyFont="1">
      <alignment horizontal="left" shrinkToFit="0" vertical="top" wrapText="0"/>
    </xf>
    <xf borderId="1" fillId="0" fontId="27" numFmtId="0" xfId="0" applyAlignment="1" applyBorder="1" applyFont="1">
      <alignment shrinkToFit="0" vertical="center" wrapText="0"/>
    </xf>
    <xf borderId="1" fillId="0" fontId="27" numFmtId="0" xfId="0" applyAlignment="1" applyBorder="1" applyFont="1">
      <alignment shrinkToFit="0" vertical="center" wrapText="0"/>
    </xf>
    <xf borderId="1" fillId="0" fontId="27" numFmtId="0" xfId="0" applyAlignment="1" applyBorder="1" applyFont="1">
      <alignment readingOrder="0" shrinkToFit="0" vertical="center" wrapText="0"/>
    </xf>
    <xf borderId="0" fillId="0" fontId="27" numFmtId="0" xfId="0" applyAlignment="1" applyFont="1">
      <alignment shrinkToFit="0" vertical="center" wrapText="0"/>
    </xf>
    <xf borderId="0" fillId="0" fontId="27" numFmtId="0" xfId="0" applyAlignment="1" applyFont="1">
      <alignment readingOrder="0" shrinkToFit="0" vertical="center" wrapText="0"/>
    </xf>
    <xf borderId="2" fillId="3" fontId="32" numFmtId="0" xfId="0" applyAlignment="1" applyBorder="1" applyFont="1">
      <alignment horizontal="left" readingOrder="0" shrinkToFit="0" vertical="top" wrapText="1"/>
    </xf>
    <xf borderId="2" fillId="3" fontId="33" numFmtId="0" xfId="0" applyAlignment="1" applyBorder="1" applyFont="1">
      <alignment readingOrder="0" shrinkToFit="0" vertical="center" wrapText="0"/>
    </xf>
    <xf borderId="2" fillId="3" fontId="34" numFmtId="0" xfId="0" applyAlignment="1" applyBorder="1" applyFont="1">
      <alignment readingOrder="0" shrinkToFit="0" vertical="center" wrapText="0"/>
    </xf>
    <xf borderId="1" fillId="3" fontId="18" numFmtId="0" xfId="0" applyAlignment="1" applyBorder="1" applyFont="1">
      <alignment horizontal="center" readingOrder="0" shrinkToFit="0" vertical="center" wrapText="0"/>
    </xf>
    <xf borderId="1" fillId="3" fontId="35" numFmtId="164" xfId="0" applyAlignment="1" applyBorder="1" applyFont="1" applyNumberFormat="1">
      <alignment horizontal="right" readingOrder="0" shrinkToFit="0" vertical="center" wrapText="0"/>
    </xf>
    <xf borderId="1" fillId="3" fontId="15" numFmtId="0" xfId="0" applyAlignment="1" applyBorder="1" applyFont="1">
      <alignment horizontal="center" readingOrder="0" shrinkToFit="0" vertical="center" wrapText="0"/>
    </xf>
    <xf borderId="2" fillId="0" fontId="36" numFmtId="0" xfId="0" applyAlignment="1" applyBorder="1" applyFont="1">
      <alignment horizontal="left" readingOrder="0" shrinkToFit="0" vertical="center" wrapText="0"/>
    </xf>
    <xf borderId="1" fillId="0" fontId="37" numFmtId="0" xfId="0" applyAlignment="1" applyBorder="1" applyFont="1">
      <alignment shrinkToFit="0" vertical="center" wrapText="0"/>
    </xf>
    <xf borderId="0" fillId="3" fontId="15" numFmtId="0" xfId="0" applyAlignment="1" applyFont="1">
      <alignment horizontal="center" readingOrder="0" shrinkToFit="0" vertical="top" wrapText="0"/>
    </xf>
    <xf borderId="1" fillId="3" fontId="28" numFmtId="0" xfId="0" applyAlignment="1" applyBorder="1" applyFont="1">
      <alignment horizontal="left" readingOrder="0" shrinkToFit="0" vertical="center" wrapText="0"/>
    </xf>
    <xf borderId="1" fillId="3" fontId="15" numFmtId="0" xfId="0" applyAlignment="1" applyBorder="1" applyFont="1">
      <alignment horizontal="left" shrinkToFit="0" vertical="center" wrapText="0"/>
    </xf>
    <xf borderId="1" fillId="0" fontId="15" numFmtId="167" xfId="0" applyAlignment="1" applyBorder="1" applyFont="1" applyNumberFormat="1">
      <alignment horizontal="center" readingOrder="0" shrinkToFit="0" vertical="center" wrapText="0"/>
    </xf>
    <xf borderId="1" fillId="3" fontId="15" numFmtId="0" xfId="0" applyAlignment="1" applyBorder="1" applyFont="1">
      <alignment horizontal="left" readingOrder="0" shrinkToFit="0" vertical="center" wrapText="0"/>
    </xf>
    <xf borderId="0" fillId="0" fontId="27" numFmtId="0" xfId="0" applyAlignment="1" applyFont="1">
      <alignment readingOrder="0" shrinkToFit="0" vertical="center" wrapText="0"/>
    </xf>
    <xf borderId="1" fillId="3" fontId="38" numFmtId="0" xfId="0" applyAlignment="1" applyBorder="1" applyFont="1">
      <alignment horizontal="left" readingOrder="0" shrinkToFit="0" vertical="center" wrapText="1"/>
    </xf>
    <xf borderId="1" fillId="3" fontId="18" numFmtId="0" xfId="0" applyAlignment="1" applyBorder="1" applyFont="1">
      <alignment readingOrder="0" shrinkToFit="0" vertical="center" wrapText="0"/>
    </xf>
    <xf borderId="1" fillId="0" fontId="15" numFmtId="0" xfId="0" applyAlignment="1" applyBorder="1" applyFont="1">
      <alignment horizontal="center" readingOrder="0" shrinkToFit="0" vertical="center" wrapText="0"/>
    </xf>
    <xf borderId="1" fillId="3" fontId="38" numFmtId="0" xfId="0" applyAlignment="1" applyBorder="1" applyFont="1">
      <alignment horizontal="left" readingOrder="0" shrinkToFit="0" vertical="center" wrapText="0"/>
    </xf>
    <xf borderId="1" fillId="3" fontId="15" numFmtId="167" xfId="0" applyAlignment="1" applyBorder="1" applyFont="1" applyNumberFormat="1">
      <alignment horizontal="center" readingOrder="0" shrinkToFit="0" vertical="center" wrapText="0"/>
    </xf>
    <xf borderId="1" fillId="3" fontId="26" numFmtId="0" xfId="0" applyAlignment="1" applyBorder="1" applyFont="1">
      <alignment horizontal="center" readingOrder="0" shrinkToFit="0" vertical="center" wrapText="0"/>
    </xf>
    <xf borderId="1" fillId="3" fontId="28" numFmtId="0" xfId="0" applyAlignment="1" applyBorder="1" applyFont="1">
      <alignment horizontal="left" readingOrder="0" shrinkToFit="0" vertical="center" wrapText="1"/>
    </xf>
    <xf borderId="1" fillId="3" fontId="38" numFmtId="0" xfId="0" applyAlignment="1" applyBorder="1" applyFont="1">
      <alignment horizontal="left" readingOrder="0" shrinkToFit="0" vertical="center" wrapText="0"/>
    </xf>
    <xf borderId="1" fillId="3" fontId="39" numFmtId="0" xfId="0" applyAlignment="1" applyBorder="1" applyFont="1">
      <alignment readingOrder="0" shrinkToFit="0" vertical="center" wrapText="1"/>
    </xf>
    <xf borderId="1" fillId="3" fontId="40" numFmtId="0" xfId="0" applyAlignment="1" applyBorder="1" applyFont="1">
      <alignment horizontal="center" readingOrder="0" shrinkToFit="0" vertical="center" wrapText="0"/>
    </xf>
    <xf borderId="1" fillId="3" fontId="41" numFmtId="0" xfId="0" applyAlignment="1" applyBorder="1" applyFont="1">
      <alignment horizontal="left" readingOrder="0" shrinkToFit="0" vertical="center" wrapText="0"/>
    </xf>
    <xf borderId="1" fillId="3" fontId="40" numFmtId="0" xfId="0" applyAlignment="1" applyBorder="1" applyFont="1">
      <alignment horizontal="center" readingOrder="0" shrinkToFit="0" vertical="center" wrapText="1"/>
    </xf>
    <xf borderId="1" fillId="3" fontId="15" numFmtId="0" xfId="0" applyAlignment="1" applyBorder="1" applyFont="1">
      <alignment horizontal="center" readingOrder="0" shrinkToFit="0" vertical="center" wrapText="1"/>
    </xf>
    <xf borderId="1" fillId="0" fontId="27" numFmtId="0" xfId="0" applyAlignment="1" applyBorder="1" applyFont="1">
      <alignment readingOrder="0" shrinkToFit="0" vertical="center" wrapText="0"/>
    </xf>
    <xf borderId="1" fillId="3" fontId="7" numFmtId="167" xfId="0" applyAlignment="1" applyBorder="1" applyFont="1" applyNumberFormat="1">
      <alignment horizontal="center" readingOrder="0" shrinkToFit="0" vertical="center" wrapText="0"/>
    </xf>
    <xf borderId="1" fillId="3" fontId="28" numFmtId="0" xfId="0" applyAlignment="1" applyBorder="1" applyFont="1">
      <alignment horizontal="left" shrinkToFit="0" vertical="center" wrapText="1"/>
    </xf>
    <xf borderId="1" fillId="3" fontId="15" numFmtId="0" xfId="0" applyAlignment="1" applyBorder="1" applyFont="1">
      <alignment shrinkToFit="0" vertical="center" wrapText="1"/>
    </xf>
    <xf borderId="0" fillId="3" fontId="28" numFmtId="0" xfId="0" applyAlignment="1" applyFont="1">
      <alignment horizontal="left" readingOrder="0" shrinkToFit="0" vertical="center" wrapText="0"/>
    </xf>
    <xf borderId="0" fillId="3" fontId="15" numFmtId="0" xfId="0" applyAlignment="1" applyFont="1">
      <alignment horizontal="left" shrinkToFit="0" vertical="center" wrapText="0"/>
    </xf>
    <xf borderId="0" fillId="3" fontId="15" numFmtId="0" xfId="0" applyAlignment="1" applyFont="1">
      <alignment readingOrder="0" shrinkToFit="0" vertical="center" wrapText="0"/>
    </xf>
    <xf borderId="0" fillId="3" fontId="15" numFmtId="0" xfId="0" applyAlignment="1" applyFont="1">
      <alignment horizontal="center" readingOrder="0" shrinkToFit="0" vertical="center" wrapText="0"/>
    </xf>
    <xf borderId="0" fillId="3" fontId="15" numFmtId="167" xfId="0" applyAlignment="1" applyFont="1" applyNumberFormat="1">
      <alignment horizontal="center" readingOrder="0" shrinkToFit="0" vertical="center" wrapText="0"/>
    </xf>
    <xf borderId="0" fillId="3" fontId="15" numFmtId="164" xfId="0" applyAlignment="1" applyFont="1" applyNumberFormat="1">
      <alignment readingOrder="0" shrinkToFit="0" vertical="center" wrapText="0"/>
    </xf>
    <xf borderId="0" fillId="3" fontId="15" numFmtId="165" xfId="0" applyAlignment="1" applyFont="1" applyNumberFormat="1">
      <alignment readingOrder="0" shrinkToFit="0" vertical="center" wrapText="0"/>
    </xf>
    <xf borderId="0" fillId="3" fontId="15" numFmtId="166" xfId="0" applyAlignment="1" applyFont="1" applyNumberFormat="1">
      <alignment readingOrder="0" shrinkToFit="0" vertical="center" wrapText="0"/>
    </xf>
    <xf borderId="0" fillId="3" fontId="15" numFmtId="14" xfId="0" applyAlignment="1" applyFont="1" applyNumberFormat="1">
      <alignment horizontal="center" shrinkToFit="0" vertical="center" wrapText="0"/>
    </xf>
    <xf borderId="0" fillId="3" fontId="15" numFmtId="0" xfId="0" applyAlignment="1" applyFont="1">
      <alignment readingOrder="0" shrinkToFit="0" vertical="center" wrapText="0"/>
    </xf>
    <xf borderId="1" fillId="0" fontId="27" numFmtId="165" xfId="0" applyAlignment="1" applyBorder="1" applyFont="1" applyNumberFormat="1">
      <alignment readingOrder="0" shrinkToFit="0" vertical="center" wrapText="0"/>
    </xf>
    <xf borderId="1" fillId="3" fontId="26" numFmtId="164" xfId="0" applyAlignment="1" applyBorder="1" applyFont="1" applyNumberFormat="1">
      <alignment horizontal="center" readingOrder="0" shrinkToFit="0" vertical="center" wrapText="0"/>
    </xf>
    <xf borderId="0" fillId="0" fontId="27" numFmtId="165" xfId="0" applyAlignment="1" applyFont="1" applyNumberFormat="1">
      <alignment readingOrder="0" shrinkToFit="0" vertical="center" wrapText="0"/>
    </xf>
    <xf borderId="1" fillId="3" fontId="42" numFmtId="0" xfId="0" applyAlignment="1" applyBorder="1" applyFont="1">
      <alignment readingOrder="0" shrinkToFit="0" vertical="center" wrapText="0"/>
    </xf>
    <xf borderId="0" fillId="0" fontId="27" numFmtId="164" xfId="0" applyAlignment="1" applyFont="1" applyNumberFormat="1">
      <alignment readingOrder="0" shrinkToFit="0" vertical="center" wrapText="0"/>
    </xf>
    <xf borderId="1" fillId="3" fontId="15" numFmtId="167" xfId="0" applyAlignment="1" applyBorder="1" applyFont="1" applyNumberFormat="1">
      <alignment readingOrder="0" shrinkToFit="0" vertical="center" wrapText="0"/>
    </xf>
    <xf borderId="1" fillId="0" fontId="27" numFmtId="0" xfId="0" applyAlignment="1" applyBorder="1" applyFont="1">
      <alignment shrinkToFit="0" vertical="center" wrapText="1"/>
    </xf>
    <xf borderId="0" fillId="0" fontId="27" numFmtId="166" xfId="0" applyAlignment="1" applyFont="1" applyNumberFormat="1">
      <alignment readingOrder="0" shrinkToFit="0" vertical="center" wrapText="0"/>
    </xf>
    <xf borderId="1" fillId="3" fontId="43" numFmtId="0" xfId="0" applyAlignment="1" applyBorder="1" applyFont="1">
      <alignment horizontal="left" readingOrder="0" shrinkToFit="0" vertical="top" wrapText="0"/>
    </xf>
    <xf borderId="1" fillId="0" fontId="44" numFmtId="0" xfId="0" applyAlignment="1" applyBorder="1" applyFont="1">
      <alignment horizontal="left" readingOrder="0" shrinkToFit="0" vertical="center" wrapText="1"/>
    </xf>
    <xf borderId="1" fillId="3" fontId="45" numFmtId="0" xfId="0" applyAlignment="1" applyBorder="1" applyFont="1">
      <alignment horizontal="left" readingOrder="0" shrinkToFit="0" vertical="center" wrapText="0"/>
    </xf>
    <xf borderId="1" fillId="3" fontId="40" numFmtId="14" xfId="0" applyAlignment="1" applyBorder="1" applyFont="1" applyNumberFormat="1">
      <alignment horizontal="center" shrinkToFit="0" vertical="center" wrapText="0"/>
    </xf>
    <xf borderId="0" fillId="3" fontId="46" numFmtId="0" xfId="0" applyAlignment="1" applyFont="1">
      <alignment horizontal="left" readingOrder="0" shrinkToFit="0" vertical="top" wrapText="0"/>
    </xf>
    <xf borderId="1" fillId="0" fontId="47" numFmtId="0" xfId="0" applyAlignment="1" applyBorder="1" applyFont="1">
      <alignment readingOrder="0" shrinkToFit="0" vertical="center" wrapText="0"/>
    </xf>
    <xf borderId="1" fillId="3" fontId="7" numFmtId="0" xfId="0" applyAlignment="1" applyBorder="1" applyFont="1">
      <alignment horizontal="center" readingOrder="0" shrinkToFit="0" vertical="center" wrapText="0"/>
    </xf>
    <xf borderId="1" fillId="4" fontId="27" numFmtId="0" xfId="0" applyAlignment="1" applyBorder="1" applyFont="1">
      <alignment shrinkToFit="0" vertical="center" wrapText="0"/>
    </xf>
    <xf borderId="1" fillId="4" fontId="27" numFmtId="0" xfId="0" applyAlignment="1" applyBorder="1" applyFont="1">
      <alignment readingOrder="0" shrinkToFit="0" vertical="center" wrapText="0"/>
    </xf>
    <xf borderId="0" fillId="4" fontId="30" numFmtId="0" xfId="0" applyAlignment="1" applyFont="1">
      <alignment readingOrder="0" shrinkToFit="0" vertical="center" wrapText="0"/>
    </xf>
    <xf borderId="0" fillId="0" fontId="30" numFmtId="0" xfId="0" applyAlignment="1" applyFont="1">
      <alignment readingOrder="0" shrinkToFit="0" vertical="center" wrapText="0"/>
    </xf>
    <xf borderId="1" fillId="3" fontId="48" numFmtId="0" xfId="0" applyAlignment="1" applyBorder="1" applyFont="1">
      <alignment readingOrder="0" shrinkToFit="0" vertical="center" wrapText="1"/>
    </xf>
    <xf borderId="0" fillId="3" fontId="28" numFmtId="0" xfId="0" applyAlignment="1" applyFont="1">
      <alignment horizontal="left" readingOrder="0" shrinkToFit="0" vertical="center" wrapText="1"/>
    </xf>
    <xf borderId="1" fillId="3" fontId="49" numFmtId="0" xfId="0" applyAlignment="1" applyBorder="1" applyFont="1">
      <alignment readingOrder="0" shrinkToFit="0" vertical="center" wrapText="1"/>
    </xf>
    <xf borderId="0" fillId="3" fontId="50" numFmtId="0" xfId="0" applyAlignment="1" applyFont="1">
      <alignment horizontal="left" readingOrder="0" shrinkToFit="0" vertical="top" wrapText="0"/>
    </xf>
    <xf borderId="0" fillId="3" fontId="15" numFmtId="0" xfId="0" applyAlignment="1" applyFont="1">
      <alignment horizontal="left" readingOrder="0" shrinkToFit="0" vertical="top" wrapText="0"/>
    </xf>
    <xf borderId="1" fillId="4" fontId="27" numFmtId="0" xfId="0" applyAlignment="1" applyBorder="1" applyFont="1">
      <alignment shrinkToFit="0" vertical="center" wrapText="1"/>
    </xf>
    <xf borderId="1" fillId="3" fontId="7" numFmtId="165" xfId="0" applyAlignment="1" applyBorder="1" applyFont="1" applyNumberFormat="1">
      <alignment readingOrder="0" shrinkToFit="0" vertical="center" wrapText="0"/>
    </xf>
    <xf borderId="1" fillId="0" fontId="27" numFmtId="164" xfId="0" applyAlignment="1" applyBorder="1" applyFont="1" applyNumberFormat="1">
      <alignment shrinkToFit="0" vertical="center" wrapText="0"/>
    </xf>
    <xf borderId="1" fillId="0" fontId="27" numFmtId="166" xfId="0" applyAlignment="1" applyBorder="1" applyFont="1" applyNumberFormat="1">
      <alignment shrinkToFit="0" vertical="center" wrapText="0"/>
    </xf>
    <xf borderId="1" fillId="4" fontId="28" numFmtId="0" xfId="0" applyAlignment="1" applyBorder="1" applyFont="1">
      <alignment horizontal="left" readingOrder="0" shrinkToFit="0" vertical="center" wrapText="0"/>
    </xf>
    <xf borderId="1" fillId="0" fontId="51" numFmtId="0" xfId="0" applyAlignment="1" applyBorder="1" applyFont="1">
      <alignment readingOrder="0" shrinkToFit="0" vertical="center" wrapText="0"/>
    </xf>
    <xf borderId="1" fillId="3" fontId="52" numFmtId="0" xfId="0" applyAlignment="1" applyBorder="1" applyFont="1">
      <alignment horizontal="center" readingOrder="0" shrinkToFit="0" vertical="center" wrapText="0"/>
    </xf>
    <xf borderId="1" fillId="0" fontId="11" numFmtId="0" xfId="0" applyAlignment="1" applyBorder="1" applyFont="1">
      <alignment readingOrder="0" shrinkToFit="0" vertical="center" wrapText="0"/>
    </xf>
    <xf borderId="1" fillId="0" fontId="53" numFmtId="165" xfId="0" applyAlignment="1" applyBorder="1" applyFont="1" applyNumberFormat="1">
      <alignment horizontal="center" readingOrder="0" shrinkToFit="0" vertical="center" wrapText="0"/>
    </xf>
    <xf borderId="1" fillId="3" fontId="15" numFmtId="164" xfId="0" applyAlignment="1" applyBorder="1" applyFont="1" applyNumberFormat="1">
      <alignment horizontal="center" shrinkToFit="0" vertical="center" wrapText="0"/>
    </xf>
    <xf borderId="1" fillId="3" fontId="15" numFmtId="0" xfId="0" applyAlignment="1" applyBorder="1" applyFont="1">
      <alignment horizontal="left" shrinkToFit="0" vertical="top" wrapText="1"/>
    </xf>
    <xf borderId="1" fillId="0" fontId="28" numFmtId="164" xfId="0" applyAlignment="1" applyBorder="1" applyFont="1" applyNumberFormat="1">
      <alignment horizontal="center" shrinkToFit="0" vertical="center" wrapText="0"/>
    </xf>
    <xf borderId="1" fillId="0" fontId="28" numFmtId="165" xfId="0" applyAlignment="1" applyBorder="1" applyFont="1" applyNumberFormat="1">
      <alignment horizontal="center" shrinkToFit="0" vertical="center" wrapText="0"/>
    </xf>
    <xf borderId="1" fillId="3" fontId="15" numFmtId="165" xfId="0" applyAlignment="1" applyBorder="1" applyFont="1" applyNumberFormat="1">
      <alignment shrinkToFit="0" vertical="center" wrapText="0"/>
    </xf>
    <xf borderId="1" fillId="0" fontId="28" numFmtId="165" xfId="0" applyAlignment="1" applyBorder="1" applyFont="1" applyNumberFormat="1">
      <alignment horizontal="center" readingOrder="0" shrinkToFit="0" vertical="center" wrapText="0"/>
    </xf>
    <xf borderId="1" fillId="0" fontId="28" numFmtId="166" xfId="0" applyAlignment="1" applyBorder="1" applyFont="1" applyNumberFormat="1">
      <alignment horizontal="center" readingOrder="0" shrinkToFit="0" vertical="center" wrapText="0"/>
    </xf>
    <xf borderId="1" fillId="3" fontId="15" numFmtId="166" xfId="0" applyAlignment="1" applyBorder="1" applyFont="1" applyNumberFormat="1">
      <alignment readingOrder="0" shrinkToFit="0" vertical="center" wrapText="1"/>
    </xf>
    <xf borderId="0" fillId="0" fontId="27" numFmtId="0" xfId="0" applyAlignment="1" applyFont="1">
      <alignment readingOrder="0" shrinkToFit="0" vertical="center" wrapText="1"/>
    </xf>
    <xf borderId="0" fillId="3" fontId="26" numFmtId="0" xfId="0" applyAlignment="1" applyFont="1">
      <alignment horizontal="center" readingOrder="0" shrinkToFit="0" vertical="center" wrapText="0"/>
    </xf>
    <xf borderId="0" fillId="0" fontId="11" numFmtId="0" xfId="0" applyAlignment="1" applyFont="1">
      <alignment shrinkToFit="0" vertical="center" wrapText="0"/>
    </xf>
    <xf borderId="0" fillId="3" fontId="15" numFmtId="49" xfId="0" applyAlignment="1" applyFont="1" applyNumberFormat="1">
      <alignment shrinkToFit="0" vertical="top" wrapText="0"/>
    </xf>
    <xf borderId="0" fillId="3" fontId="15" numFmtId="0" xfId="0" applyAlignment="1" applyFont="1">
      <alignment horizontal="left" shrinkToFit="0" vertical="top" wrapText="0"/>
    </xf>
    <xf borderId="0" fillId="6" fontId="30" numFmtId="0" xfId="0" applyAlignment="1" applyFill="1" applyFont="1">
      <alignment shrinkToFit="0" vertical="center" wrapText="0"/>
    </xf>
    <xf borderId="0" fillId="6" fontId="30" numFmtId="0" xfId="0" applyAlignment="1" applyFont="1">
      <alignment readingOrder="0" shrinkToFit="0" vertical="center" wrapText="0"/>
    </xf>
    <xf borderId="0" fillId="7" fontId="54" numFmtId="49" xfId="0" applyAlignment="1" applyFill="1" applyFont="1" applyNumberFormat="1">
      <alignment horizontal="center" readingOrder="0" shrinkToFit="0" vertical="center" wrapText="1"/>
    </xf>
    <xf borderId="3" fillId="8" fontId="55" numFmtId="49" xfId="0" applyAlignment="1" applyBorder="1" applyFill="1" applyFont="1" applyNumberFormat="1">
      <alignment horizontal="center" readingOrder="0" shrinkToFit="0" vertical="center" wrapText="0"/>
    </xf>
    <xf borderId="0" fillId="7" fontId="7" numFmtId="0" xfId="0" applyAlignment="1" applyFont="1">
      <alignment horizontal="center" readingOrder="0" shrinkToFit="0" vertical="top" wrapText="1"/>
    </xf>
    <xf borderId="1" fillId="3" fontId="56" numFmtId="0" xfId="0" applyAlignment="1" applyBorder="1" applyFont="1">
      <alignment horizontal="center" readingOrder="0" shrinkToFit="0" vertical="center" wrapText="1"/>
    </xf>
    <xf borderId="1" fillId="3" fontId="57" numFmtId="0" xfId="0" applyAlignment="1" applyBorder="1" applyFont="1">
      <alignment readingOrder="0" shrinkToFit="0" vertical="center" wrapText="1"/>
    </xf>
    <xf borderId="1" fillId="3" fontId="58" numFmtId="0" xfId="0" applyAlignment="1" applyBorder="1" applyFont="1">
      <alignment horizontal="center" shrinkToFit="0" vertical="center" wrapText="1"/>
    </xf>
    <xf borderId="1" fillId="3" fontId="7" numFmtId="0" xfId="0" applyAlignment="1" applyBorder="1" applyFont="1">
      <alignment horizontal="center" readingOrder="0" shrinkToFit="0" vertical="center" wrapText="0"/>
    </xf>
    <xf borderId="1" fillId="3" fontId="7" numFmtId="166" xfId="0" applyAlignment="1" applyBorder="1" applyFont="1" applyNumberFormat="1">
      <alignment readingOrder="0" shrinkToFit="0" vertical="center" wrapText="0"/>
    </xf>
    <xf borderId="1" fillId="3" fontId="15" numFmtId="0" xfId="0" applyAlignment="1" applyBorder="1" applyFont="1">
      <alignment horizontal="left" readingOrder="0" shrinkToFit="0" vertical="bottom" wrapText="0"/>
    </xf>
    <xf borderId="1" fillId="3" fontId="59" numFmtId="49" xfId="0" applyAlignment="1" applyBorder="1" applyFont="1" applyNumberFormat="1">
      <alignment readingOrder="0" shrinkToFit="0" vertical="center" wrapText="1"/>
    </xf>
    <xf borderId="1" fillId="0" fontId="27" numFmtId="164" xfId="0" applyAlignment="1" applyBorder="1" applyFont="1" applyNumberFormat="1">
      <alignment readingOrder="0" shrinkToFit="0" vertical="center" wrapText="0"/>
    </xf>
    <xf borderId="1" fillId="3" fontId="60" numFmtId="0" xfId="0" applyAlignment="1" applyBorder="1" applyFont="1">
      <alignment readingOrder="0" shrinkToFit="0" vertical="center" wrapText="1"/>
    </xf>
    <xf borderId="1" fillId="3" fontId="61" numFmtId="0" xfId="0" applyAlignment="1" applyBorder="1" applyFont="1">
      <alignment readingOrder="0" shrinkToFit="0" vertical="center" wrapText="1"/>
    </xf>
    <xf borderId="1" fillId="3" fontId="62" numFmtId="0" xfId="0" applyAlignment="1" applyBorder="1" applyFont="1">
      <alignment horizontal="center" readingOrder="0" shrinkToFit="0" vertical="center" wrapText="0"/>
    </xf>
    <xf borderId="1" fillId="0" fontId="63" numFmtId="0" xfId="0" applyAlignment="1" applyBorder="1" applyFont="1">
      <alignment horizontal="left" readingOrder="0" shrinkToFit="0" vertical="center" wrapText="1"/>
    </xf>
    <xf borderId="1" fillId="3" fontId="7" numFmtId="165" xfId="0" applyAlignment="1" applyBorder="1" applyFont="1" applyNumberFormat="1">
      <alignment readingOrder="0" shrinkToFit="0" vertical="center" wrapText="1"/>
    </xf>
    <xf borderId="1" fillId="3" fontId="64" numFmtId="0" xfId="0" applyAlignment="1" applyBorder="1" applyFont="1">
      <alignment horizontal="center" readingOrder="0" shrinkToFit="0" vertical="center" wrapText="0"/>
    </xf>
    <xf borderId="1" fillId="0" fontId="65" numFmtId="0" xfId="0" applyAlignment="1" applyBorder="1" applyFont="1">
      <alignment horizontal="left" readingOrder="0" shrinkToFit="0" textRotation="0" vertical="center" wrapText="0"/>
    </xf>
    <xf borderId="1" fillId="3" fontId="66" numFmtId="0" xfId="0" applyAlignment="1" applyBorder="1" applyFont="1">
      <alignment horizontal="center" shrinkToFit="0" vertical="center" wrapText="0"/>
    </xf>
    <xf borderId="1" fillId="3" fontId="15" numFmtId="0" xfId="0" applyAlignment="1" applyBorder="1" applyFont="1">
      <alignment shrinkToFit="0" vertical="center" wrapText="0"/>
    </xf>
    <xf borderId="1" fillId="3" fontId="7" numFmtId="164" xfId="0" applyAlignment="1" applyBorder="1" applyFont="1" applyNumberFormat="1">
      <alignment shrinkToFit="0" vertical="center" wrapText="0"/>
    </xf>
    <xf borderId="1" fillId="3" fontId="7" numFmtId="0" xfId="0" applyAlignment="1" applyBorder="1" applyFont="1">
      <alignment horizontal="left" readingOrder="0" shrinkToFit="0" vertical="top" wrapText="1"/>
    </xf>
    <xf borderId="1" fillId="0" fontId="28" numFmtId="0" xfId="0" applyAlignment="1" applyBorder="1" applyFont="1">
      <alignment horizontal="left" readingOrder="0" shrinkToFit="0" textRotation="0" vertical="center" wrapText="0"/>
    </xf>
    <xf borderId="1" fillId="3" fontId="15" numFmtId="0" xfId="0" applyAlignment="1" applyBorder="1" applyFont="1">
      <alignment readingOrder="0" shrinkToFit="0" vertical="center" wrapText="1"/>
    </xf>
    <xf borderId="1" fillId="3" fontId="67" numFmtId="0" xfId="0" applyAlignment="1" applyBorder="1" applyFont="1">
      <alignment horizontal="center" shrinkToFit="0" vertical="center" wrapText="0"/>
    </xf>
    <xf borderId="1" fillId="3" fontId="7" numFmtId="0" xfId="0" applyAlignment="1" applyBorder="1" applyFont="1">
      <alignment horizontal="left" shrinkToFit="0" vertical="top" wrapText="1"/>
    </xf>
    <xf borderId="1" fillId="0" fontId="68" numFmtId="0" xfId="0" applyAlignment="1" applyBorder="1" applyFont="1">
      <alignment horizontal="left" readingOrder="0" shrinkToFit="0" vertical="center" wrapText="0"/>
    </xf>
    <xf borderId="1" fillId="3" fontId="15" numFmtId="0" xfId="0" applyAlignment="1" applyBorder="1" applyFont="1">
      <alignment readingOrder="0" shrinkToFit="0" vertical="top" wrapText="0"/>
    </xf>
    <xf borderId="1" fillId="3" fontId="15" numFmtId="0" xfId="0" applyAlignment="1" applyBorder="1" applyFont="1">
      <alignment readingOrder="0" shrinkToFit="0" vertical="top" wrapText="0"/>
    </xf>
    <xf borderId="1" fillId="3" fontId="69" numFmtId="0" xfId="0" applyAlignment="1" applyBorder="1" applyFont="1">
      <alignment horizontal="center" shrinkToFit="0" vertical="center" wrapText="1"/>
    </xf>
    <xf borderId="1" fillId="3" fontId="15" numFmtId="0" xfId="0" applyAlignment="1" applyBorder="1" applyFont="1">
      <alignment shrinkToFit="0" vertical="center" wrapText="0"/>
    </xf>
    <xf borderId="1" fillId="4" fontId="70" numFmtId="0" xfId="0" applyAlignment="1" applyBorder="1" applyFont="1">
      <alignment horizontal="center" readingOrder="0" shrinkToFit="0" vertical="center" wrapText="1"/>
    </xf>
    <xf borderId="1" fillId="3" fontId="71" numFmtId="0" xfId="0" applyAlignment="1" applyBorder="1" applyFont="1">
      <alignment horizontal="center" shrinkToFit="0" vertical="center" wrapText="1"/>
    </xf>
    <xf borderId="1" fillId="3" fontId="72" numFmtId="0" xfId="0" applyAlignment="1" applyBorder="1" applyFont="1">
      <alignment readingOrder="0" shrinkToFit="0" vertical="center" wrapText="0"/>
    </xf>
    <xf borderId="2" fillId="0" fontId="73" numFmtId="0" xfId="0" applyAlignment="1" applyBorder="1" applyFont="1">
      <alignment horizontal="left" readingOrder="0" shrinkToFit="0" vertical="top" wrapText="1"/>
    </xf>
    <xf borderId="2" fillId="3" fontId="74" numFmtId="0" xfId="0" applyAlignment="1" applyBorder="1" applyFont="1">
      <alignment readingOrder="0" shrinkToFit="0" vertical="center" wrapText="0"/>
    </xf>
    <xf borderId="2" fillId="3" fontId="75" numFmtId="0" xfId="0" applyAlignment="1" applyBorder="1" applyFont="1">
      <alignment readingOrder="0" shrinkToFit="0" vertical="center" wrapText="0"/>
    </xf>
    <xf borderId="1" fillId="3" fontId="76" numFmtId="0" xfId="0" applyAlignment="1" applyBorder="1" applyFont="1">
      <alignment readingOrder="0" shrinkToFit="0" vertical="center" wrapText="0"/>
    </xf>
    <xf borderId="1" fillId="3" fontId="77" numFmtId="0" xfId="0" applyAlignment="1" applyBorder="1" applyFont="1">
      <alignment readingOrder="0" shrinkToFit="0" vertical="center" wrapText="0"/>
    </xf>
    <xf borderId="1" fillId="3" fontId="78" numFmtId="0" xfId="0" applyAlignment="1" applyBorder="1" applyFont="1">
      <alignment readingOrder="0" shrinkToFit="0" vertical="center" wrapText="0"/>
    </xf>
    <xf borderId="1" fillId="3" fontId="7" numFmtId="164" xfId="0" applyAlignment="1" applyBorder="1" applyFont="1" applyNumberFormat="1">
      <alignment readingOrder="0" shrinkToFit="0" vertical="center" wrapText="0"/>
    </xf>
    <xf borderId="1" fillId="3" fontId="79" numFmtId="0" xfId="0" applyAlignment="1" applyBorder="1" applyFont="1">
      <alignment horizontal="center" shrinkToFit="0" vertical="center" wrapText="1"/>
    </xf>
    <xf borderId="1" fillId="3" fontId="80" numFmtId="0" xfId="0" applyAlignment="1" applyBorder="1" applyFont="1">
      <alignment horizontal="center" readingOrder="0" shrinkToFit="0" vertical="center" wrapText="1"/>
    </xf>
    <xf borderId="1" fillId="9" fontId="81" numFmtId="0" xfId="0" applyAlignment="1" applyBorder="1" applyFill="1" applyFont="1">
      <alignment readingOrder="0" shrinkToFit="0" vertical="center" wrapText="0"/>
    </xf>
    <xf borderId="1" fillId="3" fontId="82" numFmtId="0" xfId="0" applyAlignment="1" applyBorder="1" applyFont="1">
      <alignment readingOrder="0" shrinkToFit="0" vertical="center" wrapText="0"/>
    </xf>
    <xf borderId="1" fillId="9" fontId="83" numFmtId="0" xfId="0" applyAlignment="1" applyBorder="1" applyFont="1">
      <alignment horizontal="center" shrinkToFit="0" vertical="center" wrapText="1"/>
    </xf>
    <xf borderId="1" fillId="3" fontId="84" numFmtId="0" xfId="0" applyAlignment="1" applyBorder="1" applyFont="1">
      <alignment readingOrder="0" shrinkToFit="0" vertical="center" wrapText="0"/>
    </xf>
    <xf borderId="1" fillId="3" fontId="85" numFmtId="0" xfId="0" applyAlignment="1" applyBorder="1" applyFont="1">
      <alignment horizontal="center" readingOrder="0" shrinkToFit="0" vertical="center" wrapText="0"/>
    </xf>
    <xf borderId="1" fillId="3" fontId="82" numFmtId="0" xfId="0" applyAlignment="1" applyBorder="1" applyFont="1">
      <alignment shrinkToFit="0" vertical="center" wrapText="0"/>
    </xf>
    <xf borderId="1" fillId="3" fontId="85" numFmtId="164" xfId="0" applyAlignment="1" applyBorder="1" applyFont="1" applyNumberFormat="1">
      <alignment horizontal="right" readingOrder="0" shrinkToFit="0" vertical="center" wrapText="0"/>
    </xf>
    <xf borderId="1" fillId="3" fontId="85" numFmtId="165" xfId="0" applyAlignment="1" applyBorder="1" applyFont="1" applyNumberFormat="1">
      <alignment horizontal="right" readingOrder="0" shrinkToFit="0" vertical="center" wrapText="0"/>
    </xf>
    <xf borderId="1" fillId="3" fontId="85" numFmtId="1" xfId="0" applyAlignment="1" applyBorder="1" applyFont="1" applyNumberFormat="1">
      <alignment horizontal="center" shrinkToFit="0" vertical="center" wrapText="0"/>
    </xf>
    <xf borderId="1" fillId="3" fontId="82" numFmtId="164" xfId="0" applyAlignment="1" applyBorder="1" applyFont="1" applyNumberFormat="1">
      <alignment shrinkToFit="0" vertical="center" wrapText="0"/>
    </xf>
    <xf borderId="1" fillId="3" fontId="82" numFmtId="166" xfId="0" applyAlignment="1" applyBorder="1" applyFont="1" applyNumberFormat="1">
      <alignment shrinkToFit="0" vertical="center" wrapText="0"/>
    </xf>
    <xf borderId="1" fillId="9" fontId="85" numFmtId="0" xfId="0" applyAlignment="1" applyBorder="1" applyFont="1">
      <alignment readingOrder="0" shrinkToFit="0" vertical="top" wrapText="0"/>
    </xf>
    <xf borderId="1" fillId="9" fontId="86" numFmtId="49" xfId="0" applyAlignment="1" applyBorder="1" applyFont="1" applyNumberFormat="1">
      <alignment shrinkToFit="0" vertical="center" wrapText="1"/>
    </xf>
    <xf borderId="1" fillId="9" fontId="82" numFmtId="0" xfId="0" applyAlignment="1" applyBorder="1" applyFont="1">
      <alignment shrinkToFit="0" vertical="top" wrapText="0"/>
    </xf>
    <xf borderId="1" fillId="3" fontId="87" numFmtId="0" xfId="0" applyAlignment="1" applyBorder="1" applyFont="1">
      <alignment readingOrder="0" shrinkToFit="0" vertical="center" wrapText="0"/>
    </xf>
    <xf borderId="1" fillId="9" fontId="88" numFmtId="165" xfId="0" applyAlignment="1" applyBorder="1" applyFont="1" applyNumberFormat="1">
      <alignment horizontal="right" readingOrder="0" shrinkToFit="0" vertical="center" wrapText="0"/>
    </xf>
    <xf borderId="1" fillId="3" fontId="85" numFmtId="165" xfId="0" applyAlignment="1" applyBorder="1" applyFont="1" applyNumberFormat="1">
      <alignment horizontal="right" shrinkToFit="0" vertical="center" wrapText="0"/>
    </xf>
    <xf borderId="1" fillId="9" fontId="88" numFmtId="0" xfId="0" applyAlignment="1" applyBorder="1" applyFont="1">
      <alignment readingOrder="0" shrinkToFit="0" vertical="top" wrapText="0"/>
    </xf>
    <xf borderId="1" fillId="3" fontId="89" numFmtId="0" xfId="0" applyAlignment="1" applyBorder="1" applyFont="1">
      <alignment shrinkToFit="0" vertical="center" wrapText="0"/>
    </xf>
    <xf borderId="1" fillId="9" fontId="90" numFmtId="0" xfId="0" applyAlignment="1" applyBorder="1" applyFont="1">
      <alignment horizontal="center" readingOrder="0" shrinkToFit="0" vertical="center" wrapText="1"/>
    </xf>
    <xf borderId="1" fillId="3" fontId="91" numFmtId="0" xfId="0" applyAlignment="1" applyBorder="1" applyFont="1">
      <alignment shrinkToFit="0" vertical="center" wrapText="0"/>
    </xf>
    <xf borderId="1" fillId="3" fontId="82" numFmtId="0" xfId="0" applyAlignment="1" applyBorder="1" applyFont="1">
      <alignment shrinkToFit="0" vertical="center" wrapText="0"/>
    </xf>
    <xf borderId="1" fillId="9" fontId="92" numFmtId="0" xfId="0" applyAlignment="1" applyBorder="1" applyFont="1">
      <alignment horizontal="center" shrinkToFit="0" vertical="center" wrapText="1"/>
    </xf>
    <xf borderId="1" fillId="3" fontId="93" numFmtId="0" xfId="0" applyAlignment="1" applyBorder="1" applyFont="1">
      <alignment shrinkToFit="0" vertical="center" wrapText="0"/>
    </xf>
    <xf borderId="1" fillId="3" fontId="85" numFmtId="0" xfId="0" applyAlignment="1" applyBorder="1" applyFont="1">
      <alignment horizontal="center" shrinkToFit="0" vertical="center" wrapText="0"/>
    </xf>
    <xf borderId="1" fillId="3" fontId="82" numFmtId="167" xfId="0" applyAlignment="1" applyBorder="1" applyFont="1" applyNumberFormat="1">
      <alignment shrinkToFit="0" vertical="center" wrapText="0"/>
    </xf>
    <xf borderId="1" fillId="3" fontId="85" numFmtId="164" xfId="0" applyAlignment="1" applyBorder="1" applyFont="1" applyNumberFormat="1">
      <alignment horizontal="right" shrinkToFit="0" vertical="center" wrapText="0"/>
    </xf>
    <xf borderId="1" fillId="3" fontId="85" numFmtId="1" xfId="0" applyAlignment="1" applyBorder="1" applyFont="1" applyNumberFormat="1">
      <alignment horizontal="center" shrinkToFit="0" vertical="center" wrapText="1"/>
    </xf>
    <xf borderId="1" fillId="3" fontId="82" numFmtId="0" xfId="0" applyAlignment="1" applyBorder="1" applyFont="1">
      <alignment shrinkToFit="0" vertical="top" wrapText="0"/>
    </xf>
    <xf borderId="1" fillId="3" fontId="94" numFmtId="0" xfId="0" applyAlignment="1" applyBorder="1" applyFont="1">
      <alignment horizontal="center" shrinkToFit="0" vertical="center" wrapText="1"/>
    </xf>
    <xf borderId="1" fillId="3" fontId="95" numFmtId="0" xfId="0" applyAlignment="1" applyBorder="1" applyFont="1">
      <alignment readingOrder="0" shrinkToFit="0" vertical="center" wrapText="0"/>
    </xf>
    <xf borderId="1" fillId="3" fontId="88" numFmtId="0" xfId="0" applyAlignment="1" applyBorder="1" applyFont="1">
      <alignment horizontal="center" readingOrder="0" shrinkToFit="0" vertical="center" wrapText="0"/>
    </xf>
    <xf borderId="1" fillId="3" fontId="88" numFmtId="1" xfId="0" applyAlignment="1" applyBorder="1" applyFont="1" applyNumberFormat="1">
      <alignment horizontal="center" shrinkToFit="0" vertical="center" wrapText="1"/>
    </xf>
    <xf borderId="1" fillId="3" fontId="96" numFmtId="49" xfId="0" applyAlignment="1" applyBorder="1" applyFont="1" applyNumberFormat="1">
      <alignment shrinkToFit="0" vertical="center" wrapText="1"/>
    </xf>
    <xf borderId="1" fillId="3" fontId="97" numFmtId="0" xfId="0" applyAlignment="1" applyBorder="1" applyFont="1">
      <alignment shrinkToFit="0" vertical="center" wrapText="0"/>
    </xf>
    <xf borderId="1" fillId="3" fontId="88" numFmtId="0" xfId="0" applyAlignment="1" applyBorder="1" applyFont="1">
      <alignment horizontal="center" shrinkToFit="0" vertical="center" wrapText="0"/>
    </xf>
    <xf borderId="1" fillId="9" fontId="98" numFmtId="0" xfId="0" applyAlignment="1" applyBorder="1" applyFont="1">
      <alignment horizontal="center" shrinkToFit="0" vertical="center" wrapText="1"/>
    </xf>
    <xf borderId="1" fillId="9" fontId="99" numFmtId="0" xfId="0" applyAlignment="1" applyBorder="1" applyFont="1">
      <alignment readingOrder="0" shrinkToFit="0" vertical="center" wrapText="0"/>
    </xf>
    <xf borderId="1" fillId="9" fontId="100" numFmtId="0" xfId="0" applyAlignment="1" applyBorder="1" applyFont="1">
      <alignment readingOrder="0" shrinkToFit="0" vertical="center" wrapText="0"/>
    </xf>
    <xf borderId="1" fillId="9" fontId="88" numFmtId="0" xfId="0" applyAlignment="1" applyBorder="1" applyFont="1">
      <alignment horizontal="center" readingOrder="0" shrinkToFit="0" vertical="center" wrapText="0"/>
    </xf>
    <xf borderId="1" fillId="9" fontId="82" numFmtId="0" xfId="0" applyAlignment="1" applyBorder="1" applyFont="1">
      <alignment shrinkToFit="0" vertical="center" wrapText="0"/>
    </xf>
    <xf borderId="1" fillId="9" fontId="88" numFmtId="1" xfId="0" applyAlignment="1" applyBorder="1" applyFont="1" applyNumberFormat="1">
      <alignment horizontal="center" shrinkToFit="0" vertical="center" wrapText="0"/>
    </xf>
    <xf borderId="1" fillId="9" fontId="82" numFmtId="164" xfId="0" applyAlignment="1" applyBorder="1" applyFont="1" applyNumberFormat="1">
      <alignment shrinkToFit="0" vertical="center" wrapText="0"/>
    </xf>
    <xf borderId="1" fillId="9" fontId="82" numFmtId="166" xfId="0" applyAlignment="1" applyBorder="1" applyFont="1" applyNumberFormat="1">
      <alignment shrinkToFit="0" vertical="center" wrapText="0"/>
    </xf>
    <xf borderId="1" fillId="9" fontId="101" numFmtId="0" xfId="0" applyAlignment="1" applyBorder="1" applyFont="1">
      <alignment readingOrder="0" shrinkToFit="0" vertical="center" wrapText="0"/>
    </xf>
    <xf borderId="1" fillId="9" fontId="88" numFmtId="164" xfId="0" applyAlignment="1" applyBorder="1" applyFont="1" applyNumberFormat="1">
      <alignment horizontal="right" readingOrder="0" shrinkToFit="0" vertical="center" wrapText="0"/>
    </xf>
    <xf borderId="1" fillId="3" fontId="102" numFmtId="0" xfId="0" applyAlignment="1" applyBorder="1" applyFont="1">
      <alignment readingOrder="0" shrinkToFit="0" vertical="center" wrapText="1"/>
    </xf>
    <xf borderId="1" fillId="3" fontId="103" numFmtId="0" xfId="0" applyAlignment="1" applyBorder="1" applyFont="1">
      <alignment horizontal="center" shrinkToFit="0" vertical="center" wrapText="1"/>
    </xf>
    <xf borderId="1" fillId="3" fontId="104" numFmtId="0" xfId="0" applyAlignment="1" applyBorder="1" applyFont="1">
      <alignment horizontal="center" readingOrder="0" shrinkToFit="0" vertical="center" wrapText="1"/>
    </xf>
    <xf borderId="1" fillId="3" fontId="105" numFmtId="0" xfId="0" applyAlignment="1" applyBorder="1" applyFont="1">
      <alignment readingOrder="0" shrinkToFit="0" vertical="center" wrapText="0"/>
    </xf>
    <xf borderId="1" fillId="3" fontId="106" numFmtId="0" xfId="0" applyAlignment="1" applyBorder="1" applyFont="1">
      <alignment horizontal="center" shrinkToFit="0" vertical="center" wrapText="1"/>
    </xf>
    <xf borderId="1" fillId="3" fontId="107" numFmtId="0" xfId="0" applyAlignment="1" applyBorder="1" applyFont="1">
      <alignment readingOrder="0" shrinkToFit="0" vertical="center" wrapText="0"/>
    </xf>
    <xf borderId="1" fillId="3" fontId="88" numFmtId="1" xfId="0" applyAlignment="1" applyBorder="1" applyFont="1" applyNumberFormat="1">
      <alignment horizontal="center" shrinkToFit="0" vertical="center" wrapText="0"/>
    </xf>
    <xf borderId="1" fillId="3" fontId="82" numFmtId="0" xfId="0" applyAlignment="1" applyBorder="1" applyFont="1">
      <alignment shrinkToFit="0" vertical="top" wrapText="0"/>
    </xf>
    <xf borderId="1" fillId="9" fontId="108" numFmtId="0" xfId="0" applyAlignment="1" applyBorder="1" applyFont="1">
      <alignment shrinkToFit="0" vertical="center" wrapText="0"/>
    </xf>
    <xf borderId="1" fillId="9" fontId="88" numFmtId="0" xfId="0" applyAlignment="1" applyBorder="1" applyFont="1">
      <alignment horizontal="center" shrinkToFit="0" vertical="center" wrapText="0"/>
    </xf>
    <xf borderId="1" fillId="9" fontId="88" numFmtId="0" xfId="0" applyAlignment="1" applyBorder="1" applyFont="1">
      <alignment readingOrder="0" shrinkToFit="0" vertical="center" wrapText="0"/>
    </xf>
    <xf borderId="1" fillId="3" fontId="109" numFmtId="0" xfId="0" applyAlignment="1" applyBorder="1" applyFont="1">
      <alignment readingOrder="0" shrinkToFit="0" vertical="center" wrapText="0"/>
    </xf>
    <xf borderId="1" fillId="3" fontId="88" numFmtId="164" xfId="0" applyAlignment="1" applyBorder="1" applyFont="1" applyNumberFormat="1">
      <alignment horizontal="right" readingOrder="0" shrinkToFit="0" vertical="center" wrapText="0"/>
    </xf>
    <xf borderId="1" fillId="3" fontId="88" numFmtId="165" xfId="0" applyAlignment="1" applyBorder="1" applyFont="1" applyNumberFormat="1">
      <alignment horizontal="right" readingOrder="0" shrinkToFit="0" vertical="center" wrapText="0"/>
    </xf>
    <xf borderId="1" fillId="3" fontId="88" numFmtId="0" xfId="0" applyAlignment="1" applyBorder="1" applyFont="1">
      <alignment readingOrder="0" shrinkToFit="0" vertical="top" wrapText="0"/>
    </xf>
    <xf borderId="1" fillId="9" fontId="110" numFmtId="0" xfId="0" applyAlignment="1" applyBorder="1" applyFont="1">
      <alignment shrinkToFit="0" vertical="center" wrapText="0"/>
    </xf>
    <xf borderId="1" fillId="9" fontId="82" numFmtId="167" xfId="0" applyAlignment="1" applyBorder="1" applyFont="1" applyNumberFormat="1">
      <alignment shrinkToFit="0" vertical="center" wrapText="0"/>
    </xf>
    <xf borderId="1" fillId="9" fontId="82" numFmtId="0" xfId="0" applyAlignment="1" applyBorder="1" applyFont="1">
      <alignment shrinkToFit="0" vertical="top" wrapText="0"/>
    </xf>
    <xf borderId="1" fillId="9" fontId="111" numFmtId="0" xfId="0" applyAlignment="1" applyBorder="1" applyFont="1">
      <alignment readingOrder="0" shrinkToFit="0" vertical="center" wrapText="0"/>
    </xf>
    <xf borderId="1" fillId="3" fontId="112" numFmtId="0" xfId="0" applyAlignment="1" applyBorder="1" applyFont="1">
      <alignment shrinkToFit="0" vertical="center" wrapText="0"/>
    </xf>
    <xf borderId="1" fillId="3" fontId="113" numFmtId="0" xfId="0" applyAlignment="1" applyBorder="1" applyFont="1">
      <alignment shrinkToFit="0" vertical="center" wrapText="0"/>
    </xf>
    <xf borderId="1" fillId="3" fontId="88" numFmtId="164" xfId="0" applyAlignment="1" applyBorder="1" applyFont="1" applyNumberFormat="1">
      <alignment horizontal="right" shrinkToFit="0" vertical="center" wrapText="0"/>
    </xf>
    <xf borderId="1" fillId="3" fontId="88" numFmtId="165" xfId="0" applyAlignment="1" applyBorder="1" applyFont="1" applyNumberFormat="1">
      <alignment horizontal="right" shrinkToFit="0" vertical="center" wrapText="0"/>
    </xf>
    <xf borderId="1" fillId="3" fontId="114" numFmtId="1" xfId="0" applyAlignment="1" applyBorder="1" applyFont="1" applyNumberFormat="1">
      <alignment horizontal="center" shrinkToFit="0" vertical="center" wrapText="0"/>
    </xf>
    <xf borderId="1" fillId="3" fontId="88" numFmtId="0" xfId="0" applyAlignment="1" applyBorder="1" applyFont="1">
      <alignment shrinkToFit="0" vertical="top" wrapText="0"/>
    </xf>
    <xf borderId="0" fillId="3" fontId="26" numFmtId="0" xfId="0" applyAlignment="1" applyFont="1">
      <alignment horizontal="center" readingOrder="0" shrinkToFit="0" vertical="center" wrapText="0"/>
    </xf>
    <xf borderId="0" fillId="3" fontId="115" numFmtId="0" xfId="0" applyAlignment="1" applyFont="1">
      <alignment horizontal="center" shrinkToFit="0" vertical="center" wrapText="0"/>
    </xf>
    <xf borderId="0" fillId="0" fontId="28" numFmtId="0" xfId="0" applyAlignment="1" applyFont="1">
      <alignment horizontal="left" readingOrder="0" shrinkToFit="0" vertical="center" wrapText="0"/>
    </xf>
    <xf borderId="0" fillId="3" fontId="15" numFmtId="0" xfId="0" applyAlignment="1" applyFont="1">
      <alignment readingOrder="0" shrinkToFit="0" vertical="center" wrapText="0"/>
    </xf>
    <xf borderId="4" fillId="3" fontId="82" numFmtId="0" xfId="0" applyAlignment="1" applyBorder="1" applyFont="1">
      <alignment shrinkToFit="0" vertical="center" wrapText="0"/>
    </xf>
    <xf borderId="0" fillId="3" fontId="15" numFmtId="0" xfId="0" applyAlignment="1" applyFont="1">
      <alignment readingOrder="0" shrinkToFit="0" vertical="center" wrapText="0"/>
    </xf>
    <xf borderId="0" fillId="3" fontId="15" numFmtId="167" xfId="0" applyAlignment="1" applyFont="1" applyNumberFormat="1">
      <alignment horizontal="center" readingOrder="0" shrinkToFit="0" vertical="center" wrapText="0"/>
    </xf>
    <xf borderId="0" fillId="3" fontId="15" numFmtId="164" xfId="0" applyAlignment="1" applyFont="1" applyNumberFormat="1">
      <alignment readingOrder="0" shrinkToFit="0" vertical="center" wrapText="0"/>
    </xf>
    <xf borderId="0" fillId="3" fontId="15" numFmtId="165" xfId="0" applyAlignment="1" applyFont="1" applyNumberFormat="1">
      <alignment readingOrder="0" shrinkToFit="0" vertical="center" wrapText="0"/>
    </xf>
    <xf borderId="0" fillId="3" fontId="7" numFmtId="0" xfId="0" applyAlignment="1" applyFont="1">
      <alignment horizontal="center" readingOrder="0" shrinkToFit="0" vertical="center" wrapText="0"/>
    </xf>
    <xf borderId="0" fillId="0" fontId="116" numFmtId="0" xfId="0" applyAlignment="1" applyFont="1">
      <alignment readingOrder="0" shrinkToFit="0" vertical="bottom" wrapText="0"/>
    </xf>
    <xf borderId="4" fillId="3" fontId="82" numFmtId="49" xfId="0" applyAlignment="1" applyBorder="1" applyFont="1" applyNumberFormat="1">
      <alignment shrinkToFit="0" vertical="center" wrapText="0"/>
    </xf>
    <xf borderId="0" fillId="3" fontId="15" numFmtId="0" xfId="0" applyAlignment="1" applyFont="1">
      <alignment horizontal="center" readingOrder="0" shrinkToFit="0" vertical="center" wrapText="0"/>
    </xf>
    <xf borderId="0" fillId="3" fontId="115" numFmtId="0" xfId="0" applyAlignment="1" applyFont="1">
      <alignment horizontal="center" shrinkToFit="0" vertical="center" wrapText="0"/>
    </xf>
    <xf borderId="0" fillId="0" fontId="28" numFmtId="0" xfId="0" applyAlignment="1" applyFont="1">
      <alignment horizontal="left" readingOrder="0" shrinkToFit="0" vertical="center" wrapText="0"/>
    </xf>
    <xf borderId="0" fillId="3" fontId="15" numFmtId="0" xfId="0" applyAlignment="1" applyFont="1">
      <alignment readingOrder="0" shrinkToFit="0" vertical="center" wrapText="0"/>
    </xf>
    <xf borderId="5" fillId="9" fontId="82" numFmtId="0" xfId="0" applyAlignment="1" applyBorder="1" applyFont="1">
      <alignment shrinkToFit="0" vertical="center" wrapText="0"/>
    </xf>
    <xf borderId="5" fillId="9" fontId="82" numFmtId="49" xfId="0" applyAlignment="1" applyBorder="1" applyFont="1" applyNumberFormat="1">
      <alignment shrinkToFit="0" vertical="center" wrapText="0"/>
    </xf>
    <xf borderId="6" fillId="3" fontId="82" numFmtId="0" xfId="0" applyAlignment="1" applyBorder="1" applyFont="1">
      <alignment shrinkToFit="0" vertical="center" wrapText="0"/>
    </xf>
    <xf borderId="6" fillId="3" fontId="82" numFmtId="49" xfId="0" applyAlignment="1" applyBorder="1" applyFont="1" applyNumberFormat="1">
      <alignment shrinkToFit="0" vertical="center" wrapText="0"/>
    </xf>
    <xf borderId="0" fillId="3" fontId="82" numFmtId="0" xfId="0" applyAlignment="1" applyFont="1">
      <alignment shrinkToFit="0" vertical="center" wrapText="0"/>
    </xf>
    <xf borderId="0" fillId="3" fontId="82" numFmtId="49" xfId="0" applyAlignment="1" applyFont="1" applyNumberFormat="1">
      <alignment shrinkToFit="0" vertical="center" wrapText="0"/>
    </xf>
    <xf borderId="1" fillId="10" fontId="41" numFmtId="0" xfId="0" applyAlignment="1" applyBorder="1" applyFill="1" applyFont="1">
      <alignment horizontal="center" vertical="center"/>
    </xf>
    <xf borderId="1" fillId="11" fontId="41" numFmtId="0" xfId="0" applyAlignment="1" applyBorder="1" applyFill="1" applyFont="1">
      <alignment horizontal="center" vertical="center"/>
    </xf>
    <xf borderId="1" fillId="11" fontId="41" numFmtId="0" xfId="0" applyAlignment="1" applyBorder="1" applyFont="1">
      <alignment horizontal="center" shrinkToFit="0" vertical="center" wrapText="1"/>
    </xf>
    <xf borderId="1" fillId="12" fontId="41" numFmtId="0" xfId="0" applyAlignment="1" applyBorder="1" applyFill="1" applyFont="1">
      <alignment horizontal="center" vertical="center"/>
    </xf>
    <xf borderId="1" fillId="0" fontId="41" numFmtId="0" xfId="0" applyAlignment="1" applyBorder="1" applyFont="1">
      <alignment horizontal="center" vertical="center"/>
    </xf>
    <xf borderId="0" fillId="0" fontId="28" numFmtId="0" xfId="0" applyAlignment="1" applyFont="1">
      <alignment horizontal="center" vertical="center"/>
    </xf>
    <xf borderId="7" fillId="0" fontId="28" numFmtId="0" xfId="0" applyAlignment="1" applyBorder="1" applyFont="1">
      <alignment vertical="center"/>
    </xf>
    <xf borderId="8" fillId="4" fontId="41" numFmtId="0" xfId="0" applyAlignment="1" applyBorder="1" applyFont="1">
      <alignment shrinkToFit="0" wrapText="1"/>
    </xf>
    <xf borderId="7" fillId="0" fontId="28" numFmtId="0" xfId="0" applyBorder="1" applyFont="1"/>
    <xf borderId="7" fillId="0" fontId="28" numFmtId="0" xfId="0" applyAlignment="1" applyBorder="1" applyFont="1">
      <alignment horizontal="center" shrinkToFit="0" vertical="center" wrapText="1"/>
    </xf>
    <xf borderId="7" fillId="0" fontId="28" numFmtId="14" xfId="0" applyBorder="1" applyFont="1" applyNumberFormat="1"/>
    <xf borderId="0" fillId="0" fontId="28" numFmtId="0" xfId="0" applyFont="1"/>
    <xf borderId="1" fillId="0" fontId="28" numFmtId="0" xfId="0" applyAlignment="1" applyBorder="1" applyFont="1">
      <alignment vertical="center"/>
    </xf>
    <xf borderId="1" fillId="0" fontId="41" numFmtId="0" xfId="0" applyAlignment="1" applyBorder="1" applyFont="1">
      <alignment shrinkToFit="0" vertical="center" wrapText="1"/>
    </xf>
    <xf borderId="1" fillId="0" fontId="28" numFmtId="0" xfId="0" applyAlignment="1" applyBorder="1" applyFont="1">
      <alignment horizontal="left" shrinkToFit="0" vertical="center" wrapText="1"/>
    </xf>
    <xf borderId="1" fillId="0" fontId="28" numFmtId="14" xfId="0" applyAlignment="1" applyBorder="1" applyFont="1" applyNumberFormat="1">
      <alignment horizontal="center" vertical="center"/>
    </xf>
    <xf borderId="1" fillId="0" fontId="28" numFmtId="0" xfId="0" applyAlignment="1" applyBorder="1" applyFont="1">
      <alignment horizontal="center" vertical="center"/>
    </xf>
    <xf borderId="1" fillId="0" fontId="28" numFmtId="1" xfId="0" applyAlignment="1" applyBorder="1" applyFont="1" applyNumberFormat="1">
      <alignment horizontal="center" shrinkToFit="0" vertical="center" wrapText="1"/>
    </xf>
    <xf borderId="1" fillId="0" fontId="28" numFmtId="0" xfId="0" applyAlignment="1" applyBorder="1" applyFont="1">
      <alignment horizontal="left" shrinkToFit="0" vertical="top" wrapText="1"/>
    </xf>
    <xf borderId="1" fillId="13" fontId="28" numFmtId="0" xfId="0" applyAlignment="1" applyBorder="1" applyFill="1" applyFont="1">
      <alignment shrinkToFit="0" vertical="center" wrapText="1"/>
    </xf>
    <xf borderId="1" fillId="4" fontId="41" numFmtId="0" xfId="0" applyAlignment="1" applyBorder="1" applyFont="1">
      <alignment shrinkToFit="0" vertical="center" wrapText="1"/>
    </xf>
    <xf borderId="1" fillId="13" fontId="41" numFmtId="0" xfId="0" applyAlignment="1" applyBorder="1" applyFont="1">
      <alignment shrinkToFit="0" vertical="center" wrapText="1"/>
    </xf>
    <xf borderId="1" fillId="13" fontId="28" numFmtId="0" xfId="0" applyAlignment="1" applyBorder="1" applyFont="1">
      <alignment horizontal="center" shrinkToFit="0" vertical="center" wrapText="1"/>
    </xf>
    <xf borderId="1" fillId="13" fontId="28" numFmtId="14" xfId="0" applyAlignment="1" applyBorder="1" applyFont="1" applyNumberFormat="1">
      <alignment vertical="center"/>
    </xf>
    <xf borderId="9" fillId="13" fontId="28" numFmtId="14" xfId="0" applyAlignment="1" applyBorder="1" applyFont="1" applyNumberFormat="1">
      <alignment vertical="center"/>
    </xf>
    <xf borderId="1" fillId="13" fontId="28" numFmtId="1" xfId="0" applyAlignment="1" applyBorder="1" applyFont="1" applyNumberFormat="1">
      <alignment horizontal="center" shrinkToFit="0" vertical="center" wrapText="1"/>
    </xf>
    <xf borderId="0" fillId="0" fontId="28" numFmtId="0" xfId="0" applyAlignment="1" applyFont="1">
      <alignment vertical="center"/>
    </xf>
    <xf borderId="1" fillId="0" fontId="82" numFmtId="0" xfId="0" applyAlignment="1" applyBorder="1" applyFont="1">
      <alignment vertical="center"/>
    </xf>
    <xf borderId="1" fillId="13" fontId="41" numFmtId="0" xfId="0" applyAlignment="1" applyBorder="1" applyFont="1">
      <alignment horizontal="center" shrinkToFit="0" vertical="center" wrapText="1"/>
    </xf>
    <xf borderId="1" fillId="13" fontId="41" numFmtId="14" xfId="0" applyAlignment="1" applyBorder="1" applyFont="1" applyNumberFormat="1">
      <alignment horizontal="center" vertical="center"/>
    </xf>
    <xf borderId="1" fillId="13" fontId="41" numFmtId="0" xfId="0" applyAlignment="1" applyBorder="1" applyFont="1">
      <alignment horizontal="center" shrinkToFit="0" vertical="top" wrapText="1"/>
    </xf>
    <xf borderId="10" fillId="13" fontId="28" numFmtId="0" xfId="0" applyAlignment="1" applyBorder="1" applyFont="1">
      <alignment horizontal="left" vertical="center"/>
    </xf>
    <xf borderId="10" fillId="13" fontId="28" numFmtId="0" xfId="0" applyAlignment="1" applyBorder="1" applyFont="1">
      <alignment horizontal="center" vertical="center"/>
    </xf>
    <xf borderId="1" fillId="0" fontId="82" numFmtId="0" xfId="0" applyAlignment="1" applyBorder="1" applyFont="1">
      <alignment horizontal="center" shrinkToFit="0" vertical="center" wrapText="1"/>
    </xf>
    <xf borderId="1" fillId="0" fontId="82" numFmtId="14" xfId="0" applyAlignment="1" applyBorder="1" applyFont="1" applyNumberFormat="1">
      <alignment vertical="center"/>
    </xf>
    <xf borderId="1" fillId="0" fontId="28" numFmtId="0" xfId="0" applyAlignment="1" applyBorder="1" applyFont="1">
      <alignment shrinkToFit="0" vertical="center" wrapText="1"/>
    </xf>
    <xf borderId="0" fillId="0" fontId="82" numFmtId="0" xfId="0" applyAlignment="1" applyFont="1">
      <alignment vertical="center"/>
    </xf>
    <xf borderId="1" fillId="14" fontId="41" numFmtId="0" xfId="0" applyAlignment="1" applyBorder="1" applyFill="1" applyFont="1">
      <alignment horizontal="center" vertical="center"/>
    </xf>
    <xf borderId="1" fillId="4" fontId="41" numFmtId="0" xfId="0" applyAlignment="1" applyBorder="1" applyFont="1">
      <alignment horizontal="left" shrinkToFit="0" vertical="center" wrapText="1"/>
    </xf>
    <xf borderId="1" fillId="14" fontId="28" numFmtId="0" xfId="0" applyAlignment="1" applyBorder="1" applyFont="1">
      <alignment horizontal="left" vertical="center"/>
    </xf>
    <xf borderId="1" fillId="14" fontId="28" numFmtId="14" xfId="0" applyAlignment="1" applyBorder="1" applyFont="1" applyNumberFormat="1">
      <alignment horizontal="center" vertical="center"/>
    </xf>
    <xf borderId="1" fillId="14" fontId="28" numFmtId="1" xfId="0" applyAlignment="1" applyBorder="1" applyFont="1" applyNumberFormat="1">
      <alignment horizontal="center" shrinkToFit="0" vertical="center" wrapText="1"/>
    </xf>
    <xf borderId="1" fillId="14" fontId="28" numFmtId="0" xfId="0" applyAlignment="1" applyBorder="1" applyFont="1">
      <alignment horizontal="left" shrinkToFit="0" vertical="top" wrapText="1"/>
    </xf>
    <xf borderId="1" fillId="13" fontId="41" numFmtId="0" xfId="0" applyAlignment="1" applyBorder="1" applyFont="1">
      <alignment horizontal="center" vertical="center"/>
    </xf>
    <xf borderId="8" fillId="13" fontId="41" numFmtId="0" xfId="0" applyAlignment="1" applyBorder="1" applyFont="1">
      <alignment horizontal="center" shrinkToFit="0" vertical="center" wrapText="1"/>
    </xf>
    <xf borderId="1" fillId="13" fontId="28" numFmtId="0" xfId="0" applyBorder="1" applyFont="1"/>
    <xf borderId="1" fillId="13" fontId="28" numFmtId="0" xfId="0" applyAlignment="1" applyBorder="1" applyFont="1">
      <alignment horizontal="left" shrinkToFit="0" vertical="center" wrapText="1"/>
    </xf>
    <xf borderId="1" fillId="13" fontId="28" numFmtId="14" xfId="0" applyAlignment="1" applyBorder="1" applyFont="1" applyNumberFormat="1">
      <alignment horizontal="center" vertical="center"/>
    </xf>
    <xf borderId="1" fillId="13" fontId="28" numFmtId="14" xfId="0" applyAlignment="1" applyBorder="1" applyFont="1" applyNumberFormat="1">
      <alignment horizontal="center"/>
    </xf>
    <xf borderId="1" fillId="13" fontId="28" numFmtId="0" xfId="0" applyAlignment="1" applyBorder="1" applyFont="1">
      <alignment shrinkToFit="0" wrapText="1"/>
    </xf>
    <xf borderId="0" fillId="0" fontId="82" numFmtId="0" xfId="0" applyFont="1"/>
    <xf borderId="11" fillId="13" fontId="41" numFmtId="0" xfId="0" applyAlignment="1" applyBorder="1" applyFont="1">
      <alignment horizontal="center" shrinkToFit="0" vertical="center" wrapText="1"/>
    </xf>
    <xf borderId="12" fillId="13" fontId="41" numFmtId="0" xfId="0" applyAlignment="1" applyBorder="1" applyFont="1">
      <alignment horizontal="center" shrinkToFit="0" vertical="center" wrapText="1"/>
    </xf>
    <xf borderId="1" fillId="4" fontId="28" numFmtId="0" xfId="0" applyAlignment="1" applyBorder="1" applyFont="1">
      <alignment shrinkToFit="0" wrapText="1"/>
    </xf>
    <xf borderId="0" fillId="0" fontId="26" numFmtId="0" xfId="0" applyAlignment="1" applyFont="1">
      <alignment horizontal="center" readingOrder="0" shrinkToFit="0" vertical="center" wrapText="0"/>
    </xf>
    <xf borderId="0" fillId="0" fontId="7" numFmtId="0" xfId="0" applyAlignment="1" applyFont="1">
      <alignment horizontal="center" readingOrder="0" shrinkToFit="0" vertical="center" wrapText="0"/>
    </xf>
    <xf borderId="0" fillId="0" fontId="28" numFmtId="0" xfId="0" applyAlignment="1" applyFont="1">
      <alignment horizontal="left" readingOrder="0" shrinkToFit="0" vertical="center" wrapText="0"/>
    </xf>
    <xf borderId="0" fillId="0" fontId="15" numFmtId="0" xfId="0" applyAlignment="1" applyFont="1">
      <alignment horizontal="center" readingOrder="0" shrinkToFit="0" vertical="center" wrapText="1"/>
    </xf>
    <xf borderId="0" fillId="0" fontId="7" numFmtId="0" xfId="0" applyAlignment="1" applyFont="1">
      <alignment horizontal="center" readingOrder="0" shrinkToFit="0" vertical="top" wrapText="1"/>
    </xf>
    <xf borderId="1" fillId="3" fontId="26" numFmtId="0" xfId="0" applyAlignment="1" applyBorder="1" applyFont="1">
      <alignment horizontal="center" shrinkToFit="0" vertical="center" wrapText="1"/>
    </xf>
    <xf borderId="1" fillId="3" fontId="7" numFmtId="0" xfId="0" applyAlignment="1" applyBorder="1" applyFont="1">
      <alignment horizontal="center" readingOrder="0" shrinkToFit="0" vertical="center" wrapText="1"/>
    </xf>
    <xf borderId="1" fillId="3" fontId="7" numFmtId="0" xfId="0" applyAlignment="1" applyBorder="1" applyFont="1">
      <alignment horizontal="center" shrinkToFit="0" vertical="center" wrapText="0"/>
    </xf>
    <xf borderId="0" fillId="3" fontId="15" numFmtId="0" xfId="0" applyAlignment="1" applyFont="1">
      <alignment horizontal="left" shrinkToFit="0" vertical="top" wrapText="1"/>
    </xf>
    <xf borderId="1" fillId="3" fontId="7" numFmtId="0" xfId="0" applyAlignment="1" applyBorder="1" applyFont="1">
      <alignment horizontal="center" shrinkToFit="0" vertical="center" wrapText="1"/>
    </xf>
    <xf borderId="1" fillId="3" fontId="41" numFmtId="0" xfId="0" applyAlignment="1" applyBorder="1" applyFont="1">
      <alignment horizontal="left" readingOrder="0" shrinkToFit="0" vertical="center" wrapText="1"/>
    </xf>
    <xf borderId="1" fillId="15" fontId="28" numFmtId="0" xfId="0" applyAlignment="1" applyBorder="1" applyFill="1" applyFont="1">
      <alignment horizontal="left" readingOrder="0" shrinkToFit="0" vertical="center" wrapText="0"/>
    </xf>
    <xf borderId="1" fillId="3" fontId="117" numFmtId="0" xfId="0" applyAlignment="1" applyBorder="1" applyFont="1">
      <alignment readingOrder="0" shrinkToFit="0" vertical="center" wrapText="0"/>
    </xf>
    <xf borderId="1" fillId="3" fontId="117" numFmtId="0" xfId="0" applyAlignment="1" applyBorder="1" applyFont="1">
      <alignment horizontal="center" readingOrder="0" shrinkToFit="0" vertical="center" wrapText="0"/>
    </xf>
    <xf borderId="1" fillId="3" fontId="117" numFmtId="0" xfId="0" applyAlignment="1" applyBorder="1" applyFont="1">
      <alignment shrinkToFit="0" vertical="center" wrapText="0"/>
    </xf>
    <xf borderId="1" fillId="3" fontId="117" numFmtId="164" xfId="0" applyAlignment="1" applyBorder="1" applyFont="1" applyNumberFormat="1">
      <alignment shrinkToFit="0" vertical="center" wrapText="0"/>
    </xf>
    <xf borderId="1" fillId="3" fontId="117" numFmtId="165" xfId="0" applyAlignment="1" applyBorder="1" applyFont="1" applyNumberFormat="1">
      <alignment shrinkToFit="0" vertical="center" wrapText="0"/>
    </xf>
    <xf borderId="1" fillId="3" fontId="117" numFmtId="0" xfId="0" applyAlignment="1" applyBorder="1" applyFont="1">
      <alignment horizontal="center" shrinkToFit="0" vertical="center" wrapText="0"/>
    </xf>
    <xf borderId="1" fillId="3" fontId="117" numFmtId="166" xfId="0" applyAlignment="1" applyBorder="1" applyFont="1" applyNumberFormat="1">
      <alignment shrinkToFit="0" vertical="center" wrapText="0"/>
    </xf>
    <xf borderId="0" fillId="3" fontId="117" numFmtId="0" xfId="0" applyAlignment="1" applyFont="1">
      <alignment readingOrder="0" shrinkToFit="0" vertical="center" wrapText="0"/>
    </xf>
    <xf borderId="0" fillId="3" fontId="117" numFmtId="0" xfId="0" applyAlignment="1" applyFont="1">
      <alignment readingOrder="0" shrinkToFit="0" vertical="center" wrapText="0"/>
    </xf>
    <xf borderId="1" fillId="3" fontId="28" numFmtId="0" xfId="0" applyAlignment="1" applyBorder="1" applyFont="1">
      <alignment horizontal="left" shrinkToFit="0" textRotation="0" vertical="center" wrapText="0"/>
    </xf>
    <xf borderId="1" fillId="3" fontId="26" numFmtId="0" xfId="0" applyAlignment="1" applyBorder="1" applyFont="1">
      <alignment horizontal="center" vertical="center"/>
    </xf>
    <xf borderId="1" fillId="3" fontId="7" numFmtId="0" xfId="0" applyAlignment="1" applyBorder="1" applyFont="1">
      <alignment horizontal="center" shrinkToFit="0" vertical="center" wrapText="1"/>
    </xf>
    <xf borderId="1" fillId="3" fontId="28" numFmtId="0" xfId="0" applyAlignment="1" applyBorder="1" applyFont="1">
      <alignment horizontal="left" shrinkToFit="0" vertical="center" wrapText="1"/>
    </xf>
    <xf borderId="1" fillId="3" fontId="15" numFmtId="14" xfId="0" applyAlignment="1" applyBorder="1" applyFont="1" applyNumberFormat="1">
      <alignment horizontal="center" vertical="center"/>
    </xf>
    <xf borderId="1" fillId="3" fontId="15" numFmtId="164" xfId="0" applyAlignment="1" applyBorder="1" applyFont="1" applyNumberFormat="1">
      <alignment vertical="center"/>
    </xf>
    <xf borderId="1" fillId="3" fontId="15" numFmtId="165" xfId="0" applyAlignment="1" applyBorder="1" applyFont="1" applyNumberFormat="1">
      <alignment vertical="center"/>
    </xf>
    <xf borderId="1" fillId="3" fontId="15" numFmtId="1" xfId="0" applyAlignment="1" applyBorder="1" applyFont="1" applyNumberFormat="1">
      <alignment horizontal="center" shrinkToFit="0" vertical="center" wrapText="1"/>
    </xf>
    <xf borderId="1" fillId="3" fontId="15" numFmtId="166" xfId="0" applyAlignment="1" applyBorder="1" applyFont="1" applyNumberFormat="1">
      <alignment vertical="center"/>
    </xf>
    <xf borderId="1" fillId="3" fontId="15" numFmtId="0" xfId="0" applyAlignment="1" applyBorder="1" applyFont="1">
      <alignment horizontal="left" shrinkToFit="0" vertical="top" wrapText="1"/>
    </xf>
    <xf borderId="0" fillId="3" fontId="15" numFmtId="0" xfId="0" applyAlignment="1" applyFont="1">
      <alignment horizontal="left" shrinkToFit="0" vertical="top" wrapText="1"/>
    </xf>
    <xf borderId="0" fillId="0" fontId="15" numFmtId="0" xfId="0" applyAlignment="1" applyFont="1">
      <alignment horizontal="center" vertical="center"/>
    </xf>
    <xf borderId="1" fillId="3" fontId="15" numFmtId="0" xfId="0" applyAlignment="1" applyBorder="1" applyFont="1">
      <alignment shrinkToFit="0" vertical="center" wrapText="1"/>
    </xf>
    <xf borderId="1" fillId="3" fontId="15" numFmtId="0" xfId="0" applyAlignment="1" applyBorder="1" applyFont="1">
      <alignment horizontal="left" vertical="top"/>
    </xf>
    <xf borderId="0" fillId="3" fontId="15" numFmtId="0" xfId="0" applyAlignment="1" applyFont="1">
      <alignment horizontal="left" vertical="top"/>
    </xf>
    <xf borderId="1" fillId="3" fontId="28" numFmtId="0" xfId="0" applyAlignment="1" applyBorder="1" applyFont="1">
      <alignment horizontal="left" readingOrder="0" shrinkToFit="0" vertical="center" wrapText="1"/>
    </xf>
    <xf borderId="1" fillId="3" fontId="15" numFmtId="0" xfId="0" applyAlignment="1" applyBorder="1" applyFont="1">
      <alignment horizontal="center" readingOrder="0" vertical="center"/>
    </xf>
    <xf borderId="0" fillId="3" fontId="15" numFmtId="0" xfId="0" applyAlignment="1" applyFont="1">
      <alignment horizontal="left" vertical="top"/>
    </xf>
    <xf borderId="0" fillId="0" fontId="117" numFmtId="0" xfId="0" applyFont="1"/>
    <xf borderId="0" fillId="3" fontId="15" numFmtId="0" xfId="0" applyAlignment="1" applyFont="1">
      <alignment horizontal="left" readingOrder="0" shrinkToFit="0" vertical="top" wrapText="1"/>
    </xf>
    <xf borderId="0" fillId="3" fontId="15" numFmtId="0" xfId="0" applyAlignment="1" applyFont="1">
      <alignment horizontal="left" readingOrder="0" shrinkToFit="0" vertical="top" wrapText="1"/>
    </xf>
    <xf borderId="0" fillId="0" fontId="15" numFmtId="0" xfId="0" applyFont="1"/>
    <xf borderId="1" fillId="3" fontId="7" numFmtId="0" xfId="0" applyAlignment="1" applyBorder="1" applyFont="1">
      <alignment horizontal="center" readingOrder="0" shrinkToFit="0" vertical="center" wrapText="1"/>
    </xf>
    <xf borderId="1" fillId="3" fontId="15" numFmtId="0" xfId="0" applyAlignment="1" applyBorder="1" applyFont="1">
      <alignment horizontal="center" shrinkToFit="0" wrapText="1"/>
    </xf>
    <xf borderId="1" fillId="3" fontId="15" numFmtId="165" xfId="0" applyAlignment="1" applyBorder="1" applyFont="1" applyNumberFormat="1">
      <alignment shrinkToFit="0" wrapText="1"/>
    </xf>
    <xf borderId="1" fillId="3" fontId="15" numFmtId="165" xfId="0" applyAlignment="1" applyBorder="1" applyFont="1" applyNumberFormat="1">
      <alignment shrinkToFit="0" vertical="center" wrapText="1"/>
    </xf>
    <xf borderId="1" fillId="3" fontId="15" numFmtId="0" xfId="0" applyAlignment="1" applyBorder="1" applyFont="1">
      <alignment horizontal="center"/>
    </xf>
    <xf borderId="1" fillId="3" fontId="15" numFmtId="164" xfId="0" applyBorder="1" applyFont="1" applyNumberFormat="1"/>
    <xf borderId="1" fillId="3" fontId="15" numFmtId="0" xfId="0" applyBorder="1" applyFont="1"/>
    <xf borderId="1" fillId="3" fontId="15" numFmtId="166" xfId="0" applyBorder="1" applyFont="1" applyNumberFormat="1"/>
    <xf borderId="1" fillId="3" fontId="15" numFmtId="14" xfId="0" applyAlignment="1" applyBorder="1" applyFont="1" applyNumberFormat="1">
      <alignment horizontal="left" shrinkToFit="0" vertical="top" wrapText="1"/>
    </xf>
    <xf borderId="0" fillId="3" fontId="15" numFmtId="0" xfId="0" applyAlignment="1" applyFont="1">
      <alignment horizontal="left" shrinkToFit="0" vertical="top" wrapText="1"/>
    </xf>
    <xf borderId="1" fillId="3" fontId="117" numFmtId="0" xfId="0" applyAlignment="1" applyBorder="1" applyFont="1">
      <alignment horizontal="center" shrinkToFit="0" wrapText="1"/>
    </xf>
    <xf borderId="1" fillId="3" fontId="117" numFmtId="165" xfId="0" applyBorder="1" applyFont="1" applyNumberFormat="1"/>
    <xf borderId="1" fillId="3" fontId="117" numFmtId="165" xfId="0" applyAlignment="1" applyBorder="1" applyFont="1" applyNumberFormat="1">
      <alignment shrinkToFit="0" wrapText="1"/>
    </xf>
    <xf borderId="1" fillId="3" fontId="117" numFmtId="0" xfId="0" applyAlignment="1" applyBorder="1" applyFont="1">
      <alignment horizontal="center"/>
    </xf>
    <xf borderId="1" fillId="3" fontId="117" numFmtId="164" xfId="0" applyBorder="1" applyFont="1" applyNumberFormat="1"/>
    <xf borderId="1" fillId="3" fontId="117" numFmtId="0" xfId="0" applyBorder="1" applyFont="1"/>
    <xf borderId="1" fillId="3" fontId="117" numFmtId="166" xfId="0" applyBorder="1" applyFont="1" applyNumberFormat="1"/>
    <xf borderId="0" fillId="3" fontId="15" numFmtId="0" xfId="0" applyFont="1"/>
    <xf borderId="1" fillId="3" fontId="7" numFmtId="0" xfId="0" applyAlignment="1" applyBorder="1" applyFont="1">
      <alignment horizontal="center" readingOrder="0" vertical="center"/>
    </xf>
    <xf borderId="1" fillId="3" fontId="28" numFmtId="0" xfId="0" applyAlignment="1" applyBorder="1" applyFont="1">
      <alignment horizontal="left" readingOrder="0" vertical="center"/>
    </xf>
    <xf borderId="1" fillId="3" fontId="15" numFmtId="14" xfId="0" applyAlignment="1" applyBorder="1" applyFont="1" applyNumberFormat="1">
      <alignment horizontal="center"/>
    </xf>
    <xf borderId="1" fillId="3" fontId="15" numFmtId="0" xfId="0" applyAlignment="1" applyBorder="1" applyFont="1">
      <alignment shrinkToFit="0" vertical="top" wrapText="1"/>
    </xf>
    <xf borderId="0" fillId="3" fontId="15" numFmtId="0" xfId="0" applyAlignment="1" applyFont="1">
      <alignment shrinkToFit="0" vertical="top" wrapText="1"/>
    </xf>
    <xf borderId="0" fillId="3" fontId="15" numFmtId="0" xfId="0" applyAlignment="1" applyFont="1">
      <alignment shrinkToFit="0" vertical="top" wrapText="1"/>
    </xf>
    <xf borderId="1" fillId="3" fontId="26" numFmtId="0" xfId="0" applyAlignment="1" applyBorder="1" applyFont="1">
      <alignment horizontal="center" readingOrder="0" vertical="center"/>
    </xf>
    <xf borderId="1" fillId="3" fontId="15" numFmtId="14" xfId="0" applyAlignment="1" applyBorder="1" applyFont="1" applyNumberFormat="1">
      <alignment horizontal="center" readingOrder="0" vertical="center"/>
    </xf>
    <xf borderId="1" fillId="3" fontId="15" numFmtId="164" xfId="0" applyAlignment="1" applyBorder="1" applyFont="1" applyNumberFormat="1">
      <alignment readingOrder="0" vertical="center"/>
    </xf>
    <xf borderId="1" fillId="3" fontId="15" numFmtId="165" xfId="0" applyAlignment="1" applyBorder="1" applyFont="1" applyNumberFormat="1">
      <alignment readingOrder="0" vertical="center"/>
    </xf>
    <xf borderId="1" fillId="3" fontId="115" numFmtId="0" xfId="0" applyAlignment="1" applyBorder="1" applyFont="1">
      <alignment horizontal="center"/>
    </xf>
    <xf borderId="1" fillId="3" fontId="15" numFmtId="0" xfId="0" applyAlignment="1" applyBorder="1" applyFont="1">
      <alignment readingOrder="0" vertical="center"/>
    </xf>
    <xf borderId="1" fillId="3" fontId="15" numFmtId="167" xfId="0" applyAlignment="1" applyBorder="1" applyFont="1" applyNumberFormat="1">
      <alignment horizontal="center" readingOrder="0" vertical="center"/>
    </xf>
    <xf borderId="1" fillId="3" fontId="15" numFmtId="166" xfId="0" applyAlignment="1" applyBorder="1" applyFont="1" applyNumberFormat="1">
      <alignment readingOrder="0" vertical="center"/>
    </xf>
    <xf borderId="1" fillId="3" fontId="15" numFmtId="167" xfId="0" applyAlignment="1" applyBorder="1" applyFont="1" applyNumberFormat="1">
      <alignment horizontal="center" readingOrder="0" vertical="center"/>
    </xf>
    <xf borderId="1" fillId="3" fontId="15" numFmtId="166" xfId="0" applyAlignment="1" applyBorder="1" applyFont="1" applyNumberFormat="1">
      <alignment readingOrder="0" vertical="center"/>
    </xf>
    <xf borderId="0" fillId="3" fontId="15" numFmtId="0" xfId="0" applyAlignment="1" applyFont="1">
      <alignment horizontal="left" readingOrder="0" vertical="top"/>
    </xf>
    <xf borderId="0" fillId="3" fontId="15" numFmtId="0" xfId="0" applyAlignment="1" applyFont="1">
      <alignment horizontal="left" readingOrder="0" vertical="top"/>
    </xf>
    <xf borderId="1" fillId="3" fontId="115" numFmtId="0" xfId="0" applyAlignment="1" applyBorder="1" applyFont="1">
      <alignment horizontal="center" readingOrder="0"/>
    </xf>
    <xf borderId="1" fillId="3" fontId="26" numFmtId="0" xfId="0" applyAlignment="1" applyBorder="1" applyFont="1">
      <alignment horizontal="center" shrinkToFit="0" vertical="center" wrapText="1"/>
    </xf>
    <xf borderId="1" fillId="3" fontId="26" numFmtId="0" xfId="0" applyAlignment="1" applyBorder="1" applyFont="1">
      <alignment vertical="center"/>
    </xf>
    <xf borderId="1" fillId="3" fontId="15" numFmtId="0" xfId="0" applyAlignment="1" applyBorder="1" applyFont="1">
      <alignment horizontal="center" shrinkToFit="0" vertical="center" wrapText="1"/>
    </xf>
    <xf borderId="1" fillId="3" fontId="15" numFmtId="0" xfId="0" applyAlignment="1" applyBorder="1" applyFont="1">
      <alignment horizontal="center" vertical="center"/>
    </xf>
    <xf borderId="1" fillId="3" fontId="15" numFmtId="0" xfId="0" applyAlignment="1" applyBorder="1" applyFont="1">
      <alignment readingOrder="0" vertical="center"/>
    </xf>
    <xf borderId="1" fillId="3" fontId="28" numFmtId="0" xfId="0" applyAlignment="1" applyBorder="1" applyFont="1">
      <alignment horizontal="left" readingOrder="0" vertical="center"/>
    </xf>
    <xf borderId="1" fillId="3" fontId="15" numFmtId="0" xfId="0" applyAlignment="1" applyBorder="1" applyFont="1">
      <alignment readingOrder="0" vertical="center"/>
    </xf>
    <xf borderId="1" fillId="3" fontId="15" numFmtId="14" xfId="0" applyAlignment="1" applyBorder="1" applyFont="1" applyNumberFormat="1">
      <alignment horizontal="center" vertical="center"/>
    </xf>
    <xf borderId="1" fillId="3" fontId="15" numFmtId="164" xfId="0" applyAlignment="1" applyBorder="1" applyFont="1" applyNumberFormat="1">
      <alignment readingOrder="0" vertical="center"/>
    </xf>
    <xf borderId="0" fillId="3" fontId="15" numFmtId="0" xfId="0" applyAlignment="1" applyFont="1">
      <alignment readingOrder="0" vertical="center"/>
    </xf>
    <xf borderId="0" fillId="3" fontId="15" numFmtId="166" xfId="0" applyAlignment="1" applyFont="1" applyNumberFormat="1">
      <alignment readingOrder="0" vertical="center"/>
    </xf>
    <xf borderId="0" fillId="3" fontId="15" numFmtId="0" xfId="0" applyAlignment="1" applyFont="1">
      <alignment horizontal="left" readingOrder="0" vertical="top"/>
    </xf>
    <xf borderId="1" fillId="3" fontId="118" numFmtId="0" xfId="0" applyAlignment="1" applyBorder="1" applyFont="1">
      <alignment horizontal="center" readingOrder="0" vertical="center"/>
    </xf>
    <xf borderId="1" fillId="3" fontId="15" numFmtId="1" xfId="0" applyAlignment="1" applyBorder="1" applyFont="1" applyNumberFormat="1">
      <alignment horizontal="center" vertical="center"/>
    </xf>
    <xf borderId="1" fillId="3" fontId="15" numFmtId="0" xfId="0" applyAlignment="1" applyBorder="1" applyFont="1">
      <alignment vertical="center"/>
    </xf>
    <xf borderId="1" fillId="3" fontId="26" numFmtId="0" xfId="0" applyAlignment="1" applyBorder="1" applyFont="1">
      <alignment horizontal="center" readingOrder="0" shrinkToFit="0" vertical="center" wrapText="1"/>
    </xf>
    <xf borderId="1" fillId="3" fontId="119" numFmtId="0" xfId="0" applyAlignment="1" applyBorder="1" applyFont="1">
      <alignment horizontal="center"/>
    </xf>
    <xf borderId="1" fillId="3" fontId="115" numFmtId="0" xfId="0" applyAlignment="1" applyBorder="1" applyFont="1">
      <alignment horizontal="center" readingOrder="0"/>
    </xf>
    <xf borderId="1" fillId="3" fontId="120" numFmtId="0" xfId="0" applyAlignment="1" applyBorder="1" applyFont="1">
      <alignment horizontal="center" readingOrder="0" vertical="center"/>
    </xf>
    <xf borderId="1" fillId="3" fontId="121" numFmtId="0" xfId="0" applyAlignment="1" applyBorder="1" applyFont="1">
      <alignment horizontal="center" readingOrder="0" shrinkToFit="0" wrapText="0"/>
    </xf>
    <xf borderId="2" fillId="3" fontId="122" numFmtId="0" xfId="0" applyAlignment="1" applyBorder="1" applyFont="1">
      <alignment horizontal="center" readingOrder="0" shrinkToFit="0" wrapText="0"/>
    </xf>
    <xf borderId="1" fillId="3" fontId="123" numFmtId="0" xfId="0" applyAlignment="1" applyBorder="1" applyFont="1">
      <alignment horizontal="left" readingOrder="0" vertical="center"/>
    </xf>
    <xf borderId="1" fillId="3" fontId="124" numFmtId="0" xfId="0" applyAlignment="1" applyBorder="1" applyFont="1">
      <alignment readingOrder="0" vertical="center"/>
    </xf>
    <xf borderId="1" fillId="3" fontId="35" numFmtId="164" xfId="0" applyAlignment="1" applyBorder="1" applyFont="1" applyNumberFormat="1">
      <alignment horizontal="right" readingOrder="0" shrinkToFit="0" wrapText="0"/>
    </xf>
    <xf borderId="1" fillId="3" fontId="15" numFmtId="0" xfId="0" applyAlignment="1" applyBorder="1" applyFont="1">
      <alignment horizontal="left" vertical="top"/>
    </xf>
    <xf borderId="1" fillId="3" fontId="15" numFmtId="0" xfId="0" applyAlignment="1" applyBorder="1" applyFont="1">
      <alignment horizontal="left" readingOrder="0" vertical="top"/>
    </xf>
    <xf borderId="1" fillId="3" fontId="15" numFmtId="0" xfId="0" applyAlignment="1" applyBorder="1" applyFont="1">
      <alignment horizontal="left" readingOrder="0" vertical="top"/>
    </xf>
    <xf borderId="1" fillId="3" fontId="125" numFmtId="0" xfId="0" applyAlignment="1" applyBorder="1" applyFont="1">
      <alignment horizontal="center" readingOrder="0" vertical="center"/>
    </xf>
    <xf borderId="1" fillId="3" fontId="126" numFmtId="0" xfId="0" applyAlignment="1" applyBorder="1" applyFont="1">
      <alignment horizontal="center" readingOrder="0"/>
    </xf>
    <xf borderId="1" fillId="3" fontId="127" numFmtId="0" xfId="0" applyAlignment="1" applyBorder="1" applyFont="1">
      <alignment horizontal="left" readingOrder="0" shrinkToFit="0" vertical="center" wrapText="1"/>
    </xf>
    <xf borderId="1" fillId="3" fontId="128" numFmtId="0" xfId="0" applyAlignment="1" applyBorder="1" applyFont="1">
      <alignment horizontal="center" readingOrder="0"/>
    </xf>
    <xf borderId="1" fillId="3" fontId="129" numFmtId="0" xfId="0" applyAlignment="1" applyBorder="1" applyFont="1">
      <alignment horizontal="center" readingOrder="0" vertical="center"/>
    </xf>
    <xf borderId="1" fillId="3" fontId="15" numFmtId="0" xfId="0" applyAlignment="1" applyBorder="1" applyFont="1">
      <alignment horizontal="left" shrinkToFit="0" vertical="top" wrapText="1"/>
    </xf>
    <xf borderId="1" fillId="3" fontId="15" numFmtId="0" xfId="0" applyAlignment="1" applyBorder="1" applyFont="1">
      <alignment horizontal="left" readingOrder="0" shrinkToFit="0" vertical="top" wrapText="1"/>
    </xf>
    <xf borderId="1" fillId="3" fontId="15" numFmtId="0" xfId="0" applyAlignment="1" applyBorder="1" applyFont="1">
      <alignment horizontal="left" readingOrder="0" shrinkToFit="0" vertical="top" wrapText="1"/>
    </xf>
    <xf borderId="1" fillId="0" fontId="130" numFmtId="0" xfId="0" applyAlignment="1" applyBorder="1" applyFont="1">
      <alignment horizontal="left" readingOrder="0" vertical="center"/>
    </xf>
    <xf borderId="1" fillId="0" fontId="15" numFmtId="0" xfId="0" applyAlignment="1" applyBorder="1" applyFont="1">
      <alignment horizontal="center" readingOrder="0" vertical="center"/>
    </xf>
    <xf borderId="1" fillId="0" fontId="28" numFmtId="0" xfId="0" applyAlignment="1" applyBorder="1" applyFont="1">
      <alignment horizontal="left" readingOrder="0" vertical="center"/>
    </xf>
    <xf borderId="1" fillId="3" fontId="131" numFmtId="0" xfId="0" applyAlignment="1" applyBorder="1" applyFont="1">
      <alignment horizontal="center" readingOrder="0" shrinkToFit="0" wrapText="0"/>
    </xf>
    <xf borderId="1" fillId="0" fontId="15" numFmtId="167" xfId="0" applyAlignment="1" applyBorder="1" applyFont="1" applyNumberFormat="1">
      <alignment horizontal="center" readingOrder="0" vertical="center"/>
    </xf>
    <xf borderId="1" fillId="16" fontId="7" numFmtId="0" xfId="0" applyAlignment="1" applyBorder="1" applyFill="1" applyFont="1">
      <alignment horizontal="center" vertical="center"/>
    </xf>
    <xf borderId="1" fillId="11" fontId="7" numFmtId="0" xfId="0" applyAlignment="1" applyBorder="1" applyFont="1">
      <alignment horizontal="center" vertical="center"/>
    </xf>
    <xf borderId="1" fillId="11" fontId="7" numFmtId="0" xfId="0" applyAlignment="1" applyBorder="1" applyFont="1">
      <alignment horizontal="center" shrinkToFit="0" vertical="center" wrapText="1"/>
    </xf>
    <xf borderId="1" fillId="12" fontId="7" numFmtId="0" xfId="0" applyAlignment="1" applyBorder="1" applyFont="1">
      <alignment horizontal="center" vertical="center"/>
    </xf>
    <xf borderId="1" fillId="10" fontId="7" numFmtId="0" xfId="0" applyAlignment="1" applyBorder="1" applyFont="1">
      <alignment horizontal="center" vertical="center"/>
    </xf>
    <xf borderId="1" fillId="0" fontId="7" numFmtId="0" xfId="0" applyAlignment="1" applyBorder="1" applyFont="1">
      <alignment horizontal="center" vertical="center"/>
    </xf>
    <xf borderId="1" fillId="0" fontId="15" numFmtId="0" xfId="0" applyAlignment="1" applyBorder="1" applyFont="1">
      <alignment shrinkToFit="0" vertical="center" wrapText="1"/>
    </xf>
    <xf borderId="7" fillId="0" fontId="7" numFmtId="0" xfId="0" applyAlignment="1" applyBorder="1" applyFont="1">
      <alignment horizontal="left" vertical="center"/>
    </xf>
    <xf borderId="1" fillId="0" fontId="15" numFmtId="0" xfId="0" applyAlignment="1" applyBorder="1" applyFont="1">
      <alignment horizontal="left" vertical="center"/>
    </xf>
    <xf borderId="1" fillId="0" fontId="15" numFmtId="0" xfId="0" applyAlignment="1" applyBorder="1" applyFont="1">
      <alignment horizontal="center" vertical="center"/>
    </xf>
    <xf borderId="1" fillId="0" fontId="15" numFmtId="14" xfId="0" applyAlignment="1" applyBorder="1" applyFont="1" applyNumberFormat="1">
      <alignment horizontal="center" vertical="center"/>
    </xf>
    <xf borderId="0" fillId="0" fontId="15" numFmtId="14" xfId="0" applyAlignment="1" applyFont="1" applyNumberFormat="1">
      <alignment vertical="center"/>
    </xf>
    <xf borderId="1" fillId="0" fontId="15" numFmtId="1" xfId="0" applyAlignment="1" applyBorder="1" applyFont="1" applyNumberFormat="1">
      <alignment horizontal="center" shrinkToFit="0" vertical="center" wrapText="1"/>
    </xf>
    <xf borderId="1" fillId="0" fontId="15" numFmtId="0" xfId="0" applyAlignment="1" applyBorder="1" applyFont="1">
      <alignment horizontal="left" shrinkToFit="0" vertical="top" wrapText="1"/>
    </xf>
    <xf borderId="13" fillId="0" fontId="82" numFmtId="0" xfId="0" applyBorder="1" applyFont="1"/>
    <xf borderId="14" fillId="0" fontId="7" numFmtId="0" xfId="0" applyAlignment="1" applyBorder="1" applyFont="1">
      <alignment horizontal="center" shrinkToFit="0" vertical="center" wrapText="1"/>
    </xf>
    <xf borderId="15" fillId="0" fontId="82" numFmtId="0" xfId="0" applyBorder="1" applyFont="1"/>
    <xf borderId="1" fillId="0" fontId="15" numFmtId="0" xfId="0" applyAlignment="1" applyBorder="1" applyFont="1">
      <alignment horizontal="left" shrinkToFit="0" vertical="center" wrapText="1"/>
    </xf>
    <xf borderId="1" fillId="0" fontId="7" numFmtId="0" xfId="0" applyAlignment="1" applyBorder="1" applyFont="1">
      <alignment horizontal="left" shrinkToFit="0" vertical="center" wrapText="1"/>
    </xf>
    <xf borderId="1" fillId="0" fontId="15" numFmtId="0" xfId="0" applyAlignment="1" applyBorder="1" applyFont="1">
      <alignment horizontal="center" shrinkToFit="0" vertical="center" wrapText="1"/>
    </xf>
    <xf borderId="7" fillId="0" fontId="7" numFmtId="0" xfId="0" applyAlignment="1" applyBorder="1" applyFont="1">
      <alignment vertical="center"/>
    </xf>
    <xf borderId="1" fillId="0" fontId="7" numFmtId="0" xfId="0" applyAlignment="1" applyBorder="1" applyFont="1">
      <alignment horizontal="left" vertical="center"/>
    </xf>
    <xf borderId="1" fillId="4" fontId="7" numFmtId="0" xfId="0" applyAlignment="1" applyBorder="1" applyFont="1">
      <alignment horizontal="center" shrinkToFit="0" vertical="center" wrapText="1"/>
    </xf>
    <xf borderId="1" fillId="0" fontId="7" numFmtId="0" xfId="0" applyAlignment="1" applyBorder="1" applyFont="1">
      <alignment horizontal="center" shrinkToFit="0" vertical="center" wrapText="1"/>
    </xf>
    <xf borderId="1" fillId="0" fontId="7" numFmtId="0" xfId="0" applyAlignment="1" applyBorder="1" applyFont="1">
      <alignment horizontal="left" shrinkToFit="0" vertical="top" wrapText="1"/>
    </xf>
    <xf borderId="1" fillId="0" fontId="7" numFmtId="0" xfId="0" applyAlignment="1" applyBorder="1" applyFont="1">
      <alignment shrinkToFit="0" wrapText="1"/>
    </xf>
    <xf borderId="1" fillId="0" fontId="15" numFmtId="0" xfId="0" applyBorder="1" applyFont="1"/>
    <xf borderId="1" fillId="0" fontId="15" numFmtId="14" xfId="0" applyAlignment="1" applyBorder="1" applyFont="1" applyNumberFormat="1">
      <alignment vertical="center"/>
    </xf>
    <xf borderId="1" fillId="0" fontId="15" numFmtId="0" xfId="0" applyAlignment="1" applyBorder="1" applyFont="1">
      <alignment shrinkToFit="0" vertical="top" wrapText="1"/>
    </xf>
    <xf borderId="0" fillId="0" fontId="132" numFmtId="0" xfId="0" applyAlignment="1" applyFont="1">
      <alignment shrinkToFit="0" vertical="top" wrapText="1"/>
    </xf>
    <xf borderId="8" fillId="4" fontId="7" numFmtId="0" xfId="0" applyAlignment="1" applyBorder="1" applyFont="1">
      <alignment horizontal="center" shrinkToFit="0" vertical="center" wrapText="1"/>
    </xf>
    <xf borderId="7" fillId="0" fontId="7" numFmtId="0" xfId="0" applyAlignment="1" applyBorder="1" applyFont="1">
      <alignment horizontal="center" shrinkToFit="0" vertical="center" wrapText="1"/>
    </xf>
    <xf borderId="7" fillId="0" fontId="7" numFmtId="0" xfId="0" applyAlignment="1" applyBorder="1" applyFont="1">
      <alignment horizontal="left" shrinkToFit="0" vertical="center" wrapText="1"/>
    </xf>
    <xf borderId="7" fillId="0" fontId="15" numFmtId="0" xfId="0" applyAlignment="1" applyBorder="1" applyFont="1">
      <alignment horizontal="center" shrinkToFit="0" vertical="center" wrapText="1"/>
    </xf>
    <xf borderId="7" fillId="0" fontId="15" numFmtId="14" xfId="0" applyAlignment="1" applyBorder="1" applyFont="1" applyNumberFormat="1">
      <alignment horizontal="center" vertical="center"/>
    </xf>
    <xf borderId="7" fillId="0" fontId="15" numFmtId="1" xfId="0" applyAlignment="1" applyBorder="1" applyFont="1" applyNumberFormat="1">
      <alignment horizontal="center" shrinkToFit="0" vertical="center" wrapText="1"/>
    </xf>
    <xf borderId="7" fillId="0" fontId="15" numFmtId="0" xfId="0" applyAlignment="1" applyBorder="1" applyFont="1">
      <alignment horizontal="center" vertical="center"/>
    </xf>
    <xf borderId="7" fillId="0" fontId="15" numFmtId="0" xfId="0" applyAlignment="1" applyBorder="1" applyFont="1">
      <alignment horizontal="left" shrinkToFit="0" vertical="top" wrapText="1"/>
    </xf>
    <xf borderId="16" fillId="0" fontId="7" numFmtId="0" xfId="0" applyAlignment="1" applyBorder="1" applyFont="1">
      <alignment horizontal="center" vertical="center"/>
    </xf>
    <xf borderId="1" fillId="0" fontId="7" numFmtId="14" xfId="0" applyAlignment="1" applyBorder="1" applyFont="1" applyNumberFormat="1">
      <alignment horizontal="left" shrinkToFit="0" vertical="top" wrapText="1"/>
    </xf>
    <xf borderId="17" fillId="0" fontId="82" numFmtId="0" xfId="0" applyBorder="1" applyFont="1"/>
    <xf borderId="1" fillId="4" fontId="7" numFmtId="0" xfId="0" applyAlignment="1" applyBorder="1" applyFont="1">
      <alignment horizontal="center" vertical="center"/>
    </xf>
    <xf borderId="12" fillId="4" fontId="7" numFmtId="0" xfId="0" applyAlignment="1" applyBorder="1" applyFont="1">
      <alignment horizontal="center" shrinkToFit="0" vertical="center" wrapText="1"/>
    </xf>
    <xf borderId="18" fillId="0" fontId="7" numFmtId="0" xfId="0" applyAlignment="1" applyBorder="1" applyFont="1">
      <alignment vertical="center"/>
    </xf>
    <xf borderId="8" fillId="4" fontId="7" numFmtId="0" xfId="0" applyAlignment="1" applyBorder="1" applyFont="1">
      <alignment horizontal="center" vertical="center"/>
    </xf>
    <xf borderId="7" fillId="0" fontId="15" numFmtId="0" xfId="0" applyAlignment="1" applyBorder="1" applyFont="1">
      <alignment horizontal="left" shrinkToFit="0" vertical="center" wrapText="1"/>
    </xf>
    <xf borderId="1" fillId="4" fontId="41" numFmtId="0" xfId="0" applyAlignment="1" applyBorder="1" applyFont="1">
      <alignment horizontal="center" vertical="center"/>
    </xf>
    <xf borderId="7" fillId="0" fontId="41" numFmtId="0" xfId="0" applyAlignment="1" applyBorder="1" applyFont="1">
      <alignment shrinkToFit="0" vertical="center" wrapText="1"/>
    </xf>
    <xf borderId="1" fillId="0" fontId="28" numFmtId="0" xfId="0" applyAlignment="1" applyBorder="1" applyFont="1">
      <alignment horizontal="left" vertical="center"/>
    </xf>
    <xf borderId="12" fillId="4" fontId="41" numFmtId="0" xfId="0" applyAlignment="1" applyBorder="1" applyFont="1">
      <alignment horizontal="center" shrinkToFit="0" vertical="center" wrapText="1"/>
    </xf>
    <xf borderId="19" fillId="0" fontId="41" numFmtId="0" xfId="0" applyAlignment="1" applyBorder="1" applyFont="1">
      <alignment shrinkToFit="0" vertical="center" wrapText="1"/>
    </xf>
    <xf borderId="20" fillId="0" fontId="41" numFmtId="0" xfId="0" applyAlignment="1" applyBorder="1" applyFont="1">
      <alignment horizontal="left" shrinkToFit="0" vertical="center" wrapText="1"/>
    </xf>
    <xf borderId="20" fillId="0" fontId="28" numFmtId="0" xfId="0" applyAlignment="1" applyBorder="1" applyFont="1">
      <alignment horizontal="center" vertical="center"/>
    </xf>
    <xf borderId="20" fillId="0" fontId="28" numFmtId="14" xfId="0" applyAlignment="1" applyBorder="1" applyFont="1" applyNumberFormat="1">
      <alignment horizontal="center" vertical="center"/>
    </xf>
    <xf borderId="13" fillId="0" fontId="28" numFmtId="14" xfId="0" applyBorder="1" applyFont="1" applyNumberFormat="1"/>
    <xf borderId="13" fillId="0" fontId="28" numFmtId="1" xfId="0" applyAlignment="1" applyBorder="1" applyFont="1" applyNumberFormat="1">
      <alignment horizontal="center" shrinkToFit="0" vertical="center" wrapText="1"/>
    </xf>
    <xf borderId="20" fillId="0" fontId="28" numFmtId="0" xfId="0" applyAlignment="1" applyBorder="1" applyFont="1">
      <alignment horizontal="left" shrinkToFit="0" vertical="top" wrapText="1"/>
    </xf>
    <xf borderId="18" fillId="0" fontId="41" numFmtId="0" xfId="0" applyAlignment="1" applyBorder="1" applyFont="1">
      <alignment shrinkToFit="0" vertical="center" wrapText="1"/>
    </xf>
    <xf borderId="1" fillId="0" fontId="41" numFmtId="0" xfId="0" applyAlignment="1" applyBorder="1" applyFont="1">
      <alignment horizontal="left" shrinkToFit="0" vertical="center" wrapText="1"/>
    </xf>
    <xf borderId="1" fillId="0" fontId="28" numFmtId="14" xfId="0" applyBorder="1" applyFont="1" applyNumberFormat="1"/>
    <xf borderId="1" fillId="0" fontId="28" numFmtId="0" xfId="0" applyAlignment="1" applyBorder="1" applyFont="1">
      <alignment shrinkToFit="0" vertical="top" wrapText="1"/>
    </xf>
    <xf borderId="8" fillId="4" fontId="41" numFmtId="0" xfId="0" applyAlignment="1" applyBorder="1" applyFont="1">
      <alignment horizontal="center" shrinkToFit="0" vertical="center" wrapText="1"/>
    </xf>
    <xf borderId="1" fillId="0" fontId="28" numFmtId="0" xfId="0" applyAlignment="1" applyBorder="1" applyFont="1">
      <alignment horizontal="center" shrinkToFit="0" vertical="center" wrapText="1"/>
    </xf>
    <xf borderId="1" fillId="0" fontId="41" numFmtId="0" xfId="0" applyAlignment="1" applyBorder="1" applyFont="1">
      <alignment horizontal="left" shrinkToFit="0" vertical="top" wrapText="1"/>
    </xf>
    <xf borderId="1" fillId="0" fontId="41" numFmtId="0" xfId="0" applyAlignment="1" applyBorder="1" applyFont="1">
      <alignment horizontal="center" shrinkToFit="0" vertical="center" wrapText="1"/>
    </xf>
    <xf borderId="0" fillId="0" fontId="28" numFmtId="0" xfId="0" applyAlignment="1" applyFont="1">
      <alignment horizontal="left" vertical="center"/>
    </xf>
    <xf borderId="0" fillId="0" fontId="133" numFmtId="0" xfId="0" applyAlignment="1" applyFont="1">
      <alignment horizontal="left" vertical="center"/>
    </xf>
    <xf borderId="7" fillId="0" fontId="41" numFmtId="0" xfId="0" applyAlignment="1" applyBorder="1" applyFont="1">
      <alignment horizontal="center" shrinkToFit="0" vertical="center" wrapText="1"/>
    </xf>
    <xf borderId="7" fillId="0" fontId="41" numFmtId="0" xfId="0" applyAlignment="1" applyBorder="1" applyFont="1">
      <alignment horizontal="center" vertical="center"/>
    </xf>
    <xf borderId="8" fillId="4" fontId="41" numFmtId="0" xfId="0" applyAlignment="1" applyBorder="1" applyFont="1">
      <alignment horizontal="center" vertical="center"/>
    </xf>
    <xf borderId="20" fillId="0" fontId="82" numFmtId="0" xfId="0" applyBorder="1" applyFont="1"/>
    <xf borderId="7" fillId="0" fontId="28" numFmtId="0" xfId="0" applyAlignment="1" applyBorder="1" applyFont="1">
      <alignment horizontal="left" vertical="center"/>
    </xf>
    <xf borderId="7" fillId="0" fontId="28" numFmtId="0" xfId="0" applyAlignment="1" applyBorder="1" applyFont="1">
      <alignment horizontal="center" vertical="center"/>
    </xf>
    <xf borderId="7" fillId="0" fontId="28" numFmtId="14" xfId="0" applyAlignment="1" applyBorder="1" applyFont="1" applyNumberFormat="1">
      <alignment horizontal="center" vertical="center"/>
    </xf>
    <xf borderId="7" fillId="0" fontId="28" numFmtId="1" xfId="0" applyAlignment="1" applyBorder="1" applyFont="1" applyNumberFormat="1">
      <alignment horizontal="center" shrinkToFit="0" vertical="center" wrapText="1"/>
    </xf>
    <xf borderId="7" fillId="0" fontId="28" numFmtId="0" xfId="0" applyAlignment="1" applyBorder="1" applyFont="1">
      <alignment horizontal="left" shrinkToFit="0" vertical="top" wrapText="1"/>
    </xf>
    <xf borderId="20" fillId="0" fontId="41" numFmtId="0" xfId="0" applyAlignment="1" applyBorder="1" applyFont="1">
      <alignment horizontal="center" shrinkToFit="0" vertical="center" wrapText="1"/>
    </xf>
    <xf borderId="13" fillId="0" fontId="41" numFmtId="0" xfId="0" applyAlignment="1" applyBorder="1" applyFont="1">
      <alignment horizontal="left" shrinkToFit="0" vertical="center" wrapText="1"/>
    </xf>
    <xf borderId="13" fillId="0" fontId="28" numFmtId="0" xfId="0" applyAlignment="1" applyBorder="1" applyFont="1">
      <alignment horizontal="center" vertical="center"/>
    </xf>
    <xf borderId="13" fillId="0" fontId="28" numFmtId="14" xfId="0" applyAlignment="1" applyBorder="1" applyFont="1" applyNumberFormat="1">
      <alignment vertical="center"/>
    </xf>
    <xf borderId="13" fillId="0" fontId="28" numFmtId="0" xfId="0" applyAlignment="1" applyBorder="1" applyFont="1">
      <alignment shrinkToFit="0" vertical="top" wrapText="1"/>
    </xf>
    <xf borderId="11" fillId="4" fontId="41" numFmtId="0" xfId="0" applyAlignment="1" applyBorder="1" applyFont="1">
      <alignment horizontal="center" shrinkToFit="0" vertical="center" wrapText="1"/>
    </xf>
    <xf borderId="20" fillId="0" fontId="28" numFmtId="14" xfId="0" applyBorder="1" applyFont="1" applyNumberFormat="1"/>
    <xf borderId="20" fillId="0" fontId="28" numFmtId="0" xfId="0" applyAlignment="1" applyBorder="1" applyFont="1">
      <alignment shrinkToFit="0" vertical="top" wrapText="1"/>
    </xf>
    <xf borderId="1" fillId="4" fontId="41" numFmtId="0" xfId="0" applyAlignment="1" applyBorder="1" applyFont="1">
      <alignment horizontal="center" shrinkToFit="0" vertical="center" wrapText="1"/>
    </xf>
    <xf borderId="20" fillId="0" fontId="41" numFmtId="0" xfId="0" applyAlignment="1" applyBorder="1" applyFont="1">
      <alignment shrinkToFit="0" vertical="center" wrapText="1"/>
    </xf>
    <xf borderId="13" fillId="0" fontId="28" numFmtId="0" xfId="0" applyAlignment="1" applyBorder="1" applyFont="1">
      <alignment horizontal="center" shrinkToFit="0" vertical="center" wrapText="1"/>
    </xf>
    <xf borderId="13" fillId="0" fontId="41" numFmtId="0" xfId="0" applyAlignment="1" applyBorder="1" applyFont="1">
      <alignment shrinkToFit="0" wrapText="1"/>
    </xf>
    <xf borderId="13" fillId="0" fontId="28" numFmtId="0" xfId="0" applyBorder="1" applyFont="1"/>
    <xf borderId="13" fillId="0" fontId="28" numFmtId="0" xfId="0" applyAlignment="1" applyBorder="1" applyFont="1">
      <alignment horizontal="center" shrinkToFit="0" wrapText="1"/>
    </xf>
    <xf borderId="13" fillId="0" fontId="28" numFmtId="0" xfId="0" applyAlignment="1" applyBorder="1" applyFont="1">
      <alignment shrinkToFit="0" wrapText="1"/>
    </xf>
    <xf borderId="21" fillId="13" fontId="41" numFmtId="0" xfId="0" applyAlignment="1" applyBorder="1" applyFont="1">
      <alignment horizontal="center" shrinkToFit="0" vertical="center" wrapText="1"/>
    </xf>
    <xf borderId="8" fillId="13" fontId="41" numFmtId="0" xfId="0" applyAlignment="1" applyBorder="1" applyFont="1">
      <alignment shrinkToFit="0" vertical="center" wrapText="1"/>
    </xf>
    <xf borderId="1" fillId="13" fontId="28" numFmtId="0" xfId="0" applyAlignment="1" applyBorder="1" applyFont="1">
      <alignment horizontal="left" vertical="center"/>
    </xf>
    <xf borderId="1" fillId="13" fontId="28" numFmtId="0" xfId="0" applyAlignment="1" applyBorder="1" applyFont="1">
      <alignment horizontal="center" vertical="center"/>
    </xf>
    <xf borderId="1" fillId="13" fontId="28" numFmtId="0" xfId="0" applyAlignment="1" applyBorder="1" applyFont="1">
      <alignment horizontal="left" shrinkToFit="0" vertical="top" wrapText="1"/>
    </xf>
    <xf borderId="1" fillId="13" fontId="41" numFmtId="0" xfId="0" applyAlignment="1" applyBorder="1" applyFont="1">
      <alignment horizontal="left" shrinkToFit="0" vertical="center" wrapText="1"/>
    </xf>
    <xf borderId="16" fillId="0" fontId="41" numFmtId="0" xfId="0" applyAlignment="1" applyBorder="1" applyFont="1">
      <alignment shrinkToFit="0" vertical="center" wrapText="1"/>
    </xf>
    <xf borderId="1" fillId="0" fontId="28" numFmtId="0" xfId="0" applyAlignment="1" applyBorder="1" applyFont="1">
      <alignment shrinkToFit="0" wrapText="1"/>
    </xf>
    <xf borderId="1" fillId="0" fontId="28" numFmtId="0" xfId="0" applyBorder="1" applyFont="1"/>
    <xf borderId="0" fillId="0" fontId="28" numFmtId="0" xfId="0" applyAlignment="1" applyFont="1">
      <alignment horizontal="left"/>
    </xf>
    <xf borderId="7" fillId="0" fontId="28" numFmtId="0" xfId="0" applyAlignment="1" applyBorder="1" applyFont="1">
      <alignment shrinkToFit="0" wrapText="1"/>
    </xf>
    <xf borderId="20" fillId="0" fontId="28" numFmtId="0" xfId="0" applyAlignment="1" applyBorder="1" applyFont="1">
      <alignment shrinkToFit="0" wrapText="1"/>
    </xf>
    <xf borderId="22" fillId="0" fontId="28" numFmtId="0" xfId="0" applyAlignment="1" applyBorder="1" applyFont="1">
      <alignment horizontal="center" vertical="center"/>
    </xf>
    <xf borderId="13" fillId="0" fontId="28" numFmtId="0" xfId="0" applyAlignment="1" applyBorder="1" applyFont="1">
      <alignment horizontal="left" vertical="center"/>
    </xf>
    <xf borderId="12" fillId="13" fontId="28" numFmtId="0" xfId="0" applyAlignment="1" applyBorder="1" applyFont="1">
      <alignment horizontal="center" vertical="center"/>
    </xf>
    <xf borderId="23" fillId="13" fontId="28" numFmtId="14" xfId="0" applyAlignment="1" applyBorder="1" applyFont="1" applyNumberFormat="1">
      <alignment horizontal="center" vertical="center"/>
    </xf>
    <xf borderId="12" fillId="13" fontId="28" numFmtId="14" xfId="0" applyAlignment="1" applyBorder="1" applyFont="1" applyNumberFormat="1">
      <alignment horizontal="center" vertical="center"/>
    </xf>
    <xf borderId="12" fillId="13" fontId="28" numFmtId="0" xfId="0" applyAlignment="1" applyBorder="1" applyFont="1">
      <alignment horizontal="left" shrinkToFit="0" vertical="top" wrapText="1"/>
    </xf>
    <xf borderId="24" fillId="0" fontId="28" numFmtId="14" xfId="0" applyAlignment="1" applyBorder="1" applyFont="1" applyNumberFormat="1">
      <alignment horizontal="center" vertical="center"/>
    </xf>
    <xf borderId="13" fillId="0" fontId="28" numFmtId="14" xfId="0" applyAlignment="1" applyBorder="1" applyFont="1" applyNumberFormat="1">
      <alignment horizontal="center" vertical="center"/>
    </xf>
    <xf borderId="13" fillId="0" fontId="28" numFmtId="0" xfId="0" applyAlignment="1" applyBorder="1" applyFont="1">
      <alignment horizontal="left" shrinkToFit="0" vertical="top" wrapText="1"/>
    </xf>
    <xf borderId="1" fillId="0" fontId="28" numFmtId="14" xfId="0" applyAlignment="1" applyBorder="1" applyFont="1" applyNumberFormat="1">
      <alignment vertical="center"/>
    </xf>
    <xf borderId="18" fillId="0" fontId="28" numFmtId="0" xfId="0" applyAlignment="1" applyBorder="1" applyFont="1">
      <alignment shrinkToFit="0" wrapText="1"/>
    </xf>
    <xf borderId="22" fillId="0" fontId="28" numFmtId="0" xfId="0" applyAlignment="1" applyBorder="1" applyFont="1">
      <alignment shrinkToFit="0" vertical="center" wrapText="1"/>
    </xf>
    <xf borderId="20" fillId="0" fontId="134" numFmtId="0" xfId="0" applyAlignment="1" applyBorder="1" applyFont="1">
      <alignment horizontal="left" vertical="center"/>
    </xf>
    <xf borderId="20" fillId="0" fontId="28" numFmtId="1" xfId="0" applyAlignment="1" applyBorder="1" applyFont="1" applyNumberFormat="1">
      <alignment horizontal="center" shrinkToFit="0" vertical="center" wrapText="1"/>
    </xf>
    <xf borderId="20" fillId="0" fontId="41" numFmtId="0" xfId="0" applyAlignment="1" applyBorder="1" applyFont="1">
      <alignment horizontal="left" shrinkToFit="0" vertical="top" wrapText="1"/>
    </xf>
    <xf borderId="21" fillId="13" fontId="41" numFmtId="14" xfId="0" applyAlignment="1" applyBorder="1" applyFont="1" applyNumberFormat="1">
      <alignment horizontal="center" shrinkToFit="0" vertical="center" wrapText="1"/>
    </xf>
    <xf borderId="21" fillId="13" fontId="41" numFmtId="0" xfId="0" applyAlignment="1" applyBorder="1" applyFont="1">
      <alignment horizontal="left" shrinkToFit="0" vertical="center" wrapText="1"/>
    </xf>
    <xf borderId="18" fillId="0" fontId="41" numFmtId="0" xfId="0" applyAlignment="1" applyBorder="1" applyFont="1">
      <alignment horizontal="center" shrinkToFit="0" vertical="center" wrapText="1"/>
    </xf>
    <xf borderId="8" fillId="13" fontId="28" numFmtId="0" xfId="0" applyAlignment="1" applyBorder="1" applyFont="1">
      <alignment shrinkToFit="0" vertical="center" wrapText="1"/>
    </xf>
    <xf borderId="11" fillId="13" fontId="41" numFmtId="0" xfId="0" applyAlignment="1" applyBorder="1" applyFont="1">
      <alignment shrinkToFit="0" wrapText="1"/>
    </xf>
    <xf borderId="8" fillId="13" fontId="28" numFmtId="0" xfId="0" applyAlignment="1" applyBorder="1" applyFont="1">
      <alignment shrinkToFit="0" wrapText="1"/>
    </xf>
    <xf borderId="8" fillId="13" fontId="28" numFmtId="0" xfId="0" applyAlignment="1" applyBorder="1" applyFont="1">
      <alignment horizontal="center" shrinkToFit="0" vertical="center" wrapText="1"/>
    </xf>
    <xf borderId="8" fillId="13" fontId="28" numFmtId="14" xfId="0" applyAlignment="1" applyBorder="1" applyFont="1" applyNumberFormat="1">
      <alignment vertical="center"/>
    </xf>
    <xf borderId="11" fillId="13" fontId="28" numFmtId="0" xfId="0" applyAlignment="1" applyBorder="1" applyFont="1">
      <alignment vertical="center"/>
    </xf>
    <xf borderId="11" fillId="13" fontId="28" numFmtId="14" xfId="0" applyAlignment="1" applyBorder="1" applyFont="1" applyNumberFormat="1">
      <alignment horizontal="center" vertical="center"/>
    </xf>
    <xf borderId="11" fillId="13" fontId="28" numFmtId="1" xfId="0" applyAlignment="1" applyBorder="1" applyFont="1" applyNumberFormat="1">
      <alignment horizontal="center" shrinkToFit="0" vertical="center" wrapText="1"/>
    </xf>
    <xf borderId="11" fillId="13" fontId="28" numFmtId="14" xfId="0" applyAlignment="1" applyBorder="1" applyFont="1" applyNumberFormat="1">
      <alignment vertical="center"/>
    </xf>
    <xf borderId="11" fillId="13" fontId="28" numFmtId="0" xfId="0" applyAlignment="1" applyBorder="1" applyFont="1">
      <alignment shrinkToFit="0" vertical="center" wrapText="1"/>
    </xf>
    <xf borderId="20" fillId="0" fontId="28" numFmtId="0" xfId="0" applyAlignment="1" applyBorder="1" applyFont="1">
      <alignment horizontal="left" shrinkToFit="0" vertical="center" wrapText="1"/>
    </xf>
    <xf borderId="15" fillId="0" fontId="28" numFmtId="14" xfId="0" applyAlignment="1" applyBorder="1" applyFont="1" applyNumberFormat="1">
      <alignment horizontal="center" vertical="center"/>
    </xf>
    <xf borderId="1" fillId="0" fontId="28" numFmtId="0" xfId="0" applyAlignment="1" applyBorder="1" applyFont="1">
      <alignment horizontal="center" shrinkToFit="0" vertical="top" wrapText="1"/>
    </xf>
    <xf borderId="7" fillId="0" fontId="41" numFmtId="0" xfId="0" applyAlignment="1" applyBorder="1" applyFont="1">
      <alignment horizontal="left" vertical="center"/>
    </xf>
    <xf borderId="1" fillId="13" fontId="28" numFmtId="0" xfId="0" applyAlignment="1" applyBorder="1" applyFont="1">
      <alignment vertical="center"/>
    </xf>
    <xf borderId="13" fillId="0" fontId="28" numFmtId="0" xfId="0" applyAlignment="1" applyBorder="1" applyFont="1">
      <alignment horizontal="left" shrinkToFit="0" vertical="center" wrapText="1"/>
    </xf>
    <xf borderId="22" fillId="0" fontId="28" numFmtId="0" xfId="0" applyAlignment="1" applyBorder="1" applyFont="1">
      <alignment horizontal="left" shrinkToFit="0" vertical="center" wrapText="1"/>
    </xf>
    <xf borderId="2" fillId="0" fontId="28" numFmtId="14" xfId="0" applyAlignment="1" applyBorder="1" applyFont="1" applyNumberFormat="1">
      <alignment horizontal="center" vertical="center"/>
    </xf>
    <xf borderId="8" fillId="4" fontId="28" numFmtId="0" xfId="0" applyAlignment="1" applyBorder="1" applyFont="1">
      <alignment shrinkToFit="0" wrapText="1"/>
    </xf>
    <xf borderId="14" fillId="0" fontId="28" numFmtId="0" xfId="0" applyAlignment="1" applyBorder="1" applyFont="1">
      <alignment horizontal="center" vertical="center"/>
    </xf>
    <xf borderId="14" fillId="0" fontId="28" numFmtId="14" xfId="0" applyAlignment="1" applyBorder="1" applyFont="1" applyNumberFormat="1">
      <alignment horizontal="center" vertical="center"/>
    </xf>
    <xf borderId="1" fillId="4" fontId="28" numFmtId="0" xfId="0" applyAlignment="1" applyBorder="1" applyFont="1">
      <alignment horizontal="left" shrinkToFit="0" vertical="center" wrapText="1"/>
    </xf>
    <xf borderId="1" fillId="0" fontId="41" numFmtId="0" xfId="0" applyAlignment="1" applyBorder="1" applyFont="1">
      <alignment vertical="center"/>
    </xf>
    <xf borderId="7" fillId="0" fontId="41" numFmtId="14" xfId="0" applyAlignment="1" applyBorder="1" applyFont="1" applyNumberFormat="1">
      <alignment horizontal="center" vertical="center"/>
    </xf>
    <xf borderId="7" fillId="0" fontId="41" numFmtId="14" xfId="0" applyAlignment="1" applyBorder="1" applyFont="1" applyNumberFormat="1">
      <alignment horizontal="center" shrinkToFit="0" vertical="center" wrapText="1"/>
    </xf>
    <xf borderId="7" fillId="0" fontId="41" numFmtId="0" xfId="0" applyAlignment="1" applyBorder="1" applyFont="1">
      <alignment horizontal="center" shrinkToFit="0" vertical="top" wrapText="1"/>
    </xf>
    <xf borderId="8" fillId="13" fontId="41" numFmtId="0" xfId="0" applyAlignment="1" applyBorder="1" applyFont="1">
      <alignment horizontal="center" vertical="center"/>
    </xf>
    <xf borderId="8" fillId="13" fontId="41" numFmtId="0" xfId="0" applyAlignment="1" applyBorder="1" applyFont="1">
      <alignment horizontal="left" shrinkToFit="0" vertical="center" wrapText="1"/>
    </xf>
    <xf borderId="11" fillId="13" fontId="28" numFmtId="0" xfId="0" applyAlignment="1" applyBorder="1" applyFont="1">
      <alignment horizontal="left" vertical="center"/>
    </xf>
    <xf borderId="8" fillId="13" fontId="28" numFmtId="14" xfId="0" applyAlignment="1" applyBorder="1" applyFont="1" applyNumberFormat="1">
      <alignment horizontal="center" vertical="center"/>
    </xf>
    <xf borderId="8" fillId="13" fontId="28" numFmtId="1" xfId="0" applyAlignment="1" applyBorder="1" applyFont="1" applyNumberFormat="1">
      <alignment horizontal="center" shrinkToFit="0" vertical="center" wrapText="1"/>
    </xf>
    <xf borderId="8" fillId="13" fontId="28" numFmtId="0" xfId="0" applyAlignment="1" applyBorder="1" applyFont="1">
      <alignment horizontal="left" shrinkToFit="0" vertical="top" wrapText="1"/>
    </xf>
    <xf borderId="1" fillId="13" fontId="41" numFmtId="0" xfId="0" applyAlignment="1" applyBorder="1" applyFont="1">
      <alignment horizontal="left" shrinkToFit="0" vertical="top" wrapText="1"/>
    </xf>
    <xf borderId="8" fillId="13" fontId="28" numFmtId="0" xfId="0" applyAlignment="1" applyBorder="1" applyFont="1">
      <alignment horizontal="center" vertical="center"/>
    </xf>
    <xf borderId="8" fillId="13" fontId="41" numFmtId="14" xfId="0" applyAlignment="1" applyBorder="1" applyFont="1" applyNumberFormat="1">
      <alignment horizontal="center" vertical="center"/>
    </xf>
    <xf borderId="8" fillId="13" fontId="41" numFmtId="0" xfId="0" applyAlignment="1" applyBorder="1" applyFont="1">
      <alignment horizontal="left" shrinkToFit="0" vertical="top" wrapText="1"/>
    </xf>
    <xf borderId="1" fillId="0" fontId="28" numFmtId="14" xfId="0" applyAlignment="1" applyBorder="1" applyFont="1" applyNumberFormat="1">
      <alignment horizontal="center"/>
    </xf>
    <xf borderId="1" fillId="0" fontId="82" numFmtId="0" xfId="0" applyBorder="1" applyFont="1"/>
    <xf borderId="1" fillId="0" fontId="82" numFmtId="14" xfId="0" applyBorder="1" applyFont="1" applyNumberFormat="1"/>
    <xf borderId="1" fillId="14" fontId="41" numFmtId="0" xfId="0" applyAlignment="1" applyBorder="1" applyFont="1">
      <alignment horizontal="left" shrinkToFit="0" vertical="center" wrapText="1"/>
    </xf>
    <xf borderId="1" fillId="14" fontId="41" numFmtId="0" xfId="0" applyAlignment="1" applyBorder="1" applyFont="1">
      <alignment horizontal="center" shrinkToFit="0" vertical="center" wrapText="1"/>
    </xf>
    <xf borderId="1" fillId="14" fontId="41" numFmtId="14" xfId="0" applyAlignment="1" applyBorder="1" applyFont="1" applyNumberFormat="1">
      <alignment horizontal="center" vertical="center"/>
    </xf>
    <xf borderId="1" fillId="14" fontId="41" numFmtId="0" xfId="0" applyAlignment="1" applyBorder="1" applyFont="1">
      <alignment horizontal="left" shrinkToFit="0" vertical="top" wrapText="1"/>
    </xf>
    <xf borderId="10" fillId="14" fontId="28" numFmtId="0" xfId="0" applyAlignment="1" applyBorder="1" applyFont="1">
      <alignment horizontal="left" vertical="center"/>
    </xf>
    <xf borderId="10" fillId="14" fontId="28" numFmtId="0" xfId="0" applyAlignment="1" applyBorder="1" applyFont="1">
      <alignment horizontal="center" vertical="center"/>
    </xf>
    <xf borderId="10" fillId="14" fontId="82" numFmtId="0" xfId="0" applyBorder="1" applyFont="1"/>
    <xf borderId="1" fillId="3" fontId="41" numFmtId="0" xfId="0" applyAlignment="1" applyBorder="1" applyFont="1">
      <alignment horizontal="center" vertical="center"/>
    </xf>
    <xf borderId="1" fillId="0" fontId="28" numFmtId="14" xfId="0" applyAlignment="1" applyBorder="1" applyFont="1" applyNumberFormat="1">
      <alignment horizontal="center" shrinkToFit="0" vertical="center" wrapText="1"/>
    </xf>
    <xf borderId="1" fillId="3" fontId="28" numFmtId="1" xfId="0" applyAlignment="1" applyBorder="1" applyFont="1" applyNumberFormat="1">
      <alignment horizontal="center" shrinkToFit="0" vertical="center" wrapText="1"/>
    </xf>
    <xf borderId="1" fillId="0" fontId="41" numFmtId="14" xfId="0" applyAlignment="1" applyBorder="1" applyFont="1" applyNumberFormat="1">
      <alignment horizontal="center" vertical="center"/>
    </xf>
    <xf borderId="8" fillId="3" fontId="41" numFmtId="0" xfId="0" applyAlignment="1" applyBorder="1" applyFont="1">
      <alignment shrinkToFit="0" vertical="center" wrapText="1"/>
    </xf>
    <xf borderId="1" fillId="3" fontId="41" numFmtId="0" xfId="0" applyAlignment="1" applyBorder="1" applyFont="1">
      <alignment horizontal="center" shrinkToFit="0" vertical="center" wrapText="1"/>
    </xf>
    <xf borderId="1" fillId="3" fontId="28" numFmtId="0" xfId="0" applyAlignment="1" applyBorder="1" applyFont="1">
      <alignment horizontal="center" vertical="center"/>
    </xf>
    <xf borderId="1" fillId="3" fontId="28" numFmtId="14" xfId="0" applyAlignment="1" applyBorder="1" applyFont="1" applyNumberFormat="1">
      <alignment horizontal="center" vertical="center"/>
    </xf>
    <xf borderId="1" fillId="3" fontId="28" numFmtId="14" xfId="0" applyAlignment="1" applyBorder="1" applyFont="1" applyNumberFormat="1">
      <alignment horizontal="center" shrinkToFit="0" vertical="center" wrapText="1"/>
    </xf>
    <xf borderId="1" fillId="3" fontId="41" numFmtId="14" xfId="0" applyAlignment="1" applyBorder="1" applyFont="1" applyNumberFormat="1">
      <alignment horizontal="center" vertical="center"/>
    </xf>
    <xf borderId="1" fillId="3" fontId="41" numFmtId="0" xfId="0" applyAlignment="1" applyBorder="1" applyFont="1">
      <alignment horizontal="left" shrinkToFit="0" vertical="top" wrapText="1"/>
    </xf>
    <xf borderId="8" fillId="13" fontId="28" numFmtId="0" xfId="0" applyAlignment="1" applyBorder="1" applyFont="1">
      <alignment horizontal="left" vertical="center"/>
    </xf>
    <xf borderId="1" fillId="3" fontId="41" numFmtId="0" xfId="0" applyAlignment="1" applyBorder="1" applyFont="1">
      <alignment shrinkToFit="0" vertical="center" wrapText="1"/>
    </xf>
    <xf borderId="1" fillId="3" fontId="28" numFmtId="0" xfId="0" applyAlignment="1" applyBorder="1" applyFont="1">
      <alignment horizontal="center" shrinkToFit="0" vertical="center" wrapText="1"/>
    </xf>
    <xf borderId="9" fillId="3" fontId="41" numFmtId="14" xfId="0" applyAlignment="1" applyBorder="1" applyFont="1" applyNumberFormat="1">
      <alignment horizontal="center" vertical="center"/>
    </xf>
    <xf borderId="18" fillId="0" fontId="41" numFmtId="0" xfId="0" applyAlignment="1" applyBorder="1" applyFont="1">
      <alignment vertical="center"/>
    </xf>
    <xf borderId="25" fillId="13" fontId="28" numFmtId="0" xfId="0" applyAlignment="1" applyBorder="1" applyFont="1">
      <alignment horizontal="center" vertical="center"/>
    </xf>
    <xf borderId="8" fillId="3" fontId="41" numFmtId="0" xfId="0" applyAlignment="1" applyBorder="1" applyFont="1">
      <alignment horizontal="center" vertical="center"/>
    </xf>
    <xf borderId="8" fillId="3" fontId="41" numFmtId="0" xfId="0" applyAlignment="1" applyBorder="1" applyFont="1">
      <alignment horizontal="center" shrinkToFit="0" vertical="center" wrapText="1"/>
    </xf>
    <xf borderId="8" fillId="3" fontId="28" numFmtId="0" xfId="0" applyAlignment="1" applyBorder="1" applyFont="1">
      <alignment horizontal="center" shrinkToFit="0" vertical="center" wrapText="1"/>
    </xf>
    <xf borderId="8" fillId="3" fontId="28" numFmtId="14" xfId="0" applyAlignment="1" applyBorder="1" applyFont="1" applyNumberFormat="1">
      <alignment horizontal="center" vertical="center"/>
    </xf>
    <xf borderId="1" fillId="13" fontId="41" numFmtId="0" xfId="0" applyAlignment="1" applyBorder="1" applyFont="1">
      <alignment horizontal="left" vertical="center"/>
    </xf>
    <xf borderId="9" fillId="13" fontId="28" numFmtId="14" xfId="0" applyAlignment="1" applyBorder="1" applyFont="1" applyNumberFormat="1">
      <alignment horizontal="center" vertical="center"/>
    </xf>
    <xf borderId="1" fillId="13" fontId="28" numFmtId="14" xfId="0" applyAlignment="1" applyBorder="1" applyFont="1" applyNumberFormat="1">
      <alignment horizontal="left" shrinkToFit="0" vertical="top" wrapText="1"/>
    </xf>
    <xf borderId="13" fillId="0" fontId="41" numFmtId="0" xfId="0" applyAlignment="1" applyBorder="1" applyFont="1">
      <alignment horizontal="center" shrinkToFit="0" vertical="center" wrapText="1"/>
    </xf>
    <xf borderId="1" fillId="4" fontId="82" numFmtId="0" xfId="0" applyAlignment="1" applyBorder="1" applyFont="1">
      <alignment shrinkToFit="0" wrapText="1"/>
    </xf>
    <xf borderId="1" fillId="0" fontId="82" numFmtId="14" xfId="0" applyAlignment="1" applyBorder="1" applyFont="1" applyNumberFormat="1">
      <alignment horizontal="center"/>
    </xf>
    <xf borderId="1" fillId="0" fontId="82" numFmtId="0" xfId="0" applyAlignment="1" applyBorder="1" applyFont="1">
      <alignment shrinkToFit="0" vertical="top" wrapText="1"/>
    </xf>
    <xf borderId="25" fillId="13" fontId="41" numFmtId="0" xfId="0" applyAlignment="1" applyBorder="1" applyFont="1">
      <alignment horizontal="center" shrinkToFit="0" vertical="center" wrapText="1"/>
    </xf>
    <xf borderId="8" fillId="13" fontId="41" numFmtId="14" xfId="0" applyAlignment="1" applyBorder="1" applyFont="1" applyNumberFormat="1">
      <alignment horizontal="left" shrinkToFit="0" vertical="top" wrapText="1"/>
    </xf>
    <xf borderId="25" fillId="13" fontId="41" numFmtId="0" xfId="0" applyAlignment="1" applyBorder="1" applyFont="1">
      <alignment horizontal="center" vertical="center"/>
    </xf>
    <xf borderId="26" fillId="13" fontId="41" numFmtId="0" xfId="0" applyAlignment="1" applyBorder="1" applyFont="1">
      <alignment horizontal="left" shrinkToFit="0" vertical="center" wrapText="1"/>
    </xf>
    <xf borderId="12" fillId="13" fontId="28" numFmtId="1" xfId="0" applyAlignment="1" applyBorder="1" applyFont="1" applyNumberFormat="1">
      <alignment horizontal="center" shrinkToFit="0" vertical="center" wrapText="1"/>
    </xf>
    <xf borderId="12" fillId="13" fontId="28" numFmtId="14" xfId="0" applyAlignment="1" applyBorder="1" applyFont="1" applyNumberFormat="1">
      <alignment horizontal="left" shrinkToFit="0" vertical="top" wrapText="1"/>
    </xf>
    <xf borderId="1" fillId="4" fontId="41" numFmtId="0" xfId="0" applyAlignment="1" applyBorder="1" applyFont="1">
      <alignment vertical="center"/>
    </xf>
    <xf borderId="10" fillId="3" fontId="28" numFmtId="0" xfId="0" applyAlignment="1" applyBorder="1" applyFont="1">
      <alignment horizontal="center" vertical="center"/>
    </xf>
    <xf borderId="10" fillId="3" fontId="82" numFmtId="0" xfId="0" applyBorder="1" applyFont="1"/>
    <xf borderId="8" fillId="4" fontId="41" numFmtId="0" xfId="0" applyAlignment="1" applyBorder="1" applyFont="1">
      <alignment horizontal="left" vertical="center"/>
    </xf>
    <xf borderId="8" fillId="13" fontId="28" numFmtId="0" xfId="0" applyAlignment="1" applyBorder="1" applyFont="1">
      <alignment horizontal="left" shrinkToFit="0" vertical="center" wrapText="1"/>
    </xf>
    <xf borderId="25" fillId="13" fontId="28" numFmtId="14" xfId="0" applyAlignment="1" applyBorder="1" applyFont="1" applyNumberFormat="1">
      <alignment horizontal="center" vertical="center"/>
    </xf>
    <xf borderId="8" fillId="4" fontId="28" numFmtId="0" xfId="0" applyAlignment="1" applyBorder="1" applyFont="1">
      <alignment shrinkToFit="0" vertical="center" wrapText="1"/>
    </xf>
    <xf borderId="8" fillId="4" fontId="28" numFmtId="0" xfId="0" applyAlignment="1" applyBorder="1" applyFont="1">
      <alignment shrinkToFit="0" vertical="top" wrapText="1"/>
    </xf>
    <xf borderId="7" fillId="0" fontId="28" numFmtId="0" xfId="0" applyAlignment="1" applyBorder="1" applyFont="1">
      <alignment shrinkToFit="0" vertical="center" wrapText="1"/>
    </xf>
    <xf borderId="27" fillId="13" fontId="41" numFmtId="0" xfId="0" applyAlignment="1" applyBorder="1" applyFont="1">
      <alignment horizontal="center" shrinkToFit="0" vertical="center" wrapText="1"/>
    </xf>
    <xf borderId="12" fillId="13" fontId="28" numFmtId="0" xfId="0" applyAlignment="1" applyBorder="1" applyFont="1">
      <alignment horizontal="left" shrinkToFit="0" vertical="center" wrapText="1"/>
    </xf>
    <xf borderId="12" fillId="13" fontId="41" numFmtId="0" xfId="0" applyAlignment="1" applyBorder="1" applyFont="1">
      <alignment horizontal="center" vertical="center"/>
    </xf>
    <xf borderId="21" fillId="13" fontId="28" numFmtId="0" xfId="0" applyAlignment="1" applyBorder="1" applyFont="1">
      <alignment horizontal="center" shrinkToFit="0" vertical="center" wrapText="1"/>
    </xf>
    <xf borderId="7" fillId="0" fontId="28" numFmtId="0" xfId="0" applyAlignment="1" applyBorder="1" applyFont="1">
      <alignment shrinkToFit="0" vertical="top" wrapText="1"/>
    </xf>
    <xf borderId="1" fillId="0" fontId="41" numFmtId="14" xfId="0" applyAlignment="1" applyBorder="1" applyFont="1" applyNumberFormat="1">
      <alignment horizontal="left" shrinkToFit="0" vertical="top" wrapText="1"/>
    </xf>
    <xf borderId="1" fillId="13" fontId="135" numFmtId="0" xfId="0" applyAlignment="1" applyBorder="1" applyFont="1">
      <alignment vertical="center"/>
    </xf>
    <xf borderId="1" fillId="13" fontId="82" numFmtId="0" xfId="0" applyAlignment="1" applyBorder="1" applyFont="1">
      <alignment vertical="center"/>
    </xf>
    <xf borderId="1" fillId="13" fontId="82" numFmtId="0" xfId="0" applyAlignment="1" applyBorder="1" applyFont="1">
      <alignment horizontal="center" vertical="center"/>
    </xf>
    <xf borderId="1" fillId="13" fontId="82" numFmtId="14" xfId="0" applyAlignment="1" applyBorder="1" applyFont="1" applyNumberFormat="1">
      <alignment vertical="center"/>
    </xf>
    <xf borderId="1" fillId="13" fontId="82" numFmtId="0" xfId="0" applyAlignment="1" applyBorder="1" applyFont="1">
      <alignment shrinkToFit="0" vertical="center" wrapText="1"/>
    </xf>
    <xf borderId="1" fillId="13" fontId="41" numFmtId="0" xfId="0" applyAlignment="1" applyBorder="1" applyFont="1">
      <alignment shrinkToFit="0" vertical="top" wrapText="1"/>
    </xf>
    <xf borderId="2" fillId="0" fontId="15" numFmtId="0" xfId="0" applyAlignment="1" applyBorder="1" applyFont="1">
      <alignment shrinkToFit="0" vertical="top" wrapText="1"/>
    </xf>
    <xf borderId="1" fillId="13" fontId="41" numFmtId="0" xfId="0" applyAlignment="1" applyBorder="1" applyFont="1">
      <alignment vertical="center"/>
    </xf>
    <xf borderId="8" fillId="13" fontId="28" numFmtId="0" xfId="0" applyAlignment="1" applyBorder="1" applyFont="1">
      <alignment vertical="center"/>
    </xf>
    <xf borderId="8" fillId="13" fontId="28" numFmtId="0" xfId="0" applyAlignment="1" applyBorder="1" applyFont="1">
      <alignment shrinkToFit="0" vertical="top" wrapText="1"/>
    </xf>
    <xf borderId="10" fillId="13" fontId="28" numFmtId="14" xfId="0" applyAlignment="1" applyBorder="1" applyFont="1" applyNumberFormat="1">
      <alignment horizontal="center" vertical="center"/>
    </xf>
    <xf borderId="1" fillId="13" fontId="28" numFmtId="0" xfId="0" applyAlignment="1" applyBorder="1" applyFont="1">
      <alignment shrinkToFit="0" vertical="top" wrapText="1"/>
    </xf>
    <xf borderId="1" fillId="13" fontId="28" numFmtId="14" xfId="0" applyAlignment="1" applyBorder="1" applyFont="1" applyNumberFormat="1">
      <alignment shrinkToFit="0" vertical="top" wrapText="1"/>
    </xf>
    <xf borderId="28" fillId="13" fontId="28" numFmtId="0" xfId="0" applyAlignment="1" applyBorder="1" applyFont="1">
      <alignment horizontal="center" shrinkToFit="0" vertical="center" wrapText="1"/>
    </xf>
    <xf borderId="12" fillId="4" fontId="28" numFmtId="0" xfId="0" applyAlignment="1" applyBorder="1" applyFont="1">
      <alignment horizontal="left" vertical="center"/>
    </xf>
    <xf borderId="8" fillId="4" fontId="28" numFmtId="0" xfId="0" applyAlignment="1" applyBorder="1" applyFont="1">
      <alignment horizontal="left" vertical="center"/>
    </xf>
    <xf borderId="1" fillId="0" fontId="28" numFmtId="14" xfId="0" applyAlignment="1" applyBorder="1" applyFont="1" applyNumberFormat="1">
      <alignment shrinkToFit="0" vertical="center" wrapText="1"/>
    </xf>
    <xf borderId="1" fillId="4" fontId="28" numFmtId="0" xfId="0" applyAlignment="1" applyBorder="1" applyFont="1">
      <alignment vertical="center"/>
    </xf>
    <xf borderId="0" fillId="0" fontId="82" numFmtId="0" xfId="0" applyAlignment="1" applyFont="1">
      <alignment shrinkToFit="0" wrapText="1"/>
    </xf>
    <xf borderId="1" fillId="0" fontId="82" numFmtId="0" xfId="0" applyAlignment="1" applyBorder="1" applyFont="1">
      <alignment horizontal="left" shrinkToFit="0" vertical="center" wrapText="1"/>
    </xf>
    <xf borderId="1" fillId="0" fontId="136" numFmtId="0" xfId="0" applyAlignment="1" applyBorder="1" applyFont="1">
      <alignment horizontal="left" shrinkToFit="0" vertical="center" wrapText="1"/>
    </xf>
    <xf borderId="10" fillId="4" fontId="41" numFmtId="0" xfId="0" applyAlignment="1" applyBorder="1" applyFont="1">
      <alignment horizontal="left" shrinkToFit="0" vertical="center" wrapText="1"/>
    </xf>
    <xf borderId="1" fillId="13" fontId="28" numFmtId="14" xfId="0" applyAlignment="1" applyBorder="1" applyFont="1" applyNumberFormat="1">
      <alignment horizontal="left" shrinkToFit="0" vertical="center" wrapText="1"/>
    </xf>
    <xf borderId="1" fillId="13" fontId="28" numFmtId="14" xfId="0" applyBorder="1" applyFont="1" applyNumberFormat="1"/>
    <xf borderId="12" fillId="14" fontId="41" numFmtId="0" xfId="0" applyAlignment="1" applyBorder="1" applyFont="1">
      <alignment horizontal="center" vertical="center"/>
    </xf>
    <xf borderId="12" fillId="4" fontId="41" numFmtId="0" xfId="0" applyAlignment="1" applyBorder="1" applyFont="1">
      <alignment horizontal="left" shrinkToFit="0" vertical="center" wrapText="1"/>
    </xf>
    <xf borderId="12" fillId="14" fontId="28" numFmtId="0" xfId="0" applyAlignment="1" applyBorder="1" applyFont="1">
      <alignment horizontal="left" vertical="center"/>
    </xf>
    <xf borderId="12" fillId="14" fontId="28" numFmtId="0" xfId="0" applyAlignment="1" applyBorder="1" applyFont="1">
      <alignment horizontal="center" vertical="center"/>
    </xf>
    <xf borderId="12" fillId="14" fontId="28" numFmtId="14" xfId="0" applyAlignment="1" applyBorder="1" applyFont="1" applyNumberFormat="1">
      <alignment horizontal="center" vertical="center"/>
    </xf>
    <xf borderId="12" fillId="14" fontId="28" numFmtId="1" xfId="0" applyAlignment="1" applyBorder="1" applyFont="1" applyNumberFormat="1">
      <alignment horizontal="center" shrinkToFit="0" vertical="center" wrapText="1"/>
    </xf>
    <xf borderId="12" fillId="14" fontId="28" numFmtId="0" xfId="0" applyAlignment="1" applyBorder="1" applyFont="1">
      <alignment horizontal="left" shrinkToFit="0" vertical="top" wrapText="1"/>
    </xf>
    <xf borderId="13" fillId="0" fontId="41" numFmtId="0" xfId="0" applyAlignment="1" applyBorder="1" applyFont="1">
      <alignment horizontal="center" vertical="center"/>
    </xf>
    <xf borderId="13" fillId="0" fontId="28" numFmtId="14" xfId="0" applyAlignment="1" applyBorder="1" applyFont="1" applyNumberFormat="1">
      <alignment horizontal="left" shrinkToFit="0" vertical="top" wrapText="1"/>
    </xf>
    <xf borderId="13" fillId="0" fontId="41" numFmtId="0" xfId="0" applyAlignment="1" applyBorder="1" applyFont="1">
      <alignment horizontal="left" vertical="center"/>
    </xf>
    <xf borderId="1" fillId="0" fontId="41" numFmtId="0" xfId="0" applyAlignment="1" applyBorder="1" applyFont="1">
      <alignment horizontal="left" vertical="center"/>
    </xf>
    <xf borderId="28" fillId="4" fontId="28" numFmtId="0" xfId="0" applyAlignment="1" applyBorder="1" applyFont="1">
      <alignment shrinkToFit="0" wrapText="1"/>
    </xf>
    <xf borderId="22" fillId="0" fontId="28" numFmtId="0" xfId="0" applyAlignment="1" applyBorder="1" applyFont="1">
      <alignment shrinkToFit="0" wrapText="1"/>
    </xf>
    <xf borderId="8" fillId="13" fontId="41" numFmtId="0" xfId="0" applyAlignment="1" applyBorder="1" applyFont="1">
      <alignment vertical="center"/>
    </xf>
    <xf borderId="12" fillId="13" fontId="28" numFmtId="0" xfId="0" applyAlignment="1" applyBorder="1" applyFont="1">
      <alignment horizontal="left" vertical="center"/>
    </xf>
    <xf borderId="10" fillId="13" fontId="41" numFmtId="0" xfId="0" applyAlignment="1" applyBorder="1" applyFont="1">
      <alignment horizontal="center" vertical="center"/>
    </xf>
    <xf borderId="12" fillId="4" fontId="28" numFmtId="0" xfId="0" applyAlignment="1" applyBorder="1" applyFont="1">
      <alignment horizontal="left" shrinkToFit="0" vertical="center" wrapText="1"/>
    </xf>
    <xf borderId="11" fillId="13" fontId="28" numFmtId="0" xfId="0" applyAlignment="1" applyBorder="1" applyFont="1">
      <alignment horizontal="center" vertical="center"/>
    </xf>
    <xf borderId="26" fillId="4" fontId="28" numFmtId="0" xfId="0" applyAlignment="1" applyBorder="1" applyFont="1">
      <alignment horizontal="left" shrinkToFit="0" vertical="center" wrapText="1"/>
    </xf>
    <xf borderId="12" fillId="13" fontId="28" numFmtId="0" xfId="0" applyAlignment="1" applyBorder="1" applyFont="1">
      <alignment horizontal="center" shrinkToFit="0" vertical="center" wrapText="1"/>
    </xf>
    <xf borderId="26" fillId="4" fontId="41" numFmtId="0" xfId="0" applyAlignment="1" applyBorder="1" applyFont="1">
      <alignment horizontal="left" shrinkToFit="0" vertical="center" wrapText="1"/>
    </xf>
    <xf borderId="27" fillId="4" fontId="41" numFmtId="0" xfId="0" applyAlignment="1" applyBorder="1" applyFont="1">
      <alignment horizontal="left" shrinkToFit="0" vertical="center" wrapText="1"/>
    </xf>
    <xf borderId="29" fillId="13" fontId="28" numFmtId="14" xfId="0" applyAlignment="1" applyBorder="1" applyFont="1" applyNumberFormat="1">
      <alignment horizontal="center" vertical="center"/>
    </xf>
    <xf borderId="11" fillId="13" fontId="28" numFmtId="14" xfId="0" applyAlignment="1" applyBorder="1" applyFont="1" applyNumberFormat="1">
      <alignment horizontal="left" shrinkToFit="0" vertical="top" wrapText="1"/>
    </xf>
    <xf borderId="30" fillId="13" fontId="41" numFmtId="0" xfId="0" applyAlignment="1" applyBorder="1" applyFont="1">
      <alignment horizontal="center" vertical="center"/>
    </xf>
    <xf borderId="1" fillId="17" fontId="28" numFmtId="1" xfId="0" applyAlignment="1" applyBorder="1" applyFill="1" applyFont="1" applyNumberFormat="1">
      <alignment horizontal="center" shrinkToFit="0" vertical="center" wrapText="1"/>
    </xf>
    <xf borderId="1" fillId="13" fontId="28" numFmtId="14" xfId="0" applyAlignment="1" applyBorder="1" applyFont="1" applyNumberFormat="1">
      <alignment shrinkToFit="0" wrapText="1"/>
    </xf>
    <xf borderId="1" fillId="13" fontId="28" numFmtId="0" xfId="0" applyAlignment="1" applyBorder="1" applyFont="1">
      <alignment vertical="top"/>
    </xf>
    <xf borderId="20" fillId="0" fontId="82" numFmtId="0" xfId="0" applyAlignment="1" applyBorder="1" applyFont="1">
      <alignment horizontal="left" shrinkToFit="0" vertical="center" wrapText="1"/>
    </xf>
    <xf borderId="20" fillId="0" fontId="28" numFmtId="0" xfId="0" applyAlignment="1" applyBorder="1" applyFont="1">
      <alignment horizontal="left" vertical="center"/>
    </xf>
    <xf borderId="7" fillId="13" fontId="41" numFmtId="0" xfId="0" applyAlignment="1" applyBorder="1" applyFont="1">
      <alignment horizontal="center" vertical="center"/>
    </xf>
    <xf borderId="13" fillId="0" fontId="137" numFmtId="0" xfId="0" applyBorder="1" applyFont="1"/>
    <xf borderId="1" fillId="13" fontId="41" numFmtId="14" xfId="0" applyAlignment="1" applyBorder="1" applyFont="1" applyNumberFormat="1">
      <alignment horizontal="left" shrinkToFit="0" vertical="top" wrapText="1"/>
    </xf>
    <xf borderId="0" fillId="0" fontId="82" numFmtId="0" xfId="0" applyAlignment="1" applyFont="1">
      <alignment horizontal="center"/>
    </xf>
    <xf borderId="20" fillId="0" fontId="41" numFmtId="0" xfId="0" applyAlignment="1" applyBorder="1" applyFont="1">
      <alignment horizontal="center" vertical="center"/>
    </xf>
    <xf borderId="13" fillId="0" fontId="82" numFmtId="0" xfId="0" applyAlignment="1" applyBorder="1" applyFont="1">
      <alignment horizontal="left" shrinkToFit="0" vertical="center" wrapText="1"/>
    </xf>
    <xf borderId="1" fillId="4" fontId="28" numFmtId="0" xfId="0" applyAlignment="1" applyBorder="1" applyFont="1">
      <alignment shrinkToFit="0" vertical="top" wrapText="1"/>
    </xf>
    <xf borderId="1" fillId="13" fontId="28" numFmtId="14" xfId="0" applyAlignment="1" applyBorder="1" applyFont="1" applyNumberFormat="1">
      <alignment horizontal="center" shrinkToFit="0" vertical="center" wrapText="1"/>
    </xf>
    <xf borderId="1" fillId="4" fontId="28" numFmtId="0" xfId="0" applyBorder="1" applyFont="1"/>
    <xf borderId="1" fillId="0" fontId="82" numFmtId="0" xfId="0" applyAlignment="1" applyBorder="1" applyFont="1">
      <alignment shrinkToFit="0" vertical="center" wrapText="1"/>
    </xf>
    <xf borderId="1" fillId="4" fontId="82" numFmtId="0" xfId="0" applyAlignment="1" applyBorder="1" applyFont="1">
      <alignment vertical="center"/>
    </xf>
    <xf borderId="1" fillId="13" fontId="135" numFmtId="0" xfId="0" applyAlignment="1" applyBorder="1" applyFont="1">
      <alignment shrinkToFit="0" vertical="center" wrapText="1"/>
    </xf>
    <xf borderId="1" fillId="13" fontId="82" numFmtId="14" xfId="0" applyAlignment="1" applyBorder="1" applyFont="1" applyNumberFormat="1">
      <alignment shrinkToFit="0" vertical="center" wrapText="1"/>
    </xf>
    <xf borderId="1" fillId="4" fontId="82" numFmtId="0" xfId="0" applyAlignment="1" applyBorder="1" applyFont="1">
      <alignment horizontal="center" vertical="center"/>
    </xf>
    <xf borderId="1" fillId="0" fontId="82" numFmtId="14" xfId="0" applyAlignment="1" applyBorder="1" applyFont="1" applyNumberFormat="1">
      <alignment horizontal="center" vertical="center"/>
    </xf>
    <xf borderId="1" fillId="0" fontId="82" numFmtId="0" xfId="0" applyAlignment="1" applyBorder="1" applyFont="1">
      <alignment horizontal="center" vertical="center"/>
    </xf>
    <xf borderId="0" fillId="0" fontId="82" numFmtId="0" xfId="0" applyAlignment="1" applyFont="1">
      <alignment horizontal="center" vertical="center"/>
    </xf>
    <xf borderId="1" fillId="4" fontId="28" numFmtId="0" xfId="0" applyAlignment="1" applyBorder="1" applyFont="1">
      <alignment horizontal="left" vertical="center"/>
    </xf>
    <xf borderId="1" fillId="0" fontId="82" numFmtId="0" xfId="0" applyAlignment="1" applyBorder="1" applyFont="1">
      <alignment horizontal="center" shrinkToFit="0" wrapText="1"/>
    </xf>
    <xf borderId="1" fillId="0" fontId="82" numFmtId="0" xfId="0" applyAlignment="1" applyBorder="1" applyFont="1">
      <alignment shrinkToFit="0" wrapText="1"/>
    </xf>
    <xf borderId="1" fillId="13" fontId="28" numFmtId="0" xfId="0" applyAlignment="1" applyBorder="1" applyFont="1">
      <alignment horizontal="left" vertical="top"/>
    </xf>
    <xf borderId="1" fillId="0" fontId="41" numFmtId="0" xfId="0" applyAlignment="1" applyBorder="1" applyFont="1">
      <alignment shrinkToFit="0" vertical="top" wrapText="1"/>
    </xf>
    <xf borderId="0" fillId="0" fontId="138" numFmtId="0" xfId="0" applyFont="1"/>
    <xf borderId="1" fillId="0" fontId="28" numFmtId="0" xfId="0" applyAlignment="1" applyBorder="1" applyFont="1">
      <alignment horizontal="center"/>
    </xf>
    <xf borderId="1" fillId="0" fontId="41" numFmtId="0" xfId="0" applyAlignment="1" applyBorder="1" applyFont="1">
      <alignment horizontal="center" shrinkToFit="0" vertical="top" wrapText="1"/>
    </xf>
    <xf borderId="1" fillId="4" fontId="41" numFmtId="0" xfId="0" applyAlignment="1" applyBorder="1" applyFont="1">
      <alignment shrinkToFit="0" vertical="top" wrapText="1"/>
    </xf>
    <xf borderId="10" fillId="4" fontId="82" numFmtId="0" xfId="0" applyBorder="1" applyFont="1"/>
    <xf borderId="0" fillId="0" fontId="82" numFmtId="14" xfId="0" applyFont="1" applyNumberFormat="1"/>
    <xf borderId="1" fillId="13" fontId="28" numFmtId="14" xfId="0" applyAlignment="1" applyBorder="1" applyFont="1" applyNumberFormat="1">
      <alignment horizontal="left" vertical="center"/>
    </xf>
    <xf borderId="1" fillId="13" fontId="139" numFmtId="14" xfId="0" applyAlignment="1" applyBorder="1" applyFont="1" applyNumberFormat="1">
      <alignment horizontal="left" vertical="top"/>
    </xf>
    <xf borderId="1" fillId="0" fontId="135" numFmtId="0" xfId="0" applyAlignment="1" applyBorder="1" applyFont="1">
      <alignment shrinkToFit="0" vertical="center" wrapText="1"/>
    </xf>
    <xf borderId="1" fillId="13" fontId="82" numFmtId="0" xfId="0" applyAlignment="1" applyBorder="1" applyFont="1">
      <alignment horizontal="center" shrinkToFit="0" vertical="center" wrapText="1"/>
    </xf>
    <xf borderId="1" fillId="13" fontId="82" numFmtId="14" xfId="0" applyAlignment="1" applyBorder="1" applyFont="1" applyNumberFormat="1">
      <alignment readingOrder="0" vertical="center"/>
    </xf>
    <xf borderId="1" fillId="13" fontId="82" numFmtId="0" xfId="0" applyAlignment="1" applyBorder="1" applyFont="1">
      <alignment vertical="top"/>
    </xf>
    <xf borderId="10" fillId="4" fontId="135" numFmtId="0" xfId="0" applyBorder="1" applyFont="1"/>
    <xf borderId="1" fillId="13" fontId="28" numFmtId="0" xfId="0" applyAlignment="1" applyBorder="1" applyFont="1">
      <alignment horizontal="center" readingOrder="0" shrinkToFit="0" vertical="center" wrapText="1"/>
    </xf>
    <xf borderId="10" fillId="13" fontId="41" numFmtId="0" xfId="0" applyAlignment="1" applyBorder="1" applyFont="1">
      <alignment horizontal="left" shrinkToFit="0" vertical="center" wrapText="1"/>
    </xf>
    <xf borderId="10" fillId="4" fontId="28" numFmtId="0" xfId="0" applyAlignment="1" applyBorder="1" applyFont="1">
      <alignment horizontal="left" vertical="center"/>
    </xf>
    <xf borderId="10" fillId="13" fontId="28" numFmtId="0" xfId="0" applyAlignment="1" applyBorder="1" applyFont="1">
      <alignment horizontal="left" vertical="top"/>
    </xf>
    <xf borderId="1" fillId="4" fontId="82" numFmtId="0" xfId="0" applyBorder="1" applyFont="1"/>
    <xf borderId="7" fillId="0" fontId="41" numFmtId="0" xfId="0" applyAlignment="1" applyBorder="1" applyFont="1">
      <alignment vertical="top"/>
    </xf>
    <xf borderId="8" fillId="4" fontId="28" numFmtId="0" xfId="0" applyBorder="1" applyFont="1"/>
    <xf borderId="7" fillId="0" fontId="28" numFmtId="14" xfId="0" applyAlignment="1" applyBorder="1" applyFont="1" applyNumberFormat="1">
      <alignment horizontal="center"/>
    </xf>
    <xf borderId="8" fillId="13" fontId="28" numFmtId="1" xfId="0" applyAlignment="1" applyBorder="1" applyFont="1" applyNumberFormat="1">
      <alignment horizontal="center" vertical="center"/>
    </xf>
    <xf borderId="10" fillId="13" fontId="41" numFmtId="0" xfId="0" applyAlignment="1" applyBorder="1" applyFont="1">
      <alignment horizontal="center" shrinkToFit="0" vertical="center" wrapText="1"/>
    </xf>
    <xf borderId="7" fillId="0" fontId="41" numFmtId="0" xfId="0" applyAlignment="1" applyBorder="1" applyFont="1">
      <alignment shrinkToFit="0" vertical="top" wrapText="1"/>
    </xf>
    <xf borderId="1" fillId="13" fontId="28" numFmtId="14" xfId="0" applyAlignment="1" applyBorder="1" applyFont="1" applyNumberFormat="1">
      <alignment horizontal="left" vertical="top"/>
    </xf>
    <xf borderId="10" fillId="13" fontId="41" numFmtId="0" xfId="0" applyAlignment="1" applyBorder="1" applyFont="1">
      <alignment horizontal="left" shrinkToFit="0" vertical="top" wrapText="1"/>
    </xf>
    <xf borderId="7" fillId="0" fontId="28" numFmtId="0" xfId="0" applyAlignment="1" applyBorder="1" applyFont="1">
      <alignment vertical="top"/>
    </xf>
    <xf borderId="0" fillId="0" fontId="135" numFmtId="0" xfId="0" applyFont="1"/>
    <xf borderId="9" fillId="13" fontId="28" numFmtId="0" xfId="0" applyAlignment="1" applyBorder="1" applyFont="1">
      <alignment horizontal="center" shrinkToFit="0" vertical="center" wrapText="1"/>
    </xf>
    <xf borderId="21" fillId="13" fontId="140" numFmtId="0" xfId="0" applyAlignment="1" applyBorder="1" applyFont="1">
      <alignment horizontal="left" shrinkToFit="0" vertical="center" wrapText="1"/>
    </xf>
    <xf borderId="18" fillId="0" fontId="41" numFmtId="0" xfId="0" applyAlignment="1" applyBorder="1" applyFont="1">
      <alignment shrinkToFit="0" vertical="top" wrapText="1"/>
    </xf>
    <xf borderId="1" fillId="4" fontId="135" numFmtId="0" xfId="0" applyAlignment="1" applyBorder="1" applyFont="1">
      <alignment vertical="center"/>
    </xf>
    <xf borderId="1" fillId="13" fontId="28" numFmtId="1" xfId="0" applyAlignment="1" applyBorder="1" applyFont="1" applyNumberFormat="1">
      <alignment horizontal="center" vertical="center"/>
    </xf>
    <xf borderId="1" fillId="4" fontId="135" numFmtId="0" xfId="0" applyAlignment="1" applyBorder="1" applyFont="1">
      <alignment shrinkToFit="0" vertical="center" wrapText="1"/>
    </xf>
    <xf borderId="1" fillId="4" fontId="82" numFmtId="0" xfId="0" applyAlignment="1" applyBorder="1" applyFont="1">
      <alignment shrinkToFit="0" vertical="center" wrapText="1"/>
    </xf>
    <xf borderId="1" fillId="0" fontId="82" numFmtId="14" xfId="0" applyAlignment="1" applyBorder="1" applyFont="1" applyNumberFormat="1">
      <alignment shrinkToFit="0" vertical="center" wrapText="1"/>
    </xf>
    <xf borderId="0" fillId="0" fontId="82" numFmtId="0" xfId="0" applyAlignment="1" applyFont="1">
      <alignment shrinkToFit="0" vertical="center" wrapText="1"/>
    </xf>
    <xf borderId="1" fillId="0" fontId="28" numFmtId="0" xfId="0" applyAlignment="1" applyBorder="1" applyFont="1">
      <alignment vertical="top"/>
    </xf>
    <xf borderId="1" fillId="3" fontId="41" numFmtId="0" xfId="0" applyAlignment="1" applyBorder="1" applyFont="1">
      <alignment readingOrder="0" vertical="center"/>
    </xf>
    <xf borderId="1" fillId="3" fontId="28" numFmtId="0" xfId="0" applyAlignment="1" applyBorder="1" applyFont="1">
      <alignment horizontal="left" shrinkToFit="0" vertical="top" wrapText="1"/>
    </xf>
    <xf borderId="0" fillId="0" fontId="15" numFmtId="0" xfId="0" applyAlignment="1" applyFont="1">
      <alignment horizontal="center"/>
    </xf>
    <xf borderId="0" fillId="0" fontId="27" numFmtId="0" xfId="0" applyAlignment="1" applyFont="1">
      <alignment horizontal="center"/>
    </xf>
    <xf borderId="1" fillId="18" fontId="135" numFmtId="0" xfId="0" applyAlignment="1" applyBorder="1" applyFill="1" applyFont="1">
      <alignment vertical="center"/>
    </xf>
    <xf borderId="1" fillId="18" fontId="135" numFmtId="14" xfId="0" applyAlignment="1" applyBorder="1" applyFont="1" applyNumberFormat="1">
      <alignment horizontal="center" shrinkToFit="0" vertical="center" wrapText="1"/>
    </xf>
    <xf borderId="8" fillId="18" fontId="135" numFmtId="14" xfId="0" applyAlignment="1" applyBorder="1" applyFont="1" applyNumberFormat="1">
      <alignment horizontal="center" shrinkToFit="0" vertical="center" wrapText="1"/>
    </xf>
    <xf borderId="21" fillId="18" fontId="135" numFmtId="14" xfId="0" applyAlignment="1" applyBorder="1" applyFont="1" applyNumberFormat="1">
      <alignment horizontal="center" shrinkToFit="0" vertical="center" wrapText="1"/>
    </xf>
    <xf borderId="1" fillId="13" fontId="135" numFmtId="0" xfId="0" applyBorder="1" applyFont="1"/>
    <xf borderId="1" fillId="0" fontId="82" numFmtId="0" xfId="0" applyAlignment="1" applyBorder="1" applyFont="1">
      <alignment horizontal="center"/>
    </xf>
    <xf borderId="1" fillId="0" fontId="141" numFmtId="0" xfId="0" applyBorder="1" applyFont="1"/>
    <xf borderId="22" fillId="0" fontId="82" numFmtId="0" xfId="0" applyBorder="1" applyFont="1"/>
    <xf borderId="7" fillId="0" fontId="82" numFmtId="0" xfId="0" applyAlignment="1" applyBorder="1" applyFont="1">
      <alignment horizontal="center" shrinkToFit="0" vertical="center" wrapText="1"/>
    </xf>
    <xf borderId="20" fillId="0" fontId="137" numFmtId="0" xfId="0" applyBorder="1" applyFont="1"/>
    <xf borderId="1" fillId="0" fontId="142" numFmtId="0" xfId="0" applyBorder="1" applyFont="1"/>
    <xf borderId="1" fillId="0" fontId="47" numFmtId="0" xfId="0" applyAlignment="1" applyBorder="1" applyFont="1">
      <alignment readingOrder="0"/>
    </xf>
    <xf borderId="1" fillId="0" fontId="47" numFmtId="0" xfId="0" applyAlignment="1" applyBorder="1" applyFont="1">
      <alignment horizontal="center" readingOrder="0"/>
    </xf>
    <xf borderId="1" fillId="0" fontId="47" numFmtId="0" xfId="0" applyAlignment="1" applyBorder="1" applyFont="1">
      <alignment readingOrder="0" shrinkToFit="0" wrapText="1"/>
    </xf>
    <xf borderId="1" fillId="0" fontId="27" numFmtId="168" xfId="0" applyAlignment="1" applyBorder="1" applyFont="1" applyNumberFormat="1">
      <alignment horizontal="center" readingOrder="0" vertical="center"/>
    </xf>
    <xf borderId="1" fillId="0" fontId="27" numFmtId="20" xfId="0" applyAlignment="1" applyBorder="1" applyFont="1" applyNumberFormat="1">
      <alignment horizontal="center" readingOrder="0" vertical="center"/>
    </xf>
    <xf borderId="1" fillId="0" fontId="27" numFmtId="0" xfId="0" applyAlignment="1" applyBorder="1" applyFont="1">
      <alignment horizontal="center" readingOrder="0" vertical="center"/>
    </xf>
    <xf borderId="1" fillId="0" fontId="27" numFmtId="0" xfId="0" applyAlignment="1" applyBorder="1" applyFont="1">
      <alignment horizontal="left" readingOrder="0" shrinkToFit="0" vertical="center" wrapText="1"/>
    </xf>
    <xf borderId="0" fillId="0" fontId="27" numFmtId="0" xfId="0" applyAlignment="1" applyFont="1">
      <alignment horizontal="center" vertical="center"/>
    </xf>
    <xf borderId="1" fillId="0" fontId="27" numFmtId="20" xfId="0" applyAlignment="1" applyBorder="1" applyFont="1" applyNumberFormat="1">
      <alignment horizontal="center" readingOrder="0"/>
    </xf>
    <xf borderId="1" fillId="0" fontId="27" numFmtId="0" xfId="0" applyAlignment="1" applyBorder="1" applyFont="1">
      <alignment horizontal="center" readingOrder="0"/>
    </xf>
    <xf borderId="1" fillId="0" fontId="27" numFmtId="0" xfId="0" applyAlignment="1" applyBorder="1" applyFont="1">
      <alignment readingOrder="0" shrinkToFit="0" wrapText="1"/>
    </xf>
    <xf borderId="1" fillId="0" fontId="27" numFmtId="168" xfId="0" applyAlignment="1" applyBorder="1" applyFont="1" applyNumberFormat="1">
      <alignment horizontal="left" readingOrder="0"/>
    </xf>
    <xf borderId="1" fillId="0" fontId="27" numFmtId="20" xfId="0" applyAlignment="1" applyBorder="1" applyFont="1" applyNumberFormat="1">
      <alignment horizontal="left" readingOrder="0"/>
    </xf>
    <xf borderId="1" fillId="0" fontId="27" numFmtId="20" xfId="0" applyAlignment="1" applyBorder="1" applyFont="1" applyNumberFormat="1">
      <alignment horizontal="left" readingOrder="0" vertical="center"/>
    </xf>
    <xf borderId="1" fillId="0" fontId="27" numFmtId="0" xfId="0" applyAlignment="1" applyBorder="1" applyFont="1">
      <alignment horizontal="left" readingOrder="0"/>
    </xf>
    <xf borderId="1" fillId="0" fontId="27" numFmtId="0" xfId="0" applyAlignment="1" applyBorder="1" applyFont="1">
      <alignment horizontal="left" readingOrder="0" shrinkToFit="0" wrapText="1"/>
    </xf>
    <xf borderId="1" fillId="0" fontId="27" numFmtId="0" xfId="0" applyBorder="1" applyFont="1"/>
    <xf borderId="1" fillId="0" fontId="27" numFmtId="0" xfId="0" applyAlignment="1" applyBorder="1" applyFont="1">
      <alignment horizontal="center"/>
    </xf>
    <xf borderId="1" fillId="0" fontId="27" numFmtId="0" xfId="0" applyAlignment="1" applyBorder="1" applyFont="1">
      <alignment shrinkToFit="0" wrapText="1"/>
    </xf>
    <xf borderId="0" fillId="0" fontId="27" numFmtId="0" xfId="0" applyAlignment="1" applyFont="1">
      <alignment shrinkToFit="0" wrapText="1"/>
    </xf>
    <xf borderId="1" fillId="19" fontId="7" numFmtId="0" xfId="0" applyAlignment="1" applyBorder="1" applyFill="1" applyFont="1">
      <alignment horizontal="center" vertical="center"/>
    </xf>
    <xf borderId="7" fillId="0" fontId="7" numFmtId="0" xfId="0" applyAlignment="1" applyBorder="1" applyFont="1">
      <alignment horizontal="center" vertical="center"/>
    </xf>
    <xf borderId="0" fillId="0" fontId="15" numFmtId="0" xfId="0" applyAlignment="1" applyFont="1">
      <alignment horizontal="left" vertical="center"/>
    </xf>
  </cellXfs>
  <cellStyles count="1">
    <cellStyle xfId="0" name="Normal" builtinId="0"/>
  </cellStyles>
  <dxfs count="8">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none"/>
      </fill>
      <border/>
    </dxf>
    <dxf>
      <font/>
      <fill>
        <patternFill patternType="solid">
          <fgColor rgb="FFFFFF00"/>
          <bgColor rgb="FFFFFF00"/>
        </patternFill>
      </fill>
      <border/>
    </dxf>
    <dxf>
      <font/>
      <fill>
        <patternFill patternType="solid">
          <fgColor rgb="FFF4CCCC"/>
          <bgColor rgb="FFF4CCCC"/>
        </patternFill>
      </fill>
      <border/>
    </dxf>
  </dxfs>
  <tableStyles count="22">
    <tableStyle count="4" pivot="0" name="EN PROCESO (Bolivar)-style">
      <tableStyleElement dxfId="1" type="headerRow"/>
      <tableStyleElement dxfId="2" type="firstRowStripe"/>
      <tableStyleElement dxfId="3" type="secondRowStripe"/>
      <tableStyleElement dxfId="4" size="0" type="wholeTable"/>
    </tableStyle>
    <tableStyle count="4" pivot="0" name="EN PROCESO (Alfa)-style">
      <tableStyleElement dxfId="1" type="headerRow"/>
      <tableStyleElement dxfId="2" type="firstRowStripe"/>
      <tableStyleElement dxfId="3" type="secondRowStripe"/>
      <tableStyleElement dxfId="4" size="0" type="wholeTable"/>
    </tableStyle>
    <tableStyle count="4" pivot="0" name="FINALIZADOS 2-style">
      <tableStyleElement dxfId="1" type="headerRow"/>
      <tableStyleElement dxfId="2" type="firstRowStripe"/>
      <tableStyleElement dxfId="3" type="secondRowStripe"/>
      <tableStyleElement dxfId="4" size="0" type="wholeTable"/>
    </tableStyle>
    <tableStyle count="4" pivot="0" name="FINALIZADOS 2-style 2">
      <tableStyleElement dxfId="1" type="headerRow"/>
      <tableStyleElement dxfId="2" type="firstRowStripe"/>
      <tableStyleElement dxfId="3" type="secondRowStripe"/>
      <tableStyleElement dxfId="4" size="0" type="wholeTable"/>
    </tableStyle>
    <tableStyle count="2" pivot="0" name="FINALIZADOS 2-style 3">
      <tableStyleElement dxfId="2" type="firstRowStripe"/>
      <tableStyleElement dxfId="3" type="secondRowStripe"/>
    </tableStyle>
    <tableStyle count="2" pivot="0" name="FINALIZADOS 2-style 4">
      <tableStyleElement dxfId="3" type="firstRowStripe"/>
      <tableStyleElement dxfId="2" type="secondRowStripe"/>
    </tableStyle>
    <tableStyle count="2" pivot="0" name="FINALIZADOS 2-style 5">
      <tableStyleElement dxfId="2" type="firstRowStripe"/>
      <tableStyleElement dxfId="3" type="secondRowStripe"/>
    </tableStyle>
    <tableStyle count="2" pivot="0" name="FINALIZADOS 2-style 6">
      <tableStyleElement dxfId="3" type="firstRowStripe"/>
      <tableStyleElement dxfId="2" type="secondRowStripe"/>
    </tableStyle>
    <tableStyle count="2" pivot="0" name="FINALIZADOS 2-style 7">
      <tableStyleElement dxfId="2" type="firstRowStripe"/>
      <tableStyleElement dxfId="3" type="secondRowStripe"/>
    </tableStyle>
    <tableStyle count="2" pivot="0" name="FINALIZADOS 2-style 8">
      <tableStyleElement dxfId="3" type="firstRowStripe"/>
      <tableStyleElement dxfId="2" type="secondRowStripe"/>
    </tableStyle>
    <tableStyle count="2" pivot="0" name="FINALIZADOS 2-style 9">
      <tableStyleElement dxfId="2" type="firstRowStripe"/>
      <tableStyleElement dxfId="3" type="secondRowStripe"/>
    </tableStyle>
    <tableStyle count="2" pivot="0" name="FINALIZADOS 2-style 10">
      <tableStyleElement dxfId="2" type="firstRowStripe"/>
      <tableStyleElement dxfId="3" type="secondRowStripe"/>
    </tableStyle>
    <tableStyle count="2" pivot="0" name="FINALIZADOS 2-style 11">
      <tableStyleElement dxfId="2" type="firstRowStripe"/>
      <tableStyleElement dxfId="3" type="secondRowStripe"/>
    </tableStyle>
    <tableStyle count="2" pivot="0" name="FINALIZADOS 2-style 12">
      <tableStyleElement dxfId="3" type="firstRowStripe"/>
      <tableStyleElement dxfId="2" type="secondRowStripe"/>
    </tableStyle>
    <tableStyle count="2" pivot="0" name="FINALIZADOS 2-style 13">
      <tableStyleElement dxfId="2" type="firstRowStripe"/>
      <tableStyleElement dxfId="3" type="secondRowStripe"/>
    </tableStyle>
    <tableStyle count="2" pivot="0" name="FINALIZADOS 2-style 14">
      <tableStyleElement dxfId="2" type="firstRowStripe"/>
      <tableStyleElement dxfId="3" type="secondRowStripe"/>
    </tableStyle>
    <tableStyle count="2" pivot="0" name="FINALIZADOS 2-style 15">
      <tableStyleElement dxfId="2" type="firstRowStripe"/>
      <tableStyleElement dxfId="3" type="secondRowStripe"/>
    </tableStyle>
    <tableStyle count="2" pivot="0" name="FINALIZADOS 2-style 16">
      <tableStyleElement dxfId="3" type="firstRowStripe"/>
      <tableStyleElement dxfId="2" type="secondRowStripe"/>
    </tableStyle>
    <tableStyle count="2" pivot="0" name="FINALIZADOS 2-style 17">
      <tableStyleElement dxfId="2" type="firstRowStripe"/>
      <tableStyleElement dxfId="3" type="secondRowStripe"/>
    </tableStyle>
    <tableStyle count="2" pivot="0" name="FINALIZADOS 2-style 18">
      <tableStyleElement dxfId="2" type="firstRowStripe"/>
      <tableStyleElement dxfId="3" type="secondRowStripe"/>
    </tableStyle>
    <tableStyle count="2" pivot="0" name="FINALIZADOS 2-style 19">
      <tableStyleElement dxfId="3" type="firstRowStripe"/>
      <tableStyleElement dxfId="2" type="secondRowStripe"/>
    </tableStyle>
    <tableStyle count="2" pivot="0" name="FINALIZADOS 2-style 20">
      <tableStyleElement dxfId="2" type="firstRowStripe"/>
      <tableStyleElement dxfId="3" type="secondRowStripe"/>
    </tableStyle>
  </tableStyle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customschemas.google.com/relationships/workbookmetadata" Target="metadata"/><Relationship Id="rId12" Type="http://schemas.openxmlformats.org/officeDocument/2006/relationships/worksheet" Target="worksheets/sheet9.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N1097" displayName="Tabla_1" name="Tabla_1" id="1">
  <autoFilter ref="$A$1:$BN$1097">
    <filterColumn colId="0">
      <filters>
        <filter val="jESUS"/>
        <filter val="JESUS"/>
        <filter val="WILSON"/>
        <filter val="faBIO"/>
      </filters>
    </filterColumn>
    <filterColumn colId="5">
      <filters blank="1">
        <filter val="ESTIMAR"/>
        <filter val="PENDIENTE CLIENTE"/>
        <filter val="REANUDAR"/>
        <filter val="PAUSADO"/>
        <filter val="PENDIENTE"/>
        <filter val="paso a produccion"/>
        <filter val="EN PROCESO"/>
        <filter val="PRUEBAS CLIENTE"/>
        <filter val="EN TEST"/>
      </filters>
    </filterColumn>
  </autoFilter>
  <tableColumns count="66">
    <tableColumn name="Asignado a" id="1"/>
    <tableColumn name="Jira Caja" id="2"/>
    <tableColumn name="Requerimiento " id="3"/>
    <tableColumn name="Descripcion req " id="4"/>
    <tableColumn name="Actividad" id="5"/>
    <tableColumn name="ESTADO" id="6"/>
    <tableColumn name="% Avance" id="7"/>
    <tableColumn name="dias estimados" id="8"/>
    <tableColumn name="F.Asignado" id="9"/>
    <tableColumn name="Fecha inicio" id="10"/>
    <tableColumn name="Fecha estimada de entrega" id="11"/>
    <tableColumn name="Finalizado" id="12"/>
    <tableColumn name="Dias" id="13"/>
    <tableColumn name="TEST" id="14"/>
    <tableColumn name="PRODUCCION" id="15"/>
    <tableColumn name="OBSERVACIONES" id="16"/>
    <tableColumn name="VISIBLE" id="17"/>
    <tableColumn name="Prioridad" id="18"/>
    <tableColumn name="Jira TEST" id="19"/>
    <tableColumn name="jira PROD" id="20"/>
    <tableColumn name="Rama" id="21"/>
    <tableColumn name="Seguimiento 5 mayo " id="22"/>
    <tableColumn name="seguimiento 7 mayo " id="23"/>
    <tableColumn name="seguimiento 9 mayo " id="24"/>
    <tableColumn name="seguimiento 9 mayo  2" id="25"/>
    <tableColumn name="seguimiento 12 mayo " id="26"/>
    <tableColumn name="seguimiento 14 mayo " id="27"/>
    <tableColumn name="seguimiento 15 mayo " id="28"/>
    <tableColumn name="seguimiento 16 mayo " id="29"/>
    <tableColumn name="seguimiento 19 mayo " id="30"/>
    <tableColumn name="seguimiento 21 mayo " id="31"/>
    <tableColumn name="seguimiento 23 mayo " id="32"/>
    <tableColumn name="seguimiento 26 mayo " id="33"/>
    <tableColumn name="seguimiento 28  mayo " id="34"/>
    <tableColumn name="seguimiento  30 mayo " id="35"/>
    <tableColumn name="seguimiento  4 Junio" id="36"/>
    <tableColumn name="seguimiento  6 Junio" id="37"/>
    <tableColumn name="seguimiento  9 Junio" id="38"/>
    <tableColumn name="seguimiento  11 Junio" id="39"/>
    <tableColumn name="seguimiento  13 Junio" id="40"/>
    <tableColumn name="seguimiento  16 Junio" id="41"/>
    <tableColumn name="seguimiento  18 Junio" id="42"/>
    <tableColumn name="seguimiento  20 Junio" id="43"/>
    <tableColumn name="seguimiento  25 Junio" id="44"/>
    <tableColumn name="seguimiento  26 Junio" id="45"/>
    <tableColumn name="seguimiento  27 Junio" id="46"/>
    <tableColumn name="seguimiento  01 de Julio" id="47"/>
    <tableColumn name="seguimiento  02 de Julio" id="48"/>
    <tableColumn name="seguimiento  04 de Julio" id="49"/>
    <tableColumn name="seguimiento  07 de Julio" id="50"/>
    <tableColumn name="seguimiento  08 de Julio" id="51"/>
    <tableColumn name="seguimiento  09 de Julio" id="52"/>
    <tableColumn name="seguimiento  10 de Julio" id="53"/>
    <tableColumn name="seguimiento  11 de Julio" id="54"/>
    <tableColumn name="seguimiento  14 de Julio" id="55"/>
    <tableColumn name="seguimiento  15 de Julio" id="56"/>
    <tableColumn name="seguimiento  16 de Julio" id="57"/>
    <tableColumn name="seguimiento  17 de Julio" id="58"/>
    <tableColumn name="seguimiento  18 de Julio" id="59"/>
    <tableColumn name="seguimiento  21 de Julio" id="60"/>
    <tableColumn name="seguimiento  23 de Julio" id="61"/>
    <tableColumn name="seguimiento  23 de Julio 2" id="62"/>
    <tableColumn name="Column 61" id="63"/>
    <tableColumn name="Column 62" id="64"/>
    <tableColumn name="Column 63" id="65"/>
    <tableColumn name="Column 64" id="66"/>
  </tableColumns>
  <tableStyleInfo name="EN PROCESO (Bolivar)-style" showColumnStripes="0" showFirstColumn="1" showLastColumn="1" showRowStripes="1"/>
</table>
</file>

<file path=xl/tables/table2.xml><?xml version="1.0" encoding="utf-8"?>
<table xmlns="http://schemas.openxmlformats.org/spreadsheetml/2006/main" ref="A1:R1036" displayName="Tabla" name="Tabla" id="2">
  <autoFilter ref="$A$1:$R$1036"/>
  <tableColumns count="18">
    <tableColumn name="Asignado a" id="1"/>
    <tableColumn name="# REQ" id="2"/>
    <tableColumn name="Requerimiento " id="3"/>
    <tableColumn name="Detalle del requerimiento" id="4"/>
    <tableColumn name="Proceso " id="5"/>
    <tableColumn name="ESTADO" id="6"/>
    <tableColumn name="%" id="7"/>
    <tableColumn name="dias estimados" id="8"/>
    <tableColumn name="F.Asignado" id="9"/>
    <tableColumn name="Fecha inicio" id="10"/>
    <tableColumn name="F. estimada de entrega" id="11"/>
    <tableColumn name="Finalizado" id="12"/>
    <tableColumn name="Dias" id="13"/>
    <tableColumn name="TEST" id="14"/>
    <tableColumn name="PRODUCCION" id="15"/>
    <tableColumn name="OBSERVACIONES" id="16"/>
    <tableColumn name="Visible" id="17"/>
    <tableColumn name="OBSERVACIONES  ALFA" id="18"/>
  </tableColumns>
  <tableStyleInfo name="EN PROCESO (Alfa)-style" showColumnStripes="0" showFirstColumn="1" showLastColumn="1" showRowStripes="1"/>
</table>
</file>

<file path=xl/tables/table3.xml><?xml version="1.0" encoding="utf-8"?>
<table xmlns="http://schemas.openxmlformats.org/spreadsheetml/2006/main" ref="A1:W7" displayName="Tabla_2" name="Tabla_2" id="3">
  <tableColumns count="23">
    <tableColumn name="Asignado a" id="1"/>
    <tableColumn name="Jira Caja" id="2"/>
    <tableColumn name="Requerimiento " id="3"/>
    <tableColumn name="ESTADO" id="4"/>
    <tableColumn name="%" id="5"/>
    <tableColumn name="dias estimados" id="6"/>
    <tableColumn name="F.Asignado" id="7"/>
    <tableColumn name="Fecha inicio" id="8"/>
    <tableColumn name="F. estimada de entrega" id="9"/>
    <tableColumn name="Finalizado" id="10"/>
    <tableColumn name="Dias" id="11"/>
    <tableColumn name="Jira TEST" id="12"/>
    <tableColumn name="TEST" id="13"/>
    <tableColumn name="jira PROD" id="14"/>
    <tableColumn name="PRODUCCION" id="15"/>
    <tableColumn name="OBSERVACIONES" id="16"/>
    <tableColumn name="Seguimiento 28 Abril " id="17"/>
    <tableColumn name="Seguimiento 28 Abril  2" id="18"/>
    <tableColumn name="Seguimiento 5 mayo " id="19"/>
    <tableColumn name="seguimiento 7 mayo " id="20"/>
    <tableColumn name="seguimiento 9 mayo " id="21"/>
    <tableColumn name="seguimiento 9 mayo  2" id="22"/>
    <tableColumn name="seguimiento 12 mayo " id="23"/>
  </tableColumns>
  <tableStyleInfo name="FINALIZADOS 2-style" showColumnStripes="0" showFirstColumn="1" showLastColumn="1" showRowStripes="1"/>
</table>
</file>

<file path=xl/tables/table4.xml><?xml version="1.0" encoding="utf-8"?>
<table xmlns="http://schemas.openxmlformats.org/spreadsheetml/2006/main" headerRowCount="0" ref="AJ1:AN1" displayName="Tabla_3" name="Tabla_3" id="4">
  <tableColumns count="5">
    <tableColumn name="Column1" id="1"/>
    <tableColumn name="Column2" id="2"/>
    <tableColumn name="Column3" id="3"/>
    <tableColumn name="Column4" id="4"/>
    <tableColumn name="Column5" id="5"/>
  </tableColumns>
  <tableStyleInfo name="FINALIZADOS 2-style 2" showColumnStripes="0" showFirstColumn="1" showLastColumn="1" showRowStripes="1"/>
  <extLst>
    <ext uri="GoogleSheetsCustomDataVersion1">
      <go:sheetsCustomData xmlns:go="http://customooxmlschemas.google.com/" headerRowCount="1"/>
    </ext>
  </extLst>
</table>
</file>

<file path=xl/tables/table5.xml><?xml version="1.0" encoding="utf-8"?>
<table xmlns="http://schemas.openxmlformats.org/spreadsheetml/2006/main" headerRowCount="0" ref="A8:W34" displayName="Table_1" name="Table_1" id="5">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FINALIZADOS 2-style 3" showColumnStripes="0" showFirstColumn="1" showLastColumn="1" showRowStripes="1"/>
</table>
</file>

<file path=xl/tables/table6.xml><?xml version="1.0" encoding="utf-8"?>
<table xmlns="http://schemas.openxmlformats.org/spreadsheetml/2006/main" headerRowCount="0" ref="A35:W35" displayName="Table_2" name="Table_2" id="6">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FINALIZADOS 2-style 4" showColumnStripes="0" showFirstColumn="1" showLastColumn="1" showRowStripes="1"/>
</table>
</file>

<file path=xl/tables/table7.xml><?xml version="1.0" encoding="utf-8"?>
<table xmlns="http://schemas.openxmlformats.org/spreadsheetml/2006/main" headerRowCount="0" ref="A36:AN37" displayName="Table_3" name="Table_3" id="7">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5" showColumnStripes="0" showFirstColumn="1" showLastColumn="1" showRowStripes="1"/>
</table>
</file>

<file path=xl/tables/table8.xml><?xml version="1.0" encoding="utf-8"?>
<table xmlns="http://schemas.openxmlformats.org/spreadsheetml/2006/main" headerRowCount="0" ref="A38:AN38" displayName="Table_4" name="Table_4" id="8">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6" showColumnStripes="0" showFirstColumn="1" showLastColumn="1" showRowStripes="1"/>
</table>
</file>

<file path=xl/tables/table9.xml><?xml version="1.0" encoding="utf-8"?>
<table xmlns="http://schemas.openxmlformats.org/spreadsheetml/2006/main" headerRowCount="0" ref="A39:AN39" displayName="Table_5" name="Table_5" id="9">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7" showColumnStripes="0" showFirstColumn="1" showLastColumn="1" showRowStripes="1"/>
</table>
</file>

<file path=xl/tables/table10.xml><?xml version="1.0" encoding="utf-8"?>
<table xmlns="http://schemas.openxmlformats.org/spreadsheetml/2006/main" headerRowCount="0" ref="A40:AN42" displayName="Table_6" name="Table_6" id="10">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8" showColumnStripes="0" showFirstColumn="1" showLastColumn="1" showRowStripes="1"/>
</table>
</file>

<file path=xl/tables/table11.xml><?xml version="1.0" encoding="utf-8"?>
<table xmlns="http://schemas.openxmlformats.org/spreadsheetml/2006/main" headerRowCount="0" ref="A43:AN44" displayName="Table_7" name="Table_7" id="11">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9" showColumnStripes="0" showFirstColumn="1" showLastColumn="1" showRowStripes="1"/>
</table>
</file>

<file path=xl/tables/table12.xml><?xml version="1.0" encoding="utf-8"?>
<table xmlns="http://schemas.openxmlformats.org/spreadsheetml/2006/main" headerRowCount="0" ref="A45:AN45" displayName="Table_8" name="Table_8" id="12">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0" showColumnStripes="0" showFirstColumn="1" showLastColumn="1" showRowStripes="1"/>
</table>
</file>

<file path=xl/tables/table13.xml><?xml version="1.0" encoding="utf-8"?>
<table xmlns="http://schemas.openxmlformats.org/spreadsheetml/2006/main" headerRowCount="0" ref="A46:AN46" displayName="Table_9" name="Table_9" id="13">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1" showColumnStripes="0" showFirstColumn="1" showLastColumn="1" showRowStripes="1"/>
</table>
</file>

<file path=xl/tables/table14.xml><?xml version="1.0" encoding="utf-8"?>
<table xmlns="http://schemas.openxmlformats.org/spreadsheetml/2006/main" headerRowCount="0" ref="A47:AN51" displayName="Table_10" name="Table_10" id="14">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2" showColumnStripes="0" showFirstColumn="1" showLastColumn="1" showRowStripes="1"/>
</table>
</file>

<file path=xl/tables/table15.xml><?xml version="1.0" encoding="utf-8"?>
<table xmlns="http://schemas.openxmlformats.org/spreadsheetml/2006/main" headerRowCount="0" ref="A52:AN52" displayName="Table_11" name="Table_11" id="15">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3" showColumnStripes="0" showFirstColumn="1" showLastColumn="1" showRowStripes="1"/>
</table>
</file>

<file path=xl/tables/table16.xml><?xml version="1.0" encoding="utf-8"?>
<table xmlns="http://schemas.openxmlformats.org/spreadsheetml/2006/main" headerRowCount="0" ref="A53:AN53" displayName="Table_12" name="Table_12" id="16">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4" showColumnStripes="0" showFirstColumn="1" showLastColumn="1" showRowStripes="1"/>
</table>
</file>

<file path=xl/tables/table17.xml><?xml version="1.0" encoding="utf-8"?>
<table xmlns="http://schemas.openxmlformats.org/spreadsheetml/2006/main" headerRowCount="0" ref="A54:AN59" displayName="Table_13" name="Table_13" id="17">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5" showColumnStripes="0" showFirstColumn="1" showLastColumn="1" showRowStripes="1"/>
</table>
</file>

<file path=xl/tables/table18.xml><?xml version="1.0" encoding="utf-8"?>
<table xmlns="http://schemas.openxmlformats.org/spreadsheetml/2006/main" headerRowCount="0" ref="A60:AN60" displayName="Table_14" name="Table_14" id="18">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6" showColumnStripes="0" showFirstColumn="1" showLastColumn="1" showRowStripes="1"/>
</table>
</file>

<file path=xl/tables/table19.xml><?xml version="1.0" encoding="utf-8"?>
<table xmlns="http://schemas.openxmlformats.org/spreadsheetml/2006/main" headerRowCount="0" ref="A61:AN61" displayName="Table_15" name="Table_15" id="19">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7" showColumnStripes="0" showFirstColumn="1" showLastColumn="1" showRowStripes="1"/>
</table>
</file>

<file path=xl/tables/table20.xml><?xml version="1.0" encoding="utf-8"?>
<table xmlns="http://schemas.openxmlformats.org/spreadsheetml/2006/main" headerRowCount="0" ref="A62:AN62" displayName="Table_16" name="Table_16" id="20">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8" showColumnStripes="0" showFirstColumn="1" showLastColumn="1" showRowStripes="1"/>
</table>
</file>

<file path=xl/tables/table21.xml><?xml version="1.0" encoding="utf-8"?>
<table xmlns="http://schemas.openxmlformats.org/spreadsheetml/2006/main" headerRowCount="0" ref="A63:AN64" displayName="Table_17" name="Table_17" id="21">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9" showColumnStripes="0" showFirstColumn="1" showLastColumn="1" showRowStripes="1"/>
</table>
</file>

<file path=xl/tables/table22.xml><?xml version="1.0" encoding="utf-8"?>
<table xmlns="http://schemas.openxmlformats.org/spreadsheetml/2006/main" headerRowCount="0" ref="A65:AN68" displayName="Table_18" name="Table_18" id="22">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2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jirasegurosbolivar.atlassian.net/browse/GD772-81" TargetMode="External"/><Relationship Id="rId3" Type="http://schemas.openxmlformats.org/officeDocument/2006/relationships/hyperlink" Target="https://imaginex-arlbolivar.segurosbolivar.com/incapacidad/radicar" TargetMode="External"/><Relationship Id="rId4" Type="http://schemas.openxmlformats.org/officeDocument/2006/relationships/hyperlink" Target="https://imaginex-arlbolivar.segurosbolivar.com/oficina/express/1" TargetMode="External"/><Relationship Id="rId10" Type="http://schemas.openxmlformats.org/officeDocument/2006/relationships/vmlDrawing" Target="../drawings/vmlDrawing1.vml"/><Relationship Id="rId12" Type="http://schemas.openxmlformats.org/officeDocument/2006/relationships/table" Target="../tables/table1.xml"/><Relationship Id="rId9" Type="http://schemas.openxmlformats.org/officeDocument/2006/relationships/drawing" Target="../drawings/drawing1.xml"/><Relationship Id="rId5" Type="http://schemas.openxmlformats.org/officeDocument/2006/relationships/hyperlink" Target="https://imaginex-portales.segurosbolivar.com/incapacidadeps/incapacidadeseps" TargetMode="External"/><Relationship Id="rId6" Type="http://schemas.openxmlformats.org/officeDocument/2006/relationships/hyperlink" Target="https://github.com/Imaginesas/bolivar_migration/compare/master...hotfix/yiras2810?expand=1" TargetMode="External"/><Relationship Id="rId7" Type="http://schemas.openxmlformats.org/officeDocument/2006/relationships/hyperlink" Target="https://github.com/Imaginesas/bolivar/compare/master...feature/flujo_modalidades_2?expand=1" TargetMode="External"/><Relationship Id="rId8" Type="http://schemas.openxmlformats.org/officeDocument/2006/relationships/hyperlink" Target="http://septiembre.se/"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5" Type="http://schemas.openxmlformats.org/officeDocument/2006/relationships/table" Target="../tables/table22.xml"/><Relationship Id="rId1" Type="http://schemas.openxmlformats.org/officeDocument/2006/relationships/hyperlink" Target="https://jirasegurosbolivar.atlassian.net/browse/GD772-102" TargetMode="External"/><Relationship Id="rId2" Type="http://schemas.openxmlformats.org/officeDocument/2006/relationships/hyperlink" Target="https://jirasegurosbolivar.atlassian.net/browse/GD772-81" TargetMode="External"/><Relationship Id="rId3" Type="http://schemas.openxmlformats.org/officeDocument/2006/relationships/hyperlink" Target="https://jirasegurosbolivar.atlassian.net/jira/servicedesk/projects/MDSB/issue/MDSB-803316" TargetMode="External"/><Relationship Id="rId4" Type="http://schemas.openxmlformats.org/officeDocument/2006/relationships/hyperlink" Target="https://jirasegurosbolivar.atlassian.net/browse/GD772-88" TargetMode="External"/><Relationship Id="rId26" Type="http://schemas.openxmlformats.org/officeDocument/2006/relationships/table" Target="../tables/table3.xml"/><Relationship Id="rId28" Type="http://schemas.openxmlformats.org/officeDocument/2006/relationships/table" Target="../tables/table5.xml"/><Relationship Id="rId27" Type="http://schemas.openxmlformats.org/officeDocument/2006/relationships/table" Target="../tables/table4.xml"/><Relationship Id="rId5" Type="http://schemas.openxmlformats.org/officeDocument/2006/relationships/drawing" Target="../drawings/drawing4.xml"/><Relationship Id="rId29" Type="http://schemas.openxmlformats.org/officeDocument/2006/relationships/table" Target="../tables/table6.xml"/><Relationship Id="rId31" Type="http://schemas.openxmlformats.org/officeDocument/2006/relationships/table" Target="../tables/table8.xml"/><Relationship Id="rId30" Type="http://schemas.openxmlformats.org/officeDocument/2006/relationships/table" Target="../tables/table7.xml"/><Relationship Id="rId33" Type="http://schemas.openxmlformats.org/officeDocument/2006/relationships/table" Target="../tables/table10.xml"/><Relationship Id="rId32" Type="http://schemas.openxmlformats.org/officeDocument/2006/relationships/table" Target="../tables/table9.xml"/><Relationship Id="rId35" Type="http://schemas.openxmlformats.org/officeDocument/2006/relationships/table" Target="../tables/table12.xml"/><Relationship Id="rId34" Type="http://schemas.openxmlformats.org/officeDocument/2006/relationships/table" Target="../tables/table11.xml"/><Relationship Id="rId37" Type="http://schemas.openxmlformats.org/officeDocument/2006/relationships/table" Target="../tables/table14.xml"/><Relationship Id="rId36" Type="http://schemas.openxmlformats.org/officeDocument/2006/relationships/table" Target="../tables/table13.xml"/><Relationship Id="rId39" Type="http://schemas.openxmlformats.org/officeDocument/2006/relationships/table" Target="../tables/table16.xml"/><Relationship Id="rId38" Type="http://schemas.openxmlformats.org/officeDocument/2006/relationships/table" Target="../tables/table15.xml"/></Relationships>
</file>

<file path=xl/worksheets/_rels/sheet5.xml.rels><?xml version="1.0" encoding="UTF-8" standalone="yes"?><Relationships xmlns="http://schemas.openxmlformats.org/package/2006/relationships"><Relationship Id="rId1" Type="http://schemas.openxmlformats.org/officeDocument/2006/relationships/hyperlink" Target="https://github.com/Imaginesas/bolivar/compare/master...hotfix/anadirBotonCedulas" TargetMode="External"/><Relationship Id="rId2" Type="http://schemas.openxmlformats.org/officeDocument/2006/relationships/hyperlink" Target="https://github.com/Imaginesas/bolivar/compare/master...hotfix/fechaEnGestionEdicion" TargetMode="External"/><Relationship Id="rId3" Type="http://schemas.openxmlformats.org/officeDocument/2006/relationships/hyperlink" Target="https://github.com/Imaginesas/bolivar/compare/master...hotfix/correosMasivos" TargetMode="External"/><Relationship Id="rId4" Type="http://schemas.openxmlformats.org/officeDocument/2006/relationships/hyperlink" Target="mailto:gestion.farmaceutica@segurosbolivar.com" TargetMode="External"/><Relationship Id="rId5" Type="http://schemas.openxmlformats.org/officeDocument/2006/relationships/hyperlink" Target="https://github.com/Imaginesas/bolivar_migration/compare/hotfix/repararInformeArl?expand=1" TargetMode="External"/><Relationship Id="rId6" Type="http://schemas.openxmlformats.org/officeDocument/2006/relationships/hyperlink" Target="https://github.com/Imaginesas/bolivar_migration/compare/master...hotfix/reportesParaProduccion?expand=1" TargetMode="External"/><Relationship Id="rId7" Type="http://schemas.openxmlformats.org/officeDocument/2006/relationships/hyperlink" Target="https://github.com/Imaginesas/portales/compare/master...hotfix/juntasFase1?expand=1" TargetMode="External"/><Relationship Id="rId8"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pageSetUpPr/>
  </sheetPr>
  <sheetViews>
    <sheetView workbookViewId="0"/>
  </sheetViews>
  <sheetFormatPr customHeight="1" defaultColWidth="11.22" defaultRowHeight="15.0"/>
  <cols>
    <col customWidth="1" min="1" max="1" width="11.56"/>
    <col customWidth="1" min="2" max="2" width="16.44"/>
    <col customWidth="1" min="3" max="3" width="36.89"/>
    <col customWidth="1" min="4" max="4" width="8.33"/>
    <col customWidth="1" hidden="1" min="5" max="5" width="36.22"/>
    <col customWidth="1" min="6" max="6" width="20.22"/>
    <col customWidth="1" min="7" max="7" width="6.78"/>
    <col customWidth="1" min="8" max="8" width="8.22"/>
    <col customWidth="1" min="9" max="9" width="10.44"/>
    <col customWidth="1" min="10" max="10" width="10.22"/>
    <col customWidth="1" min="11" max="11" width="8.78"/>
    <col customWidth="1" min="12" max="12" width="7.22"/>
    <col customWidth="1" min="13" max="13" width="8.78"/>
    <col customWidth="1" min="14" max="14" width="11.0"/>
    <col customWidth="1" min="15" max="15" width="10.56"/>
    <col customWidth="1" min="16" max="16" width="33.44"/>
    <col customWidth="1" min="17" max="17" width="11.22"/>
    <col customWidth="1" min="18" max="18" width="13.56"/>
    <col customWidth="1" min="19" max="19" width="10.56"/>
    <col customWidth="1" min="20" max="20" width="17.22"/>
    <col customWidth="1" min="21" max="66" width="10.56"/>
  </cols>
  <sheetData>
    <row r="1" ht="29.25" customHeight="1">
      <c r="A1" s="1" t="s">
        <v>0</v>
      </c>
      <c r="B1" s="2" t="s">
        <v>1</v>
      </c>
      <c r="C1" s="3" t="s">
        <v>2</v>
      </c>
      <c r="D1" s="4" t="s">
        <v>3</v>
      </c>
      <c r="E1" s="5" t="s">
        <v>4</v>
      </c>
      <c r="F1" s="6" t="s">
        <v>5</v>
      </c>
      <c r="G1" s="7" t="s">
        <v>6</v>
      </c>
      <c r="H1" s="8" t="s">
        <v>7</v>
      </c>
      <c r="I1" s="9" t="s">
        <v>8</v>
      </c>
      <c r="J1" s="9" t="s">
        <v>9</v>
      </c>
      <c r="K1" s="10" t="s">
        <v>10</v>
      </c>
      <c r="L1" s="10" t="s">
        <v>11</v>
      </c>
      <c r="M1" s="9" t="s">
        <v>12</v>
      </c>
      <c r="N1" s="9" t="s">
        <v>13</v>
      </c>
      <c r="O1" s="10" t="s">
        <v>14</v>
      </c>
      <c r="P1" s="11" t="s">
        <v>15</v>
      </c>
      <c r="Q1" s="12" t="s">
        <v>16</v>
      </c>
      <c r="R1" s="13" t="s">
        <v>17</v>
      </c>
      <c r="S1" s="7" t="s">
        <v>18</v>
      </c>
      <c r="T1" s="7" t="s">
        <v>19</v>
      </c>
      <c r="U1" s="14" t="s">
        <v>20</v>
      </c>
      <c r="V1" s="14" t="s">
        <v>21</v>
      </c>
      <c r="W1" s="14" t="s">
        <v>22</v>
      </c>
      <c r="X1" s="14" t="s">
        <v>23</v>
      </c>
      <c r="Y1" s="14" t="s">
        <v>24</v>
      </c>
      <c r="Z1" s="14" t="s">
        <v>25</v>
      </c>
      <c r="AA1" s="14" t="s">
        <v>26</v>
      </c>
      <c r="AB1" s="14" t="s">
        <v>27</v>
      </c>
      <c r="AC1" s="14" t="s">
        <v>28</v>
      </c>
      <c r="AD1" s="14" t="s">
        <v>29</v>
      </c>
      <c r="AE1" s="14" t="s">
        <v>30</v>
      </c>
      <c r="AF1" s="14" t="s">
        <v>31</v>
      </c>
      <c r="AG1" s="14" t="s">
        <v>32</v>
      </c>
      <c r="AH1" s="14" t="s">
        <v>33</v>
      </c>
      <c r="AI1" s="14" t="s">
        <v>34</v>
      </c>
      <c r="AJ1" s="14" t="s">
        <v>35</v>
      </c>
      <c r="AK1" s="14" t="s">
        <v>36</v>
      </c>
      <c r="AL1" s="14" t="s">
        <v>37</v>
      </c>
      <c r="AM1" s="14" t="s">
        <v>38</v>
      </c>
      <c r="AN1" s="14" t="s">
        <v>39</v>
      </c>
      <c r="AO1" s="14" t="s">
        <v>40</v>
      </c>
      <c r="AP1" s="14" t="s">
        <v>41</v>
      </c>
      <c r="AQ1" s="14" t="s">
        <v>42</v>
      </c>
      <c r="AR1" s="14" t="s">
        <v>43</v>
      </c>
      <c r="AS1" s="14" t="s">
        <v>44</v>
      </c>
      <c r="AT1" s="14" t="s">
        <v>45</v>
      </c>
      <c r="AU1" s="14" t="s">
        <v>46</v>
      </c>
      <c r="AV1" s="14" t="s">
        <v>47</v>
      </c>
      <c r="AW1" s="14" t="s">
        <v>48</v>
      </c>
      <c r="AX1" s="14" t="s">
        <v>49</v>
      </c>
      <c r="AY1" s="14" t="s">
        <v>50</v>
      </c>
      <c r="AZ1" s="14" t="s">
        <v>51</v>
      </c>
      <c r="BA1" s="12" t="s">
        <v>52</v>
      </c>
      <c r="BB1" s="12" t="s">
        <v>53</v>
      </c>
      <c r="BC1" s="12" t="s">
        <v>54</v>
      </c>
      <c r="BD1" s="12" t="s">
        <v>55</v>
      </c>
      <c r="BE1" s="12" t="s">
        <v>56</v>
      </c>
      <c r="BF1" s="12" t="s">
        <v>57</v>
      </c>
      <c r="BG1" s="12" t="s">
        <v>58</v>
      </c>
      <c r="BH1" s="12" t="s">
        <v>59</v>
      </c>
      <c r="BI1" s="12" t="s">
        <v>60</v>
      </c>
      <c r="BJ1" s="12" t="s">
        <v>61</v>
      </c>
      <c r="BK1" s="12" t="s">
        <v>62</v>
      </c>
      <c r="BL1" s="12" t="s">
        <v>63</v>
      </c>
      <c r="BM1" s="12" t="s">
        <v>64</v>
      </c>
      <c r="BN1" s="12" t="s">
        <v>65</v>
      </c>
    </row>
    <row r="2" ht="29.25" hidden="1" customHeight="1">
      <c r="A2" s="15" t="s">
        <v>66</v>
      </c>
      <c r="B2" s="16" t="s">
        <v>67</v>
      </c>
      <c r="C2" s="17" t="s">
        <v>68</v>
      </c>
      <c r="D2" s="17"/>
      <c r="E2" s="18"/>
      <c r="F2" s="19" t="s">
        <v>69</v>
      </c>
      <c r="G2" s="20">
        <v>90.0</v>
      </c>
      <c r="H2" s="21"/>
      <c r="I2" s="22">
        <v>45715.0</v>
      </c>
      <c r="J2" s="23">
        <v>45715.0</v>
      </c>
      <c r="K2" s="24">
        <v>45775.0</v>
      </c>
      <c r="L2" s="23"/>
      <c r="M2" s="25">
        <f>IF(ISBLANK(L2), NETWORKDAYS(J2, TODAY(),Hoja2!$A$1:$A$18), NETWORKDAYS(J2, L2, Hoja2!$A$1:$A$18))</f>
        <v>211</v>
      </c>
      <c r="N2" s="22">
        <v>45734.0</v>
      </c>
      <c r="O2" s="26"/>
      <c r="P2" s="27" t="s">
        <v>70</v>
      </c>
      <c r="Q2" s="28" t="s">
        <v>71</v>
      </c>
      <c r="R2" s="29"/>
      <c r="S2" s="29"/>
      <c r="T2" s="30"/>
      <c r="U2" s="31" t="s">
        <v>72</v>
      </c>
      <c r="V2" s="32"/>
      <c r="W2" s="32"/>
      <c r="X2" s="32"/>
      <c r="Y2" s="32"/>
      <c r="Z2" s="32"/>
      <c r="AA2" s="32"/>
      <c r="AB2" s="32"/>
      <c r="AC2" s="32"/>
      <c r="AD2" s="32"/>
      <c r="AE2" s="32"/>
      <c r="AF2" s="32"/>
      <c r="AG2" s="32"/>
      <c r="AH2" s="33"/>
      <c r="AI2" s="33"/>
      <c r="AJ2" s="33"/>
      <c r="AK2" s="33"/>
      <c r="AL2" s="33"/>
      <c r="AM2" s="33"/>
      <c r="AN2" s="33"/>
      <c r="AO2" s="33"/>
      <c r="AP2" s="33"/>
      <c r="AQ2" s="33"/>
      <c r="AR2" s="33"/>
      <c r="AS2" s="33"/>
      <c r="AT2" s="34">
        <v>1.0</v>
      </c>
      <c r="AU2" s="34"/>
      <c r="AV2" s="34"/>
      <c r="AW2" s="34"/>
      <c r="AX2" s="34"/>
      <c r="AY2" s="34"/>
      <c r="AZ2" s="34"/>
      <c r="BA2" s="34"/>
      <c r="BB2" s="34"/>
      <c r="BC2" s="34"/>
      <c r="BD2" s="34"/>
      <c r="BE2" s="34"/>
      <c r="BF2" s="34"/>
      <c r="BG2" s="34"/>
      <c r="BH2" s="34"/>
      <c r="BI2" s="34"/>
      <c r="BJ2" s="34"/>
      <c r="BK2" s="34"/>
      <c r="BL2" s="34"/>
      <c r="BM2" s="34"/>
      <c r="BN2" s="34"/>
    </row>
    <row r="3" ht="29.25" hidden="1" customHeight="1">
      <c r="A3" s="15" t="s">
        <v>66</v>
      </c>
      <c r="B3" s="16" t="s">
        <v>73</v>
      </c>
      <c r="C3" s="17" t="s">
        <v>74</v>
      </c>
      <c r="D3" s="17"/>
      <c r="E3" s="18"/>
      <c r="F3" s="19" t="s">
        <v>75</v>
      </c>
      <c r="G3" s="20">
        <v>100.0</v>
      </c>
      <c r="H3" s="21"/>
      <c r="I3" s="22">
        <v>45702.0</v>
      </c>
      <c r="J3" s="23">
        <v>45702.0</v>
      </c>
      <c r="K3" s="24">
        <v>45797.0</v>
      </c>
      <c r="L3" s="35">
        <v>45713.0</v>
      </c>
      <c r="M3" s="25">
        <f>IF(ISBLANK(L3), NETWORKDAYS(J3, TODAY(),Hoja2!$A$1:$A$18), NETWORKDAYS(J3, L3, Hoja2!$A$1:$A$18))</f>
        <v>8</v>
      </c>
      <c r="N3" s="22"/>
      <c r="O3" s="26"/>
      <c r="P3" s="36" t="s">
        <v>76</v>
      </c>
      <c r="Q3" s="28" t="s">
        <v>71</v>
      </c>
      <c r="R3" s="25"/>
      <c r="S3" s="25"/>
      <c r="T3" s="30"/>
      <c r="U3" s="37"/>
      <c r="V3" s="37"/>
      <c r="W3" s="37"/>
      <c r="X3" s="37"/>
      <c r="Y3" s="37"/>
      <c r="Z3" s="37"/>
      <c r="AA3" s="38" t="s">
        <v>77</v>
      </c>
      <c r="AB3" s="37"/>
      <c r="AC3" s="37"/>
      <c r="AD3" s="38" t="s">
        <v>78</v>
      </c>
      <c r="AE3" s="38" t="s">
        <v>79</v>
      </c>
      <c r="AF3" s="37"/>
      <c r="AG3" s="37"/>
      <c r="AH3" s="39" t="s">
        <v>80</v>
      </c>
      <c r="AI3" s="39" t="s">
        <v>81</v>
      </c>
      <c r="AJ3" s="39"/>
      <c r="AK3" s="39"/>
      <c r="AL3" s="39"/>
      <c r="AM3" s="39" t="s">
        <v>82</v>
      </c>
      <c r="AN3" s="39" t="s">
        <v>83</v>
      </c>
      <c r="AO3" s="39"/>
      <c r="AP3" s="39"/>
      <c r="AQ3" s="39" t="s">
        <v>84</v>
      </c>
      <c r="AR3" s="39"/>
      <c r="AS3" s="39"/>
      <c r="AT3" s="39" t="s">
        <v>85</v>
      </c>
      <c r="AU3" s="39"/>
      <c r="AV3" s="39"/>
      <c r="AW3" s="39"/>
      <c r="AX3" s="39"/>
      <c r="AY3" s="39"/>
      <c r="AZ3" s="39"/>
      <c r="BA3" s="39"/>
      <c r="BB3" s="39"/>
      <c r="BC3" s="39"/>
      <c r="BD3" s="39"/>
      <c r="BE3" s="39"/>
      <c r="BF3" s="39"/>
      <c r="BG3" s="39"/>
      <c r="BH3" s="39"/>
      <c r="BI3" s="39"/>
      <c r="BJ3" s="39"/>
      <c r="BK3" s="39"/>
      <c r="BL3" s="39"/>
      <c r="BM3" s="39"/>
      <c r="BN3" s="39"/>
    </row>
    <row r="4" ht="29.25" hidden="1" customHeight="1">
      <c r="A4" s="15" t="s">
        <v>66</v>
      </c>
      <c r="B4" s="16" t="s">
        <v>86</v>
      </c>
      <c r="C4" s="40" t="s">
        <v>87</v>
      </c>
      <c r="D4" s="41" t="s">
        <v>88</v>
      </c>
      <c r="E4" s="18"/>
      <c r="F4" s="19" t="s">
        <v>89</v>
      </c>
      <c r="G4" s="20">
        <v>95.0</v>
      </c>
      <c r="H4" s="21"/>
      <c r="I4" s="22">
        <v>45701.0</v>
      </c>
      <c r="J4" s="35">
        <v>45762.0</v>
      </c>
      <c r="K4" s="24">
        <v>45768.0</v>
      </c>
      <c r="L4" s="42">
        <v>45799.0</v>
      </c>
      <c r="M4" s="25">
        <f>IF(ISBLANK(L4), NETWORKDAYS(J4, TODAY(),Hoja2!$A$1:$A$18), NETWORKDAYS(J4, L4, Hoja2!$A$1:$A$18))</f>
        <v>28</v>
      </c>
      <c r="N4" s="43">
        <v>45939.0</v>
      </c>
      <c r="O4" s="26"/>
      <c r="P4" s="36" t="s">
        <v>90</v>
      </c>
      <c r="Q4" s="28" t="s">
        <v>91</v>
      </c>
      <c r="R4" s="44">
        <v>0.0</v>
      </c>
      <c r="S4" s="44" t="s">
        <v>92</v>
      </c>
      <c r="T4" s="45" t="s">
        <v>93</v>
      </c>
      <c r="U4" s="37"/>
      <c r="V4" s="37"/>
      <c r="W4" s="37"/>
      <c r="X4" s="37"/>
      <c r="Y4" s="37"/>
      <c r="Z4" s="37"/>
      <c r="AA4" s="46" t="s">
        <v>94</v>
      </c>
      <c r="AB4" s="47"/>
      <c r="AC4" s="46" t="s">
        <v>95</v>
      </c>
      <c r="AD4" s="46" t="s">
        <v>96</v>
      </c>
      <c r="AE4" s="46" t="s">
        <v>97</v>
      </c>
      <c r="AF4" s="46" t="s">
        <v>98</v>
      </c>
      <c r="AG4" s="46" t="s">
        <v>99</v>
      </c>
      <c r="AH4" s="48" t="s">
        <v>100</v>
      </c>
      <c r="AI4" s="48" t="s">
        <v>101</v>
      </c>
      <c r="AJ4" s="48"/>
      <c r="AK4" s="48"/>
      <c r="AL4" s="48"/>
      <c r="AM4" s="48"/>
      <c r="AN4" s="48" t="s">
        <v>102</v>
      </c>
      <c r="AO4" s="48"/>
      <c r="AP4" s="48"/>
      <c r="AQ4" s="48" t="s">
        <v>103</v>
      </c>
      <c r="AR4" s="34" t="s">
        <v>104</v>
      </c>
      <c r="AS4" s="34" t="s">
        <v>105</v>
      </c>
      <c r="AT4" s="34"/>
      <c r="AU4" s="34"/>
      <c r="AV4" s="34" t="s">
        <v>106</v>
      </c>
      <c r="AW4" s="34" t="s">
        <v>107</v>
      </c>
      <c r="AX4" s="34"/>
      <c r="AY4" s="34"/>
      <c r="AZ4" s="34" t="s">
        <v>108</v>
      </c>
      <c r="BA4" s="34" t="s">
        <v>109</v>
      </c>
      <c r="BB4" s="34" t="s">
        <v>110</v>
      </c>
      <c r="BC4" s="34" t="s">
        <v>111</v>
      </c>
      <c r="BD4" s="34"/>
      <c r="BE4" s="34" t="s">
        <v>112</v>
      </c>
      <c r="BF4" s="34" t="s">
        <v>113</v>
      </c>
      <c r="BG4" s="34" t="s">
        <v>114</v>
      </c>
      <c r="BH4" s="34" t="s">
        <v>115</v>
      </c>
      <c r="BI4" s="34" t="s">
        <v>116</v>
      </c>
      <c r="BJ4" s="34" t="s">
        <v>117</v>
      </c>
      <c r="BK4" s="34"/>
      <c r="BL4" s="34" t="s">
        <v>118</v>
      </c>
      <c r="BM4" s="34"/>
      <c r="BN4" s="34"/>
    </row>
    <row r="5" ht="29.25" hidden="1" customHeight="1">
      <c r="A5" s="15" t="s">
        <v>66</v>
      </c>
      <c r="B5" s="16" t="s">
        <v>119</v>
      </c>
      <c r="C5" s="40" t="s">
        <v>120</v>
      </c>
      <c r="D5" s="40"/>
      <c r="E5" s="18"/>
      <c r="F5" s="19" t="s">
        <v>121</v>
      </c>
      <c r="G5" s="29"/>
      <c r="H5" s="49"/>
      <c r="I5" s="22">
        <v>45712.0</v>
      </c>
      <c r="J5" s="23">
        <v>45715.0</v>
      </c>
      <c r="K5" s="50"/>
      <c r="L5" s="23">
        <v>45723.0</v>
      </c>
      <c r="M5" s="25">
        <f>IF(ISBLANK(L5), NETWORKDAYS(J5, TODAY(),Hoja2!$A$1:$A$18), NETWORKDAYS(J5, L5, Hoja2!$A$1:$A$18))</f>
        <v>7</v>
      </c>
      <c r="N5" s="22"/>
      <c r="O5" s="26"/>
      <c r="P5" s="51" t="s">
        <v>122</v>
      </c>
      <c r="Q5" s="28" t="s">
        <v>91</v>
      </c>
      <c r="R5" s="31"/>
      <c r="S5" s="31"/>
      <c r="T5" s="30"/>
      <c r="U5" s="32"/>
      <c r="V5" s="32"/>
      <c r="W5" s="32"/>
      <c r="X5" s="32"/>
      <c r="Y5" s="32"/>
      <c r="Z5" s="32"/>
      <c r="AA5" s="32"/>
      <c r="AB5" s="32"/>
      <c r="AC5" s="32"/>
      <c r="AD5" s="32"/>
      <c r="AE5" s="32"/>
      <c r="AF5" s="32"/>
      <c r="AG5" s="32"/>
      <c r="AH5" s="33"/>
      <c r="AI5" s="33"/>
      <c r="AJ5" s="33"/>
      <c r="AK5" s="33"/>
      <c r="AL5" s="33"/>
      <c r="AM5" s="33"/>
      <c r="AN5" s="33"/>
      <c r="AO5" s="33"/>
      <c r="AP5" s="33"/>
      <c r="AQ5" s="33"/>
      <c r="AR5" s="33"/>
      <c r="AS5" s="33"/>
      <c r="AT5" s="33"/>
      <c r="AU5" s="33"/>
      <c r="AV5" s="33"/>
      <c r="AW5" s="33"/>
      <c r="AX5" s="33"/>
      <c r="AY5" s="33"/>
      <c r="AZ5" s="33"/>
      <c r="BA5" s="33"/>
      <c r="BB5" s="33"/>
      <c r="BC5" s="33"/>
      <c r="BD5" s="33"/>
      <c r="BE5" s="33"/>
      <c r="BF5" s="33"/>
      <c r="BG5" s="33"/>
      <c r="BH5" s="33"/>
      <c r="BI5" s="33"/>
      <c r="BJ5" s="33"/>
      <c r="BK5" s="33"/>
      <c r="BL5" s="33"/>
      <c r="BM5" s="33"/>
      <c r="BN5" s="33"/>
    </row>
    <row r="6" ht="29.25" hidden="1" customHeight="1">
      <c r="A6" s="15" t="s">
        <v>66</v>
      </c>
      <c r="B6" s="16" t="s">
        <v>123</v>
      </c>
      <c r="C6" s="40" t="s">
        <v>124</v>
      </c>
      <c r="D6" s="40"/>
      <c r="E6" s="18"/>
      <c r="F6" s="19" t="s">
        <v>121</v>
      </c>
      <c r="G6" s="29"/>
      <c r="H6" s="49"/>
      <c r="I6" s="22">
        <v>45747.0</v>
      </c>
      <c r="J6" s="23">
        <v>45747.0</v>
      </c>
      <c r="K6" s="50"/>
      <c r="L6" s="23"/>
      <c r="M6" s="25">
        <f>IF(ISBLANK(L6), NETWORKDAYS(J6, TODAY(),Hoja2!$A$1:$A$18), NETWORKDAYS(J6, L6, Hoja2!$A$1:$A$18))</f>
        <v>189</v>
      </c>
      <c r="N6" s="22"/>
      <c r="O6" s="26"/>
      <c r="P6" s="51" t="s">
        <v>125</v>
      </c>
      <c r="Q6" s="28" t="s">
        <v>91</v>
      </c>
      <c r="R6" s="38"/>
      <c r="S6" s="38"/>
      <c r="T6" s="30"/>
      <c r="U6" s="37"/>
      <c r="V6" s="37"/>
      <c r="W6" s="37"/>
      <c r="X6" s="37"/>
      <c r="Y6" s="37"/>
      <c r="Z6" s="37"/>
      <c r="AA6" s="37"/>
      <c r="AB6" s="37"/>
      <c r="AC6" s="37"/>
      <c r="AD6" s="37"/>
      <c r="AE6" s="37"/>
      <c r="AF6" s="37"/>
      <c r="AG6" s="37"/>
      <c r="AH6" s="52"/>
      <c r="AI6" s="52"/>
      <c r="AJ6" s="52"/>
      <c r="AK6" s="52"/>
      <c r="AL6" s="52"/>
      <c r="AM6" s="52"/>
      <c r="AN6" s="52"/>
      <c r="AO6" s="52"/>
      <c r="AP6" s="52"/>
      <c r="AQ6" s="52"/>
      <c r="AR6" s="52"/>
      <c r="AS6" s="52"/>
      <c r="AT6" s="52"/>
      <c r="AU6" s="52"/>
      <c r="AV6" s="52"/>
      <c r="AW6" s="52"/>
      <c r="AX6" s="52"/>
      <c r="AY6" s="52"/>
      <c r="AZ6" s="52"/>
      <c r="BA6" s="52"/>
      <c r="BB6" s="52"/>
      <c r="BC6" s="52"/>
      <c r="BD6" s="52"/>
      <c r="BE6" s="52"/>
      <c r="BF6" s="52"/>
      <c r="BG6" s="52"/>
      <c r="BH6" s="52"/>
      <c r="BI6" s="52"/>
      <c r="BJ6" s="52"/>
      <c r="BK6" s="52"/>
      <c r="BL6" s="52"/>
      <c r="BM6" s="52"/>
      <c r="BN6" s="52"/>
    </row>
    <row r="7" ht="39.0" hidden="1" customHeight="1">
      <c r="A7" s="53" t="s">
        <v>126</v>
      </c>
      <c r="B7" s="16" t="s">
        <v>127</v>
      </c>
      <c r="C7" s="54" t="s">
        <v>128</v>
      </c>
      <c r="D7" s="54"/>
      <c r="E7" s="55"/>
      <c r="F7" s="19" t="s">
        <v>75</v>
      </c>
      <c r="G7" s="56">
        <v>100.0</v>
      </c>
      <c r="H7" s="57"/>
      <c r="I7" s="58">
        <v>45719.0</v>
      </c>
      <c r="J7" s="59">
        <v>45779.0</v>
      </c>
      <c r="K7" s="59">
        <v>45793.0</v>
      </c>
      <c r="L7" s="59">
        <v>45791.0</v>
      </c>
      <c r="M7" s="25">
        <f>IF(ISBLANK(L7), NETWORKDAYS(J7, TODAY(),Hoja2!$A$1:$A$18), NETWORKDAYS(J7, L7, Hoja2!$A$1:$A$18))</f>
        <v>9</v>
      </c>
      <c r="N7" s="58"/>
      <c r="O7" s="60">
        <v>45883.0</v>
      </c>
      <c r="P7" s="61" t="s">
        <v>129</v>
      </c>
      <c r="Q7" s="28" t="s">
        <v>71</v>
      </c>
      <c r="R7" s="56"/>
      <c r="S7" s="56" t="s">
        <v>130</v>
      </c>
      <c r="T7" s="62" t="s">
        <v>131</v>
      </c>
      <c r="U7" s="63" t="s">
        <v>132</v>
      </c>
      <c r="V7" s="63" t="s">
        <v>133</v>
      </c>
      <c r="W7" s="63" t="s">
        <v>134</v>
      </c>
      <c r="X7" s="64"/>
      <c r="Y7" s="63" t="s">
        <v>135</v>
      </c>
      <c r="Z7" s="63" t="s">
        <v>136</v>
      </c>
      <c r="AA7" s="63" t="s">
        <v>137</v>
      </c>
      <c r="AB7" s="64"/>
      <c r="AC7" s="63" t="s">
        <v>138</v>
      </c>
      <c r="AD7" s="63" t="s">
        <v>139</v>
      </c>
      <c r="AE7" s="63" t="s">
        <v>140</v>
      </c>
      <c r="AF7" s="63" t="s">
        <v>141</v>
      </c>
      <c r="AG7" s="64"/>
      <c r="AH7" s="65" t="s">
        <v>142</v>
      </c>
      <c r="AI7" s="65" t="s">
        <v>143</v>
      </c>
      <c r="AJ7" s="65" t="s">
        <v>144</v>
      </c>
      <c r="AK7" s="65" t="s">
        <v>145</v>
      </c>
      <c r="AL7" s="65" t="s">
        <v>146</v>
      </c>
      <c r="AM7" s="65" t="s">
        <v>147</v>
      </c>
      <c r="AN7" s="65" t="s">
        <v>148</v>
      </c>
      <c r="AO7" s="65"/>
      <c r="AP7" s="65" t="s">
        <v>149</v>
      </c>
      <c r="AQ7" s="65"/>
      <c r="AR7" s="65"/>
      <c r="AS7" s="65"/>
      <c r="AT7" s="65" t="s">
        <v>150</v>
      </c>
      <c r="AU7" s="65"/>
      <c r="AV7" s="65"/>
      <c r="AW7" s="65"/>
      <c r="BE7" s="65" t="s">
        <v>151</v>
      </c>
      <c r="BF7" s="65"/>
      <c r="BG7" s="65"/>
      <c r="BH7" s="65"/>
      <c r="BI7" s="65" t="s">
        <v>152</v>
      </c>
      <c r="BJ7" s="65" t="s">
        <v>153</v>
      </c>
      <c r="BK7" s="65"/>
      <c r="BL7" s="65" t="s">
        <v>154</v>
      </c>
      <c r="BM7" s="65"/>
      <c r="BN7" s="65"/>
    </row>
    <row r="8" ht="29.25" hidden="1" customHeight="1">
      <c r="A8" s="53" t="s">
        <v>155</v>
      </c>
      <c r="B8" s="16" t="s">
        <v>156</v>
      </c>
      <c r="C8" s="17" t="s">
        <v>157</v>
      </c>
      <c r="D8" s="17"/>
      <c r="E8" s="66" t="s">
        <v>158</v>
      </c>
      <c r="F8" s="19" t="s">
        <v>75</v>
      </c>
      <c r="G8" s="56">
        <v>100.0</v>
      </c>
      <c r="H8" s="67"/>
      <c r="I8" s="58">
        <v>45730.0</v>
      </c>
      <c r="J8" s="68">
        <v>45733.0</v>
      </c>
      <c r="K8" s="23"/>
      <c r="L8" s="35">
        <v>45824.0</v>
      </c>
      <c r="M8" s="25">
        <f>IF(ISBLANK(L8), NETWORKDAYS(J8, TODAY(),Hoja2!$A$1:$A$18), NETWORKDAYS(J8, L8, Hoja2!$A$1:$A$18))</f>
        <v>66</v>
      </c>
      <c r="N8" s="58"/>
      <c r="O8" s="69"/>
      <c r="P8" s="70" t="s">
        <v>159</v>
      </c>
      <c r="Q8" s="28" t="s">
        <v>71</v>
      </c>
      <c r="R8" s="71"/>
      <c r="S8" s="71"/>
      <c r="T8" s="72"/>
      <c r="U8" s="73"/>
      <c r="V8" s="73"/>
      <c r="W8" s="73"/>
      <c r="X8" s="73"/>
      <c r="Y8" s="73"/>
      <c r="Z8" s="73"/>
      <c r="AA8" s="73"/>
      <c r="AB8" s="73"/>
      <c r="AC8" s="73"/>
      <c r="AD8" s="73"/>
      <c r="AE8" s="73"/>
      <c r="AF8" s="73"/>
      <c r="AG8" s="73"/>
      <c r="AH8" s="74"/>
      <c r="AI8" s="74"/>
      <c r="AJ8" s="74"/>
      <c r="AK8" s="74"/>
      <c r="AL8" s="74"/>
      <c r="AM8" s="74"/>
      <c r="AN8" s="74"/>
      <c r="AO8" s="75" t="s">
        <v>160</v>
      </c>
      <c r="AP8" s="74"/>
      <c r="AQ8" s="74"/>
      <c r="AR8" s="74"/>
      <c r="AS8" s="74"/>
      <c r="AT8" s="75" t="s">
        <v>161</v>
      </c>
      <c r="AU8" s="75"/>
      <c r="AV8" s="75"/>
      <c r="AW8" s="75"/>
      <c r="AX8" s="75"/>
      <c r="AY8" s="75"/>
      <c r="AZ8" s="75"/>
      <c r="BA8" s="75"/>
      <c r="BB8" s="75"/>
      <c r="BC8" s="75"/>
      <c r="BD8" s="75"/>
      <c r="BE8" s="75"/>
      <c r="BF8" s="75"/>
      <c r="BG8" s="75"/>
      <c r="BH8" s="75"/>
      <c r="BI8" s="75"/>
      <c r="BJ8" s="75"/>
      <c r="BK8" s="75"/>
      <c r="BL8" s="75"/>
      <c r="BM8" s="75"/>
      <c r="BN8" s="75"/>
    </row>
    <row r="9" ht="29.25" hidden="1" customHeight="1">
      <c r="A9" s="53" t="s">
        <v>155</v>
      </c>
      <c r="B9" s="16" t="s">
        <v>162</v>
      </c>
      <c r="C9" s="76" t="s">
        <v>163</v>
      </c>
      <c r="D9" s="76"/>
      <c r="E9" s="55"/>
      <c r="F9" s="19" t="s">
        <v>121</v>
      </c>
      <c r="G9" s="56">
        <v>97.0</v>
      </c>
      <c r="H9" s="29"/>
      <c r="I9" s="58">
        <v>45691.0</v>
      </c>
      <c r="J9" s="68">
        <v>45688.0</v>
      </c>
      <c r="K9" s="23">
        <v>45691.0</v>
      </c>
      <c r="L9" s="23">
        <v>45700.0</v>
      </c>
      <c r="M9" s="77">
        <f>IF(ISBLANK(L9), NETWORKDAYS(J9, TODAY(),Hoja2!$A$1:$A$18), NETWORKDAYS(J9, L9, Hoja2!$A$1:$A$18))</f>
        <v>9</v>
      </c>
      <c r="N9" s="58">
        <v>45723.0</v>
      </c>
      <c r="O9" s="69"/>
      <c r="P9" s="78" t="s">
        <v>164</v>
      </c>
      <c r="Q9" s="28" t="s">
        <v>91</v>
      </c>
      <c r="R9" s="56"/>
      <c r="S9" s="56" t="s">
        <v>165</v>
      </c>
      <c r="T9" s="62" t="s">
        <v>166</v>
      </c>
      <c r="U9" s="79"/>
      <c r="V9" s="79"/>
      <c r="W9" s="79"/>
      <c r="X9" s="79"/>
      <c r="Y9" s="79"/>
      <c r="Z9" s="79"/>
      <c r="AA9" s="79"/>
      <c r="AB9" s="79"/>
      <c r="AC9" s="79"/>
      <c r="AD9" s="79"/>
      <c r="AE9" s="79"/>
      <c r="AF9" s="79"/>
      <c r="AG9" s="79"/>
      <c r="AH9" s="80"/>
      <c r="AI9" s="80"/>
      <c r="AJ9" s="80"/>
      <c r="AK9" s="80"/>
      <c r="AL9" s="80"/>
      <c r="AM9" s="80"/>
      <c r="AN9" s="81" t="s">
        <v>167</v>
      </c>
      <c r="AO9" s="81"/>
      <c r="AP9" s="80"/>
      <c r="AQ9" s="81" t="s">
        <v>168</v>
      </c>
      <c r="AR9" s="81" t="s">
        <v>169</v>
      </c>
      <c r="AS9" s="81"/>
      <c r="AT9" s="81"/>
      <c r="AU9" s="81"/>
      <c r="AV9" s="81"/>
      <c r="AW9" s="81"/>
      <c r="AX9" s="81"/>
      <c r="AY9" s="81"/>
      <c r="AZ9" s="81"/>
      <c r="BA9" s="81"/>
      <c r="BB9" s="81"/>
      <c r="BC9" s="81"/>
      <c r="BD9" s="81" t="s">
        <v>170</v>
      </c>
      <c r="BE9" s="81" t="s">
        <v>171</v>
      </c>
      <c r="BF9" s="81"/>
      <c r="BG9" s="81"/>
      <c r="BH9" s="81"/>
      <c r="BI9" s="81"/>
      <c r="BJ9" s="81"/>
      <c r="BK9" s="81"/>
      <c r="BL9" s="81"/>
      <c r="BM9" s="81"/>
      <c r="BN9" s="81"/>
    </row>
    <row r="10" ht="29.25" hidden="1" customHeight="1">
      <c r="A10" s="53" t="s">
        <v>155</v>
      </c>
      <c r="B10" s="16" t="s">
        <v>172</v>
      </c>
      <c r="C10" s="76" t="s">
        <v>173</v>
      </c>
      <c r="D10" s="76"/>
      <c r="E10" s="55"/>
      <c r="F10" s="19" t="s">
        <v>121</v>
      </c>
      <c r="G10" s="56">
        <v>97.0</v>
      </c>
      <c r="H10" s="29"/>
      <c r="I10" s="58">
        <v>45761.0</v>
      </c>
      <c r="J10" s="68">
        <v>45761.0</v>
      </c>
      <c r="K10" s="23"/>
      <c r="L10" s="59">
        <v>45771.0</v>
      </c>
      <c r="M10" s="77">
        <f>IF(ISBLANK(L10), NETWORKDAYS(J10, TODAY(),Hoja2!$A$1:$A$18), NETWORKDAYS(J10, L10, Hoja2!$A$1:$A$18))</f>
        <v>9</v>
      </c>
      <c r="N10" s="82">
        <v>45771.0</v>
      </c>
      <c r="O10" s="69"/>
      <c r="P10" s="78" t="s">
        <v>174</v>
      </c>
      <c r="Q10" s="28" t="s">
        <v>91</v>
      </c>
      <c r="R10" s="56"/>
      <c r="S10" s="56" t="s">
        <v>165</v>
      </c>
      <c r="T10" s="62" t="s">
        <v>166</v>
      </c>
      <c r="U10" s="79"/>
      <c r="V10" s="79"/>
      <c r="W10" s="79"/>
      <c r="X10" s="79"/>
      <c r="Y10" s="79"/>
      <c r="Z10" s="79"/>
      <c r="AA10" s="83" t="s">
        <v>175</v>
      </c>
      <c r="AB10" s="84"/>
      <c r="AC10" s="84"/>
      <c r="AD10" s="84"/>
      <c r="AE10" s="83" t="s">
        <v>176</v>
      </c>
      <c r="AF10" s="83" t="s">
        <v>177</v>
      </c>
      <c r="AG10" s="83" t="s">
        <v>178</v>
      </c>
      <c r="AH10" s="81" t="s">
        <v>179</v>
      </c>
      <c r="AI10" s="81"/>
      <c r="AJ10" s="81"/>
      <c r="AK10" s="81"/>
      <c r="AL10" s="81"/>
      <c r="AM10" s="81"/>
      <c r="AN10" s="81" t="s">
        <v>167</v>
      </c>
      <c r="AO10" s="81"/>
      <c r="AP10" s="81"/>
      <c r="AQ10" s="81" t="s">
        <v>168</v>
      </c>
      <c r="AR10" s="81" t="s">
        <v>169</v>
      </c>
      <c r="AS10" s="81"/>
      <c r="AT10" s="81"/>
      <c r="AU10" s="81"/>
      <c r="AV10" s="81"/>
      <c r="AW10" s="81"/>
      <c r="AX10" s="81"/>
      <c r="AY10" s="81"/>
      <c r="AZ10" s="81"/>
      <c r="BA10" s="81"/>
      <c r="BB10" s="81"/>
      <c r="BC10" s="81"/>
      <c r="BD10" s="81" t="s">
        <v>170</v>
      </c>
      <c r="BE10" s="81"/>
      <c r="BF10" s="81"/>
      <c r="BG10" s="81"/>
      <c r="BH10" s="81"/>
      <c r="BI10" s="81"/>
      <c r="BJ10" s="81"/>
      <c r="BK10" s="81"/>
      <c r="BL10" s="81"/>
      <c r="BM10" s="81"/>
      <c r="BN10" s="81"/>
    </row>
    <row r="11" ht="29.25" hidden="1" customHeight="1">
      <c r="A11" s="53" t="s">
        <v>155</v>
      </c>
      <c r="B11" s="16" t="s">
        <v>180</v>
      </c>
      <c r="C11" s="76" t="s">
        <v>181</v>
      </c>
      <c r="D11" s="76"/>
      <c r="E11" s="85"/>
      <c r="F11" s="86" t="s">
        <v>75</v>
      </c>
      <c r="G11" s="56">
        <v>100.0</v>
      </c>
      <c r="H11" s="56">
        <v>9.0</v>
      </c>
      <c r="I11" s="82">
        <v>45814.0</v>
      </c>
      <c r="J11" s="59">
        <v>45826.0</v>
      </c>
      <c r="K11" s="59">
        <v>45842.0</v>
      </c>
      <c r="L11" s="59">
        <v>45849.0</v>
      </c>
      <c r="M11" s="77">
        <f>IF(ISBLANK(L11), NETWORKDAYS(J11, TODAY(),Hoja2!$A$1:$A$18), NETWORKDAYS(J11, L11, Hoja2!$A$1:$A$18))</f>
        <v>18</v>
      </c>
      <c r="N11" s="82">
        <v>45849.0</v>
      </c>
      <c r="O11" s="60">
        <v>45924.0</v>
      </c>
      <c r="P11" s="87" t="s">
        <v>182</v>
      </c>
      <c r="Q11" s="28" t="s">
        <v>71</v>
      </c>
      <c r="R11" s="56"/>
      <c r="S11" s="56" t="s">
        <v>183</v>
      </c>
      <c r="T11" s="62" t="s">
        <v>184</v>
      </c>
      <c r="U11" s="88"/>
      <c r="V11" s="88"/>
      <c r="W11" s="89"/>
      <c r="X11" s="90"/>
      <c r="Y11" s="89"/>
      <c r="Z11" s="89"/>
      <c r="AA11" s="89"/>
      <c r="AB11" s="90"/>
      <c r="AC11" s="90"/>
      <c r="AD11" s="90"/>
      <c r="AE11" s="90"/>
      <c r="AF11" s="90"/>
      <c r="AG11" s="90"/>
      <c r="AH11" s="91"/>
      <c r="AI11" s="91"/>
      <c r="AJ11" s="92"/>
      <c r="AK11" s="92"/>
      <c r="AL11" s="92" t="s">
        <v>185</v>
      </c>
      <c r="AM11" s="92"/>
      <c r="AN11" s="92"/>
      <c r="AO11" s="92" t="s">
        <v>186</v>
      </c>
      <c r="AP11" s="92" t="s">
        <v>187</v>
      </c>
      <c r="AQ11" s="92" t="s">
        <v>188</v>
      </c>
      <c r="AR11" s="92" t="s">
        <v>189</v>
      </c>
      <c r="AS11" s="92"/>
      <c r="AT11" s="92" t="s">
        <v>190</v>
      </c>
      <c r="AU11" s="92"/>
      <c r="AV11" s="92" t="s">
        <v>191</v>
      </c>
      <c r="AW11" s="92" t="s">
        <v>192</v>
      </c>
      <c r="AX11" s="92" t="s">
        <v>193</v>
      </c>
      <c r="AY11" s="92"/>
      <c r="AZ11" s="92" t="s">
        <v>194</v>
      </c>
      <c r="BA11" s="92" t="s">
        <v>195</v>
      </c>
      <c r="BB11" s="92" t="s">
        <v>196</v>
      </c>
      <c r="BC11" s="92" t="s">
        <v>197</v>
      </c>
      <c r="BD11" s="92"/>
      <c r="BE11" s="92" t="s">
        <v>198</v>
      </c>
      <c r="BF11" s="92"/>
      <c r="BG11" s="92" t="s">
        <v>199</v>
      </c>
      <c r="BH11" s="92"/>
      <c r="BI11" s="92" t="s">
        <v>200</v>
      </c>
      <c r="BJ11" s="92"/>
      <c r="BK11" s="92"/>
      <c r="BL11" s="92" t="s">
        <v>201</v>
      </c>
      <c r="BM11" s="92"/>
      <c r="BN11" s="92"/>
    </row>
    <row r="12" ht="29.25" customHeight="1">
      <c r="A12" s="93" t="s">
        <v>155</v>
      </c>
      <c r="B12" s="94" t="s">
        <v>202</v>
      </c>
      <c r="C12" s="95" t="s">
        <v>203</v>
      </c>
      <c r="D12" s="96" t="s">
        <v>204</v>
      </c>
      <c r="E12" s="97"/>
      <c r="F12" s="19" t="s">
        <v>205</v>
      </c>
      <c r="G12" s="98">
        <v>90.0</v>
      </c>
      <c r="H12" s="99"/>
      <c r="I12" s="100">
        <v>45958.0</v>
      </c>
      <c r="J12" s="101">
        <v>45988.0</v>
      </c>
      <c r="K12" s="101"/>
      <c r="L12" s="101">
        <v>46000.0</v>
      </c>
      <c r="M12" s="25">
        <f>IF(ISBLANK(L12), NETWORKDAYS(J12, TODAY(),Hoja2!$A$1:$A$18), NETWORKDAYS(J12, L12, Hoja2!$A$1:$A$18))</f>
        <v>9</v>
      </c>
      <c r="N12" s="100">
        <v>45995.0</v>
      </c>
      <c r="O12" s="102"/>
      <c r="P12" s="31" t="s">
        <v>206</v>
      </c>
      <c r="Q12" s="28" t="s">
        <v>71</v>
      </c>
      <c r="R12" s="103"/>
      <c r="S12" s="103"/>
      <c r="T12" s="104"/>
      <c r="U12" s="105"/>
      <c r="V12" s="105"/>
      <c r="W12" s="105"/>
      <c r="X12" s="105"/>
      <c r="Y12" s="105"/>
      <c r="Z12" s="105"/>
      <c r="AA12" s="105"/>
      <c r="AB12" s="105"/>
      <c r="AC12" s="105"/>
      <c r="AD12" s="105"/>
      <c r="AE12" s="105"/>
      <c r="AF12" s="105"/>
      <c r="AG12" s="105"/>
      <c r="AH12" s="106"/>
      <c r="AI12" s="106"/>
      <c r="AJ12" s="106"/>
      <c r="AK12" s="106"/>
      <c r="AL12" s="106"/>
      <c r="AM12" s="106"/>
      <c r="AN12" s="106"/>
      <c r="AO12" s="106"/>
      <c r="AP12" s="106"/>
      <c r="AQ12" s="106"/>
      <c r="AR12" s="106"/>
      <c r="AS12" s="106"/>
      <c r="AT12" s="106"/>
      <c r="AU12" s="106"/>
      <c r="AV12" s="106"/>
      <c r="AW12" s="106"/>
      <c r="AX12" s="106"/>
      <c r="AY12" s="106"/>
      <c r="AZ12" s="106"/>
      <c r="BA12" s="106"/>
      <c r="BB12" s="106"/>
      <c r="BC12" s="106"/>
      <c r="BD12" s="106"/>
      <c r="BE12" s="106"/>
      <c r="BF12" s="106"/>
      <c r="BG12" s="106"/>
      <c r="BH12" s="106"/>
      <c r="BI12" s="106"/>
      <c r="BJ12" s="106"/>
      <c r="BK12" s="106"/>
      <c r="BL12" s="106"/>
      <c r="BM12" s="106"/>
      <c r="BN12" s="106"/>
    </row>
    <row r="13" ht="29.25" hidden="1" customHeight="1">
      <c r="A13" s="53" t="s">
        <v>207</v>
      </c>
      <c r="B13" s="107" t="s">
        <v>208</v>
      </c>
      <c r="C13" s="108" t="s">
        <v>209</v>
      </c>
      <c r="D13" s="109"/>
      <c r="E13" s="85"/>
      <c r="F13" s="86" t="s">
        <v>75</v>
      </c>
      <c r="G13" s="56">
        <v>100.0</v>
      </c>
      <c r="H13" s="56"/>
      <c r="I13" s="82">
        <v>45938.0</v>
      </c>
      <c r="J13" s="59">
        <v>45938.0</v>
      </c>
      <c r="K13" s="59"/>
      <c r="L13" s="59">
        <v>45946.0</v>
      </c>
      <c r="M13" s="77">
        <f>IF(ISBLANK(L13), NETWORKDAYS(J13, TODAY(),Hoja2!$A$1:$A$18), NETWORKDAYS(J13, L13, Hoja2!$A$1:$A$18))</f>
        <v>7</v>
      </c>
      <c r="N13" s="82"/>
      <c r="O13" s="60"/>
      <c r="P13" s="87" t="s">
        <v>210</v>
      </c>
      <c r="Q13" s="28" t="s">
        <v>71</v>
      </c>
      <c r="R13" s="56"/>
      <c r="S13" s="56"/>
      <c r="T13" s="110"/>
      <c r="U13" s="88"/>
      <c r="V13" s="88"/>
      <c r="W13" s="89"/>
      <c r="X13" s="90"/>
      <c r="Y13" s="89"/>
      <c r="Z13" s="89"/>
      <c r="AA13" s="89"/>
      <c r="AB13" s="90"/>
      <c r="AC13" s="90"/>
      <c r="AD13" s="90"/>
      <c r="AE13" s="90"/>
      <c r="AF13" s="90"/>
      <c r="AG13" s="90"/>
      <c r="AH13" s="91"/>
      <c r="AI13" s="91"/>
      <c r="AJ13" s="92"/>
      <c r="AK13" s="92"/>
      <c r="AL13" s="92"/>
      <c r="AM13" s="92"/>
      <c r="AN13" s="92"/>
      <c r="AO13" s="92"/>
      <c r="AP13" s="92"/>
      <c r="AQ13" s="92"/>
      <c r="AR13" s="92"/>
      <c r="AS13" s="92"/>
      <c r="AT13" s="92"/>
      <c r="AU13" s="92"/>
      <c r="AV13" s="92"/>
      <c r="AW13" s="92"/>
      <c r="AX13" s="92"/>
      <c r="AY13" s="92"/>
      <c r="AZ13" s="92"/>
      <c r="BA13" s="92"/>
      <c r="BB13" s="92"/>
      <c r="BC13" s="92"/>
      <c r="BD13" s="92"/>
      <c r="BE13" s="92"/>
      <c r="BF13" s="92"/>
      <c r="BG13" s="92"/>
      <c r="BH13" s="92"/>
      <c r="BI13" s="92"/>
      <c r="BJ13" s="92"/>
      <c r="BK13" s="92"/>
      <c r="BL13" s="92"/>
      <c r="BM13" s="92"/>
      <c r="BN13" s="92"/>
    </row>
    <row r="14" ht="29.25" customHeight="1">
      <c r="A14" s="93" t="s">
        <v>211</v>
      </c>
      <c r="B14" s="94" t="s">
        <v>212</v>
      </c>
      <c r="C14" s="111" t="s">
        <v>213</v>
      </c>
      <c r="D14" s="112"/>
      <c r="E14" s="97"/>
      <c r="F14" s="113" t="s">
        <v>214</v>
      </c>
      <c r="G14" s="98">
        <v>70.0</v>
      </c>
      <c r="H14" s="98">
        <v>3.0</v>
      </c>
      <c r="I14" s="100">
        <v>46001.0</v>
      </c>
      <c r="J14" s="101">
        <v>45972.0</v>
      </c>
      <c r="K14" s="101">
        <v>45970.0</v>
      </c>
      <c r="L14" s="101"/>
      <c r="M14" s="25">
        <f>IF(ISBLANK(L14), NETWORKDAYS(J14, TODAY(),Hoja2!$A$1:$A$18), NETWORKDAYS(J14, L14, Hoja2!$A$1:$A$18))</f>
        <v>28</v>
      </c>
      <c r="N14" s="100"/>
      <c r="O14" s="102"/>
      <c r="P14" s="31" t="s">
        <v>215</v>
      </c>
      <c r="Q14" s="114" t="s">
        <v>71</v>
      </c>
      <c r="R14" s="98"/>
      <c r="S14" s="98"/>
      <c r="T14" s="104"/>
      <c r="U14" s="115"/>
      <c r="V14" s="105"/>
      <c r="W14" s="105"/>
      <c r="X14" s="105"/>
      <c r="Y14" s="105"/>
      <c r="Z14" s="105"/>
      <c r="AA14" s="105"/>
      <c r="AB14" s="105"/>
      <c r="AC14" s="105"/>
      <c r="AD14" s="105"/>
      <c r="AE14" s="105"/>
      <c r="AF14" s="105"/>
      <c r="AG14" s="105"/>
      <c r="AH14" s="106"/>
      <c r="AI14" s="106"/>
      <c r="AJ14" s="106"/>
      <c r="AK14" s="106"/>
      <c r="AL14" s="106"/>
      <c r="AM14" s="106"/>
      <c r="AN14" s="106"/>
      <c r="AO14" s="106"/>
      <c r="AP14" s="106"/>
      <c r="AQ14" s="106"/>
      <c r="AR14" s="106"/>
      <c r="AS14" s="106"/>
      <c r="AT14" s="106"/>
      <c r="AU14" s="106"/>
      <c r="AV14" s="106"/>
      <c r="AW14" s="106"/>
      <c r="AX14" s="106"/>
      <c r="AY14" s="106"/>
      <c r="AZ14" s="106"/>
      <c r="BA14" s="106"/>
      <c r="BB14" s="106"/>
      <c r="BC14" s="106"/>
      <c r="BD14" s="106"/>
      <c r="BE14" s="106"/>
      <c r="BF14" s="106"/>
      <c r="BG14" s="106"/>
      <c r="BH14" s="106"/>
      <c r="BI14" s="106"/>
      <c r="BJ14" s="106"/>
      <c r="BK14" s="106"/>
      <c r="BL14" s="106"/>
      <c r="BM14" s="106"/>
      <c r="BN14" s="106"/>
    </row>
    <row r="15" ht="29.25" hidden="1" customHeight="1">
      <c r="A15" s="53" t="s">
        <v>155</v>
      </c>
      <c r="B15" s="107" t="s">
        <v>216</v>
      </c>
      <c r="C15" s="108" t="s">
        <v>217</v>
      </c>
      <c r="D15" s="116" t="s">
        <v>218</v>
      </c>
      <c r="E15" s="117"/>
      <c r="F15" s="118" t="s">
        <v>75</v>
      </c>
      <c r="G15" s="56">
        <v>100.0</v>
      </c>
      <c r="H15" s="119"/>
      <c r="I15" s="82">
        <v>45894.0</v>
      </c>
      <c r="J15" s="59">
        <v>45894.0</v>
      </c>
      <c r="K15" s="68"/>
      <c r="L15" s="59">
        <v>45895.0</v>
      </c>
      <c r="M15" s="25">
        <f>IF(ISBLANK(L15), NETWORKDAYS(J15, TODAY(),Hoja2!$A$1:$A$18), NETWORKDAYS(J15, L15, Hoja2!$A$1:$A$18))</f>
        <v>2</v>
      </c>
      <c r="N15" s="82">
        <v>45898.0</v>
      </c>
      <c r="O15" s="69"/>
      <c r="P15" s="61" t="s">
        <v>219</v>
      </c>
      <c r="Q15" s="114" t="s">
        <v>71</v>
      </c>
      <c r="R15" s="71"/>
      <c r="S15" s="71"/>
      <c r="T15" s="72"/>
      <c r="U15" s="120"/>
      <c r="V15" s="120"/>
      <c r="W15" s="120"/>
      <c r="X15" s="120"/>
      <c r="Y15" s="120"/>
      <c r="Z15" s="120"/>
      <c r="AA15" s="120"/>
      <c r="AB15" s="120"/>
      <c r="AC15" s="120"/>
      <c r="AD15" s="120"/>
      <c r="AE15" s="120"/>
      <c r="AF15" s="120"/>
      <c r="AG15" s="120"/>
      <c r="AH15" s="121"/>
      <c r="AI15" s="121"/>
      <c r="AJ15" s="121"/>
      <c r="AK15" s="121"/>
      <c r="AL15" s="121"/>
      <c r="AM15" s="121"/>
      <c r="AN15" s="121"/>
      <c r="AO15" s="65"/>
      <c r="AP15" s="121"/>
      <c r="AQ15" s="121"/>
      <c r="AR15" s="121"/>
      <c r="AS15" s="121"/>
      <c r="AT15" s="121"/>
      <c r="AU15" s="121"/>
      <c r="AV15" s="121"/>
      <c r="AW15" s="121"/>
      <c r="AX15" s="121"/>
      <c r="AY15" s="121"/>
      <c r="AZ15" s="121"/>
      <c r="BA15" s="121"/>
      <c r="BB15" s="121"/>
      <c r="BC15" s="121"/>
      <c r="BD15" s="121"/>
      <c r="BE15" s="121"/>
      <c r="BF15" s="121"/>
      <c r="BG15" s="121"/>
      <c r="BH15" s="121"/>
      <c r="BI15" s="121"/>
      <c r="BJ15" s="121"/>
      <c r="BK15" s="121"/>
      <c r="BL15" s="121"/>
      <c r="BM15" s="121"/>
      <c r="BN15" s="121"/>
    </row>
    <row r="16" ht="29.25" hidden="1" customHeight="1">
      <c r="A16" s="93" t="s">
        <v>155</v>
      </c>
      <c r="B16" s="107" t="s">
        <v>220</v>
      </c>
      <c r="C16" s="122" t="s">
        <v>221</v>
      </c>
      <c r="D16" s="123" t="s">
        <v>222</v>
      </c>
      <c r="E16" s="97"/>
      <c r="F16" s="124" t="s">
        <v>75</v>
      </c>
      <c r="G16" s="98">
        <v>100.0</v>
      </c>
      <c r="H16" s="99"/>
      <c r="I16" s="100">
        <v>45994.0</v>
      </c>
      <c r="J16" s="101">
        <v>46003.0</v>
      </c>
      <c r="K16" s="101"/>
      <c r="L16" s="101">
        <v>46003.0</v>
      </c>
      <c r="M16" s="25">
        <f>IF(ISBLANK(L16), NETWORKDAYS(J16, TODAY(),Hoja2!$A$1:$A$18), NETWORKDAYS(J16, L16, Hoja2!$A$1:$A$18))</f>
        <v>1</v>
      </c>
      <c r="N16" s="100">
        <v>46003.0</v>
      </c>
      <c r="O16" s="102">
        <v>46003.0</v>
      </c>
      <c r="P16" s="31" t="s">
        <v>223</v>
      </c>
      <c r="Q16" s="114" t="s">
        <v>71</v>
      </c>
      <c r="R16" s="103"/>
      <c r="S16" s="98"/>
      <c r="T16" s="104"/>
      <c r="U16" s="105"/>
      <c r="V16" s="105"/>
      <c r="W16" s="105"/>
      <c r="X16" s="105"/>
      <c r="Y16" s="105"/>
      <c r="Z16" s="105"/>
      <c r="AA16" s="105"/>
      <c r="AB16" s="105"/>
      <c r="AC16" s="105"/>
      <c r="AD16" s="105"/>
      <c r="AE16" s="105"/>
      <c r="AF16" s="105"/>
      <c r="AG16" s="105"/>
      <c r="AH16" s="106"/>
      <c r="AI16" s="106"/>
      <c r="AJ16" s="106"/>
      <c r="AK16" s="106"/>
      <c r="AL16" s="106"/>
      <c r="AM16" s="106"/>
      <c r="AN16" s="106"/>
      <c r="AO16" s="106"/>
      <c r="AP16" s="106"/>
      <c r="AQ16" s="106"/>
      <c r="AR16" s="106"/>
      <c r="AS16" s="106"/>
      <c r="AT16" s="106"/>
      <c r="AU16" s="106"/>
      <c r="AV16" s="106"/>
      <c r="AW16" s="106"/>
      <c r="AX16" s="106"/>
      <c r="AY16" s="106"/>
      <c r="AZ16" s="106"/>
      <c r="BA16" s="106"/>
      <c r="BB16" s="106"/>
      <c r="BC16" s="106"/>
      <c r="BD16" s="106"/>
      <c r="BE16" s="106"/>
      <c r="BF16" s="106"/>
      <c r="BG16" s="106"/>
      <c r="BH16" s="106"/>
      <c r="BI16" s="106"/>
      <c r="BJ16" s="106"/>
      <c r="BK16" s="106"/>
      <c r="BL16" s="106"/>
      <c r="BM16" s="106"/>
      <c r="BN16" s="106"/>
    </row>
    <row r="17" ht="29.25" customHeight="1">
      <c r="A17" s="93" t="s">
        <v>155</v>
      </c>
      <c r="B17" s="94" t="s">
        <v>224</v>
      </c>
      <c r="C17" s="111" t="s">
        <v>225</v>
      </c>
      <c r="D17" s="123" t="s">
        <v>226</v>
      </c>
      <c r="E17" s="97"/>
      <c r="F17" s="124" t="s">
        <v>227</v>
      </c>
      <c r="G17" s="98">
        <v>90.0</v>
      </c>
      <c r="H17" s="99"/>
      <c r="I17" s="100">
        <v>46000.0</v>
      </c>
      <c r="J17" s="101">
        <v>46001.0</v>
      </c>
      <c r="K17" s="101"/>
      <c r="L17" s="101"/>
      <c r="M17" s="25">
        <f>IF(ISBLANK(L17), NETWORKDAYS(J17, TODAY(),Hoja2!$A$1:$A$18), NETWORKDAYS(J17, L17, Hoja2!$A$1:$A$18))</f>
        <v>7</v>
      </c>
      <c r="N17" s="100"/>
      <c r="O17" s="102"/>
      <c r="P17" s="31" t="s">
        <v>228</v>
      </c>
      <c r="Q17" s="28" t="s">
        <v>71</v>
      </c>
      <c r="R17" s="103"/>
      <c r="S17" s="98"/>
      <c r="T17" s="104"/>
      <c r="U17" s="105"/>
      <c r="V17" s="105"/>
      <c r="W17" s="105"/>
      <c r="X17" s="105"/>
      <c r="Y17" s="105"/>
      <c r="Z17" s="105"/>
      <c r="AA17" s="105"/>
      <c r="AB17" s="105"/>
      <c r="AC17" s="105"/>
      <c r="AD17" s="105"/>
      <c r="AE17" s="105"/>
      <c r="AF17" s="105"/>
      <c r="AG17" s="105"/>
      <c r="AH17" s="106"/>
      <c r="AI17" s="106"/>
      <c r="AJ17" s="106"/>
      <c r="AK17" s="106"/>
      <c r="AL17" s="106"/>
      <c r="AM17" s="106"/>
      <c r="AN17" s="106"/>
      <c r="AO17" s="106"/>
      <c r="AP17" s="106"/>
      <c r="AQ17" s="106"/>
      <c r="AR17" s="106"/>
      <c r="AS17" s="106"/>
      <c r="AT17" s="106"/>
      <c r="AU17" s="106"/>
      <c r="AV17" s="106"/>
      <c r="AW17" s="106"/>
      <c r="AX17" s="106"/>
      <c r="AY17" s="106"/>
      <c r="AZ17" s="106"/>
      <c r="BA17" s="106"/>
      <c r="BB17" s="106"/>
      <c r="BC17" s="106"/>
      <c r="BD17" s="106"/>
      <c r="BE17" s="106"/>
      <c r="BF17" s="106"/>
      <c r="BG17" s="106"/>
      <c r="BH17" s="106"/>
      <c r="BI17" s="106"/>
      <c r="BJ17" s="106"/>
      <c r="BK17" s="106"/>
      <c r="BL17" s="106"/>
      <c r="BM17" s="106"/>
      <c r="BN17" s="106"/>
    </row>
    <row r="18" ht="29.25" hidden="1" customHeight="1">
      <c r="A18" s="53" t="s">
        <v>126</v>
      </c>
      <c r="B18" s="16" t="s">
        <v>229</v>
      </c>
      <c r="C18" s="108" t="s">
        <v>230</v>
      </c>
      <c r="D18" s="76"/>
      <c r="E18" s="125" t="s">
        <v>231</v>
      </c>
      <c r="F18" s="19" t="s">
        <v>121</v>
      </c>
      <c r="G18" s="56"/>
      <c r="H18" s="126"/>
      <c r="I18" s="58">
        <v>45757.0</v>
      </c>
      <c r="J18" s="68"/>
      <c r="K18" s="68"/>
      <c r="L18" s="68"/>
      <c r="M18" s="71"/>
      <c r="N18" s="58"/>
      <c r="O18" s="69"/>
      <c r="P18" s="127"/>
      <c r="Q18" s="28" t="s">
        <v>91</v>
      </c>
      <c r="R18" s="31"/>
      <c r="S18" s="31"/>
      <c r="T18" s="72"/>
      <c r="U18" s="31" t="s">
        <v>232</v>
      </c>
      <c r="V18" s="32"/>
      <c r="W18" s="32"/>
      <c r="X18" s="32"/>
      <c r="Y18" s="32"/>
      <c r="Z18" s="128"/>
      <c r="AA18" s="129"/>
      <c r="AB18" s="129"/>
      <c r="AC18" s="129"/>
      <c r="AD18" s="129"/>
      <c r="AE18" s="129"/>
      <c r="AF18" s="130" t="s">
        <v>233</v>
      </c>
      <c r="AG18" s="129"/>
      <c r="AH18" s="131"/>
      <c r="AI18" s="131"/>
      <c r="AJ18" s="131"/>
      <c r="AK18" s="131"/>
      <c r="AL18" s="131"/>
      <c r="AM18" s="131"/>
      <c r="AN18" s="131"/>
      <c r="AO18" s="132" t="s">
        <v>234</v>
      </c>
      <c r="AP18" s="131"/>
      <c r="AQ18" s="131"/>
      <c r="AR18" s="131"/>
      <c r="AS18" s="131"/>
      <c r="AT18" s="131"/>
      <c r="AU18" s="131"/>
      <c r="AV18" s="131"/>
      <c r="AW18" s="131"/>
      <c r="AX18" s="131"/>
      <c r="AY18" s="131"/>
      <c r="AZ18" s="131"/>
      <c r="BA18" s="131"/>
      <c r="BB18" s="131"/>
      <c r="BC18" s="131"/>
      <c r="BD18" s="131"/>
      <c r="BE18" s="131"/>
      <c r="BF18" s="131"/>
      <c r="BG18" s="131"/>
      <c r="BH18" s="131"/>
      <c r="BI18" s="131"/>
      <c r="BJ18" s="131"/>
      <c r="BK18" s="131"/>
      <c r="BL18" s="131"/>
      <c r="BM18" s="131"/>
      <c r="BN18" s="131"/>
    </row>
    <row r="19" ht="29.25" hidden="1" customHeight="1">
      <c r="A19" s="53" t="s">
        <v>126</v>
      </c>
      <c r="B19" s="16" t="s">
        <v>235</v>
      </c>
      <c r="C19" s="108" t="s">
        <v>236</v>
      </c>
      <c r="D19" s="133"/>
      <c r="E19" s="134" t="s">
        <v>237</v>
      </c>
      <c r="F19" s="135" t="s">
        <v>75</v>
      </c>
      <c r="G19" s="136">
        <v>100.0</v>
      </c>
      <c r="H19" s="128"/>
      <c r="I19" s="137">
        <v>45800.0</v>
      </c>
      <c r="J19" s="59">
        <v>45800.0</v>
      </c>
      <c r="K19" s="59"/>
      <c r="L19" s="59">
        <v>45825.0</v>
      </c>
      <c r="M19" s="25">
        <f>IF(ISBLANK(L19), NETWORKDAYS(J19, TODAY(),Hoja2!$A$1:$A$18), NETWORKDAYS(J19, L19, Hoja2!$A$1:$A$18))</f>
        <v>18</v>
      </c>
      <c r="N19" s="82">
        <v>45825.0</v>
      </c>
      <c r="O19" s="60">
        <v>45835.0</v>
      </c>
      <c r="P19" s="127"/>
      <c r="Q19" s="28" t="s">
        <v>71</v>
      </c>
      <c r="R19" s="138"/>
      <c r="S19" s="138"/>
      <c r="T19" s="110"/>
      <c r="U19" s="31"/>
      <c r="V19" s="31"/>
      <c r="W19" s="32"/>
      <c r="X19" s="32"/>
      <c r="Y19" s="32"/>
      <c r="Z19" s="31"/>
      <c r="AA19" s="31"/>
      <c r="AB19" s="32"/>
      <c r="AC19" s="31"/>
      <c r="AD19" s="31"/>
      <c r="AE19" s="31"/>
      <c r="AF19" s="31" t="s">
        <v>238</v>
      </c>
      <c r="AG19" s="31" t="s">
        <v>239</v>
      </c>
      <c r="AH19" s="34" t="s">
        <v>240</v>
      </c>
      <c r="AI19" s="34" t="s">
        <v>241</v>
      </c>
      <c r="AJ19" s="34"/>
      <c r="AK19" s="34"/>
      <c r="AL19" s="34" t="s">
        <v>242</v>
      </c>
      <c r="AM19" s="34" t="s">
        <v>243</v>
      </c>
      <c r="AN19" s="34" t="s">
        <v>244</v>
      </c>
      <c r="AO19" s="34" t="s">
        <v>245</v>
      </c>
      <c r="AP19" s="34" t="s">
        <v>246</v>
      </c>
      <c r="AQ19" s="34" t="s">
        <v>247</v>
      </c>
      <c r="AR19" s="34" t="s">
        <v>248</v>
      </c>
      <c r="AS19" s="34"/>
      <c r="AT19" s="34" t="s">
        <v>249</v>
      </c>
      <c r="AU19" s="34"/>
      <c r="AV19" s="34" t="s">
        <v>250</v>
      </c>
      <c r="AW19" s="34"/>
      <c r="AX19" s="34"/>
      <c r="AY19" s="34"/>
      <c r="AZ19" s="34"/>
      <c r="BA19" s="34"/>
      <c r="BB19" s="34"/>
      <c r="BC19" s="34"/>
      <c r="BD19" s="34"/>
      <c r="BE19" s="34"/>
      <c r="BF19" s="34"/>
      <c r="BG19" s="34"/>
      <c r="BH19" s="34"/>
      <c r="BI19" s="34"/>
      <c r="BJ19" s="34"/>
      <c r="BK19" s="34"/>
      <c r="BL19" s="34"/>
      <c r="BM19" s="34"/>
      <c r="BN19" s="34"/>
    </row>
    <row r="20" ht="29.25" hidden="1" customHeight="1">
      <c r="A20" s="53" t="s">
        <v>126</v>
      </c>
      <c r="B20" s="16" t="s">
        <v>251</v>
      </c>
      <c r="C20" s="108" t="s">
        <v>252</v>
      </c>
      <c r="D20" s="139"/>
      <c r="E20" s="134" t="s">
        <v>237</v>
      </c>
      <c r="F20" s="135" t="s">
        <v>75</v>
      </c>
      <c r="G20" s="136">
        <v>100.0</v>
      </c>
      <c r="H20" s="128"/>
      <c r="I20" s="137">
        <v>45800.0</v>
      </c>
      <c r="J20" s="59">
        <v>45813.0</v>
      </c>
      <c r="K20" s="59"/>
      <c r="L20" s="59">
        <v>45835.0</v>
      </c>
      <c r="M20" s="25">
        <f>IF(ISBLANK(L20), NETWORKDAYS(J20, TODAY(),Hoja2!$A$1:$A$18), NETWORKDAYS(J20, L20, Hoja2!$A$1:$A$18))</f>
        <v>17</v>
      </c>
      <c r="N20" s="82">
        <v>45813.0</v>
      </c>
      <c r="O20" s="60">
        <v>45835.0</v>
      </c>
      <c r="P20" s="127"/>
      <c r="Q20" s="28" t="s">
        <v>71</v>
      </c>
      <c r="R20" s="138"/>
      <c r="S20" s="138"/>
      <c r="T20" s="110"/>
      <c r="U20" s="31"/>
      <c r="V20" s="31"/>
      <c r="W20" s="32"/>
      <c r="X20" s="32"/>
      <c r="Y20" s="32"/>
      <c r="Z20" s="31"/>
      <c r="AA20" s="31"/>
      <c r="AB20" s="32"/>
      <c r="AC20" s="31"/>
      <c r="AD20" s="31"/>
      <c r="AE20" s="31"/>
      <c r="AF20" s="31" t="s">
        <v>253</v>
      </c>
      <c r="AG20" s="32"/>
      <c r="AH20" s="34" t="s">
        <v>240</v>
      </c>
      <c r="AI20" s="34"/>
      <c r="AJ20" s="34" t="s">
        <v>254</v>
      </c>
      <c r="AK20" s="34" t="s">
        <v>255</v>
      </c>
      <c r="AL20" s="34" t="s">
        <v>256</v>
      </c>
      <c r="AM20" s="34" t="s">
        <v>257</v>
      </c>
      <c r="AN20" s="34"/>
      <c r="AO20" s="34"/>
      <c r="AP20" s="34"/>
      <c r="AQ20" s="34"/>
      <c r="AR20" s="34" t="s">
        <v>258</v>
      </c>
      <c r="AS20" s="34"/>
      <c r="AT20" s="34" t="s">
        <v>259</v>
      </c>
      <c r="AU20" s="34"/>
      <c r="AV20" s="34" t="s">
        <v>260</v>
      </c>
      <c r="AW20" s="34"/>
      <c r="AX20" s="34"/>
      <c r="AY20" s="34"/>
      <c r="AZ20" s="34"/>
      <c r="BA20" s="34"/>
      <c r="BB20" s="34"/>
      <c r="BC20" s="34"/>
      <c r="BD20" s="34"/>
      <c r="BE20" s="34"/>
      <c r="BF20" s="34"/>
      <c r="BG20" s="34"/>
      <c r="BH20" s="34"/>
      <c r="BI20" s="34"/>
      <c r="BJ20" s="34"/>
      <c r="BK20" s="34"/>
      <c r="BL20" s="34"/>
      <c r="BM20" s="34"/>
      <c r="BN20" s="34"/>
    </row>
    <row r="21" ht="29.25" hidden="1" customHeight="1">
      <c r="A21" s="53" t="s">
        <v>155</v>
      </c>
      <c r="B21" s="140" t="s">
        <v>261</v>
      </c>
      <c r="C21" s="108" t="s">
        <v>262</v>
      </c>
      <c r="D21" s="76"/>
      <c r="E21" s="125"/>
      <c r="F21" s="86" t="s">
        <v>121</v>
      </c>
      <c r="G21" s="56">
        <v>90.0</v>
      </c>
      <c r="H21" s="56">
        <v>2.0</v>
      </c>
      <c r="I21" s="82">
        <v>45772.0</v>
      </c>
      <c r="J21" s="59">
        <v>45775.0</v>
      </c>
      <c r="K21" s="59">
        <v>45777.0</v>
      </c>
      <c r="L21" s="59"/>
      <c r="M21" s="77">
        <f>IF(ISBLANK(L21), NETWORKDAYS(J21, TODAY(),Hoja2!$A$1:$A$18), NETWORKDAYS(J21, L21, Hoja2!$A$1:$A$18))</f>
        <v>169</v>
      </c>
      <c r="N21" s="82"/>
      <c r="O21" s="60"/>
      <c r="P21" s="31" t="s">
        <v>263</v>
      </c>
      <c r="Q21" s="28" t="s">
        <v>91</v>
      </c>
      <c r="R21" s="119"/>
      <c r="S21" s="119"/>
      <c r="T21" s="104"/>
      <c r="U21" s="31" t="s">
        <v>264</v>
      </c>
      <c r="V21" s="89" t="s">
        <v>265</v>
      </c>
      <c r="W21" s="89" t="s">
        <v>266</v>
      </c>
      <c r="X21" s="90"/>
      <c r="Y21" s="90"/>
      <c r="Z21" s="90"/>
      <c r="AA21" s="90"/>
      <c r="AB21" s="90"/>
      <c r="AC21" s="90"/>
      <c r="AD21" s="89" t="s">
        <v>267</v>
      </c>
      <c r="AE21" s="90"/>
      <c r="AF21" s="90"/>
      <c r="AG21" s="90"/>
      <c r="AH21" s="91"/>
      <c r="AI21" s="91"/>
      <c r="AJ21" s="91"/>
      <c r="AK21" s="91"/>
      <c r="AL21" s="91"/>
      <c r="AM21" s="91"/>
      <c r="AN21" s="91"/>
      <c r="AO21" s="91"/>
      <c r="AP21" s="91"/>
      <c r="AQ21" s="91"/>
      <c r="AR21" s="91"/>
      <c r="AS21" s="91"/>
      <c r="AT21" s="91"/>
      <c r="AU21" s="91"/>
      <c r="AV21" s="91"/>
      <c r="AW21" s="91"/>
      <c r="AX21" s="91"/>
      <c r="AY21" s="92" t="s">
        <v>268</v>
      </c>
      <c r="AZ21" s="92" t="s">
        <v>269</v>
      </c>
      <c r="BA21" s="92"/>
      <c r="BB21" s="92"/>
      <c r="BC21" s="92" t="s">
        <v>270</v>
      </c>
      <c r="BD21" s="92"/>
      <c r="BE21" s="92" t="s">
        <v>271</v>
      </c>
      <c r="BF21" s="92"/>
      <c r="BG21" s="92" t="s">
        <v>272</v>
      </c>
      <c r="BH21" s="92" t="s">
        <v>273</v>
      </c>
      <c r="BI21" s="92" t="s">
        <v>274</v>
      </c>
      <c r="BJ21" s="92" t="s">
        <v>275</v>
      </c>
      <c r="BK21" s="92"/>
      <c r="BL21" s="92"/>
      <c r="BM21" s="92"/>
      <c r="BN21" s="92"/>
    </row>
    <row r="22" ht="29.25" hidden="1" customHeight="1">
      <c r="A22" s="15" t="s">
        <v>66</v>
      </c>
      <c r="B22" s="16" t="s">
        <v>276</v>
      </c>
      <c r="C22" s="108" t="s">
        <v>277</v>
      </c>
      <c r="D22" s="76"/>
      <c r="E22" s="125"/>
      <c r="F22" s="86" t="s">
        <v>75</v>
      </c>
      <c r="G22" s="56">
        <v>100.0</v>
      </c>
      <c r="H22" s="56"/>
      <c r="I22" s="82">
        <v>45827.0</v>
      </c>
      <c r="J22" s="59">
        <v>45827.0</v>
      </c>
      <c r="K22" s="59">
        <v>45828.0</v>
      </c>
      <c r="L22" s="59">
        <v>45867.0</v>
      </c>
      <c r="M22" s="25">
        <f>IF(ISBLANK(L22), NETWORKDAYS(J22, TODAY(),Hoja2!$A$1:$A$18), NETWORKDAYS(J22, L22, Hoja2!$A$1:$A$18))</f>
        <v>29</v>
      </c>
      <c r="N22" s="82"/>
      <c r="O22" s="102"/>
      <c r="P22" s="105"/>
      <c r="Q22" s="28" t="s">
        <v>71</v>
      </c>
      <c r="R22" s="119"/>
      <c r="S22" s="119"/>
      <c r="T22" s="104"/>
      <c r="U22" s="105"/>
      <c r="V22" s="105"/>
      <c r="W22" s="31"/>
      <c r="X22" s="32"/>
      <c r="Y22" s="32"/>
      <c r="Z22" s="31"/>
      <c r="AA22" s="32"/>
      <c r="AB22" s="32"/>
      <c r="AC22" s="32"/>
      <c r="AD22" s="32"/>
      <c r="AE22" s="32"/>
      <c r="AF22" s="32"/>
      <c r="AG22" s="32"/>
      <c r="AH22" s="34"/>
      <c r="AI22" s="34"/>
      <c r="AJ22" s="34"/>
      <c r="AK22" s="34"/>
      <c r="AL22" s="34"/>
      <c r="AM22" s="34"/>
      <c r="AN22" s="34"/>
      <c r="AO22" s="34"/>
      <c r="AP22" s="34"/>
      <c r="AQ22" s="34" t="s">
        <v>278</v>
      </c>
      <c r="AR22" s="34" t="s">
        <v>279</v>
      </c>
      <c r="AS22" s="34"/>
      <c r="AT22" s="34" t="s">
        <v>280</v>
      </c>
      <c r="AU22" s="34"/>
      <c r="AV22" s="34"/>
      <c r="AW22" s="34"/>
      <c r="AX22" s="34"/>
      <c r="AY22" s="34"/>
      <c r="AZ22" s="34"/>
      <c r="BA22" s="34"/>
      <c r="BB22" s="34"/>
      <c r="BC22" s="34"/>
      <c r="BD22" s="34"/>
      <c r="BE22" s="34"/>
      <c r="BF22" s="34"/>
      <c r="BG22" s="34"/>
      <c r="BH22" s="34"/>
      <c r="BI22" s="34" t="s">
        <v>281</v>
      </c>
      <c r="BJ22" s="34" t="s">
        <v>282</v>
      </c>
      <c r="BK22" s="34"/>
      <c r="BL22" s="34" t="s">
        <v>283</v>
      </c>
      <c r="BM22" s="34"/>
      <c r="BN22" s="34"/>
    </row>
    <row r="23" ht="29.25" hidden="1" customHeight="1">
      <c r="A23" s="15" t="s">
        <v>66</v>
      </c>
      <c r="B23" s="16" t="s">
        <v>284</v>
      </c>
      <c r="C23" s="108" t="s">
        <v>285</v>
      </c>
      <c r="D23" s="76"/>
      <c r="E23" s="125"/>
      <c r="F23" s="19" t="s">
        <v>205</v>
      </c>
      <c r="G23" s="56">
        <v>5.0</v>
      </c>
      <c r="H23" s="56">
        <v>15.0</v>
      </c>
      <c r="I23" s="82">
        <v>45782.0</v>
      </c>
      <c r="J23" s="59">
        <v>45782.0</v>
      </c>
      <c r="K23" s="59"/>
      <c r="L23" s="59"/>
      <c r="M23" s="25">
        <f>IF(ISBLANK(L23), NETWORKDAYS(J23, TODAY(),Hoja2!$A$1:$A$18), NETWORKDAYS(J23, L23, Hoja2!$A$1:$A$18))</f>
        <v>164</v>
      </c>
      <c r="N23" s="82"/>
      <c r="O23" s="102"/>
      <c r="P23" s="105"/>
      <c r="Q23" s="28" t="s">
        <v>91</v>
      </c>
      <c r="R23" s="119"/>
      <c r="S23" s="119"/>
      <c r="T23" s="104"/>
      <c r="U23" s="105"/>
      <c r="V23" s="105"/>
      <c r="W23" s="31" t="s">
        <v>286</v>
      </c>
      <c r="X23" s="32"/>
      <c r="Y23" s="32"/>
      <c r="Z23" s="31" t="s">
        <v>287</v>
      </c>
      <c r="AA23" s="32"/>
      <c r="AB23" s="32"/>
      <c r="AC23" s="32"/>
      <c r="AD23" s="32"/>
      <c r="AE23" s="32"/>
      <c r="AF23" s="32"/>
      <c r="AG23" s="32"/>
      <c r="AH23" s="34" t="s">
        <v>288</v>
      </c>
      <c r="AI23" s="34"/>
      <c r="AJ23" s="34"/>
      <c r="AK23" s="34"/>
      <c r="AL23" s="34"/>
      <c r="AM23" s="34"/>
      <c r="AN23" s="34"/>
      <c r="AO23" s="34"/>
      <c r="AP23" s="34"/>
      <c r="AQ23" s="34"/>
      <c r="AR23" s="34"/>
      <c r="AS23" s="34"/>
      <c r="AT23" s="34"/>
      <c r="AU23" s="34"/>
      <c r="AV23" s="34"/>
      <c r="AW23" s="34"/>
      <c r="AX23" s="34"/>
      <c r="AY23" s="34"/>
      <c r="AZ23" s="34"/>
      <c r="BA23" s="34"/>
      <c r="BB23" s="34"/>
      <c r="BC23" s="34"/>
      <c r="BD23" s="34"/>
      <c r="BE23" s="34"/>
      <c r="BF23" s="34"/>
      <c r="BG23" s="34"/>
      <c r="BH23" s="34"/>
      <c r="BI23" s="34"/>
      <c r="BJ23" s="34"/>
      <c r="BK23" s="34"/>
      <c r="BL23" s="34"/>
      <c r="BM23" s="34"/>
      <c r="BN23" s="34"/>
    </row>
    <row r="24" ht="29.25" hidden="1" customHeight="1">
      <c r="A24" s="15" t="s">
        <v>66</v>
      </c>
      <c r="B24" s="16" t="s">
        <v>289</v>
      </c>
      <c r="C24" s="108" t="s">
        <v>290</v>
      </c>
      <c r="D24" s="76"/>
      <c r="E24" s="125"/>
      <c r="F24" s="86" t="s">
        <v>75</v>
      </c>
      <c r="G24" s="56">
        <v>100.0</v>
      </c>
      <c r="H24" s="56">
        <v>30.0</v>
      </c>
      <c r="I24" s="82">
        <v>45785.0</v>
      </c>
      <c r="J24" s="59">
        <v>45791.0</v>
      </c>
      <c r="K24" s="59"/>
      <c r="L24" s="59">
        <v>45972.0</v>
      </c>
      <c r="M24" s="25">
        <f>IF(ISBLANK(L24), NETWORKDAYS(J24, TODAY(),Hoja2!$A$1:$A$18), NETWORKDAYS(J24, L24, Hoja2!$A$1:$A$18))</f>
        <v>130</v>
      </c>
      <c r="N24" s="82"/>
      <c r="O24" s="102"/>
      <c r="P24" s="31" t="s">
        <v>291</v>
      </c>
      <c r="Q24" s="28" t="s">
        <v>71</v>
      </c>
      <c r="R24" s="119"/>
      <c r="S24" s="119"/>
      <c r="T24" s="104"/>
      <c r="U24" s="105"/>
      <c r="V24" s="105"/>
      <c r="W24" s="105"/>
      <c r="X24" s="105"/>
      <c r="Y24" s="105"/>
      <c r="Z24" s="31" t="s">
        <v>292</v>
      </c>
      <c r="AA24" s="31" t="s">
        <v>293</v>
      </c>
      <c r="AB24" s="32"/>
      <c r="AC24" s="31" t="s">
        <v>294</v>
      </c>
      <c r="AD24" s="31" t="s">
        <v>295</v>
      </c>
      <c r="AE24" s="31" t="s">
        <v>296</v>
      </c>
      <c r="AF24" s="31" t="s">
        <v>297</v>
      </c>
      <c r="AG24" s="31" t="s">
        <v>298</v>
      </c>
      <c r="AH24" s="34" t="s">
        <v>299</v>
      </c>
      <c r="AI24" s="34" t="s">
        <v>300</v>
      </c>
      <c r="AJ24" s="34" t="s">
        <v>301</v>
      </c>
      <c r="AK24" s="34"/>
      <c r="AL24" s="34"/>
      <c r="AM24" s="34" t="s">
        <v>302</v>
      </c>
      <c r="AN24" s="34"/>
      <c r="AO24" s="34"/>
      <c r="AP24" s="34" t="s">
        <v>303</v>
      </c>
      <c r="AQ24" s="34" t="s">
        <v>304</v>
      </c>
      <c r="AR24" s="34"/>
      <c r="AS24" s="34"/>
      <c r="AT24" s="34" t="s">
        <v>305</v>
      </c>
      <c r="AU24" s="34"/>
      <c r="AV24" s="34"/>
      <c r="AW24" s="34" t="s">
        <v>306</v>
      </c>
      <c r="AX24" s="34"/>
      <c r="AY24" s="34"/>
      <c r="AZ24" s="34"/>
      <c r="BA24" s="34"/>
      <c r="BB24" s="34" t="s">
        <v>307</v>
      </c>
      <c r="BC24" s="34"/>
      <c r="BD24" s="34"/>
      <c r="BE24" s="34"/>
      <c r="BF24" s="34"/>
      <c r="BG24" s="34"/>
      <c r="BH24" s="34" t="s">
        <v>308</v>
      </c>
      <c r="BI24" s="34" t="s">
        <v>309</v>
      </c>
      <c r="BJ24" s="34" t="s">
        <v>310</v>
      </c>
      <c r="BK24" s="141" t="s">
        <v>311</v>
      </c>
      <c r="BL24" s="141"/>
      <c r="BM24" s="141" t="s">
        <v>312</v>
      </c>
      <c r="BN24" s="141"/>
    </row>
    <row r="25" ht="29.25" hidden="1" customHeight="1">
      <c r="A25" s="93" t="s">
        <v>155</v>
      </c>
      <c r="B25" s="107" t="s">
        <v>313</v>
      </c>
      <c r="C25" s="111" t="s">
        <v>314</v>
      </c>
      <c r="D25" s="123" t="s">
        <v>315</v>
      </c>
      <c r="E25" s="97"/>
      <c r="F25" s="124" t="s">
        <v>75</v>
      </c>
      <c r="G25" s="98">
        <v>100.0</v>
      </c>
      <c r="H25" s="99"/>
      <c r="I25" s="100">
        <v>46002.0</v>
      </c>
      <c r="J25" s="101">
        <v>46003.0</v>
      </c>
      <c r="K25" s="101"/>
      <c r="L25" s="101">
        <v>46003.0</v>
      </c>
      <c r="M25" s="25">
        <f>IF(ISBLANK(L25), NETWORKDAYS(J25, TODAY(),Hoja2!$A$1:$A$18), NETWORKDAYS(J25, L25, Hoja2!$A$1:$A$18))</f>
        <v>1</v>
      </c>
      <c r="N25" s="100"/>
      <c r="O25" s="102"/>
      <c r="P25" s="31" t="s">
        <v>316</v>
      </c>
      <c r="Q25" s="28" t="s">
        <v>71</v>
      </c>
      <c r="R25" s="103"/>
      <c r="S25" s="98"/>
      <c r="T25" s="104"/>
      <c r="U25" s="105"/>
      <c r="V25" s="105"/>
      <c r="W25" s="105"/>
      <c r="X25" s="105"/>
      <c r="Y25" s="105"/>
      <c r="Z25" s="105"/>
      <c r="AA25" s="105"/>
      <c r="AB25" s="105"/>
      <c r="AC25" s="105"/>
      <c r="AD25" s="105"/>
      <c r="AE25" s="105"/>
      <c r="AF25" s="105"/>
      <c r="AG25" s="105"/>
      <c r="AH25" s="106"/>
      <c r="AI25" s="106"/>
      <c r="AJ25" s="106"/>
      <c r="AK25" s="106"/>
      <c r="AL25" s="106"/>
      <c r="AM25" s="106"/>
      <c r="AN25" s="106"/>
      <c r="AO25" s="106"/>
      <c r="AP25" s="106"/>
      <c r="AQ25" s="106"/>
      <c r="AR25" s="106"/>
      <c r="AS25" s="106"/>
      <c r="AT25" s="106"/>
      <c r="AU25" s="106"/>
      <c r="AV25" s="106"/>
      <c r="AW25" s="106"/>
      <c r="AX25" s="106"/>
      <c r="AY25" s="106"/>
      <c r="AZ25" s="106"/>
      <c r="BA25" s="106"/>
      <c r="BB25" s="106"/>
      <c r="BC25" s="106"/>
      <c r="BD25" s="106"/>
      <c r="BE25" s="106"/>
      <c r="BF25" s="106"/>
      <c r="BG25" s="106"/>
      <c r="BH25" s="106"/>
      <c r="BI25" s="106"/>
      <c r="BJ25" s="106"/>
      <c r="BK25" s="106"/>
      <c r="BL25" s="106"/>
      <c r="BM25" s="106"/>
      <c r="BN25" s="106"/>
    </row>
    <row r="26" ht="29.25" hidden="1" customHeight="1">
      <c r="A26" s="93" t="s">
        <v>155</v>
      </c>
      <c r="B26" s="94" t="s">
        <v>317</v>
      </c>
      <c r="C26" s="122" t="s">
        <v>318</v>
      </c>
      <c r="D26" s="123" t="s">
        <v>319</v>
      </c>
      <c r="E26" s="97"/>
      <c r="F26" s="124" t="s">
        <v>75</v>
      </c>
      <c r="G26" s="98">
        <v>100.0</v>
      </c>
      <c r="H26" s="99"/>
      <c r="I26" s="100">
        <v>46003.0</v>
      </c>
      <c r="J26" s="101">
        <v>46006.0</v>
      </c>
      <c r="K26" s="101"/>
      <c r="L26" s="101">
        <v>46007.0</v>
      </c>
      <c r="M26" s="25">
        <f>IF(ISBLANK(L26), NETWORKDAYS(J26, TODAY(),Hoja2!$A$1:$A$18), NETWORKDAYS(J26, L26, Hoja2!$A$1:$A$18))</f>
        <v>2</v>
      </c>
      <c r="N26" s="100"/>
      <c r="O26" s="102"/>
      <c r="P26" s="31" t="s">
        <v>320</v>
      </c>
      <c r="Q26" s="28" t="s">
        <v>71</v>
      </c>
      <c r="R26" s="103"/>
      <c r="S26" s="98"/>
      <c r="T26" s="104"/>
      <c r="U26" s="105"/>
      <c r="V26" s="105"/>
      <c r="W26" s="105"/>
      <c r="X26" s="105"/>
      <c r="Y26" s="105"/>
      <c r="Z26" s="105"/>
      <c r="AA26" s="105"/>
      <c r="AB26" s="105"/>
      <c r="AC26" s="105"/>
      <c r="AD26" s="105"/>
      <c r="AE26" s="105"/>
      <c r="AF26" s="105"/>
      <c r="AG26" s="105"/>
      <c r="AH26" s="106"/>
      <c r="AI26" s="106"/>
      <c r="AJ26" s="106"/>
      <c r="AK26" s="106"/>
      <c r="AL26" s="106"/>
      <c r="AM26" s="106"/>
      <c r="AN26" s="106"/>
      <c r="AO26" s="106"/>
      <c r="AP26" s="106"/>
      <c r="AQ26" s="106"/>
      <c r="AR26" s="106"/>
      <c r="AS26" s="106"/>
      <c r="AT26" s="106"/>
      <c r="AU26" s="106"/>
      <c r="AV26" s="106"/>
      <c r="AW26" s="106"/>
      <c r="AX26" s="106"/>
      <c r="AY26" s="106"/>
      <c r="AZ26" s="106"/>
      <c r="BA26" s="106"/>
      <c r="BB26" s="106"/>
      <c r="BC26" s="106"/>
      <c r="BD26" s="106"/>
      <c r="BE26" s="106"/>
      <c r="BF26" s="106"/>
      <c r="BG26" s="106"/>
      <c r="BH26" s="106"/>
      <c r="BI26" s="106"/>
      <c r="BJ26" s="106"/>
      <c r="BK26" s="106"/>
      <c r="BL26" s="106"/>
      <c r="BM26" s="106"/>
      <c r="BN26" s="106"/>
    </row>
    <row r="27" ht="29.25" customHeight="1">
      <c r="A27" s="53" t="s">
        <v>155</v>
      </c>
      <c r="B27" s="107" t="s">
        <v>321</v>
      </c>
      <c r="C27" s="95" t="s">
        <v>322</v>
      </c>
      <c r="D27" s="76" t="s">
        <v>323</v>
      </c>
      <c r="E27" s="85"/>
      <c r="F27" s="86" t="s">
        <v>75</v>
      </c>
      <c r="G27" s="56">
        <v>100.0</v>
      </c>
      <c r="H27" s="56"/>
      <c r="I27" s="82">
        <v>45918.0</v>
      </c>
      <c r="J27" s="59">
        <v>45929.0</v>
      </c>
      <c r="K27" s="59"/>
      <c r="L27" s="59">
        <v>45930.0</v>
      </c>
      <c r="M27" s="77">
        <f>IF(ISBLANK(L27), NETWORKDAYS(J27, TODAY(),Hoja2!$A$1:$A$18), NETWORKDAYS(J27, L27, Hoja2!$A$1:$A$18))</f>
        <v>2</v>
      </c>
      <c r="N27" s="82">
        <v>45930.0</v>
      </c>
      <c r="O27" s="60">
        <v>46009.0</v>
      </c>
      <c r="P27" s="87" t="s">
        <v>324</v>
      </c>
      <c r="Q27" s="28" t="s">
        <v>71</v>
      </c>
      <c r="R27" s="56"/>
      <c r="S27" s="56"/>
      <c r="T27" s="110"/>
      <c r="U27" s="89" t="s">
        <v>325</v>
      </c>
      <c r="V27" s="88"/>
      <c r="W27" s="89"/>
      <c r="X27" s="90"/>
      <c r="Y27" s="89"/>
      <c r="Z27" s="89"/>
      <c r="AA27" s="89"/>
      <c r="AB27" s="90"/>
      <c r="AC27" s="90"/>
      <c r="AD27" s="90"/>
      <c r="AE27" s="90"/>
      <c r="AF27" s="90"/>
      <c r="AG27" s="90"/>
      <c r="AH27" s="91"/>
      <c r="AI27" s="91"/>
      <c r="AJ27" s="92"/>
      <c r="AK27" s="92"/>
      <c r="AL27" s="92"/>
      <c r="AM27" s="92"/>
      <c r="AN27" s="92"/>
      <c r="AO27" s="92"/>
      <c r="AP27" s="92"/>
      <c r="AQ27" s="92"/>
      <c r="AR27" s="92"/>
      <c r="AS27" s="92"/>
      <c r="AT27" s="92"/>
      <c r="AU27" s="92"/>
      <c r="AV27" s="92"/>
      <c r="AW27" s="92"/>
      <c r="AX27" s="92"/>
      <c r="AY27" s="92"/>
      <c r="AZ27" s="92"/>
      <c r="BA27" s="92"/>
      <c r="BB27" s="92"/>
      <c r="BC27" s="92"/>
      <c r="BD27" s="92"/>
      <c r="BE27" s="92"/>
      <c r="BF27" s="92"/>
      <c r="BG27" s="92"/>
      <c r="BH27" s="92"/>
      <c r="BI27" s="92"/>
      <c r="BJ27" s="92"/>
      <c r="BK27" s="92"/>
      <c r="BL27" s="92"/>
      <c r="BM27" s="92"/>
      <c r="BN27" s="92"/>
    </row>
    <row r="28" ht="29.25" hidden="1" customHeight="1">
      <c r="A28" s="53" t="s">
        <v>126</v>
      </c>
      <c r="B28" s="16" t="s">
        <v>326</v>
      </c>
      <c r="C28" s="108" t="s">
        <v>327</v>
      </c>
      <c r="D28" s="142"/>
      <c r="E28" s="143"/>
      <c r="F28" s="62" t="s">
        <v>75</v>
      </c>
      <c r="G28" s="56">
        <v>100.0</v>
      </c>
      <c r="H28" s="144"/>
      <c r="I28" s="82">
        <v>45806.0</v>
      </c>
      <c r="J28" s="59">
        <v>45806.0</v>
      </c>
      <c r="K28" s="59"/>
      <c r="L28" s="59">
        <v>45835.0</v>
      </c>
      <c r="M28" s="25">
        <f>IF(ISBLANK(L28), NETWORKDAYS(J28, TODAY(),Hoja2!$A$1:$A$18), NETWORKDAYS(J28, L28, Hoja2!$A$1:$A$18))</f>
        <v>22</v>
      </c>
      <c r="N28" s="82"/>
      <c r="O28" s="102"/>
      <c r="P28" s="105"/>
      <c r="Q28" s="28" t="s">
        <v>71</v>
      </c>
      <c r="R28" s="119"/>
      <c r="S28" s="119"/>
      <c r="T28" s="104"/>
      <c r="U28" s="105"/>
      <c r="V28" s="105"/>
      <c r="W28" s="105"/>
      <c r="X28" s="105"/>
      <c r="Y28" s="105"/>
      <c r="Z28" s="105"/>
      <c r="AA28" s="105"/>
      <c r="AB28" s="105"/>
      <c r="AC28" s="105"/>
      <c r="AD28" s="105"/>
      <c r="AE28" s="105"/>
      <c r="AF28" s="105"/>
      <c r="AG28" s="105"/>
      <c r="AH28" s="105"/>
      <c r="AI28" s="31" t="s">
        <v>328</v>
      </c>
      <c r="AJ28" s="34" t="s">
        <v>329</v>
      </c>
      <c r="AK28" s="34" t="s">
        <v>330</v>
      </c>
      <c r="AL28" s="34" t="s">
        <v>331</v>
      </c>
      <c r="AM28" s="34" t="s">
        <v>332</v>
      </c>
      <c r="AN28" s="34" t="s">
        <v>333</v>
      </c>
      <c r="AO28" s="34"/>
      <c r="AP28" s="34"/>
      <c r="AQ28" s="34"/>
      <c r="AR28" s="34" t="s">
        <v>334</v>
      </c>
      <c r="AS28" s="34"/>
      <c r="AT28" s="34" t="s">
        <v>335</v>
      </c>
      <c r="AU28" s="34"/>
      <c r="AV28" s="34"/>
      <c r="AW28" s="34"/>
      <c r="AX28" s="34"/>
      <c r="AY28" s="34"/>
      <c r="AZ28" s="34"/>
      <c r="BA28" s="34"/>
      <c r="BB28" s="34"/>
      <c r="BC28" s="34"/>
      <c r="BD28" s="34"/>
      <c r="BE28" s="34"/>
      <c r="BF28" s="34"/>
      <c r="BG28" s="34"/>
      <c r="BH28" s="34"/>
      <c r="BI28" s="34"/>
      <c r="BJ28" s="34"/>
      <c r="BK28" s="34"/>
      <c r="BL28" s="34"/>
      <c r="BM28" s="34"/>
      <c r="BN28" s="34"/>
    </row>
    <row r="29" ht="29.25" hidden="1" customHeight="1">
      <c r="A29" s="53" t="s">
        <v>155</v>
      </c>
      <c r="B29" s="107" t="s">
        <v>336</v>
      </c>
      <c r="C29" s="108" t="s">
        <v>337</v>
      </c>
      <c r="D29" s="142"/>
      <c r="E29" s="143"/>
      <c r="F29" s="62" t="s">
        <v>75</v>
      </c>
      <c r="G29" s="56">
        <v>100.0</v>
      </c>
      <c r="H29" s="56"/>
      <c r="I29" s="82">
        <v>45834.0</v>
      </c>
      <c r="J29" s="59">
        <v>45834.0</v>
      </c>
      <c r="K29" s="59"/>
      <c r="L29" s="59">
        <v>45834.0</v>
      </c>
      <c r="M29" s="25">
        <f>IF(ISBLANK(L29), NETWORKDAYS(J29, TODAY(),Hoja2!$A$1:$A$18), NETWORKDAYS(J29, L29, Hoja2!$A$1:$A$18))</f>
        <v>1</v>
      </c>
      <c r="N29" s="82"/>
      <c r="O29" s="102"/>
      <c r="P29" s="105"/>
      <c r="Q29" s="28" t="s">
        <v>71</v>
      </c>
      <c r="R29" s="119"/>
      <c r="S29" s="119"/>
      <c r="T29" s="104"/>
      <c r="U29" s="105"/>
      <c r="V29" s="105"/>
      <c r="W29" s="105"/>
      <c r="X29" s="105"/>
      <c r="Y29" s="105"/>
      <c r="Z29" s="105"/>
      <c r="AA29" s="105"/>
      <c r="AB29" s="105"/>
      <c r="AC29" s="105"/>
      <c r="AD29" s="105"/>
      <c r="AE29" s="105"/>
      <c r="AF29" s="105"/>
      <c r="AG29" s="105"/>
      <c r="AH29" s="105"/>
      <c r="AI29" s="105"/>
      <c r="AJ29" s="34"/>
      <c r="AK29" s="34"/>
      <c r="AL29" s="34"/>
      <c r="AM29" s="34"/>
      <c r="AN29" s="34"/>
      <c r="AO29" s="34"/>
      <c r="AP29" s="34"/>
      <c r="AQ29" s="34"/>
      <c r="AR29" s="34"/>
      <c r="AS29" s="34"/>
      <c r="AT29" s="34"/>
      <c r="AU29" s="34"/>
      <c r="AV29" s="34"/>
      <c r="AW29" s="34"/>
      <c r="AX29" s="34"/>
      <c r="AY29" s="34"/>
      <c r="AZ29" s="34"/>
      <c r="BA29" s="34"/>
      <c r="BB29" s="34"/>
      <c r="BC29" s="34"/>
      <c r="BD29" s="34"/>
      <c r="BE29" s="34"/>
      <c r="BF29" s="34"/>
      <c r="BG29" s="34"/>
      <c r="BH29" s="34"/>
      <c r="BI29" s="34"/>
      <c r="BJ29" s="34"/>
      <c r="BK29" s="34"/>
      <c r="BL29" s="34"/>
      <c r="BM29" s="34"/>
      <c r="BN29" s="34"/>
    </row>
    <row r="30" ht="29.25" hidden="1" customHeight="1">
      <c r="A30" s="53" t="s">
        <v>155</v>
      </c>
      <c r="B30" s="16" t="s">
        <v>338</v>
      </c>
      <c r="C30" s="108" t="s">
        <v>339</v>
      </c>
      <c r="D30" s="116"/>
      <c r="E30" s="143"/>
      <c r="F30" s="62" t="s">
        <v>75</v>
      </c>
      <c r="G30" s="56">
        <v>100.0</v>
      </c>
      <c r="H30" s="56"/>
      <c r="I30" s="82">
        <v>45846.0</v>
      </c>
      <c r="J30" s="59">
        <v>45848.0</v>
      </c>
      <c r="K30" s="59"/>
      <c r="L30" s="59">
        <v>45848.0</v>
      </c>
      <c r="M30" s="25">
        <f>IF(ISBLANK(L30), NETWORKDAYS(J30, TODAY(),Hoja2!$A$1:$A$18), NETWORKDAYS(J30, L30, Hoja2!$A$1:$A$18))</f>
        <v>1</v>
      </c>
      <c r="N30" s="82"/>
      <c r="O30" s="102"/>
      <c r="P30" s="105"/>
      <c r="Q30" s="28" t="s">
        <v>71</v>
      </c>
      <c r="R30" s="119"/>
      <c r="S30" s="119"/>
      <c r="T30" s="104"/>
      <c r="U30" s="105"/>
      <c r="V30" s="105"/>
      <c r="W30" s="105"/>
      <c r="X30" s="105"/>
      <c r="Y30" s="105"/>
      <c r="Z30" s="105"/>
      <c r="AA30" s="105"/>
      <c r="AB30" s="105"/>
      <c r="AC30" s="105"/>
      <c r="AD30" s="105"/>
      <c r="AE30" s="105"/>
      <c r="AF30" s="105"/>
      <c r="AG30" s="105"/>
      <c r="AH30" s="105"/>
      <c r="AI30" s="105"/>
      <c r="AJ30" s="34"/>
      <c r="AK30" s="34"/>
      <c r="AL30" s="34"/>
      <c r="AM30" s="34"/>
      <c r="AN30" s="34"/>
      <c r="AO30" s="34"/>
      <c r="AP30" s="34"/>
      <c r="AQ30" s="34"/>
      <c r="AR30" s="34"/>
      <c r="AS30" s="34"/>
      <c r="AT30" s="34"/>
      <c r="AU30" s="34"/>
      <c r="AV30" s="34"/>
      <c r="AW30" s="34"/>
      <c r="AX30" s="34"/>
      <c r="AY30" s="34"/>
      <c r="AZ30" s="34"/>
      <c r="BA30" s="34" t="s">
        <v>340</v>
      </c>
      <c r="BB30" s="34"/>
      <c r="BC30" s="34"/>
      <c r="BD30" s="34"/>
      <c r="BE30" s="34"/>
      <c r="BF30" s="34"/>
      <c r="BG30" s="34"/>
      <c r="BH30" s="34"/>
      <c r="BI30" s="34"/>
      <c r="BJ30" s="34"/>
      <c r="BK30" s="34"/>
      <c r="BL30" s="34"/>
      <c r="BM30" s="34"/>
      <c r="BN30" s="34"/>
    </row>
    <row r="31" ht="29.25" hidden="1" customHeight="1">
      <c r="A31" s="53" t="s">
        <v>66</v>
      </c>
      <c r="B31" s="107" t="s">
        <v>341</v>
      </c>
      <c r="C31" s="108" t="s">
        <v>342</v>
      </c>
      <c r="D31" s="142"/>
      <c r="E31" s="143"/>
      <c r="F31" s="62" t="s">
        <v>75</v>
      </c>
      <c r="G31" s="56">
        <v>100.0</v>
      </c>
      <c r="H31" s="56"/>
      <c r="I31" s="82">
        <v>45835.0</v>
      </c>
      <c r="J31" s="59">
        <v>45840.0</v>
      </c>
      <c r="K31" s="59"/>
      <c r="L31" s="59">
        <v>45915.0</v>
      </c>
      <c r="M31" s="25">
        <f>IF(ISBLANK(L31), NETWORKDAYS(J31, TODAY(),Hoja2!$A$1:$A$18), NETWORKDAYS(J31, L31, Hoja2!$A$1:$A$18))</f>
        <v>54</v>
      </c>
      <c r="N31" s="82">
        <v>45916.0</v>
      </c>
      <c r="O31" s="102">
        <v>45929.0</v>
      </c>
      <c r="P31" s="31" t="s">
        <v>343</v>
      </c>
      <c r="Q31" s="28" t="s">
        <v>71</v>
      </c>
      <c r="R31" s="119"/>
      <c r="S31" s="119"/>
      <c r="T31" s="104"/>
      <c r="U31" s="105"/>
      <c r="V31" s="105"/>
      <c r="W31" s="105"/>
      <c r="X31" s="105"/>
      <c r="Y31" s="105"/>
      <c r="Z31" s="105"/>
      <c r="AA31" s="105"/>
      <c r="AB31" s="105"/>
      <c r="AC31" s="105"/>
      <c r="AD31" s="105"/>
      <c r="AE31" s="105"/>
      <c r="AF31" s="105"/>
      <c r="AG31" s="105"/>
      <c r="AH31" s="105"/>
      <c r="AI31" s="105"/>
      <c r="AJ31" s="34"/>
      <c r="AK31" s="34"/>
      <c r="AL31" s="34"/>
      <c r="AM31" s="34"/>
      <c r="AN31" s="34"/>
      <c r="AO31" s="34"/>
      <c r="AP31" s="34"/>
      <c r="AQ31" s="34"/>
      <c r="AR31" s="34"/>
      <c r="AS31" s="34" t="s">
        <v>344</v>
      </c>
      <c r="AT31" s="34"/>
      <c r="AU31" s="34"/>
      <c r="AV31" s="34" t="s">
        <v>345</v>
      </c>
      <c r="AW31" s="34"/>
      <c r="AX31" s="34" t="s">
        <v>346</v>
      </c>
      <c r="AY31" s="34" t="s">
        <v>347</v>
      </c>
      <c r="AZ31" s="34"/>
      <c r="BA31" s="34"/>
      <c r="BB31" s="34"/>
      <c r="BC31" s="34" t="s">
        <v>348</v>
      </c>
      <c r="BD31" s="34" t="s">
        <v>349</v>
      </c>
      <c r="BE31" s="34" t="s">
        <v>350</v>
      </c>
      <c r="BF31" s="34"/>
      <c r="BG31" s="34" t="s">
        <v>351</v>
      </c>
      <c r="BH31" s="34"/>
      <c r="BI31" s="34"/>
      <c r="BJ31" s="34" t="s">
        <v>352</v>
      </c>
      <c r="BK31" s="34"/>
      <c r="BL31" s="34"/>
      <c r="BM31" s="34"/>
      <c r="BN31" s="34"/>
    </row>
    <row r="32" ht="29.25" hidden="1" customHeight="1">
      <c r="A32" s="53" t="s">
        <v>155</v>
      </c>
      <c r="B32" s="107" t="s">
        <v>353</v>
      </c>
      <c r="C32" s="108" t="s">
        <v>354</v>
      </c>
      <c r="D32" s="142"/>
      <c r="E32" s="143"/>
      <c r="F32" s="62" t="s">
        <v>75</v>
      </c>
      <c r="G32" s="56">
        <v>100.0</v>
      </c>
      <c r="H32" s="56">
        <v>1.0</v>
      </c>
      <c r="I32" s="82">
        <v>45811.0</v>
      </c>
      <c r="J32" s="59">
        <v>45817.0</v>
      </c>
      <c r="K32" s="59">
        <v>45817.0</v>
      </c>
      <c r="L32" s="59">
        <v>45834.0</v>
      </c>
      <c r="M32" s="25">
        <f>IF(ISBLANK(L32), NETWORKDAYS(J32, TODAY(),Hoja2!$A$1:$A$18), NETWORKDAYS(J32, L32, Hoja2!$A$1:$A$18))</f>
        <v>14</v>
      </c>
      <c r="N32" s="82"/>
      <c r="O32" s="102"/>
      <c r="P32" s="105"/>
      <c r="Q32" s="28" t="s">
        <v>71</v>
      </c>
      <c r="R32" s="119"/>
      <c r="S32" s="119"/>
      <c r="T32" s="104"/>
      <c r="U32" s="105"/>
      <c r="V32" s="105"/>
      <c r="W32" s="105"/>
      <c r="X32" s="105"/>
      <c r="Y32" s="105"/>
      <c r="Z32" s="105"/>
      <c r="AA32" s="105"/>
      <c r="AB32" s="105"/>
      <c r="AC32" s="105"/>
      <c r="AD32" s="105"/>
      <c r="AE32" s="105"/>
      <c r="AF32" s="105"/>
      <c r="AG32" s="105"/>
      <c r="AH32" s="105"/>
      <c r="AI32" s="105"/>
      <c r="AJ32" s="34" t="s">
        <v>355</v>
      </c>
      <c r="AK32" s="34" t="s">
        <v>356</v>
      </c>
      <c r="AL32" s="34" t="s">
        <v>357</v>
      </c>
      <c r="AM32" s="34" t="s">
        <v>358</v>
      </c>
      <c r="AN32" s="34" t="s">
        <v>359</v>
      </c>
      <c r="AO32" s="34" t="s">
        <v>360</v>
      </c>
      <c r="AP32" s="34" t="s">
        <v>361</v>
      </c>
      <c r="AQ32" s="34" t="s">
        <v>362</v>
      </c>
      <c r="AR32" s="34" t="s">
        <v>363</v>
      </c>
      <c r="AS32" s="34" t="s">
        <v>364</v>
      </c>
      <c r="AT32" s="34" t="s">
        <v>365</v>
      </c>
      <c r="AU32" s="34"/>
      <c r="AV32" s="34"/>
      <c r="AW32" s="34"/>
      <c r="AX32" s="34"/>
      <c r="AY32" s="34"/>
      <c r="AZ32" s="34"/>
      <c r="BA32" s="34"/>
      <c r="BB32" s="34"/>
      <c r="BC32" s="34"/>
      <c r="BD32" s="34"/>
      <c r="BE32" s="34"/>
      <c r="BF32" s="34"/>
      <c r="BG32" s="34"/>
      <c r="BH32" s="34"/>
      <c r="BI32" s="34"/>
      <c r="BJ32" s="34"/>
      <c r="BK32" s="34"/>
      <c r="BL32" s="34"/>
      <c r="BM32" s="34"/>
      <c r="BN32" s="34"/>
    </row>
    <row r="33" ht="41.25" hidden="1" customHeight="1">
      <c r="A33" s="53" t="s">
        <v>126</v>
      </c>
      <c r="B33" s="107" t="s">
        <v>366</v>
      </c>
      <c r="C33" s="108" t="s">
        <v>367</v>
      </c>
      <c r="D33" s="116"/>
      <c r="E33" s="145"/>
      <c r="F33" s="62" t="s">
        <v>75</v>
      </c>
      <c r="G33" s="56">
        <v>100.0</v>
      </c>
      <c r="H33" s="144"/>
      <c r="I33" s="82">
        <v>45845.0</v>
      </c>
      <c r="J33" s="59">
        <v>45845.0</v>
      </c>
      <c r="K33" s="59"/>
      <c r="L33" s="59">
        <v>45849.0</v>
      </c>
      <c r="M33" s="25">
        <f>IF(ISBLANK(L33), NETWORKDAYS(J33, TODAY(),Hoja2!$A$1:$A$18), NETWORKDAYS(J33, L33, Hoja2!$A$1:$A$18))</f>
        <v>5</v>
      </c>
      <c r="N33" s="82">
        <v>45849.0</v>
      </c>
      <c r="O33" s="102"/>
      <c r="P33" s="105"/>
      <c r="Q33" s="28" t="s">
        <v>71</v>
      </c>
      <c r="R33" s="119"/>
      <c r="S33" s="119"/>
      <c r="T33" s="104"/>
      <c r="U33" s="105"/>
      <c r="V33" s="105"/>
      <c r="W33" s="105"/>
      <c r="X33" s="105"/>
      <c r="Y33" s="105"/>
      <c r="Z33" s="105"/>
      <c r="AA33" s="105"/>
      <c r="AB33" s="105"/>
      <c r="AC33" s="105"/>
      <c r="AD33" s="105"/>
      <c r="AE33" s="105"/>
      <c r="AF33" s="105"/>
      <c r="AG33" s="105"/>
      <c r="AH33" s="105"/>
      <c r="AI33" s="105"/>
      <c r="AJ33" s="34"/>
      <c r="AK33" s="34"/>
      <c r="AL33" s="34"/>
      <c r="AM33" s="34"/>
      <c r="AN33" s="34"/>
      <c r="AO33" s="34"/>
      <c r="AP33" s="34"/>
      <c r="AQ33" s="34"/>
      <c r="AR33" s="34"/>
      <c r="AS33" s="34"/>
      <c r="AT33" s="34"/>
      <c r="AU33" s="34"/>
      <c r="AV33" s="34"/>
      <c r="AW33" s="34"/>
      <c r="AX33" s="65" t="s">
        <v>368</v>
      </c>
      <c r="AY33" s="65"/>
      <c r="AZ33" s="65" t="s">
        <v>369</v>
      </c>
      <c r="BA33" s="65"/>
      <c r="BB33" s="65" t="s">
        <v>370</v>
      </c>
      <c r="BC33" s="65" t="s">
        <v>371</v>
      </c>
      <c r="BD33" s="65"/>
      <c r="BE33" s="146" t="s">
        <v>151</v>
      </c>
      <c r="BF33" s="146"/>
      <c r="BG33" s="146"/>
      <c r="BH33" s="146"/>
      <c r="BI33" s="146"/>
      <c r="BJ33" s="146"/>
      <c r="BK33" s="146"/>
      <c r="BL33" s="146"/>
      <c r="BM33" s="146"/>
      <c r="BN33" s="146"/>
    </row>
    <row r="34" ht="29.25" hidden="1" customHeight="1">
      <c r="A34" s="93" t="s">
        <v>126</v>
      </c>
      <c r="B34" s="94" t="s">
        <v>372</v>
      </c>
      <c r="C34" s="108" t="s">
        <v>373</v>
      </c>
      <c r="D34" s="96" t="s">
        <v>374</v>
      </c>
      <c r="E34" s="97"/>
      <c r="F34" s="124" t="s">
        <v>227</v>
      </c>
      <c r="G34" s="98">
        <v>99.0</v>
      </c>
      <c r="H34" s="99"/>
      <c r="I34" s="100">
        <v>45902.0</v>
      </c>
      <c r="J34" s="101">
        <v>45946.0</v>
      </c>
      <c r="K34" s="101"/>
      <c r="L34" s="101">
        <v>45967.0</v>
      </c>
      <c r="M34" s="25">
        <f>IF(ISBLANK(L34), NETWORKDAYS(J34, TODAY(),Hoja2!$A$1:$A$18), NETWORKDAYS(J34, L34, Hoja2!$A$1:$A$18))</f>
        <v>16</v>
      </c>
      <c r="N34" s="100">
        <v>45967.0</v>
      </c>
      <c r="O34" s="102">
        <v>46003.0</v>
      </c>
      <c r="P34" s="31" t="s">
        <v>375</v>
      </c>
      <c r="Q34" s="28" t="s">
        <v>71</v>
      </c>
      <c r="R34" s="103"/>
      <c r="S34" s="98" t="s">
        <v>376</v>
      </c>
      <c r="T34" s="124" t="s">
        <v>377</v>
      </c>
      <c r="U34" s="105"/>
      <c r="V34" s="105"/>
      <c r="W34" s="105"/>
      <c r="X34" s="105"/>
      <c r="Y34" s="105"/>
      <c r="Z34" s="105"/>
      <c r="AA34" s="105"/>
      <c r="AB34" s="105"/>
      <c r="AC34" s="105"/>
      <c r="AD34" s="105"/>
      <c r="AE34" s="105"/>
      <c r="AF34" s="105"/>
      <c r="AG34" s="105"/>
      <c r="AH34" s="105"/>
      <c r="AI34" s="105"/>
      <c r="AJ34" s="105"/>
      <c r="AK34" s="106"/>
      <c r="AL34" s="106"/>
      <c r="AM34" s="106"/>
      <c r="AN34" s="106"/>
      <c r="AO34" s="106"/>
      <c r="AP34" s="106"/>
      <c r="AQ34" s="106"/>
      <c r="AR34" s="106"/>
      <c r="AS34" s="106"/>
      <c r="AT34" s="106"/>
      <c r="AU34" s="106"/>
      <c r="AV34" s="106"/>
      <c r="AW34" s="106"/>
      <c r="AX34" s="106"/>
      <c r="AY34" s="106"/>
      <c r="AZ34" s="106"/>
      <c r="BA34" s="106"/>
      <c r="BB34" s="106"/>
      <c r="BC34" s="106"/>
      <c r="BD34" s="106"/>
      <c r="BE34" s="106"/>
      <c r="BF34" s="106"/>
      <c r="BG34" s="106"/>
      <c r="BH34" s="106"/>
      <c r="BI34" s="106"/>
      <c r="BJ34" s="106"/>
      <c r="BK34" s="106"/>
      <c r="BL34" s="106"/>
      <c r="BM34" s="106"/>
      <c r="BN34" s="106"/>
    </row>
    <row r="35" ht="29.25" hidden="1" customHeight="1">
      <c r="A35" s="93" t="s">
        <v>207</v>
      </c>
      <c r="B35" s="107" t="s">
        <v>378</v>
      </c>
      <c r="C35" s="122" t="s">
        <v>379</v>
      </c>
      <c r="D35" s="96"/>
      <c r="E35" s="97"/>
      <c r="F35" s="124" t="s">
        <v>214</v>
      </c>
      <c r="G35" s="98">
        <v>70.0</v>
      </c>
      <c r="H35" s="99"/>
      <c r="I35" s="100">
        <v>46006.0</v>
      </c>
      <c r="J35" s="101">
        <v>46009.0</v>
      </c>
      <c r="K35" s="101"/>
      <c r="L35" s="101"/>
      <c r="M35" s="25">
        <f>IF(ISBLANK(L35), NETWORKDAYS(J35, TODAY(),Hoja2!$A$1:$A$18), NETWORKDAYS(J35, L35, Hoja2!$A$1:$A$18))</f>
        <v>1</v>
      </c>
      <c r="N35" s="100"/>
      <c r="O35" s="102"/>
      <c r="P35" s="31" t="s">
        <v>380</v>
      </c>
      <c r="Q35" s="28"/>
      <c r="R35" s="103"/>
      <c r="S35" s="98"/>
      <c r="T35" s="104"/>
      <c r="U35" s="105"/>
      <c r="V35" s="105"/>
      <c r="W35" s="105"/>
      <c r="X35" s="105"/>
      <c r="Y35" s="105"/>
      <c r="Z35" s="105"/>
      <c r="AA35" s="105"/>
      <c r="AB35" s="105"/>
      <c r="AC35" s="105"/>
      <c r="AD35" s="105"/>
      <c r="AE35" s="105"/>
      <c r="AF35" s="105"/>
      <c r="AG35" s="105"/>
      <c r="AH35" s="105"/>
      <c r="AI35" s="105"/>
      <c r="AJ35" s="105"/>
      <c r="AK35" s="106"/>
      <c r="AL35" s="106"/>
      <c r="AM35" s="106"/>
      <c r="AN35" s="106"/>
      <c r="AO35" s="106"/>
      <c r="AP35" s="106"/>
      <c r="AQ35" s="106"/>
      <c r="AR35" s="106"/>
      <c r="AS35" s="106"/>
      <c r="AT35" s="106"/>
      <c r="AU35" s="106"/>
      <c r="AV35" s="106"/>
      <c r="AW35" s="106"/>
      <c r="AX35" s="106"/>
      <c r="AY35" s="106"/>
      <c r="AZ35" s="106"/>
      <c r="BA35" s="106"/>
      <c r="BB35" s="106"/>
      <c r="BC35" s="106"/>
      <c r="BD35" s="106"/>
      <c r="BE35" s="106"/>
      <c r="BF35" s="106"/>
      <c r="BG35" s="106"/>
      <c r="BH35" s="106"/>
      <c r="BI35" s="106"/>
      <c r="BJ35" s="106"/>
      <c r="BK35" s="106"/>
      <c r="BL35" s="106"/>
      <c r="BM35" s="106"/>
      <c r="BN35" s="106"/>
    </row>
    <row r="36" ht="29.25" hidden="1" customHeight="1">
      <c r="A36" s="53" t="s">
        <v>126</v>
      </c>
      <c r="B36" s="16" t="s">
        <v>381</v>
      </c>
      <c r="C36" s="108" t="s">
        <v>382</v>
      </c>
      <c r="D36" s="147"/>
      <c r="E36" s="148"/>
      <c r="F36" s="62" t="s">
        <v>75</v>
      </c>
      <c r="G36" s="56">
        <v>100.0</v>
      </c>
      <c r="H36" s="149"/>
      <c r="I36" s="82">
        <v>45841.0</v>
      </c>
      <c r="J36" s="59">
        <v>45853.0</v>
      </c>
      <c r="K36" s="59"/>
      <c r="L36" s="59">
        <v>45859.0</v>
      </c>
      <c r="M36" s="25">
        <f>IF(ISBLANK(L36), NETWORKDAYS(J36, TODAY(),Hoja2!$A$1:$A$18), NETWORKDAYS(J36, L36, Hoja2!$A$1:$A$18))</f>
        <v>5</v>
      </c>
      <c r="N36" s="82"/>
      <c r="O36" s="102"/>
      <c r="P36" s="105"/>
      <c r="Q36" s="28" t="s">
        <v>71</v>
      </c>
      <c r="R36" s="56"/>
      <c r="S36" s="56"/>
      <c r="T36" s="104"/>
      <c r="U36" s="105"/>
      <c r="V36" s="105"/>
      <c r="W36" s="105"/>
      <c r="X36" s="105"/>
      <c r="Y36" s="105"/>
      <c r="Z36" s="105"/>
      <c r="AA36" s="105"/>
      <c r="AB36" s="105"/>
      <c r="AC36" s="105"/>
      <c r="AD36" s="105"/>
      <c r="AE36" s="105"/>
      <c r="AF36" s="105"/>
      <c r="AG36" s="105"/>
      <c r="AH36" s="105"/>
      <c r="AI36" s="105"/>
      <c r="AJ36" s="105"/>
      <c r="AK36" s="34"/>
      <c r="AL36" s="34"/>
      <c r="AM36" s="146"/>
      <c r="AN36" s="146"/>
      <c r="AO36" s="146"/>
      <c r="AP36" s="146"/>
      <c r="AQ36" s="34"/>
      <c r="AR36" s="34"/>
      <c r="AS36" s="34"/>
      <c r="AT36" s="34"/>
      <c r="AU36" s="34"/>
      <c r="AV36" s="34"/>
      <c r="AW36" s="34"/>
      <c r="AX36" s="65" t="s">
        <v>383</v>
      </c>
      <c r="AY36" s="65"/>
      <c r="AZ36" s="65" t="s">
        <v>384</v>
      </c>
      <c r="BA36" s="65"/>
      <c r="BB36" s="65"/>
      <c r="BC36" s="65"/>
      <c r="BD36" s="65"/>
      <c r="BE36" s="65" t="s">
        <v>385</v>
      </c>
      <c r="BF36" s="65"/>
      <c r="BG36" s="65" t="s">
        <v>386</v>
      </c>
      <c r="BH36" s="65" t="s">
        <v>387</v>
      </c>
      <c r="BI36" s="65" t="s">
        <v>388</v>
      </c>
      <c r="BJ36" s="65"/>
      <c r="BK36" s="65"/>
      <c r="BL36" s="65"/>
      <c r="BM36" s="65"/>
      <c r="BN36" s="65"/>
    </row>
    <row r="37" ht="29.25" hidden="1" customHeight="1">
      <c r="A37" s="53" t="s">
        <v>126</v>
      </c>
      <c r="B37" s="16" t="s">
        <v>389</v>
      </c>
      <c r="C37" s="108" t="s">
        <v>390</v>
      </c>
      <c r="D37" s="147"/>
      <c r="E37" s="148"/>
      <c r="F37" s="62" t="s">
        <v>75</v>
      </c>
      <c r="G37" s="56">
        <v>100.0</v>
      </c>
      <c r="H37" s="149"/>
      <c r="I37" s="82">
        <v>45836.0</v>
      </c>
      <c r="J37" s="59">
        <v>45836.0</v>
      </c>
      <c r="K37" s="59"/>
      <c r="L37" s="59">
        <v>45841.0</v>
      </c>
      <c r="M37" s="25">
        <f>IF(ISBLANK(L37), NETWORKDAYS(J37, TODAY(),Hoja2!$A$1:$A$18), NETWORKDAYS(J37, L37, Hoja2!$A$1:$A$18))</f>
        <v>4</v>
      </c>
      <c r="N37" s="82"/>
      <c r="O37" s="102"/>
      <c r="P37" s="105"/>
      <c r="Q37" s="28" t="s">
        <v>71</v>
      </c>
      <c r="R37" s="56"/>
      <c r="S37" s="56"/>
      <c r="T37" s="104"/>
      <c r="U37" s="105"/>
      <c r="V37" s="105"/>
      <c r="W37" s="105"/>
      <c r="X37" s="105"/>
      <c r="Y37" s="105"/>
      <c r="Z37" s="105"/>
      <c r="AA37" s="105"/>
      <c r="AB37" s="105"/>
      <c r="AC37" s="105"/>
      <c r="AD37" s="105"/>
      <c r="AE37" s="105"/>
      <c r="AF37" s="105"/>
      <c r="AG37" s="105"/>
      <c r="AH37" s="105"/>
      <c r="AI37" s="105"/>
      <c r="AJ37" s="105"/>
      <c r="AK37" s="34"/>
      <c r="AL37" s="34"/>
      <c r="AM37" s="146"/>
      <c r="AN37" s="146"/>
      <c r="AO37" s="146"/>
      <c r="AP37" s="146"/>
      <c r="AQ37" s="34"/>
      <c r="AR37" s="34"/>
      <c r="AS37" s="34"/>
      <c r="AT37" s="34"/>
      <c r="AU37" s="34"/>
      <c r="AV37" s="34" t="s">
        <v>391</v>
      </c>
      <c r="AW37" s="34" t="s">
        <v>392</v>
      </c>
      <c r="AX37" s="34" t="s">
        <v>393</v>
      </c>
      <c r="AY37" s="34"/>
      <c r="AZ37" s="34"/>
      <c r="BA37" s="34"/>
      <c r="BB37" s="34"/>
      <c r="BC37" s="34"/>
      <c r="BD37" s="34"/>
      <c r="BE37" s="34"/>
      <c r="BF37" s="34"/>
      <c r="BG37" s="34"/>
      <c r="BH37" s="34"/>
      <c r="BI37" s="34"/>
      <c r="BJ37" s="34"/>
      <c r="BK37" s="34"/>
      <c r="BL37" s="34"/>
      <c r="BM37" s="34"/>
      <c r="BN37" s="34"/>
    </row>
    <row r="38" ht="29.25" hidden="1" customHeight="1">
      <c r="A38" s="53" t="s">
        <v>126</v>
      </c>
      <c r="B38" s="16" t="s">
        <v>394</v>
      </c>
      <c r="C38" s="108" t="s">
        <v>395</v>
      </c>
      <c r="D38" s="150"/>
      <c r="E38" s="148" t="s">
        <v>237</v>
      </c>
      <c r="F38" s="62" t="s">
        <v>75</v>
      </c>
      <c r="G38" s="56">
        <v>100.0</v>
      </c>
      <c r="H38" s="149">
        <v>2.0</v>
      </c>
      <c r="I38" s="82">
        <v>45814.0</v>
      </c>
      <c r="J38" s="59">
        <v>45819.0</v>
      </c>
      <c r="K38" s="59"/>
      <c r="L38" s="59">
        <v>45833.0</v>
      </c>
      <c r="M38" s="25">
        <f>IF(ISBLANK(L38), NETWORKDAYS(J38, TODAY(),Hoja2!$A$1:$A$18), NETWORKDAYS(J38, L38, Hoja2!$A$1:$A$18))</f>
        <v>11</v>
      </c>
      <c r="N38" s="82">
        <v>45827.0</v>
      </c>
      <c r="O38" s="102">
        <v>45841.0</v>
      </c>
      <c r="P38" s="105"/>
      <c r="Q38" s="28" t="s">
        <v>71</v>
      </c>
      <c r="R38" s="56"/>
      <c r="S38" s="56" t="s">
        <v>396</v>
      </c>
      <c r="T38" s="124" t="s">
        <v>397</v>
      </c>
      <c r="U38" s="105"/>
      <c r="V38" s="105"/>
      <c r="W38" s="105"/>
      <c r="X38" s="105"/>
      <c r="Y38" s="105"/>
      <c r="Z38" s="105"/>
      <c r="AA38" s="105"/>
      <c r="AB38" s="105"/>
      <c r="AC38" s="105"/>
      <c r="AD38" s="105"/>
      <c r="AE38" s="105"/>
      <c r="AF38" s="105"/>
      <c r="AG38" s="105"/>
      <c r="AH38" s="105"/>
      <c r="AI38" s="105"/>
      <c r="AJ38" s="105"/>
      <c r="AK38" s="31" t="s">
        <v>398</v>
      </c>
      <c r="AL38" s="34" t="s">
        <v>399</v>
      </c>
      <c r="AM38" s="146" t="s">
        <v>400</v>
      </c>
      <c r="AN38" s="146" t="s">
        <v>401</v>
      </c>
      <c r="AO38" s="146" t="s">
        <v>402</v>
      </c>
      <c r="AP38" s="146"/>
      <c r="AQ38" s="31" t="s">
        <v>403</v>
      </c>
      <c r="AR38" s="34" t="s">
        <v>404</v>
      </c>
      <c r="AS38" s="34" t="s">
        <v>405</v>
      </c>
      <c r="AT38" s="34" t="s">
        <v>406</v>
      </c>
      <c r="AU38" s="34"/>
      <c r="AV38" s="34" t="s">
        <v>407</v>
      </c>
      <c r="AW38" s="34" t="s">
        <v>408</v>
      </c>
      <c r="AX38" s="34"/>
      <c r="AY38" s="34"/>
      <c r="AZ38" s="34"/>
      <c r="BA38" s="34"/>
      <c r="BB38" s="34"/>
      <c r="BC38" s="34"/>
      <c r="BD38" s="34"/>
      <c r="BE38" s="34"/>
      <c r="BF38" s="34"/>
      <c r="BG38" s="34"/>
      <c r="BH38" s="34"/>
      <c r="BI38" s="34"/>
      <c r="BJ38" s="34"/>
      <c r="BK38" s="34"/>
      <c r="BL38" s="34"/>
      <c r="BM38" s="34"/>
      <c r="BN38" s="34"/>
    </row>
    <row r="39" ht="29.25" hidden="1" customHeight="1">
      <c r="A39" s="15" t="s">
        <v>66</v>
      </c>
      <c r="B39" s="16" t="s">
        <v>409</v>
      </c>
      <c r="C39" s="108" t="s">
        <v>410</v>
      </c>
      <c r="D39" s="142"/>
      <c r="E39" s="143"/>
      <c r="F39" s="19" t="s">
        <v>75</v>
      </c>
      <c r="G39" s="56">
        <v>100.0</v>
      </c>
      <c r="H39" s="151"/>
      <c r="I39" s="82">
        <v>45818.0</v>
      </c>
      <c r="J39" s="59">
        <v>45818.0</v>
      </c>
      <c r="K39" s="59"/>
      <c r="L39" s="59">
        <v>45820.0</v>
      </c>
      <c r="M39" s="25">
        <f>IF(ISBLANK(L39), NETWORKDAYS(J39, TODAY(),Hoja2!$A$1:$A$18), NETWORKDAYS(J39, L39, Hoja2!$A$1:$A$18))</f>
        <v>3</v>
      </c>
      <c r="N39" s="82"/>
      <c r="O39" s="102"/>
      <c r="P39" s="31" t="s">
        <v>411</v>
      </c>
      <c r="Q39" s="28" t="s">
        <v>71</v>
      </c>
      <c r="R39" s="119"/>
      <c r="S39" s="119"/>
      <c r="T39" s="104"/>
      <c r="U39" s="105"/>
      <c r="V39" s="105"/>
      <c r="W39" s="105"/>
      <c r="X39" s="105"/>
      <c r="Y39" s="105"/>
      <c r="Z39" s="105"/>
      <c r="AA39" s="105"/>
      <c r="AB39" s="105"/>
      <c r="AC39" s="105"/>
      <c r="AD39" s="105"/>
      <c r="AE39" s="105"/>
      <c r="AF39" s="105"/>
      <c r="AG39" s="105"/>
      <c r="AH39" s="105"/>
      <c r="AI39" s="105"/>
      <c r="AJ39" s="105"/>
      <c r="AK39" s="105"/>
      <c r="AL39" s="105"/>
      <c r="AM39" s="31" t="s">
        <v>412</v>
      </c>
      <c r="AN39" s="34" t="s">
        <v>413</v>
      </c>
      <c r="AO39" s="34"/>
      <c r="AP39" s="34"/>
      <c r="AQ39" s="34"/>
      <c r="AR39" s="34"/>
      <c r="AS39" s="34"/>
      <c r="AT39" s="34" t="s">
        <v>414</v>
      </c>
      <c r="AU39" s="34"/>
      <c r="AV39" s="34"/>
      <c r="AW39" s="34"/>
      <c r="AX39" s="34"/>
      <c r="AY39" s="34"/>
      <c r="AZ39" s="34"/>
      <c r="BA39" s="34"/>
      <c r="BB39" s="34"/>
      <c r="BC39" s="34"/>
      <c r="BD39" s="34"/>
      <c r="BE39" s="34"/>
      <c r="BF39" s="34"/>
      <c r="BG39" s="34"/>
      <c r="BH39" s="34"/>
      <c r="BI39" s="34"/>
      <c r="BJ39" s="34"/>
      <c r="BK39" s="34"/>
      <c r="BL39" s="34"/>
      <c r="BM39" s="34"/>
      <c r="BN39" s="34"/>
    </row>
    <row r="40" ht="29.25" hidden="1" customHeight="1">
      <c r="A40" s="15" t="s">
        <v>66</v>
      </c>
      <c r="B40" s="16" t="s">
        <v>415</v>
      </c>
      <c r="C40" s="108" t="s">
        <v>416</v>
      </c>
      <c r="D40" s="116"/>
      <c r="E40" s="143"/>
      <c r="F40" s="62" t="s">
        <v>75</v>
      </c>
      <c r="G40" s="56">
        <v>100.0</v>
      </c>
      <c r="H40" s="56">
        <v>15.0</v>
      </c>
      <c r="I40" s="82">
        <v>45818.0</v>
      </c>
      <c r="J40" s="59">
        <v>45821.0</v>
      </c>
      <c r="K40" s="59">
        <v>45835.0</v>
      </c>
      <c r="L40" s="59">
        <v>45832.0</v>
      </c>
      <c r="M40" s="25">
        <f>IF(ISBLANK(L40), NETWORKDAYS(J40, TODAY(),Hoja2!$A$1:$A$18), NETWORKDAYS(J40, L40, Hoja2!$A$1:$A$18))</f>
        <v>8</v>
      </c>
      <c r="N40" s="82"/>
      <c r="O40" s="102"/>
      <c r="P40" s="105"/>
      <c r="Q40" s="28" t="s">
        <v>71</v>
      </c>
      <c r="R40" s="119"/>
      <c r="S40" s="119"/>
      <c r="T40" s="104"/>
      <c r="U40" s="105"/>
      <c r="V40" s="105"/>
      <c r="W40" s="105"/>
      <c r="X40" s="105"/>
      <c r="Y40" s="105"/>
      <c r="Z40" s="105"/>
      <c r="AA40" s="105"/>
      <c r="AB40" s="105"/>
      <c r="AC40" s="105"/>
      <c r="AD40" s="105"/>
      <c r="AE40" s="105"/>
      <c r="AF40" s="105"/>
      <c r="AG40" s="105"/>
      <c r="AH40" s="105"/>
      <c r="AI40" s="105"/>
      <c r="AJ40" s="105"/>
      <c r="AK40" s="105"/>
      <c r="AL40" s="105"/>
      <c r="AM40" s="31" t="s">
        <v>417</v>
      </c>
      <c r="AN40" s="34" t="s">
        <v>418</v>
      </c>
      <c r="AO40" s="34" t="s">
        <v>419</v>
      </c>
      <c r="AP40" s="34"/>
      <c r="AQ40" s="34" t="s">
        <v>420</v>
      </c>
      <c r="AR40" s="34" t="s">
        <v>421</v>
      </c>
      <c r="AS40" s="34"/>
      <c r="AT40" s="34"/>
      <c r="AU40" s="34"/>
      <c r="AV40" s="34"/>
      <c r="AW40" s="34"/>
      <c r="AX40" s="34"/>
      <c r="AY40" s="34"/>
      <c r="AZ40" s="34"/>
      <c r="BA40" s="34"/>
      <c r="BB40" s="34"/>
      <c r="BC40" s="34"/>
      <c r="BD40" s="34"/>
      <c r="BE40" s="34"/>
      <c r="BF40" s="34"/>
      <c r="BG40" s="34"/>
      <c r="BH40" s="34"/>
      <c r="BI40" s="34"/>
      <c r="BJ40" s="34"/>
      <c r="BK40" s="34"/>
      <c r="BL40" s="34"/>
      <c r="BM40" s="34"/>
      <c r="BN40" s="34"/>
    </row>
    <row r="41" ht="29.25" hidden="1" customHeight="1">
      <c r="A41" s="15" t="s">
        <v>66</v>
      </c>
      <c r="B41" s="107" t="s">
        <v>422</v>
      </c>
      <c r="C41" s="108" t="s">
        <v>423</v>
      </c>
      <c r="D41" s="116"/>
      <c r="E41" s="143"/>
      <c r="F41" s="62" t="s">
        <v>75</v>
      </c>
      <c r="G41" s="56">
        <v>100.0</v>
      </c>
      <c r="H41" s="56"/>
      <c r="I41" s="82">
        <v>45839.0</v>
      </c>
      <c r="J41" s="59">
        <v>45839.0</v>
      </c>
      <c r="K41" s="59"/>
      <c r="L41" s="59">
        <v>45840.0</v>
      </c>
      <c r="M41" s="25">
        <f>IF(ISBLANK(L41), NETWORKDAYS(J41, TODAY(),Hoja2!$A$1:$A$18), NETWORKDAYS(J41, L41, Hoja2!$A$1:$A$18))</f>
        <v>2</v>
      </c>
      <c r="N41" s="82"/>
      <c r="O41" s="102"/>
      <c r="P41" s="105"/>
      <c r="Q41" s="28" t="s">
        <v>71</v>
      </c>
      <c r="R41" s="119"/>
      <c r="S41" s="119"/>
      <c r="T41" s="104"/>
      <c r="U41" s="105"/>
      <c r="V41" s="105"/>
      <c r="W41" s="105"/>
      <c r="X41" s="105"/>
      <c r="Y41" s="105"/>
      <c r="Z41" s="105"/>
      <c r="AA41" s="105"/>
      <c r="AB41" s="105"/>
      <c r="AC41" s="105"/>
      <c r="AD41" s="105"/>
      <c r="AE41" s="105"/>
      <c r="AF41" s="105"/>
      <c r="AG41" s="105"/>
      <c r="AH41" s="105"/>
      <c r="AI41" s="105"/>
      <c r="AJ41" s="105"/>
      <c r="AK41" s="105"/>
      <c r="AL41" s="105"/>
      <c r="AM41" s="31"/>
      <c r="AN41" s="106"/>
      <c r="AO41" s="106"/>
      <c r="AP41" s="34"/>
      <c r="AQ41" s="34"/>
      <c r="AR41" s="34"/>
      <c r="AS41" s="34"/>
      <c r="AT41" s="34"/>
      <c r="AU41" s="34"/>
      <c r="AV41" s="34" t="s">
        <v>424</v>
      </c>
      <c r="AW41" s="34" t="s">
        <v>425</v>
      </c>
      <c r="AX41" s="34"/>
      <c r="AY41" s="34"/>
      <c r="AZ41" s="34"/>
      <c r="BA41" s="34"/>
      <c r="BB41" s="34"/>
      <c r="BC41" s="34"/>
      <c r="BD41" s="34"/>
      <c r="BE41" s="34"/>
      <c r="BF41" s="34"/>
      <c r="BG41" s="34"/>
      <c r="BH41" s="34"/>
      <c r="BI41" s="34"/>
      <c r="BJ41" s="34"/>
      <c r="BK41" s="34"/>
      <c r="BL41" s="34"/>
      <c r="BM41" s="34"/>
      <c r="BN41" s="34"/>
    </row>
    <row r="42" ht="29.25" hidden="1" customHeight="1">
      <c r="A42" s="15" t="s">
        <v>66</v>
      </c>
      <c r="B42" s="16" t="s">
        <v>426</v>
      </c>
      <c r="C42" s="108" t="s">
        <v>427</v>
      </c>
      <c r="D42" s="116"/>
      <c r="E42" s="143"/>
      <c r="F42" s="62" t="s">
        <v>75</v>
      </c>
      <c r="G42" s="56">
        <v>100.0</v>
      </c>
      <c r="H42" s="56">
        <v>10.0</v>
      </c>
      <c r="I42" s="82">
        <v>45818.0</v>
      </c>
      <c r="J42" s="59">
        <v>45825.0</v>
      </c>
      <c r="K42" s="59">
        <v>45860.0</v>
      </c>
      <c r="L42" s="59">
        <v>45847.0</v>
      </c>
      <c r="M42" s="25">
        <f>IF(ISBLANK(L42), NETWORKDAYS(J42, TODAY(),Hoja2!$A$1:$A$18), NETWORKDAYS(J42, L42, Hoja2!$A$1:$A$18))</f>
        <v>17</v>
      </c>
      <c r="N42" s="82">
        <v>45847.0</v>
      </c>
      <c r="O42" s="102"/>
      <c r="P42" s="105"/>
      <c r="Q42" s="28" t="s">
        <v>71</v>
      </c>
      <c r="R42" s="119"/>
      <c r="S42" s="119"/>
      <c r="T42" s="104"/>
      <c r="U42" s="105"/>
      <c r="V42" s="105"/>
      <c r="W42" s="105"/>
      <c r="X42" s="105"/>
      <c r="Y42" s="105"/>
      <c r="Z42" s="105"/>
      <c r="AA42" s="105"/>
      <c r="AB42" s="105"/>
      <c r="AC42" s="105"/>
      <c r="AD42" s="105"/>
      <c r="AE42" s="105"/>
      <c r="AF42" s="105"/>
      <c r="AG42" s="105"/>
      <c r="AH42" s="105"/>
      <c r="AI42" s="105"/>
      <c r="AJ42" s="105"/>
      <c r="AK42" s="105"/>
      <c r="AL42" s="105"/>
      <c r="AM42" s="31" t="s">
        <v>428</v>
      </c>
      <c r="AN42" s="106"/>
      <c r="AO42" s="106"/>
      <c r="AP42" s="34" t="s">
        <v>429</v>
      </c>
      <c r="AQ42" s="34" t="s">
        <v>430</v>
      </c>
      <c r="AR42" s="34" t="s">
        <v>431</v>
      </c>
      <c r="AS42" s="34"/>
      <c r="AT42" s="34" t="s">
        <v>432</v>
      </c>
      <c r="AU42" s="34"/>
      <c r="AV42" s="34" t="s">
        <v>433</v>
      </c>
      <c r="AW42" s="34" t="s">
        <v>434</v>
      </c>
      <c r="AX42" s="34" t="s">
        <v>435</v>
      </c>
      <c r="AY42" s="34"/>
      <c r="AZ42" s="34" t="s">
        <v>436</v>
      </c>
      <c r="BA42" s="34"/>
      <c r="BB42" s="34" t="s">
        <v>437</v>
      </c>
      <c r="BC42" s="34" t="s">
        <v>438</v>
      </c>
      <c r="BD42" s="34" t="s">
        <v>439</v>
      </c>
      <c r="BE42" s="34" t="s">
        <v>440</v>
      </c>
      <c r="BF42" s="34"/>
      <c r="BG42" s="34" t="s">
        <v>441</v>
      </c>
      <c r="BH42" s="34"/>
      <c r="BI42" s="34"/>
      <c r="BJ42" s="34"/>
      <c r="BK42" s="34"/>
      <c r="BL42" s="34"/>
      <c r="BM42" s="34"/>
      <c r="BN42" s="34"/>
    </row>
    <row r="43" ht="29.25" hidden="1" customHeight="1">
      <c r="A43" s="15" t="s">
        <v>66</v>
      </c>
      <c r="B43" s="107" t="s">
        <v>442</v>
      </c>
      <c r="C43" s="108" t="s">
        <v>443</v>
      </c>
      <c r="D43" s="116"/>
      <c r="E43" s="143"/>
      <c r="F43" s="62" t="s">
        <v>75</v>
      </c>
      <c r="G43" s="56">
        <v>100.0</v>
      </c>
      <c r="H43" s="56"/>
      <c r="I43" s="82">
        <v>45864.0</v>
      </c>
      <c r="J43" s="59">
        <v>45864.0</v>
      </c>
      <c r="K43" s="59">
        <v>45839.0</v>
      </c>
      <c r="L43" s="59">
        <v>45865.0</v>
      </c>
      <c r="M43" s="25">
        <f>IF(ISBLANK(L43), NETWORKDAYS(J43, TODAY(),Hoja2!$A$1:$A$18), NETWORKDAYS(J43, L43, Hoja2!$A$1:$A$18))</f>
        <v>0</v>
      </c>
      <c r="N43" s="82"/>
      <c r="O43" s="102"/>
      <c r="P43" s="105"/>
      <c r="Q43" s="28" t="s">
        <v>71</v>
      </c>
      <c r="R43" s="119"/>
      <c r="S43" s="119"/>
      <c r="T43" s="104"/>
      <c r="U43" s="105"/>
      <c r="V43" s="105"/>
      <c r="W43" s="105"/>
      <c r="X43" s="105"/>
      <c r="Y43" s="105"/>
      <c r="Z43" s="105"/>
      <c r="AA43" s="105"/>
      <c r="AB43" s="105"/>
      <c r="AC43" s="105"/>
      <c r="AD43" s="105"/>
      <c r="AE43" s="105"/>
      <c r="AF43" s="105"/>
      <c r="AG43" s="105"/>
      <c r="AH43" s="105"/>
      <c r="AI43" s="105"/>
      <c r="AJ43" s="105"/>
      <c r="AK43" s="105"/>
      <c r="AL43" s="105"/>
      <c r="AM43" s="31"/>
      <c r="AN43" s="106"/>
      <c r="AO43" s="34"/>
      <c r="AP43" s="34"/>
      <c r="AQ43" s="34"/>
      <c r="AR43" s="34"/>
      <c r="AS43" s="34"/>
      <c r="AT43" s="34" t="s">
        <v>444</v>
      </c>
      <c r="AU43" s="34"/>
      <c r="AV43" s="34"/>
      <c r="AW43" s="34"/>
      <c r="AX43" s="34"/>
      <c r="AY43" s="34"/>
      <c r="AZ43" s="34"/>
      <c r="BA43" s="34"/>
      <c r="BB43" s="34"/>
      <c r="BC43" s="34"/>
      <c r="BD43" s="34"/>
      <c r="BE43" s="34"/>
      <c r="BF43" s="34"/>
      <c r="BG43" s="34"/>
      <c r="BH43" s="34"/>
      <c r="BI43" s="34"/>
      <c r="BJ43" s="34"/>
      <c r="BK43" s="34"/>
      <c r="BL43" s="34"/>
      <c r="BM43" s="34"/>
      <c r="BN43" s="34"/>
    </row>
    <row r="44" ht="29.25" hidden="1" customHeight="1">
      <c r="A44" s="15" t="s">
        <v>66</v>
      </c>
      <c r="B44" s="16" t="s">
        <v>445</v>
      </c>
      <c r="C44" s="108" t="s">
        <v>446</v>
      </c>
      <c r="D44" s="116"/>
      <c r="E44" s="143"/>
      <c r="F44" s="62" t="s">
        <v>75</v>
      </c>
      <c r="G44" s="56">
        <v>100.0</v>
      </c>
      <c r="H44" s="56">
        <v>5.0</v>
      </c>
      <c r="I44" s="82">
        <v>45818.0</v>
      </c>
      <c r="J44" s="59">
        <v>45821.0</v>
      </c>
      <c r="K44" s="59">
        <v>45845.0</v>
      </c>
      <c r="L44" s="59">
        <v>45867.0</v>
      </c>
      <c r="M44" s="25">
        <f>IF(ISBLANK(L44), NETWORKDAYS(J44, TODAY(),Hoja2!$A$1:$A$18), NETWORKDAYS(J44, L44, Hoja2!$A$1:$A$18))</f>
        <v>33</v>
      </c>
      <c r="N44" s="82"/>
      <c r="O44" s="102">
        <v>45868.0</v>
      </c>
      <c r="P44" s="105"/>
      <c r="Q44" s="28" t="s">
        <v>71</v>
      </c>
      <c r="R44" s="119"/>
      <c r="S44" s="119"/>
      <c r="T44" s="104"/>
      <c r="U44" s="105"/>
      <c r="V44" s="105"/>
      <c r="W44" s="105"/>
      <c r="X44" s="105"/>
      <c r="Y44" s="105"/>
      <c r="Z44" s="105"/>
      <c r="AA44" s="105"/>
      <c r="AB44" s="105"/>
      <c r="AC44" s="105"/>
      <c r="AD44" s="105"/>
      <c r="AE44" s="105"/>
      <c r="AF44" s="105"/>
      <c r="AG44" s="105"/>
      <c r="AH44" s="105"/>
      <c r="AI44" s="105"/>
      <c r="AJ44" s="105"/>
      <c r="AK44" s="105"/>
      <c r="AL44" s="105"/>
      <c r="AM44" s="31" t="s">
        <v>447</v>
      </c>
      <c r="AN44" s="106"/>
      <c r="AO44" s="34" t="s">
        <v>448</v>
      </c>
      <c r="AP44" s="34" t="s">
        <v>449</v>
      </c>
      <c r="AQ44" s="34"/>
      <c r="AR44" s="34"/>
      <c r="AS44" s="34"/>
      <c r="AT44" s="34" t="s">
        <v>450</v>
      </c>
      <c r="AU44" s="34"/>
      <c r="AV44" s="34"/>
      <c r="AW44" s="34"/>
      <c r="AX44" s="34" t="s">
        <v>451</v>
      </c>
      <c r="AY44" s="34" t="s">
        <v>452</v>
      </c>
      <c r="AZ44" s="34"/>
      <c r="BA44" s="34"/>
      <c r="BB44" s="34" t="s">
        <v>453</v>
      </c>
      <c r="BC44" s="34" t="s">
        <v>454</v>
      </c>
      <c r="BD44" s="34"/>
      <c r="BE44" s="34" t="s">
        <v>455</v>
      </c>
      <c r="BF44" s="34"/>
      <c r="BG44" s="34"/>
      <c r="BH44" s="34"/>
      <c r="BI44" s="34"/>
      <c r="BJ44" s="34"/>
      <c r="BK44" s="34"/>
      <c r="BL44" s="34" t="s">
        <v>456</v>
      </c>
      <c r="BM44" s="34"/>
      <c r="BN44" s="34"/>
    </row>
    <row r="45" ht="29.25" hidden="1" customHeight="1">
      <c r="A45" s="152" t="s">
        <v>457</v>
      </c>
      <c r="B45" s="107" t="s">
        <v>458</v>
      </c>
      <c r="C45" s="108" t="s">
        <v>459</v>
      </c>
      <c r="D45" s="142" t="s">
        <v>460</v>
      </c>
      <c r="E45" s="143"/>
      <c r="F45" s="19" t="s">
        <v>75</v>
      </c>
      <c r="G45" s="56">
        <v>100.0</v>
      </c>
      <c r="H45" s="151"/>
      <c r="I45" s="82">
        <v>45813.0</v>
      </c>
      <c r="J45" s="59">
        <v>45813.0</v>
      </c>
      <c r="K45" s="59">
        <v>45826.0</v>
      </c>
      <c r="L45" s="59">
        <v>45895.0</v>
      </c>
      <c r="M45" s="25">
        <f>IF(ISBLANK(L45), NETWORKDAYS(J45, TODAY(),Hoja2!$A$1:$A$18), NETWORKDAYS(J45, L45, Hoja2!$A$1:$A$18))</f>
        <v>59</v>
      </c>
      <c r="N45" s="82"/>
      <c r="O45" s="102"/>
      <c r="P45" s="31" t="s">
        <v>461</v>
      </c>
      <c r="Q45" s="28" t="s">
        <v>71</v>
      </c>
      <c r="R45" s="119"/>
      <c r="S45" s="119"/>
      <c r="T45" s="104"/>
      <c r="U45" s="105"/>
      <c r="V45" s="105"/>
      <c r="W45" s="105"/>
      <c r="X45" s="105"/>
      <c r="Y45" s="105"/>
      <c r="Z45" s="105"/>
      <c r="AA45" s="105"/>
      <c r="AB45" s="105"/>
      <c r="AC45" s="105"/>
      <c r="AD45" s="105"/>
      <c r="AE45" s="105"/>
      <c r="AF45" s="105"/>
      <c r="AG45" s="105"/>
      <c r="AH45" s="105"/>
      <c r="AI45" s="105"/>
      <c r="AJ45" s="105"/>
      <c r="AK45" s="105"/>
      <c r="AL45" s="105"/>
      <c r="AM45" s="105"/>
      <c r="AN45" s="105"/>
      <c r="AO45" s="31" t="s">
        <v>462</v>
      </c>
      <c r="AP45" s="31" t="s">
        <v>463</v>
      </c>
      <c r="AQ45" s="34"/>
      <c r="AR45" s="34" t="s">
        <v>464</v>
      </c>
      <c r="AS45" s="34"/>
      <c r="AT45" s="34"/>
      <c r="AU45" s="34"/>
      <c r="AV45" s="34" t="s">
        <v>465</v>
      </c>
      <c r="AW45" s="34"/>
      <c r="AX45" s="34"/>
      <c r="AY45" s="34"/>
      <c r="AZ45" s="34"/>
      <c r="BA45" s="34"/>
      <c r="BB45" s="34"/>
      <c r="BC45" s="34" t="s">
        <v>466</v>
      </c>
      <c r="BD45" s="34"/>
      <c r="BE45" s="34"/>
      <c r="BF45" s="34"/>
      <c r="BG45" s="34"/>
      <c r="BH45" s="34"/>
      <c r="BI45" s="34"/>
      <c r="BJ45" s="34"/>
      <c r="BK45" s="34"/>
      <c r="BL45" s="34"/>
      <c r="BM45" s="34"/>
      <c r="BN45" s="34"/>
    </row>
    <row r="46" ht="29.25" hidden="1" customHeight="1">
      <c r="A46" s="53" t="s">
        <v>126</v>
      </c>
      <c r="B46" s="16" t="s">
        <v>467</v>
      </c>
      <c r="C46" s="108" t="s">
        <v>468</v>
      </c>
      <c r="D46" s="116" t="s">
        <v>468</v>
      </c>
      <c r="E46" s="143"/>
      <c r="F46" s="62" t="s">
        <v>75</v>
      </c>
      <c r="G46" s="56">
        <v>100.0</v>
      </c>
      <c r="H46" s="144"/>
      <c r="I46" s="82">
        <v>45825.0</v>
      </c>
      <c r="J46" s="59">
        <v>45832.0</v>
      </c>
      <c r="K46" s="59"/>
      <c r="L46" s="59">
        <v>45833.0</v>
      </c>
      <c r="M46" s="25">
        <f>IF(ISBLANK(L46), NETWORKDAYS(J46, TODAY(),Hoja2!$A$1:$A$18), NETWORKDAYS(J46, L46, Hoja2!$A$1:$A$18))</f>
        <v>2</v>
      </c>
      <c r="N46" s="82"/>
      <c r="O46" s="102"/>
      <c r="P46" s="31" t="s">
        <v>469</v>
      </c>
      <c r="Q46" s="28" t="s">
        <v>71</v>
      </c>
      <c r="R46" s="119"/>
      <c r="S46" s="119"/>
      <c r="T46" s="104"/>
      <c r="U46" s="105"/>
      <c r="V46" s="105"/>
      <c r="W46" s="105"/>
      <c r="X46" s="105"/>
      <c r="Y46" s="105"/>
      <c r="Z46" s="105"/>
      <c r="AA46" s="105"/>
      <c r="AB46" s="105"/>
      <c r="AC46" s="105"/>
      <c r="AD46" s="105"/>
      <c r="AE46" s="105"/>
      <c r="AF46" s="105"/>
      <c r="AG46" s="105"/>
      <c r="AH46" s="105"/>
      <c r="AI46" s="105"/>
      <c r="AJ46" s="105"/>
      <c r="AK46" s="105"/>
      <c r="AL46" s="105"/>
      <c r="AM46" s="105"/>
      <c r="AN46" s="105"/>
      <c r="AO46" s="105"/>
      <c r="AP46" s="31" t="s">
        <v>470</v>
      </c>
      <c r="AQ46" s="34" t="s">
        <v>471</v>
      </c>
      <c r="AR46" s="34" t="s">
        <v>472</v>
      </c>
      <c r="AS46" s="34"/>
      <c r="AT46" s="34"/>
      <c r="AU46" s="34"/>
      <c r="AV46" s="34"/>
      <c r="AW46" s="34"/>
      <c r="AX46" s="34"/>
      <c r="AY46" s="34"/>
      <c r="AZ46" s="34"/>
      <c r="BA46" s="34"/>
      <c r="BB46" s="34"/>
      <c r="BC46" s="34"/>
      <c r="BD46" s="34"/>
      <c r="BE46" s="34"/>
      <c r="BF46" s="34"/>
      <c r="BG46" s="34"/>
      <c r="BH46" s="34"/>
      <c r="BI46" s="34"/>
      <c r="BJ46" s="34"/>
      <c r="BK46" s="34"/>
      <c r="BL46" s="34"/>
      <c r="BM46" s="34"/>
      <c r="BN46" s="34"/>
    </row>
    <row r="47" ht="29.25" hidden="1" customHeight="1">
      <c r="A47" s="152" t="s">
        <v>207</v>
      </c>
      <c r="B47" s="16" t="s">
        <v>473</v>
      </c>
      <c r="C47" s="108" t="s">
        <v>474</v>
      </c>
      <c r="D47" s="142"/>
      <c r="E47" s="143"/>
      <c r="F47" s="62" t="s">
        <v>75</v>
      </c>
      <c r="G47" s="56">
        <v>100.0</v>
      </c>
      <c r="H47" s="151"/>
      <c r="I47" s="82">
        <v>45826.0</v>
      </c>
      <c r="J47" s="59">
        <v>45888.0</v>
      </c>
      <c r="K47" s="59"/>
      <c r="L47" s="59">
        <v>45888.0</v>
      </c>
      <c r="M47" s="25">
        <f>IF(ISBLANK(L47), NETWORKDAYS(J47, TODAY(),Hoja2!$A$1:$A$18), NETWORKDAYS(J47, L47, Hoja2!$A$1:$A$18))</f>
        <v>1</v>
      </c>
      <c r="N47" s="82"/>
      <c r="O47" s="102"/>
      <c r="P47" s="31" t="s">
        <v>475</v>
      </c>
      <c r="Q47" s="28" t="s">
        <v>71</v>
      </c>
      <c r="R47" s="119"/>
      <c r="S47" s="119"/>
      <c r="T47" s="104"/>
      <c r="U47" s="105"/>
      <c r="V47" s="105"/>
      <c r="W47" s="105"/>
      <c r="X47" s="105"/>
      <c r="Y47" s="105"/>
      <c r="Z47" s="105"/>
      <c r="AA47" s="105"/>
      <c r="AB47" s="105"/>
      <c r="AC47" s="105"/>
      <c r="AD47" s="105"/>
      <c r="AE47" s="105"/>
      <c r="AF47" s="105"/>
      <c r="AG47" s="105"/>
      <c r="AH47" s="105"/>
      <c r="AI47" s="105"/>
      <c r="AJ47" s="105"/>
      <c r="AK47" s="105"/>
      <c r="AL47" s="105"/>
      <c r="AM47" s="105"/>
      <c r="AN47" s="105"/>
      <c r="AO47" s="105"/>
      <c r="AP47" s="31" t="s">
        <v>476</v>
      </c>
      <c r="AQ47" s="34"/>
      <c r="AR47" s="34"/>
      <c r="AS47" s="34"/>
      <c r="AT47" s="34"/>
      <c r="AU47" s="34"/>
      <c r="AV47" s="34"/>
      <c r="AW47" s="34"/>
      <c r="AX47" s="34"/>
      <c r="AY47" s="34"/>
      <c r="AZ47" s="34"/>
      <c r="BA47" s="34"/>
      <c r="BB47" s="34"/>
      <c r="BC47" s="34"/>
      <c r="BD47" s="34"/>
      <c r="BE47" s="34"/>
      <c r="BF47" s="34"/>
      <c r="BG47" s="34"/>
      <c r="BH47" s="34"/>
      <c r="BI47" s="34"/>
      <c r="BJ47" s="34"/>
      <c r="BK47" s="34"/>
      <c r="BL47" s="34"/>
      <c r="BM47" s="34"/>
      <c r="BN47" s="34"/>
    </row>
    <row r="48" ht="29.25" hidden="1" customHeight="1">
      <c r="A48" s="152" t="s">
        <v>207</v>
      </c>
      <c r="B48" s="16" t="s">
        <v>396</v>
      </c>
      <c r="C48" s="108" t="s">
        <v>477</v>
      </c>
      <c r="D48" s="96"/>
      <c r="E48" s="97"/>
      <c r="F48" s="124" t="s">
        <v>75</v>
      </c>
      <c r="G48" s="98">
        <v>100.0</v>
      </c>
      <c r="H48" s="99"/>
      <c r="I48" s="100">
        <v>45827.0</v>
      </c>
      <c r="J48" s="101">
        <v>45827.0</v>
      </c>
      <c r="K48" s="101"/>
      <c r="L48" s="101">
        <v>45827.0</v>
      </c>
      <c r="M48" s="25">
        <f>IF(ISBLANK(L48), NETWORKDAYS(J48, TODAY(),Hoja2!$A$1:$A$18), NETWORKDAYS(J48, L48, Hoja2!$A$1:$A$18))</f>
        <v>1</v>
      </c>
      <c r="N48" s="100"/>
      <c r="O48" s="102"/>
      <c r="P48" s="105"/>
      <c r="Q48" s="28" t="s">
        <v>71</v>
      </c>
      <c r="R48" s="103"/>
      <c r="S48" s="103"/>
      <c r="T48" s="104"/>
      <c r="U48" s="105"/>
      <c r="V48" s="105"/>
      <c r="W48" s="105"/>
      <c r="X48" s="105"/>
      <c r="Y48" s="105"/>
      <c r="Z48" s="105"/>
      <c r="AA48" s="105"/>
      <c r="AB48" s="105"/>
      <c r="AC48" s="105"/>
      <c r="AD48" s="105"/>
      <c r="AE48" s="105"/>
      <c r="AF48" s="105"/>
      <c r="AG48" s="105"/>
      <c r="AH48" s="105"/>
      <c r="AI48" s="105"/>
      <c r="AJ48" s="105"/>
      <c r="AK48" s="105"/>
      <c r="AL48" s="105"/>
      <c r="AM48" s="105"/>
      <c r="AN48" s="105"/>
      <c r="AO48" s="105"/>
      <c r="AP48" s="105"/>
      <c r="AQ48" s="31" t="s">
        <v>478</v>
      </c>
      <c r="AR48" s="34"/>
      <c r="AS48" s="34"/>
      <c r="AT48" s="34"/>
      <c r="AU48" s="34"/>
      <c r="AV48" s="34"/>
      <c r="AW48" s="34"/>
      <c r="AX48" s="34"/>
      <c r="AY48" s="34"/>
      <c r="AZ48" s="34"/>
      <c r="BA48" s="34"/>
      <c r="BB48" s="34"/>
      <c r="BC48" s="34"/>
      <c r="BD48" s="34"/>
      <c r="BE48" s="34"/>
      <c r="BF48" s="34"/>
      <c r="BG48" s="34"/>
      <c r="BH48" s="34"/>
      <c r="BI48" s="34"/>
      <c r="BJ48" s="34"/>
      <c r="BK48" s="34"/>
      <c r="BL48" s="34"/>
      <c r="BM48" s="34"/>
      <c r="BN48" s="34"/>
    </row>
    <row r="49" ht="29.25" hidden="1" customHeight="1">
      <c r="A49" s="152" t="s">
        <v>207</v>
      </c>
      <c r="B49" s="107" t="s">
        <v>479</v>
      </c>
      <c r="C49" s="108" t="s">
        <v>480</v>
      </c>
      <c r="D49" s="96"/>
      <c r="E49" s="97"/>
      <c r="F49" s="124" t="s">
        <v>75</v>
      </c>
      <c r="G49" s="98">
        <v>100.0</v>
      </c>
      <c r="H49" s="99"/>
      <c r="I49" s="100">
        <v>45821.0</v>
      </c>
      <c r="J49" s="101">
        <v>45827.0</v>
      </c>
      <c r="K49" s="101"/>
      <c r="L49" s="101">
        <v>45827.0</v>
      </c>
      <c r="M49" s="25">
        <f>IF(ISBLANK(L49), NETWORKDAYS(J49, TODAY(),Hoja2!$A$1:$A$18), NETWORKDAYS(J49, L49, Hoja2!$A$1:$A$18))</f>
        <v>1</v>
      </c>
      <c r="N49" s="100"/>
      <c r="O49" s="102"/>
      <c r="P49" s="105"/>
      <c r="Q49" s="28" t="s">
        <v>71</v>
      </c>
      <c r="R49" s="103"/>
      <c r="S49" s="103"/>
      <c r="T49" s="104"/>
      <c r="U49" s="105"/>
      <c r="V49" s="105"/>
      <c r="W49" s="105"/>
      <c r="X49" s="105"/>
      <c r="Y49" s="105"/>
      <c r="Z49" s="105"/>
      <c r="AA49" s="105"/>
      <c r="AB49" s="105"/>
      <c r="AC49" s="105"/>
      <c r="AD49" s="105"/>
      <c r="AE49" s="105"/>
      <c r="AF49" s="105"/>
      <c r="AG49" s="105"/>
      <c r="AH49" s="105"/>
      <c r="AI49" s="105"/>
      <c r="AJ49" s="105"/>
      <c r="AK49" s="105"/>
      <c r="AL49" s="105"/>
      <c r="AM49" s="105"/>
      <c r="AN49" s="105"/>
      <c r="AO49" s="105"/>
      <c r="AP49" s="105"/>
      <c r="AQ49" s="31" t="s">
        <v>481</v>
      </c>
      <c r="AR49" s="34"/>
      <c r="AS49" s="34"/>
      <c r="AT49" s="34"/>
      <c r="AU49" s="34"/>
      <c r="AV49" s="34"/>
      <c r="AW49" s="34"/>
      <c r="AX49" s="34"/>
      <c r="AY49" s="34"/>
      <c r="AZ49" s="34"/>
      <c r="BA49" s="34"/>
      <c r="BB49" s="34"/>
      <c r="BC49" s="34"/>
      <c r="BD49" s="34"/>
      <c r="BE49" s="34"/>
      <c r="BF49" s="34"/>
      <c r="BG49" s="34"/>
      <c r="BH49" s="34"/>
      <c r="BI49" s="34"/>
      <c r="BJ49" s="34"/>
      <c r="BK49" s="34"/>
      <c r="BL49" s="34"/>
      <c r="BM49" s="34"/>
      <c r="BN49" s="34"/>
    </row>
    <row r="50" ht="29.25" hidden="1" customHeight="1">
      <c r="A50" s="152" t="s">
        <v>207</v>
      </c>
      <c r="B50" s="107" t="s">
        <v>482</v>
      </c>
      <c r="C50" s="108" t="s">
        <v>483</v>
      </c>
      <c r="D50" s="153" t="s">
        <v>484</v>
      </c>
      <c r="E50" s="97"/>
      <c r="F50" s="19" t="s">
        <v>205</v>
      </c>
      <c r="G50" s="98">
        <v>80.0</v>
      </c>
      <c r="H50" s="99"/>
      <c r="I50" s="100">
        <v>45820.0</v>
      </c>
      <c r="J50" s="101">
        <v>45820.0</v>
      </c>
      <c r="K50" s="101"/>
      <c r="L50" s="101"/>
      <c r="M50" s="25">
        <f>IF(ISBLANK(L50), NETWORKDAYS(J50, TODAY(),Hoja2!$A$1:$A$18), NETWORKDAYS(J50, L50, Hoja2!$A$1:$A$18))</f>
        <v>136</v>
      </c>
      <c r="N50" s="100"/>
      <c r="O50" s="102"/>
      <c r="P50" s="31" t="s">
        <v>485</v>
      </c>
      <c r="Q50" s="28" t="s">
        <v>71</v>
      </c>
      <c r="R50" s="103"/>
      <c r="S50" s="103"/>
      <c r="T50" s="104"/>
      <c r="U50" s="105"/>
      <c r="V50" s="105"/>
      <c r="W50" s="105"/>
      <c r="X50" s="105"/>
      <c r="Y50" s="105"/>
      <c r="Z50" s="105"/>
      <c r="AA50" s="105"/>
      <c r="AB50" s="105"/>
      <c r="AC50" s="105"/>
      <c r="AD50" s="105"/>
      <c r="AE50" s="105"/>
      <c r="AF50" s="105"/>
      <c r="AG50" s="105"/>
      <c r="AH50" s="105"/>
      <c r="AI50" s="105"/>
      <c r="AJ50" s="105"/>
      <c r="AK50" s="105"/>
      <c r="AL50" s="105"/>
      <c r="AM50" s="105"/>
      <c r="AN50" s="105"/>
      <c r="AO50" s="105"/>
      <c r="AP50" s="105"/>
      <c r="AQ50" s="31" t="s">
        <v>486</v>
      </c>
      <c r="AR50" s="34" t="s">
        <v>487</v>
      </c>
      <c r="AS50" s="34"/>
      <c r="AT50" s="34"/>
      <c r="AU50" s="34" t="s">
        <v>488</v>
      </c>
      <c r="AV50" s="34"/>
      <c r="AW50" s="34"/>
      <c r="AX50" s="34"/>
      <c r="AY50" s="34"/>
      <c r="AZ50" s="34" t="s">
        <v>489</v>
      </c>
      <c r="BA50" s="34"/>
      <c r="BB50" s="34"/>
      <c r="BC50" s="34"/>
      <c r="BD50" s="34"/>
      <c r="BE50" s="34"/>
      <c r="BF50" s="34"/>
      <c r="BG50" s="34"/>
      <c r="BH50" s="34"/>
      <c r="BI50" s="34"/>
      <c r="BJ50" s="34"/>
      <c r="BK50" s="34"/>
      <c r="BL50" s="34"/>
      <c r="BM50" s="34"/>
      <c r="BN50" s="34"/>
    </row>
    <row r="51" ht="29.25" hidden="1" customHeight="1">
      <c r="A51" s="152" t="s">
        <v>207</v>
      </c>
      <c r="B51" s="107" t="s">
        <v>490</v>
      </c>
      <c r="C51" s="108" t="s">
        <v>491</v>
      </c>
      <c r="D51" s="153" t="s">
        <v>492</v>
      </c>
      <c r="E51" s="97"/>
      <c r="F51" s="19" t="s">
        <v>237</v>
      </c>
      <c r="G51" s="98"/>
      <c r="H51" s="99"/>
      <c r="I51" s="100">
        <v>45953.0</v>
      </c>
      <c r="J51" s="101"/>
      <c r="K51" s="101"/>
      <c r="L51" s="101"/>
      <c r="M51" s="25">
        <f>IF(ISBLANK(L51), NETWORKDAYS(J51, TODAY(),Hoja2!$A$1:$A$18), NETWORKDAYS(J51, L51, Hoja2!$A$1:$A$18))</f>
        <v>32848</v>
      </c>
      <c r="N51" s="100"/>
      <c r="O51" s="102"/>
      <c r="P51" s="31"/>
      <c r="Q51" s="28" t="s">
        <v>71</v>
      </c>
      <c r="R51" s="103"/>
      <c r="S51" s="103"/>
      <c r="T51" s="104"/>
      <c r="U51" s="105"/>
      <c r="V51" s="105"/>
      <c r="W51" s="105"/>
      <c r="X51" s="105"/>
      <c r="Y51" s="105"/>
      <c r="Z51" s="105"/>
      <c r="AA51" s="105"/>
      <c r="AB51" s="105"/>
      <c r="AC51" s="105"/>
      <c r="AD51" s="105"/>
      <c r="AE51" s="105"/>
      <c r="AF51" s="105"/>
      <c r="AG51" s="105"/>
      <c r="AH51" s="105"/>
      <c r="AI51" s="105"/>
      <c r="AJ51" s="105"/>
      <c r="AK51" s="105"/>
      <c r="AL51" s="105"/>
      <c r="AM51" s="105"/>
      <c r="AN51" s="105"/>
      <c r="AO51" s="105"/>
      <c r="AP51" s="105"/>
      <c r="AQ51" s="31"/>
      <c r="AR51" s="34"/>
      <c r="AS51" s="34"/>
      <c r="AT51" s="34"/>
      <c r="AU51" s="34"/>
      <c r="AV51" s="34"/>
      <c r="AW51" s="34"/>
      <c r="AX51" s="34"/>
      <c r="AY51" s="34"/>
      <c r="AZ51" s="34"/>
      <c r="BA51" s="34"/>
      <c r="BB51" s="34"/>
      <c r="BC51" s="34"/>
      <c r="BD51" s="34"/>
      <c r="BE51" s="34"/>
      <c r="BF51" s="34"/>
      <c r="BG51" s="34"/>
      <c r="BH51" s="34"/>
      <c r="BI51" s="34"/>
      <c r="BJ51" s="34"/>
      <c r="BK51" s="34"/>
      <c r="BL51" s="34"/>
      <c r="BM51" s="34"/>
      <c r="BN51" s="34"/>
    </row>
    <row r="52" ht="29.25" hidden="1" customHeight="1">
      <c r="A52" s="152" t="s">
        <v>207</v>
      </c>
      <c r="B52" s="107" t="s">
        <v>493</v>
      </c>
      <c r="C52" s="108" t="s">
        <v>494</v>
      </c>
      <c r="D52" s="154"/>
      <c r="E52" s="148" t="s">
        <v>214</v>
      </c>
      <c r="F52" s="124" t="s">
        <v>75</v>
      </c>
      <c r="G52" s="98">
        <v>100.0</v>
      </c>
      <c r="H52" s="99"/>
      <c r="I52" s="100">
        <v>45828.0</v>
      </c>
      <c r="J52" s="101">
        <v>45832.0</v>
      </c>
      <c r="K52" s="101"/>
      <c r="L52" s="101">
        <v>45832.0</v>
      </c>
      <c r="M52" s="25">
        <f>IF(ISBLANK(L52), NETWORKDAYS(J52, TODAY(),Hoja2!$A$1:$A$18), NETWORKDAYS(J52, L52, Hoja2!$A$1:$A$18))</f>
        <v>1</v>
      </c>
      <c r="N52" s="100"/>
      <c r="O52" s="102"/>
      <c r="P52" s="105"/>
      <c r="Q52" s="28" t="s">
        <v>71</v>
      </c>
      <c r="R52" s="103"/>
      <c r="S52" s="103"/>
      <c r="T52" s="104"/>
      <c r="U52" s="105"/>
      <c r="V52" s="105"/>
      <c r="W52" s="105"/>
      <c r="X52" s="105"/>
      <c r="Y52" s="105"/>
      <c r="Z52" s="105"/>
      <c r="AA52" s="105"/>
      <c r="AB52" s="105"/>
      <c r="AC52" s="105"/>
      <c r="AD52" s="105"/>
      <c r="AE52" s="105"/>
      <c r="AF52" s="105"/>
      <c r="AG52" s="105"/>
      <c r="AH52" s="105"/>
      <c r="AI52" s="105"/>
      <c r="AJ52" s="105"/>
      <c r="AK52" s="105"/>
      <c r="AL52" s="105"/>
      <c r="AM52" s="105"/>
      <c r="AN52" s="105"/>
      <c r="AO52" s="105"/>
      <c r="AP52" s="105"/>
      <c r="AQ52" s="105"/>
      <c r="AR52" s="31" t="s">
        <v>495</v>
      </c>
      <c r="AS52" s="34"/>
      <c r="AT52" s="34"/>
      <c r="AU52" s="34"/>
      <c r="AV52" s="34"/>
      <c r="AW52" s="34"/>
      <c r="AX52" s="34"/>
      <c r="AY52" s="34"/>
      <c r="AZ52" s="34"/>
      <c r="BA52" s="34"/>
      <c r="BB52" s="34"/>
      <c r="BC52" s="34"/>
      <c r="BD52" s="34"/>
      <c r="BE52" s="34"/>
      <c r="BF52" s="34"/>
      <c r="BG52" s="34"/>
      <c r="BH52" s="34"/>
      <c r="BI52" s="34"/>
      <c r="BJ52" s="34"/>
      <c r="BK52" s="34"/>
      <c r="BL52" s="34"/>
      <c r="BM52" s="34"/>
      <c r="BN52" s="34"/>
    </row>
    <row r="53" ht="29.25" hidden="1" customHeight="1">
      <c r="A53" s="152" t="s">
        <v>207</v>
      </c>
      <c r="B53" s="107" t="s">
        <v>496</v>
      </c>
      <c r="C53" s="108" t="s">
        <v>497</v>
      </c>
      <c r="D53" s="96"/>
      <c r="E53" s="97"/>
      <c r="F53" s="124" t="s">
        <v>75</v>
      </c>
      <c r="G53" s="98">
        <v>100.0</v>
      </c>
      <c r="H53" s="99"/>
      <c r="I53" s="100">
        <v>45832.0</v>
      </c>
      <c r="J53" s="101">
        <v>45832.0</v>
      </c>
      <c r="K53" s="101"/>
      <c r="L53" s="101">
        <v>45833.0</v>
      </c>
      <c r="M53" s="25">
        <f>IF(ISBLANK(L53), NETWORKDAYS(J53, TODAY(),Hoja2!$A$1:$A$18), NETWORKDAYS(J53, L53, Hoja2!$A$1:$A$18))</f>
        <v>2</v>
      </c>
      <c r="N53" s="100"/>
      <c r="O53" s="102"/>
      <c r="P53" s="105"/>
      <c r="Q53" s="28" t="s">
        <v>71</v>
      </c>
      <c r="R53" s="103"/>
      <c r="S53" s="103"/>
      <c r="T53" s="104"/>
      <c r="U53" s="105"/>
      <c r="V53" s="105"/>
      <c r="W53" s="105"/>
      <c r="X53" s="105"/>
      <c r="Y53" s="105"/>
      <c r="Z53" s="105"/>
      <c r="AA53" s="105"/>
      <c r="AB53" s="105"/>
      <c r="AC53" s="105"/>
      <c r="AD53" s="105"/>
      <c r="AE53" s="105"/>
      <c r="AF53" s="105"/>
      <c r="AG53" s="105"/>
      <c r="AH53" s="105"/>
      <c r="AI53" s="105"/>
      <c r="AJ53" s="105"/>
      <c r="AK53" s="105"/>
      <c r="AL53" s="105"/>
      <c r="AM53" s="105"/>
      <c r="AN53" s="105"/>
      <c r="AO53" s="105"/>
      <c r="AP53" s="105"/>
      <c r="AQ53" s="105"/>
      <c r="AR53" s="31" t="s">
        <v>498</v>
      </c>
      <c r="AS53" s="34"/>
      <c r="AT53" s="34"/>
      <c r="AU53" s="34"/>
      <c r="AV53" s="34"/>
      <c r="AW53" s="34"/>
      <c r="AX53" s="34"/>
      <c r="AY53" s="34"/>
      <c r="AZ53" s="34"/>
      <c r="BA53" s="34"/>
      <c r="BB53" s="34"/>
      <c r="BC53" s="34"/>
      <c r="BD53" s="34"/>
      <c r="BE53" s="34"/>
      <c r="BF53" s="34"/>
      <c r="BG53" s="34"/>
      <c r="BH53" s="34"/>
      <c r="BI53" s="34"/>
      <c r="BJ53" s="34"/>
      <c r="BK53" s="34"/>
      <c r="BL53" s="34"/>
      <c r="BM53" s="34"/>
      <c r="BN53" s="34"/>
    </row>
    <row r="54" ht="29.25" hidden="1" customHeight="1">
      <c r="A54" s="53" t="s">
        <v>155</v>
      </c>
      <c r="B54" s="16" t="s">
        <v>499</v>
      </c>
      <c r="C54" s="108" t="s">
        <v>500</v>
      </c>
      <c r="D54" s="96"/>
      <c r="E54" s="97"/>
      <c r="F54" s="124" t="s">
        <v>75</v>
      </c>
      <c r="G54" s="98">
        <v>100.0</v>
      </c>
      <c r="H54" s="99"/>
      <c r="I54" s="100">
        <v>45833.0</v>
      </c>
      <c r="J54" s="101">
        <v>45833.0</v>
      </c>
      <c r="K54" s="101"/>
      <c r="L54" s="101">
        <v>45833.0</v>
      </c>
      <c r="M54" s="25">
        <f>IF(ISBLANK(L54), NETWORKDAYS(J54, TODAY(),Hoja2!$A$1:$A$18), NETWORKDAYS(J54, L54, Hoja2!$A$1:$A$18))</f>
        <v>1</v>
      </c>
      <c r="N54" s="100"/>
      <c r="O54" s="102"/>
      <c r="P54" s="105"/>
      <c r="Q54" s="28" t="s">
        <v>71</v>
      </c>
      <c r="R54" s="103"/>
      <c r="S54" s="103"/>
      <c r="T54" s="104"/>
      <c r="U54" s="105"/>
      <c r="V54" s="105"/>
      <c r="W54" s="105"/>
      <c r="X54" s="105"/>
      <c r="Y54" s="105"/>
      <c r="Z54" s="105"/>
      <c r="AA54" s="105"/>
      <c r="AB54" s="105"/>
      <c r="AC54" s="105"/>
      <c r="AD54" s="105"/>
      <c r="AE54" s="105"/>
      <c r="AF54" s="105"/>
      <c r="AG54" s="105"/>
      <c r="AH54" s="105"/>
      <c r="AI54" s="105"/>
      <c r="AJ54" s="105"/>
      <c r="AK54" s="105"/>
      <c r="AL54" s="105"/>
      <c r="AM54" s="105"/>
      <c r="AN54" s="105"/>
      <c r="AO54" s="105"/>
      <c r="AP54" s="105"/>
      <c r="AQ54" s="105"/>
      <c r="AR54" s="31" t="s">
        <v>501</v>
      </c>
      <c r="AS54" s="34"/>
      <c r="AT54" s="34"/>
      <c r="AU54" s="34"/>
      <c r="AV54" s="34"/>
      <c r="AW54" s="34"/>
      <c r="AX54" s="34"/>
      <c r="AY54" s="34"/>
      <c r="AZ54" s="34"/>
      <c r="BA54" s="34"/>
      <c r="BB54" s="34"/>
      <c r="BC54" s="34"/>
      <c r="BD54" s="34"/>
      <c r="BE54" s="34"/>
      <c r="BF54" s="34"/>
      <c r="BG54" s="34"/>
      <c r="BH54" s="34"/>
      <c r="BI54" s="34"/>
      <c r="BJ54" s="34"/>
      <c r="BK54" s="34"/>
      <c r="BL54" s="34"/>
      <c r="BM54" s="34"/>
      <c r="BN54" s="34"/>
    </row>
    <row r="55" ht="29.25" hidden="1" customHeight="1">
      <c r="A55" s="53" t="s">
        <v>155</v>
      </c>
      <c r="B55" s="16" t="s">
        <v>502</v>
      </c>
      <c r="C55" s="108" t="s">
        <v>503</v>
      </c>
      <c r="D55" s="153"/>
      <c r="E55" s="97"/>
      <c r="F55" s="124" t="s">
        <v>75</v>
      </c>
      <c r="G55" s="98">
        <v>100.0</v>
      </c>
      <c r="H55" s="99"/>
      <c r="I55" s="100">
        <v>45833.0</v>
      </c>
      <c r="J55" s="101">
        <v>45833.0</v>
      </c>
      <c r="K55" s="101"/>
      <c r="L55" s="101">
        <v>45833.0</v>
      </c>
      <c r="M55" s="25">
        <f>IF(ISBLANK(L55), NETWORKDAYS(J55, TODAY(),Hoja2!$A$1:$A$18), NETWORKDAYS(J55, L55, Hoja2!$A$1:$A$18))</f>
        <v>1</v>
      </c>
      <c r="N55" s="100"/>
      <c r="O55" s="102"/>
      <c r="P55" s="105"/>
      <c r="Q55" s="28" t="s">
        <v>71</v>
      </c>
      <c r="R55" s="103"/>
      <c r="S55" s="103"/>
      <c r="T55" s="104"/>
      <c r="U55" s="105"/>
      <c r="V55" s="105"/>
      <c r="W55" s="105"/>
      <c r="X55" s="105"/>
      <c r="Y55" s="105"/>
      <c r="Z55" s="105"/>
      <c r="AA55" s="105"/>
      <c r="AB55" s="105"/>
      <c r="AC55" s="105"/>
      <c r="AD55" s="105"/>
      <c r="AE55" s="105"/>
      <c r="AF55" s="105"/>
      <c r="AG55" s="105"/>
      <c r="AH55" s="105"/>
      <c r="AI55" s="105"/>
      <c r="AJ55" s="105"/>
      <c r="AK55" s="105"/>
      <c r="AL55" s="105"/>
      <c r="AM55" s="105"/>
      <c r="AN55" s="105"/>
      <c r="AO55" s="105"/>
      <c r="AP55" s="105"/>
      <c r="AQ55" s="105"/>
      <c r="AR55" s="31" t="s">
        <v>504</v>
      </c>
      <c r="AS55" s="34"/>
      <c r="AT55" s="34"/>
      <c r="AU55" s="34"/>
      <c r="AV55" s="34"/>
      <c r="AW55" s="34"/>
      <c r="AX55" s="34"/>
      <c r="AY55" s="34"/>
      <c r="AZ55" s="34"/>
      <c r="BA55" s="34"/>
      <c r="BB55" s="34"/>
      <c r="BC55" s="34"/>
      <c r="BD55" s="34"/>
      <c r="BE55" s="34"/>
      <c r="BF55" s="34"/>
      <c r="BG55" s="34"/>
      <c r="BH55" s="34"/>
      <c r="BI55" s="34"/>
      <c r="BJ55" s="34"/>
      <c r="BK55" s="34"/>
      <c r="BL55" s="34"/>
      <c r="BM55" s="34"/>
      <c r="BN55" s="34"/>
    </row>
    <row r="56" ht="29.25" hidden="1" customHeight="1">
      <c r="A56" s="152" t="s">
        <v>207</v>
      </c>
      <c r="B56" s="107" t="s">
        <v>505</v>
      </c>
      <c r="C56" s="108" t="s">
        <v>506</v>
      </c>
      <c r="D56" s="155" t="s">
        <v>507</v>
      </c>
      <c r="E56" s="97"/>
      <c r="F56" s="124" t="s">
        <v>237</v>
      </c>
      <c r="G56" s="98"/>
      <c r="H56" s="99"/>
      <c r="I56" s="100">
        <v>45840.0</v>
      </c>
      <c r="J56" s="101"/>
      <c r="K56" s="101"/>
      <c r="L56" s="101"/>
      <c r="M56" s="25">
        <f>IF(ISBLANK(L56), NETWORKDAYS(J56, TODAY(),Hoja2!$A$1:$A$18), NETWORKDAYS(J56, L56, Hoja2!$A$1:$A$18))</f>
        <v>32848</v>
      </c>
      <c r="N56" s="100"/>
      <c r="O56" s="102"/>
      <c r="P56" s="105"/>
      <c r="Q56" s="114" t="s">
        <v>91</v>
      </c>
      <c r="R56" s="103"/>
      <c r="S56" s="103"/>
      <c r="T56" s="104"/>
      <c r="U56" s="105"/>
      <c r="V56" s="105"/>
      <c r="W56" s="105"/>
      <c r="X56" s="105"/>
      <c r="Y56" s="105"/>
      <c r="Z56" s="105"/>
      <c r="AA56" s="105"/>
      <c r="AB56" s="105"/>
      <c r="AC56" s="105"/>
      <c r="AD56" s="105"/>
      <c r="AE56" s="105"/>
      <c r="AF56" s="105"/>
      <c r="AG56" s="105"/>
      <c r="AH56" s="105"/>
      <c r="AI56" s="105"/>
      <c r="AJ56" s="105"/>
      <c r="AK56" s="105"/>
      <c r="AL56" s="105"/>
      <c r="AM56" s="105"/>
      <c r="AN56" s="105"/>
      <c r="AO56" s="105"/>
      <c r="AP56" s="105"/>
      <c r="AQ56" s="105"/>
      <c r="AR56" s="105"/>
      <c r="AS56" s="34"/>
      <c r="AT56" s="34"/>
      <c r="AU56" s="34"/>
      <c r="AV56" s="34"/>
      <c r="AW56" s="34"/>
      <c r="AX56" s="34"/>
      <c r="AY56" s="34"/>
      <c r="AZ56" s="34"/>
      <c r="BA56" s="34"/>
      <c r="BB56" s="34"/>
      <c r="BC56" s="34"/>
      <c r="BD56" s="34"/>
      <c r="BE56" s="34"/>
      <c r="BF56" s="34"/>
      <c r="BG56" s="34"/>
      <c r="BH56" s="34"/>
      <c r="BI56" s="34"/>
      <c r="BJ56" s="34"/>
      <c r="BK56" s="34"/>
      <c r="BL56" s="34"/>
      <c r="BM56" s="34"/>
      <c r="BN56" s="34"/>
    </row>
    <row r="57" ht="29.25" hidden="1" customHeight="1">
      <c r="A57" s="152" t="s">
        <v>207</v>
      </c>
      <c r="B57" s="16" t="s">
        <v>397</v>
      </c>
      <c r="C57" s="108" t="s">
        <v>508</v>
      </c>
      <c r="D57" s="96"/>
      <c r="E57" s="97"/>
      <c r="F57" s="124" t="s">
        <v>75</v>
      </c>
      <c r="G57" s="98">
        <v>100.0</v>
      </c>
      <c r="H57" s="99"/>
      <c r="I57" s="100">
        <v>45834.0</v>
      </c>
      <c r="J57" s="101">
        <v>45834.0</v>
      </c>
      <c r="K57" s="101"/>
      <c r="L57" s="101">
        <v>45841.0</v>
      </c>
      <c r="M57" s="25">
        <f>IF(ISBLANK(L57), NETWORKDAYS(J57, TODAY(),Hoja2!$A$1:$A$18), NETWORKDAYS(J57, L57, Hoja2!$A$1:$A$18))</f>
        <v>6</v>
      </c>
      <c r="N57" s="100"/>
      <c r="O57" s="102"/>
      <c r="P57" s="105"/>
      <c r="Q57" s="28" t="s">
        <v>71</v>
      </c>
      <c r="R57" s="103"/>
      <c r="S57" s="103"/>
      <c r="T57" s="104"/>
      <c r="U57" s="105"/>
      <c r="V57" s="105"/>
      <c r="W57" s="105"/>
      <c r="X57" s="105"/>
      <c r="Y57" s="105"/>
      <c r="Z57" s="105"/>
      <c r="AA57" s="105"/>
      <c r="AB57" s="105"/>
      <c r="AC57" s="105"/>
      <c r="AD57" s="105"/>
      <c r="AE57" s="105"/>
      <c r="AF57" s="105"/>
      <c r="AG57" s="105"/>
      <c r="AH57" s="105"/>
      <c r="AI57" s="105"/>
      <c r="AJ57" s="105"/>
      <c r="AK57" s="105"/>
      <c r="AL57" s="105"/>
      <c r="AM57" s="105"/>
      <c r="AN57" s="105"/>
      <c r="AO57" s="105"/>
      <c r="AP57" s="105"/>
      <c r="AQ57" s="105"/>
      <c r="AR57" s="105"/>
      <c r="AS57" s="31" t="s">
        <v>509</v>
      </c>
      <c r="AT57" s="34"/>
      <c r="AU57" s="34" t="s">
        <v>510</v>
      </c>
      <c r="AV57" s="34" t="s">
        <v>407</v>
      </c>
      <c r="AW57" s="34" t="s">
        <v>511</v>
      </c>
      <c r="AX57" s="34"/>
      <c r="AY57" s="34"/>
      <c r="AZ57" s="34"/>
      <c r="BA57" s="34"/>
      <c r="BB57" s="34"/>
      <c r="BC57" s="34"/>
      <c r="BD57" s="34"/>
      <c r="BE57" s="34"/>
      <c r="BF57" s="34"/>
      <c r="BG57" s="34"/>
      <c r="BH57" s="34"/>
      <c r="BI57" s="34"/>
      <c r="BJ57" s="34"/>
      <c r="BK57" s="34"/>
      <c r="BL57" s="34"/>
      <c r="BM57" s="34"/>
      <c r="BN57" s="34"/>
    </row>
    <row r="58" ht="29.25" hidden="1" customHeight="1">
      <c r="A58" s="53" t="s">
        <v>155</v>
      </c>
      <c r="B58" s="16" t="s">
        <v>512</v>
      </c>
      <c r="C58" s="108" t="s">
        <v>513</v>
      </c>
      <c r="D58" s="153"/>
      <c r="E58" s="97"/>
      <c r="F58" s="124" t="s">
        <v>75</v>
      </c>
      <c r="G58" s="98">
        <v>100.0</v>
      </c>
      <c r="H58" s="99"/>
      <c r="I58" s="100">
        <v>45841.0</v>
      </c>
      <c r="J58" s="101">
        <v>45841.0</v>
      </c>
      <c r="K58" s="101"/>
      <c r="L58" s="101">
        <v>45841.0</v>
      </c>
      <c r="M58" s="25">
        <f>IF(ISBLANK(L58), NETWORKDAYS(J58, TODAY(),Hoja2!$A$1:$A$18), NETWORKDAYS(J58, L58, Hoja2!$A$1:$A$18))</f>
        <v>1</v>
      </c>
      <c r="N58" s="100"/>
      <c r="O58" s="102"/>
      <c r="P58" s="105"/>
      <c r="Q58" s="28" t="s">
        <v>71</v>
      </c>
      <c r="R58" s="103"/>
      <c r="S58" s="103"/>
      <c r="T58" s="104"/>
      <c r="U58" s="105"/>
      <c r="V58" s="105"/>
      <c r="W58" s="105"/>
      <c r="X58" s="105"/>
      <c r="Y58" s="105"/>
      <c r="Z58" s="105"/>
      <c r="AA58" s="105"/>
      <c r="AB58" s="105"/>
      <c r="AC58" s="105"/>
      <c r="AD58" s="105"/>
      <c r="AE58" s="105"/>
      <c r="AF58" s="105"/>
      <c r="AG58" s="105"/>
      <c r="AH58" s="105"/>
      <c r="AI58" s="105"/>
      <c r="AJ58" s="105"/>
      <c r="AK58" s="105"/>
      <c r="AL58" s="105"/>
      <c r="AM58" s="105"/>
      <c r="AN58" s="105"/>
      <c r="AO58" s="105"/>
      <c r="AP58" s="105"/>
      <c r="AQ58" s="105"/>
      <c r="AR58" s="105"/>
      <c r="AS58" s="105"/>
      <c r="AT58" s="105"/>
      <c r="AU58" s="105"/>
      <c r="AV58" s="105"/>
      <c r="AW58" s="34" t="s">
        <v>514</v>
      </c>
      <c r="AX58" s="34"/>
      <c r="AY58" s="34"/>
      <c r="AZ58" s="34"/>
      <c r="BA58" s="34"/>
      <c r="BB58" s="34"/>
      <c r="BC58" s="34"/>
      <c r="BD58" s="34"/>
      <c r="BE58" s="34"/>
      <c r="BF58" s="34"/>
      <c r="BG58" s="34"/>
      <c r="BH58" s="34"/>
      <c r="BI58" s="34"/>
      <c r="BJ58" s="34"/>
      <c r="BK58" s="34"/>
      <c r="BL58" s="34"/>
      <c r="BM58" s="34"/>
      <c r="BN58" s="34"/>
    </row>
    <row r="59" ht="29.25" hidden="1" customHeight="1">
      <c r="A59" s="53" t="s">
        <v>155</v>
      </c>
      <c r="B59" s="16" t="s">
        <v>515</v>
      </c>
      <c r="C59" s="108" t="s">
        <v>516</v>
      </c>
      <c r="D59" s="96"/>
      <c r="E59" s="97"/>
      <c r="F59" s="124" t="s">
        <v>75</v>
      </c>
      <c r="G59" s="98">
        <v>100.0</v>
      </c>
      <c r="H59" s="99"/>
      <c r="I59" s="100">
        <v>45845.0</v>
      </c>
      <c r="J59" s="101">
        <v>45845.0</v>
      </c>
      <c r="K59" s="101"/>
      <c r="L59" s="101">
        <v>45845.0</v>
      </c>
      <c r="M59" s="25">
        <f>IF(ISBLANK(L59), NETWORKDAYS(J59, TODAY(),Hoja2!$A$1:$A$18), NETWORKDAYS(J59, L59, Hoja2!$A$1:$A$18))</f>
        <v>1</v>
      </c>
      <c r="N59" s="100"/>
      <c r="O59" s="102"/>
      <c r="P59" s="105"/>
      <c r="Q59" s="28" t="s">
        <v>71</v>
      </c>
      <c r="R59" s="103"/>
      <c r="S59" s="103"/>
      <c r="T59" s="104"/>
      <c r="U59" s="105"/>
      <c r="V59" s="105"/>
      <c r="W59" s="105"/>
      <c r="X59" s="105"/>
      <c r="Y59" s="105"/>
      <c r="Z59" s="105"/>
      <c r="AA59" s="105"/>
      <c r="AB59" s="105"/>
      <c r="AC59" s="105"/>
      <c r="AD59" s="105"/>
      <c r="AE59" s="105"/>
      <c r="AF59" s="105"/>
      <c r="AG59" s="105"/>
      <c r="AH59" s="105"/>
      <c r="AI59" s="105"/>
      <c r="AJ59" s="105"/>
      <c r="AK59" s="105"/>
      <c r="AL59" s="105"/>
      <c r="AM59" s="105"/>
      <c r="AN59" s="105"/>
      <c r="AO59" s="105"/>
      <c r="AP59" s="105"/>
      <c r="AQ59" s="105"/>
      <c r="AR59" s="105"/>
      <c r="AS59" s="105"/>
      <c r="AT59" s="105"/>
      <c r="AU59" s="105"/>
      <c r="AV59" s="105"/>
      <c r="AW59" s="106"/>
      <c r="AX59" s="34" t="s">
        <v>517</v>
      </c>
      <c r="AY59" s="34"/>
      <c r="AZ59" s="34"/>
      <c r="BA59" s="34"/>
      <c r="BB59" s="34"/>
      <c r="BC59" s="34"/>
      <c r="BD59" s="34"/>
      <c r="BE59" s="34"/>
      <c r="BF59" s="34"/>
      <c r="BG59" s="34"/>
      <c r="BH59" s="34"/>
      <c r="BI59" s="34"/>
      <c r="BJ59" s="34"/>
      <c r="BK59" s="34"/>
      <c r="BL59" s="34"/>
      <c r="BM59" s="34"/>
      <c r="BN59" s="34"/>
    </row>
    <row r="60" ht="29.25" hidden="1" customHeight="1">
      <c r="A60" s="53" t="s">
        <v>155</v>
      </c>
      <c r="B60" s="16" t="s">
        <v>518</v>
      </c>
      <c r="C60" s="108" t="s">
        <v>519</v>
      </c>
      <c r="D60" s="96"/>
      <c r="E60" s="97"/>
      <c r="F60" s="124" t="s">
        <v>75</v>
      </c>
      <c r="G60" s="98">
        <v>100.0</v>
      </c>
      <c r="H60" s="99"/>
      <c r="I60" s="100">
        <v>45842.0</v>
      </c>
      <c r="J60" s="101">
        <v>45842.0</v>
      </c>
      <c r="K60" s="101"/>
      <c r="L60" s="101">
        <v>45845.0</v>
      </c>
      <c r="M60" s="25">
        <f>IF(ISBLANK(L60), NETWORKDAYS(J60, TODAY(),Hoja2!$A$1:$A$18), NETWORKDAYS(J60, L60, Hoja2!$A$1:$A$18))</f>
        <v>2</v>
      </c>
      <c r="N60" s="100"/>
      <c r="O60" s="102"/>
      <c r="P60" s="105"/>
      <c r="Q60" s="28" t="s">
        <v>71</v>
      </c>
      <c r="R60" s="103"/>
      <c r="S60" s="103"/>
      <c r="T60" s="104"/>
      <c r="U60" s="105"/>
      <c r="V60" s="105"/>
      <c r="W60" s="105"/>
      <c r="X60" s="105"/>
      <c r="Y60" s="105"/>
      <c r="Z60" s="105"/>
      <c r="AA60" s="105"/>
      <c r="AB60" s="105"/>
      <c r="AC60" s="105"/>
      <c r="AD60" s="105"/>
      <c r="AE60" s="105"/>
      <c r="AF60" s="105"/>
      <c r="AG60" s="105"/>
      <c r="AH60" s="105"/>
      <c r="AI60" s="105"/>
      <c r="AJ60" s="105"/>
      <c r="AK60" s="105"/>
      <c r="AL60" s="105"/>
      <c r="AM60" s="105"/>
      <c r="AN60" s="105"/>
      <c r="AO60" s="105"/>
      <c r="AP60" s="105"/>
      <c r="AQ60" s="105"/>
      <c r="AR60" s="105"/>
      <c r="AS60" s="105"/>
      <c r="AT60" s="105"/>
      <c r="AU60" s="105"/>
      <c r="AV60" s="105"/>
      <c r="AW60" s="105"/>
      <c r="AX60" s="34" t="s">
        <v>520</v>
      </c>
      <c r="AY60" s="34"/>
      <c r="AZ60" s="34"/>
      <c r="BA60" s="34"/>
      <c r="BB60" s="34"/>
      <c r="BC60" s="34"/>
      <c r="BD60" s="34"/>
      <c r="BE60" s="34"/>
      <c r="BF60" s="34"/>
      <c r="BG60" s="34"/>
      <c r="BH60" s="34"/>
      <c r="BI60" s="34"/>
      <c r="BJ60" s="34"/>
      <c r="BK60" s="34"/>
      <c r="BL60" s="34"/>
      <c r="BM60" s="34"/>
      <c r="BN60" s="34"/>
    </row>
    <row r="61" ht="29.25" hidden="1" customHeight="1">
      <c r="A61" s="53" t="s">
        <v>126</v>
      </c>
      <c r="B61" s="16" t="s">
        <v>521</v>
      </c>
      <c r="C61" s="108" t="s">
        <v>522</v>
      </c>
      <c r="D61" s="153"/>
      <c r="E61" s="97"/>
      <c r="F61" s="124" t="s">
        <v>75</v>
      </c>
      <c r="G61" s="98">
        <v>100.0</v>
      </c>
      <c r="H61" s="99"/>
      <c r="I61" s="100">
        <v>45846.0</v>
      </c>
      <c r="J61" s="101">
        <v>45846.0</v>
      </c>
      <c r="K61" s="101"/>
      <c r="L61" s="101">
        <v>45847.0</v>
      </c>
      <c r="M61" s="25">
        <f>IF(ISBLANK(L61), NETWORKDAYS(J61, TODAY(),Hoja2!$A$1:$A$18), NETWORKDAYS(J61, L61, Hoja2!$A$1:$A$18))</f>
        <v>2</v>
      </c>
      <c r="N61" s="100"/>
      <c r="O61" s="102"/>
      <c r="P61" s="105"/>
      <c r="Q61" s="28" t="s">
        <v>71</v>
      </c>
      <c r="R61" s="103"/>
      <c r="S61" s="103"/>
      <c r="T61" s="104"/>
      <c r="U61" s="105"/>
      <c r="V61" s="105"/>
      <c r="W61" s="105"/>
      <c r="X61" s="105"/>
      <c r="Y61" s="105"/>
      <c r="Z61" s="105"/>
      <c r="AA61" s="105"/>
      <c r="AB61" s="105"/>
      <c r="AC61" s="105"/>
      <c r="AD61" s="105"/>
      <c r="AE61" s="105"/>
      <c r="AF61" s="105"/>
      <c r="AG61" s="105"/>
      <c r="AH61" s="105"/>
      <c r="AI61" s="105"/>
      <c r="AJ61" s="105"/>
      <c r="AK61" s="105"/>
      <c r="AL61" s="105"/>
      <c r="AM61" s="105"/>
      <c r="AN61" s="105"/>
      <c r="AO61" s="105"/>
      <c r="AP61" s="105"/>
      <c r="AQ61" s="105"/>
      <c r="AR61" s="105"/>
      <c r="AS61" s="105"/>
      <c r="AT61" s="105"/>
      <c r="AU61" s="105"/>
      <c r="AV61" s="105"/>
      <c r="AW61" s="105"/>
      <c r="AX61" s="106"/>
      <c r="AY61" s="106"/>
      <c r="AZ61" s="34" t="s">
        <v>523</v>
      </c>
      <c r="BA61" s="34"/>
      <c r="BB61" s="34" t="s">
        <v>524</v>
      </c>
      <c r="BC61" s="34"/>
      <c r="BD61" s="34"/>
      <c r="BE61" s="34"/>
      <c r="BF61" s="34"/>
      <c r="BG61" s="34"/>
      <c r="BH61" s="34"/>
      <c r="BI61" s="34"/>
      <c r="BJ61" s="34"/>
      <c r="BK61" s="34"/>
      <c r="BL61" s="34"/>
      <c r="BM61" s="34"/>
      <c r="BN61" s="34"/>
    </row>
    <row r="62" ht="29.25" hidden="1" customHeight="1">
      <c r="A62" s="53" t="s">
        <v>126</v>
      </c>
      <c r="B62" s="16" t="s">
        <v>525</v>
      </c>
      <c r="C62" s="108" t="s">
        <v>526</v>
      </c>
      <c r="D62" s="153"/>
      <c r="E62" s="97"/>
      <c r="F62" s="124" t="s">
        <v>75</v>
      </c>
      <c r="G62" s="98">
        <v>100.0</v>
      </c>
      <c r="H62" s="99"/>
      <c r="I62" s="100">
        <v>45845.0</v>
      </c>
      <c r="J62" s="101">
        <v>45846.0</v>
      </c>
      <c r="K62" s="101"/>
      <c r="L62" s="101">
        <v>45846.0</v>
      </c>
      <c r="M62" s="25">
        <f>IF(ISBLANK(L62), NETWORKDAYS(J62, TODAY(),Hoja2!$A$1:$A$18), NETWORKDAYS(J62, L62, Hoja2!$A$1:$A$18))</f>
        <v>1</v>
      </c>
      <c r="N62" s="100"/>
      <c r="O62" s="102"/>
      <c r="P62" s="105"/>
      <c r="Q62" s="28" t="s">
        <v>71</v>
      </c>
      <c r="R62" s="103"/>
      <c r="S62" s="103"/>
      <c r="T62" s="104"/>
      <c r="U62" s="105"/>
      <c r="V62" s="105"/>
      <c r="W62" s="105"/>
      <c r="X62" s="105"/>
      <c r="Y62" s="105"/>
      <c r="Z62" s="105"/>
      <c r="AA62" s="105"/>
      <c r="AB62" s="105"/>
      <c r="AC62" s="105"/>
      <c r="AD62" s="105"/>
      <c r="AE62" s="105"/>
      <c r="AF62" s="105"/>
      <c r="AG62" s="105"/>
      <c r="AH62" s="105"/>
      <c r="AI62" s="105"/>
      <c r="AJ62" s="105"/>
      <c r="AK62" s="105"/>
      <c r="AL62" s="105"/>
      <c r="AM62" s="105"/>
      <c r="AN62" s="105"/>
      <c r="AO62" s="105"/>
      <c r="AP62" s="105"/>
      <c r="AQ62" s="105"/>
      <c r="AR62" s="105"/>
      <c r="AS62" s="105"/>
      <c r="AT62" s="105"/>
      <c r="AU62" s="105"/>
      <c r="AV62" s="105"/>
      <c r="AW62" s="105"/>
      <c r="AX62" s="105"/>
      <c r="AY62" s="105"/>
      <c r="AZ62" s="34" t="s">
        <v>527</v>
      </c>
      <c r="BA62" s="34"/>
      <c r="BB62" s="34"/>
      <c r="BC62" s="34"/>
      <c r="BD62" s="34"/>
      <c r="BE62" s="34"/>
      <c r="BF62" s="34"/>
      <c r="BG62" s="34"/>
      <c r="BH62" s="34"/>
      <c r="BI62" s="34"/>
      <c r="BJ62" s="34"/>
      <c r="BK62" s="34"/>
      <c r="BL62" s="34"/>
      <c r="BM62" s="34"/>
      <c r="BN62" s="34"/>
    </row>
    <row r="63" ht="29.25" hidden="1" customHeight="1">
      <c r="A63" s="53" t="s">
        <v>126</v>
      </c>
      <c r="B63" s="16" t="s">
        <v>528</v>
      </c>
      <c r="C63" s="108" t="s">
        <v>529</v>
      </c>
      <c r="D63" s="153"/>
      <c r="E63" s="97"/>
      <c r="F63" s="124" t="s">
        <v>75</v>
      </c>
      <c r="G63" s="98">
        <v>100.0</v>
      </c>
      <c r="H63" s="99"/>
      <c r="I63" s="100">
        <v>45845.0</v>
      </c>
      <c r="J63" s="101">
        <v>45846.0</v>
      </c>
      <c r="K63" s="101"/>
      <c r="L63" s="101">
        <v>45846.0</v>
      </c>
      <c r="M63" s="25">
        <f>IF(ISBLANK(L63), NETWORKDAYS(J63, TODAY(),Hoja2!$A$1:$A$18), NETWORKDAYS(J63, L63, Hoja2!$A$1:$A$18))</f>
        <v>1</v>
      </c>
      <c r="N63" s="100"/>
      <c r="O63" s="102"/>
      <c r="P63" s="105"/>
      <c r="Q63" s="28" t="s">
        <v>71</v>
      </c>
      <c r="R63" s="103"/>
      <c r="S63" s="103"/>
      <c r="T63" s="104"/>
      <c r="U63" s="105"/>
      <c r="V63" s="105"/>
      <c r="W63" s="105"/>
      <c r="X63" s="105"/>
      <c r="Y63" s="105"/>
      <c r="Z63" s="105"/>
      <c r="AA63" s="105"/>
      <c r="AB63" s="105"/>
      <c r="AC63" s="105"/>
      <c r="AD63" s="105"/>
      <c r="AE63" s="105"/>
      <c r="AF63" s="105"/>
      <c r="AG63" s="105"/>
      <c r="AH63" s="105"/>
      <c r="AI63" s="105"/>
      <c r="AJ63" s="105"/>
      <c r="AK63" s="105"/>
      <c r="AL63" s="105"/>
      <c r="AM63" s="105"/>
      <c r="AN63" s="105"/>
      <c r="AO63" s="105"/>
      <c r="AP63" s="105"/>
      <c r="AQ63" s="105"/>
      <c r="AR63" s="105"/>
      <c r="AS63" s="105"/>
      <c r="AT63" s="105"/>
      <c r="AU63" s="105"/>
      <c r="AV63" s="105"/>
      <c r="AW63" s="105"/>
      <c r="AX63" s="105"/>
      <c r="AY63" s="105"/>
      <c r="AZ63" s="34" t="s">
        <v>530</v>
      </c>
      <c r="BA63" s="34"/>
      <c r="BB63" s="34"/>
      <c r="BC63" s="34"/>
      <c r="BD63" s="34"/>
      <c r="BE63" s="34"/>
      <c r="BF63" s="34"/>
      <c r="BG63" s="34"/>
      <c r="BH63" s="34"/>
      <c r="BI63" s="34"/>
      <c r="BJ63" s="34"/>
      <c r="BK63" s="34"/>
      <c r="BL63" s="34"/>
      <c r="BM63" s="34"/>
      <c r="BN63" s="34"/>
    </row>
    <row r="64" ht="29.25" hidden="1" customHeight="1">
      <c r="A64" s="93" t="s">
        <v>126</v>
      </c>
      <c r="B64" s="107" t="s">
        <v>531</v>
      </c>
      <c r="C64" s="111" t="s">
        <v>532</v>
      </c>
      <c r="D64" s="96"/>
      <c r="E64" s="97"/>
      <c r="F64" s="124" t="s">
        <v>75</v>
      </c>
      <c r="G64" s="98">
        <v>100.0</v>
      </c>
      <c r="H64" s="99"/>
      <c r="I64" s="100">
        <v>45975.0</v>
      </c>
      <c r="J64" s="101">
        <v>45975.0</v>
      </c>
      <c r="K64" s="101"/>
      <c r="L64" s="101">
        <v>45975.0</v>
      </c>
      <c r="M64" s="25">
        <f>IF(ISBLANK(L64), NETWORKDAYS(J64, TODAY(),Hoja2!$A$1:$A$18), NETWORKDAYS(J64, L64, Hoja2!$A$1:$A$18))</f>
        <v>1</v>
      </c>
      <c r="N64" s="100"/>
      <c r="O64" s="102"/>
      <c r="P64" s="31" t="s">
        <v>533</v>
      </c>
      <c r="Q64" s="114" t="s">
        <v>71</v>
      </c>
      <c r="R64" s="156"/>
      <c r="S64" s="98"/>
      <c r="T64" s="104"/>
      <c r="U64" s="106"/>
      <c r="V64" s="106"/>
      <c r="W64" s="106"/>
      <c r="X64" s="106"/>
      <c r="Y64" s="106"/>
      <c r="Z64" s="106"/>
      <c r="AA64" s="106"/>
      <c r="AB64" s="106"/>
      <c r="AC64" s="106"/>
      <c r="AD64" s="106"/>
      <c r="AE64" s="106"/>
      <c r="AF64" s="106"/>
      <c r="AG64" s="106"/>
      <c r="AH64" s="106"/>
      <c r="AI64" s="106"/>
      <c r="AJ64" s="106"/>
      <c r="AK64" s="106"/>
      <c r="AL64" s="106"/>
      <c r="AM64" s="106"/>
      <c r="AN64" s="106"/>
      <c r="AO64" s="106"/>
      <c r="AP64" s="106"/>
      <c r="AQ64" s="106"/>
      <c r="AR64" s="106"/>
      <c r="AS64" s="106"/>
      <c r="AT64" s="106"/>
      <c r="AU64" s="106"/>
      <c r="AV64" s="106"/>
      <c r="AW64" s="106"/>
      <c r="AX64" s="106"/>
      <c r="AY64" s="106"/>
      <c r="AZ64" s="106"/>
      <c r="BA64" s="106"/>
      <c r="BB64" s="106"/>
      <c r="BC64" s="106"/>
      <c r="BD64" s="106"/>
      <c r="BE64" s="106"/>
      <c r="BF64" s="106"/>
      <c r="BG64" s="106"/>
      <c r="BH64" s="106"/>
      <c r="BI64" s="106"/>
      <c r="BJ64" s="106"/>
      <c r="BK64" s="106"/>
      <c r="BL64" s="106"/>
      <c r="BM64" s="106"/>
      <c r="BN64" s="106"/>
    </row>
    <row r="65" ht="29.25" hidden="1" customHeight="1">
      <c r="A65" s="93" t="s">
        <v>126</v>
      </c>
      <c r="B65" s="107" t="s">
        <v>534</v>
      </c>
      <c r="C65" s="111" t="s">
        <v>535</v>
      </c>
      <c r="D65" s="96" t="s">
        <v>536</v>
      </c>
      <c r="E65" s="97"/>
      <c r="F65" s="124" t="s">
        <v>75</v>
      </c>
      <c r="G65" s="98">
        <v>100.0</v>
      </c>
      <c r="H65" s="99"/>
      <c r="I65" s="100">
        <v>45975.0</v>
      </c>
      <c r="J65" s="101">
        <v>45975.0</v>
      </c>
      <c r="K65" s="101"/>
      <c r="L65" s="101">
        <v>45985.0</v>
      </c>
      <c r="M65" s="25">
        <f>IF(ISBLANK(L65), NETWORKDAYS(J65, TODAY(),Hoja2!$A$1:$A$18), NETWORKDAYS(J65, L65, Hoja2!$A$1:$A$18))</f>
        <v>7</v>
      </c>
      <c r="N65" s="100"/>
      <c r="O65" s="102"/>
      <c r="P65" s="31" t="s">
        <v>537</v>
      </c>
      <c r="Q65" s="114" t="s">
        <v>71</v>
      </c>
      <c r="R65" s="156"/>
      <c r="S65" s="98"/>
      <c r="T65" s="104"/>
      <c r="U65" s="106"/>
      <c r="V65" s="106"/>
      <c r="W65" s="106"/>
      <c r="X65" s="106"/>
      <c r="Y65" s="106"/>
      <c r="Z65" s="106"/>
      <c r="AA65" s="106"/>
      <c r="AB65" s="106"/>
      <c r="AC65" s="106"/>
      <c r="AD65" s="106"/>
      <c r="AE65" s="106"/>
      <c r="AF65" s="106"/>
      <c r="AG65" s="106"/>
      <c r="AH65" s="106"/>
      <c r="AI65" s="106"/>
      <c r="AJ65" s="106"/>
      <c r="AK65" s="106"/>
      <c r="AL65" s="106"/>
      <c r="AM65" s="106"/>
      <c r="AN65" s="106"/>
      <c r="AO65" s="106"/>
      <c r="AP65" s="106"/>
      <c r="AQ65" s="106"/>
      <c r="AR65" s="106"/>
      <c r="AS65" s="106"/>
      <c r="AT65" s="106"/>
      <c r="AU65" s="106"/>
      <c r="AV65" s="106"/>
      <c r="AW65" s="106"/>
      <c r="AX65" s="106"/>
      <c r="AY65" s="106"/>
      <c r="AZ65" s="106"/>
      <c r="BA65" s="106"/>
      <c r="BB65" s="106"/>
      <c r="BC65" s="106"/>
      <c r="BD65" s="106"/>
      <c r="BE65" s="106"/>
      <c r="BF65" s="106"/>
      <c r="BG65" s="106"/>
      <c r="BH65" s="106"/>
      <c r="BI65" s="106"/>
      <c r="BJ65" s="106"/>
      <c r="BK65" s="106"/>
      <c r="BL65" s="106"/>
      <c r="BM65" s="106"/>
      <c r="BN65" s="106"/>
    </row>
    <row r="66" ht="29.25" hidden="1" customHeight="1">
      <c r="A66" s="93" t="s">
        <v>126</v>
      </c>
      <c r="B66" s="107" t="s">
        <v>538</v>
      </c>
      <c r="C66" s="111" t="s">
        <v>539</v>
      </c>
      <c r="D66" s="96" t="s">
        <v>540</v>
      </c>
      <c r="E66" s="97"/>
      <c r="F66" s="124" t="s">
        <v>75</v>
      </c>
      <c r="G66" s="98">
        <v>100.0</v>
      </c>
      <c r="H66" s="99"/>
      <c r="I66" s="100">
        <v>46000.0</v>
      </c>
      <c r="J66" s="101">
        <v>46000.0</v>
      </c>
      <c r="K66" s="101"/>
      <c r="L66" s="101">
        <v>45972.0</v>
      </c>
      <c r="M66" s="25">
        <f>IF(ISBLANK(L66), NETWORKDAYS(J66, TODAY(),Hoja2!$A$1:$A$18), NETWORKDAYS(J66, L66, Hoja2!$A$1:$A$18))</f>
        <v>-21</v>
      </c>
      <c r="N66" s="100"/>
      <c r="O66" s="102">
        <v>45972.0</v>
      </c>
      <c r="P66" s="31" t="s">
        <v>541</v>
      </c>
      <c r="Q66" s="114"/>
      <c r="R66" s="156"/>
      <c r="S66" s="98"/>
      <c r="T66" s="104"/>
      <c r="U66" s="105"/>
      <c r="V66" s="105"/>
      <c r="W66" s="105"/>
      <c r="X66" s="105"/>
      <c r="Y66" s="105"/>
      <c r="Z66" s="105"/>
      <c r="AA66" s="105"/>
      <c r="AB66" s="105"/>
      <c r="AC66" s="105"/>
      <c r="AD66" s="105"/>
      <c r="AE66" s="105"/>
      <c r="AF66" s="105"/>
      <c r="AG66" s="105"/>
      <c r="AH66" s="105"/>
      <c r="AI66" s="105"/>
      <c r="AJ66" s="105"/>
      <c r="AK66" s="105"/>
      <c r="AL66" s="105"/>
      <c r="AM66" s="105"/>
      <c r="AN66" s="105"/>
      <c r="AO66" s="105"/>
      <c r="AP66" s="105"/>
      <c r="AQ66" s="105"/>
      <c r="AR66" s="105"/>
      <c r="AS66" s="105"/>
      <c r="AT66" s="105"/>
      <c r="AU66" s="105"/>
      <c r="AV66" s="105"/>
      <c r="AW66" s="105"/>
      <c r="AX66" s="105"/>
      <c r="AY66" s="105"/>
      <c r="AZ66" s="105"/>
      <c r="BA66" s="105"/>
      <c r="BB66" s="106"/>
      <c r="BC66" s="106"/>
      <c r="BD66" s="106"/>
      <c r="BE66" s="106"/>
      <c r="BF66" s="106"/>
      <c r="BG66" s="106"/>
      <c r="BH66" s="106"/>
      <c r="BI66" s="106"/>
      <c r="BJ66" s="106"/>
      <c r="BK66" s="106"/>
      <c r="BL66" s="106"/>
      <c r="BM66" s="106"/>
      <c r="BN66" s="106"/>
    </row>
    <row r="67" ht="29.25" hidden="1" customHeight="1">
      <c r="A67" s="152" t="s">
        <v>207</v>
      </c>
      <c r="B67" s="107" t="s">
        <v>542</v>
      </c>
      <c r="C67" s="108" t="s">
        <v>543</v>
      </c>
      <c r="D67" s="76"/>
      <c r="E67" s="97"/>
      <c r="F67" s="124" t="s">
        <v>75</v>
      </c>
      <c r="G67" s="98">
        <v>100.0</v>
      </c>
      <c r="H67" s="99"/>
      <c r="I67" s="100">
        <v>45849.0</v>
      </c>
      <c r="J67" s="101">
        <v>45849.0</v>
      </c>
      <c r="K67" s="101"/>
      <c r="L67" s="101">
        <v>45855.0</v>
      </c>
      <c r="M67" s="25">
        <f>IF(ISBLANK(L67), NETWORKDAYS(J67, TODAY(),Hoja2!$A$1:$A$18), NETWORKDAYS(J67, L67, Hoja2!$A$1:$A$18))</f>
        <v>5</v>
      </c>
      <c r="N67" s="100"/>
      <c r="O67" s="102"/>
      <c r="P67" s="105"/>
      <c r="Q67" s="28" t="s">
        <v>71</v>
      </c>
      <c r="R67" s="103"/>
      <c r="S67" s="103"/>
      <c r="T67" s="104"/>
      <c r="U67" s="106"/>
      <c r="V67" s="106"/>
      <c r="W67" s="106"/>
      <c r="X67" s="106"/>
      <c r="Y67" s="106"/>
      <c r="Z67" s="106"/>
      <c r="AA67" s="106"/>
      <c r="AB67" s="106"/>
      <c r="AC67" s="106"/>
      <c r="AD67" s="106"/>
      <c r="AE67" s="106"/>
      <c r="AF67" s="106"/>
      <c r="AG67" s="106"/>
      <c r="AH67" s="106"/>
      <c r="AI67" s="106"/>
      <c r="AJ67" s="106"/>
      <c r="AK67" s="106"/>
      <c r="AL67" s="106"/>
      <c r="AM67" s="106"/>
      <c r="AN67" s="106"/>
      <c r="AO67" s="106"/>
      <c r="AP67" s="106"/>
      <c r="AQ67" s="106"/>
      <c r="AR67" s="106"/>
      <c r="AS67" s="106"/>
      <c r="AT67" s="106"/>
      <c r="AU67" s="106"/>
      <c r="AV67" s="106"/>
      <c r="AW67" s="106"/>
      <c r="AX67" s="106"/>
      <c r="AY67" s="106"/>
      <c r="AZ67" s="106"/>
      <c r="BA67" s="106"/>
      <c r="BB67" s="34" t="s">
        <v>544</v>
      </c>
      <c r="BC67" s="34"/>
      <c r="BD67" s="34"/>
      <c r="BE67" s="34" t="s">
        <v>545</v>
      </c>
      <c r="BF67" s="34"/>
      <c r="BG67" s="34" t="s">
        <v>546</v>
      </c>
      <c r="BH67" s="34"/>
      <c r="BI67" s="34"/>
      <c r="BJ67" s="34"/>
      <c r="BK67" s="34"/>
      <c r="BL67" s="34"/>
      <c r="BM67" s="34"/>
      <c r="BN67" s="34"/>
    </row>
    <row r="68" ht="29.25" hidden="1" customHeight="1">
      <c r="A68" s="15" t="s">
        <v>66</v>
      </c>
      <c r="B68" s="16" t="s">
        <v>547</v>
      </c>
      <c r="C68" s="108" t="s">
        <v>548</v>
      </c>
      <c r="D68" s="96"/>
      <c r="E68" s="97"/>
      <c r="F68" s="124" t="s">
        <v>75</v>
      </c>
      <c r="G68" s="98">
        <v>100.0</v>
      </c>
      <c r="H68" s="99"/>
      <c r="I68" s="100">
        <v>45852.0</v>
      </c>
      <c r="J68" s="101">
        <v>45852.0</v>
      </c>
      <c r="K68" s="101"/>
      <c r="L68" s="101">
        <v>45852.0</v>
      </c>
      <c r="M68" s="25">
        <f>IF(ISBLANK(L68), NETWORKDAYS(J68, TODAY(),Hoja2!$A$1:$A$18), NETWORKDAYS(J68, L68, Hoja2!$A$1:$A$18))</f>
        <v>1</v>
      </c>
      <c r="N68" s="100"/>
      <c r="O68" s="102"/>
      <c r="P68" s="105"/>
      <c r="Q68" s="28" t="s">
        <v>71</v>
      </c>
      <c r="R68" s="103"/>
      <c r="S68" s="103"/>
      <c r="T68" s="104"/>
      <c r="U68" s="105"/>
      <c r="V68" s="105"/>
      <c r="W68" s="105"/>
      <c r="X68" s="105"/>
      <c r="Y68" s="105"/>
      <c r="Z68" s="105"/>
      <c r="AA68" s="105"/>
      <c r="AB68" s="105"/>
      <c r="AC68" s="105"/>
      <c r="AD68" s="105"/>
      <c r="AE68" s="105"/>
      <c r="AF68" s="105"/>
      <c r="AG68" s="105"/>
      <c r="AH68" s="105"/>
      <c r="AI68" s="105"/>
      <c r="AJ68" s="105"/>
      <c r="AK68" s="105"/>
      <c r="AL68" s="105"/>
      <c r="AM68" s="105"/>
      <c r="AN68" s="105"/>
      <c r="AO68" s="105"/>
      <c r="AP68" s="105"/>
      <c r="AQ68" s="105"/>
      <c r="AR68" s="105"/>
      <c r="AS68" s="105"/>
      <c r="AT68" s="105"/>
      <c r="AU68" s="105"/>
      <c r="AV68" s="105"/>
      <c r="AW68" s="105"/>
      <c r="AX68" s="105"/>
      <c r="AY68" s="105"/>
      <c r="AZ68" s="105"/>
      <c r="BA68" s="105"/>
      <c r="BB68" s="105"/>
      <c r="BC68" s="31" t="s">
        <v>549</v>
      </c>
      <c r="BD68" s="34"/>
      <c r="BE68" s="34" t="s">
        <v>550</v>
      </c>
      <c r="BF68" s="34"/>
      <c r="BG68" s="34"/>
      <c r="BH68" s="34"/>
      <c r="BI68" s="34"/>
      <c r="BJ68" s="34"/>
      <c r="BK68" s="34"/>
      <c r="BL68" s="34"/>
      <c r="BM68" s="34"/>
      <c r="BN68" s="34"/>
    </row>
    <row r="69" ht="29.25" hidden="1" customHeight="1">
      <c r="A69" s="15" t="s">
        <v>66</v>
      </c>
      <c r="B69" s="16" t="s">
        <v>551</v>
      </c>
      <c r="C69" s="108" t="s">
        <v>552</v>
      </c>
      <c r="D69" s="157"/>
      <c r="E69" s="97"/>
      <c r="F69" s="124" t="s">
        <v>89</v>
      </c>
      <c r="G69" s="98">
        <v>15.0</v>
      </c>
      <c r="H69" s="99"/>
      <c r="I69" s="100">
        <v>45852.0</v>
      </c>
      <c r="J69" s="101">
        <v>45856.0</v>
      </c>
      <c r="K69" s="101"/>
      <c r="L69" s="101"/>
      <c r="M69" s="25">
        <f>IF(ISBLANK(L69), NETWORKDAYS(J69, TODAY(),Hoja2!$A$1:$A$18), NETWORKDAYS(J69, L69, Hoja2!$A$1:$A$18))</f>
        <v>110</v>
      </c>
      <c r="N69" s="100"/>
      <c r="O69" s="102"/>
      <c r="P69" s="31" t="s">
        <v>553</v>
      </c>
      <c r="Q69" s="114" t="s">
        <v>91</v>
      </c>
      <c r="R69" s="103"/>
      <c r="S69" s="103"/>
      <c r="T69" s="104"/>
      <c r="U69" s="105"/>
      <c r="V69" s="105"/>
      <c r="W69" s="105"/>
      <c r="X69" s="105"/>
      <c r="Y69" s="105"/>
      <c r="Z69" s="105"/>
      <c r="AA69" s="105"/>
      <c r="AB69" s="105"/>
      <c r="AC69" s="105"/>
      <c r="AD69" s="105"/>
      <c r="AE69" s="105"/>
      <c r="AF69" s="105"/>
      <c r="AG69" s="105"/>
      <c r="AH69" s="105"/>
      <c r="AI69" s="105"/>
      <c r="AJ69" s="105"/>
      <c r="AK69" s="105"/>
      <c r="AL69" s="105"/>
      <c r="AM69" s="105"/>
      <c r="AN69" s="105"/>
      <c r="AO69" s="105"/>
      <c r="AP69" s="105"/>
      <c r="AQ69" s="105"/>
      <c r="AR69" s="105"/>
      <c r="AS69" s="105"/>
      <c r="AT69" s="105"/>
      <c r="AU69" s="105"/>
      <c r="AV69" s="105"/>
      <c r="AW69" s="105"/>
      <c r="AX69" s="105"/>
      <c r="AY69" s="105"/>
      <c r="AZ69" s="105"/>
      <c r="BA69" s="105"/>
      <c r="BB69" s="105"/>
      <c r="BC69" s="31" t="s">
        <v>554</v>
      </c>
      <c r="BD69" s="34"/>
      <c r="BE69" s="34"/>
      <c r="BF69" s="34"/>
      <c r="BG69" s="34"/>
      <c r="BH69" s="34" t="s">
        <v>555</v>
      </c>
      <c r="BI69" s="34" t="s">
        <v>556</v>
      </c>
      <c r="BJ69" s="34"/>
      <c r="BK69" s="34"/>
      <c r="BL69" s="34"/>
      <c r="BM69" s="34"/>
      <c r="BN69" s="34"/>
    </row>
    <row r="70" ht="29.25" hidden="1" customHeight="1">
      <c r="A70" s="53" t="s">
        <v>126</v>
      </c>
      <c r="B70" s="16" t="s">
        <v>557</v>
      </c>
      <c r="C70" s="108" t="s">
        <v>558</v>
      </c>
      <c r="D70" s="96"/>
      <c r="E70" s="97"/>
      <c r="F70" s="124" t="s">
        <v>75</v>
      </c>
      <c r="G70" s="98">
        <v>100.0</v>
      </c>
      <c r="H70" s="99"/>
      <c r="I70" s="100">
        <v>45853.0</v>
      </c>
      <c r="J70" s="101">
        <v>45859.0</v>
      </c>
      <c r="K70" s="101"/>
      <c r="L70" s="101">
        <v>45859.0</v>
      </c>
      <c r="M70" s="25">
        <f>IF(ISBLANK(L70), NETWORKDAYS(J70, TODAY(),Hoja2!$A$1:$A$18), NETWORKDAYS(J70, L70, Hoja2!$A$1:$A$18))</f>
        <v>1</v>
      </c>
      <c r="N70" s="100">
        <v>45859.0</v>
      </c>
      <c r="O70" s="102">
        <v>45860.0</v>
      </c>
      <c r="P70" s="105"/>
      <c r="Q70" s="28" t="s">
        <v>71</v>
      </c>
      <c r="R70" s="103"/>
      <c r="S70" s="103"/>
      <c r="T70" s="104"/>
      <c r="U70" s="106"/>
      <c r="V70" s="106"/>
      <c r="W70" s="106"/>
      <c r="X70" s="106"/>
      <c r="Y70" s="106"/>
      <c r="Z70" s="106"/>
      <c r="AA70" s="106"/>
      <c r="AB70" s="106"/>
      <c r="AC70" s="106"/>
      <c r="AD70" s="106"/>
      <c r="AE70" s="106"/>
      <c r="AF70" s="106"/>
      <c r="AG70" s="106"/>
      <c r="AH70" s="106"/>
      <c r="AI70" s="106"/>
      <c r="AJ70" s="106"/>
      <c r="AK70" s="106"/>
      <c r="AL70" s="106"/>
      <c r="AM70" s="106"/>
      <c r="AN70" s="106"/>
      <c r="AO70" s="106"/>
      <c r="AP70" s="106"/>
      <c r="AQ70" s="106"/>
      <c r="AR70" s="106"/>
      <c r="AS70" s="106"/>
      <c r="AT70" s="106"/>
      <c r="AU70" s="106"/>
      <c r="AV70" s="106"/>
      <c r="AW70" s="106"/>
      <c r="AX70" s="106"/>
      <c r="AY70" s="106"/>
      <c r="AZ70" s="106"/>
      <c r="BA70" s="106"/>
      <c r="BB70" s="106"/>
      <c r="BC70" s="106"/>
      <c r="BD70" s="106"/>
      <c r="BE70" s="34" t="s">
        <v>559</v>
      </c>
      <c r="BF70" s="34"/>
      <c r="BG70" s="34"/>
      <c r="BH70" s="34" t="s">
        <v>560</v>
      </c>
      <c r="BI70" s="34" t="s">
        <v>561</v>
      </c>
      <c r="BJ70" s="34"/>
      <c r="BK70" s="34"/>
      <c r="BL70" s="34"/>
      <c r="BM70" s="34"/>
      <c r="BN70" s="34"/>
    </row>
    <row r="71" ht="29.25" hidden="1" customHeight="1">
      <c r="A71" s="53" t="s">
        <v>126</v>
      </c>
      <c r="B71" s="16" t="s">
        <v>562</v>
      </c>
      <c r="C71" s="108" t="s">
        <v>563</v>
      </c>
      <c r="D71" s="153"/>
      <c r="E71" s="97"/>
      <c r="F71" s="19" t="s">
        <v>75</v>
      </c>
      <c r="G71" s="98">
        <v>100.0</v>
      </c>
      <c r="H71" s="99"/>
      <c r="I71" s="100">
        <v>45855.0</v>
      </c>
      <c r="J71" s="101">
        <v>45868.0</v>
      </c>
      <c r="K71" s="101">
        <v>45870.0</v>
      </c>
      <c r="L71" s="101">
        <v>45877.0</v>
      </c>
      <c r="M71" s="25">
        <f>IF(ISBLANK(L71), NETWORKDAYS(J71, TODAY(),Hoja2!$A$1:$A$18), NETWORKDAYS(J71, L71, Hoja2!$A$1:$A$18))</f>
        <v>8</v>
      </c>
      <c r="N71" s="100">
        <v>45877.0</v>
      </c>
      <c r="O71" s="102">
        <v>45953.0</v>
      </c>
      <c r="P71" s="89" t="s">
        <v>564</v>
      </c>
      <c r="Q71" s="28" t="s">
        <v>71</v>
      </c>
      <c r="R71" s="158"/>
      <c r="S71" s="159" t="s">
        <v>565</v>
      </c>
      <c r="T71" s="124" t="s">
        <v>566</v>
      </c>
      <c r="U71" s="106"/>
      <c r="V71" s="106"/>
      <c r="W71" s="106"/>
      <c r="X71" s="106"/>
      <c r="Y71" s="106"/>
      <c r="Z71" s="106"/>
      <c r="AA71" s="106"/>
      <c r="AB71" s="106"/>
      <c r="AC71" s="106"/>
      <c r="AD71" s="106"/>
      <c r="AE71" s="106"/>
      <c r="AF71" s="106"/>
      <c r="AG71" s="106"/>
      <c r="AH71" s="106"/>
      <c r="AI71" s="106"/>
      <c r="AJ71" s="106"/>
      <c r="AK71" s="106"/>
      <c r="AL71" s="106"/>
      <c r="AM71" s="106"/>
      <c r="AN71" s="106"/>
      <c r="AO71" s="106"/>
      <c r="AP71" s="106"/>
      <c r="AQ71" s="106"/>
      <c r="AR71" s="106"/>
      <c r="AS71" s="106"/>
      <c r="AT71" s="106"/>
      <c r="AU71" s="106"/>
      <c r="AV71" s="106"/>
      <c r="AW71" s="106"/>
      <c r="AX71" s="106"/>
      <c r="AY71" s="106"/>
      <c r="AZ71" s="106"/>
      <c r="BA71" s="106"/>
      <c r="BB71" s="106"/>
      <c r="BC71" s="106"/>
      <c r="BD71" s="106"/>
      <c r="BE71" s="106"/>
      <c r="BF71" s="106"/>
      <c r="BG71" s="106"/>
      <c r="BH71" s="106"/>
      <c r="BI71" s="106"/>
      <c r="BJ71" s="106"/>
      <c r="BK71" s="106"/>
      <c r="BL71" s="34" t="s">
        <v>567</v>
      </c>
      <c r="BM71" s="34"/>
      <c r="BN71" s="34"/>
    </row>
    <row r="72" ht="29.25" hidden="1" customHeight="1">
      <c r="A72" s="53" t="s">
        <v>207</v>
      </c>
      <c r="B72" s="107" t="s">
        <v>568</v>
      </c>
      <c r="C72" s="160" t="s">
        <v>569</v>
      </c>
      <c r="D72" s="153"/>
      <c r="E72" s="97"/>
      <c r="F72" s="19" t="s">
        <v>75</v>
      </c>
      <c r="G72" s="98">
        <v>100.0</v>
      </c>
      <c r="H72" s="99"/>
      <c r="I72" s="100">
        <v>45952.0</v>
      </c>
      <c r="J72" s="101">
        <v>45917.0</v>
      </c>
      <c r="K72" s="101"/>
      <c r="L72" s="101">
        <v>45917.0</v>
      </c>
      <c r="M72" s="25">
        <f>IF(ISBLANK(L72), NETWORKDAYS(J72, TODAY(),Hoja2!$A$1:$A$18), NETWORKDAYS(J72, L72, Hoja2!$A$1:$A$18))</f>
        <v>1</v>
      </c>
      <c r="N72" s="100"/>
      <c r="O72" s="102"/>
      <c r="P72" s="89" t="s">
        <v>570</v>
      </c>
      <c r="Q72" s="28" t="s">
        <v>71</v>
      </c>
      <c r="R72" s="158"/>
      <c r="S72" s="159"/>
      <c r="T72" s="104"/>
      <c r="U72" s="106"/>
      <c r="V72" s="106"/>
      <c r="W72" s="106"/>
      <c r="X72" s="106"/>
      <c r="Y72" s="106"/>
      <c r="Z72" s="106"/>
      <c r="AA72" s="106"/>
      <c r="AB72" s="106"/>
      <c r="AC72" s="106"/>
      <c r="AD72" s="106"/>
      <c r="AE72" s="106"/>
      <c r="AF72" s="106"/>
      <c r="AG72" s="106"/>
      <c r="AH72" s="106"/>
      <c r="AI72" s="106"/>
      <c r="AJ72" s="106"/>
      <c r="AK72" s="106"/>
      <c r="AL72" s="106"/>
      <c r="AM72" s="106"/>
      <c r="AN72" s="106"/>
      <c r="AO72" s="106"/>
      <c r="AP72" s="106"/>
      <c r="AQ72" s="106"/>
      <c r="AR72" s="106"/>
      <c r="AS72" s="106"/>
      <c r="AT72" s="106"/>
      <c r="AU72" s="106"/>
      <c r="AV72" s="106"/>
      <c r="AW72" s="106"/>
      <c r="AX72" s="106"/>
      <c r="AY72" s="106"/>
      <c r="AZ72" s="106"/>
      <c r="BA72" s="106"/>
      <c r="BB72" s="106"/>
      <c r="BC72" s="106"/>
      <c r="BD72" s="106"/>
      <c r="BE72" s="106"/>
      <c r="BF72" s="106"/>
      <c r="BG72" s="106"/>
      <c r="BH72" s="106"/>
      <c r="BI72" s="106"/>
      <c r="BJ72" s="106"/>
      <c r="BK72" s="106"/>
      <c r="BL72" s="34"/>
      <c r="BM72" s="34"/>
      <c r="BN72" s="34"/>
    </row>
    <row r="73" ht="29.25" hidden="1" customHeight="1">
      <c r="A73" s="53" t="s">
        <v>126</v>
      </c>
      <c r="B73" s="107" t="s">
        <v>571</v>
      </c>
      <c r="C73" s="108" t="s">
        <v>572</v>
      </c>
      <c r="D73" s="153"/>
      <c r="E73" s="97"/>
      <c r="F73" s="124" t="s">
        <v>75</v>
      </c>
      <c r="G73" s="98">
        <v>100.0</v>
      </c>
      <c r="H73" s="99"/>
      <c r="I73" s="100">
        <v>45877.0</v>
      </c>
      <c r="J73" s="101">
        <v>45917.0</v>
      </c>
      <c r="K73" s="101"/>
      <c r="L73" s="101">
        <v>45917.0</v>
      </c>
      <c r="M73" s="25">
        <f>IF(ISBLANK(L73), NETWORKDAYS(J73, TODAY(),Hoja2!$A$1:$A$18), NETWORKDAYS(J73, L73, Hoja2!$A$1:$A$18))</f>
        <v>1</v>
      </c>
      <c r="N73" s="100"/>
      <c r="O73" s="102"/>
      <c r="P73" s="89" t="s">
        <v>573</v>
      </c>
      <c r="Q73" s="114" t="s">
        <v>71</v>
      </c>
      <c r="R73" s="103"/>
      <c r="S73" s="103"/>
      <c r="T73" s="104"/>
      <c r="U73" s="106"/>
      <c r="V73" s="106"/>
      <c r="W73" s="106"/>
      <c r="X73" s="106"/>
      <c r="Y73" s="106"/>
      <c r="Z73" s="106"/>
      <c r="AA73" s="106"/>
      <c r="AB73" s="106"/>
      <c r="AC73" s="106"/>
      <c r="AD73" s="106"/>
      <c r="AE73" s="106"/>
      <c r="AF73" s="106"/>
      <c r="AG73" s="106"/>
      <c r="AH73" s="106"/>
      <c r="AI73" s="106"/>
      <c r="AJ73" s="106"/>
      <c r="AK73" s="106"/>
      <c r="AL73" s="106"/>
      <c r="AM73" s="106"/>
      <c r="AN73" s="106"/>
      <c r="AO73" s="106"/>
      <c r="AP73" s="106"/>
      <c r="AQ73" s="106"/>
      <c r="AR73" s="106"/>
      <c r="AS73" s="106"/>
      <c r="AT73" s="106"/>
      <c r="AU73" s="106"/>
      <c r="AV73" s="106"/>
      <c r="AW73" s="106"/>
      <c r="AX73" s="106"/>
      <c r="AY73" s="106"/>
      <c r="AZ73" s="106"/>
      <c r="BA73" s="106"/>
      <c r="BB73" s="106"/>
      <c r="BC73" s="106"/>
      <c r="BD73" s="106"/>
      <c r="BE73" s="106"/>
      <c r="BF73" s="106"/>
      <c r="BG73" s="106"/>
      <c r="BH73" s="106"/>
      <c r="BI73" s="106"/>
      <c r="BJ73" s="106"/>
      <c r="BK73" s="106"/>
      <c r="BL73" s="106"/>
      <c r="BM73" s="106"/>
      <c r="BN73" s="106"/>
    </row>
    <row r="74" ht="29.25" hidden="1" customHeight="1">
      <c r="A74" s="93" t="s">
        <v>126</v>
      </c>
      <c r="B74" s="107" t="s">
        <v>574</v>
      </c>
      <c r="C74" s="108" t="s">
        <v>575</v>
      </c>
      <c r="D74" s="96" t="s">
        <v>576</v>
      </c>
      <c r="E74" s="97"/>
      <c r="F74" s="124" t="s">
        <v>75</v>
      </c>
      <c r="G74" s="98">
        <v>100.0</v>
      </c>
      <c r="H74" s="99"/>
      <c r="I74" s="100">
        <v>45953.0</v>
      </c>
      <c r="J74" s="101">
        <v>45958.0</v>
      </c>
      <c r="K74" s="101"/>
      <c r="L74" s="101">
        <v>45965.0</v>
      </c>
      <c r="M74" s="25">
        <f>IF(ISBLANK(L74), NETWORKDAYS(J74, TODAY(),Hoja2!$A$1:$A$18), NETWORKDAYS(J74, L74, Hoja2!$A$1:$A$18))</f>
        <v>6</v>
      </c>
      <c r="N74" s="100">
        <v>45965.0</v>
      </c>
      <c r="O74" s="102"/>
      <c r="P74" s="31" t="s">
        <v>577</v>
      </c>
      <c r="Q74" s="114" t="s">
        <v>71</v>
      </c>
      <c r="R74" s="156"/>
      <c r="S74" s="98" t="s">
        <v>578</v>
      </c>
      <c r="T74" s="124" t="s">
        <v>579</v>
      </c>
      <c r="U74" s="106"/>
      <c r="V74" s="106"/>
      <c r="W74" s="106"/>
      <c r="X74" s="106"/>
      <c r="Y74" s="106"/>
      <c r="Z74" s="106"/>
      <c r="AA74" s="106"/>
      <c r="AB74" s="106"/>
      <c r="AC74" s="106"/>
      <c r="AD74" s="106"/>
      <c r="AE74" s="106"/>
      <c r="AF74" s="106"/>
      <c r="AG74" s="106"/>
      <c r="AH74" s="106"/>
      <c r="AI74" s="106"/>
      <c r="AJ74" s="106"/>
      <c r="AK74" s="106"/>
      <c r="AL74" s="106"/>
      <c r="AM74" s="106"/>
      <c r="AN74" s="106"/>
      <c r="AO74" s="106"/>
      <c r="AP74" s="106"/>
      <c r="AQ74" s="106"/>
      <c r="AR74" s="106"/>
      <c r="AS74" s="106"/>
      <c r="AT74" s="106"/>
      <c r="AU74" s="106"/>
      <c r="AV74" s="106"/>
      <c r="AW74" s="106"/>
      <c r="AX74" s="106"/>
      <c r="AY74" s="106"/>
      <c r="AZ74" s="106"/>
      <c r="BA74" s="106"/>
      <c r="BB74" s="106"/>
      <c r="BC74" s="106"/>
      <c r="BD74" s="106"/>
      <c r="BE74" s="106"/>
      <c r="BF74" s="106"/>
      <c r="BG74" s="106"/>
      <c r="BH74" s="106"/>
      <c r="BI74" s="106"/>
      <c r="BJ74" s="106"/>
      <c r="BK74" s="106"/>
      <c r="BL74" s="106"/>
      <c r="BM74" s="106"/>
      <c r="BN74" s="106"/>
    </row>
    <row r="75" ht="29.25" hidden="1" customHeight="1">
      <c r="A75" s="93" t="s">
        <v>126</v>
      </c>
      <c r="B75" s="107" t="s">
        <v>580</v>
      </c>
      <c r="C75" s="122" t="s">
        <v>581</v>
      </c>
      <c r="D75" s="96"/>
      <c r="E75" s="97"/>
      <c r="F75" s="124" t="s">
        <v>237</v>
      </c>
      <c r="G75" s="98"/>
      <c r="H75" s="99"/>
      <c r="I75" s="100">
        <v>45973.0</v>
      </c>
      <c r="J75" s="101">
        <v>46003.0</v>
      </c>
      <c r="K75" s="101"/>
      <c r="L75" s="101"/>
      <c r="M75" s="25">
        <f>IF(ISBLANK(L75), NETWORKDAYS(J75, TODAY(),Hoja2!$A$1:$A$18), NETWORKDAYS(J75, L75, Hoja2!$A$1:$A$18))</f>
        <v>5</v>
      </c>
      <c r="N75" s="100"/>
      <c r="O75" s="102"/>
      <c r="P75" s="31" t="s">
        <v>582</v>
      </c>
      <c r="Q75" s="114" t="s">
        <v>583</v>
      </c>
      <c r="R75" s="156"/>
      <c r="S75" s="98"/>
      <c r="T75" s="104"/>
      <c r="U75" s="106"/>
      <c r="V75" s="106"/>
      <c r="W75" s="106"/>
      <c r="X75" s="106"/>
      <c r="Y75" s="106"/>
      <c r="Z75" s="106"/>
      <c r="AA75" s="106"/>
      <c r="AB75" s="106"/>
      <c r="AC75" s="106"/>
      <c r="AD75" s="106"/>
      <c r="AE75" s="106"/>
      <c r="AF75" s="106"/>
      <c r="AG75" s="106"/>
      <c r="AH75" s="106"/>
      <c r="AI75" s="106"/>
      <c r="AJ75" s="106"/>
      <c r="AK75" s="106"/>
      <c r="AL75" s="106"/>
      <c r="AM75" s="106"/>
      <c r="AN75" s="106"/>
      <c r="AO75" s="106"/>
      <c r="AP75" s="106"/>
      <c r="AQ75" s="106"/>
      <c r="AR75" s="106"/>
      <c r="AS75" s="106"/>
      <c r="AT75" s="106"/>
      <c r="AU75" s="106"/>
      <c r="AV75" s="106"/>
      <c r="AW75" s="106"/>
      <c r="AX75" s="106"/>
      <c r="AY75" s="106"/>
      <c r="AZ75" s="106"/>
      <c r="BA75" s="106"/>
      <c r="BB75" s="106"/>
      <c r="BC75" s="106"/>
      <c r="BD75" s="106"/>
      <c r="BE75" s="106"/>
      <c r="BF75" s="106"/>
      <c r="BG75" s="106"/>
      <c r="BH75" s="106"/>
      <c r="BI75" s="106"/>
      <c r="BJ75" s="106"/>
      <c r="BK75" s="106"/>
      <c r="BL75" s="106"/>
      <c r="BM75" s="106"/>
      <c r="BN75" s="106"/>
    </row>
    <row r="76" ht="29.25" hidden="1" customHeight="1">
      <c r="A76" s="15" t="s">
        <v>66</v>
      </c>
      <c r="B76" s="16" t="s">
        <v>584</v>
      </c>
      <c r="C76" s="108" t="s">
        <v>585</v>
      </c>
      <c r="D76" s="96"/>
      <c r="E76" s="97"/>
      <c r="F76" s="124" t="s">
        <v>75</v>
      </c>
      <c r="G76" s="98">
        <v>100.0</v>
      </c>
      <c r="H76" s="99"/>
      <c r="I76" s="100">
        <v>45856.0</v>
      </c>
      <c r="J76" s="101">
        <v>45862.0</v>
      </c>
      <c r="K76" s="101"/>
      <c r="L76" s="101">
        <v>45862.0</v>
      </c>
      <c r="M76" s="25">
        <f>IF(ISBLANK(L76), NETWORKDAYS(J76, TODAY(),Hoja2!$A$1:$A$18), NETWORKDAYS(J76, L76, Hoja2!$A$1:$A$18))</f>
        <v>1</v>
      </c>
      <c r="N76" s="100"/>
      <c r="O76" s="102"/>
      <c r="P76" s="31" t="s">
        <v>586</v>
      </c>
      <c r="Q76" s="28" t="s">
        <v>71</v>
      </c>
      <c r="R76" s="103"/>
      <c r="S76" s="103"/>
      <c r="T76" s="104"/>
      <c r="U76" s="106"/>
      <c r="V76" s="106"/>
      <c r="W76" s="106"/>
      <c r="X76" s="106"/>
      <c r="Y76" s="106"/>
      <c r="Z76" s="106"/>
      <c r="AA76" s="106"/>
      <c r="AB76" s="106"/>
      <c r="AC76" s="106"/>
      <c r="AD76" s="106"/>
      <c r="AE76" s="106"/>
      <c r="AF76" s="106"/>
      <c r="AG76" s="106"/>
      <c r="AH76" s="106"/>
      <c r="AI76" s="106"/>
      <c r="AJ76" s="106"/>
      <c r="AK76" s="106"/>
      <c r="AL76" s="106"/>
      <c r="AM76" s="106"/>
      <c r="AN76" s="106"/>
      <c r="AO76" s="106"/>
      <c r="AP76" s="106"/>
      <c r="AQ76" s="106"/>
      <c r="AR76" s="106"/>
      <c r="AS76" s="106"/>
      <c r="AT76" s="106"/>
      <c r="AU76" s="106"/>
      <c r="AV76" s="106"/>
      <c r="AW76" s="106"/>
      <c r="AX76" s="106"/>
      <c r="AY76" s="106"/>
      <c r="AZ76" s="106"/>
      <c r="BA76" s="106"/>
      <c r="BB76" s="106"/>
      <c r="BC76" s="106"/>
      <c r="BD76" s="106"/>
      <c r="BE76" s="106"/>
      <c r="BF76" s="106"/>
      <c r="BG76" s="106"/>
      <c r="BH76" s="34" t="s">
        <v>587</v>
      </c>
      <c r="BI76" s="34"/>
      <c r="BJ76" s="34"/>
      <c r="BK76" s="34"/>
      <c r="BL76" s="34" t="s">
        <v>588</v>
      </c>
      <c r="BM76" s="34"/>
      <c r="BN76" s="34"/>
    </row>
    <row r="77" ht="29.25" hidden="1" customHeight="1">
      <c r="A77" s="15" t="s">
        <v>66</v>
      </c>
      <c r="B77" s="16" t="s">
        <v>589</v>
      </c>
      <c r="C77" s="108" t="s">
        <v>590</v>
      </c>
      <c r="D77" s="96"/>
      <c r="E77" s="97"/>
      <c r="F77" s="124" t="s">
        <v>75</v>
      </c>
      <c r="G77" s="98">
        <v>100.0</v>
      </c>
      <c r="H77" s="99"/>
      <c r="I77" s="100">
        <v>45860.0</v>
      </c>
      <c r="J77" s="101">
        <v>45860.0</v>
      </c>
      <c r="K77" s="101"/>
      <c r="L77" s="101">
        <v>45861.0</v>
      </c>
      <c r="M77" s="25">
        <f>IF(ISBLANK(L77), NETWORKDAYS(J77, TODAY(),Hoja2!$A$1:$A$18), NETWORKDAYS(J77, L77, Hoja2!$A$1:$A$18))</f>
        <v>2</v>
      </c>
      <c r="N77" s="100"/>
      <c r="O77" s="102"/>
      <c r="P77" s="31" t="s">
        <v>591</v>
      </c>
      <c r="Q77" s="28" t="s">
        <v>71</v>
      </c>
      <c r="R77" s="103"/>
      <c r="S77" s="103"/>
      <c r="T77" s="104"/>
      <c r="U77" s="106"/>
      <c r="V77" s="106"/>
      <c r="W77" s="106"/>
      <c r="X77" s="106"/>
      <c r="Y77" s="106"/>
      <c r="Z77" s="106"/>
      <c r="AA77" s="106"/>
      <c r="AB77" s="106"/>
      <c r="AC77" s="106"/>
      <c r="AD77" s="106"/>
      <c r="AE77" s="106"/>
      <c r="AF77" s="106"/>
      <c r="AG77" s="106"/>
      <c r="AH77" s="106"/>
      <c r="AI77" s="106"/>
      <c r="AJ77" s="106"/>
      <c r="AK77" s="106"/>
      <c r="AL77" s="106"/>
      <c r="AM77" s="106"/>
      <c r="AN77" s="106"/>
      <c r="AO77" s="106"/>
      <c r="AP77" s="106"/>
      <c r="AQ77" s="106"/>
      <c r="AR77" s="106"/>
      <c r="AS77" s="106"/>
      <c r="AT77" s="106"/>
      <c r="AU77" s="106"/>
      <c r="AV77" s="106"/>
      <c r="AW77" s="106"/>
      <c r="AX77" s="106"/>
      <c r="AY77" s="106"/>
      <c r="AZ77" s="106"/>
      <c r="BA77" s="106"/>
      <c r="BB77" s="106"/>
      <c r="BC77" s="106"/>
      <c r="BD77" s="106"/>
      <c r="BE77" s="106"/>
      <c r="BF77" s="106"/>
      <c r="BG77" s="106"/>
      <c r="BH77" s="106"/>
      <c r="BI77" s="106"/>
      <c r="BJ77" s="34"/>
      <c r="BK77" s="34" t="s">
        <v>592</v>
      </c>
      <c r="BL77" s="34"/>
      <c r="BM77" s="34"/>
      <c r="BN77" s="34"/>
    </row>
    <row r="78" ht="29.25" hidden="1" customHeight="1">
      <c r="A78" s="53" t="s">
        <v>126</v>
      </c>
      <c r="B78" s="16" t="s">
        <v>593</v>
      </c>
      <c r="C78" s="108" t="s">
        <v>594</v>
      </c>
      <c r="D78" s="96"/>
      <c r="E78" s="97"/>
      <c r="F78" s="124" t="s">
        <v>75</v>
      </c>
      <c r="G78" s="98">
        <v>100.0</v>
      </c>
      <c r="H78" s="99"/>
      <c r="I78" s="100">
        <v>45860.0</v>
      </c>
      <c r="J78" s="101">
        <v>45860.0</v>
      </c>
      <c r="K78" s="101"/>
      <c r="L78" s="101">
        <v>45863.0</v>
      </c>
      <c r="M78" s="25">
        <f>IF(ISBLANK(L78), NETWORKDAYS(J78, TODAY(),Hoja2!$A$1:$A$18), NETWORKDAYS(J78, L78, Hoja2!$A$1:$A$18))</f>
        <v>4</v>
      </c>
      <c r="N78" s="100"/>
      <c r="O78" s="102">
        <v>45867.0</v>
      </c>
      <c r="P78" s="31" t="s">
        <v>595</v>
      </c>
      <c r="Q78" s="28" t="s">
        <v>71</v>
      </c>
      <c r="R78" s="103"/>
      <c r="S78" s="103"/>
      <c r="T78" s="104"/>
      <c r="U78" s="106"/>
      <c r="V78" s="106"/>
      <c r="W78" s="106"/>
      <c r="X78" s="106"/>
      <c r="Y78" s="106"/>
      <c r="Z78" s="106"/>
      <c r="AA78" s="106"/>
      <c r="AB78" s="106"/>
      <c r="AC78" s="106"/>
      <c r="AD78" s="106"/>
      <c r="AE78" s="106"/>
      <c r="AF78" s="106"/>
      <c r="AG78" s="106"/>
      <c r="AH78" s="106"/>
      <c r="AI78" s="106"/>
      <c r="AJ78" s="106"/>
      <c r="AK78" s="106"/>
      <c r="AL78" s="106"/>
      <c r="AM78" s="106"/>
      <c r="AN78" s="106"/>
      <c r="AO78" s="106"/>
      <c r="AP78" s="106"/>
      <c r="AQ78" s="106"/>
      <c r="AR78" s="106"/>
      <c r="AS78" s="106"/>
      <c r="AT78" s="106"/>
      <c r="AU78" s="106"/>
      <c r="AV78" s="106"/>
      <c r="AW78" s="106"/>
      <c r="AX78" s="106"/>
      <c r="AY78" s="106"/>
      <c r="AZ78" s="106"/>
      <c r="BA78" s="106"/>
      <c r="BB78" s="106"/>
      <c r="BC78" s="106"/>
      <c r="BD78" s="106"/>
      <c r="BE78" s="106"/>
      <c r="BF78" s="106"/>
      <c r="BG78" s="106"/>
      <c r="BH78" s="106"/>
      <c r="BI78" s="106"/>
      <c r="BJ78" s="34"/>
      <c r="BK78" s="34"/>
      <c r="BL78" s="34" t="s">
        <v>596</v>
      </c>
      <c r="BM78" s="34"/>
      <c r="BN78" s="34"/>
    </row>
    <row r="79" ht="29.25" hidden="1" customHeight="1">
      <c r="A79" s="53" t="s">
        <v>155</v>
      </c>
      <c r="B79" s="16" t="s">
        <v>597</v>
      </c>
      <c r="C79" s="108" t="s">
        <v>598</v>
      </c>
      <c r="D79" s="96"/>
      <c r="E79" s="97"/>
      <c r="F79" s="124" t="s">
        <v>75</v>
      </c>
      <c r="G79" s="98">
        <v>100.0</v>
      </c>
      <c r="H79" s="99"/>
      <c r="I79" s="100">
        <v>45861.0</v>
      </c>
      <c r="J79" s="101">
        <v>45861.0</v>
      </c>
      <c r="K79" s="101"/>
      <c r="L79" s="101">
        <v>45862.0</v>
      </c>
      <c r="M79" s="25">
        <f>IF(ISBLANK(L79), NETWORKDAYS(J79, TODAY(),Hoja2!$A$1:$A$18), NETWORKDAYS(J79, L79, Hoja2!$A$1:$A$18))</f>
        <v>2</v>
      </c>
      <c r="N79" s="100"/>
      <c r="O79" s="102"/>
      <c r="P79" s="31" t="s">
        <v>599</v>
      </c>
      <c r="Q79" s="28" t="s">
        <v>71</v>
      </c>
      <c r="R79" s="103"/>
      <c r="S79" s="103"/>
      <c r="T79" s="104"/>
      <c r="U79" s="106"/>
      <c r="V79" s="106"/>
      <c r="W79" s="106"/>
      <c r="X79" s="106"/>
      <c r="Y79" s="106"/>
      <c r="Z79" s="106"/>
      <c r="AA79" s="106"/>
      <c r="AB79" s="106"/>
      <c r="AC79" s="106"/>
      <c r="AD79" s="106"/>
      <c r="AE79" s="106"/>
      <c r="AF79" s="106"/>
      <c r="AG79" s="106"/>
      <c r="AH79" s="106"/>
      <c r="AI79" s="106"/>
      <c r="AJ79" s="106"/>
      <c r="AK79" s="106"/>
      <c r="AL79" s="106"/>
      <c r="AM79" s="106"/>
      <c r="AN79" s="106"/>
      <c r="AO79" s="106"/>
      <c r="AP79" s="106"/>
      <c r="AQ79" s="106"/>
      <c r="AR79" s="106"/>
      <c r="AS79" s="106"/>
      <c r="AT79" s="106"/>
      <c r="AU79" s="106"/>
      <c r="AV79" s="106"/>
      <c r="AW79" s="106"/>
      <c r="AX79" s="106"/>
      <c r="AY79" s="106"/>
      <c r="AZ79" s="106"/>
      <c r="BA79" s="106"/>
      <c r="BB79" s="106"/>
      <c r="BC79" s="106"/>
      <c r="BD79" s="106"/>
      <c r="BE79" s="106"/>
      <c r="BF79" s="106"/>
      <c r="BG79" s="106"/>
      <c r="BH79" s="106"/>
      <c r="BI79" s="106"/>
      <c r="BJ79" s="106"/>
      <c r="BK79" s="106"/>
      <c r="BL79" s="106"/>
      <c r="BM79" s="106"/>
      <c r="BN79" s="106"/>
    </row>
    <row r="80" ht="29.25" hidden="1" customHeight="1">
      <c r="A80" s="53" t="s">
        <v>155</v>
      </c>
      <c r="B80" s="16" t="s">
        <v>600</v>
      </c>
      <c r="C80" s="108" t="s">
        <v>601</v>
      </c>
      <c r="D80" s="153"/>
      <c r="E80" s="97"/>
      <c r="F80" s="124" t="s">
        <v>75</v>
      </c>
      <c r="G80" s="98">
        <v>100.0</v>
      </c>
      <c r="H80" s="161"/>
      <c r="I80" s="100">
        <v>45861.0</v>
      </c>
      <c r="J80" s="101">
        <v>45861.0</v>
      </c>
      <c r="K80" s="101"/>
      <c r="L80" s="101">
        <v>45861.0</v>
      </c>
      <c r="M80" s="25">
        <f>IF(ISBLANK(L80), NETWORKDAYS(J80, TODAY(),Hoja2!$A$1:$A$18), NETWORKDAYS(J80, L80, Hoja2!$A$1:$A$18))</f>
        <v>1</v>
      </c>
      <c r="N80" s="100"/>
      <c r="O80" s="102"/>
      <c r="P80" s="31" t="s">
        <v>602</v>
      </c>
      <c r="Q80" s="28" t="s">
        <v>71</v>
      </c>
      <c r="R80" s="103"/>
      <c r="S80" s="103"/>
      <c r="T80" s="104"/>
      <c r="U80" s="106"/>
      <c r="V80" s="106"/>
      <c r="W80" s="106"/>
      <c r="X80" s="106"/>
      <c r="Y80" s="106"/>
      <c r="Z80" s="106"/>
      <c r="AA80" s="106"/>
      <c r="AB80" s="106"/>
      <c r="AC80" s="106"/>
      <c r="AD80" s="106"/>
      <c r="AE80" s="106"/>
      <c r="AF80" s="106"/>
      <c r="AG80" s="106"/>
      <c r="AH80" s="106"/>
      <c r="AI80" s="106"/>
      <c r="AJ80" s="106"/>
      <c r="AK80" s="106"/>
      <c r="AL80" s="106"/>
      <c r="AM80" s="106"/>
      <c r="AN80" s="106"/>
      <c r="AO80" s="106"/>
      <c r="AP80" s="106"/>
      <c r="AQ80" s="106"/>
      <c r="AR80" s="106"/>
      <c r="AS80" s="106"/>
      <c r="AT80" s="106"/>
      <c r="AU80" s="106"/>
      <c r="AV80" s="106"/>
      <c r="AW80" s="106"/>
      <c r="AX80" s="106"/>
      <c r="AY80" s="106"/>
      <c r="AZ80" s="106"/>
      <c r="BA80" s="106"/>
      <c r="BB80" s="106"/>
      <c r="BC80" s="106"/>
      <c r="BD80" s="106"/>
      <c r="BE80" s="106"/>
      <c r="BF80" s="106"/>
      <c r="BG80" s="106"/>
      <c r="BH80" s="106"/>
      <c r="BI80" s="106"/>
      <c r="BJ80" s="106"/>
      <c r="BK80" s="106"/>
      <c r="BL80" s="106"/>
      <c r="BM80" s="106"/>
      <c r="BN80" s="106"/>
    </row>
    <row r="81" ht="29.25" customHeight="1">
      <c r="A81" s="53" t="s">
        <v>155</v>
      </c>
      <c r="B81" s="107" t="s">
        <v>603</v>
      </c>
      <c r="C81" s="95" t="s">
        <v>604</v>
      </c>
      <c r="D81" s="162"/>
      <c r="E81" s="117"/>
      <c r="F81" s="118" t="s">
        <v>237</v>
      </c>
      <c r="G81" s="119"/>
      <c r="H81" s="119"/>
      <c r="I81" s="82">
        <v>45902.0</v>
      </c>
      <c r="J81" s="68"/>
      <c r="K81" s="68"/>
      <c r="L81" s="68"/>
      <c r="M81" s="25">
        <f>IF(ISBLANK(L81), NETWORKDAYS(J81, TODAY(),Hoja2!$A$1:$A$18), NETWORKDAYS(J81, L81, Hoja2!$A$1:$A$18))</f>
        <v>32848</v>
      </c>
      <c r="N81" s="58"/>
      <c r="O81" s="69"/>
      <c r="P81" s="163"/>
      <c r="Q81" s="28" t="s">
        <v>71</v>
      </c>
      <c r="R81" s="71"/>
      <c r="S81" s="71"/>
      <c r="T81" s="72"/>
      <c r="U81" s="121"/>
      <c r="V81" s="121"/>
      <c r="W81" s="121"/>
      <c r="X81" s="121"/>
      <c r="Y81" s="121"/>
      <c r="Z81" s="121"/>
      <c r="AA81" s="121"/>
      <c r="AB81" s="121"/>
      <c r="AC81" s="121"/>
      <c r="AD81" s="121"/>
      <c r="AE81" s="121"/>
      <c r="AF81" s="121"/>
      <c r="AG81" s="121"/>
      <c r="AH81" s="121"/>
      <c r="AI81" s="121"/>
      <c r="AJ81" s="121"/>
      <c r="AK81" s="121"/>
      <c r="AL81" s="121"/>
      <c r="AM81" s="121"/>
      <c r="AN81" s="121"/>
      <c r="AO81" s="65"/>
      <c r="AP81" s="121"/>
      <c r="AQ81" s="121"/>
      <c r="AR81" s="121"/>
      <c r="AS81" s="121"/>
      <c r="AT81" s="121"/>
      <c r="AU81" s="121"/>
      <c r="AV81" s="121"/>
      <c r="AW81" s="121"/>
      <c r="AX81" s="121"/>
      <c r="AY81" s="121"/>
      <c r="AZ81" s="121"/>
      <c r="BA81" s="121"/>
      <c r="BB81" s="121"/>
      <c r="BC81" s="121"/>
      <c r="BD81" s="121"/>
      <c r="BE81" s="121"/>
      <c r="BF81" s="121"/>
      <c r="BG81" s="121"/>
      <c r="BH81" s="121"/>
      <c r="BI81" s="121"/>
      <c r="BJ81" s="121"/>
      <c r="BK81" s="121"/>
      <c r="BL81" s="121"/>
      <c r="BM81" s="121"/>
      <c r="BN81" s="121"/>
    </row>
    <row r="82" ht="29.25" hidden="1" customHeight="1">
      <c r="A82" s="53" t="s">
        <v>155</v>
      </c>
      <c r="B82" s="16" t="s">
        <v>605</v>
      </c>
      <c r="C82" s="108" t="s">
        <v>606</v>
      </c>
      <c r="D82" s="96"/>
      <c r="E82" s="97"/>
      <c r="F82" s="124" t="s">
        <v>75</v>
      </c>
      <c r="G82" s="98">
        <v>100.0</v>
      </c>
      <c r="H82" s="99"/>
      <c r="I82" s="100">
        <v>45862.0</v>
      </c>
      <c r="J82" s="101">
        <v>45863.0</v>
      </c>
      <c r="K82" s="101"/>
      <c r="L82" s="101">
        <v>45863.0</v>
      </c>
      <c r="M82" s="25">
        <f>IF(ISBLANK(L82), NETWORKDAYS(J82, TODAY(),Hoja2!$A$1:$A$18), NETWORKDAYS(J82, L82, Hoja2!$A$1:$A$18))</f>
        <v>1</v>
      </c>
      <c r="N82" s="100"/>
      <c r="O82" s="102"/>
      <c r="P82" s="31" t="s">
        <v>607</v>
      </c>
      <c r="Q82" s="28" t="s">
        <v>71</v>
      </c>
      <c r="R82" s="103"/>
      <c r="S82" s="103"/>
      <c r="T82" s="104"/>
      <c r="U82" s="106"/>
      <c r="V82" s="106"/>
      <c r="W82" s="106"/>
      <c r="X82" s="106"/>
      <c r="Y82" s="106"/>
      <c r="Z82" s="106"/>
      <c r="AA82" s="106"/>
      <c r="AB82" s="106"/>
      <c r="AC82" s="106"/>
      <c r="AD82" s="106"/>
      <c r="AE82" s="106"/>
      <c r="AF82" s="106"/>
      <c r="AG82" s="106"/>
      <c r="AH82" s="106"/>
      <c r="AI82" s="106"/>
      <c r="AJ82" s="106"/>
      <c r="AK82" s="106"/>
      <c r="AL82" s="106"/>
      <c r="AM82" s="106"/>
      <c r="AN82" s="106"/>
      <c r="AO82" s="106"/>
      <c r="AP82" s="106"/>
      <c r="AQ82" s="106"/>
      <c r="AR82" s="106"/>
      <c r="AS82" s="106"/>
      <c r="AT82" s="106"/>
      <c r="AU82" s="106"/>
      <c r="AV82" s="106"/>
      <c r="AW82" s="106"/>
      <c r="AX82" s="106"/>
      <c r="AY82" s="106"/>
      <c r="AZ82" s="106"/>
      <c r="BA82" s="106"/>
      <c r="BB82" s="106"/>
      <c r="BC82" s="106"/>
      <c r="BD82" s="106"/>
      <c r="BE82" s="106"/>
      <c r="BF82" s="106"/>
      <c r="BG82" s="106"/>
      <c r="BH82" s="106"/>
      <c r="BI82" s="106"/>
      <c r="BJ82" s="106"/>
      <c r="BK82" s="106"/>
      <c r="BL82" s="106"/>
      <c r="BM82" s="106"/>
      <c r="BN82" s="106"/>
    </row>
    <row r="83" ht="29.25" hidden="1" customHeight="1">
      <c r="A83" s="53" t="s">
        <v>155</v>
      </c>
      <c r="B83" s="16" t="s">
        <v>608</v>
      </c>
      <c r="C83" s="108" t="s">
        <v>609</v>
      </c>
      <c r="D83" s="96"/>
      <c r="E83" s="97"/>
      <c r="F83" s="124" t="s">
        <v>75</v>
      </c>
      <c r="G83" s="98">
        <v>100.0</v>
      </c>
      <c r="H83" s="99"/>
      <c r="I83" s="100">
        <v>45862.0</v>
      </c>
      <c r="J83" s="101">
        <v>45862.0</v>
      </c>
      <c r="K83" s="101"/>
      <c r="L83" s="101"/>
      <c r="M83" s="25">
        <f>IF(ISBLANK(L83), NETWORKDAYS(J83, TODAY(),Hoja2!$A$1:$A$18), NETWORKDAYS(J83, L83, Hoja2!$A$1:$A$18))</f>
        <v>106</v>
      </c>
      <c r="N83" s="100"/>
      <c r="O83" s="102"/>
      <c r="P83" s="31" t="s">
        <v>610</v>
      </c>
      <c r="Q83" s="28" t="s">
        <v>71</v>
      </c>
      <c r="R83" s="103"/>
      <c r="S83" s="103"/>
      <c r="T83" s="104"/>
      <c r="U83" s="106"/>
      <c r="V83" s="106"/>
      <c r="W83" s="106"/>
      <c r="X83" s="106"/>
      <c r="Y83" s="106"/>
      <c r="Z83" s="106"/>
      <c r="AA83" s="106"/>
      <c r="AB83" s="106"/>
      <c r="AC83" s="106"/>
      <c r="AD83" s="106"/>
      <c r="AE83" s="106"/>
      <c r="AF83" s="106"/>
      <c r="AG83" s="106"/>
      <c r="AH83" s="106"/>
      <c r="AI83" s="106"/>
      <c r="AJ83" s="106"/>
      <c r="AK83" s="106"/>
      <c r="AL83" s="106"/>
      <c r="AM83" s="106"/>
      <c r="AN83" s="106"/>
      <c r="AO83" s="106"/>
      <c r="AP83" s="106"/>
      <c r="AQ83" s="106"/>
      <c r="AR83" s="106"/>
      <c r="AS83" s="106"/>
      <c r="AT83" s="106"/>
      <c r="AU83" s="106"/>
      <c r="AV83" s="106"/>
      <c r="AW83" s="106"/>
      <c r="AX83" s="106"/>
      <c r="AY83" s="106"/>
      <c r="AZ83" s="106"/>
      <c r="BA83" s="106"/>
      <c r="BB83" s="106"/>
      <c r="BC83" s="106"/>
      <c r="BD83" s="106"/>
      <c r="BE83" s="106"/>
      <c r="BF83" s="106"/>
      <c r="BG83" s="106"/>
      <c r="BH83" s="106"/>
      <c r="BI83" s="106"/>
      <c r="BJ83" s="106"/>
      <c r="BK83" s="34" t="s">
        <v>611</v>
      </c>
      <c r="BL83" s="34"/>
      <c r="BM83" s="34"/>
      <c r="BN83" s="34"/>
    </row>
    <row r="84" ht="29.25" hidden="1" customHeight="1">
      <c r="A84" s="152" t="s">
        <v>207</v>
      </c>
      <c r="B84" s="107" t="s">
        <v>612</v>
      </c>
      <c r="C84" s="108" t="s">
        <v>613</v>
      </c>
      <c r="D84" s="164"/>
      <c r="E84" s="165"/>
      <c r="F84" s="166" t="s">
        <v>75</v>
      </c>
      <c r="G84" s="167">
        <v>100.0</v>
      </c>
      <c r="H84" s="168"/>
      <c r="I84" s="169">
        <v>45862.0</v>
      </c>
      <c r="J84" s="170">
        <v>45862.0</v>
      </c>
      <c r="K84" s="170"/>
      <c r="L84" s="170">
        <v>45863.0</v>
      </c>
      <c r="M84" s="25">
        <f>IF(ISBLANK(L84), NETWORKDAYS(J84, TODAY(),Hoja2!$A$1:$A$18), NETWORKDAYS(J84, L84, Hoja2!$A$1:$A$18))</f>
        <v>2</v>
      </c>
      <c r="N84" s="169"/>
      <c r="O84" s="171"/>
      <c r="P84" s="34" t="s">
        <v>614</v>
      </c>
      <c r="Q84" s="28" t="s">
        <v>71</v>
      </c>
      <c r="R84" s="172"/>
      <c r="S84" s="172"/>
      <c r="T84" s="173"/>
      <c r="U84" s="106"/>
      <c r="V84" s="106"/>
      <c r="W84" s="106"/>
      <c r="X84" s="106"/>
      <c r="Y84" s="106"/>
      <c r="Z84" s="106"/>
      <c r="AA84" s="106"/>
      <c r="AB84" s="106"/>
      <c r="AC84" s="106"/>
      <c r="AD84" s="106"/>
      <c r="AE84" s="106"/>
      <c r="AF84" s="106"/>
      <c r="AG84" s="106"/>
      <c r="AH84" s="106"/>
      <c r="AI84" s="106"/>
      <c r="AJ84" s="106"/>
      <c r="AK84" s="106"/>
      <c r="AL84" s="106"/>
      <c r="AM84" s="106"/>
      <c r="AN84" s="106"/>
      <c r="AO84" s="106"/>
      <c r="AP84" s="106"/>
      <c r="AQ84" s="106"/>
      <c r="AR84" s="106"/>
      <c r="AS84" s="106"/>
      <c r="AT84" s="106"/>
      <c r="AU84" s="106"/>
      <c r="AV84" s="106"/>
      <c r="AW84" s="106"/>
      <c r="AX84" s="106"/>
      <c r="AY84" s="106"/>
      <c r="AZ84" s="106"/>
      <c r="BA84" s="106"/>
      <c r="BB84" s="106"/>
      <c r="BC84" s="106"/>
      <c r="BD84" s="106"/>
      <c r="BE84" s="106"/>
      <c r="BF84" s="106"/>
      <c r="BG84" s="106"/>
      <c r="BH84" s="106"/>
      <c r="BI84" s="106"/>
      <c r="BJ84" s="106"/>
      <c r="BK84" s="106"/>
      <c r="BL84" s="106"/>
      <c r="BM84" s="106"/>
      <c r="BN84" s="106"/>
    </row>
    <row r="85" ht="29.25" hidden="1" customHeight="1">
      <c r="A85" s="15" t="s">
        <v>66</v>
      </c>
      <c r="B85" s="16" t="s">
        <v>615</v>
      </c>
      <c r="C85" s="108" t="s">
        <v>616</v>
      </c>
      <c r="D85" s="96"/>
      <c r="E85" s="97"/>
      <c r="F85" s="124" t="s">
        <v>75</v>
      </c>
      <c r="G85" s="98">
        <v>100.0</v>
      </c>
      <c r="H85" s="99"/>
      <c r="I85" s="100">
        <v>45863.0</v>
      </c>
      <c r="J85" s="101">
        <v>45863.0</v>
      </c>
      <c r="K85" s="101"/>
      <c r="L85" s="101">
        <v>45863.0</v>
      </c>
      <c r="M85" s="25">
        <f>IF(ISBLANK(L85), NETWORKDAYS(J85, TODAY(),Hoja2!$A$1:$A$18), NETWORKDAYS(J85, L85, Hoja2!$A$1:$A$18))</f>
        <v>1</v>
      </c>
      <c r="N85" s="100"/>
      <c r="O85" s="102"/>
      <c r="P85" s="31" t="s">
        <v>617</v>
      </c>
      <c r="Q85" s="28" t="s">
        <v>71</v>
      </c>
      <c r="R85" s="103"/>
      <c r="S85" s="103"/>
      <c r="T85" s="104"/>
      <c r="U85" s="106"/>
      <c r="V85" s="106"/>
      <c r="W85" s="106"/>
      <c r="X85" s="106"/>
      <c r="Y85" s="106"/>
      <c r="Z85" s="106"/>
      <c r="AA85" s="106"/>
      <c r="AB85" s="106"/>
      <c r="AC85" s="106"/>
      <c r="AD85" s="106"/>
      <c r="AE85" s="106"/>
      <c r="AF85" s="106"/>
      <c r="AG85" s="106"/>
      <c r="AH85" s="106"/>
      <c r="AI85" s="106"/>
      <c r="AJ85" s="106"/>
      <c r="AK85" s="106"/>
      <c r="AL85" s="106"/>
      <c r="AM85" s="106"/>
      <c r="AN85" s="106"/>
      <c r="AO85" s="106"/>
      <c r="AP85" s="106"/>
      <c r="AQ85" s="106"/>
      <c r="AR85" s="106"/>
      <c r="AS85" s="106"/>
      <c r="AT85" s="106"/>
      <c r="AU85" s="106"/>
      <c r="AV85" s="106"/>
      <c r="AW85" s="106"/>
      <c r="AX85" s="106"/>
      <c r="AY85" s="106"/>
      <c r="AZ85" s="106"/>
      <c r="BA85" s="106"/>
      <c r="BB85" s="106"/>
      <c r="BC85" s="106"/>
      <c r="BD85" s="106"/>
      <c r="BE85" s="106"/>
      <c r="BF85" s="106"/>
      <c r="BG85" s="106"/>
      <c r="BH85" s="106"/>
      <c r="BI85" s="106"/>
      <c r="BJ85" s="106"/>
      <c r="BK85" s="106"/>
      <c r="BL85" s="106"/>
      <c r="BM85" s="106"/>
      <c r="BN85" s="106"/>
    </row>
    <row r="86" ht="29.25" hidden="1" customHeight="1">
      <c r="A86" s="53" t="s">
        <v>126</v>
      </c>
      <c r="B86" s="16" t="s">
        <v>618</v>
      </c>
      <c r="C86" s="108" t="s">
        <v>619</v>
      </c>
      <c r="D86" s="96"/>
      <c r="E86" s="97"/>
      <c r="F86" s="124" t="s">
        <v>75</v>
      </c>
      <c r="G86" s="98">
        <v>100.0</v>
      </c>
      <c r="H86" s="161"/>
      <c r="I86" s="100">
        <v>45863.0</v>
      </c>
      <c r="J86" s="101">
        <v>45863.0</v>
      </c>
      <c r="K86" s="101"/>
      <c r="L86" s="101">
        <v>45863.0</v>
      </c>
      <c r="M86" s="25">
        <f>IF(ISBLANK(L86), NETWORKDAYS(J86, TODAY(),Hoja2!$A$1:$A$18), NETWORKDAYS(J86, L86, Hoja2!$A$1:$A$18))</f>
        <v>1</v>
      </c>
      <c r="N86" s="100"/>
      <c r="O86" s="102"/>
      <c r="P86" s="31" t="s">
        <v>620</v>
      </c>
      <c r="Q86" s="28" t="s">
        <v>71</v>
      </c>
      <c r="R86" s="103"/>
      <c r="S86" s="103"/>
      <c r="T86" s="104"/>
      <c r="U86" s="106"/>
      <c r="V86" s="106"/>
      <c r="W86" s="106"/>
      <c r="X86" s="106"/>
      <c r="Y86" s="106"/>
      <c r="Z86" s="106"/>
      <c r="AA86" s="106"/>
      <c r="AB86" s="106"/>
      <c r="AC86" s="106"/>
      <c r="AD86" s="106"/>
      <c r="AE86" s="106"/>
      <c r="AF86" s="106"/>
      <c r="AG86" s="106"/>
      <c r="AH86" s="106"/>
      <c r="AI86" s="106"/>
      <c r="AJ86" s="106"/>
      <c r="AK86" s="106"/>
      <c r="AL86" s="106"/>
      <c r="AM86" s="106"/>
      <c r="AN86" s="106"/>
      <c r="AO86" s="106"/>
      <c r="AP86" s="106"/>
      <c r="AQ86" s="106"/>
      <c r="AR86" s="106"/>
      <c r="AS86" s="106"/>
      <c r="AT86" s="106"/>
      <c r="AU86" s="106"/>
      <c r="AV86" s="106"/>
      <c r="AW86" s="106"/>
      <c r="AX86" s="106"/>
      <c r="AY86" s="106"/>
      <c r="AZ86" s="106"/>
      <c r="BA86" s="106"/>
      <c r="BB86" s="106"/>
      <c r="BC86" s="106"/>
      <c r="BD86" s="106"/>
      <c r="BE86" s="106"/>
      <c r="BF86" s="106"/>
      <c r="BG86" s="106"/>
      <c r="BH86" s="106"/>
      <c r="BI86" s="106"/>
      <c r="BJ86" s="106"/>
      <c r="BK86" s="106"/>
      <c r="BL86" s="106"/>
      <c r="BM86" s="106"/>
      <c r="BN86" s="106"/>
    </row>
    <row r="87" ht="29.25" hidden="1" customHeight="1">
      <c r="A87" s="53" t="s">
        <v>126</v>
      </c>
      <c r="B87" s="16" t="s">
        <v>621</v>
      </c>
      <c r="C87" s="108" t="s">
        <v>622</v>
      </c>
      <c r="D87" s="96"/>
      <c r="E87" s="97"/>
      <c r="F87" s="124" t="s">
        <v>75</v>
      </c>
      <c r="G87" s="98">
        <v>100.0</v>
      </c>
      <c r="H87" s="99"/>
      <c r="I87" s="100">
        <v>45866.0</v>
      </c>
      <c r="J87" s="101">
        <v>45866.0</v>
      </c>
      <c r="K87" s="101"/>
      <c r="L87" s="101">
        <v>45867.0</v>
      </c>
      <c r="M87" s="25">
        <f>IF(ISBLANK(L87), NETWORKDAYS(J87, TODAY(),Hoja2!$A$1:$A$18), NETWORKDAYS(J87, L87, Hoja2!$A$1:$A$18))</f>
        <v>2</v>
      </c>
      <c r="N87" s="100"/>
      <c r="O87" s="102"/>
      <c r="P87" s="31" t="s">
        <v>623</v>
      </c>
      <c r="Q87" s="28" t="s">
        <v>71</v>
      </c>
      <c r="R87" s="103"/>
      <c r="S87" s="103"/>
      <c r="T87" s="104"/>
      <c r="U87" s="106"/>
      <c r="V87" s="106"/>
      <c r="W87" s="106"/>
      <c r="X87" s="106"/>
      <c r="Y87" s="106"/>
      <c r="Z87" s="106"/>
      <c r="AA87" s="106"/>
      <c r="AB87" s="106"/>
      <c r="AC87" s="106"/>
      <c r="AD87" s="106"/>
      <c r="AE87" s="106"/>
      <c r="AF87" s="106"/>
      <c r="AG87" s="106"/>
      <c r="AH87" s="106"/>
      <c r="AI87" s="106"/>
      <c r="AJ87" s="106"/>
      <c r="AK87" s="106"/>
      <c r="AL87" s="106"/>
      <c r="AM87" s="106"/>
      <c r="AN87" s="106"/>
      <c r="AO87" s="106"/>
      <c r="AP87" s="106"/>
      <c r="AQ87" s="106"/>
      <c r="AR87" s="106"/>
      <c r="AS87" s="106"/>
      <c r="AT87" s="106"/>
      <c r="AU87" s="106"/>
      <c r="AV87" s="106"/>
      <c r="AW87" s="106"/>
      <c r="AX87" s="106"/>
      <c r="AY87" s="106"/>
      <c r="AZ87" s="106"/>
      <c r="BA87" s="106"/>
      <c r="BB87" s="106"/>
      <c r="BC87" s="106"/>
      <c r="BD87" s="106"/>
      <c r="BE87" s="106"/>
      <c r="BF87" s="106"/>
      <c r="BG87" s="106"/>
      <c r="BH87" s="106"/>
      <c r="BI87" s="106"/>
      <c r="BJ87" s="106"/>
      <c r="BK87" s="106"/>
      <c r="BL87" s="34"/>
      <c r="BM87" s="34"/>
      <c r="BN87" s="34"/>
    </row>
    <row r="88" ht="29.25" hidden="1" customHeight="1">
      <c r="A88" s="15" t="s">
        <v>66</v>
      </c>
      <c r="B88" s="16" t="s">
        <v>624</v>
      </c>
      <c r="C88" s="108" t="s">
        <v>625</v>
      </c>
      <c r="D88" s="96"/>
      <c r="E88" s="97"/>
      <c r="F88" s="124" t="s">
        <v>75</v>
      </c>
      <c r="G88" s="98">
        <v>100.0</v>
      </c>
      <c r="H88" s="99"/>
      <c r="I88" s="100">
        <v>45866.0</v>
      </c>
      <c r="J88" s="101">
        <v>45866.0</v>
      </c>
      <c r="K88" s="101"/>
      <c r="L88" s="101">
        <v>45866.0</v>
      </c>
      <c r="M88" s="25">
        <f>IF(ISBLANK(L88), NETWORKDAYS(J88, TODAY(),Hoja2!$A$1:$A$18), NETWORKDAYS(J88, L88, Hoja2!$A$1:$A$18))</f>
        <v>1</v>
      </c>
      <c r="N88" s="100"/>
      <c r="O88" s="102"/>
      <c r="P88" s="31" t="s">
        <v>626</v>
      </c>
      <c r="Q88" s="28" t="s">
        <v>71</v>
      </c>
      <c r="R88" s="103"/>
      <c r="S88" s="103"/>
      <c r="T88" s="104"/>
      <c r="U88" s="106"/>
      <c r="V88" s="106"/>
      <c r="W88" s="106"/>
      <c r="X88" s="106"/>
      <c r="Y88" s="106"/>
      <c r="Z88" s="106"/>
      <c r="AA88" s="106"/>
      <c r="AB88" s="106"/>
      <c r="AC88" s="106"/>
      <c r="AD88" s="106"/>
      <c r="AE88" s="106"/>
      <c r="AF88" s="106"/>
      <c r="AG88" s="106"/>
      <c r="AH88" s="106"/>
      <c r="AI88" s="106"/>
      <c r="AJ88" s="106"/>
      <c r="AK88" s="106"/>
      <c r="AL88" s="106"/>
      <c r="AM88" s="106"/>
      <c r="AN88" s="106"/>
      <c r="AO88" s="106"/>
      <c r="AP88" s="106"/>
      <c r="AQ88" s="106"/>
      <c r="AR88" s="106"/>
      <c r="AS88" s="106"/>
      <c r="AT88" s="106"/>
      <c r="AU88" s="106"/>
      <c r="AV88" s="106"/>
      <c r="AW88" s="106"/>
      <c r="AX88" s="106"/>
      <c r="AY88" s="106"/>
      <c r="AZ88" s="106"/>
      <c r="BA88" s="106"/>
      <c r="BB88" s="106"/>
      <c r="BC88" s="106"/>
      <c r="BD88" s="106"/>
      <c r="BE88" s="106"/>
      <c r="BF88" s="106"/>
      <c r="BG88" s="106"/>
      <c r="BH88" s="106"/>
      <c r="BI88" s="106"/>
      <c r="BJ88" s="106"/>
      <c r="BK88" s="106"/>
      <c r="BL88" s="34" t="s">
        <v>627</v>
      </c>
      <c r="BM88" s="34"/>
      <c r="BN88" s="34"/>
    </row>
    <row r="89" ht="29.25" hidden="1" customHeight="1">
      <c r="A89" s="53" t="s">
        <v>155</v>
      </c>
      <c r="B89" s="16" t="s">
        <v>628</v>
      </c>
      <c r="C89" s="108" t="s">
        <v>629</v>
      </c>
      <c r="D89" s="96"/>
      <c r="E89" s="97"/>
      <c r="F89" s="124" t="s">
        <v>75</v>
      </c>
      <c r="G89" s="98">
        <v>100.0</v>
      </c>
      <c r="H89" s="99"/>
      <c r="I89" s="100">
        <v>45863.0</v>
      </c>
      <c r="J89" s="101">
        <v>45866.0</v>
      </c>
      <c r="K89" s="101"/>
      <c r="L89" s="101">
        <v>45867.0</v>
      </c>
      <c r="M89" s="25">
        <f>IF(ISBLANK(L89), NETWORKDAYS(J89, TODAY(),Hoja2!$A$1:$A$18), NETWORKDAYS(J89, L89, Hoja2!$A$1:$A$18))</f>
        <v>2</v>
      </c>
      <c r="N89" s="100"/>
      <c r="O89" s="102"/>
      <c r="P89" s="31" t="s">
        <v>630</v>
      </c>
      <c r="Q89" s="28" t="s">
        <v>71</v>
      </c>
      <c r="R89" s="103"/>
      <c r="S89" s="103"/>
      <c r="T89" s="104"/>
      <c r="U89" s="106"/>
      <c r="V89" s="106"/>
      <c r="W89" s="106"/>
      <c r="X89" s="106"/>
      <c r="Y89" s="106"/>
      <c r="Z89" s="106"/>
      <c r="AA89" s="106"/>
      <c r="AB89" s="106"/>
      <c r="AC89" s="106"/>
      <c r="AD89" s="106"/>
      <c r="AE89" s="106"/>
      <c r="AF89" s="106"/>
      <c r="AG89" s="106"/>
      <c r="AH89" s="106"/>
      <c r="AI89" s="106"/>
      <c r="AJ89" s="106"/>
      <c r="AK89" s="106"/>
      <c r="AL89" s="106"/>
      <c r="AM89" s="106"/>
      <c r="AN89" s="106"/>
      <c r="AO89" s="106"/>
      <c r="AP89" s="106"/>
      <c r="AQ89" s="106"/>
      <c r="AR89" s="106"/>
      <c r="AS89" s="106"/>
      <c r="AT89" s="106"/>
      <c r="AU89" s="106"/>
      <c r="AV89" s="106"/>
      <c r="AW89" s="106"/>
      <c r="AX89" s="106"/>
      <c r="AY89" s="106"/>
      <c r="AZ89" s="106"/>
      <c r="BA89" s="106"/>
      <c r="BB89" s="106"/>
      <c r="BC89" s="106"/>
      <c r="BD89" s="106"/>
      <c r="BE89" s="106"/>
      <c r="BF89" s="106"/>
      <c r="BG89" s="106"/>
      <c r="BH89" s="106"/>
      <c r="BI89" s="106"/>
      <c r="BJ89" s="106"/>
      <c r="BK89" s="106"/>
      <c r="BL89" s="106"/>
      <c r="BM89" s="106"/>
      <c r="BN89" s="106"/>
    </row>
    <row r="90" ht="29.25" hidden="1" customHeight="1">
      <c r="A90" s="53" t="s">
        <v>155</v>
      </c>
      <c r="B90" s="16" t="s">
        <v>631</v>
      </c>
      <c r="C90" s="108" t="s">
        <v>632</v>
      </c>
      <c r="D90" s="96"/>
      <c r="E90" s="97"/>
      <c r="F90" s="124" t="s">
        <v>75</v>
      </c>
      <c r="G90" s="98">
        <v>100.0</v>
      </c>
      <c r="H90" s="99"/>
      <c r="I90" s="100">
        <v>45867.0</v>
      </c>
      <c r="J90" s="101">
        <v>45867.0</v>
      </c>
      <c r="K90" s="101"/>
      <c r="L90" s="101">
        <v>45867.0</v>
      </c>
      <c r="M90" s="25">
        <f>IF(ISBLANK(L90), NETWORKDAYS(J90, TODAY(),Hoja2!$A$1:$A$18), NETWORKDAYS(J90, L90, Hoja2!$A$1:$A$18))</f>
        <v>1</v>
      </c>
      <c r="N90" s="100"/>
      <c r="O90" s="102"/>
      <c r="P90" s="31" t="s">
        <v>633</v>
      </c>
      <c r="Q90" s="28" t="s">
        <v>71</v>
      </c>
      <c r="R90" s="103"/>
      <c r="S90" s="103"/>
      <c r="T90" s="104"/>
      <c r="U90" s="106"/>
      <c r="V90" s="106"/>
      <c r="W90" s="106"/>
      <c r="X90" s="106"/>
      <c r="Y90" s="106"/>
      <c r="Z90" s="106"/>
      <c r="AA90" s="106"/>
      <c r="AB90" s="106"/>
      <c r="AC90" s="106"/>
      <c r="AD90" s="106"/>
      <c r="AE90" s="106"/>
      <c r="AF90" s="106"/>
      <c r="AG90" s="106"/>
      <c r="AH90" s="106"/>
      <c r="AI90" s="106"/>
      <c r="AJ90" s="106"/>
      <c r="AK90" s="106"/>
      <c r="AL90" s="106"/>
      <c r="AM90" s="106"/>
      <c r="AN90" s="106"/>
      <c r="AO90" s="106"/>
      <c r="AP90" s="106"/>
      <c r="AQ90" s="106"/>
      <c r="AR90" s="106"/>
      <c r="AS90" s="106"/>
      <c r="AT90" s="106"/>
      <c r="AU90" s="106"/>
      <c r="AV90" s="106"/>
      <c r="AW90" s="106"/>
      <c r="AX90" s="106"/>
      <c r="AY90" s="106"/>
      <c r="AZ90" s="106"/>
      <c r="BA90" s="106"/>
      <c r="BB90" s="106"/>
      <c r="BC90" s="106"/>
      <c r="BD90" s="106"/>
      <c r="BE90" s="106"/>
      <c r="BF90" s="106"/>
      <c r="BG90" s="106"/>
      <c r="BH90" s="106"/>
      <c r="BI90" s="106"/>
      <c r="BJ90" s="106"/>
      <c r="BK90" s="106"/>
      <c r="BL90" s="106"/>
      <c r="BM90" s="106"/>
      <c r="BN90" s="106"/>
    </row>
    <row r="91" ht="29.25" hidden="1" customHeight="1">
      <c r="A91" s="53" t="s">
        <v>155</v>
      </c>
      <c r="B91" s="16" t="s">
        <v>634</v>
      </c>
      <c r="C91" s="108" t="s">
        <v>635</v>
      </c>
      <c r="D91" s="153"/>
      <c r="E91" s="97"/>
      <c r="F91" s="124" t="s">
        <v>75</v>
      </c>
      <c r="G91" s="98">
        <v>100.0</v>
      </c>
      <c r="H91" s="99"/>
      <c r="I91" s="100">
        <v>45867.0</v>
      </c>
      <c r="J91" s="101">
        <v>45867.0</v>
      </c>
      <c r="K91" s="101"/>
      <c r="L91" s="101">
        <v>45867.0</v>
      </c>
      <c r="M91" s="25">
        <f>IF(ISBLANK(L91), NETWORKDAYS(J91, TODAY(),Hoja2!$A$1:$A$18), NETWORKDAYS(J91, L91, Hoja2!$A$1:$A$18))</f>
        <v>1</v>
      </c>
      <c r="N91" s="100"/>
      <c r="O91" s="102"/>
      <c r="P91" s="31" t="s">
        <v>636</v>
      </c>
      <c r="Q91" s="28" t="s">
        <v>71</v>
      </c>
      <c r="R91" s="103"/>
      <c r="S91" s="103"/>
      <c r="T91" s="104"/>
      <c r="U91" s="106"/>
      <c r="V91" s="106"/>
      <c r="W91" s="106"/>
      <c r="X91" s="106"/>
      <c r="Y91" s="106"/>
      <c r="Z91" s="106"/>
      <c r="AA91" s="106"/>
      <c r="AB91" s="106"/>
      <c r="AC91" s="106"/>
      <c r="AD91" s="106"/>
      <c r="AE91" s="106"/>
      <c r="AF91" s="106"/>
      <c r="AG91" s="106"/>
      <c r="AH91" s="106"/>
      <c r="AI91" s="106"/>
      <c r="AJ91" s="106"/>
      <c r="AK91" s="106"/>
      <c r="AL91" s="106"/>
      <c r="AM91" s="106"/>
      <c r="AN91" s="106"/>
      <c r="AO91" s="106"/>
      <c r="AP91" s="106"/>
      <c r="AQ91" s="106"/>
      <c r="AR91" s="106"/>
      <c r="AS91" s="106"/>
      <c r="AT91" s="106"/>
      <c r="AU91" s="106"/>
      <c r="AV91" s="106"/>
      <c r="AW91" s="106"/>
      <c r="AX91" s="106"/>
      <c r="AY91" s="106"/>
      <c r="AZ91" s="106"/>
      <c r="BA91" s="106"/>
      <c r="BB91" s="106"/>
      <c r="BC91" s="106"/>
      <c r="BD91" s="106"/>
      <c r="BE91" s="106"/>
      <c r="BF91" s="106"/>
      <c r="BG91" s="106"/>
      <c r="BH91" s="106"/>
      <c r="BI91" s="106"/>
      <c r="BJ91" s="106"/>
      <c r="BK91" s="106"/>
      <c r="BL91" s="106"/>
      <c r="BM91" s="106"/>
      <c r="BN91" s="106"/>
    </row>
    <row r="92" ht="29.25" hidden="1" customHeight="1">
      <c r="A92" s="53" t="s">
        <v>155</v>
      </c>
      <c r="B92" s="16" t="s">
        <v>637</v>
      </c>
      <c r="C92" s="108" t="s">
        <v>638</v>
      </c>
      <c r="D92" s="153"/>
      <c r="E92" s="97"/>
      <c r="F92" s="124" t="s">
        <v>75</v>
      </c>
      <c r="G92" s="98">
        <v>100.0</v>
      </c>
      <c r="H92" s="99"/>
      <c r="I92" s="100">
        <v>45867.0</v>
      </c>
      <c r="J92" s="101">
        <v>45867.0</v>
      </c>
      <c r="K92" s="101"/>
      <c r="L92" s="101">
        <v>45867.0</v>
      </c>
      <c r="M92" s="25">
        <f>IF(ISBLANK(L92), NETWORKDAYS(J92, TODAY(),Hoja2!$A$1:$A$18), NETWORKDAYS(J92, L92, Hoja2!$A$1:$A$18))</f>
        <v>1</v>
      </c>
      <c r="N92" s="100"/>
      <c r="O92" s="102"/>
      <c r="P92" s="31" t="s">
        <v>639</v>
      </c>
      <c r="Q92" s="28" t="s">
        <v>71</v>
      </c>
      <c r="R92" s="103"/>
      <c r="S92" s="103"/>
      <c r="T92" s="104"/>
      <c r="U92" s="106"/>
      <c r="V92" s="106"/>
      <c r="W92" s="106"/>
      <c r="X92" s="106"/>
      <c r="Y92" s="106"/>
      <c r="Z92" s="106"/>
      <c r="AA92" s="106"/>
      <c r="AB92" s="106"/>
      <c r="AC92" s="106"/>
      <c r="AD92" s="106"/>
      <c r="AE92" s="106"/>
      <c r="AF92" s="106"/>
      <c r="AG92" s="106"/>
      <c r="AH92" s="106"/>
      <c r="AI92" s="106"/>
      <c r="AJ92" s="106"/>
      <c r="AK92" s="106"/>
      <c r="AL92" s="106"/>
      <c r="AM92" s="106"/>
      <c r="AN92" s="106"/>
      <c r="AO92" s="106"/>
      <c r="AP92" s="106"/>
      <c r="AQ92" s="106"/>
      <c r="AR92" s="106"/>
      <c r="AS92" s="106"/>
      <c r="AT92" s="106"/>
      <c r="AU92" s="106"/>
      <c r="AV92" s="106"/>
      <c r="AW92" s="106"/>
      <c r="AX92" s="106"/>
      <c r="AY92" s="106"/>
      <c r="AZ92" s="106"/>
      <c r="BA92" s="106"/>
      <c r="BB92" s="106"/>
      <c r="BC92" s="106"/>
      <c r="BD92" s="106"/>
      <c r="BE92" s="106"/>
      <c r="BF92" s="106"/>
      <c r="BG92" s="106"/>
      <c r="BH92" s="106"/>
      <c r="BI92" s="106"/>
      <c r="BJ92" s="106"/>
      <c r="BK92" s="106"/>
      <c r="BL92" s="106"/>
      <c r="BM92" s="106"/>
      <c r="BN92" s="106"/>
    </row>
    <row r="93" ht="29.25" hidden="1" customHeight="1">
      <c r="A93" s="53" t="s">
        <v>155</v>
      </c>
      <c r="B93" s="16" t="s">
        <v>640</v>
      </c>
      <c r="C93" s="108" t="s">
        <v>641</v>
      </c>
      <c r="D93" s="153"/>
      <c r="E93" s="97"/>
      <c r="F93" s="124" t="s">
        <v>75</v>
      </c>
      <c r="G93" s="98">
        <v>100.0</v>
      </c>
      <c r="H93" s="99"/>
      <c r="I93" s="100">
        <v>45867.0</v>
      </c>
      <c r="J93" s="101">
        <v>45868.0</v>
      </c>
      <c r="K93" s="101"/>
      <c r="L93" s="101">
        <v>45870.0</v>
      </c>
      <c r="M93" s="25">
        <f>IF(ISBLANK(L93), NETWORKDAYS(J93, TODAY(),Hoja2!$A$1:$A$18), NETWORKDAYS(J93, L93, Hoja2!$A$1:$A$18))</f>
        <v>3</v>
      </c>
      <c r="N93" s="100">
        <v>45870.0</v>
      </c>
      <c r="O93" s="102">
        <v>45881.0</v>
      </c>
      <c r="P93" s="31" t="s">
        <v>642</v>
      </c>
      <c r="Q93" s="28" t="s">
        <v>71</v>
      </c>
      <c r="R93" s="103"/>
      <c r="S93" s="103"/>
      <c r="T93" s="104"/>
      <c r="U93" s="106"/>
      <c r="V93" s="106"/>
      <c r="W93" s="106"/>
      <c r="X93" s="106"/>
      <c r="Y93" s="106"/>
      <c r="Z93" s="106"/>
      <c r="AA93" s="106"/>
      <c r="AB93" s="106"/>
      <c r="AC93" s="106"/>
      <c r="AD93" s="106"/>
      <c r="AE93" s="106"/>
      <c r="AF93" s="106"/>
      <c r="AG93" s="106"/>
      <c r="AH93" s="106"/>
      <c r="AI93" s="106"/>
      <c r="AJ93" s="106"/>
      <c r="AK93" s="106"/>
      <c r="AL93" s="106"/>
      <c r="AM93" s="106"/>
      <c r="AN93" s="106"/>
      <c r="AO93" s="106"/>
      <c r="AP93" s="106"/>
      <c r="AQ93" s="106"/>
      <c r="AR93" s="106"/>
      <c r="AS93" s="106"/>
      <c r="AT93" s="106"/>
      <c r="AU93" s="106"/>
      <c r="AV93" s="106"/>
      <c r="AW93" s="106"/>
      <c r="AX93" s="106"/>
      <c r="AY93" s="106"/>
      <c r="AZ93" s="106"/>
      <c r="BA93" s="106"/>
      <c r="BB93" s="106"/>
      <c r="BC93" s="106"/>
      <c r="BD93" s="106"/>
      <c r="BE93" s="106"/>
      <c r="BF93" s="106"/>
      <c r="BG93" s="106"/>
      <c r="BH93" s="106"/>
      <c r="BI93" s="106"/>
      <c r="BJ93" s="106"/>
      <c r="BK93" s="106"/>
      <c r="BL93" s="106"/>
      <c r="BM93" s="106"/>
      <c r="BN93" s="34" t="s">
        <v>643</v>
      </c>
    </row>
    <row r="94" ht="29.25" hidden="1" customHeight="1">
      <c r="A94" s="15" t="s">
        <v>66</v>
      </c>
      <c r="B94" s="16" t="s">
        <v>644</v>
      </c>
      <c r="C94" s="108" t="s">
        <v>645</v>
      </c>
      <c r="D94" s="153"/>
      <c r="E94" s="97"/>
      <c r="F94" s="124" t="s">
        <v>75</v>
      </c>
      <c r="G94" s="98">
        <v>100.0</v>
      </c>
      <c r="H94" s="99"/>
      <c r="I94" s="100">
        <v>45867.0</v>
      </c>
      <c r="J94" s="101">
        <v>45867.0</v>
      </c>
      <c r="K94" s="101"/>
      <c r="L94" s="101"/>
      <c r="M94" s="25">
        <f>IF(ISBLANK(L94), NETWORKDAYS(J94, TODAY(),Hoja2!$A$1:$A$18), NETWORKDAYS(J94, L94, Hoja2!$A$1:$A$18))</f>
        <v>103</v>
      </c>
      <c r="N94" s="100"/>
      <c r="O94" s="102"/>
      <c r="P94" s="31" t="s">
        <v>646</v>
      </c>
      <c r="Q94" s="28" t="s">
        <v>71</v>
      </c>
      <c r="R94" s="103"/>
      <c r="S94" s="103"/>
      <c r="T94" s="104"/>
      <c r="U94" s="106"/>
      <c r="V94" s="106"/>
      <c r="W94" s="106"/>
      <c r="X94" s="106"/>
      <c r="Y94" s="106"/>
      <c r="Z94" s="106"/>
      <c r="AA94" s="106"/>
      <c r="AB94" s="106"/>
      <c r="AC94" s="106"/>
      <c r="AD94" s="106"/>
      <c r="AE94" s="106"/>
      <c r="AF94" s="106"/>
      <c r="AG94" s="106"/>
      <c r="AH94" s="106"/>
      <c r="AI94" s="106"/>
      <c r="AJ94" s="106"/>
      <c r="AK94" s="106"/>
      <c r="AL94" s="106"/>
      <c r="AM94" s="106"/>
      <c r="AN94" s="106"/>
      <c r="AO94" s="106"/>
      <c r="AP94" s="106"/>
      <c r="AQ94" s="106"/>
      <c r="AR94" s="106"/>
      <c r="AS94" s="106"/>
      <c r="AT94" s="106"/>
      <c r="AU94" s="106"/>
      <c r="AV94" s="106"/>
      <c r="AW94" s="106"/>
      <c r="AX94" s="106"/>
      <c r="AY94" s="106"/>
      <c r="AZ94" s="106"/>
      <c r="BA94" s="106"/>
      <c r="BB94" s="106"/>
      <c r="BC94" s="106"/>
      <c r="BD94" s="106"/>
      <c r="BE94" s="106"/>
      <c r="BF94" s="106"/>
      <c r="BG94" s="106"/>
      <c r="BH94" s="106"/>
      <c r="BI94" s="106"/>
      <c r="BJ94" s="106"/>
      <c r="BK94" s="106"/>
      <c r="BL94" s="106"/>
      <c r="BM94" s="106"/>
      <c r="BN94" s="106"/>
    </row>
    <row r="95" ht="29.25" hidden="1" customHeight="1">
      <c r="A95" s="53" t="s">
        <v>155</v>
      </c>
      <c r="B95" s="16" t="s">
        <v>647</v>
      </c>
      <c r="C95" s="108" t="s">
        <v>648</v>
      </c>
      <c r="D95" s="153"/>
      <c r="E95" s="97"/>
      <c r="F95" s="124" t="s">
        <v>75</v>
      </c>
      <c r="G95" s="98">
        <v>100.0</v>
      </c>
      <c r="H95" s="99"/>
      <c r="I95" s="100">
        <v>45866.0</v>
      </c>
      <c r="J95" s="101">
        <v>45867.0</v>
      </c>
      <c r="K95" s="101"/>
      <c r="L95" s="101">
        <v>45868.0</v>
      </c>
      <c r="M95" s="25">
        <f>IF(ISBLANK(L95), NETWORKDAYS(J95, TODAY(),Hoja2!$A$1:$A$18), NETWORKDAYS(J95, L95, Hoja2!$A$1:$A$18))</f>
        <v>2</v>
      </c>
      <c r="N95" s="100"/>
      <c r="O95" s="102"/>
      <c r="P95" s="31" t="s">
        <v>649</v>
      </c>
      <c r="Q95" s="28" t="s">
        <v>71</v>
      </c>
      <c r="R95" s="103"/>
      <c r="S95" s="103"/>
      <c r="T95" s="104"/>
      <c r="U95" s="106"/>
      <c r="V95" s="106"/>
      <c r="W95" s="106"/>
      <c r="X95" s="106"/>
      <c r="Y95" s="106"/>
      <c r="Z95" s="106"/>
      <c r="AA95" s="106"/>
      <c r="AB95" s="106"/>
      <c r="AC95" s="106"/>
      <c r="AD95" s="106"/>
      <c r="AE95" s="106"/>
      <c r="AF95" s="106"/>
      <c r="AG95" s="106"/>
      <c r="AH95" s="106"/>
      <c r="AI95" s="106"/>
      <c r="AJ95" s="106"/>
      <c r="AK95" s="106"/>
      <c r="AL95" s="106"/>
      <c r="AM95" s="106"/>
      <c r="AN95" s="106"/>
      <c r="AO95" s="106"/>
      <c r="AP95" s="106"/>
      <c r="AQ95" s="106"/>
      <c r="AR95" s="106"/>
      <c r="AS95" s="106"/>
      <c r="AT95" s="106"/>
      <c r="AU95" s="106"/>
      <c r="AV95" s="106"/>
      <c r="AW95" s="106"/>
      <c r="AX95" s="106"/>
      <c r="AY95" s="106"/>
      <c r="AZ95" s="106"/>
      <c r="BA95" s="106"/>
      <c r="BB95" s="106"/>
      <c r="BC95" s="106"/>
      <c r="BD95" s="106"/>
      <c r="BE95" s="106"/>
      <c r="BF95" s="106"/>
      <c r="BG95" s="106"/>
      <c r="BH95" s="106"/>
      <c r="BI95" s="106"/>
      <c r="BJ95" s="106"/>
      <c r="BK95" s="106"/>
      <c r="BL95" s="106"/>
      <c r="BM95" s="106"/>
      <c r="BN95" s="106"/>
    </row>
    <row r="96" ht="29.25" hidden="1" customHeight="1">
      <c r="A96" s="15" t="s">
        <v>66</v>
      </c>
      <c r="B96" s="16" t="s">
        <v>650</v>
      </c>
      <c r="C96" s="108" t="s">
        <v>651</v>
      </c>
      <c r="D96" s="153"/>
      <c r="E96" s="97"/>
      <c r="F96" s="124" t="s">
        <v>75</v>
      </c>
      <c r="G96" s="98">
        <v>100.0</v>
      </c>
      <c r="H96" s="99"/>
      <c r="I96" s="100">
        <v>45867.0</v>
      </c>
      <c r="J96" s="101">
        <v>45867.0</v>
      </c>
      <c r="K96" s="101"/>
      <c r="L96" s="101">
        <v>45875.0</v>
      </c>
      <c r="M96" s="25">
        <f>IF(ISBLANK(L96), NETWORKDAYS(J96, TODAY(),Hoja2!$A$1:$A$18), NETWORKDAYS(J96, L96, Hoja2!$A$1:$A$18))</f>
        <v>7</v>
      </c>
      <c r="N96" s="100"/>
      <c r="O96" s="102"/>
      <c r="P96" s="31" t="s">
        <v>652</v>
      </c>
      <c r="Q96" s="28" t="s">
        <v>71</v>
      </c>
      <c r="R96" s="103"/>
      <c r="S96" s="103"/>
      <c r="T96" s="104"/>
      <c r="U96" s="106"/>
      <c r="V96" s="106"/>
      <c r="W96" s="106"/>
      <c r="X96" s="106"/>
      <c r="Y96" s="106"/>
      <c r="Z96" s="106"/>
      <c r="AA96" s="106"/>
      <c r="AB96" s="106"/>
      <c r="AC96" s="106"/>
      <c r="AD96" s="106"/>
      <c r="AE96" s="106"/>
      <c r="AF96" s="106"/>
      <c r="AG96" s="106"/>
      <c r="AH96" s="106"/>
      <c r="AI96" s="106"/>
      <c r="AJ96" s="106"/>
      <c r="AK96" s="106"/>
      <c r="AL96" s="106"/>
      <c r="AM96" s="106"/>
      <c r="AN96" s="106"/>
      <c r="AO96" s="106"/>
      <c r="AP96" s="106"/>
      <c r="AQ96" s="106"/>
      <c r="AR96" s="106"/>
      <c r="AS96" s="106"/>
      <c r="AT96" s="106"/>
      <c r="AU96" s="106"/>
      <c r="AV96" s="106"/>
      <c r="AW96" s="106"/>
      <c r="AX96" s="106"/>
      <c r="AY96" s="106"/>
      <c r="AZ96" s="106"/>
      <c r="BA96" s="106"/>
      <c r="BB96" s="106"/>
      <c r="BC96" s="106"/>
      <c r="BD96" s="106"/>
      <c r="BE96" s="106"/>
      <c r="BF96" s="106"/>
      <c r="BG96" s="106"/>
      <c r="BH96" s="106"/>
      <c r="BI96" s="106"/>
      <c r="BJ96" s="106"/>
      <c r="BK96" s="106"/>
      <c r="BL96" s="106"/>
      <c r="BM96" s="106"/>
      <c r="BN96" s="106"/>
    </row>
    <row r="97" ht="29.25" hidden="1" customHeight="1">
      <c r="A97" s="15" t="s">
        <v>66</v>
      </c>
      <c r="B97" s="16" t="s">
        <v>653</v>
      </c>
      <c r="C97" s="108" t="s">
        <v>654</v>
      </c>
      <c r="D97" s="153"/>
      <c r="E97" s="97"/>
      <c r="F97" s="19" t="s">
        <v>89</v>
      </c>
      <c r="G97" s="98">
        <v>20.0</v>
      </c>
      <c r="H97" s="99"/>
      <c r="I97" s="100">
        <v>45867.0</v>
      </c>
      <c r="J97" s="101">
        <v>45867.0</v>
      </c>
      <c r="K97" s="101"/>
      <c r="L97" s="101"/>
      <c r="M97" s="25">
        <f>IF(ISBLANK(L97), NETWORKDAYS(J97, TODAY(),Hoja2!$A$1:$A$18), NETWORKDAYS(J97, L97, Hoja2!$A$1:$A$18))</f>
        <v>103</v>
      </c>
      <c r="N97" s="100"/>
      <c r="O97" s="102"/>
      <c r="P97" s="31" t="s">
        <v>655</v>
      </c>
      <c r="Q97" s="28" t="s">
        <v>91</v>
      </c>
      <c r="R97" s="103"/>
      <c r="S97" s="103"/>
      <c r="T97" s="104"/>
      <c r="U97" s="106"/>
      <c r="V97" s="106"/>
      <c r="W97" s="106"/>
      <c r="X97" s="106"/>
      <c r="Y97" s="106"/>
      <c r="Z97" s="106"/>
      <c r="AA97" s="106"/>
      <c r="AB97" s="106"/>
      <c r="AC97" s="106"/>
      <c r="AD97" s="106"/>
      <c r="AE97" s="106"/>
      <c r="AF97" s="106"/>
      <c r="AG97" s="106"/>
      <c r="AH97" s="106"/>
      <c r="AI97" s="106"/>
      <c r="AJ97" s="106"/>
      <c r="AK97" s="106"/>
      <c r="AL97" s="106"/>
      <c r="AM97" s="106"/>
      <c r="AN97" s="106"/>
      <c r="AO97" s="106"/>
      <c r="AP97" s="106"/>
      <c r="AQ97" s="106"/>
      <c r="AR97" s="106"/>
      <c r="AS97" s="106"/>
      <c r="AT97" s="106"/>
      <c r="AU97" s="106"/>
      <c r="AV97" s="106"/>
      <c r="AW97" s="106"/>
      <c r="AX97" s="106"/>
      <c r="AY97" s="106"/>
      <c r="AZ97" s="106"/>
      <c r="BA97" s="106"/>
      <c r="BB97" s="106"/>
      <c r="BC97" s="106"/>
      <c r="BD97" s="106"/>
      <c r="BE97" s="106"/>
      <c r="BF97" s="106"/>
      <c r="BG97" s="106"/>
      <c r="BH97" s="106"/>
      <c r="BI97" s="106"/>
      <c r="BJ97" s="106"/>
      <c r="BK97" s="106"/>
      <c r="BL97" s="106"/>
      <c r="BM97" s="106"/>
      <c r="BN97" s="106"/>
    </row>
    <row r="98" ht="29.25" hidden="1" customHeight="1">
      <c r="A98" s="53" t="s">
        <v>126</v>
      </c>
      <c r="B98" s="16" t="s">
        <v>656</v>
      </c>
      <c r="C98" s="108" t="s">
        <v>657</v>
      </c>
      <c r="D98" s="142" t="s">
        <v>658</v>
      </c>
      <c r="E98" s="145" t="s">
        <v>214</v>
      </c>
      <c r="F98" s="19" t="s">
        <v>214</v>
      </c>
      <c r="G98" s="56">
        <v>99.0</v>
      </c>
      <c r="H98" s="144"/>
      <c r="I98" s="82">
        <v>45807.0</v>
      </c>
      <c r="J98" s="59">
        <v>45926.0</v>
      </c>
      <c r="K98" s="59"/>
      <c r="L98" s="59">
        <v>45966.0</v>
      </c>
      <c r="M98" s="25">
        <f>IF(ISBLANK(L98), NETWORKDAYS(J98, TODAY(),Hoja2!$A$1:$A$18), NETWORKDAYS(J98, L98, Hoja2!$A$1:$A$18))</f>
        <v>29</v>
      </c>
      <c r="N98" s="82">
        <v>45966.0</v>
      </c>
      <c r="O98" s="60">
        <v>45966.0</v>
      </c>
      <c r="P98" s="31" t="s">
        <v>659</v>
      </c>
      <c r="Q98" s="28" t="s">
        <v>71</v>
      </c>
      <c r="R98" s="119"/>
      <c r="S98" s="119"/>
      <c r="T98" s="104"/>
      <c r="U98" s="106"/>
      <c r="V98" s="106"/>
      <c r="W98" s="106"/>
      <c r="X98" s="106"/>
      <c r="Y98" s="106"/>
      <c r="Z98" s="106"/>
      <c r="AA98" s="106"/>
      <c r="AB98" s="106"/>
      <c r="AC98" s="106"/>
      <c r="AD98" s="106"/>
      <c r="AE98" s="106"/>
      <c r="AF98" s="106"/>
      <c r="AG98" s="106"/>
      <c r="AH98" s="106"/>
      <c r="AI98" s="106"/>
      <c r="AJ98" s="34" t="s">
        <v>660</v>
      </c>
      <c r="AK98" s="34" t="s">
        <v>661</v>
      </c>
      <c r="AL98" s="34" t="s">
        <v>662</v>
      </c>
      <c r="AM98" s="34" t="s">
        <v>663</v>
      </c>
      <c r="AN98" s="34"/>
      <c r="AO98" s="34"/>
      <c r="AP98" s="34"/>
      <c r="AQ98" s="34" t="s">
        <v>664</v>
      </c>
      <c r="AR98" s="34" t="s">
        <v>665</v>
      </c>
      <c r="AS98" s="34"/>
      <c r="AT98" s="34"/>
      <c r="AU98" s="34"/>
      <c r="AV98" s="34"/>
      <c r="AW98" s="34" t="s">
        <v>666</v>
      </c>
      <c r="AX98" s="34"/>
      <c r="AY98" s="34"/>
      <c r="AZ98" s="34"/>
      <c r="BA98" s="34"/>
      <c r="BB98" s="34"/>
      <c r="BC98" s="34"/>
      <c r="BD98" s="34"/>
      <c r="BE98" s="34"/>
      <c r="BF98" s="34"/>
      <c r="BG98" s="34" t="s">
        <v>667</v>
      </c>
      <c r="BH98" s="34"/>
      <c r="BI98" s="34"/>
      <c r="BJ98" s="34" t="s">
        <v>668</v>
      </c>
      <c r="BK98" s="34"/>
      <c r="BL98" s="34"/>
      <c r="BM98" s="34"/>
      <c r="BN98" s="34"/>
    </row>
    <row r="99" ht="29.25" hidden="1" customHeight="1">
      <c r="A99" s="53" t="s">
        <v>155</v>
      </c>
      <c r="B99" s="16" t="s">
        <v>669</v>
      </c>
      <c r="C99" s="108" t="s">
        <v>670</v>
      </c>
      <c r="D99" s="153"/>
      <c r="E99" s="97"/>
      <c r="F99" s="124" t="s">
        <v>75</v>
      </c>
      <c r="G99" s="98">
        <v>100.0</v>
      </c>
      <c r="H99" s="99"/>
      <c r="I99" s="100">
        <v>45868.0</v>
      </c>
      <c r="J99" s="101">
        <v>45868.0</v>
      </c>
      <c r="K99" s="101"/>
      <c r="L99" s="101">
        <v>45869.0</v>
      </c>
      <c r="M99" s="25">
        <f>IF(ISBLANK(L99), NETWORKDAYS(J99, TODAY(),Hoja2!$A$1:$A$18), NETWORKDAYS(J99, L99, Hoja2!$A$1:$A$18))</f>
        <v>2</v>
      </c>
      <c r="N99" s="100"/>
      <c r="O99" s="102"/>
      <c r="P99" s="31" t="s">
        <v>671</v>
      </c>
      <c r="Q99" s="28" t="s">
        <v>71</v>
      </c>
      <c r="R99" s="103"/>
      <c r="S99" s="103"/>
      <c r="T99" s="104"/>
      <c r="U99" s="106"/>
      <c r="V99" s="106"/>
      <c r="W99" s="106"/>
      <c r="X99" s="106"/>
      <c r="Y99" s="106"/>
      <c r="Z99" s="106"/>
      <c r="AA99" s="106"/>
      <c r="AB99" s="106"/>
      <c r="AC99" s="106"/>
      <c r="AD99" s="106"/>
      <c r="AE99" s="106"/>
      <c r="AF99" s="106"/>
      <c r="AG99" s="106"/>
      <c r="AH99" s="106"/>
      <c r="AI99" s="106"/>
      <c r="AJ99" s="106"/>
      <c r="AK99" s="106"/>
      <c r="AL99" s="106"/>
      <c r="AM99" s="106"/>
      <c r="AN99" s="106"/>
      <c r="AO99" s="106"/>
      <c r="AP99" s="106"/>
      <c r="AQ99" s="106"/>
      <c r="AR99" s="106"/>
      <c r="AS99" s="106"/>
      <c r="AT99" s="106"/>
      <c r="AU99" s="106"/>
      <c r="AV99" s="106"/>
      <c r="AW99" s="106"/>
      <c r="AX99" s="106"/>
      <c r="AY99" s="106"/>
      <c r="AZ99" s="106"/>
      <c r="BA99" s="106"/>
      <c r="BB99" s="106"/>
      <c r="BC99" s="106"/>
      <c r="BD99" s="106"/>
      <c r="BE99" s="106"/>
      <c r="BF99" s="106"/>
      <c r="BG99" s="106"/>
      <c r="BH99" s="106"/>
      <c r="BI99" s="106"/>
      <c r="BJ99" s="106"/>
      <c r="BK99" s="106"/>
      <c r="BL99" s="106"/>
      <c r="BM99" s="106"/>
      <c r="BN99" s="106"/>
    </row>
    <row r="100" ht="29.25" hidden="1" customHeight="1">
      <c r="A100" s="53" t="s">
        <v>126</v>
      </c>
      <c r="B100" s="16" t="s">
        <v>672</v>
      </c>
      <c r="C100" s="108" t="s">
        <v>673</v>
      </c>
      <c r="D100" s="153"/>
      <c r="E100" s="97"/>
      <c r="F100" s="124" t="s">
        <v>75</v>
      </c>
      <c r="G100" s="98">
        <v>100.0</v>
      </c>
      <c r="H100" s="99"/>
      <c r="I100" s="100">
        <v>45870.0</v>
      </c>
      <c r="J100" s="101">
        <v>45874.0</v>
      </c>
      <c r="K100" s="101"/>
      <c r="L100" s="101">
        <v>45874.0</v>
      </c>
      <c r="M100" s="25">
        <f>IF(ISBLANK(L100), NETWORKDAYS(J100, TODAY(),Hoja2!$A$1:$A$18), NETWORKDAYS(J100, L100, Hoja2!$A$1:$A$18))</f>
        <v>1</v>
      </c>
      <c r="N100" s="100">
        <v>45874.0</v>
      </c>
      <c r="O100" s="102">
        <v>45874.0</v>
      </c>
      <c r="P100" s="31" t="s">
        <v>674</v>
      </c>
      <c r="Q100" s="28" t="s">
        <v>71</v>
      </c>
      <c r="R100" s="103"/>
      <c r="S100" s="103"/>
      <c r="T100" s="104"/>
      <c r="U100" s="106"/>
      <c r="V100" s="106"/>
      <c r="W100" s="106"/>
      <c r="X100" s="106"/>
      <c r="Y100" s="106"/>
      <c r="Z100" s="106"/>
      <c r="AA100" s="106"/>
      <c r="AB100" s="106"/>
      <c r="AC100" s="106"/>
      <c r="AD100" s="106"/>
      <c r="AE100" s="106"/>
      <c r="AF100" s="106"/>
      <c r="AG100" s="106"/>
      <c r="AH100" s="106"/>
      <c r="AI100" s="106"/>
      <c r="AJ100" s="106"/>
      <c r="AK100" s="106"/>
      <c r="AL100" s="106"/>
      <c r="AM100" s="106"/>
      <c r="AN100" s="106"/>
      <c r="AO100" s="106"/>
      <c r="AP100" s="106"/>
      <c r="AQ100" s="106"/>
      <c r="AR100" s="106"/>
      <c r="AS100" s="106"/>
      <c r="AT100" s="106"/>
      <c r="AU100" s="106"/>
      <c r="AV100" s="106"/>
      <c r="AW100" s="106"/>
      <c r="AX100" s="106"/>
      <c r="AY100" s="106"/>
      <c r="AZ100" s="106"/>
      <c r="BA100" s="106"/>
      <c r="BB100" s="106"/>
      <c r="BC100" s="106"/>
      <c r="BD100" s="106"/>
      <c r="BE100" s="106"/>
      <c r="BF100" s="106"/>
      <c r="BG100" s="106"/>
      <c r="BH100" s="106"/>
      <c r="BI100" s="106"/>
      <c r="BJ100" s="106"/>
      <c r="BK100" s="106"/>
      <c r="BL100" s="106"/>
      <c r="BM100" s="106"/>
      <c r="BN100" s="106"/>
    </row>
    <row r="101" ht="29.25" hidden="1" customHeight="1">
      <c r="A101" s="53" t="s">
        <v>126</v>
      </c>
      <c r="B101" s="107" t="s">
        <v>675</v>
      </c>
      <c r="C101" s="108" t="s">
        <v>676</v>
      </c>
      <c r="D101" s="96"/>
      <c r="E101" s="97"/>
      <c r="F101" s="124" t="s">
        <v>75</v>
      </c>
      <c r="G101" s="98">
        <v>100.0</v>
      </c>
      <c r="H101" s="99"/>
      <c r="I101" s="100">
        <v>45917.0</v>
      </c>
      <c r="J101" s="174">
        <v>45917.0</v>
      </c>
      <c r="K101" s="101"/>
      <c r="L101" s="101">
        <v>45917.0</v>
      </c>
      <c r="M101" s="25">
        <f>IF(ISBLANK(L101), NETWORKDAYS(J101, TODAY(),Hoja2!$A$1:$A$18), NETWORKDAYS(J101, L101, Hoja2!$A$1:$A$18))</f>
        <v>1</v>
      </c>
      <c r="N101" s="100"/>
      <c r="O101" s="102"/>
      <c r="P101" s="89" t="s">
        <v>573</v>
      </c>
      <c r="Q101" s="114" t="s">
        <v>71</v>
      </c>
      <c r="R101" s="98"/>
      <c r="S101" s="103"/>
      <c r="T101" s="104"/>
      <c r="U101" s="106"/>
      <c r="V101" s="106"/>
      <c r="W101" s="106"/>
      <c r="X101" s="106"/>
      <c r="Y101" s="106"/>
      <c r="Z101" s="106"/>
      <c r="AA101" s="106"/>
      <c r="AB101" s="106"/>
      <c r="AC101" s="106"/>
      <c r="AD101" s="106"/>
      <c r="AE101" s="106"/>
      <c r="AF101" s="106"/>
      <c r="AG101" s="106"/>
      <c r="AH101" s="106"/>
      <c r="AI101" s="106"/>
      <c r="AJ101" s="106"/>
      <c r="AK101" s="106"/>
      <c r="AL101" s="106"/>
      <c r="AM101" s="106"/>
      <c r="AN101" s="106"/>
      <c r="AO101" s="106"/>
      <c r="AP101" s="106"/>
      <c r="AQ101" s="106"/>
      <c r="AR101" s="106"/>
      <c r="AS101" s="106"/>
      <c r="AT101" s="106"/>
      <c r="AU101" s="106"/>
      <c r="AV101" s="106"/>
      <c r="AW101" s="106"/>
      <c r="AX101" s="106"/>
      <c r="AY101" s="106"/>
      <c r="AZ101" s="106"/>
      <c r="BA101" s="106"/>
      <c r="BB101" s="106"/>
      <c r="BC101" s="106"/>
      <c r="BD101" s="106"/>
      <c r="BE101" s="106"/>
      <c r="BF101" s="106"/>
      <c r="BG101" s="106"/>
      <c r="BH101" s="106"/>
      <c r="BI101" s="106"/>
      <c r="BJ101" s="106"/>
      <c r="BK101" s="106"/>
      <c r="BL101" s="106"/>
      <c r="BM101" s="106"/>
      <c r="BN101" s="106"/>
    </row>
    <row r="102" ht="33.0" hidden="1" customHeight="1">
      <c r="A102" s="53" t="s">
        <v>126</v>
      </c>
      <c r="B102" s="107" t="s">
        <v>677</v>
      </c>
      <c r="C102" s="108" t="s">
        <v>678</v>
      </c>
      <c r="D102" s="96"/>
      <c r="E102" s="97"/>
      <c r="F102" s="124" t="s">
        <v>75</v>
      </c>
      <c r="G102" s="98">
        <v>100.0</v>
      </c>
      <c r="H102" s="99"/>
      <c r="I102" s="100">
        <v>45868.0</v>
      </c>
      <c r="J102" s="174">
        <v>45911.0</v>
      </c>
      <c r="K102" s="101"/>
      <c r="L102" s="101">
        <v>45912.0</v>
      </c>
      <c r="M102" s="25">
        <f>IF(ISBLANK(L102), NETWORKDAYS(J102, TODAY(),Hoja2!$A$1:$A$18), NETWORKDAYS(J102, L102, Hoja2!$A$1:$A$18))</f>
        <v>2</v>
      </c>
      <c r="N102" s="100"/>
      <c r="O102" s="102">
        <v>45930.0</v>
      </c>
      <c r="P102" s="31" t="s">
        <v>679</v>
      </c>
      <c r="Q102" s="114" t="s">
        <v>71</v>
      </c>
      <c r="R102" s="98"/>
      <c r="S102" s="103"/>
      <c r="T102" s="124" t="s">
        <v>680</v>
      </c>
      <c r="U102" s="106"/>
      <c r="V102" s="106"/>
      <c r="W102" s="106"/>
      <c r="X102" s="106"/>
      <c r="Y102" s="106"/>
      <c r="Z102" s="106"/>
      <c r="AA102" s="106"/>
      <c r="AB102" s="106"/>
      <c r="AC102" s="106"/>
      <c r="AD102" s="106"/>
      <c r="AE102" s="106"/>
      <c r="AF102" s="106"/>
      <c r="AG102" s="106"/>
      <c r="AH102" s="106"/>
      <c r="AI102" s="106"/>
      <c r="AJ102" s="106"/>
      <c r="AK102" s="106"/>
      <c r="AL102" s="106"/>
      <c r="AM102" s="106"/>
      <c r="AN102" s="106"/>
      <c r="AO102" s="106"/>
      <c r="AP102" s="106"/>
      <c r="AQ102" s="106"/>
      <c r="AR102" s="106"/>
      <c r="AS102" s="106"/>
      <c r="AT102" s="106"/>
      <c r="AU102" s="106"/>
      <c r="AV102" s="106"/>
      <c r="AW102" s="106"/>
      <c r="AX102" s="106"/>
      <c r="AY102" s="106"/>
      <c r="AZ102" s="106"/>
      <c r="BA102" s="106"/>
      <c r="BB102" s="106"/>
      <c r="BC102" s="106"/>
      <c r="BD102" s="106"/>
      <c r="BE102" s="106"/>
      <c r="BF102" s="106"/>
      <c r="BG102" s="106"/>
      <c r="BH102" s="106"/>
      <c r="BI102" s="106"/>
      <c r="BJ102" s="106"/>
      <c r="BK102" s="106"/>
      <c r="BL102" s="106"/>
      <c r="BM102" s="106"/>
      <c r="BN102" s="106"/>
    </row>
    <row r="103" ht="29.25" hidden="1" customHeight="1">
      <c r="A103" s="53" t="s">
        <v>126</v>
      </c>
      <c r="B103" s="16" t="s">
        <v>681</v>
      </c>
      <c r="C103" s="108" t="s">
        <v>682</v>
      </c>
      <c r="D103" s="157"/>
      <c r="E103" s="97"/>
      <c r="F103" s="19" t="s">
        <v>205</v>
      </c>
      <c r="G103" s="98">
        <v>20.0</v>
      </c>
      <c r="H103" s="99"/>
      <c r="I103" s="100">
        <v>45847.0</v>
      </c>
      <c r="J103" s="101">
        <v>45890.0</v>
      </c>
      <c r="K103" s="101"/>
      <c r="L103" s="101"/>
      <c r="M103" s="25">
        <f>IF(ISBLANK(L103), NETWORKDAYS(J103, TODAY(),Hoja2!$A$1:$A$18), NETWORKDAYS(J103, L103, Hoja2!$A$1:$A$18))</f>
        <v>86</v>
      </c>
      <c r="N103" s="100"/>
      <c r="O103" s="102"/>
      <c r="P103" s="31" t="s">
        <v>683</v>
      </c>
      <c r="Q103" s="114" t="s">
        <v>71</v>
      </c>
      <c r="R103" s="103"/>
      <c r="S103" s="103"/>
      <c r="T103" s="104"/>
      <c r="U103" s="106"/>
      <c r="V103" s="106"/>
      <c r="W103" s="106"/>
      <c r="X103" s="106"/>
      <c r="Y103" s="106"/>
      <c r="Z103" s="106"/>
      <c r="AA103" s="106"/>
      <c r="AB103" s="106"/>
      <c r="AC103" s="106"/>
      <c r="AD103" s="106"/>
      <c r="AE103" s="106"/>
      <c r="AF103" s="106"/>
      <c r="AG103" s="106"/>
      <c r="AH103" s="106"/>
      <c r="AI103" s="106"/>
      <c r="AJ103" s="106"/>
      <c r="AK103" s="106"/>
      <c r="AL103" s="106"/>
      <c r="AM103" s="106"/>
      <c r="AN103" s="106"/>
      <c r="AO103" s="106"/>
      <c r="AP103" s="106"/>
      <c r="AQ103" s="106"/>
      <c r="AR103" s="106"/>
      <c r="AS103" s="106"/>
      <c r="AT103" s="106"/>
      <c r="AU103" s="106"/>
      <c r="AV103" s="106"/>
      <c r="AW103" s="106"/>
      <c r="AX103" s="106"/>
      <c r="AY103" s="106"/>
      <c r="AZ103" s="106"/>
      <c r="BA103" s="106"/>
      <c r="BB103" s="106"/>
      <c r="BC103" s="106"/>
      <c r="BD103" s="106"/>
      <c r="BE103" s="34" t="s">
        <v>684</v>
      </c>
      <c r="BF103" s="34"/>
      <c r="BG103" s="34"/>
      <c r="BH103" s="34"/>
      <c r="BI103" s="34"/>
      <c r="BJ103" s="34"/>
      <c r="BK103" s="34"/>
      <c r="BL103" s="34"/>
      <c r="BM103" s="34"/>
      <c r="BN103" s="34"/>
    </row>
    <row r="104" ht="29.25" hidden="1" customHeight="1">
      <c r="A104" s="53" t="s">
        <v>126</v>
      </c>
      <c r="B104" s="16" t="s">
        <v>685</v>
      </c>
      <c r="C104" s="108" t="s">
        <v>686</v>
      </c>
      <c r="D104" s="96" t="s">
        <v>687</v>
      </c>
      <c r="E104" s="97"/>
      <c r="F104" s="124" t="s">
        <v>75</v>
      </c>
      <c r="G104" s="98">
        <v>100.0</v>
      </c>
      <c r="H104" s="99"/>
      <c r="I104" s="175">
        <v>45890.0</v>
      </c>
      <c r="J104" s="174">
        <v>45922.0</v>
      </c>
      <c r="K104" s="101">
        <v>45925.0</v>
      </c>
      <c r="L104" s="101">
        <v>45937.0</v>
      </c>
      <c r="M104" s="25">
        <f>IF(ISBLANK(L104), NETWORKDAYS(J104, TODAY(),Hoja2!$A$1:$A$18), NETWORKDAYS(J104, L104, Hoja2!$A$1:$A$18))</f>
        <v>12</v>
      </c>
      <c r="N104" s="100">
        <v>45937.0</v>
      </c>
      <c r="O104" s="102"/>
      <c r="P104" s="31" t="s">
        <v>688</v>
      </c>
      <c r="Q104" s="114" t="s">
        <v>71</v>
      </c>
      <c r="R104" s="98"/>
      <c r="S104" s="98" t="s">
        <v>689</v>
      </c>
      <c r="T104" s="124" t="s">
        <v>690</v>
      </c>
      <c r="U104" s="106"/>
      <c r="V104" s="106"/>
      <c r="W104" s="106"/>
      <c r="X104" s="106"/>
      <c r="Y104" s="106"/>
      <c r="Z104" s="106"/>
      <c r="AA104" s="106"/>
      <c r="AB104" s="106"/>
      <c r="AC104" s="106"/>
      <c r="AD104" s="106"/>
      <c r="AE104" s="106"/>
      <c r="AF104" s="106"/>
      <c r="AG104" s="106"/>
      <c r="AH104" s="106"/>
      <c r="AI104" s="106"/>
      <c r="AJ104" s="106"/>
      <c r="AK104" s="106"/>
      <c r="AL104" s="106"/>
      <c r="AM104" s="106"/>
      <c r="AN104" s="106"/>
      <c r="AO104" s="106"/>
      <c r="AP104" s="106"/>
      <c r="AQ104" s="106"/>
      <c r="AR104" s="106"/>
      <c r="AS104" s="106"/>
      <c r="AT104" s="106"/>
      <c r="AU104" s="106"/>
      <c r="AV104" s="106"/>
      <c r="AW104" s="106"/>
      <c r="AX104" s="106"/>
      <c r="AY104" s="106"/>
      <c r="AZ104" s="106"/>
      <c r="BA104" s="106"/>
      <c r="BB104" s="106"/>
      <c r="BC104" s="106"/>
      <c r="BD104" s="106"/>
      <c r="BE104" s="106"/>
      <c r="BF104" s="106"/>
      <c r="BG104" s="106"/>
      <c r="BH104" s="106"/>
      <c r="BI104" s="106"/>
      <c r="BJ104" s="106"/>
      <c r="BK104" s="106"/>
      <c r="BL104" s="106"/>
      <c r="BM104" s="106"/>
      <c r="BN104" s="106"/>
    </row>
    <row r="105" ht="29.25" hidden="1" customHeight="1">
      <c r="A105" s="53" t="s">
        <v>126</v>
      </c>
      <c r="B105" s="107" t="s">
        <v>691</v>
      </c>
      <c r="C105" s="108" t="s">
        <v>692</v>
      </c>
      <c r="D105" s="96" t="s">
        <v>693</v>
      </c>
      <c r="E105" s="97"/>
      <c r="F105" s="124" t="s">
        <v>75</v>
      </c>
      <c r="G105" s="98">
        <v>100.0</v>
      </c>
      <c r="H105" s="99"/>
      <c r="I105" s="175">
        <v>45958.0</v>
      </c>
      <c r="J105" s="176">
        <v>45973.0</v>
      </c>
      <c r="K105" s="101"/>
      <c r="L105" s="101">
        <v>45973.0</v>
      </c>
      <c r="M105" s="25">
        <f>IF(ISBLANK(L105), NETWORKDAYS(J105, TODAY(),Hoja2!$A$1:$A$18), NETWORKDAYS(J105, L105, Hoja2!$A$1:$A$18))</f>
        <v>1</v>
      </c>
      <c r="N105" s="100"/>
      <c r="O105" s="102"/>
      <c r="P105" s="31" t="s">
        <v>694</v>
      </c>
      <c r="Q105" s="114" t="s">
        <v>71</v>
      </c>
      <c r="R105" s="98"/>
      <c r="S105" s="98"/>
      <c r="T105" s="124" t="s">
        <v>695</v>
      </c>
      <c r="U105" s="106"/>
      <c r="V105" s="106"/>
      <c r="W105" s="106"/>
      <c r="X105" s="106"/>
      <c r="Y105" s="106"/>
      <c r="Z105" s="106"/>
      <c r="AA105" s="106"/>
      <c r="AB105" s="106"/>
      <c r="AC105" s="106"/>
      <c r="AD105" s="106"/>
      <c r="AE105" s="106"/>
      <c r="AF105" s="106"/>
      <c r="AG105" s="106"/>
      <c r="AH105" s="106"/>
      <c r="AI105" s="106"/>
      <c r="AJ105" s="106"/>
      <c r="AK105" s="106"/>
      <c r="AL105" s="106"/>
      <c r="AM105" s="106"/>
      <c r="AN105" s="106"/>
      <c r="AO105" s="106"/>
      <c r="AP105" s="106"/>
      <c r="AQ105" s="106"/>
      <c r="AR105" s="106"/>
      <c r="AS105" s="106"/>
      <c r="AT105" s="106"/>
      <c r="AU105" s="106"/>
      <c r="AV105" s="106"/>
      <c r="AW105" s="106"/>
      <c r="AX105" s="106"/>
      <c r="AY105" s="106"/>
      <c r="AZ105" s="106"/>
      <c r="BA105" s="106"/>
      <c r="BB105" s="106"/>
      <c r="BC105" s="106"/>
      <c r="BD105" s="106"/>
      <c r="BE105" s="106"/>
      <c r="BF105" s="106"/>
      <c r="BG105" s="106"/>
      <c r="BH105" s="106"/>
      <c r="BI105" s="106"/>
      <c r="BJ105" s="106"/>
      <c r="BK105" s="106"/>
      <c r="BL105" s="106"/>
      <c r="BM105" s="106"/>
      <c r="BN105" s="106"/>
    </row>
    <row r="106" ht="29.25" hidden="1" customHeight="1">
      <c r="A106" s="15" t="s">
        <v>66</v>
      </c>
      <c r="B106" s="16" t="s">
        <v>696</v>
      </c>
      <c r="C106" s="108" t="s">
        <v>697</v>
      </c>
      <c r="D106" s="153"/>
      <c r="E106" s="97"/>
      <c r="F106" s="124" t="s">
        <v>75</v>
      </c>
      <c r="G106" s="98">
        <v>100.0</v>
      </c>
      <c r="H106" s="99"/>
      <c r="I106" s="100">
        <v>45869.0</v>
      </c>
      <c r="J106" s="101">
        <v>45870.0</v>
      </c>
      <c r="K106" s="101"/>
      <c r="L106" s="101">
        <v>45880.0</v>
      </c>
      <c r="M106" s="25">
        <f>IF(ISBLANK(L106), NETWORKDAYS(J106, TODAY(),Hoja2!$A$1:$A$18), NETWORKDAYS(J106, L106, Hoja2!$A$1:$A$18))</f>
        <v>7</v>
      </c>
      <c r="N106" s="100"/>
      <c r="O106" s="102"/>
      <c r="P106" s="31" t="s">
        <v>698</v>
      </c>
      <c r="Q106" s="28" t="s">
        <v>71</v>
      </c>
      <c r="R106" s="103"/>
      <c r="S106" s="103"/>
      <c r="T106" s="104"/>
      <c r="U106" s="106"/>
      <c r="V106" s="106"/>
      <c r="W106" s="106"/>
      <c r="X106" s="106"/>
      <c r="Y106" s="106"/>
      <c r="Z106" s="106"/>
      <c r="AA106" s="106"/>
      <c r="AB106" s="106"/>
      <c r="AC106" s="106"/>
      <c r="AD106" s="106"/>
      <c r="AE106" s="106"/>
      <c r="AF106" s="106"/>
      <c r="AG106" s="106"/>
      <c r="AH106" s="106"/>
      <c r="AI106" s="106"/>
      <c r="AJ106" s="106"/>
      <c r="AK106" s="106"/>
      <c r="AL106" s="106"/>
      <c r="AM106" s="106"/>
      <c r="AN106" s="106"/>
      <c r="AO106" s="106"/>
      <c r="AP106" s="106"/>
      <c r="AQ106" s="106"/>
      <c r="AR106" s="106"/>
      <c r="AS106" s="106"/>
      <c r="AT106" s="106"/>
      <c r="AU106" s="106"/>
      <c r="AV106" s="106"/>
      <c r="AW106" s="106"/>
      <c r="AX106" s="106"/>
      <c r="AY106" s="106"/>
      <c r="AZ106" s="106"/>
      <c r="BA106" s="106"/>
      <c r="BB106" s="106"/>
      <c r="BC106" s="106"/>
      <c r="BD106" s="106"/>
      <c r="BE106" s="106"/>
      <c r="BF106" s="106"/>
      <c r="BG106" s="106"/>
      <c r="BH106" s="106"/>
      <c r="BI106" s="106"/>
      <c r="BJ106" s="106"/>
      <c r="BK106" s="106"/>
      <c r="BL106" s="106"/>
      <c r="BM106" s="106"/>
      <c r="BN106" s="106"/>
    </row>
    <row r="107" ht="29.25" hidden="1" customHeight="1">
      <c r="A107" s="15" t="s">
        <v>207</v>
      </c>
      <c r="B107" s="16" t="s">
        <v>699</v>
      </c>
      <c r="C107" s="108" t="s">
        <v>700</v>
      </c>
      <c r="D107" s="153"/>
      <c r="E107" s="97"/>
      <c r="F107" s="124" t="s">
        <v>701</v>
      </c>
      <c r="G107" s="98">
        <v>85.0</v>
      </c>
      <c r="H107" s="99"/>
      <c r="I107" s="100">
        <v>45870.0</v>
      </c>
      <c r="J107" s="101">
        <v>45870.0</v>
      </c>
      <c r="K107" s="101"/>
      <c r="L107" s="101">
        <v>45881.0</v>
      </c>
      <c r="M107" s="25">
        <f>IF(ISBLANK(L107), NETWORKDAYS(J107, TODAY(),Hoja2!$A$1:$A$18), NETWORKDAYS(J107, L107, Hoja2!$A$1:$A$18))</f>
        <v>8</v>
      </c>
      <c r="N107" s="100">
        <v>45881.0</v>
      </c>
      <c r="O107" s="102"/>
      <c r="P107" s="31" t="s">
        <v>702</v>
      </c>
      <c r="Q107" s="28" t="s">
        <v>71</v>
      </c>
      <c r="R107" s="103"/>
      <c r="S107" s="103"/>
      <c r="T107" s="104"/>
      <c r="U107" s="106"/>
      <c r="V107" s="106"/>
      <c r="W107" s="106"/>
      <c r="X107" s="106"/>
      <c r="Y107" s="106"/>
      <c r="Z107" s="106"/>
      <c r="AA107" s="106"/>
      <c r="AB107" s="106"/>
      <c r="AC107" s="106"/>
      <c r="AD107" s="106"/>
      <c r="AE107" s="106"/>
      <c r="AF107" s="106"/>
      <c r="AG107" s="106"/>
      <c r="AH107" s="106"/>
      <c r="AI107" s="106"/>
      <c r="AJ107" s="106"/>
      <c r="AK107" s="106"/>
      <c r="AL107" s="106"/>
      <c r="AM107" s="106"/>
      <c r="AN107" s="106"/>
      <c r="AO107" s="106"/>
      <c r="AP107" s="106"/>
      <c r="AQ107" s="106"/>
      <c r="AR107" s="106"/>
      <c r="AS107" s="106"/>
      <c r="AT107" s="106"/>
      <c r="AU107" s="106"/>
      <c r="AV107" s="106"/>
      <c r="AW107" s="106"/>
      <c r="AX107" s="106"/>
      <c r="AY107" s="106"/>
      <c r="AZ107" s="106"/>
      <c r="BA107" s="106"/>
      <c r="BB107" s="106"/>
      <c r="BC107" s="106"/>
      <c r="BD107" s="106"/>
      <c r="BE107" s="106"/>
      <c r="BF107" s="106"/>
      <c r="BG107" s="106"/>
      <c r="BH107" s="106"/>
      <c r="BI107" s="106"/>
      <c r="BJ107" s="106"/>
      <c r="BK107" s="106"/>
      <c r="BL107" s="106"/>
      <c r="BM107" s="106"/>
      <c r="BN107" s="34" t="s">
        <v>703</v>
      </c>
    </row>
    <row r="108" ht="29.25" hidden="1" customHeight="1">
      <c r="A108" s="15" t="s">
        <v>207</v>
      </c>
      <c r="B108" s="107" t="s">
        <v>704</v>
      </c>
      <c r="C108" s="108" t="s">
        <v>705</v>
      </c>
      <c r="D108" s="153"/>
      <c r="E108" s="97"/>
      <c r="F108" s="124" t="s">
        <v>75</v>
      </c>
      <c r="G108" s="98">
        <v>100.0</v>
      </c>
      <c r="H108" s="99"/>
      <c r="I108" s="100">
        <v>45917.0</v>
      </c>
      <c r="J108" s="101">
        <v>45918.0</v>
      </c>
      <c r="K108" s="101"/>
      <c r="L108" s="101">
        <v>45919.0</v>
      </c>
      <c r="M108" s="25">
        <f>IF(ISBLANK(L108), NETWORKDAYS(J108, TODAY(),Hoja2!$A$1:$A$18), NETWORKDAYS(J108, L108, Hoja2!$A$1:$A$18))</f>
        <v>2</v>
      </c>
      <c r="N108" s="100"/>
      <c r="O108" s="102"/>
      <c r="P108" s="31" t="s">
        <v>706</v>
      </c>
      <c r="Q108" s="28" t="s">
        <v>71</v>
      </c>
      <c r="R108" s="103"/>
      <c r="S108" s="103"/>
      <c r="T108" s="104"/>
      <c r="U108" s="106"/>
      <c r="V108" s="106"/>
      <c r="W108" s="106"/>
      <c r="X108" s="106"/>
      <c r="Y108" s="106"/>
      <c r="Z108" s="106"/>
      <c r="AA108" s="106"/>
      <c r="AB108" s="106"/>
      <c r="AC108" s="106"/>
      <c r="AD108" s="106"/>
      <c r="AE108" s="106"/>
      <c r="AF108" s="106"/>
      <c r="AG108" s="106"/>
      <c r="AH108" s="106"/>
      <c r="AI108" s="106"/>
      <c r="AJ108" s="106"/>
      <c r="AK108" s="106"/>
      <c r="AL108" s="106"/>
      <c r="AM108" s="106"/>
      <c r="AN108" s="106"/>
      <c r="AO108" s="106"/>
      <c r="AP108" s="106"/>
      <c r="AQ108" s="106"/>
      <c r="AR108" s="106"/>
      <c r="AS108" s="106"/>
      <c r="AT108" s="106"/>
      <c r="AU108" s="106"/>
      <c r="AV108" s="106"/>
      <c r="AW108" s="106"/>
      <c r="AX108" s="106"/>
      <c r="AY108" s="106"/>
      <c r="AZ108" s="106"/>
      <c r="BA108" s="106"/>
      <c r="BB108" s="106"/>
      <c r="BC108" s="106"/>
      <c r="BD108" s="106"/>
      <c r="BE108" s="106"/>
      <c r="BF108" s="106"/>
      <c r="BG108" s="106"/>
      <c r="BH108" s="106"/>
      <c r="BI108" s="106"/>
      <c r="BJ108" s="106"/>
      <c r="BK108" s="106"/>
      <c r="BL108" s="106"/>
      <c r="BM108" s="106"/>
      <c r="BN108" s="34"/>
    </row>
    <row r="109" ht="29.25" hidden="1" customHeight="1">
      <c r="A109" s="15" t="s">
        <v>207</v>
      </c>
      <c r="B109" s="107" t="s">
        <v>707</v>
      </c>
      <c r="C109" s="108" t="s">
        <v>708</v>
      </c>
      <c r="D109" s="153"/>
      <c r="E109" s="97"/>
      <c r="F109" s="124" t="s">
        <v>75</v>
      </c>
      <c r="G109" s="98">
        <v>100.0</v>
      </c>
      <c r="H109" s="99"/>
      <c r="I109" s="100">
        <v>45912.0</v>
      </c>
      <c r="J109" s="101">
        <v>45925.0</v>
      </c>
      <c r="K109" s="101"/>
      <c r="L109" s="101">
        <v>45992.0</v>
      </c>
      <c r="M109" s="25">
        <f>IF(ISBLANK(L109), NETWORKDAYS(J109, TODAY(),Hoja2!$A$1:$A$18), NETWORKDAYS(J109, L109, Hoja2!$A$1:$A$18))</f>
        <v>48</v>
      </c>
      <c r="N109" s="100"/>
      <c r="O109" s="102">
        <v>45992.0</v>
      </c>
      <c r="P109" s="31" t="s">
        <v>709</v>
      </c>
      <c r="Q109" s="28" t="s">
        <v>71</v>
      </c>
      <c r="R109" s="103"/>
      <c r="S109" s="103"/>
      <c r="T109" s="104"/>
      <c r="U109" s="106"/>
      <c r="V109" s="106"/>
      <c r="W109" s="106"/>
      <c r="X109" s="106"/>
      <c r="Y109" s="106"/>
      <c r="Z109" s="106"/>
      <c r="AA109" s="106"/>
      <c r="AB109" s="106"/>
      <c r="AC109" s="106"/>
      <c r="AD109" s="106"/>
      <c r="AE109" s="106"/>
      <c r="AF109" s="106"/>
      <c r="AG109" s="106"/>
      <c r="AH109" s="106"/>
      <c r="AI109" s="106"/>
      <c r="AJ109" s="106"/>
      <c r="AK109" s="106"/>
      <c r="AL109" s="106"/>
      <c r="AM109" s="106"/>
      <c r="AN109" s="106"/>
      <c r="AO109" s="106"/>
      <c r="AP109" s="106"/>
      <c r="AQ109" s="106"/>
      <c r="AR109" s="106"/>
      <c r="AS109" s="106"/>
      <c r="AT109" s="106"/>
      <c r="AU109" s="106"/>
      <c r="AV109" s="106"/>
      <c r="AW109" s="106"/>
      <c r="AX109" s="106"/>
      <c r="AY109" s="106"/>
      <c r="AZ109" s="106"/>
      <c r="BA109" s="106"/>
      <c r="BB109" s="106"/>
      <c r="BC109" s="106"/>
      <c r="BD109" s="106"/>
      <c r="BE109" s="106"/>
      <c r="BF109" s="106"/>
      <c r="BG109" s="106"/>
      <c r="BH109" s="106"/>
      <c r="BI109" s="106"/>
      <c r="BJ109" s="106"/>
      <c r="BK109" s="106"/>
      <c r="BL109" s="106"/>
      <c r="BM109" s="106"/>
      <c r="BN109" s="34"/>
    </row>
    <row r="110" ht="29.25" hidden="1" customHeight="1">
      <c r="A110" s="15" t="s">
        <v>207</v>
      </c>
      <c r="B110" s="107" t="s">
        <v>710</v>
      </c>
      <c r="C110" s="160" t="s">
        <v>711</v>
      </c>
      <c r="D110" s="153"/>
      <c r="E110" s="97"/>
      <c r="F110" s="124" t="s">
        <v>75</v>
      </c>
      <c r="G110" s="98">
        <v>100.0</v>
      </c>
      <c r="H110" s="99"/>
      <c r="I110" s="100">
        <v>45953.0</v>
      </c>
      <c r="J110" s="101">
        <v>45960.0</v>
      </c>
      <c r="K110" s="101"/>
      <c r="L110" s="101">
        <v>45971.0</v>
      </c>
      <c r="M110" s="25">
        <f>IF(ISBLANK(L110), NETWORKDAYS(J110, TODAY(),Hoja2!$A$1:$A$18), NETWORKDAYS(J110, L110, Hoja2!$A$1:$A$18))</f>
        <v>8</v>
      </c>
      <c r="N110" s="100"/>
      <c r="O110" s="102"/>
      <c r="P110" s="31" t="s">
        <v>712</v>
      </c>
      <c r="Q110" s="114" t="s">
        <v>71</v>
      </c>
      <c r="R110" s="103"/>
      <c r="S110" s="103"/>
      <c r="T110" s="104"/>
      <c r="U110" s="106"/>
      <c r="V110" s="106"/>
      <c r="W110" s="106"/>
      <c r="X110" s="106"/>
      <c r="Y110" s="106"/>
      <c r="Z110" s="106"/>
      <c r="AA110" s="106"/>
      <c r="AB110" s="106"/>
      <c r="AC110" s="106"/>
      <c r="AD110" s="106"/>
      <c r="AE110" s="106"/>
      <c r="AF110" s="106"/>
      <c r="AG110" s="106"/>
      <c r="AH110" s="106"/>
      <c r="AI110" s="106"/>
      <c r="AJ110" s="106"/>
      <c r="AK110" s="106"/>
      <c r="AL110" s="106"/>
      <c r="AM110" s="106"/>
      <c r="AN110" s="106"/>
      <c r="AO110" s="106"/>
      <c r="AP110" s="106"/>
      <c r="AQ110" s="106"/>
      <c r="AR110" s="106"/>
      <c r="AS110" s="106"/>
      <c r="AT110" s="106"/>
      <c r="AU110" s="106"/>
      <c r="AV110" s="106"/>
      <c r="AW110" s="106"/>
      <c r="AX110" s="106"/>
      <c r="AY110" s="106"/>
      <c r="AZ110" s="106"/>
      <c r="BA110" s="106"/>
      <c r="BB110" s="106"/>
      <c r="BC110" s="106"/>
      <c r="BD110" s="106"/>
      <c r="BE110" s="106"/>
      <c r="BF110" s="106"/>
      <c r="BG110" s="106"/>
      <c r="BH110" s="106"/>
      <c r="BI110" s="106"/>
      <c r="BJ110" s="106"/>
      <c r="BK110" s="106"/>
      <c r="BL110" s="106"/>
      <c r="BM110" s="106"/>
      <c r="BN110" s="34"/>
    </row>
    <row r="111" ht="29.25" hidden="1" customHeight="1">
      <c r="A111" s="15" t="s">
        <v>207</v>
      </c>
      <c r="B111" s="107" t="s">
        <v>713</v>
      </c>
      <c r="C111" s="108" t="s">
        <v>714</v>
      </c>
      <c r="D111" s="153"/>
      <c r="E111" s="97"/>
      <c r="F111" s="124" t="s">
        <v>75</v>
      </c>
      <c r="G111" s="98">
        <v>100.0</v>
      </c>
      <c r="H111" s="99"/>
      <c r="I111" s="100">
        <v>45958.0</v>
      </c>
      <c r="J111" s="101">
        <v>45959.0</v>
      </c>
      <c r="K111" s="101"/>
      <c r="L111" s="101">
        <v>45960.0</v>
      </c>
      <c r="M111" s="25">
        <f>IF(ISBLANK(L111), NETWORKDAYS(J111, TODAY(),Hoja2!$A$1:$A$18), NETWORKDAYS(J111, L111, Hoja2!$A$1:$A$18))</f>
        <v>2</v>
      </c>
      <c r="N111" s="100"/>
      <c r="O111" s="102"/>
      <c r="P111" s="31" t="s">
        <v>715</v>
      </c>
      <c r="Q111" s="114" t="s">
        <v>71</v>
      </c>
      <c r="R111" s="103"/>
      <c r="S111" s="103"/>
      <c r="T111" s="104"/>
      <c r="U111" s="106"/>
      <c r="V111" s="106"/>
      <c r="W111" s="106"/>
      <c r="X111" s="106"/>
      <c r="Y111" s="106"/>
      <c r="Z111" s="106"/>
      <c r="AA111" s="106"/>
      <c r="AB111" s="106"/>
      <c r="AC111" s="106"/>
      <c r="AD111" s="106"/>
      <c r="AE111" s="106"/>
      <c r="AF111" s="106"/>
      <c r="AG111" s="106"/>
      <c r="AH111" s="106"/>
      <c r="AI111" s="106"/>
      <c r="AJ111" s="106"/>
      <c r="AK111" s="106"/>
      <c r="AL111" s="106"/>
      <c r="AM111" s="106"/>
      <c r="AN111" s="106"/>
      <c r="AO111" s="106"/>
      <c r="AP111" s="106"/>
      <c r="AQ111" s="106"/>
      <c r="AR111" s="106"/>
      <c r="AS111" s="106"/>
      <c r="AT111" s="106"/>
      <c r="AU111" s="106"/>
      <c r="AV111" s="106"/>
      <c r="AW111" s="106"/>
      <c r="AX111" s="106"/>
      <c r="AY111" s="106"/>
      <c r="AZ111" s="106"/>
      <c r="BA111" s="106"/>
      <c r="BB111" s="106"/>
      <c r="BC111" s="106"/>
      <c r="BD111" s="106"/>
      <c r="BE111" s="106"/>
      <c r="BF111" s="106"/>
      <c r="BG111" s="106"/>
      <c r="BH111" s="106"/>
      <c r="BI111" s="106"/>
      <c r="BJ111" s="106"/>
      <c r="BK111" s="106"/>
      <c r="BL111" s="106"/>
      <c r="BM111" s="106"/>
      <c r="BN111" s="34"/>
    </row>
    <row r="112" ht="29.25" hidden="1" customHeight="1">
      <c r="A112" s="15" t="s">
        <v>207</v>
      </c>
      <c r="B112" s="107" t="s">
        <v>716</v>
      </c>
      <c r="C112" s="160" t="s">
        <v>717</v>
      </c>
      <c r="D112" s="153"/>
      <c r="E112" s="97"/>
      <c r="F112" s="124" t="s">
        <v>75</v>
      </c>
      <c r="G112" s="98">
        <v>100.0</v>
      </c>
      <c r="H112" s="99"/>
      <c r="I112" s="100">
        <v>45954.0</v>
      </c>
      <c r="J112" s="101">
        <v>45992.0</v>
      </c>
      <c r="K112" s="101"/>
      <c r="L112" s="101">
        <v>45992.0</v>
      </c>
      <c r="M112" s="25">
        <f>IF(ISBLANK(L112), NETWORKDAYS(J112, TODAY(),Hoja2!$A$1:$A$18), NETWORKDAYS(J112, L112, Hoja2!$A$1:$A$18))</f>
        <v>1</v>
      </c>
      <c r="N112" s="100"/>
      <c r="O112" s="102"/>
      <c r="P112" s="31" t="s">
        <v>718</v>
      </c>
      <c r="Q112" s="114" t="s">
        <v>71</v>
      </c>
      <c r="R112" s="103"/>
      <c r="S112" s="103"/>
      <c r="T112" s="104"/>
      <c r="U112" s="106"/>
      <c r="V112" s="106"/>
      <c r="W112" s="106"/>
      <c r="X112" s="106"/>
      <c r="Y112" s="106"/>
      <c r="Z112" s="106"/>
      <c r="AA112" s="106"/>
      <c r="AB112" s="106"/>
      <c r="AC112" s="106"/>
      <c r="AD112" s="106"/>
      <c r="AE112" s="106"/>
      <c r="AF112" s="106"/>
      <c r="AG112" s="106"/>
      <c r="AH112" s="106"/>
      <c r="AI112" s="106"/>
      <c r="AJ112" s="106"/>
      <c r="AK112" s="106"/>
      <c r="AL112" s="106"/>
      <c r="AM112" s="106"/>
      <c r="AN112" s="106"/>
      <c r="AO112" s="106"/>
      <c r="AP112" s="106"/>
      <c r="AQ112" s="106"/>
      <c r="AR112" s="106"/>
      <c r="AS112" s="106"/>
      <c r="AT112" s="106"/>
      <c r="AU112" s="106"/>
      <c r="AV112" s="106"/>
      <c r="AW112" s="106"/>
      <c r="AX112" s="106"/>
      <c r="AY112" s="106"/>
      <c r="AZ112" s="106"/>
      <c r="BA112" s="106"/>
      <c r="BB112" s="106"/>
      <c r="BC112" s="106"/>
      <c r="BD112" s="106"/>
      <c r="BE112" s="106"/>
      <c r="BF112" s="106"/>
      <c r="BG112" s="106"/>
      <c r="BH112" s="106"/>
      <c r="BI112" s="106"/>
      <c r="BJ112" s="106"/>
      <c r="BK112" s="106"/>
      <c r="BL112" s="106"/>
      <c r="BM112" s="106"/>
      <c r="BN112" s="34"/>
    </row>
    <row r="113" ht="29.25" hidden="1" customHeight="1">
      <c r="A113" s="15" t="s">
        <v>207</v>
      </c>
      <c r="B113" s="107" t="s">
        <v>719</v>
      </c>
      <c r="C113" s="111" t="s">
        <v>720</v>
      </c>
      <c r="D113" s="153" t="s">
        <v>721</v>
      </c>
      <c r="E113" s="97"/>
      <c r="F113" s="124" t="s">
        <v>75</v>
      </c>
      <c r="G113" s="98">
        <v>100.0</v>
      </c>
      <c r="H113" s="99"/>
      <c r="I113" s="100">
        <v>45972.0</v>
      </c>
      <c r="J113" s="101">
        <v>45974.0</v>
      </c>
      <c r="K113" s="101"/>
      <c r="L113" s="101">
        <v>45980.0</v>
      </c>
      <c r="M113" s="25">
        <f>IF(ISBLANK(L113), NETWORKDAYS(J113, TODAY(),Hoja2!$A$1:$A$18), NETWORKDAYS(J113, L113, Hoja2!$A$1:$A$18))</f>
        <v>5</v>
      </c>
      <c r="N113" s="100"/>
      <c r="O113" s="102"/>
      <c r="P113" s="31" t="s">
        <v>722</v>
      </c>
      <c r="Q113" s="114" t="s">
        <v>71</v>
      </c>
      <c r="R113" s="103"/>
      <c r="S113" s="103"/>
      <c r="T113" s="104"/>
      <c r="U113" s="106"/>
      <c r="V113" s="106"/>
      <c r="W113" s="106"/>
      <c r="X113" s="106"/>
      <c r="Y113" s="106"/>
      <c r="Z113" s="106"/>
      <c r="AA113" s="106"/>
      <c r="AB113" s="106"/>
      <c r="AC113" s="106"/>
      <c r="AD113" s="106"/>
      <c r="AE113" s="106"/>
      <c r="AF113" s="106"/>
      <c r="AG113" s="106"/>
      <c r="AH113" s="106"/>
      <c r="AI113" s="106"/>
      <c r="AJ113" s="106"/>
      <c r="AK113" s="106"/>
      <c r="AL113" s="106"/>
      <c r="AM113" s="106"/>
      <c r="AN113" s="106"/>
      <c r="AO113" s="106"/>
      <c r="AP113" s="106"/>
      <c r="AQ113" s="106"/>
      <c r="AR113" s="106"/>
      <c r="AS113" s="106"/>
      <c r="AT113" s="106"/>
      <c r="AU113" s="106"/>
      <c r="AV113" s="106"/>
      <c r="AW113" s="106"/>
      <c r="AX113" s="106"/>
      <c r="AY113" s="106"/>
      <c r="AZ113" s="106"/>
      <c r="BA113" s="106"/>
      <c r="BB113" s="106"/>
      <c r="BC113" s="106"/>
      <c r="BD113" s="106"/>
      <c r="BE113" s="106"/>
      <c r="BF113" s="106"/>
      <c r="BG113" s="106"/>
      <c r="BH113" s="106"/>
      <c r="BI113" s="106"/>
      <c r="BJ113" s="106"/>
      <c r="BK113" s="106"/>
      <c r="BL113" s="106"/>
      <c r="BM113" s="106"/>
      <c r="BN113" s="34"/>
    </row>
    <row r="114" ht="29.25" hidden="1" customHeight="1">
      <c r="A114" s="15" t="s">
        <v>207</v>
      </c>
      <c r="B114" s="177" t="s">
        <v>723</v>
      </c>
      <c r="C114" s="108" t="s">
        <v>724</v>
      </c>
      <c r="D114" s="153"/>
      <c r="E114" s="97"/>
      <c r="F114" s="124" t="s">
        <v>75</v>
      </c>
      <c r="G114" s="98">
        <v>100.0</v>
      </c>
      <c r="H114" s="99"/>
      <c r="I114" s="100">
        <v>45937.0</v>
      </c>
      <c r="J114" s="101">
        <v>45937.0</v>
      </c>
      <c r="K114" s="101"/>
      <c r="L114" s="101"/>
      <c r="M114" s="25">
        <f>IF(ISBLANK(L114), NETWORKDAYS(J114, TODAY(),Hoja2!$A$1:$A$18), NETWORKDAYS(J114, L114, Hoja2!$A$1:$A$18))</f>
        <v>53</v>
      </c>
      <c r="N114" s="100"/>
      <c r="O114" s="102"/>
      <c r="P114" s="31" t="s">
        <v>725</v>
      </c>
      <c r="Q114" s="28" t="s">
        <v>71</v>
      </c>
      <c r="R114" s="103"/>
      <c r="S114" s="103"/>
      <c r="T114" s="104"/>
      <c r="U114" s="106"/>
      <c r="V114" s="106"/>
      <c r="W114" s="106"/>
      <c r="X114" s="106"/>
      <c r="Y114" s="106"/>
      <c r="Z114" s="106"/>
      <c r="AA114" s="106"/>
      <c r="AB114" s="106"/>
      <c r="AC114" s="106"/>
      <c r="AD114" s="106"/>
      <c r="AE114" s="106"/>
      <c r="AF114" s="106"/>
      <c r="AG114" s="106"/>
      <c r="AH114" s="106"/>
      <c r="AI114" s="106"/>
      <c r="AJ114" s="106"/>
      <c r="AK114" s="106"/>
      <c r="AL114" s="106"/>
      <c r="AM114" s="106"/>
      <c r="AN114" s="106"/>
      <c r="AO114" s="106"/>
      <c r="AP114" s="106"/>
      <c r="AQ114" s="106"/>
      <c r="AR114" s="106"/>
      <c r="AS114" s="106"/>
      <c r="AT114" s="106"/>
      <c r="AU114" s="106"/>
      <c r="AV114" s="106"/>
      <c r="AW114" s="106"/>
      <c r="AX114" s="106"/>
      <c r="AY114" s="106"/>
      <c r="AZ114" s="106"/>
      <c r="BA114" s="106"/>
      <c r="BB114" s="106"/>
      <c r="BC114" s="106"/>
      <c r="BD114" s="106"/>
      <c r="BE114" s="106"/>
      <c r="BF114" s="106"/>
      <c r="BG114" s="106"/>
      <c r="BH114" s="106"/>
      <c r="BI114" s="106"/>
      <c r="BJ114" s="106"/>
      <c r="BK114" s="106"/>
      <c r="BL114" s="106"/>
      <c r="BM114" s="106"/>
      <c r="BN114" s="34"/>
    </row>
    <row r="115" ht="29.25" hidden="1" customHeight="1">
      <c r="A115" s="15" t="s">
        <v>207</v>
      </c>
      <c r="B115" s="177" t="s">
        <v>726</v>
      </c>
      <c r="C115" s="108" t="s">
        <v>727</v>
      </c>
      <c r="D115" s="153"/>
      <c r="E115" s="97"/>
      <c r="F115" s="124" t="s">
        <v>75</v>
      </c>
      <c r="G115" s="98">
        <v>100.0</v>
      </c>
      <c r="H115" s="99"/>
      <c r="I115" s="100">
        <v>45945.0</v>
      </c>
      <c r="J115" s="101">
        <v>45945.0</v>
      </c>
      <c r="K115" s="101"/>
      <c r="L115" s="101">
        <v>45945.0</v>
      </c>
      <c r="M115" s="25">
        <f>IF(ISBLANK(L115), NETWORKDAYS(J115, TODAY(),Hoja2!$A$1:$A$18), NETWORKDAYS(J115, L115, Hoja2!$A$1:$A$18))</f>
        <v>1</v>
      </c>
      <c r="N115" s="100"/>
      <c r="O115" s="102"/>
      <c r="P115" s="31"/>
      <c r="Q115" s="28" t="s">
        <v>71</v>
      </c>
      <c r="R115" s="103"/>
      <c r="S115" s="103"/>
      <c r="T115" s="104"/>
      <c r="U115" s="106"/>
      <c r="V115" s="106"/>
      <c r="W115" s="106"/>
      <c r="X115" s="106"/>
      <c r="Y115" s="106"/>
      <c r="Z115" s="106"/>
      <c r="AA115" s="106"/>
      <c r="AB115" s="106"/>
      <c r="AC115" s="106"/>
      <c r="AD115" s="106"/>
      <c r="AE115" s="106"/>
      <c r="AF115" s="106"/>
      <c r="AG115" s="106"/>
      <c r="AH115" s="106"/>
      <c r="AI115" s="106"/>
      <c r="AJ115" s="106"/>
      <c r="AK115" s="106"/>
      <c r="AL115" s="106"/>
      <c r="AM115" s="106"/>
      <c r="AN115" s="106"/>
      <c r="AO115" s="106"/>
      <c r="AP115" s="106"/>
      <c r="AQ115" s="106"/>
      <c r="AR115" s="106"/>
      <c r="AS115" s="106"/>
      <c r="AT115" s="106"/>
      <c r="AU115" s="106"/>
      <c r="AV115" s="106"/>
      <c r="AW115" s="106"/>
      <c r="AX115" s="106"/>
      <c r="AY115" s="106"/>
      <c r="AZ115" s="106"/>
      <c r="BA115" s="106"/>
      <c r="BB115" s="106"/>
      <c r="BC115" s="106"/>
      <c r="BD115" s="106"/>
      <c r="BE115" s="106"/>
      <c r="BF115" s="106"/>
      <c r="BG115" s="106"/>
      <c r="BH115" s="106"/>
      <c r="BI115" s="106"/>
      <c r="BJ115" s="106"/>
      <c r="BK115" s="106"/>
      <c r="BL115" s="106"/>
      <c r="BM115" s="106"/>
      <c r="BN115" s="34"/>
    </row>
    <row r="116" ht="29.25" hidden="1" customHeight="1">
      <c r="A116" s="53" t="s">
        <v>126</v>
      </c>
      <c r="B116" s="16" t="s">
        <v>728</v>
      </c>
      <c r="C116" s="108" t="s">
        <v>729</v>
      </c>
      <c r="D116" s="96"/>
      <c r="E116" s="97"/>
      <c r="F116" s="124" t="s">
        <v>75</v>
      </c>
      <c r="G116" s="98">
        <v>100.0</v>
      </c>
      <c r="H116" s="99"/>
      <c r="I116" s="100">
        <v>45869.0</v>
      </c>
      <c r="J116" s="101">
        <v>45869.0</v>
      </c>
      <c r="K116" s="101"/>
      <c r="L116" s="101">
        <v>45870.0</v>
      </c>
      <c r="M116" s="25">
        <f>IF(ISBLANK(L116), NETWORKDAYS(J116, TODAY(),Hoja2!$A$1:$A$18), NETWORKDAYS(J116, L116, Hoja2!$A$1:$A$18))</f>
        <v>2</v>
      </c>
      <c r="N116" s="100"/>
      <c r="O116" s="102"/>
      <c r="P116" s="31" t="s">
        <v>730</v>
      </c>
      <c r="Q116" s="28" t="s">
        <v>71</v>
      </c>
      <c r="R116" s="103"/>
      <c r="S116" s="103"/>
      <c r="T116" s="104"/>
      <c r="U116" s="106"/>
      <c r="V116" s="106"/>
      <c r="W116" s="106"/>
      <c r="X116" s="106"/>
      <c r="Y116" s="106"/>
      <c r="Z116" s="106"/>
      <c r="AA116" s="106"/>
      <c r="AB116" s="106"/>
      <c r="AC116" s="106"/>
      <c r="AD116" s="106"/>
      <c r="AE116" s="106"/>
      <c r="AF116" s="106"/>
      <c r="AG116" s="106"/>
      <c r="AH116" s="106"/>
      <c r="AI116" s="106"/>
      <c r="AJ116" s="106"/>
      <c r="AK116" s="106"/>
      <c r="AL116" s="106"/>
      <c r="AM116" s="106"/>
      <c r="AN116" s="106"/>
      <c r="AO116" s="106"/>
      <c r="AP116" s="106"/>
      <c r="AQ116" s="106"/>
      <c r="AR116" s="106"/>
      <c r="AS116" s="106"/>
      <c r="AT116" s="106"/>
      <c r="AU116" s="106"/>
      <c r="AV116" s="106"/>
      <c r="AW116" s="106"/>
      <c r="AX116" s="106"/>
      <c r="AY116" s="106"/>
      <c r="AZ116" s="106"/>
      <c r="BA116" s="106"/>
      <c r="BB116" s="106"/>
      <c r="BC116" s="106"/>
      <c r="BD116" s="106"/>
      <c r="BE116" s="106"/>
      <c r="BF116" s="106"/>
      <c r="BG116" s="106"/>
      <c r="BH116" s="106"/>
      <c r="BI116" s="106"/>
      <c r="BJ116" s="106"/>
      <c r="BK116" s="106"/>
      <c r="BL116" s="106"/>
      <c r="BM116" s="106"/>
      <c r="BN116" s="106"/>
    </row>
    <row r="117" ht="29.25" hidden="1" customHeight="1">
      <c r="A117" s="53" t="s">
        <v>126</v>
      </c>
      <c r="B117" s="16" t="s">
        <v>731</v>
      </c>
      <c r="C117" s="108" t="s">
        <v>732</v>
      </c>
      <c r="D117" s="153"/>
      <c r="E117" s="97"/>
      <c r="F117" s="124" t="s">
        <v>75</v>
      </c>
      <c r="G117" s="98">
        <v>100.0</v>
      </c>
      <c r="H117" s="99"/>
      <c r="I117" s="100">
        <v>45870.0</v>
      </c>
      <c r="J117" s="101">
        <v>45873.0</v>
      </c>
      <c r="K117" s="101"/>
      <c r="L117" s="101">
        <v>45873.0</v>
      </c>
      <c r="M117" s="25">
        <f>IF(ISBLANK(L117), NETWORKDAYS(J117, TODAY(),Hoja2!$A$1:$A$18), NETWORKDAYS(J117, L117, Hoja2!$A$1:$A$18))</f>
        <v>1</v>
      </c>
      <c r="N117" s="100">
        <v>45873.0</v>
      </c>
      <c r="O117" s="102">
        <v>45873.0</v>
      </c>
      <c r="P117" s="31" t="s">
        <v>733</v>
      </c>
      <c r="Q117" s="28" t="s">
        <v>71</v>
      </c>
      <c r="R117" s="103"/>
      <c r="S117" s="103"/>
      <c r="T117" s="104"/>
      <c r="U117" s="106"/>
      <c r="V117" s="106"/>
      <c r="W117" s="106"/>
      <c r="X117" s="106"/>
      <c r="Y117" s="106"/>
      <c r="Z117" s="106"/>
      <c r="AA117" s="106"/>
      <c r="AB117" s="106"/>
      <c r="AC117" s="106"/>
      <c r="AD117" s="106"/>
      <c r="AE117" s="106"/>
      <c r="AF117" s="106"/>
      <c r="AG117" s="106"/>
      <c r="AH117" s="106"/>
      <c r="AI117" s="106"/>
      <c r="AJ117" s="106"/>
      <c r="AK117" s="106"/>
      <c r="AL117" s="106"/>
      <c r="AM117" s="106"/>
      <c r="AN117" s="106"/>
      <c r="AO117" s="106"/>
      <c r="AP117" s="106"/>
      <c r="AQ117" s="106"/>
      <c r="AR117" s="106"/>
      <c r="AS117" s="106"/>
      <c r="AT117" s="106"/>
      <c r="AU117" s="106"/>
      <c r="AV117" s="106"/>
      <c r="AW117" s="106"/>
      <c r="AX117" s="106"/>
      <c r="AY117" s="106"/>
      <c r="AZ117" s="106"/>
      <c r="BA117" s="106"/>
      <c r="BB117" s="106"/>
      <c r="BC117" s="106"/>
      <c r="BD117" s="106"/>
      <c r="BE117" s="106"/>
      <c r="BF117" s="106"/>
      <c r="BG117" s="106"/>
      <c r="BH117" s="106"/>
      <c r="BI117" s="106"/>
      <c r="BJ117" s="106"/>
      <c r="BK117" s="106"/>
      <c r="BL117" s="106"/>
      <c r="BM117" s="106"/>
      <c r="BN117" s="34" t="s">
        <v>734</v>
      </c>
    </row>
    <row r="118" ht="29.25" hidden="1" customHeight="1">
      <c r="A118" s="53" t="s">
        <v>126</v>
      </c>
      <c r="B118" s="16" t="s">
        <v>735</v>
      </c>
      <c r="C118" s="108" t="s">
        <v>736</v>
      </c>
      <c r="D118" s="96"/>
      <c r="E118" s="97"/>
      <c r="F118" s="124" t="s">
        <v>75</v>
      </c>
      <c r="G118" s="98">
        <v>100.0</v>
      </c>
      <c r="H118" s="99"/>
      <c r="I118" s="100">
        <v>45870.0</v>
      </c>
      <c r="J118" s="101">
        <v>45874.0</v>
      </c>
      <c r="K118" s="101"/>
      <c r="L118" s="101">
        <v>45875.0</v>
      </c>
      <c r="M118" s="25">
        <f>IF(ISBLANK(L118), NETWORKDAYS(J118, TODAY(),Hoja2!$A$1:$A$18), NETWORKDAYS(J118, L118, Hoja2!$A$1:$A$18))</f>
        <v>2</v>
      </c>
      <c r="N118" s="178">
        <v>45875.0</v>
      </c>
      <c r="O118" s="102">
        <v>45883.0</v>
      </c>
      <c r="P118" s="31" t="s">
        <v>737</v>
      </c>
      <c r="Q118" s="28" t="s">
        <v>71</v>
      </c>
      <c r="R118" s="83"/>
      <c r="S118" s="83" t="s">
        <v>738</v>
      </c>
      <c r="T118" s="124" t="s">
        <v>739</v>
      </c>
      <c r="U118" s="106"/>
      <c r="V118" s="106"/>
      <c r="W118" s="106"/>
      <c r="X118" s="106"/>
      <c r="Y118" s="106"/>
      <c r="Z118" s="106"/>
      <c r="AA118" s="106"/>
      <c r="AB118" s="106"/>
      <c r="AC118" s="106"/>
      <c r="AD118" s="106"/>
      <c r="AE118" s="106"/>
      <c r="AF118" s="106"/>
      <c r="AG118" s="106"/>
      <c r="AH118" s="106"/>
      <c r="AI118" s="106"/>
      <c r="AJ118" s="106"/>
      <c r="AK118" s="106"/>
      <c r="AL118" s="106"/>
      <c r="AM118" s="106"/>
      <c r="AN118" s="106"/>
      <c r="AO118" s="106"/>
      <c r="AP118" s="106"/>
      <c r="AQ118" s="106"/>
      <c r="AR118" s="106"/>
      <c r="AS118" s="106"/>
      <c r="AT118" s="106"/>
      <c r="AU118" s="106"/>
      <c r="AV118" s="106"/>
      <c r="AW118" s="106"/>
      <c r="AX118" s="106"/>
      <c r="AY118" s="106"/>
      <c r="AZ118" s="106"/>
      <c r="BA118" s="106"/>
      <c r="BB118" s="106"/>
      <c r="BC118" s="106"/>
      <c r="BD118" s="106"/>
      <c r="BE118" s="106"/>
      <c r="BF118" s="106"/>
      <c r="BG118" s="106"/>
      <c r="BH118" s="106"/>
      <c r="BI118" s="106"/>
      <c r="BJ118" s="106"/>
      <c r="BK118" s="106"/>
      <c r="BL118" s="106"/>
      <c r="BM118" s="106"/>
      <c r="BN118" s="34" t="s">
        <v>740</v>
      </c>
    </row>
    <row r="119" ht="29.25" hidden="1" customHeight="1">
      <c r="A119" s="53" t="s">
        <v>126</v>
      </c>
      <c r="B119" s="16" t="s">
        <v>741</v>
      </c>
      <c r="C119" s="108" t="s">
        <v>742</v>
      </c>
      <c r="D119" s="96" t="s">
        <v>743</v>
      </c>
      <c r="E119" s="97"/>
      <c r="F119" s="19" t="s">
        <v>75</v>
      </c>
      <c r="G119" s="98">
        <v>100.0</v>
      </c>
      <c r="H119" s="99"/>
      <c r="I119" s="100">
        <v>45870.0</v>
      </c>
      <c r="J119" s="101">
        <v>45890.0</v>
      </c>
      <c r="K119" s="101"/>
      <c r="L119" s="101">
        <v>45916.0</v>
      </c>
      <c r="M119" s="25">
        <f>IF(ISBLANK(L119), NETWORKDAYS(J126, TODAY(),Hoja2!$A$1:$A$18), NETWORKDAYS(J126, L119, Hoja2!$A$1:$A$18))</f>
        <v>30</v>
      </c>
      <c r="N119" s="100"/>
      <c r="O119" s="102"/>
      <c r="P119" s="31" t="s">
        <v>744</v>
      </c>
      <c r="Q119" s="28" t="s">
        <v>71</v>
      </c>
      <c r="R119" s="103"/>
      <c r="S119" s="103"/>
      <c r="T119" s="104"/>
      <c r="U119" s="106"/>
      <c r="V119" s="106"/>
      <c r="W119" s="106"/>
      <c r="X119" s="106"/>
      <c r="Y119" s="106"/>
      <c r="Z119" s="106"/>
      <c r="AA119" s="106"/>
      <c r="AB119" s="106"/>
      <c r="AC119" s="106"/>
      <c r="AD119" s="106"/>
      <c r="AE119" s="106"/>
      <c r="AF119" s="106"/>
      <c r="AG119" s="106"/>
      <c r="AH119" s="106"/>
      <c r="AI119" s="106"/>
      <c r="AJ119" s="106"/>
      <c r="AK119" s="106"/>
      <c r="AL119" s="106"/>
      <c r="AM119" s="106"/>
      <c r="AN119" s="106"/>
      <c r="AO119" s="106"/>
      <c r="AP119" s="106"/>
      <c r="AQ119" s="106"/>
      <c r="AR119" s="106"/>
      <c r="AS119" s="106"/>
      <c r="AT119" s="106"/>
      <c r="AU119" s="106"/>
      <c r="AV119" s="106"/>
      <c r="AW119" s="106"/>
      <c r="AX119" s="106"/>
      <c r="AY119" s="106"/>
      <c r="AZ119" s="106"/>
      <c r="BA119" s="106"/>
      <c r="BB119" s="106"/>
      <c r="BC119" s="106"/>
      <c r="BD119" s="106"/>
      <c r="BE119" s="106"/>
      <c r="BF119" s="106"/>
      <c r="BG119" s="106"/>
      <c r="BH119" s="106"/>
      <c r="BI119" s="106"/>
      <c r="BJ119" s="106"/>
      <c r="BK119" s="106"/>
      <c r="BL119" s="106"/>
      <c r="BM119" s="106"/>
      <c r="BN119" s="106"/>
    </row>
    <row r="120" ht="29.25" hidden="1" customHeight="1">
      <c r="A120" s="53" t="s">
        <v>126</v>
      </c>
      <c r="B120" s="16" t="s">
        <v>745</v>
      </c>
      <c r="C120" s="108" t="s">
        <v>746</v>
      </c>
      <c r="D120" s="96"/>
      <c r="E120" s="97"/>
      <c r="F120" s="124" t="s">
        <v>75</v>
      </c>
      <c r="G120" s="98">
        <v>100.0</v>
      </c>
      <c r="H120" s="99"/>
      <c r="I120" s="100">
        <v>45870.0</v>
      </c>
      <c r="J120" s="101">
        <v>45917.0</v>
      </c>
      <c r="K120" s="101"/>
      <c r="L120" s="101">
        <v>45918.0</v>
      </c>
      <c r="M120" s="25">
        <f>IF(ISBLANK(L120), NETWORKDAYS(J120, TODAY(),Hoja2!$A$1:$A$18), NETWORKDAYS(J120, L120, Hoja2!$A$1:$A$18))</f>
        <v>2</v>
      </c>
      <c r="N120" s="100">
        <v>45918.0</v>
      </c>
      <c r="O120" s="102"/>
      <c r="P120" s="31" t="s">
        <v>747</v>
      </c>
      <c r="Q120" s="114" t="s">
        <v>71</v>
      </c>
      <c r="R120" s="103"/>
      <c r="S120" s="103"/>
      <c r="T120" s="104"/>
      <c r="U120" s="106"/>
      <c r="V120" s="106"/>
      <c r="W120" s="106"/>
      <c r="X120" s="106"/>
      <c r="Y120" s="106"/>
      <c r="Z120" s="106"/>
      <c r="AA120" s="106"/>
      <c r="AB120" s="106"/>
      <c r="AC120" s="106"/>
      <c r="AD120" s="106"/>
      <c r="AE120" s="106"/>
      <c r="AF120" s="106"/>
      <c r="AG120" s="106"/>
      <c r="AH120" s="106"/>
      <c r="AI120" s="106"/>
      <c r="AJ120" s="106"/>
      <c r="AK120" s="106"/>
      <c r="AL120" s="106"/>
      <c r="AM120" s="106"/>
      <c r="AN120" s="106"/>
      <c r="AO120" s="106"/>
      <c r="AP120" s="106"/>
      <c r="AQ120" s="106"/>
      <c r="AR120" s="106"/>
      <c r="AS120" s="106"/>
      <c r="AT120" s="106"/>
      <c r="AU120" s="106"/>
      <c r="AV120" s="106"/>
      <c r="AW120" s="106"/>
      <c r="AX120" s="106"/>
      <c r="AY120" s="106"/>
      <c r="AZ120" s="106"/>
      <c r="BA120" s="106"/>
      <c r="BB120" s="106"/>
      <c r="BC120" s="106"/>
      <c r="BD120" s="106"/>
      <c r="BE120" s="106"/>
      <c r="BF120" s="106"/>
      <c r="BG120" s="106"/>
      <c r="BH120" s="106"/>
      <c r="BI120" s="106"/>
      <c r="BJ120" s="106"/>
      <c r="BK120" s="106"/>
      <c r="BL120" s="106"/>
      <c r="BM120" s="106"/>
      <c r="BN120" s="106"/>
    </row>
    <row r="121" ht="29.25" hidden="1" customHeight="1">
      <c r="A121" s="53" t="s">
        <v>126</v>
      </c>
      <c r="B121" s="107" t="s">
        <v>748</v>
      </c>
      <c r="C121" s="108" t="s">
        <v>749</v>
      </c>
      <c r="D121" s="96"/>
      <c r="E121" s="97"/>
      <c r="F121" s="124" t="s">
        <v>75</v>
      </c>
      <c r="G121" s="98">
        <v>100.0</v>
      </c>
      <c r="H121" s="99"/>
      <c r="I121" s="100">
        <v>45904.0</v>
      </c>
      <c r="J121" s="101">
        <v>45904.0</v>
      </c>
      <c r="K121" s="101"/>
      <c r="L121" s="101">
        <v>45904.0</v>
      </c>
      <c r="M121" s="25">
        <f>IF(ISBLANK(L121), NETWORKDAYS(J121, TODAY(),Hoja2!$A$1:$A$18), NETWORKDAYS(J121, L121, Hoja2!$A$1:$A$18))</f>
        <v>1</v>
      </c>
      <c r="N121" s="100"/>
      <c r="O121" s="102"/>
      <c r="P121" s="31" t="s">
        <v>750</v>
      </c>
      <c r="Q121" s="114" t="s">
        <v>71</v>
      </c>
      <c r="R121" s="103"/>
      <c r="S121" s="103"/>
      <c r="T121" s="104"/>
      <c r="U121" s="106"/>
      <c r="V121" s="106"/>
      <c r="W121" s="106"/>
      <c r="X121" s="106"/>
      <c r="Y121" s="106"/>
      <c r="Z121" s="106"/>
      <c r="AA121" s="106"/>
      <c r="AB121" s="106"/>
      <c r="AC121" s="106"/>
      <c r="AD121" s="106"/>
      <c r="AE121" s="106"/>
      <c r="AF121" s="106"/>
      <c r="AG121" s="106"/>
      <c r="AH121" s="106"/>
      <c r="AI121" s="106"/>
      <c r="AJ121" s="106"/>
      <c r="AK121" s="106"/>
      <c r="AL121" s="106"/>
      <c r="AM121" s="106"/>
      <c r="AN121" s="106"/>
      <c r="AO121" s="106"/>
      <c r="AP121" s="106"/>
      <c r="AQ121" s="106"/>
      <c r="AR121" s="106"/>
      <c r="AS121" s="106"/>
      <c r="AT121" s="106"/>
      <c r="AU121" s="106"/>
      <c r="AV121" s="106"/>
      <c r="AW121" s="106"/>
      <c r="AX121" s="106"/>
      <c r="AY121" s="106"/>
      <c r="AZ121" s="106"/>
      <c r="BA121" s="106"/>
      <c r="BB121" s="106"/>
      <c r="BC121" s="106"/>
      <c r="BD121" s="106"/>
      <c r="BE121" s="106"/>
      <c r="BF121" s="106"/>
      <c r="BG121" s="106"/>
      <c r="BH121" s="106"/>
      <c r="BI121" s="106"/>
      <c r="BJ121" s="106"/>
      <c r="BK121" s="106"/>
      <c r="BL121" s="106"/>
      <c r="BM121" s="106"/>
      <c r="BN121" s="106"/>
    </row>
    <row r="122" ht="29.25" hidden="1" customHeight="1">
      <c r="A122" s="15" t="s">
        <v>66</v>
      </c>
      <c r="B122" s="16" t="s">
        <v>751</v>
      </c>
      <c r="C122" s="108" t="s">
        <v>752</v>
      </c>
      <c r="D122" s="96"/>
      <c r="E122" s="97"/>
      <c r="F122" s="124" t="s">
        <v>75</v>
      </c>
      <c r="G122" s="98">
        <v>100.0</v>
      </c>
      <c r="H122" s="99"/>
      <c r="I122" s="100">
        <v>45870.0</v>
      </c>
      <c r="J122" s="101">
        <v>45870.0</v>
      </c>
      <c r="K122" s="101"/>
      <c r="L122" s="101">
        <v>45870.0</v>
      </c>
      <c r="M122" s="25">
        <f>IF(ISBLANK(L122), NETWORKDAYS(J122, TODAY(),Hoja2!$A$1:$A$18), NETWORKDAYS(J122, L122, Hoja2!$A$1:$A$18))</f>
        <v>1</v>
      </c>
      <c r="N122" s="100"/>
      <c r="O122" s="102"/>
      <c r="P122" s="31" t="s">
        <v>753</v>
      </c>
      <c r="Q122" s="28" t="s">
        <v>71</v>
      </c>
      <c r="R122" s="103"/>
      <c r="S122" s="103"/>
      <c r="T122" s="104"/>
      <c r="U122" s="106"/>
      <c r="V122" s="106"/>
      <c r="W122" s="106"/>
      <c r="X122" s="106"/>
      <c r="Y122" s="106"/>
      <c r="Z122" s="106"/>
      <c r="AA122" s="106"/>
      <c r="AB122" s="106"/>
      <c r="AC122" s="106"/>
      <c r="AD122" s="106"/>
      <c r="AE122" s="106"/>
      <c r="AF122" s="106"/>
      <c r="AG122" s="106"/>
      <c r="AH122" s="106"/>
      <c r="AI122" s="106"/>
      <c r="AJ122" s="106"/>
      <c r="AK122" s="106"/>
      <c r="AL122" s="106"/>
      <c r="AM122" s="106"/>
      <c r="AN122" s="106"/>
      <c r="AO122" s="106"/>
      <c r="AP122" s="106"/>
      <c r="AQ122" s="106"/>
      <c r="AR122" s="106"/>
      <c r="AS122" s="106"/>
      <c r="AT122" s="106"/>
      <c r="AU122" s="106"/>
      <c r="AV122" s="106"/>
      <c r="AW122" s="106"/>
      <c r="AX122" s="106"/>
      <c r="AY122" s="106"/>
      <c r="AZ122" s="106"/>
      <c r="BA122" s="106"/>
      <c r="BB122" s="106"/>
      <c r="BC122" s="106"/>
      <c r="BD122" s="106"/>
      <c r="BE122" s="106"/>
      <c r="BF122" s="106"/>
      <c r="BG122" s="106"/>
      <c r="BH122" s="106"/>
      <c r="BI122" s="106"/>
      <c r="BJ122" s="106"/>
      <c r="BK122" s="106"/>
      <c r="BL122" s="106"/>
      <c r="BM122" s="106"/>
      <c r="BN122" s="106"/>
    </row>
    <row r="123" ht="29.25" hidden="1" customHeight="1">
      <c r="A123" s="15" t="s">
        <v>66</v>
      </c>
      <c r="B123" s="16" t="s">
        <v>754</v>
      </c>
      <c r="C123" s="108" t="s">
        <v>755</v>
      </c>
      <c r="D123" s="96"/>
      <c r="E123" s="97"/>
      <c r="F123" s="19" t="s">
        <v>75</v>
      </c>
      <c r="G123" s="98">
        <v>100.0</v>
      </c>
      <c r="H123" s="99"/>
      <c r="I123" s="100">
        <v>45870.0</v>
      </c>
      <c r="J123" s="101">
        <v>45870.0</v>
      </c>
      <c r="K123" s="101">
        <v>45891.0</v>
      </c>
      <c r="L123" s="101">
        <v>45898.0</v>
      </c>
      <c r="M123" s="25">
        <f>IF(ISBLANK(L123), NETWORKDAYS(J123, TODAY(),Hoja2!$A$1:$A$18), NETWORKDAYS(J123, L123, Hoja2!$A$1:$A$18))</f>
        <v>21</v>
      </c>
      <c r="N123" s="100"/>
      <c r="O123" s="102">
        <v>45901.0</v>
      </c>
      <c r="P123" s="31" t="s">
        <v>756</v>
      </c>
      <c r="Q123" s="114" t="s">
        <v>71</v>
      </c>
      <c r="R123" s="103"/>
      <c r="S123" s="103"/>
      <c r="T123" s="104"/>
      <c r="U123" s="106"/>
      <c r="V123" s="106"/>
      <c r="W123" s="106"/>
      <c r="X123" s="106"/>
      <c r="Y123" s="106"/>
      <c r="Z123" s="106"/>
      <c r="AA123" s="106"/>
      <c r="AB123" s="106"/>
      <c r="AC123" s="106"/>
      <c r="AD123" s="106"/>
      <c r="AE123" s="106"/>
      <c r="AF123" s="106"/>
      <c r="AG123" s="106"/>
      <c r="AH123" s="106"/>
      <c r="AI123" s="106"/>
      <c r="AJ123" s="106"/>
      <c r="AK123" s="106"/>
      <c r="AL123" s="106"/>
      <c r="AM123" s="106"/>
      <c r="AN123" s="106"/>
      <c r="AO123" s="106"/>
      <c r="AP123" s="106"/>
      <c r="AQ123" s="106"/>
      <c r="AR123" s="106"/>
      <c r="AS123" s="106"/>
      <c r="AT123" s="106"/>
      <c r="AU123" s="106"/>
      <c r="AV123" s="106"/>
      <c r="AW123" s="106"/>
      <c r="AX123" s="106"/>
      <c r="AY123" s="106"/>
      <c r="AZ123" s="106"/>
      <c r="BA123" s="106"/>
      <c r="BB123" s="106"/>
      <c r="BC123" s="106"/>
      <c r="BD123" s="106"/>
      <c r="BE123" s="106"/>
      <c r="BF123" s="106"/>
      <c r="BG123" s="106"/>
      <c r="BH123" s="106"/>
      <c r="BI123" s="106"/>
      <c r="BJ123" s="106"/>
      <c r="BK123" s="106"/>
      <c r="BL123" s="106"/>
      <c r="BM123" s="106"/>
      <c r="BN123" s="106"/>
    </row>
    <row r="124" ht="29.25" hidden="1" customHeight="1">
      <c r="A124" s="15" t="s">
        <v>66</v>
      </c>
      <c r="B124" s="16" t="s">
        <v>757</v>
      </c>
      <c r="C124" s="108" t="s">
        <v>758</v>
      </c>
      <c r="D124" s="96"/>
      <c r="E124" s="97"/>
      <c r="F124" s="124" t="s">
        <v>75</v>
      </c>
      <c r="G124" s="98">
        <v>100.0</v>
      </c>
      <c r="H124" s="99"/>
      <c r="I124" s="100">
        <v>45873.0</v>
      </c>
      <c r="J124" s="101">
        <v>45873.0</v>
      </c>
      <c r="K124" s="101"/>
      <c r="L124" s="101">
        <v>45874.0</v>
      </c>
      <c r="M124" s="25">
        <f>IF(ISBLANK(L124), NETWORKDAYS(J124, TODAY(),Hoja2!$A$1:$A$18), NETWORKDAYS(J124, L124, Hoja2!$A$1:$A$18))</f>
        <v>2</v>
      </c>
      <c r="N124" s="100"/>
      <c r="O124" s="102">
        <v>45874.0</v>
      </c>
      <c r="P124" s="31" t="s">
        <v>759</v>
      </c>
      <c r="Q124" s="28" t="s">
        <v>71</v>
      </c>
      <c r="R124" s="103"/>
      <c r="S124" s="103"/>
      <c r="T124" s="104"/>
      <c r="U124" s="106"/>
      <c r="V124" s="106"/>
      <c r="W124" s="106"/>
      <c r="X124" s="106"/>
      <c r="Y124" s="106"/>
      <c r="Z124" s="106"/>
      <c r="AA124" s="106"/>
      <c r="AB124" s="106"/>
      <c r="AC124" s="106"/>
      <c r="AD124" s="106"/>
      <c r="AE124" s="106"/>
      <c r="AF124" s="106"/>
      <c r="AG124" s="106"/>
      <c r="AH124" s="106"/>
      <c r="AI124" s="106"/>
      <c r="AJ124" s="106"/>
      <c r="AK124" s="106"/>
      <c r="AL124" s="106"/>
      <c r="AM124" s="106"/>
      <c r="AN124" s="106"/>
      <c r="AO124" s="106"/>
      <c r="AP124" s="106"/>
      <c r="AQ124" s="106"/>
      <c r="AR124" s="106"/>
      <c r="AS124" s="106"/>
      <c r="AT124" s="106"/>
      <c r="AU124" s="106"/>
      <c r="AV124" s="106"/>
      <c r="AW124" s="106"/>
      <c r="AX124" s="106"/>
      <c r="AY124" s="106"/>
      <c r="AZ124" s="106"/>
      <c r="BA124" s="106"/>
      <c r="BB124" s="106"/>
      <c r="BC124" s="106"/>
      <c r="BD124" s="106"/>
      <c r="BE124" s="106"/>
      <c r="BF124" s="106"/>
      <c r="BG124" s="106"/>
      <c r="BH124" s="106"/>
      <c r="BI124" s="106"/>
      <c r="BJ124" s="106"/>
      <c r="BK124" s="106"/>
      <c r="BL124" s="106"/>
      <c r="BM124" s="106"/>
      <c r="BN124" s="106"/>
    </row>
    <row r="125" ht="29.25" hidden="1" customHeight="1">
      <c r="A125" s="53" t="s">
        <v>126</v>
      </c>
      <c r="B125" s="16" t="s">
        <v>760</v>
      </c>
      <c r="C125" s="108" t="s">
        <v>761</v>
      </c>
      <c r="D125" s="96"/>
      <c r="E125" s="97"/>
      <c r="F125" s="124" t="s">
        <v>75</v>
      </c>
      <c r="G125" s="98">
        <v>100.0</v>
      </c>
      <c r="H125" s="99"/>
      <c r="I125" s="100">
        <v>45874.0</v>
      </c>
      <c r="J125" s="101">
        <v>45877.0</v>
      </c>
      <c r="K125" s="101"/>
      <c r="L125" s="101">
        <v>45877.0</v>
      </c>
      <c r="M125" s="25">
        <f>IF(ISBLANK(L125), NETWORKDAYS(J125, TODAY(),Hoja2!$A$1:$A$18), NETWORKDAYS(J125, L125, Hoja2!$A$1:$A$18))</f>
        <v>1</v>
      </c>
      <c r="N125" s="100">
        <v>45877.0</v>
      </c>
      <c r="O125" s="102">
        <v>45891.0</v>
      </c>
      <c r="P125" s="31" t="s">
        <v>762</v>
      </c>
      <c r="Q125" s="28" t="s">
        <v>71</v>
      </c>
      <c r="R125" s="103"/>
      <c r="S125" s="103"/>
      <c r="T125" s="179"/>
      <c r="U125" s="106"/>
      <c r="V125" s="106"/>
      <c r="W125" s="106"/>
      <c r="X125" s="106"/>
      <c r="Y125" s="106"/>
      <c r="Z125" s="106"/>
      <c r="AA125" s="106"/>
      <c r="AB125" s="106"/>
      <c r="AC125" s="106"/>
      <c r="AD125" s="106"/>
      <c r="AE125" s="106"/>
      <c r="AF125" s="106"/>
      <c r="AG125" s="106"/>
      <c r="AH125" s="106"/>
      <c r="AI125" s="106"/>
      <c r="AJ125" s="106"/>
      <c r="AK125" s="106"/>
      <c r="AL125" s="106"/>
      <c r="AM125" s="106"/>
      <c r="AN125" s="106"/>
      <c r="AO125" s="106"/>
      <c r="AP125" s="106"/>
      <c r="AQ125" s="106"/>
      <c r="AR125" s="106"/>
      <c r="AS125" s="106"/>
      <c r="AT125" s="106"/>
      <c r="AU125" s="106"/>
      <c r="AV125" s="106"/>
      <c r="AW125" s="106"/>
      <c r="AX125" s="106"/>
      <c r="AY125" s="106"/>
      <c r="AZ125" s="106"/>
      <c r="BA125" s="106"/>
      <c r="BB125" s="106"/>
      <c r="BC125" s="106"/>
      <c r="BD125" s="106"/>
      <c r="BE125" s="106"/>
      <c r="BF125" s="106"/>
      <c r="BG125" s="106"/>
      <c r="BH125" s="106"/>
      <c r="BI125" s="106"/>
      <c r="BJ125" s="106"/>
      <c r="BK125" s="106"/>
      <c r="BL125" s="106"/>
      <c r="BM125" s="106"/>
      <c r="BN125" s="106"/>
    </row>
    <row r="126" ht="29.25" hidden="1" customHeight="1">
      <c r="A126" s="53" t="s">
        <v>155</v>
      </c>
      <c r="B126" s="16" t="s">
        <v>763</v>
      </c>
      <c r="C126" s="108" t="s">
        <v>764</v>
      </c>
      <c r="D126" s="153"/>
      <c r="E126" s="97"/>
      <c r="F126" s="19" t="s">
        <v>75</v>
      </c>
      <c r="G126" s="98">
        <v>100.0</v>
      </c>
      <c r="H126" s="99"/>
      <c r="I126" s="100">
        <v>45874.0</v>
      </c>
      <c r="J126" s="101">
        <v>45875.0</v>
      </c>
      <c r="K126" s="101"/>
      <c r="L126" s="101">
        <v>45880.0</v>
      </c>
      <c r="M126" s="25">
        <f>IF(ISBLANK(L126), NETWORKDAYS(J126, TODAY(),Hoja2!$A$1:$A$18), NETWORKDAYS(J126, L126, Hoja2!$A$1:$A$18))</f>
        <v>4</v>
      </c>
      <c r="N126" s="100"/>
      <c r="O126" s="102"/>
      <c r="P126" s="31" t="s">
        <v>765</v>
      </c>
      <c r="Q126" s="28" t="s">
        <v>71</v>
      </c>
      <c r="R126" s="103"/>
      <c r="S126" s="103"/>
      <c r="T126" s="104"/>
      <c r="U126" s="106"/>
      <c r="V126" s="106"/>
      <c r="W126" s="106"/>
      <c r="X126" s="106"/>
      <c r="Y126" s="106"/>
      <c r="Z126" s="106"/>
      <c r="AA126" s="106"/>
      <c r="AB126" s="106"/>
      <c r="AC126" s="106"/>
      <c r="AD126" s="106"/>
      <c r="AE126" s="106"/>
      <c r="AF126" s="106"/>
      <c r="AG126" s="106"/>
      <c r="AH126" s="106"/>
      <c r="AI126" s="106"/>
      <c r="AJ126" s="106"/>
      <c r="AK126" s="106"/>
      <c r="AL126" s="106"/>
      <c r="AM126" s="106"/>
      <c r="AN126" s="106"/>
      <c r="AO126" s="106"/>
      <c r="AP126" s="106"/>
      <c r="AQ126" s="106"/>
      <c r="AR126" s="106"/>
      <c r="AS126" s="106"/>
      <c r="AT126" s="106"/>
      <c r="AU126" s="106"/>
      <c r="AV126" s="106"/>
      <c r="AW126" s="106"/>
      <c r="AX126" s="106"/>
      <c r="AY126" s="106"/>
      <c r="AZ126" s="106"/>
      <c r="BA126" s="106"/>
      <c r="BB126" s="106"/>
      <c r="BC126" s="106"/>
      <c r="BD126" s="106"/>
      <c r="BE126" s="106"/>
      <c r="BF126" s="106"/>
      <c r="BG126" s="106"/>
      <c r="BH126" s="106"/>
      <c r="BI126" s="106"/>
      <c r="BJ126" s="106"/>
      <c r="BK126" s="106"/>
      <c r="BL126" s="106"/>
      <c r="BM126" s="106"/>
      <c r="BN126" s="106"/>
    </row>
    <row r="127" ht="29.25" hidden="1" customHeight="1">
      <c r="A127" s="53" t="s">
        <v>155</v>
      </c>
      <c r="B127" s="16" t="s">
        <v>766</v>
      </c>
      <c r="C127" s="108" t="s">
        <v>767</v>
      </c>
      <c r="D127" s="96"/>
      <c r="E127" s="97"/>
      <c r="F127" s="124" t="s">
        <v>75</v>
      </c>
      <c r="G127" s="98">
        <v>100.0</v>
      </c>
      <c r="H127" s="99"/>
      <c r="I127" s="100">
        <v>45873.0</v>
      </c>
      <c r="J127" s="101">
        <v>45874.0</v>
      </c>
      <c r="K127" s="101"/>
      <c r="L127" s="101">
        <v>45874.0</v>
      </c>
      <c r="M127" s="25">
        <f>IF(ISBLANK(L127), NETWORKDAYS(J127, TODAY(),Hoja2!$A$1:$A$18), NETWORKDAYS(J127, L127, Hoja2!$A$1:$A$18))</f>
        <v>1</v>
      </c>
      <c r="N127" s="100"/>
      <c r="O127" s="102"/>
      <c r="P127" s="31" t="s">
        <v>768</v>
      </c>
      <c r="Q127" s="28" t="s">
        <v>71</v>
      </c>
      <c r="R127" s="103"/>
      <c r="S127" s="103"/>
      <c r="T127" s="104"/>
      <c r="U127" s="106"/>
      <c r="V127" s="106"/>
      <c r="W127" s="106"/>
      <c r="X127" s="106"/>
      <c r="Y127" s="106"/>
      <c r="Z127" s="106"/>
      <c r="AA127" s="106"/>
      <c r="AB127" s="106"/>
      <c r="AC127" s="106"/>
      <c r="AD127" s="106"/>
      <c r="AE127" s="106"/>
      <c r="AF127" s="106"/>
      <c r="AG127" s="106"/>
      <c r="AH127" s="106"/>
      <c r="AI127" s="106"/>
      <c r="AJ127" s="106"/>
      <c r="AK127" s="106"/>
      <c r="AL127" s="106"/>
      <c r="AM127" s="106"/>
      <c r="AN127" s="106"/>
      <c r="AO127" s="106"/>
      <c r="AP127" s="106"/>
      <c r="AQ127" s="106"/>
      <c r="AR127" s="106"/>
      <c r="AS127" s="106"/>
      <c r="AT127" s="106"/>
      <c r="AU127" s="106"/>
      <c r="AV127" s="106"/>
      <c r="AW127" s="106"/>
      <c r="AX127" s="106"/>
      <c r="AY127" s="106"/>
      <c r="AZ127" s="106"/>
      <c r="BA127" s="106"/>
      <c r="BB127" s="106"/>
      <c r="BC127" s="106"/>
      <c r="BD127" s="106"/>
      <c r="BE127" s="106"/>
      <c r="BF127" s="106"/>
      <c r="BG127" s="106"/>
      <c r="BH127" s="106"/>
      <c r="BI127" s="106"/>
      <c r="BJ127" s="106"/>
      <c r="BK127" s="106"/>
      <c r="BL127" s="106"/>
      <c r="BM127" s="106"/>
      <c r="BN127" s="106"/>
    </row>
    <row r="128" ht="29.25" customHeight="1">
      <c r="A128" s="53" t="s">
        <v>155</v>
      </c>
      <c r="B128" s="16" t="s">
        <v>769</v>
      </c>
      <c r="C128" s="180" t="s">
        <v>770</v>
      </c>
      <c r="D128" s="162"/>
      <c r="E128" s="117"/>
      <c r="F128" s="118" t="s">
        <v>237</v>
      </c>
      <c r="G128" s="119"/>
      <c r="H128" s="119"/>
      <c r="I128" s="58">
        <v>45712.0</v>
      </c>
      <c r="J128" s="68"/>
      <c r="K128" s="68"/>
      <c r="L128" s="68"/>
      <c r="M128" s="25">
        <f>IF(ISBLANK(L128), NETWORKDAYS(J128, TODAY(),Hoja2!$A$1:$A$18), NETWORKDAYS(J128, L128, Hoja2!$A$1:$A$18))</f>
        <v>32848</v>
      </c>
      <c r="N128" s="58"/>
      <c r="O128" s="69"/>
      <c r="P128" s="163" t="s">
        <v>771</v>
      </c>
      <c r="Q128" s="114" t="s">
        <v>91</v>
      </c>
      <c r="R128" s="71"/>
      <c r="S128" s="71"/>
      <c r="T128" s="72"/>
      <c r="U128" s="121"/>
      <c r="V128" s="121"/>
      <c r="W128" s="121"/>
      <c r="X128" s="121"/>
      <c r="Y128" s="121"/>
      <c r="Z128" s="121"/>
      <c r="AA128" s="121"/>
      <c r="AB128" s="121"/>
      <c r="AC128" s="121"/>
      <c r="AD128" s="121"/>
      <c r="AE128" s="121"/>
      <c r="AF128" s="121"/>
      <c r="AG128" s="121"/>
      <c r="AH128" s="121"/>
      <c r="AI128" s="121"/>
      <c r="AJ128" s="121"/>
      <c r="AK128" s="121"/>
      <c r="AL128" s="121"/>
      <c r="AM128" s="121"/>
      <c r="AN128" s="121"/>
      <c r="AO128" s="65" t="s">
        <v>772</v>
      </c>
      <c r="AP128" s="121"/>
      <c r="AQ128" s="121"/>
      <c r="AR128" s="121"/>
      <c r="AS128" s="121"/>
      <c r="AT128" s="121"/>
      <c r="AU128" s="121"/>
      <c r="AV128" s="121"/>
      <c r="AW128" s="121"/>
      <c r="AX128" s="121"/>
      <c r="AY128" s="121"/>
      <c r="AZ128" s="121"/>
      <c r="BA128" s="121"/>
      <c r="BB128" s="121"/>
      <c r="BC128" s="121"/>
      <c r="BD128" s="121"/>
      <c r="BE128" s="121"/>
      <c r="BF128" s="121"/>
      <c r="BG128" s="121"/>
      <c r="BH128" s="121"/>
      <c r="BI128" s="121"/>
      <c r="BJ128" s="121"/>
      <c r="BK128" s="121"/>
      <c r="BL128" s="121"/>
      <c r="BM128" s="121"/>
      <c r="BN128" s="121"/>
    </row>
    <row r="129" ht="29.25" hidden="1" customHeight="1">
      <c r="A129" s="53" t="s">
        <v>155</v>
      </c>
      <c r="B129" s="16" t="s">
        <v>773</v>
      </c>
      <c r="C129" s="108" t="s">
        <v>774</v>
      </c>
      <c r="D129" s="96"/>
      <c r="E129" s="97"/>
      <c r="F129" s="124" t="s">
        <v>75</v>
      </c>
      <c r="G129" s="98">
        <v>100.0</v>
      </c>
      <c r="H129" s="99"/>
      <c r="I129" s="100">
        <v>45877.0</v>
      </c>
      <c r="J129" s="101">
        <v>45877.0</v>
      </c>
      <c r="K129" s="101"/>
      <c r="L129" s="101">
        <v>45877.0</v>
      </c>
      <c r="M129" s="25">
        <f>IF(ISBLANK(L129), NETWORKDAYS(J129, TODAY(),Hoja2!$A$1:$A$18), NETWORKDAYS(J129, L129, Hoja2!$A$1:$A$18))</f>
        <v>1</v>
      </c>
      <c r="N129" s="100"/>
      <c r="O129" s="102"/>
      <c r="P129" s="31" t="s">
        <v>775</v>
      </c>
      <c r="Q129" s="28" t="s">
        <v>71</v>
      </c>
      <c r="R129" s="103"/>
      <c r="S129" s="103"/>
      <c r="T129" s="104"/>
      <c r="U129" s="106"/>
      <c r="V129" s="106"/>
      <c r="W129" s="106"/>
      <c r="X129" s="106"/>
      <c r="Y129" s="106"/>
      <c r="Z129" s="106"/>
      <c r="AA129" s="106"/>
      <c r="AB129" s="106"/>
      <c r="AC129" s="106"/>
      <c r="AD129" s="106"/>
      <c r="AE129" s="106"/>
      <c r="AF129" s="106"/>
      <c r="AG129" s="106"/>
      <c r="AH129" s="106"/>
      <c r="AI129" s="106"/>
      <c r="AJ129" s="106"/>
      <c r="AK129" s="106"/>
      <c r="AL129" s="106"/>
      <c r="AM129" s="106"/>
      <c r="AN129" s="106"/>
      <c r="AO129" s="106"/>
      <c r="AP129" s="106"/>
      <c r="AQ129" s="106"/>
      <c r="AR129" s="106"/>
      <c r="AS129" s="106"/>
      <c r="AT129" s="106"/>
      <c r="AU129" s="106"/>
      <c r="AV129" s="106"/>
      <c r="AW129" s="106"/>
      <c r="AX129" s="106"/>
      <c r="AY129" s="106"/>
      <c r="AZ129" s="106"/>
      <c r="BA129" s="106"/>
      <c r="BB129" s="106"/>
      <c r="BC129" s="106"/>
      <c r="BD129" s="106"/>
      <c r="BE129" s="106"/>
      <c r="BF129" s="106"/>
      <c r="BG129" s="106"/>
      <c r="BH129" s="106"/>
      <c r="BI129" s="106"/>
      <c r="BJ129" s="106"/>
      <c r="BK129" s="106"/>
      <c r="BL129" s="106"/>
      <c r="BM129" s="106"/>
      <c r="BN129" s="106"/>
    </row>
    <row r="130" ht="29.25" hidden="1" customHeight="1">
      <c r="A130" s="53" t="s">
        <v>155</v>
      </c>
      <c r="B130" s="16" t="s">
        <v>776</v>
      </c>
      <c r="C130" s="108" t="s">
        <v>777</v>
      </c>
      <c r="D130" s="96"/>
      <c r="E130" s="97"/>
      <c r="F130" s="124" t="s">
        <v>75</v>
      </c>
      <c r="G130" s="98">
        <v>100.0</v>
      </c>
      <c r="H130" s="99"/>
      <c r="I130" s="100">
        <v>45867.0</v>
      </c>
      <c r="J130" s="101">
        <v>45877.0</v>
      </c>
      <c r="K130" s="101"/>
      <c r="L130" s="101">
        <v>45877.0</v>
      </c>
      <c r="M130" s="25">
        <f>IF(ISBLANK(L130), NETWORKDAYS(J130, TODAY(),Hoja2!$A$1:$A$18), NETWORKDAYS(J130, L130, Hoja2!$A$1:$A$18))</f>
        <v>1</v>
      </c>
      <c r="N130" s="100"/>
      <c r="O130" s="102"/>
      <c r="P130" s="31" t="s">
        <v>778</v>
      </c>
      <c r="Q130" s="28" t="s">
        <v>71</v>
      </c>
      <c r="R130" s="103"/>
      <c r="S130" s="103"/>
      <c r="T130" s="104"/>
      <c r="U130" s="106"/>
      <c r="V130" s="106"/>
      <c r="W130" s="106"/>
      <c r="X130" s="106"/>
      <c r="Y130" s="106"/>
      <c r="Z130" s="106"/>
      <c r="AA130" s="106"/>
      <c r="AB130" s="106"/>
      <c r="AC130" s="106"/>
      <c r="AD130" s="106"/>
      <c r="AE130" s="106"/>
      <c r="AF130" s="106"/>
      <c r="AG130" s="106"/>
      <c r="AH130" s="106"/>
      <c r="AI130" s="106"/>
      <c r="AJ130" s="106"/>
      <c r="AK130" s="106"/>
      <c r="AL130" s="106"/>
      <c r="AM130" s="106"/>
      <c r="AN130" s="106"/>
      <c r="AO130" s="106"/>
      <c r="AP130" s="106"/>
      <c r="AQ130" s="106"/>
      <c r="AR130" s="106"/>
      <c r="AS130" s="106"/>
      <c r="AT130" s="106"/>
      <c r="AU130" s="106"/>
      <c r="AV130" s="106"/>
      <c r="AW130" s="106"/>
      <c r="AX130" s="106"/>
      <c r="AY130" s="106"/>
      <c r="AZ130" s="106"/>
      <c r="BA130" s="106"/>
      <c r="BB130" s="106"/>
      <c r="BC130" s="106"/>
      <c r="BD130" s="106"/>
      <c r="BE130" s="106"/>
      <c r="BF130" s="106"/>
      <c r="BG130" s="106"/>
      <c r="BH130" s="106"/>
      <c r="BI130" s="106"/>
      <c r="BJ130" s="106"/>
      <c r="BK130" s="106"/>
      <c r="BL130" s="106"/>
      <c r="BM130" s="106"/>
      <c r="BN130" s="106"/>
    </row>
    <row r="131" ht="29.25" hidden="1" customHeight="1">
      <c r="A131" s="53" t="s">
        <v>155</v>
      </c>
      <c r="B131" s="16" t="s">
        <v>779</v>
      </c>
      <c r="C131" s="108" t="s">
        <v>780</v>
      </c>
      <c r="D131" s="153"/>
      <c r="E131" s="97"/>
      <c r="F131" s="124" t="s">
        <v>75</v>
      </c>
      <c r="G131" s="98">
        <v>100.0</v>
      </c>
      <c r="H131" s="99"/>
      <c r="I131" s="100">
        <v>45877.0</v>
      </c>
      <c r="J131" s="101">
        <v>45877.0</v>
      </c>
      <c r="K131" s="101"/>
      <c r="L131" s="101">
        <v>45880.0</v>
      </c>
      <c r="M131" s="25">
        <f>IF(ISBLANK(L131), NETWORKDAYS(J131, TODAY(),Hoja2!$A$1:$A$18), NETWORKDAYS(J131, L131, Hoja2!$A$1:$A$18))</f>
        <v>2</v>
      </c>
      <c r="N131" s="100"/>
      <c r="O131" s="102"/>
      <c r="P131" s="31" t="s">
        <v>781</v>
      </c>
      <c r="Q131" s="28" t="s">
        <v>71</v>
      </c>
      <c r="R131" s="103"/>
      <c r="S131" s="103"/>
      <c r="T131" s="104"/>
      <c r="U131" s="106"/>
      <c r="V131" s="106"/>
      <c r="W131" s="106"/>
      <c r="X131" s="106"/>
      <c r="Y131" s="106"/>
      <c r="Z131" s="106"/>
      <c r="AA131" s="106"/>
      <c r="AB131" s="106"/>
      <c r="AC131" s="106"/>
      <c r="AD131" s="106"/>
      <c r="AE131" s="106"/>
      <c r="AF131" s="106"/>
      <c r="AG131" s="106"/>
      <c r="AH131" s="106"/>
      <c r="AI131" s="106"/>
      <c r="AJ131" s="106"/>
      <c r="AK131" s="106"/>
      <c r="AL131" s="106"/>
      <c r="AM131" s="106"/>
      <c r="AN131" s="106"/>
      <c r="AO131" s="106"/>
      <c r="AP131" s="106"/>
      <c r="AQ131" s="106"/>
      <c r="AR131" s="106"/>
      <c r="AS131" s="106"/>
      <c r="AT131" s="106"/>
      <c r="AU131" s="106"/>
      <c r="AV131" s="106"/>
      <c r="AW131" s="106"/>
      <c r="AX131" s="106"/>
      <c r="AY131" s="106"/>
      <c r="AZ131" s="106"/>
      <c r="BA131" s="106"/>
      <c r="BB131" s="106"/>
      <c r="BC131" s="106"/>
      <c r="BD131" s="106"/>
      <c r="BE131" s="106"/>
      <c r="BF131" s="106"/>
      <c r="BG131" s="106"/>
      <c r="BH131" s="106"/>
      <c r="BI131" s="106"/>
      <c r="BJ131" s="106"/>
      <c r="BK131" s="106"/>
      <c r="BL131" s="106"/>
      <c r="BM131" s="106"/>
      <c r="BN131" s="106"/>
    </row>
    <row r="132" ht="29.25" hidden="1" customHeight="1">
      <c r="A132" s="53" t="s">
        <v>155</v>
      </c>
      <c r="B132" s="16" t="s">
        <v>782</v>
      </c>
      <c r="C132" s="108" t="s">
        <v>783</v>
      </c>
      <c r="D132" s="153"/>
      <c r="E132" s="97"/>
      <c r="F132" s="19" t="s">
        <v>75</v>
      </c>
      <c r="G132" s="98">
        <v>100.0</v>
      </c>
      <c r="H132" s="99"/>
      <c r="I132" s="100">
        <v>45881.0</v>
      </c>
      <c r="J132" s="101">
        <v>45882.0</v>
      </c>
      <c r="K132" s="101"/>
      <c r="L132" s="101">
        <v>45883.0</v>
      </c>
      <c r="M132" s="25">
        <f>IF(ISBLANK(L132), NETWORKDAYS(J132, TODAY(),Hoja2!$A$1:$A$18), NETWORKDAYS(J132, L132, Hoja2!$A$1:$A$18))</f>
        <v>2</v>
      </c>
      <c r="N132" s="100"/>
      <c r="O132" s="102">
        <v>45891.0</v>
      </c>
      <c r="P132" s="31" t="s">
        <v>784</v>
      </c>
      <c r="Q132" s="28" t="s">
        <v>71</v>
      </c>
      <c r="R132" s="103"/>
      <c r="S132" s="103"/>
      <c r="T132" s="104"/>
      <c r="U132" s="106"/>
      <c r="V132" s="106"/>
      <c r="W132" s="106"/>
      <c r="X132" s="106"/>
      <c r="Y132" s="106"/>
      <c r="Z132" s="106"/>
      <c r="AA132" s="106"/>
      <c r="AB132" s="106"/>
      <c r="AC132" s="106"/>
      <c r="AD132" s="106"/>
      <c r="AE132" s="106"/>
      <c r="AF132" s="106"/>
      <c r="AG132" s="106"/>
      <c r="AH132" s="106"/>
      <c r="AI132" s="106"/>
      <c r="AJ132" s="106"/>
      <c r="AK132" s="106"/>
      <c r="AL132" s="106"/>
      <c r="AM132" s="106"/>
      <c r="AN132" s="106"/>
      <c r="AO132" s="106"/>
      <c r="AP132" s="106"/>
      <c r="AQ132" s="106"/>
      <c r="AR132" s="106"/>
      <c r="AS132" s="106"/>
      <c r="AT132" s="106"/>
      <c r="AU132" s="106"/>
      <c r="AV132" s="106"/>
      <c r="AW132" s="106"/>
      <c r="AX132" s="106"/>
      <c r="AY132" s="106"/>
      <c r="AZ132" s="106"/>
      <c r="BA132" s="106"/>
      <c r="BB132" s="106"/>
      <c r="BC132" s="106"/>
      <c r="BD132" s="106"/>
      <c r="BE132" s="106"/>
      <c r="BF132" s="106"/>
      <c r="BG132" s="106"/>
      <c r="BH132" s="106"/>
      <c r="BI132" s="106"/>
      <c r="BJ132" s="106"/>
      <c r="BK132" s="106"/>
      <c r="BL132" s="106"/>
      <c r="BM132" s="106"/>
      <c r="BN132" s="106"/>
    </row>
    <row r="133" ht="29.25" hidden="1" customHeight="1">
      <c r="A133" s="15" t="s">
        <v>66</v>
      </c>
      <c r="B133" s="16" t="s">
        <v>785</v>
      </c>
      <c r="C133" s="108" t="s">
        <v>786</v>
      </c>
      <c r="D133" s="96"/>
      <c r="E133" s="97"/>
      <c r="F133" s="124" t="s">
        <v>75</v>
      </c>
      <c r="G133" s="98">
        <v>100.0</v>
      </c>
      <c r="H133" s="99"/>
      <c r="I133" s="100">
        <v>45881.0</v>
      </c>
      <c r="J133" s="101">
        <v>45881.0</v>
      </c>
      <c r="K133" s="101"/>
      <c r="L133" s="101">
        <v>45882.0</v>
      </c>
      <c r="M133" s="25">
        <f>IF(ISBLANK(L133), NETWORKDAYS(J133, TODAY(),Hoja2!$A$1:$A$18), NETWORKDAYS(J133, L133, Hoja2!$A$1:$A$18))</f>
        <v>2</v>
      </c>
      <c r="N133" s="100"/>
      <c r="O133" s="102"/>
      <c r="P133" s="31" t="s">
        <v>787</v>
      </c>
      <c r="Q133" s="28" t="s">
        <v>71</v>
      </c>
      <c r="R133" s="103"/>
      <c r="S133" s="103"/>
      <c r="T133" s="104"/>
      <c r="U133" s="106"/>
      <c r="V133" s="106"/>
      <c r="W133" s="106"/>
      <c r="X133" s="106"/>
      <c r="Y133" s="106"/>
      <c r="Z133" s="106"/>
      <c r="AA133" s="106"/>
      <c r="AB133" s="106"/>
      <c r="AC133" s="106"/>
      <c r="AD133" s="106"/>
      <c r="AE133" s="106"/>
      <c r="AF133" s="106"/>
      <c r="AG133" s="106"/>
      <c r="AH133" s="106"/>
      <c r="AI133" s="106"/>
      <c r="AJ133" s="106"/>
      <c r="AK133" s="106"/>
      <c r="AL133" s="106"/>
      <c r="AM133" s="106"/>
      <c r="AN133" s="106"/>
      <c r="AO133" s="106"/>
      <c r="AP133" s="106"/>
      <c r="AQ133" s="106"/>
      <c r="AR133" s="106"/>
      <c r="AS133" s="106"/>
      <c r="AT133" s="106"/>
      <c r="AU133" s="106"/>
      <c r="AV133" s="106"/>
      <c r="AW133" s="106"/>
      <c r="AX133" s="106"/>
      <c r="AY133" s="106"/>
      <c r="AZ133" s="106"/>
      <c r="BA133" s="106"/>
      <c r="BB133" s="106"/>
      <c r="BC133" s="106"/>
      <c r="BD133" s="106"/>
      <c r="BE133" s="106"/>
      <c r="BF133" s="106"/>
      <c r="BG133" s="106"/>
      <c r="BH133" s="106"/>
      <c r="BI133" s="106"/>
      <c r="BJ133" s="106"/>
      <c r="BK133" s="106"/>
      <c r="BL133" s="106"/>
      <c r="BM133" s="106"/>
      <c r="BN133" s="106"/>
    </row>
    <row r="134" ht="29.25" hidden="1" customHeight="1">
      <c r="A134" s="53" t="s">
        <v>155</v>
      </c>
      <c r="B134" s="16" t="s">
        <v>788</v>
      </c>
      <c r="C134" s="108" t="s">
        <v>789</v>
      </c>
      <c r="D134" s="153"/>
      <c r="E134" s="97"/>
      <c r="F134" s="124" t="s">
        <v>75</v>
      </c>
      <c r="G134" s="98">
        <v>100.0</v>
      </c>
      <c r="H134" s="99"/>
      <c r="I134" s="100">
        <v>45882.0</v>
      </c>
      <c r="J134" s="101">
        <v>45883.0</v>
      </c>
      <c r="K134" s="101"/>
      <c r="L134" s="101">
        <v>45883.0</v>
      </c>
      <c r="M134" s="25">
        <f>IF(ISBLANK(L134), NETWORKDAYS(J134, TODAY(),Hoja2!$A$1:$A$18), NETWORKDAYS(J134, L134, Hoja2!$A$1:$A$18))</f>
        <v>1</v>
      </c>
      <c r="N134" s="100"/>
      <c r="O134" s="102"/>
      <c r="P134" s="31" t="s">
        <v>790</v>
      </c>
      <c r="Q134" s="28" t="s">
        <v>71</v>
      </c>
      <c r="R134" s="103"/>
      <c r="S134" s="103"/>
      <c r="T134" s="104"/>
      <c r="U134" s="106"/>
      <c r="V134" s="106"/>
      <c r="W134" s="106"/>
      <c r="X134" s="106"/>
      <c r="Y134" s="106"/>
      <c r="Z134" s="106"/>
      <c r="AA134" s="106"/>
      <c r="AB134" s="106"/>
      <c r="AC134" s="106"/>
      <c r="AD134" s="106"/>
      <c r="AE134" s="106"/>
      <c r="AF134" s="106"/>
      <c r="AG134" s="106"/>
      <c r="AH134" s="106"/>
      <c r="AI134" s="106"/>
      <c r="AJ134" s="106"/>
      <c r="AK134" s="106"/>
      <c r="AL134" s="106"/>
      <c r="AM134" s="106"/>
      <c r="AN134" s="106"/>
      <c r="AO134" s="106"/>
      <c r="AP134" s="106"/>
      <c r="AQ134" s="106"/>
      <c r="AR134" s="106"/>
      <c r="AS134" s="106"/>
      <c r="AT134" s="106"/>
      <c r="AU134" s="106"/>
      <c r="AV134" s="106"/>
      <c r="AW134" s="106"/>
      <c r="AX134" s="106"/>
      <c r="AY134" s="106"/>
      <c r="AZ134" s="106"/>
      <c r="BA134" s="106"/>
      <c r="BB134" s="106"/>
      <c r="BC134" s="106"/>
      <c r="BD134" s="106"/>
      <c r="BE134" s="106"/>
      <c r="BF134" s="106"/>
      <c r="BG134" s="106"/>
      <c r="BH134" s="106"/>
      <c r="BI134" s="106"/>
      <c r="BJ134" s="106"/>
      <c r="BK134" s="106"/>
      <c r="BL134" s="106"/>
      <c r="BM134" s="106"/>
      <c r="BN134" s="106"/>
    </row>
    <row r="135" ht="29.25" hidden="1" customHeight="1">
      <c r="A135" s="53" t="s">
        <v>155</v>
      </c>
      <c r="B135" s="16" t="s">
        <v>791</v>
      </c>
      <c r="C135" s="108" t="s">
        <v>792</v>
      </c>
      <c r="D135" s="153"/>
      <c r="E135" s="97"/>
      <c r="F135" s="124" t="s">
        <v>75</v>
      </c>
      <c r="G135" s="98">
        <v>100.0</v>
      </c>
      <c r="H135" s="99"/>
      <c r="I135" s="100">
        <v>45883.0</v>
      </c>
      <c r="J135" s="101">
        <v>45883.0</v>
      </c>
      <c r="K135" s="101"/>
      <c r="L135" s="101">
        <v>45884.0</v>
      </c>
      <c r="M135" s="25">
        <f>IF(ISBLANK(L135), NETWORKDAYS(J135, TODAY(),Hoja2!$A$1:$A$18), NETWORKDAYS(J135, L135, Hoja2!$A$1:$A$18))</f>
        <v>2</v>
      </c>
      <c r="N135" s="100">
        <v>45884.0</v>
      </c>
      <c r="O135" s="102"/>
      <c r="P135" s="31" t="s">
        <v>793</v>
      </c>
      <c r="Q135" s="28" t="s">
        <v>71</v>
      </c>
      <c r="R135" s="103"/>
      <c r="S135" s="103"/>
      <c r="T135" s="104"/>
      <c r="U135" s="106"/>
      <c r="V135" s="106"/>
      <c r="W135" s="106"/>
      <c r="X135" s="106"/>
      <c r="Y135" s="106"/>
      <c r="Z135" s="106"/>
      <c r="AA135" s="106"/>
      <c r="AB135" s="106"/>
      <c r="AC135" s="106"/>
      <c r="AD135" s="106"/>
      <c r="AE135" s="106"/>
      <c r="AF135" s="106"/>
      <c r="AG135" s="106"/>
      <c r="AH135" s="106"/>
      <c r="AI135" s="106"/>
      <c r="AJ135" s="106"/>
      <c r="AK135" s="106"/>
      <c r="AL135" s="106"/>
      <c r="AM135" s="106"/>
      <c r="AN135" s="106"/>
      <c r="AO135" s="106"/>
      <c r="AP135" s="106"/>
      <c r="AQ135" s="106"/>
      <c r="AR135" s="106"/>
      <c r="AS135" s="106"/>
      <c r="AT135" s="106"/>
      <c r="AU135" s="106"/>
      <c r="AV135" s="106"/>
      <c r="AW135" s="106"/>
      <c r="AX135" s="106"/>
      <c r="AY135" s="106"/>
      <c r="AZ135" s="106"/>
      <c r="BA135" s="106"/>
      <c r="BB135" s="106"/>
      <c r="BC135" s="106"/>
      <c r="BD135" s="106"/>
      <c r="BE135" s="106"/>
      <c r="BF135" s="106"/>
      <c r="BG135" s="106"/>
      <c r="BH135" s="106"/>
      <c r="BI135" s="106"/>
      <c r="BJ135" s="106"/>
      <c r="BK135" s="106"/>
      <c r="BL135" s="106"/>
      <c r="BM135" s="106"/>
      <c r="BN135" s="106"/>
    </row>
    <row r="136" ht="29.25" customHeight="1">
      <c r="A136" s="53" t="s">
        <v>155</v>
      </c>
      <c r="B136" s="16" t="s">
        <v>794</v>
      </c>
      <c r="C136" s="95" t="s">
        <v>795</v>
      </c>
      <c r="D136" s="76"/>
      <c r="E136" s="125"/>
      <c r="F136" s="19" t="s">
        <v>237</v>
      </c>
      <c r="G136" s="56">
        <v>80.0</v>
      </c>
      <c r="H136" s="151"/>
      <c r="I136" s="82">
        <v>45786.0</v>
      </c>
      <c r="J136" s="59">
        <v>45792.0</v>
      </c>
      <c r="K136" s="59">
        <v>45793.0</v>
      </c>
      <c r="L136" s="59"/>
      <c r="M136" s="25">
        <f>IF(ISBLANK(L136), NETWORKDAYS(J136, TODAY(),Hoja2!$A$1:$A$18), NETWORKDAYS(J136, L136, Hoja2!$A$1:$A$18))</f>
        <v>156</v>
      </c>
      <c r="N136" s="82">
        <v>45793.0</v>
      </c>
      <c r="O136" s="102"/>
      <c r="P136" s="31" t="s">
        <v>796</v>
      </c>
      <c r="Q136" s="28" t="s">
        <v>71</v>
      </c>
      <c r="R136" s="119"/>
      <c r="S136" s="119"/>
      <c r="T136" s="104"/>
      <c r="U136" s="106"/>
      <c r="V136" s="106"/>
      <c r="W136" s="106"/>
      <c r="X136" s="106"/>
      <c r="Y136" s="106"/>
      <c r="Z136" s="106"/>
      <c r="AA136" s="106"/>
      <c r="AB136" s="106"/>
      <c r="AC136" s="34" t="s">
        <v>797</v>
      </c>
      <c r="AD136" s="34" t="s">
        <v>798</v>
      </c>
      <c r="AE136" s="33"/>
      <c r="AF136" s="34" t="s">
        <v>799</v>
      </c>
      <c r="AG136" s="34" t="s">
        <v>800</v>
      </c>
      <c r="AH136" s="34" t="s">
        <v>801</v>
      </c>
      <c r="AI136" s="34"/>
      <c r="AJ136" s="34"/>
      <c r="AK136" s="34"/>
      <c r="AL136" s="34"/>
      <c r="AM136" s="34"/>
      <c r="AN136" s="34"/>
      <c r="AO136" s="34"/>
      <c r="AP136" s="34"/>
      <c r="AQ136" s="34"/>
      <c r="AR136" s="34"/>
      <c r="AS136" s="34"/>
      <c r="AT136" s="34"/>
      <c r="AU136" s="34"/>
      <c r="AV136" s="34"/>
      <c r="AW136" s="34"/>
      <c r="AX136" s="34"/>
      <c r="AY136" s="34"/>
      <c r="AZ136" s="34"/>
      <c r="BA136" s="34"/>
      <c r="BB136" s="34"/>
      <c r="BC136" s="34"/>
      <c r="BD136" s="34"/>
      <c r="BE136" s="34"/>
      <c r="BF136" s="34"/>
      <c r="BG136" s="34"/>
      <c r="BH136" s="34"/>
      <c r="BI136" s="34"/>
      <c r="BJ136" s="34"/>
      <c r="BK136" s="34"/>
      <c r="BL136" s="34"/>
      <c r="BM136" s="34"/>
      <c r="BN136" s="34"/>
    </row>
    <row r="137" ht="29.25" hidden="1" customHeight="1">
      <c r="A137" s="53" t="s">
        <v>155</v>
      </c>
      <c r="B137" s="16" t="s">
        <v>802</v>
      </c>
      <c r="C137" s="108" t="s">
        <v>803</v>
      </c>
      <c r="D137" s="96"/>
      <c r="E137" s="97"/>
      <c r="F137" s="19" t="s">
        <v>75</v>
      </c>
      <c r="G137" s="98">
        <v>100.0</v>
      </c>
      <c r="H137" s="99"/>
      <c r="I137" s="100">
        <v>45884.0</v>
      </c>
      <c r="J137" s="101">
        <v>45884.0</v>
      </c>
      <c r="K137" s="101">
        <v>45891.0</v>
      </c>
      <c r="L137" s="101">
        <v>45897.0</v>
      </c>
      <c r="M137" s="25">
        <f>IF(ISBLANK(L137), NETWORKDAYS(J137, TODAY(),Hoja2!$A$1:$A$18), NETWORKDAYS(J137, L137, Hoja2!$A$1:$A$18))</f>
        <v>10</v>
      </c>
      <c r="N137" s="100">
        <v>45928.0</v>
      </c>
      <c r="O137" s="102"/>
      <c r="P137" s="31" t="s">
        <v>804</v>
      </c>
      <c r="Q137" s="28" t="s">
        <v>71</v>
      </c>
      <c r="R137" s="98"/>
      <c r="S137" s="98" t="s">
        <v>805</v>
      </c>
      <c r="T137" s="124" t="s">
        <v>806</v>
      </c>
      <c r="U137" s="106"/>
      <c r="V137" s="106"/>
      <c r="W137" s="106"/>
      <c r="X137" s="106"/>
      <c r="Y137" s="106"/>
      <c r="Z137" s="106"/>
      <c r="AA137" s="106"/>
      <c r="AB137" s="106"/>
      <c r="AC137" s="106"/>
      <c r="AD137" s="106"/>
      <c r="AE137" s="106"/>
      <c r="AF137" s="106"/>
      <c r="AG137" s="106"/>
      <c r="AH137" s="106"/>
      <c r="AI137" s="106"/>
      <c r="AJ137" s="106"/>
      <c r="AK137" s="106"/>
      <c r="AL137" s="106"/>
      <c r="AM137" s="106"/>
      <c r="AN137" s="106"/>
      <c r="AO137" s="106"/>
      <c r="AP137" s="106"/>
      <c r="AQ137" s="106"/>
      <c r="AR137" s="106"/>
      <c r="AS137" s="106"/>
      <c r="AT137" s="106"/>
      <c r="AU137" s="106"/>
      <c r="AV137" s="106"/>
      <c r="AW137" s="106"/>
      <c r="AX137" s="106"/>
      <c r="AY137" s="106"/>
      <c r="AZ137" s="106"/>
      <c r="BA137" s="106"/>
      <c r="BB137" s="106"/>
      <c r="BC137" s="106"/>
      <c r="BD137" s="106"/>
      <c r="BE137" s="106"/>
      <c r="BF137" s="106"/>
      <c r="BG137" s="106"/>
      <c r="BH137" s="106"/>
      <c r="BI137" s="106"/>
      <c r="BJ137" s="106"/>
      <c r="BK137" s="106"/>
      <c r="BL137" s="106"/>
      <c r="BM137" s="106"/>
      <c r="BN137" s="106"/>
    </row>
    <row r="138" ht="29.25" hidden="1" customHeight="1">
      <c r="A138" s="53" t="s">
        <v>126</v>
      </c>
      <c r="B138" s="107" t="s">
        <v>807</v>
      </c>
      <c r="C138" s="108" t="s">
        <v>808</v>
      </c>
      <c r="D138" s="96"/>
      <c r="E138" s="97"/>
      <c r="F138" s="124" t="s">
        <v>75</v>
      </c>
      <c r="G138" s="98">
        <v>100.0</v>
      </c>
      <c r="H138" s="99"/>
      <c r="I138" s="100">
        <v>45870.0</v>
      </c>
      <c r="J138" s="101">
        <v>45915.0</v>
      </c>
      <c r="K138" s="101"/>
      <c r="L138" s="101">
        <v>45918.0</v>
      </c>
      <c r="M138" s="25">
        <f>IF(ISBLANK(L138), NETWORKDAYS(J138, TODAY(),Hoja2!$A$1:$A$18), NETWORKDAYS(J138, L138, Hoja2!$A$1:$A$18))</f>
        <v>4</v>
      </c>
      <c r="N138" s="100"/>
      <c r="O138" s="102"/>
      <c r="P138" s="31" t="s">
        <v>809</v>
      </c>
      <c r="Q138" s="114" t="s">
        <v>71</v>
      </c>
      <c r="R138" s="103"/>
      <c r="S138" s="103"/>
      <c r="T138" s="104"/>
      <c r="U138" s="106"/>
      <c r="V138" s="106"/>
      <c r="W138" s="106"/>
      <c r="X138" s="106"/>
      <c r="Y138" s="106"/>
      <c r="Z138" s="106"/>
      <c r="AA138" s="106"/>
      <c r="AB138" s="106"/>
      <c r="AC138" s="106"/>
      <c r="AD138" s="106"/>
      <c r="AE138" s="106"/>
      <c r="AF138" s="106"/>
      <c r="AG138" s="106"/>
      <c r="AH138" s="106"/>
      <c r="AI138" s="106"/>
      <c r="AJ138" s="106"/>
      <c r="AK138" s="106"/>
      <c r="AL138" s="106"/>
      <c r="AM138" s="106"/>
      <c r="AN138" s="106"/>
      <c r="AO138" s="106"/>
      <c r="AP138" s="106"/>
      <c r="AQ138" s="106"/>
      <c r="AR138" s="106"/>
      <c r="AS138" s="106"/>
      <c r="AT138" s="106"/>
      <c r="AU138" s="106"/>
      <c r="AV138" s="106"/>
      <c r="AW138" s="106"/>
      <c r="AX138" s="106"/>
      <c r="AY138" s="106"/>
      <c r="AZ138" s="106"/>
      <c r="BA138" s="106"/>
      <c r="BB138" s="106"/>
      <c r="BC138" s="106"/>
      <c r="BD138" s="106"/>
      <c r="BE138" s="106"/>
      <c r="BF138" s="106"/>
      <c r="BG138" s="106"/>
      <c r="BH138" s="106"/>
      <c r="BI138" s="106"/>
      <c r="BJ138" s="106"/>
      <c r="BK138" s="106"/>
      <c r="BL138" s="106"/>
      <c r="BM138" s="106"/>
      <c r="BN138" s="106"/>
    </row>
    <row r="139" ht="29.25" hidden="1" customHeight="1">
      <c r="A139" s="53" t="s">
        <v>126</v>
      </c>
      <c r="B139" s="16" t="s">
        <v>810</v>
      </c>
      <c r="C139" s="108" t="s">
        <v>811</v>
      </c>
      <c r="D139" s="153"/>
      <c r="E139" s="97"/>
      <c r="F139" s="124" t="s">
        <v>812</v>
      </c>
      <c r="G139" s="99"/>
      <c r="H139" s="99"/>
      <c r="I139" s="100">
        <v>45855.0</v>
      </c>
      <c r="J139" s="101"/>
      <c r="K139" s="101"/>
      <c r="L139" s="101"/>
      <c r="M139" s="25">
        <f>IF(ISBLANK(L139), NETWORKDAYS(J139, TODAY(),Hoja2!$A$1:$A$18), NETWORKDAYS(J139, L139, Hoja2!$A$1:$A$18))</f>
        <v>32848</v>
      </c>
      <c r="N139" s="100"/>
      <c r="O139" s="102"/>
      <c r="P139" s="89" t="s">
        <v>813</v>
      </c>
      <c r="Q139" s="114" t="s">
        <v>91</v>
      </c>
      <c r="R139" s="103"/>
      <c r="S139" s="103"/>
      <c r="T139" s="104"/>
      <c r="U139" s="106"/>
      <c r="V139" s="106"/>
      <c r="W139" s="106"/>
      <c r="X139" s="106"/>
      <c r="Y139" s="106"/>
      <c r="Z139" s="106"/>
      <c r="AA139" s="106"/>
      <c r="AB139" s="106"/>
      <c r="AC139" s="106"/>
      <c r="AD139" s="106"/>
      <c r="AE139" s="106"/>
      <c r="AF139" s="106"/>
      <c r="AG139" s="106"/>
      <c r="AH139" s="106"/>
      <c r="AI139" s="106"/>
      <c r="AJ139" s="106"/>
      <c r="AK139" s="106"/>
      <c r="AL139" s="106"/>
      <c r="AM139" s="106"/>
      <c r="AN139" s="106"/>
      <c r="AO139" s="106"/>
      <c r="AP139" s="106"/>
      <c r="AQ139" s="106"/>
      <c r="AR139" s="106"/>
      <c r="AS139" s="106"/>
      <c r="AT139" s="106"/>
      <c r="AU139" s="106"/>
      <c r="AV139" s="106"/>
      <c r="AW139" s="106"/>
      <c r="AX139" s="106"/>
      <c r="AY139" s="106"/>
      <c r="AZ139" s="106"/>
      <c r="BA139" s="106"/>
      <c r="BB139" s="106"/>
      <c r="BC139" s="106"/>
      <c r="BD139" s="106"/>
      <c r="BE139" s="106"/>
      <c r="BF139" s="106"/>
      <c r="BG139" s="106"/>
      <c r="BH139" s="106"/>
      <c r="BI139" s="106"/>
      <c r="BJ139" s="106"/>
      <c r="BK139" s="106"/>
      <c r="BL139" s="106"/>
      <c r="BM139" s="106"/>
      <c r="BN139" s="106"/>
    </row>
    <row r="140" ht="29.25" hidden="1" customHeight="1">
      <c r="A140" s="53" t="s">
        <v>126</v>
      </c>
      <c r="B140" s="107" t="s">
        <v>814</v>
      </c>
      <c r="C140" s="108" t="s">
        <v>815</v>
      </c>
      <c r="D140" s="96" t="s">
        <v>816</v>
      </c>
      <c r="E140" s="97"/>
      <c r="F140" s="124" t="s">
        <v>75</v>
      </c>
      <c r="G140" s="98">
        <v>100.0</v>
      </c>
      <c r="H140" s="99"/>
      <c r="I140" s="175">
        <v>45890.0</v>
      </c>
      <c r="J140" s="101">
        <v>45894.0</v>
      </c>
      <c r="K140" s="101"/>
      <c r="L140" s="101">
        <v>45898.0</v>
      </c>
      <c r="M140" s="25">
        <f>IF(ISBLANK(L140), NETWORKDAYS(J140, TODAY(),Hoja2!$A$1:$A$18), NETWORKDAYS(J140, L140, Hoja2!$A$1:$A$18))</f>
        <v>5</v>
      </c>
      <c r="N140" s="100">
        <v>45898.0</v>
      </c>
      <c r="O140" s="181">
        <v>45902.0</v>
      </c>
      <c r="P140" s="31" t="s">
        <v>817</v>
      </c>
      <c r="Q140" s="114" t="s">
        <v>71</v>
      </c>
      <c r="R140" s="98"/>
      <c r="S140" s="98" t="s">
        <v>818</v>
      </c>
      <c r="T140" s="124" t="s">
        <v>819</v>
      </c>
      <c r="U140" s="106"/>
      <c r="V140" s="106"/>
      <c r="W140" s="106"/>
      <c r="X140" s="106"/>
      <c r="Y140" s="106"/>
      <c r="Z140" s="106"/>
      <c r="AA140" s="106"/>
      <c r="AB140" s="106"/>
      <c r="AC140" s="106"/>
      <c r="AD140" s="106"/>
      <c r="AE140" s="106"/>
      <c r="AF140" s="106"/>
      <c r="AG140" s="106"/>
      <c r="AH140" s="106"/>
      <c r="AI140" s="106"/>
      <c r="AJ140" s="106"/>
      <c r="AK140" s="106"/>
      <c r="AL140" s="106"/>
      <c r="AM140" s="106"/>
      <c r="AN140" s="106"/>
      <c r="AO140" s="106"/>
      <c r="AP140" s="106"/>
      <c r="AQ140" s="106"/>
      <c r="AR140" s="106"/>
      <c r="AS140" s="106"/>
      <c r="AT140" s="106"/>
      <c r="AU140" s="106"/>
      <c r="AV140" s="106"/>
      <c r="AW140" s="106"/>
      <c r="AX140" s="106"/>
      <c r="AY140" s="106"/>
      <c r="AZ140" s="106"/>
      <c r="BA140" s="106"/>
      <c r="BB140" s="106"/>
      <c r="BC140" s="106"/>
      <c r="BD140" s="106"/>
      <c r="BE140" s="106"/>
      <c r="BF140" s="106"/>
      <c r="BG140" s="106"/>
      <c r="BH140" s="106"/>
      <c r="BI140" s="106"/>
      <c r="BJ140" s="106"/>
      <c r="BK140" s="106"/>
      <c r="BL140" s="106"/>
      <c r="BM140" s="106"/>
      <c r="BN140" s="106"/>
    </row>
    <row r="141" ht="29.25" hidden="1" customHeight="1">
      <c r="A141" s="53" t="s">
        <v>207</v>
      </c>
      <c r="B141" s="107" t="s">
        <v>820</v>
      </c>
      <c r="C141" s="108" t="s">
        <v>821</v>
      </c>
      <c r="D141" s="96"/>
      <c r="E141" s="97"/>
      <c r="F141" s="124" t="s">
        <v>237</v>
      </c>
      <c r="G141" s="99"/>
      <c r="H141" s="99"/>
      <c r="I141" s="100">
        <v>45903.0</v>
      </c>
      <c r="J141" s="101"/>
      <c r="K141" s="101"/>
      <c r="L141" s="101"/>
      <c r="M141" s="25">
        <f>IF(ISBLANK(L141), NETWORKDAYS(J141, TODAY(),Hoja2!$A$1:$A$18), NETWORKDAYS(J141, L141, Hoja2!$A$1:$A$18))</f>
        <v>32848</v>
      </c>
      <c r="N141" s="100"/>
      <c r="O141" s="102"/>
      <c r="P141" s="31"/>
      <c r="Q141" s="114" t="s">
        <v>71</v>
      </c>
      <c r="R141" s="103"/>
      <c r="S141" s="103"/>
      <c r="T141" s="104"/>
      <c r="U141" s="106"/>
      <c r="V141" s="106"/>
      <c r="W141" s="106"/>
      <c r="X141" s="106"/>
      <c r="Y141" s="106"/>
      <c r="Z141" s="106"/>
      <c r="AA141" s="106"/>
      <c r="AB141" s="106"/>
      <c r="AC141" s="106"/>
      <c r="AD141" s="106"/>
      <c r="AE141" s="106"/>
      <c r="AF141" s="106"/>
      <c r="AG141" s="106"/>
      <c r="AH141" s="106"/>
      <c r="AI141" s="106"/>
      <c r="AJ141" s="106"/>
      <c r="AK141" s="106"/>
      <c r="AL141" s="106"/>
      <c r="AM141" s="106"/>
      <c r="AN141" s="106"/>
      <c r="AO141" s="106"/>
      <c r="AP141" s="106"/>
      <c r="AQ141" s="106"/>
      <c r="AR141" s="106"/>
      <c r="AS141" s="106"/>
      <c r="AT141" s="106"/>
      <c r="AU141" s="106"/>
      <c r="AV141" s="106"/>
      <c r="AW141" s="106"/>
      <c r="AX141" s="106"/>
      <c r="AY141" s="106"/>
      <c r="AZ141" s="106"/>
      <c r="BA141" s="106"/>
      <c r="BB141" s="106"/>
      <c r="BC141" s="106"/>
      <c r="BD141" s="106"/>
      <c r="BE141" s="106"/>
      <c r="BF141" s="106"/>
      <c r="BG141" s="106"/>
      <c r="BH141" s="106"/>
      <c r="BI141" s="106"/>
      <c r="BJ141" s="106"/>
      <c r="BK141" s="106"/>
      <c r="BL141" s="106"/>
      <c r="BM141" s="106"/>
      <c r="BN141" s="106"/>
    </row>
    <row r="142" ht="29.25" hidden="1" customHeight="1">
      <c r="A142" s="53" t="s">
        <v>207</v>
      </c>
      <c r="B142" s="107" t="s">
        <v>822</v>
      </c>
      <c r="C142" s="111" t="s">
        <v>823</v>
      </c>
      <c r="D142" s="96" t="s">
        <v>824</v>
      </c>
      <c r="E142" s="97"/>
      <c r="F142" s="124" t="s">
        <v>75</v>
      </c>
      <c r="G142" s="98">
        <v>100.0</v>
      </c>
      <c r="H142" s="99"/>
      <c r="I142" s="100">
        <v>45973.0</v>
      </c>
      <c r="J142" s="101">
        <v>45973.0</v>
      </c>
      <c r="K142" s="101"/>
      <c r="L142" s="101">
        <v>45973.0</v>
      </c>
      <c r="M142" s="25">
        <f>IF(ISBLANK(L142), NETWORKDAYS(J142, TODAY(),Hoja2!$A$1:$A$18), NETWORKDAYS(J142, L142, Hoja2!$A$1:$A$18))</f>
        <v>1</v>
      </c>
      <c r="N142" s="100"/>
      <c r="O142" s="102"/>
      <c r="P142" s="31" t="s">
        <v>825</v>
      </c>
      <c r="Q142" s="114" t="s">
        <v>71</v>
      </c>
      <c r="R142" s="103"/>
      <c r="S142" s="103"/>
      <c r="T142" s="104"/>
      <c r="U142" s="106"/>
      <c r="V142" s="106"/>
      <c r="W142" s="106"/>
      <c r="X142" s="106"/>
      <c r="Y142" s="106"/>
      <c r="Z142" s="106"/>
      <c r="AA142" s="106"/>
      <c r="AB142" s="106"/>
      <c r="AC142" s="106"/>
      <c r="AD142" s="106"/>
      <c r="AE142" s="106"/>
      <c r="AF142" s="106"/>
      <c r="AG142" s="106"/>
      <c r="AH142" s="106"/>
      <c r="AI142" s="106"/>
      <c r="AJ142" s="106"/>
      <c r="AK142" s="106"/>
      <c r="AL142" s="106"/>
      <c r="AM142" s="106"/>
      <c r="AN142" s="106"/>
      <c r="AO142" s="106"/>
      <c r="AP142" s="106"/>
      <c r="AQ142" s="106"/>
      <c r="AR142" s="106"/>
      <c r="AS142" s="106"/>
      <c r="AT142" s="106"/>
      <c r="AU142" s="106"/>
      <c r="AV142" s="106"/>
      <c r="AW142" s="106"/>
      <c r="AX142" s="106"/>
      <c r="AY142" s="106"/>
      <c r="AZ142" s="106"/>
      <c r="BA142" s="106"/>
      <c r="BB142" s="106"/>
      <c r="BC142" s="106"/>
      <c r="BD142" s="106"/>
      <c r="BE142" s="106"/>
      <c r="BF142" s="106"/>
      <c r="BG142" s="106"/>
      <c r="BH142" s="106"/>
      <c r="BI142" s="106"/>
      <c r="BJ142" s="106"/>
      <c r="BK142" s="106"/>
      <c r="BL142" s="106"/>
      <c r="BM142" s="106"/>
      <c r="BN142" s="106"/>
    </row>
    <row r="143" ht="29.25" hidden="1" customHeight="1">
      <c r="A143" s="53" t="s">
        <v>207</v>
      </c>
      <c r="B143" s="107" t="s">
        <v>826</v>
      </c>
      <c r="C143" s="111" t="s">
        <v>827</v>
      </c>
      <c r="D143" s="96" t="s">
        <v>828</v>
      </c>
      <c r="E143" s="97"/>
      <c r="F143" s="124" t="s">
        <v>75</v>
      </c>
      <c r="G143" s="98">
        <v>100.0</v>
      </c>
      <c r="H143" s="99"/>
      <c r="I143" s="100">
        <v>45973.0</v>
      </c>
      <c r="J143" s="101">
        <v>45974.0</v>
      </c>
      <c r="K143" s="101"/>
      <c r="L143" s="101">
        <v>45974.0</v>
      </c>
      <c r="M143" s="25">
        <f>IF(ISBLANK(L143), NETWORKDAYS(J143, TODAY(),Hoja2!$A$1:$A$18), NETWORKDAYS(J143, L143, Hoja2!$A$1:$A$18))</f>
        <v>1</v>
      </c>
      <c r="N143" s="100"/>
      <c r="O143" s="102"/>
      <c r="P143" s="31" t="s">
        <v>829</v>
      </c>
      <c r="Q143" s="114" t="s">
        <v>71</v>
      </c>
      <c r="R143" s="103"/>
      <c r="S143" s="103"/>
      <c r="T143" s="104"/>
      <c r="U143" s="106"/>
      <c r="V143" s="106"/>
      <c r="W143" s="106"/>
      <c r="X143" s="106"/>
      <c r="Y143" s="106"/>
      <c r="Z143" s="106"/>
      <c r="AA143" s="106"/>
      <c r="AB143" s="106"/>
      <c r="AC143" s="106"/>
      <c r="AD143" s="106"/>
      <c r="AE143" s="106"/>
      <c r="AF143" s="106"/>
      <c r="AG143" s="106"/>
      <c r="AH143" s="106"/>
      <c r="AI143" s="106"/>
      <c r="AJ143" s="106"/>
      <c r="AK143" s="106"/>
      <c r="AL143" s="106"/>
      <c r="AM143" s="106"/>
      <c r="AN143" s="106"/>
      <c r="AO143" s="106"/>
      <c r="AP143" s="106"/>
      <c r="AQ143" s="106"/>
      <c r="AR143" s="106"/>
      <c r="AS143" s="106"/>
      <c r="AT143" s="106"/>
      <c r="AU143" s="106"/>
      <c r="AV143" s="106"/>
      <c r="AW143" s="106"/>
      <c r="AX143" s="106"/>
      <c r="AY143" s="106"/>
      <c r="AZ143" s="106"/>
      <c r="BA143" s="106"/>
      <c r="BB143" s="106"/>
      <c r="BC143" s="106"/>
      <c r="BD143" s="106"/>
      <c r="BE143" s="106"/>
      <c r="BF143" s="106"/>
      <c r="BG143" s="106"/>
      <c r="BH143" s="106"/>
      <c r="BI143" s="106"/>
      <c r="BJ143" s="106"/>
      <c r="BK143" s="106"/>
      <c r="BL143" s="106"/>
      <c r="BM143" s="106"/>
      <c r="BN143" s="106"/>
    </row>
    <row r="144" ht="29.25" hidden="1" customHeight="1">
      <c r="A144" s="53" t="s">
        <v>126</v>
      </c>
      <c r="B144" s="16" t="s">
        <v>830</v>
      </c>
      <c r="C144" s="108" t="s">
        <v>831</v>
      </c>
      <c r="D144" s="153" t="s">
        <v>832</v>
      </c>
      <c r="E144" s="97"/>
      <c r="F144" s="19" t="s">
        <v>833</v>
      </c>
      <c r="G144" s="98">
        <v>50.0</v>
      </c>
      <c r="H144" s="99"/>
      <c r="I144" s="100">
        <v>45868.0</v>
      </c>
      <c r="J144" s="101">
        <v>45881.0</v>
      </c>
      <c r="K144" s="101"/>
      <c r="L144" s="101">
        <v>45911.0</v>
      </c>
      <c r="M144" s="25">
        <f>IF(ISBLANK(L144), NETWORKDAYS(J144, TODAY(),Hoja2!$A$1:$A$18), NETWORKDAYS(J144, L144, Hoja2!$A$1:$A$18))</f>
        <v>23</v>
      </c>
      <c r="N144" s="100">
        <v>45911.0</v>
      </c>
      <c r="O144" s="102"/>
      <c r="P144" s="31" t="s">
        <v>834</v>
      </c>
      <c r="Q144" s="28" t="s">
        <v>71</v>
      </c>
      <c r="R144" s="156"/>
      <c r="S144" s="98" t="s">
        <v>835</v>
      </c>
      <c r="T144" s="124" t="s">
        <v>680</v>
      </c>
      <c r="U144" s="106"/>
      <c r="V144" s="106"/>
      <c r="W144" s="106"/>
      <c r="X144" s="106"/>
      <c r="Y144" s="106"/>
      <c r="Z144" s="106"/>
      <c r="AA144" s="106"/>
      <c r="AB144" s="106"/>
      <c r="AC144" s="106"/>
      <c r="AD144" s="106"/>
      <c r="AE144" s="106"/>
      <c r="AF144" s="106"/>
      <c r="AG144" s="106"/>
      <c r="AH144" s="106"/>
      <c r="AI144" s="106"/>
      <c r="AJ144" s="106"/>
      <c r="AK144" s="106"/>
      <c r="AL144" s="106"/>
      <c r="AM144" s="106"/>
      <c r="AN144" s="106"/>
      <c r="AO144" s="106"/>
      <c r="AP144" s="106"/>
      <c r="AQ144" s="106"/>
      <c r="AR144" s="106"/>
      <c r="AS144" s="106"/>
      <c r="AT144" s="106"/>
      <c r="AU144" s="106"/>
      <c r="AV144" s="106"/>
      <c r="AW144" s="106"/>
      <c r="AX144" s="106"/>
      <c r="AY144" s="106"/>
      <c r="AZ144" s="106"/>
      <c r="BA144" s="106"/>
      <c r="BB144" s="106"/>
      <c r="BC144" s="106"/>
      <c r="BD144" s="106"/>
      <c r="BE144" s="106"/>
      <c r="BF144" s="106"/>
      <c r="BG144" s="106"/>
      <c r="BH144" s="106"/>
      <c r="BI144" s="106"/>
      <c r="BJ144" s="106"/>
      <c r="BK144" s="106"/>
      <c r="BL144" s="106"/>
      <c r="BM144" s="106"/>
      <c r="BN144" s="106"/>
    </row>
    <row r="145" ht="29.25" hidden="1" customHeight="1">
      <c r="A145" s="15" t="s">
        <v>66</v>
      </c>
      <c r="B145" s="107" t="s">
        <v>836</v>
      </c>
      <c r="C145" s="108" t="s">
        <v>837</v>
      </c>
      <c r="D145" s="96" t="s">
        <v>838</v>
      </c>
      <c r="E145" s="97"/>
      <c r="F145" s="19" t="s">
        <v>75</v>
      </c>
      <c r="G145" s="98">
        <v>100.0</v>
      </c>
      <c r="H145" s="99"/>
      <c r="I145" s="100">
        <v>45889.0</v>
      </c>
      <c r="J145" s="101">
        <v>45889.0</v>
      </c>
      <c r="K145" s="101"/>
      <c r="L145" s="101">
        <v>45920.0</v>
      </c>
      <c r="M145" s="25">
        <f>IF(ISBLANK(L145), NETWORKDAYS(J145, TODAY(),Hoja2!$A$1:$A$18), NETWORKDAYS(J145, L145, Hoja2!$A$1:$A$18))</f>
        <v>23</v>
      </c>
      <c r="N145" s="100"/>
      <c r="O145" s="102"/>
      <c r="P145" s="31" t="s">
        <v>839</v>
      </c>
      <c r="Q145" s="28" t="s">
        <v>71</v>
      </c>
      <c r="R145" s="98">
        <v>1.0</v>
      </c>
      <c r="S145" s="103"/>
      <c r="T145" s="104"/>
      <c r="U145" s="106"/>
      <c r="V145" s="106"/>
      <c r="W145" s="106"/>
      <c r="X145" s="106"/>
      <c r="Y145" s="106"/>
      <c r="Z145" s="106"/>
      <c r="AA145" s="106"/>
      <c r="AB145" s="106"/>
      <c r="AC145" s="106"/>
      <c r="AD145" s="106"/>
      <c r="AE145" s="106"/>
      <c r="AF145" s="106"/>
      <c r="AG145" s="106"/>
      <c r="AH145" s="106"/>
      <c r="AI145" s="106"/>
      <c r="AJ145" s="106"/>
      <c r="AK145" s="106"/>
      <c r="AL145" s="106"/>
      <c r="AM145" s="106"/>
      <c r="AN145" s="106"/>
      <c r="AO145" s="106"/>
      <c r="AP145" s="106"/>
      <c r="AQ145" s="106"/>
      <c r="AR145" s="106"/>
      <c r="AS145" s="106"/>
      <c r="AT145" s="106"/>
      <c r="AU145" s="106"/>
      <c r="AV145" s="106"/>
      <c r="AW145" s="106"/>
      <c r="AX145" s="106"/>
      <c r="AY145" s="106"/>
      <c r="AZ145" s="106"/>
      <c r="BA145" s="106"/>
      <c r="BB145" s="106"/>
      <c r="BC145" s="106"/>
      <c r="BD145" s="106"/>
      <c r="BE145" s="106"/>
      <c r="BF145" s="106"/>
      <c r="BG145" s="106"/>
      <c r="BH145" s="106"/>
      <c r="BI145" s="106"/>
      <c r="BJ145" s="106"/>
      <c r="BK145" s="106"/>
      <c r="BL145" s="106"/>
      <c r="BM145" s="106"/>
      <c r="BN145" s="106"/>
    </row>
    <row r="146" ht="29.25" hidden="1" customHeight="1">
      <c r="A146" s="15" t="s">
        <v>66</v>
      </c>
      <c r="B146" s="16" t="s">
        <v>840</v>
      </c>
      <c r="C146" s="108" t="s">
        <v>841</v>
      </c>
      <c r="D146" s="153"/>
      <c r="E146" s="97"/>
      <c r="F146" s="124" t="s">
        <v>75</v>
      </c>
      <c r="G146" s="98">
        <v>100.0</v>
      </c>
      <c r="H146" s="99"/>
      <c r="I146" s="100">
        <v>45889.0</v>
      </c>
      <c r="J146" s="101">
        <v>45908.0</v>
      </c>
      <c r="K146" s="101"/>
      <c r="L146" s="101">
        <v>45920.0</v>
      </c>
      <c r="M146" s="25">
        <f>IF(ISBLANK(L146), NETWORKDAYS(J146, TODAY(),Hoja2!$A$1:$A$18), NETWORKDAYS(J146, L146, Hoja2!$A$1:$A$18))</f>
        <v>10</v>
      </c>
      <c r="N146" s="100"/>
      <c r="O146" s="102"/>
      <c r="P146" s="31" t="s">
        <v>842</v>
      </c>
      <c r="Q146" s="114" t="s">
        <v>71</v>
      </c>
      <c r="R146" s="103"/>
      <c r="S146" s="103"/>
      <c r="T146" s="104"/>
      <c r="U146" s="106"/>
      <c r="V146" s="106"/>
      <c r="W146" s="106"/>
      <c r="X146" s="106"/>
      <c r="Y146" s="106"/>
      <c r="Z146" s="106"/>
      <c r="AA146" s="106"/>
      <c r="AB146" s="106"/>
      <c r="AC146" s="106"/>
      <c r="AD146" s="106"/>
      <c r="AE146" s="106"/>
      <c r="AF146" s="106"/>
      <c r="AG146" s="106"/>
      <c r="AH146" s="106"/>
      <c r="AI146" s="106"/>
      <c r="AJ146" s="106"/>
      <c r="AK146" s="106"/>
      <c r="AL146" s="106"/>
      <c r="AM146" s="106"/>
      <c r="AN146" s="106"/>
      <c r="AO146" s="106"/>
      <c r="AP146" s="106"/>
      <c r="AQ146" s="106"/>
      <c r="AR146" s="106"/>
      <c r="AS146" s="106"/>
      <c r="AT146" s="106"/>
      <c r="AU146" s="106"/>
      <c r="AV146" s="106"/>
      <c r="AW146" s="106"/>
      <c r="AX146" s="106"/>
      <c r="AY146" s="106"/>
      <c r="AZ146" s="106"/>
      <c r="BA146" s="106"/>
      <c r="BB146" s="106"/>
      <c r="BC146" s="106"/>
      <c r="BD146" s="106"/>
      <c r="BE146" s="106"/>
      <c r="BF146" s="106"/>
      <c r="BG146" s="106"/>
      <c r="BH146" s="106"/>
      <c r="BI146" s="106"/>
      <c r="BJ146" s="106"/>
      <c r="BK146" s="106"/>
      <c r="BL146" s="106"/>
      <c r="BM146" s="106"/>
      <c r="BN146" s="106"/>
    </row>
    <row r="147" ht="29.25" hidden="1" customHeight="1">
      <c r="A147" s="53" t="s">
        <v>155</v>
      </c>
      <c r="B147" s="16" t="s">
        <v>843</v>
      </c>
      <c r="C147" s="108" t="s">
        <v>844</v>
      </c>
      <c r="D147" s="96" t="s">
        <v>845</v>
      </c>
      <c r="E147" s="97"/>
      <c r="F147" s="124" t="s">
        <v>75</v>
      </c>
      <c r="G147" s="98">
        <v>100.0</v>
      </c>
      <c r="H147" s="99"/>
      <c r="I147" s="100">
        <v>45889.0</v>
      </c>
      <c r="J147" s="101">
        <v>45890.0</v>
      </c>
      <c r="K147" s="101">
        <v>45891.0</v>
      </c>
      <c r="L147" s="101">
        <v>45901.0</v>
      </c>
      <c r="M147" s="25">
        <f>IF(ISBLANK(L147), NETWORKDAYS(J147, TODAY(),Hoja2!$A$1:$A$18), NETWORKDAYS(J147, L147, Hoja2!$A$1:$A$18))</f>
        <v>8</v>
      </c>
      <c r="N147" s="100">
        <v>45901.0</v>
      </c>
      <c r="O147" s="102">
        <v>45903.0</v>
      </c>
      <c r="P147" s="31" t="s">
        <v>846</v>
      </c>
      <c r="Q147" s="114" t="s">
        <v>71</v>
      </c>
      <c r="R147" s="103"/>
      <c r="S147" s="103"/>
      <c r="T147" s="104"/>
      <c r="U147" s="106"/>
      <c r="V147" s="106"/>
      <c r="W147" s="106"/>
      <c r="X147" s="106"/>
      <c r="Y147" s="106"/>
      <c r="Z147" s="106"/>
      <c r="AA147" s="106"/>
      <c r="AB147" s="106"/>
      <c r="AC147" s="106"/>
      <c r="AD147" s="106"/>
      <c r="AE147" s="106"/>
      <c r="AF147" s="106"/>
      <c r="AG147" s="106"/>
      <c r="AH147" s="106"/>
      <c r="AI147" s="106"/>
      <c r="AJ147" s="106"/>
      <c r="AK147" s="106"/>
      <c r="AL147" s="106"/>
      <c r="AM147" s="106"/>
      <c r="AN147" s="106"/>
      <c r="AO147" s="106"/>
      <c r="AP147" s="106"/>
      <c r="AQ147" s="106"/>
      <c r="AR147" s="106"/>
      <c r="AS147" s="106"/>
      <c r="AT147" s="106"/>
      <c r="AU147" s="106"/>
      <c r="AV147" s="106"/>
      <c r="AW147" s="106"/>
      <c r="AX147" s="106"/>
      <c r="AY147" s="106"/>
      <c r="AZ147" s="106"/>
      <c r="BA147" s="106"/>
      <c r="BB147" s="106"/>
      <c r="BC147" s="106"/>
      <c r="BD147" s="106"/>
      <c r="BE147" s="106"/>
      <c r="BF147" s="106"/>
      <c r="BG147" s="106"/>
      <c r="BH147" s="106"/>
      <c r="BI147" s="106"/>
      <c r="BJ147" s="106"/>
      <c r="BK147" s="106"/>
      <c r="BL147" s="106"/>
      <c r="BM147" s="106"/>
      <c r="BN147" s="106"/>
    </row>
    <row r="148" ht="29.25" hidden="1" customHeight="1">
      <c r="A148" s="53" t="s">
        <v>155</v>
      </c>
      <c r="B148" s="16" t="s">
        <v>847</v>
      </c>
      <c r="C148" s="108" t="s">
        <v>848</v>
      </c>
      <c r="D148" s="96" t="s">
        <v>849</v>
      </c>
      <c r="E148" s="97"/>
      <c r="F148" s="124" t="s">
        <v>75</v>
      </c>
      <c r="G148" s="98">
        <v>100.0</v>
      </c>
      <c r="H148" s="99"/>
      <c r="I148" s="100">
        <v>45890.0</v>
      </c>
      <c r="J148" s="101">
        <v>45890.0</v>
      </c>
      <c r="K148" s="101"/>
      <c r="L148" s="101">
        <v>45891.0</v>
      </c>
      <c r="M148" s="25">
        <f>IF(ISBLANK(L148), NETWORKDAYS(J148, TODAY(),Hoja2!$A$1:$A$18), NETWORKDAYS(J148, L148, Hoja2!$A$1:$A$18))</f>
        <v>2</v>
      </c>
      <c r="N148" s="100"/>
      <c r="O148" s="102"/>
      <c r="P148" s="31" t="s">
        <v>850</v>
      </c>
      <c r="Q148" s="28" t="s">
        <v>71</v>
      </c>
      <c r="R148" s="103"/>
      <c r="S148" s="103"/>
      <c r="T148" s="104"/>
      <c r="U148" s="106"/>
      <c r="V148" s="106"/>
      <c r="W148" s="106"/>
      <c r="X148" s="106"/>
      <c r="Y148" s="106"/>
      <c r="Z148" s="106"/>
      <c r="AA148" s="106"/>
      <c r="AB148" s="106"/>
      <c r="AC148" s="106"/>
      <c r="AD148" s="106"/>
      <c r="AE148" s="106"/>
      <c r="AF148" s="106"/>
      <c r="AG148" s="106"/>
      <c r="AH148" s="106"/>
      <c r="AI148" s="106"/>
      <c r="AJ148" s="106"/>
      <c r="AK148" s="106"/>
      <c r="AL148" s="106"/>
      <c r="AM148" s="106"/>
      <c r="AN148" s="106"/>
      <c r="AO148" s="106"/>
      <c r="AP148" s="106"/>
      <c r="AQ148" s="106"/>
      <c r="AR148" s="106"/>
      <c r="AS148" s="106"/>
      <c r="AT148" s="106"/>
      <c r="AU148" s="106"/>
      <c r="AV148" s="106"/>
      <c r="AW148" s="106"/>
      <c r="AX148" s="106"/>
      <c r="AY148" s="106"/>
      <c r="AZ148" s="106"/>
      <c r="BA148" s="106"/>
      <c r="BB148" s="106"/>
      <c r="BC148" s="106"/>
      <c r="BD148" s="106"/>
      <c r="BE148" s="106"/>
      <c r="BF148" s="106"/>
      <c r="BG148" s="106"/>
      <c r="BH148" s="106"/>
      <c r="BI148" s="106"/>
      <c r="BJ148" s="106"/>
      <c r="BK148" s="106"/>
      <c r="BL148" s="106"/>
      <c r="BM148" s="106"/>
      <c r="BN148" s="106"/>
    </row>
    <row r="149" ht="29.25" hidden="1" customHeight="1">
      <c r="A149" s="93" t="s">
        <v>66</v>
      </c>
      <c r="B149" s="107" t="s">
        <v>851</v>
      </c>
      <c r="C149" s="108" t="s">
        <v>852</v>
      </c>
      <c r="D149" s="96" t="s">
        <v>853</v>
      </c>
      <c r="E149" s="97"/>
      <c r="F149" s="19" t="s">
        <v>75</v>
      </c>
      <c r="G149" s="98">
        <v>100.0</v>
      </c>
      <c r="H149" s="99"/>
      <c r="I149" s="100">
        <v>45883.0</v>
      </c>
      <c r="J149" s="101">
        <v>45883.0</v>
      </c>
      <c r="K149" s="101"/>
      <c r="L149" s="101">
        <v>45901.0</v>
      </c>
      <c r="M149" s="25">
        <f>IF(ISBLANK(L149), NETWORKDAYS(J149, TODAY(),Hoja2!$A$1:$A$18), NETWORKDAYS(J149, L149, Hoja2!$A$1:$A$18))</f>
        <v>13</v>
      </c>
      <c r="N149" s="100"/>
      <c r="O149" s="102"/>
      <c r="P149" s="31" t="s">
        <v>854</v>
      </c>
      <c r="Q149" s="28" t="s">
        <v>71</v>
      </c>
      <c r="R149" s="103"/>
      <c r="S149" s="103"/>
      <c r="T149" s="104"/>
      <c r="U149" s="106"/>
      <c r="V149" s="106"/>
      <c r="W149" s="106"/>
      <c r="X149" s="106"/>
      <c r="Y149" s="106"/>
      <c r="Z149" s="106"/>
      <c r="AA149" s="106"/>
      <c r="AB149" s="106"/>
      <c r="AC149" s="106"/>
      <c r="AD149" s="106"/>
      <c r="AE149" s="106"/>
      <c r="AF149" s="106"/>
      <c r="AG149" s="106"/>
      <c r="AH149" s="106"/>
      <c r="AI149" s="106"/>
      <c r="AJ149" s="106"/>
      <c r="AK149" s="106"/>
      <c r="AL149" s="106"/>
      <c r="AM149" s="106"/>
      <c r="AN149" s="106"/>
      <c r="AO149" s="106"/>
      <c r="AP149" s="106"/>
      <c r="AQ149" s="106"/>
      <c r="AR149" s="106"/>
      <c r="AS149" s="106"/>
      <c r="AT149" s="106"/>
      <c r="AU149" s="106"/>
      <c r="AV149" s="106"/>
      <c r="AW149" s="106"/>
      <c r="AX149" s="106"/>
      <c r="AY149" s="106"/>
      <c r="AZ149" s="106"/>
      <c r="BA149" s="106"/>
      <c r="BB149" s="106"/>
      <c r="BC149" s="106"/>
      <c r="BD149" s="106"/>
      <c r="BE149" s="106"/>
      <c r="BF149" s="106"/>
      <c r="BG149" s="106"/>
      <c r="BH149" s="106"/>
      <c r="BI149" s="106"/>
      <c r="BJ149" s="106"/>
      <c r="BK149" s="106"/>
      <c r="BL149" s="106"/>
      <c r="BM149" s="106"/>
      <c r="BN149" s="106"/>
    </row>
    <row r="150" ht="29.25" hidden="1" customHeight="1">
      <c r="A150" s="93" t="s">
        <v>66</v>
      </c>
      <c r="B150" s="107" t="s">
        <v>855</v>
      </c>
      <c r="C150" s="108" t="s">
        <v>856</v>
      </c>
      <c r="D150" s="96"/>
      <c r="E150" s="97"/>
      <c r="F150" s="19" t="s">
        <v>75</v>
      </c>
      <c r="G150" s="98">
        <v>100.0</v>
      </c>
      <c r="H150" s="99"/>
      <c r="I150" s="100">
        <v>45903.0</v>
      </c>
      <c r="J150" s="101">
        <v>45904.0</v>
      </c>
      <c r="K150" s="101"/>
      <c r="L150" s="101">
        <v>45904.0</v>
      </c>
      <c r="M150" s="25">
        <f>IF(ISBLANK(L150), NETWORKDAYS(J150, TODAY(),Hoja2!$A$1:$A$18), NETWORKDAYS(J150, L150, Hoja2!$A$1:$A$18))</f>
        <v>1</v>
      </c>
      <c r="N150" s="100"/>
      <c r="O150" s="102"/>
      <c r="P150" s="31" t="s">
        <v>857</v>
      </c>
      <c r="Q150" s="28" t="s">
        <v>71</v>
      </c>
      <c r="R150" s="103"/>
      <c r="S150" s="103"/>
      <c r="T150" s="104"/>
      <c r="U150" s="106"/>
      <c r="V150" s="106"/>
      <c r="W150" s="106"/>
      <c r="X150" s="106"/>
      <c r="Y150" s="106"/>
      <c r="Z150" s="106"/>
      <c r="AA150" s="106"/>
      <c r="AB150" s="106"/>
      <c r="AC150" s="106"/>
      <c r="AD150" s="106"/>
      <c r="AE150" s="106"/>
      <c r="AF150" s="106"/>
      <c r="AG150" s="106"/>
      <c r="AH150" s="106"/>
      <c r="AI150" s="106"/>
      <c r="AJ150" s="106"/>
      <c r="AK150" s="106"/>
      <c r="AL150" s="106"/>
      <c r="AM150" s="106"/>
      <c r="AN150" s="106"/>
      <c r="AO150" s="106"/>
      <c r="AP150" s="106"/>
      <c r="AQ150" s="106"/>
      <c r="AR150" s="106"/>
      <c r="AS150" s="106"/>
      <c r="AT150" s="106"/>
      <c r="AU150" s="106"/>
      <c r="AV150" s="106"/>
      <c r="AW150" s="106"/>
      <c r="AX150" s="106"/>
      <c r="AY150" s="106"/>
      <c r="AZ150" s="106"/>
      <c r="BA150" s="106"/>
      <c r="BB150" s="106"/>
      <c r="BC150" s="106"/>
      <c r="BD150" s="106"/>
      <c r="BE150" s="106"/>
      <c r="BF150" s="106"/>
      <c r="BG150" s="106"/>
      <c r="BH150" s="106"/>
      <c r="BI150" s="106"/>
      <c r="BJ150" s="106"/>
      <c r="BK150" s="106"/>
      <c r="BL150" s="106"/>
      <c r="BM150" s="106"/>
      <c r="BN150" s="106"/>
    </row>
    <row r="151" ht="29.25" hidden="1" customHeight="1">
      <c r="A151" s="93" t="s">
        <v>66</v>
      </c>
      <c r="B151" s="107" t="s">
        <v>858</v>
      </c>
      <c r="C151" s="108" t="s">
        <v>859</v>
      </c>
      <c r="D151" s="96" t="s">
        <v>860</v>
      </c>
      <c r="E151" s="97"/>
      <c r="F151" s="19" t="s">
        <v>833</v>
      </c>
      <c r="G151" s="98">
        <v>70.0</v>
      </c>
      <c r="H151" s="99"/>
      <c r="I151" s="100">
        <v>45902.0</v>
      </c>
      <c r="J151" s="101">
        <v>45902.0</v>
      </c>
      <c r="K151" s="101"/>
      <c r="L151" s="101">
        <v>45915.0</v>
      </c>
      <c r="M151" s="25">
        <f>IF(ISBLANK(L151), NETWORKDAYS(J151, TODAY(),Hoja2!$A$1:$A$18), NETWORKDAYS(J151, L151, Hoja2!$A$1:$A$18))</f>
        <v>10</v>
      </c>
      <c r="N151" s="100">
        <v>45915.0</v>
      </c>
      <c r="O151" s="102"/>
      <c r="P151" s="31" t="s">
        <v>861</v>
      </c>
      <c r="Q151" s="28" t="s">
        <v>71</v>
      </c>
      <c r="R151" s="103"/>
      <c r="S151" s="103"/>
      <c r="T151" s="104"/>
      <c r="U151" s="106"/>
      <c r="V151" s="106"/>
      <c r="W151" s="106"/>
      <c r="X151" s="106"/>
      <c r="Y151" s="106"/>
      <c r="Z151" s="106"/>
      <c r="AA151" s="106"/>
      <c r="AB151" s="106"/>
      <c r="AC151" s="106"/>
      <c r="AD151" s="106"/>
      <c r="AE151" s="106"/>
      <c r="AF151" s="106"/>
      <c r="AG151" s="106"/>
      <c r="AH151" s="106"/>
      <c r="AI151" s="106"/>
      <c r="AJ151" s="106"/>
      <c r="AK151" s="106"/>
      <c r="AL151" s="106"/>
      <c r="AM151" s="106"/>
      <c r="AN151" s="106"/>
      <c r="AO151" s="106"/>
      <c r="AP151" s="106"/>
      <c r="AQ151" s="106"/>
      <c r="AR151" s="106"/>
      <c r="AS151" s="106"/>
      <c r="AT151" s="106"/>
      <c r="AU151" s="106"/>
      <c r="AV151" s="106"/>
      <c r="AW151" s="106"/>
      <c r="AX151" s="106"/>
      <c r="AY151" s="106"/>
      <c r="AZ151" s="106"/>
      <c r="BA151" s="106"/>
      <c r="BB151" s="106"/>
      <c r="BC151" s="106"/>
      <c r="BD151" s="106"/>
      <c r="BE151" s="106"/>
      <c r="BF151" s="106"/>
      <c r="BG151" s="106"/>
      <c r="BH151" s="106"/>
      <c r="BI151" s="106"/>
      <c r="BJ151" s="106"/>
      <c r="BK151" s="106"/>
      <c r="BL151" s="106"/>
      <c r="BM151" s="106"/>
      <c r="BN151" s="106"/>
    </row>
    <row r="152" ht="29.25" hidden="1" customHeight="1">
      <c r="A152" s="93" t="s">
        <v>66</v>
      </c>
      <c r="B152" s="107" t="s">
        <v>862</v>
      </c>
      <c r="C152" s="108" t="s">
        <v>863</v>
      </c>
      <c r="D152" s="96" t="s">
        <v>864</v>
      </c>
      <c r="E152" s="97"/>
      <c r="F152" s="19" t="s">
        <v>75</v>
      </c>
      <c r="G152" s="98">
        <v>100.0</v>
      </c>
      <c r="H152" s="99"/>
      <c r="I152" s="100">
        <v>45905.0</v>
      </c>
      <c r="J152" s="101">
        <v>45905.0</v>
      </c>
      <c r="K152" s="101"/>
      <c r="L152" s="101"/>
      <c r="M152" s="25">
        <f>IF(ISBLANK(L152), NETWORKDAYS(J152, TODAY(),Hoja2!$A$1:$A$18), NETWORKDAYS(J152, L152, Hoja2!$A$1:$A$18))</f>
        <v>75</v>
      </c>
      <c r="N152" s="100"/>
      <c r="O152" s="102"/>
      <c r="P152" s="31" t="s">
        <v>865</v>
      </c>
      <c r="Q152" s="28" t="s">
        <v>71</v>
      </c>
      <c r="R152" s="103"/>
      <c r="S152" s="103"/>
      <c r="T152" s="104"/>
      <c r="U152" s="106"/>
      <c r="V152" s="106"/>
      <c r="W152" s="106"/>
      <c r="X152" s="106"/>
      <c r="Y152" s="106"/>
      <c r="Z152" s="106"/>
      <c r="AA152" s="106"/>
      <c r="AB152" s="106"/>
      <c r="AC152" s="106"/>
      <c r="AD152" s="106"/>
      <c r="AE152" s="106"/>
      <c r="AF152" s="106"/>
      <c r="AG152" s="106"/>
      <c r="AH152" s="106"/>
      <c r="AI152" s="106"/>
      <c r="AJ152" s="106"/>
      <c r="AK152" s="106"/>
      <c r="AL152" s="106"/>
      <c r="AM152" s="106"/>
      <c r="AN152" s="106"/>
      <c r="AO152" s="106"/>
      <c r="AP152" s="106"/>
      <c r="AQ152" s="106"/>
      <c r="AR152" s="106"/>
      <c r="AS152" s="106"/>
      <c r="AT152" s="106"/>
      <c r="AU152" s="106"/>
      <c r="AV152" s="106"/>
      <c r="AW152" s="106"/>
      <c r="AX152" s="106"/>
      <c r="AY152" s="106"/>
      <c r="AZ152" s="106"/>
      <c r="BA152" s="106"/>
      <c r="BB152" s="106"/>
      <c r="BC152" s="106"/>
      <c r="BD152" s="106"/>
      <c r="BE152" s="106"/>
      <c r="BF152" s="106"/>
      <c r="BG152" s="106"/>
      <c r="BH152" s="106"/>
      <c r="BI152" s="106"/>
      <c r="BJ152" s="106"/>
      <c r="BK152" s="106"/>
      <c r="BL152" s="106"/>
      <c r="BM152" s="106"/>
      <c r="BN152" s="106"/>
    </row>
    <row r="153" ht="29.25" hidden="1" customHeight="1">
      <c r="A153" s="93" t="s">
        <v>155</v>
      </c>
      <c r="B153" s="107" t="s">
        <v>866</v>
      </c>
      <c r="C153" s="108" t="s">
        <v>867</v>
      </c>
      <c r="D153" s="96" t="s">
        <v>868</v>
      </c>
      <c r="E153" s="97"/>
      <c r="F153" s="19" t="s">
        <v>75</v>
      </c>
      <c r="G153" s="98">
        <v>100.0</v>
      </c>
      <c r="H153" s="98">
        <v>0.0</v>
      </c>
      <c r="I153" s="100">
        <v>45909.0</v>
      </c>
      <c r="J153" s="101">
        <v>45909.0</v>
      </c>
      <c r="K153" s="101"/>
      <c r="L153" s="101">
        <v>45930.0</v>
      </c>
      <c r="M153" s="25">
        <f>IF(ISBLANK(L153), NETWORKDAYS(J153, TODAY(),Hoja2!$A$1:$A$18), NETWORKDAYS(J153, L153, Hoja2!$A$1:$A$18))</f>
        <v>16</v>
      </c>
      <c r="N153" s="100"/>
      <c r="O153" s="102"/>
      <c r="P153" s="31" t="s">
        <v>869</v>
      </c>
      <c r="Q153" s="114" t="s">
        <v>71</v>
      </c>
      <c r="R153" s="103"/>
      <c r="S153" s="103"/>
      <c r="T153" s="104"/>
      <c r="U153" s="106"/>
      <c r="V153" s="106"/>
      <c r="W153" s="106"/>
      <c r="X153" s="106"/>
      <c r="Y153" s="106"/>
      <c r="Z153" s="106"/>
      <c r="AA153" s="106"/>
      <c r="AB153" s="106"/>
      <c r="AC153" s="106"/>
      <c r="AD153" s="106"/>
      <c r="AE153" s="106"/>
      <c r="AF153" s="106"/>
      <c r="AG153" s="106"/>
      <c r="AH153" s="106"/>
      <c r="AI153" s="106"/>
      <c r="AJ153" s="106"/>
      <c r="AK153" s="106"/>
      <c r="AL153" s="106"/>
      <c r="AM153" s="106"/>
      <c r="AN153" s="106"/>
      <c r="AO153" s="106"/>
      <c r="AP153" s="106"/>
      <c r="AQ153" s="106"/>
      <c r="AR153" s="106"/>
      <c r="AS153" s="106"/>
      <c r="AT153" s="106"/>
      <c r="AU153" s="106"/>
      <c r="AV153" s="106"/>
      <c r="AW153" s="106"/>
      <c r="AX153" s="106"/>
      <c r="AY153" s="106"/>
      <c r="AZ153" s="106"/>
      <c r="BA153" s="106"/>
      <c r="BB153" s="106"/>
      <c r="BC153" s="106"/>
      <c r="BD153" s="106"/>
      <c r="BE153" s="106"/>
      <c r="BF153" s="106"/>
      <c r="BG153" s="106"/>
      <c r="BH153" s="106"/>
      <c r="BI153" s="106"/>
      <c r="BJ153" s="106"/>
      <c r="BK153" s="106"/>
      <c r="BL153" s="106"/>
      <c r="BM153" s="106"/>
      <c r="BN153" s="106"/>
    </row>
    <row r="154" ht="29.25" hidden="1" customHeight="1">
      <c r="A154" s="93" t="s">
        <v>66</v>
      </c>
      <c r="B154" s="107" t="s">
        <v>870</v>
      </c>
      <c r="C154" s="108" t="s">
        <v>871</v>
      </c>
      <c r="D154" s="96"/>
      <c r="E154" s="97"/>
      <c r="F154" s="19" t="s">
        <v>214</v>
      </c>
      <c r="G154" s="98">
        <v>95.0</v>
      </c>
      <c r="H154" s="99"/>
      <c r="I154" s="100">
        <v>45905.0</v>
      </c>
      <c r="J154" s="101">
        <v>45916.0</v>
      </c>
      <c r="K154" s="101"/>
      <c r="L154" s="101"/>
      <c r="M154" s="25">
        <f>IF(ISBLANK(L154), NETWORKDAYS(J154, TODAY(),Hoja2!$A$1:$A$18), NETWORKDAYS(J154, L154, Hoja2!$A$1:$A$18))</f>
        <v>68</v>
      </c>
      <c r="N154" s="100">
        <v>45954.0</v>
      </c>
      <c r="O154" s="102">
        <v>46009.0</v>
      </c>
      <c r="P154" s="182" t="s">
        <v>872</v>
      </c>
      <c r="Q154" s="28" t="s">
        <v>71</v>
      </c>
      <c r="R154" s="103"/>
      <c r="S154" s="103"/>
      <c r="T154" s="104"/>
      <c r="U154" s="106"/>
      <c r="V154" s="106"/>
      <c r="W154" s="106"/>
      <c r="X154" s="106"/>
      <c r="Y154" s="106"/>
      <c r="Z154" s="106"/>
      <c r="AA154" s="106"/>
      <c r="AB154" s="106"/>
      <c r="AC154" s="106"/>
      <c r="AD154" s="106"/>
      <c r="AE154" s="106"/>
      <c r="AF154" s="106"/>
      <c r="AG154" s="106"/>
      <c r="AH154" s="106"/>
      <c r="AI154" s="106"/>
      <c r="AJ154" s="106"/>
      <c r="AK154" s="106"/>
      <c r="AL154" s="106"/>
      <c r="AM154" s="106"/>
      <c r="AN154" s="106"/>
      <c r="AO154" s="106"/>
      <c r="AP154" s="106"/>
      <c r="AQ154" s="106"/>
      <c r="AR154" s="106"/>
      <c r="AS154" s="106"/>
      <c r="AT154" s="106"/>
      <c r="AU154" s="106"/>
      <c r="AV154" s="106"/>
      <c r="AW154" s="106"/>
      <c r="AX154" s="106"/>
      <c r="AY154" s="106"/>
      <c r="AZ154" s="106"/>
      <c r="BA154" s="106"/>
      <c r="BB154" s="106"/>
      <c r="BC154" s="106"/>
      <c r="BD154" s="106"/>
      <c r="BE154" s="106"/>
      <c r="BF154" s="106"/>
      <c r="BG154" s="106"/>
      <c r="BH154" s="106"/>
      <c r="BI154" s="106"/>
      <c r="BJ154" s="106"/>
      <c r="BK154" s="106"/>
      <c r="BL154" s="106"/>
      <c r="BM154" s="106"/>
      <c r="BN154" s="106"/>
    </row>
    <row r="155" ht="29.25" hidden="1" customHeight="1">
      <c r="A155" s="93" t="s">
        <v>155</v>
      </c>
      <c r="B155" s="107" t="s">
        <v>873</v>
      </c>
      <c r="C155" s="108" t="s">
        <v>874</v>
      </c>
      <c r="D155" s="96" t="s">
        <v>875</v>
      </c>
      <c r="E155" s="97"/>
      <c r="F155" s="19" t="s">
        <v>75</v>
      </c>
      <c r="G155" s="98">
        <v>100.0</v>
      </c>
      <c r="H155" s="99"/>
      <c r="I155" s="100">
        <v>45929.0</v>
      </c>
      <c r="J155" s="101">
        <v>45929.0</v>
      </c>
      <c r="K155" s="101"/>
      <c r="L155" s="101">
        <v>45930.0</v>
      </c>
      <c r="M155" s="25">
        <f>IF(ISBLANK(L155), NETWORKDAYS(J155, TODAY(),Hoja2!$A$1:$A$18), NETWORKDAYS(J155, L155, Hoja2!$A$1:$A$18))</f>
        <v>2</v>
      </c>
      <c r="N155" s="100">
        <v>45930.0</v>
      </c>
      <c r="O155" s="102">
        <v>45936.0</v>
      </c>
      <c r="P155" s="31" t="s">
        <v>876</v>
      </c>
      <c r="Q155" s="28" t="s">
        <v>71</v>
      </c>
      <c r="R155" s="103"/>
      <c r="S155" s="103"/>
      <c r="T155" s="104"/>
      <c r="U155" s="106"/>
      <c r="V155" s="106"/>
      <c r="W155" s="106"/>
      <c r="X155" s="106"/>
      <c r="Y155" s="106"/>
      <c r="Z155" s="106"/>
      <c r="AA155" s="106"/>
      <c r="AB155" s="106"/>
      <c r="AC155" s="106"/>
      <c r="AD155" s="106"/>
      <c r="AE155" s="106"/>
      <c r="AF155" s="106"/>
      <c r="AG155" s="106"/>
      <c r="AH155" s="106"/>
      <c r="AI155" s="106"/>
      <c r="AJ155" s="106"/>
      <c r="AK155" s="106"/>
      <c r="AL155" s="106"/>
      <c r="AM155" s="106"/>
      <c r="AN155" s="106"/>
      <c r="AO155" s="106"/>
      <c r="AP155" s="106"/>
      <c r="AQ155" s="106"/>
      <c r="AR155" s="106"/>
      <c r="AS155" s="106"/>
      <c r="AT155" s="106"/>
      <c r="AU155" s="106"/>
      <c r="AV155" s="106"/>
      <c r="AW155" s="106"/>
      <c r="AX155" s="106"/>
      <c r="AY155" s="106"/>
      <c r="AZ155" s="106"/>
      <c r="BA155" s="106"/>
      <c r="BB155" s="106"/>
      <c r="BC155" s="106"/>
      <c r="BD155" s="106"/>
      <c r="BE155" s="106"/>
      <c r="BF155" s="106"/>
      <c r="BG155" s="106"/>
      <c r="BH155" s="106"/>
      <c r="BI155" s="106"/>
      <c r="BJ155" s="106"/>
      <c r="BK155" s="106"/>
      <c r="BL155" s="106"/>
      <c r="BM155" s="106"/>
      <c r="BN155" s="106"/>
    </row>
    <row r="156" ht="29.25" hidden="1" customHeight="1">
      <c r="A156" s="93" t="s">
        <v>207</v>
      </c>
      <c r="B156" s="107" t="s">
        <v>877</v>
      </c>
      <c r="C156" s="108" t="s">
        <v>878</v>
      </c>
      <c r="D156" s="96" t="s">
        <v>879</v>
      </c>
      <c r="E156" s="97"/>
      <c r="F156" s="19" t="s">
        <v>75</v>
      </c>
      <c r="G156" s="98">
        <v>100.0</v>
      </c>
      <c r="H156" s="99"/>
      <c r="I156" s="100">
        <v>45931.0</v>
      </c>
      <c r="J156" s="101">
        <v>45931.0</v>
      </c>
      <c r="K156" s="101"/>
      <c r="L156" s="101">
        <v>45932.0</v>
      </c>
      <c r="M156" s="25">
        <f>IF(ISBLANK(L156), NETWORKDAYS(J156, TODAY(),Hoja2!$A$1:$A$18), NETWORKDAYS(J156, L156, Hoja2!$A$1:$A$18))</f>
        <v>2</v>
      </c>
      <c r="N156" s="100"/>
      <c r="O156" s="102"/>
      <c r="P156" s="31" t="s">
        <v>880</v>
      </c>
      <c r="Q156" s="28" t="s">
        <v>71</v>
      </c>
      <c r="R156" s="103"/>
      <c r="S156" s="103"/>
      <c r="T156" s="104"/>
      <c r="U156" s="106"/>
      <c r="V156" s="106"/>
      <c r="W156" s="106"/>
      <c r="X156" s="106"/>
      <c r="Y156" s="106"/>
      <c r="Z156" s="106"/>
      <c r="AA156" s="106"/>
      <c r="AB156" s="106"/>
      <c r="AC156" s="106"/>
      <c r="AD156" s="106"/>
      <c r="AE156" s="106"/>
      <c r="AF156" s="106"/>
      <c r="AG156" s="106"/>
      <c r="AH156" s="106"/>
      <c r="AI156" s="106"/>
      <c r="AJ156" s="106"/>
      <c r="AK156" s="106"/>
      <c r="AL156" s="106"/>
      <c r="AM156" s="106"/>
      <c r="AN156" s="106"/>
      <c r="AO156" s="106"/>
      <c r="AP156" s="106"/>
      <c r="AQ156" s="106"/>
      <c r="AR156" s="106"/>
      <c r="AS156" s="106"/>
      <c r="AT156" s="106"/>
      <c r="AU156" s="106"/>
      <c r="AV156" s="106"/>
      <c r="AW156" s="106"/>
      <c r="AX156" s="106"/>
      <c r="AY156" s="106"/>
      <c r="AZ156" s="106"/>
      <c r="BA156" s="106"/>
      <c r="BB156" s="106"/>
      <c r="BC156" s="106"/>
      <c r="BD156" s="106"/>
      <c r="BE156" s="106"/>
      <c r="BF156" s="106"/>
      <c r="BG156" s="106"/>
      <c r="BH156" s="106"/>
      <c r="BI156" s="106"/>
      <c r="BJ156" s="106"/>
      <c r="BK156" s="106"/>
      <c r="BL156" s="106"/>
      <c r="BM156" s="106"/>
      <c r="BN156" s="106"/>
    </row>
    <row r="157" ht="29.25" customHeight="1">
      <c r="A157" s="53" t="s">
        <v>155</v>
      </c>
      <c r="B157" s="16" t="s">
        <v>881</v>
      </c>
      <c r="C157" s="95" t="s">
        <v>882</v>
      </c>
      <c r="D157" s="183"/>
      <c r="E157" s="125"/>
      <c r="F157" s="86" t="s">
        <v>237</v>
      </c>
      <c r="G157" s="56"/>
      <c r="H157" s="151"/>
      <c r="I157" s="82">
        <v>45797.0</v>
      </c>
      <c r="J157" s="59"/>
      <c r="K157" s="59"/>
      <c r="L157" s="59"/>
      <c r="M157" s="25">
        <f>IF(ISBLANK(L157), NETWORKDAYS(J157, TODAY(),Hoja2!$A$1:$A$18), NETWORKDAYS(J157, L157, Hoja2!$A$1:$A$18))</f>
        <v>32848</v>
      </c>
      <c r="N157" s="82"/>
      <c r="O157" s="102"/>
      <c r="P157" s="105"/>
      <c r="Q157" s="114" t="s">
        <v>91</v>
      </c>
      <c r="R157" s="119"/>
      <c r="S157" s="119"/>
      <c r="T157" s="104"/>
      <c r="U157" s="106"/>
      <c r="V157" s="106"/>
      <c r="W157" s="106"/>
      <c r="X157" s="106"/>
      <c r="Y157" s="106"/>
      <c r="Z157" s="106"/>
      <c r="AA157" s="106"/>
      <c r="AB157" s="106"/>
      <c r="AC157" s="34"/>
      <c r="AD157" s="34"/>
      <c r="AE157" s="33"/>
      <c r="AF157" s="33"/>
      <c r="AG157" s="33"/>
      <c r="AH157" s="33"/>
      <c r="AI157" s="34" t="s">
        <v>883</v>
      </c>
      <c r="AJ157" s="34"/>
      <c r="AK157" s="34"/>
      <c r="AL157" s="34"/>
      <c r="AM157" s="34"/>
      <c r="AN157" s="34"/>
      <c r="AO157" s="34"/>
      <c r="AP157" s="34"/>
      <c r="AQ157" s="34"/>
      <c r="AR157" s="34"/>
      <c r="AS157" s="34"/>
      <c r="AT157" s="34"/>
      <c r="AU157" s="34"/>
      <c r="AV157" s="34"/>
      <c r="AW157" s="34"/>
      <c r="AX157" s="34"/>
      <c r="AY157" s="34"/>
      <c r="AZ157" s="34"/>
      <c r="BA157" s="34"/>
      <c r="BB157" s="34"/>
      <c r="BC157" s="34"/>
      <c r="BD157" s="34"/>
      <c r="BE157" s="34"/>
      <c r="BF157" s="34"/>
      <c r="BG157" s="34"/>
      <c r="BH157" s="34"/>
      <c r="BI157" s="34"/>
      <c r="BJ157" s="34"/>
      <c r="BK157" s="34"/>
      <c r="BL157" s="34"/>
      <c r="BM157" s="34"/>
      <c r="BN157" s="34"/>
    </row>
    <row r="158" ht="29.25" hidden="1" customHeight="1">
      <c r="A158" s="93" t="s">
        <v>207</v>
      </c>
      <c r="B158" s="107" t="s">
        <v>884</v>
      </c>
      <c r="C158" s="111" t="s">
        <v>885</v>
      </c>
      <c r="D158" s="96"/>
      <c r="E158" s="97"/>
      <c r="F158" s="19" t="s">
        <v>205</v>
      </c>
      <c r="G158" s="98">
        <v>70.0</v>
      </c>
      <c r="H158" s="99"/>
      <c r="I158" s="100">
        <v>45995.0</v>
      </c>
      <c r="J158" s="101">
        <v>45996.0</v>
      </c>
      <c r="K158" s="101"/>
      <c r="L158" s="101"/>
      <c r="M158" s="25">
        <f>IF(ISBLANK(L158), NETWORKDAYS(J158, TODAY(),Hoja2!$A$1:$A$18), NETWORKDAYS(J158, L158, Hoja2!$A$1:$A$18))</f>
        <v>10</v>
      </c>
      <c r="N158" s="100"/>
      <c r="O158" s="102"/>
      <c r="P158" s="31" t="s">
        <v>886</v>
      </c>
      <c r="Q158" s="114" t="s">
        <v>71</v>
      </c>
      <c r="R158" s="103"/>
      <c r="S158" s="103"/>
      <c r="T158" s="104"/>
      <c r="U158" s="106"/>
      <c r="V158" s="106"/>
      <c r="W158" s="106"/>
      <c r="X158" s="106"/>
      <c r="Y158" s="106"/>
      <c r="Z158" s="106"/>
      <c r="AA158" s="106"/>
      <c r="AB158" s="106"/>
      <c r="AC158" s="106"/>
      <c r="AD158" s="106"/>
      <c r="AE158" s="106"/>
      <c r="AF158" s="106"/>
      <c r="AG158" s="106"/>
      <c r="AH158" s="106"/>
      <c r="AI158" s="106"/>
      <c r="AJ158" s="106"/>
      <c r="AK158" s="106"/>
      <c r="AL158" s="106"/>
      <c r="AM158" s="106"/>
      <c r="AN158" s="106"/>
      <c r="AO158" s="106"/>
      <c r="AP158" s="106"/>
      <c r="AQ158" s="106"/>
      <c r="AR158" s="106"/>
      <c r="AS158" s="106"/>
      <c r="AT158" s="106"/>
      <c r="AU158" s="106"/>
      <c r="AV158" s="106"/>
      <c r="AW158" s="106"/>
      <c r="AX158" s="106"/>
      <c r="AY158" s="106"/>
      <c r="AZ158" s="106"/>
      <c r="BA158" s="106"/>
      <c r="BB158" s="106"/>
      <c r="BC158" s="106"/>
      <c r="BD158" s="106"/>
      <c r="BE158" s="106"/>
      <c r="BF158" s="106"/>
      <c r="BG158" s="106"/>
      <c r="BH158" s="106"/>
      <c r="BI158" s="106"/>
      <c r="BJ158" s="106"/>
      <c r="BK158" s="106"/>
      <c r="BL158" s="106"/>
      <c r="BM158" s="106"/>
      <c r="BN158" s="106"/>
    </row>
    <row r="159" ht="29.25" hidden="1" customHeight="1">
      <c r="A159" s="93" t="s">
        <v>126</v>
      </c>
      <c r="B159" s="107" t="s">
        <v>887</v>
      </c>
      <c r="C159" s="108" t="s">
        <v>888</v>
      </c>
      <c r="D159" s="96" t="s">
        <v>889</v>
      </c>
      <c r="E159" s="97"/>
      <c r="F159" s="19" t="s">
        <v>75</v>
      </c>
      <c r="G159" s="98">
        <v>100.0</v>
      </c>
      <c r="H159" s="99"/>
      <c r="I159" s="100">
        <v>45958.0</v>
      </c>
      <c r="J159" s="101">
        <v>45958.0</v>
      </c>
      <c r="K159" s="101"/>
      <c r="L159" s="101">
        <v>45958.0</v>
      </c>
      <c r="M159" s="25">
        <f>IF(ISBLANK(L159), NETWORKDAYS(J159, TODAY(),Hoja2!$A$1:$A$18), NETWORKDAYS(J159, L159, Hoja2!$A$1:$A$18))</f>
        <v>1</v>
      </c>
      <c r="N159" s="100"/>
      <c r="O159" s="102"/>
      <c r="P159" s="31" t="s">
        <v>890</v>
      </c>
      <c r="Q159" s="28" t="s">
        <v>71</v>
      </c>
      <c r="R159" s="103"/>
      <c r="S159" s="103"/>
      <c r="T159" s="104"/>
      <c r="U159" s="106"/>
      <c r="V159" s="106"/>
      <c r="W159" s="106"/>
      <c r="X159" s="106"/>
      <c r="Y159" s="106"/>
      <c r="Z159" s="106"/>
      <c r="AA159" s="106"/>
      <c r="AB159" s="106"/>
      <c r="AC159" s="106"/>
      <c r="AD159" s="106"/>
      <c r="AE159" s="106"/>
      <c r="AF159" s="106"/>
      <c r="AG159" s="106"/>
      <c r="AH159" s="106"/>
      <c r="AI159" s="106"/>
      <c r="AJ159" s="106"/>
      <c r="AK159" s="106"/>
      <c r="AL159" s="106"/>
      <c r="AM159" s="106"/>
      <c r="AN159" s="106"/>
      <c r="AO159" s="106"/>
      <c r="AP159" s="106"/>
      <c r="AQ159" s="106"/>
      <c r="AR159" s="106"/>
      <c r="AS159" s="106"/>
      <c r="AT159" s="106"/>
      <c r="AU159" s="106"/>
      <c r="AV159" s="106"/>
      <c r="AW159" s="106"/>
      <c r="AX159" s="106"/>
      <c r="AY159" s="106"/>
      <c r="AZ159" s="106"/>
      <c r="BA159" s="106"/>
      <c r="BB159" s="106"/>
      <c r="BC159" s="106"/>
      <c r="BD159" s="106"/>
      <c r="BE159" s="106"/>
      <c r="BF159" s="106"/>
      <c r="BG159" s="106"/>
      <c r="BH159" s="106"/>
      <c r="BI159" s="106"/>
      <c r="BJ159" s="106"/>
      <c r="BK159" s="106"/>
      <c r="BL159" s="106"/>
      <c r="BM159" s="106"/>
      <c r="BN159" s="106"/>
    </row>
    <row r="160" ht="29.25" hidden="1" customHeight="1">
      <c r="A160" s="93" t="s">
        <v>155</v>
      </c>
      <c r="B160" s="107" t="s">
        <v>891</v>
      </c>
      <c r="C160" s="108" t="s">
        <v>892</v>
      </c>
      <c r="D160" s="96" t="s">
        <v>893</v>
      </c>
      <c r="E160" s="97"/>
      <c r="F160" s="19" t="s">
        <v>75</v>
      </c>
      <c r="G160" s="98">
        <v>100.0</v>
      </c>
      <c r="H160" s="99"/>
      <c r="I160" s="100">
        <v>45960.0</v>
      </c>
      <c r="J160" s="101">
        <v>45961.0</v>
      </c>
      <c r="K160" s="101"/>
      <c r="L160" s="101">
        <v>45961.0</v>
      </c>
      <c r="M160" s="25">
        <f>IF(ISBLANK(L160), NETWORKDAYS(J160, TODAY(),Hoja2!$A$1:$A$18), NETWORKDAYS(J160, L160, Hoja2!$A$1:$A$18))</f>
        <v>1</v>
      </c>
      <c r="N160" s="100">
        <v>45961.0</v>
      </c>
      <c r="O160" s="102">
        <v>45961.0</v>
      </c>
      <c r="P160" s="31" t="s">
        <v>894</v>
      </c>
      <c r="Q160" s="28" t="s">
        <v>71</v>
      </c>
      <c r="R160" s="103"/>
      <c r="S160" s="103"/>
      <c r="T160" s="104"/>
      <c r="U160" s="106"/>
      <c r="V160" s="106"/>
      <c r="W160" s="106"/>
      <c r="X160" s="106"/>
      <c r="Y160" s="106"/>
      <c r="Z160" s="106"/>
      <c r="AA160" s="106"/>
      <c r="AB160" s="106"/>
      <c r="AC160" s="106"/>
      <c r="AD160" s="106"/>
      <c r="AE160" s="106"/>
      <c r="AF160" s="106"/>
      <c r="AG160" s="106"/>
      <c r="AH160" s="106"/>
      <c r="AI160" s="106"/>
      <c r="AJ160" s="106"/>
      <c r="AK160" s="106"/>
      <c r="AL160" s="106"/>
      <c r="AM160" s="106"/>
      <c r="AN160" s="106"/>
      <c r="AO160" s="106"/>
      <c r="AP160" s="106"/>
      <c r="AQ160" s="106"/>
      <c r="AR160" s="106"/>
      <c r="AS160" s="106"/>
      <c r="AT160" s="106"/>
      <c r="AU160" s="106"/>
      <c r="AV160" s="106"/>
      <c r="AW160" s="106"/>
      <c r="AX160" s="106"/>
      <c r="AY160" s="106"/>
      <c r="AZ160" s="106"/>
      <c r="BA160" s="106"/>
      <c r="BB160" s="106"/>
      <c r="BC160" s="106"/>
      <c r="BD160" s="106"/>
      <c r="BE160" s="106"/>
      <c r="BF160" s="106"/>
      <c r="BG160" s="106"/>
      <c r="BH160" s="106"/>
      <c r="BI160" s="106"/>
      <c r="BJ160" s="106"/>
      <c r="BK160" s="106"/>
      <c r="BL160" s="106"/>
      <c r="BM160" s="106"/>
      <c r="BN160" s="106"/>
    </row>
    <row r="161" ht="29.25" hidden="1" customHeight="1">
      <c r="A161" s="93" t="s">
        <v>895</v>
      </c>
      <c r="B161" s="107" t="s">
        <v>896</v>
      </c>
      <c r="C161" s="108" t="s">
        <v>897</v>
      </c>
      <c r="D161" s="96" t="s">
        <v>898</v>
      </c>
      <c r="E161" s="97"/>
      <c r="F161" s="19" t="s">
        <v>899</v>
      </c>
      <c r="G161" s="98"/>
      <c r="H161" s="99"/>
      <c r="I161" s="100"/>
      <c r="J161" s="101"/>
      <c r="K161" s="101"/>
      <c r="L161" s="101"/>
      <c r="M161" s="25">
        <f>IF(ISBLANK(L161), NETWORKDAYS(J161, TODAY(),Hoja2!$A$1:$A$18), NETWORKDAYS(J161, L161, Hoja2!$A$1:$A$18))</f>
        <v>32848</v>
      </c>
      <c r="N161" s="100"/>
      <c r="O161" s="102"/>
      <c r="P161" s="31"/>
      <c r="Q161" s="28" t="s">
        <v>71</v>
      </c>
      <c r="R161" s="103"/>
      <c r="S161" s="103"/>
      <c r="T161" s="104"/>
      <c r="U161" s="106"/>
      <c r="V161" s="106"/>
      <c r="W161" s="106"/>
      <c r="X161" s="106"/>
      <c r="Y161" s="106"/>
      <c r="Z161" s="106"/>
      <c r="AA161" s="106"/>
      <c r="AB161" s="106"/>
      <c r="AC161" s="106"/>
      <c r="AD161" s="106"/>
      <c r="AE161" s="106"/>
      <c r="AF161" s="106"/>
      <c r="AG161" s="106"/>
      <c r="AH161" s="106"/>
      <c r="AI161" s="106"/>
      <c r="AJ161" s="106"/>
      <c r="AK161" s="106"/>
      <c r="AL161" s="106"/>
      <c r="AM161" s="106"/>
      <c r="AN161" s="106"/>
      <c r="AO161" s="106"/>
      <c r="AP161" s="106"/>
      <c r="AQ161" s="106"/>
      <c r="AR161" s="106"/>
      <c r="AS161" s="106"/>
      <c r="AT161" s="106"/>
      <c r="AU161" s="106"/>
      <c r="AV161" s="106"/>
      <c r="AW161" s="106"/>
      <c r="AX161" s="106"/>
      <c r="AY161" s="106"/>
      <c r="AZ161" s="106"/>
      <c r="BA161" s="106"/>
      <c r="BB161" s="106"/>
      <c r="BC161" s="106"/>
      <c r="BD161" s="106"/>
      <c r="BE161" s="106"/>
      <c r="BF161" s="106"/>
      <c r="BG161" s="106"/>
      <c r="BH161" s="106"/>
      <c r="BI161" s="106"/>
      <c r="BJ161" s="106"/>
      <c r="BK161" s="106"/>
      <c r="BL161" s="106"/>
      <c r="BM161" s="106"/>
      <c r="BN161" s="106"/>
    </row>
    <row r="162" ht="29.25" hidden="1" customHeight="1">
      <c r="A162" s="93" t="s">
        <v>66</v>
      </c>
      <c r="B162" s="107" t="s">
        <v>900</v>
      </c>
      <c r="C162" s="111" t="s">
        <v>901</v>
      </c>
      <c r="D162" s="96" t="s">
        <v>902</v>
      </c>
      <c r="E162" s="97"/>
      <c r="F162" s="19" t="s">
        <v>214</v>
      </c>
      <c r="G162" s="98">
        <v>90.0</v>
      </c>
      <c r="H162" s="99"/>
      <c r="I162" s="100">
        <v>45975.0</v>
      </c>
      <c r="J162" s="101">
        <v>45975.0</v>
      </c>
      <c r="K162" s="101"/>
      <c r="L162" s="101"/>
      <c r="M162" s="25">
        <f>IF(ISBLANK(L162), NETWORKDAYS(J162, TODAY(),Hoja2!$A$1:$A$18), NETWORKDAYS(J162, L162, Hoja2!$A$1:$A$18))</f>
        <v>25</v>
      </c>
      <c r="N162" s="100"/>
      <c r="O162" s="102"/>
      <c r="P162" s="31" t="s">
        <v>903</v>
      </c>
      <c r="Q162" s="28" t="s">
        <v>71</v>
      </c>
      <c r="R162" s="103"/>
      <c r="S162" s="103"/>
      <c r="T162" s="104"/>
      <c r="U162" s="106"/>
      <c r="V162" s="106"/>
      <c r="W162" s="106"/>
      <c r="X162" s="106"/>
      <c r="Y162" s="106"/>
      <c r="Z162" s="106"/>
      <c r="AA162" s="106"/>
      <c r="AB162" s="106"/>
      <c r="AC162" s="106"/>
      <c r="AD162" s="106"/>
      <c r="AE162" s="106"/>
      <c r="AF162" s="106"/>
      <c r="AG162" s="106"/>
      <c r="AH162" s="106"/>
      <c r="AI162" s="106"/>
      <c r="AJ162" s="106"/>
      <c r="AK162" s="106"/>
      <c r="AL162" s="106"/>
      <c r="AM162" s="106"/>
      <c r="AN162" s="106"/>
      <c r="AO162" s="106"/>
      <c r="AP162" s="106"/>
      <c r="AQ162" s="106"/>
      <c r="AR162" s="106"/>
      <c r="AS162" s="106"/>
      <c r="AT162" s="106"/>
      <c r="AU162" s="106"/>
      <c r="AV162" s="106"/>
      <c r="AW162" s="106"/>
      <c r="AX162" s="106"/>
      <c r="AY162" s="106"/>
      <c r="AZ162" s="106"/>
      <c r="BA162" s="106"/>
      <c r="BB162" s="106"/>
      <c r="BC162" s="106"/>
      <c r="BD162" s="106"/>
      <c r="BE162" s="106"/>
      <c r="BF162" s="106"/>
      <c r="BG162" s="106"/>
      <c r="BH162" s="106"/>
      <c r="BI162" s="106"/>
      <c r="BJ162" s="106"/>
      <c r="BK162" s="106"/>
      <c r="BL162" s="106"/>
      <c r="BM162" s="106"/>
      <c r="BN162" s="106"/>
    </row>
    <row r="163" ht="29.25" hidden="1" customHeight="1">
      <c r="A163" s="93" t="s">
        <v>66</v>
      </c>
      <c r="B163" s="107" t="s">
        <v>904</v>
      </c>
      <c r="C163" s="111" t="s">
        <v>905</v>
      </c>
      <c r="D163" s="96" t="s">
        <v>906</v>
      </c>
      <c r="E163" s="97"/>
      <c r="F163" s="19" t="s">
        <v>75</v>
      </c>
      <c r="G163" s="98">
        <v>100.0</v>
      </c>
      <c r="H163" s="99"/>
      <c r="I163" s="100">
        <v>45967.0</v>
      </c>
      <c r="J163" s="101">
        <v>45967.0</v>
      </c>
      <c r="K163" s="101"/>
      <c r="L163" s="101">
        <v>45989.0</v>
      </c>
      <c r="M163" s="25">
        <f>IF(ISBLANK(L163), NETWORKDAYS(J163, TODAY(),Hoja2!$A$1:$A$18), NETWORKDAYS(J163, L163, Hoja2!$A$1:$A$18))</f>
        <v>17</v>
      </c>
      <c r="N163" s="100">
        <v>45989.0</v>
      </c>
      <c r="O163" s="102"/>
      <c r="P163" s="31" t="s">
        <v>907</v>
      </c>
      <c r="Q163" s="28" t="s">
        <v>71</v>
      </c>
      <c r="R163" s="103"/>
      <c r="S163" s="103"/>
      <c r="T163" s="104"/>
      <c r="U163" s="106"/>
      <c r="V163" s="106"/>
      <c r="W163" s="106"/>
      <c r="X163" s="106"/>
      <c r="Y163" s="106"/>
      <c r="Z163" s="106"/>
      <c r="AA163" s="106"/>
      <c r="AB163" s="106"/>
      <c r="AC163" s="106"/>
      <c r="AD163" s="106"/>
      <c r="AE163" s="106"/>
      <c r="AF163" s="106"/>
      <c r="AG163" s="106"/>
      <c r="AH163" s="106"/>
      <c r="AI163" s="106"/>
      <c r="AJ163" s="106"/>
      <c r="AK163" s="106"/>
      <c r="AL163" s="106"/>
      <c r="AM163" s="106"/>
      <c r="AN163" s="106"/>
      <c r="AO163" s="106"/>
      <c r="AP163" s="106"/>
      <c r="AQ163" s="106"/>
      <c r="AR163" s="106"/>
      <c r="AS163" s="106"/>
      <c r="AT163" s="106"/>
      <c r="AU163" s="106"/>
      <c r="AV163" s="106"/>
      <c r="AW163" s="106"/>
      <c r="AX163" s="106"/>
      <c r="AY163" s="106"/>
      <c r="AZ163" s="106"/>
      <c r="BA163" s="106"/>
      <c r="BB163" s="106"/>
      <c r="BC163" s="106"/>
      <c r="BD163" s="106"/>
      <c r="BE163" s="106"/>
      <c r="BF163" s="106"/>
      <c r="BG163" s="106"/>
      <c r="BH163" s="106"/>
      <c r="BI163" s="106"/>
      <c r="BJ163" s="106"/>
      <c r="BK163" s="106"/>
      <c r="BL163" s="106"/>
      <c r="BM163" s="106"/>
      <c r="BN163" s="106"/>
    </row>
    <row r="164" ht="29.25" hidden="1" customHeight="1">
      <c r="A164" s="93" t="s">
        <v>66</v>
      </c>
      <c r="B164" s="107" t="s">
        <v>908</v>
      </c>
      <c r="C164" s="111" t="s">
        <v>909</v>
      </c>
      <c r="D164" s="96" t="s">
        <v>910</v>
      </c>
      <c r="E164" s="97"/>
      <c r="F164" s="19" t="s">
        <v>214</v>
      </c>
      <c r="G164" s="98">
        <v>90.0</v>
      </c>
      <c r="H164" s="99"/>
      <c r="I164" s="100">
        <v>45975.0</v>
      </c>
      <c r="J164" s="101">
        <v>45975.0</v>
      </c>
      <c r="K164" s="101"/>
      <c r="L164" s="101">
        <v>45979.0</v>
      </c>
      <c r="M164" s="25">
        <f>IF(ISBLANK(L164), NETWORKDAYS(J164, TODAY(),Hoja2!$A$1:$A$18), NETWORKDAYS(J164, L164, Hoja2!$A$1:$A$18))</f>
        <v>3</v>
      </c>
      <c r="N164" s="100"/>
      <c r="O164" s="102"/>
      <c r="P164" s="31" t="s">
        <v>911</v>
      </c>
      <c r="Q164" s="28" t="s">
        <v>71</v>
      </c>
      <c r="R164" s="103"/>
      <c r="S164" s="103"/>
      <c r="T164" s="104"/>
      <c r="U164" s="106"/>
      <c r="V164" s="106"/>
      <c r="W164" s="106"/>
      <c r="X164" s="106"/>
      <c r="Y164" s="106"/>
      <c r="Z164" s="106"/>
      <c r="AA164" s="106"/>
      <c r="AB164" s="106"/>
      <c r="AC164" s="106"/>
      <c r="AD164" s="106"/>
      <c r="AE164" s="106"/>
      <c r="AF164" s="106"/>
      <c r="AG164" s="106"/>
      <c r="AH164" s="106"/>
      <c r="AI164" s="106"/>
      <c r="AJ164" s="106"/>
      <c r="AK164" s="106"/>
      <c r="AL164" s="106"/>
      <c r="AM164" s="106"/>
      <c r="AN164" s="106"/>
      <c r="AO164" s="106"/>
      <c r="AP164" s="106"/>
      <c r="AQ164" s="106"/>
      <c r="AR164" s="106"/>
      <c r="AS164" s="106"/>
      <c r="AT164" s="106"/>
      <c r="AU164" s="106"/>
      <c r="AV164" s="106"/>
      <c r="AW164" s="106"/>
      <c r="AX164" s="106"/>
      <c r="AY164" s="106"/>
      <c r="AZ164" s="106"/>
      <c r="BA164" s="106"/>
      <c r="BB164" s="106"/>
      <c r="BC164" s="106"/>
      <c r="BD164" s="106"/>
      <c r="BE164" s="106"/>
      <c r="BF164" s="106"/>
      <c r="BG164" s="106"/>
      <c r="BH164" s="106"/>
      <c r="BI164" s="106"/>
      <c r="BJ164" s="106"/>
      <c r="BK164" s="106"/>
      <c r="BL164" s="106"/>
      <c r="BM164" s="106"/>
      <c r="BN164" s="106"/>
    </row>
    <row r="165" ht="29.25" hidden="1" customHeight="1">
      <c r="A165" s="93" t="s">
        <v>66</v>
      </c>
      <c r="B165" s="107" t="s">
        <v>912</v>
      </c>
      <c r="C165" s="111" t="s">
        <v>913</v>
      </c>
      <c r="D165" s="96" t="s">
        <v>914</v>
      </c>
      <c r="E165" s="97"/>
      <c r="F165" s="19" t="s">
        <v>75</v>
      </c>
      <c r="G165" s="98">
        <v>100.0</v>
      </c>
      <c r="H165" s="99"/>
      <c r="I165" s="100">
        <v>46001.0</v>
      </c>
      <c r="J165" s="101">
        <v>46001.0</v>
      </c>
      <c r="K165" s="101"/>
      <c r="L165" s="101">
        <v>46001.0</v>
      </c>
      <c r="M165" s="25">
        <f>IF(ISBLANK(L165), NETWORKDAYS(J165, TODAY(),Hoja2!$A$1:$A$18), NETWORKDAYS(J165, L165, Hoja2!$A$1:$A$18))</f>
        <v>1</v>
      </c>
      <c r="N165" s="100"/>
      <c r="O165" s="102"/>
      <c r="P165" s="31" t="s">
        <v>915</v>
      </c>
      <c r="Q165" s="28" t="s">
        <v>71</v>
      </c>
      <c r="R165" s="103"/>
      <c r="S165" s="103"/>
      <c r="T165" s="104"/>
      <c r="U165" s="106"/>
      <c r="V165" s="106"/>
      <c r="W165" s="106"/>
      <c r="X165" s="106"/>
      <c r="Y165" s="106"/>
      <c r="Z165" s="106"/>
      <c r="AA165" s="106"/>
      <c r="AB165" s="106"/>
      <c r="AC165" s="106"/>
      <c r="AD165" s="106"/>
      <c r="AE165" s="106"/>
      <c r="AF165" s="106"/>
      <c r="AG165" s="106"/>
      <c r="AH165" s="106"/>
      <c r="AI165" s="106"/>
      <c r="AJ165" s="106"/>
      <c r="AK165" s="106"/>
      <c r="AL165" s="106"/>
      <c r="AM165" s="106"/>
      <c r="AN165" s="106"/>
      <c r="AO165" s="106"/>
      <c r="AP165" s="106"/>
      <c r="AQ165" s="106"/>
      <c r="AR165" s="106"/>
      <c r="AS165" s="106"/>
      <c r="AT165" s="106"/>
      <c r="AU165" s="106"/>
      <c r="AV165" s="106"/>
      <c r="AW165" s="106"/>
      <c r="AX165" s="106"/>
      <c r="AY165" s="106"/>
      <c r="AZ165" s="106"/>
      <c r="BA165" s="106"/>
      <c r="BB165" s="106"/>
      <c r="BC165" s="106"/>
      <c r="BD165" s="106"/>
      <c r="BE165" s="106"/>
      <c r="BF165" s="106"/>
      <c r="BG165" s="106"/>
      <c r="BH165" s="106"/>
      <c r="BI165" s="106"/>
      <c r="BJ165" s="106"/>
      <c r="BK165" s="106"/>
      <c r="BL165" s="106"/>
      <c r="BM165" s="106"/>
      <c r="BN165" s="106"/>
    </row>
    <row r="166" ht="29.25" hidden="1" customHeight="1">
      <c r="A166" s="93" t="s">
        <v>66</v>
      </c>
      <c r="B166" s="107" t="s">
        <v>916</v>
      </c>
      <c r="C166" s="111" t="s">
        <v>917</v>
      </c>
      <c r="D166" s="96" t="s">
        <v>918</v>
      </c>
      <c r="E166" s="97"/>
      <c r="F166" s="19" t="s">
        <v>75</v>
      </c>
      <c r="G166" s="98">
        <v>100.0</v>
      </c>
      <c r="H166" s="99"/>
      <c r="I166" s="100">
        <v>46002.0</v>
      </c>
      <c r="J166" s="101">
        <v>46002.0</v>
      </c>
      <c r="K166" s="101"/>
      <c r="L166" s="101">
        <v>46008.0</v>
      </c>
      <c r="M166" s="25">
        <f>IF(ISBLANK(L166), NETWORKDAYS(J166, TODAY(),Hoja2!$A$1:$A$18), NETWORKDAYS(J166, L166, Hoja2!$A$1:$A$18))</f>
        <v>5</v>
      </c>
      <c r="N166" s="100"/>
      <c r="O166" s="102"/>
      <c r="P166" s="89" t="s">
        <v>919</v>
      </c>
      <c r="Q166" s="28" t="s">
        <v>71</v>
      </c>
      <c r="R166" s="103"/>
      <c r="S166" s="103"/>
      <c r="T166" s="104"/>
      <c r="U166" s="106"/>
      <c r="V166" s="106"/>
      <c r="W166" s="106"/>
      <c r="X166" s="106"/>
      <c r="Y166" s="106"/>
      <c r="Z166" s="106"/>
      <c r="AA166" s="106"/>
      <c r="AB166" s="106"/>
      <c r="AC166" s="106"/>
      <c r="AD166" s="106"/>
      <c r="AE166" s="106"/>
      <c r="AF166" s="106"/>
      <c r="AG166" s="106"/>
      <c r="AH166" s="106"/>
      <c r="AI166" s="106"/>
      <c r="AJ166" s="106"/>
      <c r="AK166" s="106"/>
      <c r="AL166" s="106"/>
      <c r="AM166" s="106"/>
      <c r="AN166" s="106"/>
      <c r="AO166" s="106"/>
      <c r="AP166" s="106"/>
      <c r="AQ166" s="106"/>
      <c r="AR166" s="106"/>
      <c r="AS166" s="106"/>
      <c r="AT166" s="106"/>
      <c r="AU166" s="106"/>
      <c r="AV166" s="106"/>
      <c r="AW166" s="106"/>
      <c r="AX166" s="106"/>
      <c r="AY166" s="106"/>
      <c r="AZ166" s="106"/>
      <c r="BA166" s="106"/>
      <c r="BB166" s="106"/>
      <c r="BC166" s="106"/>
      <c r="BD166" s="106"/>
      <c r="BE166" s="106"/>
      <c r="BF166" s="106"/>
      <c r="BG166" s="106"/>
      <c r="BH166" s="106"/>
      <c r="BI166" s="106"/>
      <c r="BJ166" s="106"/>
      <c r="BK166" s="106"/>
      <c r="BL166" s="106"/>
      <c r="BM166" s="106"/>
      <c r="BN166" s="106"/>
    </row>
    <row r="167" ht="29.25" hidden="1" customHeight="1">
      <c r="A167" s="93" t="s">
        <v>66</v>
      </c>
      <c r="B167" s="107" t="s">
        <v>920</v>
      </c>
      <c r="C167" s="111" t="s">
        <v>921</v>
      </c>
      <c r="D167" s="96" t="s">
        <v>922</v>
      </c>
      <c r="E167" s="97"/>
      <c r="F167" s="19" t="s">
        <v>75</v>
      </c>
      <c r="G167" s="98">
        <v>100.0</v>
      </c>
      <c r="H167" s="99"/>
      <c r="I167" s="100">
        <v>46002.0</v>
      </c>
      <c r="J167" s="101">
        <v>46002.0</v>
      </c>
      <c r="K167" s="101"/>
      <c r="L167" s="101">
        <v>46008.0</v>
      </c>
      <c r="M167" s="25">
        <f>IF(ISBLANK(L167), NETWORKDAYS(J167, TODAY(),Hoja2!$A$1:$A$18), NETWORKDAYS(J167, L167, Hoja2!$A$1:$A$18))</f>
        <v>5</v>
      </c>
      <c r="N167" s="100"/>
      <c r="O167" s="102"/>
      <c r="P167" s="31" t="s">
        <v>923</v>
      </c>
      <c r="Q167" s="28" t="s">
        <v>71</v>
      </c>
      <c r="R167" s="103"/>
      <c r="S167" s="103"/>
      <c r="T167" s="104"/>
      <c r="U167" s="106"/>
      <c r="V167" s="106"/>
      <c r="W167" s="106"/>
      <c r="X167" s="106"/>
      <c r="Y167" s="106"/>
      <c r="Z167" s="106"/>
      <c r="AA167" s="106"/>
      <c r="AB167" s="106"/>
      <c r="AC167" s="106"/>
      <c r="AD167" s="106"/>
      <c r="AE167" s="106"/>
      <c r="AF167" s="106"/>
      <c r="AG167" s="106"/>
      <c r="AH167" s="106"/>
      <c r="AI167" s="106"/>
      <c r="AJ167" s="106"/>
      <c r="AK167" s="106"/>
      <c r="AL167" s="106"/>
      <c r="AM167" s="106"/>
      <c r="AN167" s="106"/>
      <c r="AO167" s="106"/>
      <c r="AP167" s="106"/>
      <c r="AQ167" s="106"/>
      <c r="AR167" s="106"/>
      <c r="AS167" s="106"/>
      <c r="AT167" s="106"/>
      <c r="AU167" s="106"/>
      <c r="AV167" s="106"/>
      <c r="AW167" s="106"/>
      <c r="AX167" s="106"/>
      <c r="AY167" s="106"/>
      <c r="AZ167" s="106"/>
      <c r="BA167" s="106"/>
      <c r="BB167" s="106"/>
      <c r="BC167" s="106"/>
      <c r="BD167" s="106"/>
      <c r="BE167" s="106"/>
      <c r="BF167" s="106"/>
      <c r="BG167" s="106"/>
      <c r="BH167" s="106"/>
      <c r="BI167" s="106"/>
      <c r="BJ167" s="106"/>
      <c r="BK167" s="106"/>
      <c r="BL167" s="106"/>
      <c r="BM167" s="106"/>
      <c r="BN167" s="106"/>
    </row>
    <row r="168" ht="29.25" hidden="1" customHeight="1">
      <c r="A168" s="93" t="s">
        <v>66</v>
      </c>
      <c r="B168" s="107" t="s">
        <v>924</v>
      </c>
      <c r="C168" s="111" t="s">
        <v>925</v>
      </c>
      <c r="D168" s="96" t="s">
        <v>926</v>
      </c>
      <c r="E168" s="97"/>
      <c r="F168" s="19" t="s">
        <v>214</v>
      </c>
      <c r="G168" s="98">
        <v>90.0</v>
      </c>
      <c r="H168" s="99"/>
      <c r="I168" s="100">
        <v>46007.0</v>
      </c>
      <c r="J168" s="101">
        <v>46009.0</v>
      </c>
      <c r="K168" s="101"/>
      <c r="L168" s="101"/>
      <c r="M168" s="25">
        <f>IF(ISBLANK(L168), NETWORKDAYS(J168, TODAY(),Hoja2!$A$1:$A$18), NETWORKDAYS(J168, L168, Hoja2!$A$1:$A$18))</f>
        <v>1</v>
      </c>
      <c r="N168" s="100"/>
      <c r="O168" s="102"/>
      <c r="P168" s="31" t="s">
        <v>927</v>
      </c>
      <c r="Q168" s="28" t="s">
        <v>71</v>
      </c>
      <c r="R168" s="103"/>
      <c r="S168" s="103"/>
      <c r="T168" s="104"/>
      <c r="U168" s="106"/>
      <c r="V168" s="106"/>
      <c r="W168" s="106"/>
      <c r="X168" s="106"/>
      <c r="Y168" s="106"/>
      <c r="Z168" s="106"/>
      <c r="AA168" s="106"/>
      <c r="AB168" s="106"/>
      <c r="AC168" s="106"/>
      <c r="AD168" s="106"/>
      <c r="AE168" s="106"/>
      <c r="AF168" s="106"/>
      <c r="AG168" s="106"/>
      <c r="AH168" s="106"/>
      <c r="AI168" s="106"/>
      <c r="AJ168" s="106"/>
      <c r="AK168" s="106"/>
      <c r="AL168" s="106"/>
      <c r="AM168" s="106"/>
      <c r="AN168" s="106"/>
      <c r="AO168" s="106"/>
      <c r="AP168" s="106"/>
      <c r="AQ168" s="106"/>
      <c r="AR168" s="106"/>
      <c r="AS168" s="106"/>
      <c r="AT168" s="106"/>
      <c r="AU168" s="106"/>
      <c r="AV168" s="106"/>
      <c r="AW168" s="106"/>
      <c r="AX168" s="106"/>
      <c r="AY168" s="106"/>
      <c r="AZ168" s="106"/>
      <c r="BA168" s="106"/>
      <c r="BB168" s="106"/>
      <c r="BC168" s="106"/>
      <c r="BD168" s="106"/>
      <c r="BE168" s="106"/>
      <c r="BF168" s="106"/>
      <c r="BG168" s="106"/>
      <c r="BH168" s="106"/>
      <c r="BI168" s="106"/>
      <c r="BJ168" s="106"/>
      <c r="BK168" s="106"/>
      <c r="BL168" s="106"/>
      <c r="BM168" s="106"/>
      <c r="BN168" s="106"/>
    </row>
    <row r="169" ht="29.25" hidden="1" customHeight="1">
      <c r="A169" s="93" t="s">
        <v>66</v>
      </c>
      <c r="B169" s="107" t="s">
        <v>928</v>
      </c>
      <c r="C169" s="108" t="s">
        <v>929</v>
      </c>
      <c r="D169" s="96" t="s">
        <v>930</v>
      </c>
      <c r="E169" s="97"/>
      <c r="F169" s="19" t="s">
        <v>237</v>
      </c>
      <c r="G169" s="98"/>
      <c r="H169" s="99"/>
      <c r="I169" s="100">
        <v>45933.0</v>
      </c>
      <c r="J169" s="101"/>
      <c r="K169" s="101"/>
      <c r="L169" s="101"/>
      <c r="M169" s="25">
        <f>IF(ISBLANK(L169), NETWORKDAYS(J169, TODAY(),Hoja2!$A$1:$A$18), NETWORKDAYS(J169, L169, Hoja2!$A$1:$A$18))</f>
        <v>32848</v>
      </c>
      <c r="N169" s="100"/>
      <c r="O169" s="102"/>
      <c r="P169" s="31"/>
      <c r="Q169" s="28" t="s">
        <v>91</v>
      </c>
      <c r="R169" s="103"/>
      <c r="S169" s="103"/>
      <c r="T169" s="104"/>
      <c r="U169" s="106"/>
      <c r="V169" s="106"/>
      <c r="W169" s="106"/>
      <c r="X169" s="106"/>
      <c r="Y169" s="106"/>
      <c r="Z169" s="106"/>
      <c r="AA169" s="106"/>
      <c r="AB169" s="106"/>
      <c r="AC169" s="106"/>
      <c r="AD169" s="106"/>
      <c r="AE169" s="106"/>
      <c r="AF169" s="106"/>
      <c r="AG169" s="106"/>
      <c r="AH169" s="106"/>
      <c r="AI169" s="106"/>
      <c r="AJ169" s="106"/>
      <c r="AK169" s="106"/>
      <c r="AL169" s="106"/>
      <c r="AM169" s="106"/>
      <c r="AN169" s="106"/>
      <c r="AO169" s="106"/>
      <c r="AP169" s="106"/>
      <c r="AQ169" s="106"/>
      <c r="AR169" s="106"/>
      <c r="AS169" s="106"/>
      <c r="AT169" s="106"/>
      <c r="AU169" s="106"/>
      <c r="AV169" s="106"/>
      <c r="AW169" s="106"/>
      <c r="AX169" s="106"/>
      <c r="AY169" s="106"/>
      <c r="AZ169" s="106"/>
      <c r="BA169" s="106"/>
      <c r="BB169" s="106"/>
      <c r="BC169" s="106"/>
      <c r="BD169" s="106"/>
      <c r="BE169" s="106"/>
      <c r="BF169" s="106"/>
      <c r="BG169" s="106"/>
      <c r="BH169" s="106"/>
      <c r="BI169" s="106"/>
      <c r="BJ169" s="106"/>
      <c r="BK169" s="106"/>
      <c r="BL169" s="106"/>
      <c r="BM169" s="106"/>
      <c r="BN169" s="106"/>
    </row>
    <row r="170" ht="29.25" hidden="1" customHeight="1">
      <c r="A170" s="93" t="s">
        <v>66</v>
      </c>
      <c r="B170" s="107" t="s">
        <v>931</v>
      </c>
      <c r="C170" s="95" t="s">
        <v>932</v>
      </c>
      <c r="D170" s="96" t="s">
        <v>933</v>
      </c>
      <c r="E170" s="97"/>
      <c r="F170" s="19" t="s">
        <v>214</v>
      </c>
      <c r="G170" s="98">
        <v>90.0</v>
      </c>
      <c r="H170" s="99"/>
      <c r="I170" s="100">
        <v>45961.0</v>
      </c>
      <c r="J170" s="101">
        <v>45961.0</v>
      </c>
      <c r="K170" s="101"/>
      <c r="L170" s="101"/>
      <c r="M170" s="25">
        <f>IF(ISBLANK(L170), NETWORKDAYS(J170, TODAY(),Hoja2!$A$1:$A$18), NETWORKDAYS(J170, L170, Hoja2!$A$1:$A$18))</f>
        <v>35</v>
      </c>
      <c r="N170" s="100"/>
      <c r="O170" s="102"/>
      <c r="P170" s="31" t="s">
        <v>934</v>
      </c>
      <c r="Q170" s="28" t="s">
        <v>71</v>
      </c>
      <c r="R170" s="103"/>
      <c r="S170" s="103"/>
      <c r="T170" s="104"/>
      <c r="U170" s="106"/>
      <c r="V170" s="106"/>
      <c r="W170" s="106"/>
      <c r="X170" s="106"/>
      <c r="Y170" s="106"/>
      <c r="Z170" s="106"/>
      <c r="AA170" s="106"/>
      <c r="AB170" s="106"/>
      <c r="AC170" s="106"/>
      <c r="AD170" s="106"/>
      <c r="AE170" s="106"/>
      <c r="AF170" s="106"/>
      <c r="AG170" s="106"/>
      <c r="AH170" s="106"/>
      <c r="AI170" s="106"/>
      <c r="AJ170" s="106"/>
      <c r="AK170" s="106"/>
      <c r="AL170" s="106"/>
      <c r="AM170" s="106"/>
      <c r="AN170" s="106"/>
      <c r="AO170" s="106"/>
      <c r="AP170" s="106"/>
      <c r="AQ170" s="106"/>
      <c r="AR170" s="106"/>
      <c r="AS170" s="106"/>
      <c r="AT170" s="106"/>
      <c r="AU170" s="106"/>
      <c r="AV170" s="106"/>
      <c r="AW170" s="106"/>
      <c r="AX170" s="106"/>
      <c r="AY170" s="106"/>
      <c r="AZ170" s="106"/>
      <c r="BA170" s="106"/>
      <c r="BB170" s="106"/>
      <c r="BC170" s="106"/>
      <c r="BD170" s="106"/>
      <c r="BE170" s="106"/>
      <c r="BF170" s="106"/>
      <c r="BG170" s="106"/>
      <c r="BH170" s="106"/>
      <c r="BI170" s="106"/>
      <c r="BJ170" s="106"/>
      <c r="BK170" s="106"/>
      <c r="BL170" s="106"/>
      <c r="BM170" s="106"/>
      <c r="BN170" s="106"/>
    </row>
    <row r="171" ht="29.25" hidden="1" customHeight="1">
      <c r="A171" s="93" t="s">
        <v>66</v>
      </c>
      <c r="B171" s="107" t="s">
        <v>935</v>
      </c>
      <c r="C171" s="108" t="s">
        <v>936</v>
      </c>
      <c r="D171" s="96"/>
      <c r="E171" s="97"/>
      <c r="F171" s="19" t="s">
        <v>75</v>
      </c>
      <c r="G171" s="98">
        <v>100.0</v>
      </c>
      <c r="H171" s="99"/>
      <c r="I171" s="100">
        <v>45965.0</v>
      </c>
      <c r="J171" s="101">
        <v>45965.0</v>
      </c>
      <c r="K171" s="101"/>
      <c r="L171" s="101">
        <v>45974.0</v>
      </c>
      <c r="M171" s="25">
        <f>IF(ISBLANK(L171), NETWORKDAYS(J171, TODAY(),Hoja2!$A$1:$A$18), NETWORKDAYS(J171, L171, Hoja2!$A$1:$A$18))</f>
        <v>8</v>
      </c>
      <c r="N171" s="100"/>
      <c r="O171" s="102">
        <v>45974.0</v>
      </c>
      <c r="P171" s="31" t="s">
        <v>937</v>
      </c>
      <c r="Q171" s="28" t="s">
        <v>71</v>
      </c>
      <c r="R171" s="98">
        <v>1.0</v>
      </c>
      <c r="S171" s="103"/>
      <c r="T171" s="104"/>
      <c r="U171" s="106"/>
      <c r="V171" s="106"/>
      <c r="W171" s="106"/>
      <c r="X171" s="106"/>
      <c r="Y171" s="106"/>
      <c r="Z171" s="106"/>
      <c r="AA171" s="106"/>
      <c r="AB171" s="106"/>
      <c r="AC171" s="106"/>
      <c r="AD171" s="106"/>
      <c r="AE171" s="106"/>
      <c r="AF171" s="106"/>
      <c r="AG171" s="106"/>
      <c r="AH171" s="106"/>
      <c r="AI171" s="106"/>
      <c r="AJ171" s="106"/>
      <c r="AK171" s="106"/>
      <c r="AL171" s="106"/>
      <c r="AM171" s="106"/>
      <c r="AN171" s="106"/>
      <c r="AO171" s="106"/>
      <c r="AP171" s="106"/>
      <c r="AQ171" s="106"/>
      <c r="AR171" s="106"/>
      <c r="AS171" s="106"/>
      <c r="AT171" s="106"/>
      <c r="AU171" s="106"/>
      <c r="AV171" s="106"/>
      <c r="AW171" s="106"/>
      <c r="AX171" s="106"/>
      <c r="AY171" s="106"/>
      <c r="AZ171" s="106"/>
      <c r="BA171" s="106"/>
      <c r="BB171" s="106"/>
      <c r="BC171" s="106"/>
      <c r="BD171" s="106"/>
      <c r="BE171" s="106"/>
      <c r="BF171" s="106"/>
      <c r="BG171" s="106"/>
      <c r="BH171" s="106"/>
      <c r="BI171" s="106"/>
      <c r="BJ171" s="106"/>
      <c r="BK171" s="106"/>
      <c r="BL171" s="106"/>
      <c r="BM171" s="106"/>
      <c r="BN171" s="106"/>
    </row>
    <row r="172" ht="29.25" hidden="1" customHeight="1">
      <c r="A172" s="93" t="s">
        <v>938</v>
      </c>
      <c r="B172" s="107" t="s">
        <v>939</v>
      </c>
      <c r="C172" s="108" t="s">
        <v>940</v>
      </c>
      <c r="D172" s="96" t="s">
        <v>941</v>
      </c>
      <c r="E172" s="97"/>
      <c r="F172" s="19" t="s">
        <v>214</v>
      </c>
      <c r="G172" s="98">
        <v>50.0</v>
      </c>
      <c r="H172" s="99"/>
      <c r="I172" s="100">
        <v>45965.0</v>
      </c>
      <c r="J172" s="101">
        <v>45966.0</v>
      </c>
      <c r="K172" s="101"/>
      <c r="L172" s="101"/>
      <c r="M172" s="25">
        <f>IF(ISBLANK(L172), NETWORKDAYS(J172, TODAY(),Hoja2!$A$1:$A$18), NETWORKDAYS(J172, L172, Hoja2!$A$1:$A$18))</f>
        <v>32</v>
      </c>
      <c r="N172" s="100"/>
      <c r="O172" s="102"/>
      <c r="P172" s="31" t="s">
        <v>942</v>
      </c>
      <c r="Q172" s="28" t="s">
        <v>71</v>
      </c>
      <c r="R172" s="103"/>
      <c r="S172" s="103"/>
      <c r="T172" s="104"/>
      <c r="U172" s="106"/>
      <c r="V172" s="106"/>
      <c r="W172" s="106"/>
      <c r="X172" s="106"/>
      <c r="Y172" s="106"/>
      <c r="Z172" s="106"/>
      <c r="AA172" s="106"/>
      <c r="AB172" s="106"/>
      <c r="AC172" s="106"/>
      <c r="AD172" s="106"/>
      <c r="AE172" s="106"/>
      <c r="AF172" s="106"/>
      <c r="AG172" s="106"/>
      <c r="AH172" s="106"/>
      <c r="AI172" s="106"/>
      <c r="AJ172" s="106"/>
      <c r="AK172" s="106"/>
      <c r="AL172" s="106"/>
      <c r="AM172" s="106"/>
      <c r="AN172" s="106"/>
      <c r="AO172" s="106"/>
      <c r="AP172" s="106"/>
      <c r="AQ172" s="106"/>
      <c r="AR172" s="106"/>
      <c r="AS172" s="106"/>
      <c r="AT172" s="106"/>
      <c r="AU172" s="106"/>
      <c r="AV172" s="106"/>
      <c r="AW172" s="106"/>
      <c r="AX172" s="106"/>
      <c r="AY172" s="106"/>
      <c r="AZ172" s="106"/>
      <c r="BA172" s="106"/>
      <c r="BB172" s="106"/>
      <c r="BC172" s="106"/>
      <c r="BD172" s="106"/>
      <c r="BE172" s="106"/>
      <c r="BF172" s="106"/>
      <c r="BG172" s="106"/>
      <c r="BH172" s="106"/>
      <c r="BI172" s="106"/>
      <c r="BJ172" s="106"/>
      <c r="BK172" s="106"/>
      <c r="BL172" s="106"/>
      <c r="BM172" s="106"/>
      <c r="BN172" s="106"/>
    </row>
    <row r="173" ht="29.25" hidden="1" customHeight="1">
      <c r="A173" s="93" t="s">
        <v>66</v>
      </c>
      <c r="B173" s="107" t="s">
        <v>943</v>
      </c>
      <c r="C173" s="108" t="s">
        <v>944</v>
      </c>
      <c r="D173" s="96"/>
      <c r="E173" s="97"/>
      <c r="F173" s="19" t="s">
        <v>75</v>
      </c>
      <c r="G173" s="98">
        <v>100.0</v>
      </c>
      <c r="H173" s="99"/>
      <c r="I173" s="100">
        <v>45967.0</v>
      </c>
      <c r="J173" s="101">
        <v>45979.0</v>
      </c>
      <c r="K173" s="101"/>
      <c r="L173" s="101">
        <v>45979.0</v>
      </c>
      <c r="M173" s="25">
        <f>IF(ISBLANK(L173), NETWORKDAYS(J173, TODAY(),Hoja2!$A$1:$A$18), NETWORKDAYS(J173, L173, Hoja2!$A$1:$A$18))</f>
        <v>1</v>
      </c>
      <c r="N173" s="100"/>
      <c r="O173" s="102"/>
      <c r="P173" s="31" t="s">
        <v>945</v>
      </c>
      <c r="Q173" s="28" t="s">
        <v>71</v>
      </c>
      <c r="R173" s="103"/>
      <c r="S173" s="103"/>
      <c r="T173" s="104"/>
      <c r="U173" s="106"/>
      <c r="V173" s="106"/>
      <c r="W173" s="106"/>
      <c r="X173" s="106"/>
      <c r="Y173" s="106"/>
      <c r="Z173" s="106"/>
      <c r="AA173" s="106"/>
      <c r="AB173" s="106"/>
      <c r="AC173" s="106"/>
      <c r="AD173" s="106"/>
      <c r="AE173" s="106"/>
      <c r="AF173" s="106"/>
      <c r="AG173" s="106"/>
      <c r="AH173" s="106"/>
      <c r="AI173" s="106"/>
      <c r="AJ173" s="106"/>
      <c r="AK173" s="106"/>
      <c r="AL173" s="106"/>
      <c r="AM173" s="106"/>
      <c r="AN173" s="106"/>
      <c r="AO173" s="106"/>
      <c r="AP173" s="106"/>
      <c r="AQ173" s="106"/>
      <c r="AR173" s="106"/>
      <c r="AS173" s="106"/>
      <c r="AT173" s="106"/>
      <c r="AU173" s="106"/>
      <c r="AV173" s="106"/>
      <c r="AW173" s="106"/>
      <c r="AX173" s="106"/>
      <c r="AY173" s="106"/>
      <c r="AZ173" s="106"/>
      <c r="BA173" s="106"/>
      <c r="BB173" s="106"/>
      <c r="BC173" s="106"/>
      <c r="BD173" s="106"/>
      <c r="BE173" s="106"/>
      <c r="BF173" s="106"/>
      <c r="BG173" s="106"/>
      <c r="BH173" s="106"/>
      <c r="BI173" s="106"/>
      <c r="BJ173" s="106"/>
      <c r="BK173" s="106"/>
      <c r="BL173" s="106"/>
      <c r="BM173" s="106"/>
      <c r="BN173" s="106"/>
    </row>
    <row r="174" ht="29.25" hidden="1" customHeight="1">
      <c r="A174" s="93" t="s">
        <v>66</v>
      </c>
      <c r="B174" s="107" t="s">
        <v>946</v>
      </c>
      <c r="C174" s="160" t="s">
        <v>947</v>
      </c>
      <c r="D174" s="96" t="s">
        <v>948</v>
      </c>
      <c r="E174" s="97"/>
      <c r="F174" s="19" t="s">
        <v>75</v>
      </c>
      <c r="G174" s="98">
        <v>100.0</v>
      </c>
      <c r="H174" s="99"/>
      <c r="I174" s="100">
        <v>45972.0</v>
      </c>
      <c r="J174" s="101">
        <v>45974.0</v>
      </c>
      <c r="K174" s="101"/>
      <c r="L174" s="101">
        <v>45974.0</v>
      </c>
      <c r="M174" s="25">
        <f>IF(ISBLANK(L174), NETWORKDAYS(J174, TODAY(),Hoja2!$A$1:$A$18), NETWORKDAYS(J174, L174, Hoja2!$A$1:$A$18))</f>
        <v>1</v>
      </c>
      <c r="N174" s="100"/>
      <c r="O174" s="102"/>
      <c r="P174" s="31" t="s">
        <v>949</v>
      </c>
      <c r="Q174" s="28" t="s">
        <v>71</v>
      </c>
      <c r="R174" s="103"/>
      <c r="S174" s="103"/>
      <c r="T174" s="104"/>
      <c r="U174" s="106"/>
      <c r="V174" s="106"/>
      <c r="W174" s="106"/>
      <c r="X174" s="106"/>
      <c r="Y174" s="106"/>
      <c r="Z174" s="106"/>
      <c r="AA174" s="106"/>
      <c r="AB174" s="106"/>
      <c r="AC174" s="106"/>
      <c r="AD174" s="106"/>
      <c r="AE174" s="106"/>
      <c r="AF174" s="106"/>
      <c r="AG174" s="106"/>
      <c r="AH174" s="106"/>
      <c r="AI174" s="106"/>
      <c r="AJ174" s="106"/>
      <c r="AK174" s="106"/>
      <c r="AL174" s="106"/>
      <c r="AM174" s="106"/>
      <c r="AN174" s="106"/>
      <c r="AO174" s="106"/>
      <c r="AP174" s="106"/>
      <c r="AQ174" s="106"/>
      <c r="AR174" s="106"/>
      <c r="AS174" s="106"/>
      <c r="AT174" s="106"/>
      <c r="AU174" s="106"/>
      <c r="AV174" s="106"/>
      <c r="AW174" s="106"/>
      <c r="AX174" s="106"/>
      <c r="AY174" s="106"/>
      <c r="AZ174" s="106"/>
      <c r="BA174" s="106"/>
      <c r="BB174" s="106"/>
      <c r="BC174" s="106"/>
      <c r="BD174" s="106"/>
      <c r="BE174" s="106"/>
      <c r="BF174" s="106"/>
      <c r="BG174" s="106"/>
      <c r="BH174" s="106"/>
      <c r="BI174" s="106"/>
      <c r="BJ174" s="106"/>
      <c r="BK174" s="106"/>
      <c r="BL174" s="106"/>
      <c r="BM174" s="106"/>
      <c r="BN174" s="106"/>
    </row>
    <row r="175" ht="29.25" hidden="1" customHeight="1">
      <c r="A175" s="93" t="s">
        <v>66</v>
      </c>
      <c r="B175" s="107" t="s">
        <v>950</v>
      </c>
      <c r="C175" s="160" t="s">
        <v>951</v>
      </c>
      <c r="D175" s="184" t="s">
        <v>952</v>
      </c>
      <c r="E175" s="97"/>
      <c r="F175" s="19" t="s">
        <v>75</v>
      </c>
      <c r="G175" s="98">
        <v>100.0</v>
      </c>
      <c r="H175" s="99"/>
      <c r="I175" s="100">
        <v>45972.0</v>
      </c>
      <c r="J175" s="101">
        <v>45979.0</v>
      </c>
      <c r="K175" s="101"/>
      <c r="L175" s="101">
        <v>45979.0</v>
      </c>
      <c r="M175" s="25">
        <f>IF(ISBLANK(L175), NETWORKDAYS(J175, TODAY(),Hoja2!$A$1:$A$18), NETWORKDAYS(J175, L175, Hoja2!$A$1:$A$18))</f>
        <v>1</v>
      </c>
      <c r="N175" s="100"/>
      <c r="O175" s="102"/>
      <c r="P175" s="31" t="s">
        <v>953</v>
      </c>
      <c r="Q175" s="28" t="s">
        <v>71</v>
      </c>
      <c r="R175" s="103"/>
      <c r="S175" s="103"/>
      <c r="T175" s="104"/>
      <c r="U175" s="106"/>
      <c r="V175" s="106"/>
      <c r="W175" s="106"/>
      <c r="X175" s="106"/>
      <c r="Y175" s="106"/>
      <c r="Z175" s="106"/>
      <c r="AA175" s="106"/>
      <c r="AB175" s="106"/>
      <c r="AC175" s="106"/>
      <c r="AD175" s="106"/>
      <c r="AE175" s="106"/>
      <c r="AF175" s="106"/>
      <c r="AG175" s="106"/>
      <c r="AH175" s="106"/>
      <c r="AI175" s="106"/>
      <c r="AJ175" s="106"/>
      <c r="AK175" s="106"/>
      <c r="AL175" s="106"/>
      <c r="AM175" s="106"/>
      <c r="AN175" s="106"/>
      <c r="AO175" s="106"/>
      <c r="AP175" s="106"/>
      <c r="AQ175" s="106"/>
      <c r="AR175" s="106"/>
      <c r="AS175" s="106"/>
      <c r="AT175" s="106"/>
      <c r="AU175" s="106"/>
      <c r="AV175" s="106"/>
      <c r="AW175" s="106"/>
      <c r="AX175" s="106"/>
      <c r="AY175" s="106"/>
      <c r="AZ175" s="106"/>
      <c r="BA175" s="106"/>
      <c r="BB175" s="106"/>
      <c r="BC175" s="106"/>
      <c r="BD175" s="106"/>
      <c r="BE175" s="106"/>
      <c r="BF175" s="106"/>
      <c r="BG175" s="106"/>
      <c r="BH175" s="106"/>
      <c r="BI175" s="106"/>
      <c r="BJ175" s="106"/>
      <c r="BK175" s="106"/>
      <c r="BL175" s="106"/>
      <c r="BM175" s="106"/>
      <c r="BN175" s="106"/>
    </row>
    <row r="176" ht="29.25" hidden="1" customHeight="1">
      <c r="A176" s="93" t="s">
        <v>895</v>
      </c>
      <c r="B176" s="107" t="s">
        <v>954</v>
      </c>
      <c r="C176" s="108" t="s">
        <v>955</v>
      </c>
      <c r="D176" s="96"/>
      <c r="E176" s="97"/>
      <c r="F176" s="19" t="s">
        <v>237</v>
      </c>
      <c r="G176" s="98"/>
      <c r="H176" s="99"/>
      <c r="I176" s="100"/>
      <c r="J176" s="101"/>
      <c r="K176" s="101"/>
      <c r="L176" s="101"/>
      <c r="M176" s="25">
        <f>IF(ISBLANK(L176), NETWORKDAYS(J176, TODAY(),Hoja2!$A$1:$A$18), NETWORKDAYS(J176, L176, Hoja2!$A$1:$A$18))</f>
        <v>32848</v>
      </c>
      <c r="N176" s="100"/>
      <c r="O176" s="102"/>
      <c r="P176" s="31" t="s">
        <v>956</v>
      </c>
      <c r="Q176" s="28" t="s">
        <v>91</v>
      </c>
      <c r="R176" s="103"/>
      <c r="S176" s="103"/>
      <c r="T176" s="104"/>
      <c r="U176" s="106"/>
      <c r="V176" s="106"/>
      <c r="W176" s="106"/>
      <c r="X176" s="106"/>
      <c r="Y176" s="106"/>
      <c r="Z176" s="106"/>
      <c r="AA176" s="106"/>
      <c r="AB176" s="106"/>
      <c r="AC176" s="106"/>
      <c r="AD176" s="106"/>
      <c r="AE176" s="106"/>
      <c r="AF176" s="106"/>
      <c r="AG176" s="106"/>
      <c r="AH176" s="106"/>
      <c r="AI176" s="106"/>
      <c r="AJ176" s="106"/>
      <c r="AK176" s="106"/>
      <c r="AL176" s="106"/>
      <c r="AM176" s="106"/>
      <c r="AN176" s="106"/>
      <c r="AO176" s="106"/>
      <c r="AP176" s="106"/>
      <c r="AQ176" s="106"/>
      <c r="AR176" s="106"/>
      <c r="AS176" s="106"/>
      <c r="AT176" s="106"/>
      <c r="AU176" s="106"/>
      <c r="AV176" s="106"/>
      <c r="AW176" s="106"/>
      <c r="AX176" s="106"/>
      <c r="AY176" s="106"/>
      <c r="AZ176" s="106"/>
      <c r="BA176" s="106"/>
      <c r="BB176" s="106"/>
      <c r="BC176" s="106"/>
      <c r="BD176" s="106"/>
      <c r="BE176" s="106"/>
      <c r="BF176" s="106"/>
      <c r="BG176" s="106"/>
      <c r="BH176" s="106"/>
      <c r="BI176" s="106"/>
      <c r="BJ176" s="106"/>
      <c r="BK176" s="106"/>
      <c r="BL176" s="106"/>
      <c r="BM176" s="106"/>
      <c r="BN176" s="106"/>
    </row>
    <row r="177" ht="29.25" hidden="1" customHeight="1">
      <c r="A177" s="93" t="s">
        <v>66</v>
      </c>
      <c r="B177" s="107" t="s">
        <v>957</v>
      </c>
      <c r="C177" s="108" t="s">
        <v>958</v>
      </c>
      <c r="D177" s="96" t="s">
        <v>959</v>
      </c>
      <c r="E177" s="97"/>
      <c r="F177" s="19" t="s">
        <v>75</v>
      </c>
      <c r="G177" s="98">
        <v>100.0</v>
      </c>
      <c r="H177" s="99"/>
      <c r="I177" s="100">
        <v>45940.0</v>
      </c>
      <c r="J177" s="101">
        <v>45945.0</v>
      </c>
      <c r="K177" s="101"/>
      <c r="L177" s="101">
        <v>45947.0</v>
      </c>
      <c r="M177" s="25">
        <f>IF(ISBLANK(L177), NETWORKDAYS(J177, TODAY(),Hoja2!$A$1:$A$18), NETWORKDAYS(J177, L177, Hoja2!$A$1:$A$18))</f>
        <v>3</v>
      </c>
      <c r="N177" s="100"/>
      <c r="O177" s="102"/>
      <c r="P177" s="31" t="s">
        <v>960</v>
      </c>
      <c r="Q177" s="28" t="s">
        <v>71</v>
      </c>
      <c r="R177" s="103"/>
      <c r="S177" s="103"/>
      <c r="T177" s="104"/>
      <c r="U177" s="106"/>
      <c r="V177" s="106"/>
      <c r="W177" s="106"/>
      <c r="X177" s="106"/>
      <c r="Y177" s="106"/>
      <c r="Z177" s="106"/>
      <c r="AA177" s="106"/>
      <c r="AB177" s="106"/>
      <c r="AC177" s="106"/>
      <c r="AD177" s="106"/>
      <c r="AE177" s="106"/>
      <c r="AF177" s="106"/>
      <c r="AG177" s="106"/>
      <c r="AH177" s="106"/>
      <c r="AI177" s="106"/>
      <c r="AJ177" s="106"/>
      <c r="AK177" s="106"/>
      <c r="AL177" s="106"/>
      <c r="AM177" s="106"/>
      <c r="AN177" s="106"/>
      <c r="AO177" s="106"/>
      <c r="AP177" s="106"/>
      <c r="AQ177" s="106"/>
      <c r="AR177" s="106"/>
      <c r="AS177" s="106"/>
      <c r="AT177" s="106"/>
      <c r="AU177" s="106"/>
      <c r="AV177" s="106"/>
      <c r="AW177" s="106"/>
      <c r="AX177" s="106"/>
      <c r="AY177" s="106"/>
      <c r="AZ177" s="106"/>
      <c r="BA177" s="106"/>
      <c r="BB177" s="106"/>
      <c r="BC177" s="106"/>
      <c r="BD177" s="106"/>
      <c r="BE177" s="106"/>
      <c r="BF177" s="106"/>
      <c r="BG177" s="106"/>
      <c r="BH177" s="106"/>
      <c r="BI177" s="106"/>
      <c r="BJ177" s="106"/>
      <c r="BK177" s="106"/>
      <c r="BL177" s="106"/>
      <c r="BM177" s="106"/>
      <c r="BN177" s="106"/>
    </row>
    <row r="178" ht="29.25" hidden="1" customHeight="1">
      <c r="A178" s="93" t="s">
        <v>66</v>
      </c>
      <c r="B178" s="107" t="s">
        <v>961</v>
      </c>
      <c r="C178" s="108" t="s">
        <v>962</v>
      </c>
      <c r="D178" s="96" t="s">
        <v>963</v>
      </c>
      <c r="E178" s="97"/>
      <c r="F178" s="19" t="s">
        <v>75</v>
      </c>
      <c r="G178" s="98">
        <v>100.0</v>
      </c>
      <c r="H178" s="99"/>
      <c r="I178" s="100">
        <v>45947.0</v>
      </c>
      <c r="J178" s="101">
        <v>45947.0</v>
      </c>
      <c r="K178" s="101"/>
      <c r="L178" s="101">
        <v>45947.0</v>
      </c>
      <c r="M178" s="25">
        <f>IF(ISBLANK(L178), NETWORKDAYS(J178, TODAY(),Hoja2!$A$1:$A$18), NETWORKDAYS(J178, L178, Hoja2!$A$1:$A$18))</f>
        <v>1</v>
      </c>
      <c r="N178" s="100"/>
      <c r="O178" s="102"/>
      <c r="P178" s="31" t="s">
        <v>964</v>
      </c>
      <c r="Q178" s="28" t="s">
        <v>71</v>
      </c>
      <c r="R178" s="103"/>
      <c r="S178" s="103"/>
      <c r="T178" s="104"/>
      <c r="U178" s="106"/>
      <c r="V178" s="106"/>
      <c r="W178" s="106"/>
      <c r="X178" s="106"/>
      <c r="Y178" s="106"/>
      <c r="Z178" s="106"/>
      <c r="AA178" s="106"/>
      <c r="AB178" s="106"/>
      <c r="AC178" s="106"/>
      <c r="AD178" s="106"/>
      <c r="AE178" s="106"/>
      <c r="AF178" s="106"/>
      <c r="AG178" s="106"/>
      <c r="AH178" s="106"/>
      <c r="AI178" s="106"/>
      <c r="AJ178" s="106"/>
      <c r="AK178" s="106"/>
      <c r="AL178" s="106"/>
      <c r="AM178" s="106"/>
      <c r="AN178" s="106"/>
      <c r="AO178" s="106"/>
      <c r="AP178" s="106"/>
      <c r="AQ178" s="106"/>
      <c r="AR178" s="106"/>
      <c r="AS178" s="106"/>
      <c r="AT178" s="106"/>
      <c r="AU178" s="106"/>
      <c r="AV178" s="106"/>
      <c r="AW178" s="106"/>
      <c r="AX178" s="106"/>
      <c r="AY178" s="106"/>
      <c r="AZ178" s="106"/>
      <c r="BA178" s="106"/>
      <c r="BB178" s="106"/>
      <c r="BC178" s="106"/>
      <c r="BD178" s="106"/>
      <c r="BE178" s="106"/>
      <c r="BF178" s="106"/>
      <c r="BG178" s="106"/>
      <c r="BH178" s="106"/>
      <c r="BI178" s="106"/>
      <c r="BJ178" s="106"/>
      <c r="BK178" s="106"/>
      <c r="BL178" s="106"/>
      <c r="BM178" s="106"/>
      <c r="BN178" s="106"/>
    </row>
    <row r="179" ht="29.25" hidden="1" customHeight="1">
      <c r="A179" s="93" t="s">
        <v>66</v>
      </c>
      <c r="B179" s="107" t="s">
        <v>965</v>
      </c>
      <c r="C179" s="108" t="s">
        <v>966</v>
      </c>
      <c r="D179" s="96" t="s">
        <v>967</v>
      </c>
      <c r="E179" s="97"/>
      <c r="F179" s="19" t="s">
        <v>75</v>
      </c>
      <c r="G179" s="98">
        <v>100.0</v>
      </c>
      <c r="H179" s="99"/>
      <c r="I179" s="100">
        <v>45940.0</v>
      </c>
      <c r="J179" s="101">
        <v>45945.0</v>
      </c>
      <c r="K179" s="101"/>
      <c r="L179" s="101">
        <v>45945.0</v>
      </c>
      <c r="M179" s="25">
        <f>IF(ISBLANK(L179), NETWORKDAYS(J179, TODAY(),Hoja2!$A$1:$A$18), NETWORKDAYS(J179, L179, Hoja2!$A$1:$A$18))</f>
        <v>1</v>
      </c>
      <c r="N179" s="100"/>
      <c r="O179" s="102"/>
      <c r="P179" s="31" t="s">
        <v>968</v>
      </c>
      <c r="Q179" s="28" t="s">
        <v>71</v>
      </c>
      <c r="R179" s="103"/>
      <c r="S179" s="103"/>
      <c r="T179" s="104"/>
      <c r="U179" s="106"/>
      <c r="V179" s="106"/>
      <c r="W179" s="106"/>
      <c r="X179" s="106"/>
      <c r="Y179" s="106"/>
      <c r="Z179" s="106"/>
      <c r="AA179" s="106"/>
      <c r="AB179" s="106"/>
      <c r="AC179" s="106"/>
      <c r="AD179" s="106"/>
      <c r="AE179" s="106"/>
      <c r="AF179" s="106"/>
      <c r="AG179" s="106"/>
      <c r="AH179" s="106"/>
      <c r="AI179" s="106"/>
      <c r="AJ179" s="106"/>
      <c r="AK179" s="106"/>
      <c r="AL179" s="106"/>
      <c r="AM179" s="106"/>
      <c r="AN179" s="106"/>
      <c r="AO179" s="106"/>
      <c r="AP179" s="106"/>
      <c r="AQ179" s="106"/>
      <c r="AR179" s="106"/>
      <c r="AS179" s="106"/>
      <c r="AT179" s="106"/>
      <c r="AU179" s="106"/>
      <c r="AV179" s="106"/>
      <c r="AW179" s="106"/>
      <c r="AX179" s="106"/>
      <c r="AY179" s="106"/>
      <c r="AZ179" s="106"/>
      <c r="BA179" s="106"/>
      <c r="BB179" s="106"/>
      <c r="BC179" s="106"/>
      <c r="BD179" s="106"/>
      <c r="BE179" s="106"/>
      <c r="BF179" s="106"/>
      <c r="BG179" s="106"/>
      <c r="BH179" s="106"/>
      <c r="BI179" s="106"/>
      <c r="BJ179" s="106"/>
      <c r="BK179" s="106"/>
      <c r="BL179" s="106"/>
      <c r="BM179" s="106"/>
      <c r="BN179" s="106"/>
    </row>
    <row r="180" ht="29.25" hidden="1" customHeight="1">
      <c r="A180" s="93" t="s">
        <v>66</v>
      </c>
      <c r="B180" s="107" t="s">
        <v>969</v>
      </c>
      <c r="C180" s="108" t="s">
        <v>970</v>
      </c>
      <c r="D180" s="96" t="s">
        <v>971</v>
      </c>
      <c r="E180" s="97"/>
      <c r="F180" s="19" t="s">
        <v>75</v>
      </c>
      <c r="G180" s="98">
        <v>100.0</v>
      </c>
      <c r="H180" s="99"/>
      <c r="I180" s="100">
        <v>45940.0</v>
      </c>
      <c r="J180" s="101">
        <v>45945.0</v>
      </c>
      <c r="K180" s="101"/>
      <c r="L180" s="101">
        <v>45945.0</v>
      </c>
      <c r="M180" s="25">
        <f>IF(ISBLANK(L180), NETWORKDAYS(J180, TODAY(),Hoja2!$A$1:$A$18), NETWORKDAYS(J180, L180, Hoja2!$A$1:$A$18))</f>
        <v>1</v>
      </c>
      <c r="N180" s="100"/>
      <c r="O180" s="102"/>
      <c r="P180" s="31" t="s">
        <v>972</v>
      </c>
      <c r="Q180" s="28" t="s">
        <v>71</v>
      </c>
      <c r="R180" s="103"/>
      <c r="S180" s="103"/>
      <c r="T180" s="104"/>
      <c r="U180" s="106"/>
      <c r="V180" s="106"/>
      <c r="W180" s="106"/>
      <c r="X180" s="106"/>
      <c r="Y180" s="106"/>
      <c r="Z180" s="106"/>
      <c r="AA180" s="106"/>
      <c r="AB180" s="106"/>
      <c r="AC180" s="106"/>
      <c r="AD180" s="106"/>
      <c r="AE180" s="106"/>
      <c r="AF180" s="106"/>
      <c r="AG180" s="106"/>
      <c r="AH180" s="106"/>
      <c r="AI180" s="106"/>
      <c r="AJ180" s="106"/>
      <c r="AK180" s="106"/>
      <c r="AL180" s="106"/>
      <c r="AM180" s="106"/>
      <c r="AN180" s="106"/>
      <c r="AO180" s="106"/>
      <c r="AP180" s="106"/>
      <c r="AQ180" s="106"/>
      <c r="AR180" s="106"/>
      <c r="AS180" s="106"/>
      <c r="AT180" s="106"/>
      <c r="AU180" s="106"/>
      <c r="AV180" s="106"/>
      <c r="AW180" s="106"/>
      <c r="AX180" s="106"/>
      <c r="AY180" s="106"/>
      <c r="AZ180" s="106"/>
      <c r="BA180" s="106"/>
      <c r="BB180" s="106"/>
      <c r="BC180" s="106"/>
      <c r="BD180" s="106"/>
      <c r="BE180" s="106"/>
      <c r="BF180" s="106"/>
      <c r="BG180" s="106"/>
      <c r="BH180" s="106"/>
      <c r="BI180" s="106"/>
      <c r="BJ180" s="106"/>
      <c r="BK180" s="106"/>
      <c r="BL180" s="106"/>
      <c r="BM180" s="106"/>
      <c r="BN180" s="106"/>
    </row>
    <row r="181" ht="29.25" hidden="1" customHeight="1">
      <c r="A181" s="93" t="s">
        <v>66</v>
      </c>
      <c r="B181" s="107" t="s">
        <v>973</v>
      </c>
      <c r="C181" s="108" t="s">
        <v>974</v>
      </c>
      <c r="D181" s="96" t="s">
        <v>975</v>
      </c>
      <c r="E181" s="97"/>
      <c r="F181" s="19" t="s">
        <v>75</v>
      </c>
      <c r="G181" s="98">
        <v>100.0</v>
      </c>
      <c r="H181" s="99"/>
      <c r="I181" s="100">
        <v>45930.0</v>
      </c>
      <c r="J181" s="101">
        <v>45930.0</v>
      </c>
      <c r="K181" s="101"/>
      <c r="L181" s="101">
        <v>45930.0</v>
      </c>
      <c r="M181" s="25">
        <f>IF(ISBLANK(L181), NETWORKDAYS(J181, TODAY(),Hoja2!$A$1:$A$18), NETWORKDAYS(J181, L181, Hoja2!$A$1:$A$18))</f>
        <v>1</v>
      </c>
      <c r="N181" s="100"/>
      <c r="O181" s="102"/>
      <c r="P181" s="31" t="s">
        <v>976</v>
      </c>
      <c r="Q181" s="28" t="s">
        <v>71</v>
      </c>
      <c r="R181" s="103"/>
      <c r="S181" s="103"/>
      <c r="T181" s="104"/>
      <c r="U181" s="106"/>
      <c r="V181" s="106"/>
      <c r="W181" s="106"/>
      <c r="X181" s="106"/>
      <c r="Y181" s="106"/>
      <c r="Z181" s="106"/>
      <c r="AA181" s="106"/>
      <c r="AB181" s="106"/>
      <c r="AC181" s="106"/>
      <c r="AD181" s="106"/>
      <c r="AE181" s="106"/>
      <c r="AF181" s="106"/>
      <c r="AG181" s="106"/>
      <c r="AH181" s="106"/>
      <c r="AI181" s="106"/>
      <c r="AJ181" s="106"/>
      <c r="AK181" s="106"/>
      <c r="AL181" s="106"/>
      <c r="AM181" s="106"/>
      <c r="AN181" s="106"/>
      <c r="AO181" s="106"/>
      <c r="AP181" s="106"/>
      <c r="AQ181" s="106"/>
      <c r="AR181" s="106"/>
      <c r="AS181" s="106"/>
      <c r="AT181" s="106"/>
      <c r="AU181" s="106"/>
      <c r="AV181" s="106"/>
      <c r="AW181" s="106"/>
      <c r="AX181" s="106"/>
      <c r="AY181" s="106"/>
      <c r="AZ181" s="106"/>
      <c r="BA181" s="106"/>
      <c r="BB181" s="106"/>
      <c r="BC181" s="106"/>
      <c r="BD181" s="106"/>
      <c r="BE181" s="106"/>
      <c r="BF181" s="106"/>
      <c r="BG181" s="106"/>
      <c r="BH181" s="106"/>
      <c r="BI181" s="106"/>
      <c r="BJ181" s="106"/>
      <c r="BK181" s="106"/>
      <c r="BL181" s="106"/>
      <c r="BM181" s="106"/>
      <c r="BN181" s="106"/>
    </row>
    <row r="182" ht="29.25" hidden="1" customHeight="1">
      <c r="A182" s="93" t="s">
        <v>66</v>
      </c>
      <c r="B182" s="107" t="s">
        <v>977</v>
      </c>
      <c r="C182" s="108" t="s">
        <v>978</v>
      </c>
      <c r="D182" s="96" t="s">
        <v>979</v>
      </c>
      <c r="E182" s="97"/>
      <c r="F182" s="19" t="s">
        <v>75</v>
      </c>
      <c r="G182" s="98">
        <v>100.0</v>
      </c>
      <c r="H182" s="99"/>
      <c r="I182" s="100">
        <v>45916.0</v>
      </c>
      <c r="J182" s="101">
        <v>45916.0</v>
      </c>
      <c r="K182" s="101"/>
      <c r="L182" s="101">
        <v>45916.0</v>
      </c>
      <c r="M182" s="25">
        <f>IF(ISBLANK(L182), NETWORKDAYS(J182, TODAY(),Hoja2!$A$1:$A$18), NETWORKDAYS(J182, L182, Hoja2!$A$1:$A$18))</f>
        <v>1</v>
      </c>
      <c r="N182" s="100"/>
      <c r="O182" s="102">
        <v>45916.0</v>
      </c>
      <c r="P182" s="31" t="s">
        <v>980</v>
      </c>
      <c r="Q182" s="28" t="s">
        <v>71</v>
      </c>
      <c r="R182" s="103"/>
      <c r="S182" s="103"/>
      <c r="T182" s="104"/>
      <c r="U182" s="106"/>
      <c r="V182" s="106"/>
      <c r="W182" s="106"/>
      <c r="X182" s="106"/>
      <c r="Y182" s="106"/>
      <c r="Z182" s="106"/>
      <c r="AA182" s="106"/>
      <c r="AB182" s="106"/>
      <c r="AC182" s="106"/>
      <c r="AD182" s="106"/>
      <c r="AE182" s="106"/>
      <c r="AF182" s="106"/>
      <c r="AG182" s="106"/>
      <c r="AH182" s="106"/>
      <c r="AI182" s="106"/>
      <c r="AJ182" s="106"/>
      <c r="AK182" s="106"/>
      <c r="AL182" s="106"/>
      <c r="AM182" s="106"/>
      <c r="AN182" s="106"/>
      <c r="AO182" s="106"/>
      <c r="AP182" s="106"/>
      <c r="AQ182" s="106"/>
      <c r="AR182" s="106"/>
      <c r="AS182" s="106"/>
      <c r="AT182" s="106"/>
      <c r="AU182" s="106"/>
      <c r="AV182" s="106"/>
      <c r="AW182" s="106"/>
      <c r="AX182" s="106"/>
      <c r="AY182" s="106"/>
      <c r="AZ182" s="106"/>
      <c r="BA182" s="106"/>
      <c r="BB182" s="106"/>
      <c r="BC182" s="106"/>
      <c r="BD182" s="106"/>
      <c r="BE182" s="106"/>
      <c r="BF182" s="106"/>
      <c r="BG182" s="106"/>
      <c r="BH182" s="106"/>
      <c r="BI182" s="106"/>
      <c r="BJ182" s="106"/>
      <c r="BK182" s="106"/>
      <c r="BL182" s="106"/>
      <c r="BM182" s="106"/>
      <c r="BN182" s="106"/>
    </row>
    <row r="183" ht="29.25" hidden="1" customHeight="1">
      <c r="A183" s="93" t="s">
        <v>66</v>
      </c>
      <c r="B183" s="107" t="s">
        <v>981</v>
      </c>
      <c r="C183" s="108" t="s">
        <v>982</v>
      </c>
      <c r="D183" s="96" t="s">
        <v>983</v>
      </c>
      <c r="E183" s="97"/>
      <c r="F183" s="19" t="s">
        <v>75</v>
      </c>
      <c r="G183" s="98">
        <v>100.0</v>
      </c>
      <c r="H183" s="99"/>
      <c r="I183" s="100">
        <v>45910.0</v>
      </c>
      <c r="J183" s="101">
        <v>45910.0</v>
      </c>
      <c r="K183" s="101"/>
      <c r="L183" s="101">
        <v>45910.0</v>
      </c>
      <c r="M183" s="25">
        <f>IF(ISBLANK(L183), NETWORKDAYS(J183, TODAY(),Hoja2!$A$1:$A$18), NETWORKDAYS(J183, L183, Hoja2!$A$1:$A$18))</f>
        <v>1</v>
      </c>
      <c r="N183" s="100"/>
      <c r="O183" s="102"/>
      <c r="P183" s="31" t="s">
        <v>984</v>
      </c>
      <c r="Q183" s="28" t="s">
        <v>71</v>
      </c>
      <c r="R183" s="103"/>
      <c r="S183" s="103"/>
      <c r="T183" s="104"/>
      <c r="U183" s="106"/>
      <c r="V183" s="106"/>
      <c r="W183" s="106"/>
      <c r="X183" s="106"/>
      <c r="Y183" s="106"/>
      <c r="Z183" s="106"/>
      <c r="AA183" s="106"/>
      <c r="AB183" s="106"/>
      <c r="AC183" s="106"/>
      <c r="AD183" s="106"/>
      <c r="AE183" s="106"/>
      <c r="AF183" s="106"/>
      <c r="AG183" s="106"/>
      <c r="AH183" s="106"/>
      <c r="AI183" s="106"/>
      <c r="AJ183" s="106"/>
      <c r="AK183" s="106"/>
      <c r="AL183" s="106"/>
      <c r="AM183" s="106"/>
      <c r="AN183" s="106"/>
      <c r="AO183" s="106"/>
      <c r="AP183" s="106"/>
      <c r="AQ183" s="106"/>
      <c r="AR183" s="106"/>
      <c r="AS183" s="106"/>
      <c r="AT183" s="106"/>
      <c r="AU183" s="106"/>
      <c r="AV183" s="106"/>
      <c r="AW183" s="106"/>
      <c r="AX183" s="106"/>
      <c r="AY183" s="106"/>
      <c r="AZ183" s="106"/>
      <c r="BA183" s="106"/>
      <c r="BB183" s="106"/>
      <c r="BC183" s="106"/>
      <c r="BD183" s="106"/>
      <c r="BE183" s="106"/>
      <c r="BF183" s="106"/>
      <c r="BG183" s="106"/>
      <c r="BH183" s="106"/>
      <c r="BI183" s="106"/>
      <c r="BJ183" s="106"/>
      <c r="BK183" s="106"/>
      <c r="BL183" s="106"/>
      <c r="BM183" s="106"/>
      <c r="BN183" s="106"/>
    </row>
    <row r="184" ht="29.25" hidden="1" customHeight="1">
      <c r="A184" s="93" t="s">
        <v>155</v>
      </c>
      <c r="B184" s="107" t="s">
        <v>985</v>
      </c>
      <c r="C184" s="108" t="s">
        <v>986</v>
      </c>
      <c r="D184" s="96" t="s">
        <v>987</v>
      </c>
      <c r="E184" s="97"/>
      <c r="F184" s="19" t="s">
        <v>75</v>
      </c>
      <c r="G184" s="98">
        <v>100.0</v>
      </c>
      <c r="H184" s="99"/>
      <c r="I184" s="100">
        <v>45908.0</v>
      </c>
      <c r="J184" s="101">
        <v>45909.0</v>
      </c>
      <c r="K184" s="101"/>
      <c r="L184" s="101">
        <v>45909.0</v>
      </c>
      <c r="M184" s="25">
        <f>IF(ISBLANK(L184), NETWORKDAYS(J184, TODAY(),Hoja2!$A$1:$A$18), NETWORKDAYS(J184, L184, Hoja2!$A$1:$A$18))</f>
        <v>1</v>
      </c>
      <c r="N184" s="100">
        <v>45909.0</v>
      </c>
      <c r="O184" s="102">
        <v>45910.0</v>
      </c>
      <c r="P184" s="31" t="s">
        <v>988</v>
      </c>
      <c r="Q184" s="28" t="s">
        <v>71</v>
      </c>
      <c r="R184" s="103"/>
      <c r="S184" s="103"/>
      <c r="T184" s="104"/>
      <c r="U184" s="106"/>
      <c r="V184" s="106"/>
      <c r="W184" s="106"/>
      <c r="X184" s="106"/>
      <c r="Y184" s="106"/>
      <c r="Z184" s="106"/>
      <c r="AA184" s="106"/>
      <c r="AB184" s="106"/>
      <c r="AC184" s="106"/>
      <c r="AD184" s="106"/>
      <c r="AE184" s="106"/>
      <c r="AF184" s="106"/>
      <c r="AG184" s="106"/>
      <c r="AH184" s="106"/>
      <c r="AI184" s="106"/>
      <c r="AJ184" s="106"/>
      <c r="AK184" s="106"/>
      <c r="AL184" s="106"/>
      <c r="AM184" s="106"/>
      <c r="AN184" s="106"/>
      <c r="AO184" s="106"/>
      <c r="AP184" s="106"/>
      <c r="AQ184" s="106"/>
      <c r="AR184" s="106"/>
      <c r="AS184" s="106"/>
      <c r="AT184" s="106"/>
      <c r="AU184" s="106"/>
      <c r="AV184" s="106"/>
      <c r="AW184" s="106"/>
      <c r="AX184" s="106"/>
      <c r="AY184" s="106"/>
      <c r="AZ184" s="106"/>
      <c r="BA184" s="106"/>
      <c r="BB184" s="106"/>
      <c r="BC184" s="106"/>
      <c r="BD184" s="106"/>
      <c r="BE184" s="106"/>
      <c r="BF184" s="106"/>
      <c r="BG184" s="106"/>
      <c r="BH184" s="106"/>
      <c r="BI184" s="106"/>
      <c r="BJ184" s="106"/>
      <c r="BK184" s="106"/>
      <c r="BL184" s="106"/>
      <c r="BM184" s="106"/>
      <c r="BN184" s="106"/>
    </row>
    <row r="185" ht="29.25" hidden="1" customHeight="1">
      <c r="A185" s="93" t="s">
        <v>126</v>
      </c>
      <c r="B185" s="107" t="s">
        <v>989</v>
      </c>
      <c r="C185" s="108" t="s">
        <v>990</v>
      </c>
      <c r="D185" s="96" t="s">
        <v>991</v>
      </c>
      <c r="E185" s="97"/>
      <c r="F185" s="19" t="s">
        <v>75</v>
      </c>
      <c r="G185" s="98">
        <v>100.0</v>
      </c>
      <c r="H185" s="99"/>
      <c r="I185" s="100">
        <v>45905.0</v>
      </c>
      <c r="J185" s="101">
        <v>45905.0</v>
      </c>
      <c r="K185" s="101"/>
      <c r="L185" s="101">
        <v>45908.0</v>
      </c>
      <c r="M185" s="25">
        <f>IF(ISBLANK(L185), NETWORKDAYS(J185, TODAY(),Hoja2!$A$1:$A$18), NETWORKDAYS(J185, L185, Hoja2!$A$1:$A$18))</f>
        <v>2</v>
      </c>
      <c r="N185" s="100"/>
      <c r="O185" s="102"/>
      <c r="P185" s="31" t="s">
        <v>992</v>
      </c>
      <c r="Q185" s="28" t="s">
        <v>71</v>
      </c>
      <c r="R185" s="103"/>
      <c r="S185" s="103"/>
      <c r="T185" s="104"/>
      <c r="U185" s="106"/>
      <c r="V185" s="106"/>
      <c r="W185" s="106"/>
      <c r="X185" s="106"/>
      <c r="Y185" s="106"/>
      <c r="Z185" s="106"/>
      <c r="AA185" s="106"/>
      <c r="AB185" s="106"/>
      <c r="AC185" s="106"/>
      <c r="AD185" s="106"/>
      <c r="AE185" s="106"/>
      <c r="AF185" s="106"/>
      <c r="AG185" s="106"/>
      <c r="AH185" s="106"/>
      <c r="AI185" s="106"/>
      <c r="AJ185" s="106"/>
      <c r="AK185" s="106"/>
      <c r="AL185" s="106"/>
      <c r="AM185" s="106"/>
      <c r="AN185" s="106"/>
      <c r="AO185" s="106"/>
      <c r="AP185" s="106"/>
      <c r="AQ185" s="106"/>
      <c r="AR185" s="106"/>
      <c r="AS185" s="106"/>
      <c r="AT185" s="106"/>
      <c r="AU185" s="106"/>
      <c r="AV185" s="106"/>
      <c r="AW185" s="106"/>
      <c r="AX185" s="106"/>
      <c r="AY185" s="106"/>
      <c r="AZ185" s="106"/>
      <c r="BA185" s="106"/>
      <c r="BB185" s="106"/>
      <c r="BC185" s="106"/>
      <c r="BD185" s="106"/>
      <c r="BE185" s="106"/>
      <c r="BF185" s="106"/>
      <c r="BG185" s="106"/>
      <c r="BH185" s="106"/>
      <c r="BI185" s="106"/>
      <c r="BJ185" s="106"/>
      <c r="BK185" s="106"/>
      <c r="BL185" s="106"/>
      <c r="BM185" s="106"/>
      <c r="BN185" s="106"/>
    </row>
    <row r="186" ht="29.25" hidden="1" customHeight="1">
      <c r="A186" s="93" t="s">
        <v>66</v>
      </c>
      <c r="B186" s="107" t="s">
        <v>993</v>
      </c>
      <c r="C186" s="108" t="s">
        <v>994</v>
      </c>
      <c r="D186" s="96" t="s">
        <v>995</v>
      </c>
      <c r="E186" s="97"/>
      <c r="F186" s="19" t="s">
        <v>75</v>
      </c>
      <c r="G186" s="98">
        <v>100.0</v>
      </c>
      <c r="H186" s="99"/>
      <c r="I186" s="100">
        <v>45890.0</v>
      </c>
      <c r="J186" s="101">
        <v>45890.0</v>
      </c>
      <c r="K186" s="101"/>
      <c r="L186" s="101">
        <v>45898.0</v>
      </c>
      <c r="M186" s="25">
        <f>IF(ISBLANK(L186), NETWORKDAYS(J186, TODAY(),Hoja2!$A$1:$A$18), NETWORKDAYS(J186, L186, Hoja2!$A$1:$A$18))</f>
        <v>7</v>
      </c>
      <c r="N186" s="100"/>
      <c r="O186" s="102"/>
      <c r="P186" s="31" t="s">
        <v>996</v>
      </c>
      <c r="Q186" s="28" t="s">
        <v>71</v>
      </c>
      <c r="R186" s="103"/>
      <c r="S186" s="103"/>
      <c r="T186" s="104"/>
      <c r="U186" s="106"/>
      <c r="V186" s="106"/>
      <c r="W186" s="106"/>
      <c r="X186" s="106"/>
      <c r="Y186" s="106"/>
      <c r="Z186" s="106"/>
      <c r="AA186" s="106"/>
      <c r="AB186" s="106"/>
      <c r="AC186" s="106"/>
      <c r="AD186" s="106"/>
      <c r="AE186" s="106"/>
      <c r="AF186" s="106"/>
      <c r="AG186" s="106"/>
      <c r="AH186" s="106"/>
      <c r="AI186" s="106"/>
      <c r="AJ186" s="106"/>
      <c r="AK186" s="106"/>
      <c r="AL186" s="106"/>
      <c r="AM186" s="106"/>
      <c r="AN186" s="106"/>
      <c r="AO186" s="106"/>
      <c r="AP186" s="106"/>
      <c r="AQ186" s="106"/>
      <c r="AR186" s="106"/>
      <c r="AS186" s="106"/>
      <c r="AT186" s="106"/>
      <c r="AU186" s="106"/>
      <c r="AV186" s="106"/>
      <c r="AW186" s="106"/>
      <c r="AX186" s="106"/>
      <c r="AY186" s="106"/>
      <c r="AZ186" s="106"/>
      <c r="BA186" s="106"/>
      <c r="BB186" s="106"/>
      <c r="BC186" s="106"/>
      <c r="BD186" s="106"/>
      <c r="BE186" s="106"/>
      <c r="BF186" s="106"/>
      <c r="BG186" s="106"/>
      <c r="BH186" s="106"/>
      <c r="BI186" s="106"/>
      <c r="BJ186" s="106"/>
      <c r="BK186" s="106"/>
      <c r="BL186" s="106"/>
      <c r="BM186" s="106"/>
      <c r="BN186" s="106"/>
    </row>
    <row r="187" ht="29.25" hidden="1" customHeight="1">
      <c r="A187" s="53" t="s">
        <v>126</v>
      </c>
      <c r="B187" s="107" t="s">
        <v>997</v>
      </c>
      <c r="C187" s="108" t="s">
        <v>998</v>
      </c>
      <c r="D187" s="96"/>
      <c r="E187" s="97"/>
      <c r="F187" s="124" t="s">
        <v>237</v>
      </c>
      <c r="G187" s="98"/>
      <c r="H187" s="99"/>
      <c r="I187" s="175">
        <v>45912.0</v>
      </c>
      <c r="J187" s="174"/>
      <c r="K187" s="101"/>
      <c r="L187" s="101"/>
      <c r="M187" s="25">
        <f>IF(ISBLANK(L187), NETWORKDAYS(J187, TODAY(),Hoja2!$A$1:$A$18), NETWORKDAYS(J187, L187, Hoja2!$A$1:$A$18))</f>
        <v>32848</v>
      </c>
      <c r="N187" s="100"/>
      <c r="O187" s="102"/>
      <c r="P187" s="31" t="s">
        <v>999</v>
      </c>
      <c r="Q187" s="114" t="s">
        <v>91</v>
      </c>
      <c r="R187" s="98"/>
      <c r="S187" s="103"/>
      <c r="T187" s="104"/>
      <c r="U187" s="106"/>
      <c r="V187" s="106"/>
      <c r="W187" s="106"/>
      <c r="X187" s="106"/>
      <c r="Y187" s="106"/>
      <c r="Z187" s="106"/>
      <c r="AA187" s="106"/>
      <c r="AB187" s="106"/>
      <c r="AC187" s="106"/>
      <c r="AD187" s="106"/>
      <c r="AE187" s="106"/>
      <c r="AF187" s="106"/>
      <c r="AG187" s="106"/>
      <c r="AH187" s="106"/>
      <c r="AI187" s="106"/>
      <c r="AJ187" s="106"/>
      <c r="AK187" s="106"/>
      <c r="AL187" s="106"/>
      <c r="AM187" s="106"/>
      <c r="AN187" s="106"/>
      <c r="AO187" s="106"/>
      <c r="AP187" s="106"/>
      <c r="AQ187" s="106"/>
      <c r="AR187" s="106"/>
      <c r="AS187" s="106"/>
      <c r="AT187" s="106"/>
      <c r="AU187" s="106"/>
      <c r="AV187" s="106"/>
      <c r="AW187" s="106"/>
      <c r="AX187" s="106"/>
      <c r="AY187" s="106"/>
      <c r="AZ187" s="106"/>
      <c r="BA187" s="106"/>
      <c r="BB187" s="106"/>
      <c r="BC187" s="106"/>
      <c r="BD187" s="106"/>
      <c r="BE187" s="106"/>
      <c r="BF187" s="106"/>
      <c r="BG187" s="106"/>
      <c r="BH187" s="106"/>
      <c r="BI187" s="106"/>
      <c r="BJ187" s="106"/>
      <c r="BK187" s="106"/>
      <c r="BL187" s="106"/>
      <c r="BM187" s="106"/>
      <c r="BN187" s="106"/>
    </row>
    <row r="188" ht="29.25" hidden="1" customHeight="1">
      <c r="A188" s="93" t="s">
        <v>126</v>
      </c>
      <c r="B188" s="107" t="s">
        <v>1000</v>
      </c>
      <c r="C188" s="108" t="s">
        <v>1001</v>
      </c>
      <c r="D188" s="96" t="s">
        <v>1002</v>
      </c>
      <c r="E188" s="97"/>
      <c r="F188" s="124" t="s">
        <v>75</v>
      </c>
      <c r="G188" s="98">
        <v>100.0</v>
      </c>
      <c r="H188" s="99"/>
      <c r="I188" s="100">
        <v>45895.0</v>
      </c>
      <c r="J188" s="101">
        <v>45904.0</v>
      </c>
      <c r="K188" s="101">
        <v>45910.0</v>
      </c>
      <c r="L188" s="101">
        <v>45905.0</v>
      </c>
      <c r="M188" s="25">
        <f>IF(ISBLANK(L188), NETWORKDAYS(J188, TODAY(),Hoja2!$A$1:$A$18), NETWORKDAYS(J188, L188, Hoja2!$A$1:$A$18))</f>
        <v>2</v>
      </c>
      <c r="N188" s="100">
        <v>45905.0</v>
      </c>
      <c r="O188" s="102">
        <v>45912.0</v>
      </c>
      <c r="P188" s="31" t="s">
        <v>1003</v>
      </c>
      <c r="Q188" s="28" t="s">
        <v>71</v>
      </c>
      <c r="R188" s="185"/>
      <c r="S188" s="103"/>
      <c r="T188" s="104"/>
      <c r="U188" s="106"/>
      <c r="V188" s="106"/>
      <c r="W188" s="106"/>
      <c r="X188" s="106"/>
      <c r="Y188" s="106"/>
      <c r="Z188" s="106"/>
      <c r="AA188" s="106"/>
      <c r="AB188" s="106"/>
      <c r="AC188" s="106"/>
      <c r="AD188" s="106"/>
      <c r="AE188" s="106"/>
      <c r="AF188" s="106"/>
      <c r="AG188" s="106"/>
      <c r="AH188" s="106"/>
      <c r="AI188" s="106"/>
      <c r="AJ188" s="106"/>
      <c r="AK188" s="106"/>
      <c r="AL188" s="106"/>
      <c r="AM188" s="106"/>
      <c r="AN188" s="106"/>
      <c r="AO188" s="106"/>
      <c r="AP188" s="106"/>
      <c r="AQ188" s="106"/>
      <c r="AR188" s="106"/>
      <c r="AS188" s="106"/>
      <c r="AT188" s="106"/>
      <c r="AU188" s="106"/>
      <c r="AV188" s="106"/>
      <c r="AW188" s="106"/>
      <c r="AX188" s="106"/>
      <c r="AY188" s="106"/>
      <c r="AZ188" s="106"/>
      <c r="BA188" s="106"/>
      <c r="BB188" s="106"/>
      <c r="BC188" s="106"/>
      <c r="BD188" s="106"/>
      <c r="BE188" s="106"/>
      <c r="BF188" s="106"/>
      <c r="BG188" s="106"/>
      <c r="BH188" s="106"/>
      <c r="BI188" s="106"/>
      <c r="BJ188" s="106"/>
      <c r="BK188" s="106"/>
      <c r="BL188" s="106"/>
      <c r="BM188" s="106"/>
      <c r="BN188" s="106"/>
    </row>
    <row r="189" ht="29.25" hidden="1" customHeight="1">
      <c r="A189" s="93" t="s">
        <v>126</v>
      </c>
      <c r="B189" s="107" t="s">
        <v>1004</v>
      </c>
      <c r="C189" s="108" t="s">
        <v>1005</v>
      </c>
      <c r="D189" s="96" t="s">
        <v>1006</v>
      </c>
      <c r="E189" s="97"/>
      <c r="F189" s="124" t="s">
        <v>75</v>
      </c>
      <c r="G189" s="98">
        <v>100.0</v>
      </c>
      <c r="H189" s="99"/>
      <c r="I189" s="100">
        <v>45902.0</v>
      </c>
      <c r="J189" s="101">
        <v>45902.0</v>
      </c>
      <c r="K189" s="101"/>
      <c r="L189" s="101">
        <v>45902.0</v>
      </c>
      <c r="M189" s="25">
        <f>IF(ISBLANK(L189), NETWORKDAYS(J189, TODAY(),Hoja2!$A$1:$A$18), NETWORKDAYS(J189, L189, Hoja2!$A$1:$A$18))</f>
        <v>1</v>
      </c>
      <c r="N189" s="100"/>
      <c r="O189" s="102"/>
      <c r="P189" s="31" t="s">
        <v>1007</v>
      </c>
      <c r="Q189" s="28" t="s">
        <v>71</v>
      </c>
      <c r="R189" s="103"/>
      <c r="S189" s="103"/>
      <c r="T189" s="104"/>
      <c r="U189" s="106"/>
      <c r="V189" s="106"/>
      <c r="W189" s="106"/>
      <c r="X189" s="106"/>
      <c r="Y189" s="106"/>
      <c r="Z189" s="106"/>
      <c r="AA189" s="106"/>
      <c r="AB189" s="106"/>
      <c r="AC189" s="106"/>
      <c r="AD189" s="106"/>
      <c r="AE189" s="106"/>
      <c r="AF189" s="106"/>
      <c r="AG189" s="106"/>
      <c r="AH189" s="106"/>
      <c r="AI189" s="106"/>
      <c r="AJ189" s="106"/>
      <c r="AK189" s="106"/>
      <c r="AL189" s="106"/>
      <c r="AM189" s="106"/>
      <c r="AN189" s="106"/>
      <c r="AO189" s="106"/>
      <c r="AP189" s="106"/>
      <c r="AQ189" s="106"/>
      <c r="AR189" s="106"/>
      <c r="AS189" s="106"/>
      <c r="AT189" s="106"/>
      <c r="AU189" s="106"/>
      <c r="AV189" s="106"/>
      <c r="AW189" s="106"/>
      <c r="AX189" s="106"/>
      <c r="AY189" s="106"/>
      <c r="AZ189" s="106"/>
      <c r="BA189" s="106"/>
      <c r="BB189" s="106"/>
      <c r="BC189" s="106"/>
      <c r="BD189" s="106"/>
      <c r="BE189" s="106"/>
      <c r="BF189" s="106"/>
      <c r="BG189" s="106"/>
      <c r="BH189" s="106"/>
      <c r="BI189" s="106"/>
      <c r="BJ189" s="106"/>
      <c r="BK189" s="106"/>
      <c r="BL189" s="106"/>
      <c r="BM189" s="106"/>
      <c r="BN189" s="106"/>
    </row>
    <row r="190" ht="29.25" hidden="1" customHeight="1">
      <c r="A190" s="93" t="s">
        <v>126</v>
      </c>
      <c r="B190" s="107" t="s">
        <v>1008</v>
      </c>
      <c r="C190" s="108" t="s">
        <v>1009</v>
      </c>
      <c r="D190" s="96"/>
      <c r="E190" s="97"/>
      <c r="F190" s="124" t="s">
        <v>75</v>
      </c>
      <c r="G190" s="98">
        <v>100.0</v>
      </c>
      <c r="H190" s="99"/>
      <c r="I190" s="100">
        <v>45915.0</v>
      </c>
      <c r="J190" s="101">
        <v>45915.0</v>
      </c>
      <c r="K190" s="101"/>
      <c r="L190" s="101">
        <v>45915.0</v>
      </c>
      <c r="M190" s="25">
        <f>IF(ISBLANK(L190), NETWORKDAYS(J190, TODAY(),Hoja2!$A$1:$A$18), NETWORKDAYS(J190, L190, Hoja2!$A$1:$A$18))</f>
        <v>1</v>
      </c>
      <c r="N190" s="100"/>
      <c r="O190" s="102"/>
      <c r="P190" s="31" t="s">
        <v>1010</v>
      </c>
      <c r="Q190" s="28" t="s">
        <v>71</v>
      </c>
      <c r="R190" s="103"/>
      <c r="S190" s="103"/>
      <c r="T190" s="104"/>
      <c r="U190" s="106"/>
      <c r="V190" s="106"/>
      <c r="W190" s="106"/>
      <c r="X190" s="106"/>
      <c r="Y190" s="106"/>
      <c r="Z190" s="106"/>
      <c r="AA190" s="106"/>
      <c r="AB190" s="106"/>
      <c r="AC190" s="106"/>
      <c r="AD190" s="106"/>
      <c r="AE190" s="106"/>
      <c r="AF190" s="106"/>
      <c r="AG190" s="106"/>
      <c r="AH190" s="106"/>
      <c r="AI190" s="106"/>
      <c r="AJ190" s="106"/>
      <c r="AK190" s="106"/>
      <c r="AL190" s="106"/>
      <c r="AM190" s="106"/>
      <c r="AN190" s="106"/>
      <c r="AO190" s="106"/>
      <c r="AP190" s="106"/>
      <c r="AQ190" s="106"/>
      <c r="AR190" s="106"/>
      <c r="AS190" s="106"/>
      <c r="AT190" s="106"/>
      <c r="AU190" s="106"/>
      <c r="AV190" s="106"/>
      <c r="AW190" s="106"/>
      <c r="AX190" s="106"/>
      <c r="AY190" s="106"/>
      <c r="AZ190" s="106"/>
      <c r="BA190" s="106"/>
      <c r="BB190" s="106"/>
      <c r="BC190" s="106"/>
      <c r="BD190" s="106"/>
      <c r="BE190" s="106"/>
      <c r="BF190" s="106"/>
      <c r="BG190" s="106"/>
      <c r="BH190" s="106"/>
      <c r="BI190" s="106"/>
      <c r="BJ190" s="106"/>
      <c r="BK190" s="106"/>
      <c r="BL190" s="106"/>
      <c r="BM190" s="106"/>
      <c r="BN190" s="106"/>
    </row>
    <row r="191" ht="29.25" hidden="1" customHeight="1">
      <c r="A191" s="53" t="s">
        <v>126</v>
      </c>
      <c r="B191" s="16" t="s">
        <v>1011</v>
      </c>
      <c r="C191" s="108" t="s">
        <v>1012</v>
      </c>
      <c r="D191" s="96" t="s">
        <v>1013</v>
      </c>
      <c r="E191" s="97"/>
      <c r="F191" s="124" t="s">
        <v>812</v>
      </c>
      <c r="G191" s="99"/>
      <c r="H191" s="99"/>
      <c r="I191" s="100">
        <v>45888.0</v>
      </c>
      <c r="J191" s="101"/>
      <c r="K191" s="101"/>
      <c r="L191" s="101"/>
      <c r="M191" s="25">
        <f>IF(ISBLANK(L191), NETWORKDAYS(J191, TODAY(),Hoja2!$A$1:$A$18), NETWORKDAYS(J191, L191, Hoja2!$A$1:$A$18))</f>
        <v>32848</v>
      </c>
      <c r="N191" s="100"/>
      <c r="O191" s="102"/>
      <c r="P191" s="31" t="s">
        <v>1014</v>
      </c>
      <c r="Q191" s="114" t="s">
        <v>91</v>
      </c>
      <c r="R191" s="103"/>
      <c r="S191" s="103"/>
      <c r="T191" s="104"/>
      <c r="U191" s="106"/>
      <c r="V191" s="106"/>
      <c r="W191" s="106"/>
      <c r="X191" s="106"/>
      <c r="Y191" s="106"/>
      <c r="Z191" s="106"/>
      <c r="AA191" s="106"/>
      <c r="AB191" s="106"/>
      <c r="AC191" s="106"/>
      <c r="AD191" s="106"/>
      <c r="AE191" s="106"/>
      <c r="AF191" s="106"/>
      <c r="AG191" s="106"/>
      <c r="AH191" s="106"/>
      <c r="AI191" s="106"/>
      <c r="AJ191" s="106"/>
      <c r="AK191" s="106"/>
      <c r="AL191" s="106"/>
      <c r="AM191" s="106"/>
      <c r="AN191" s="106"/>
      <c r="AO191" s="106"/>
      <c r="AP191" s="106"/>
      <c r="AQ191" s="106"/>
      <c r="AR191" s="106"/>
      <c r="AS191" s="106"/>
      <c r="AT191" s="106"/>
      <c r="AU191" s="106"/>
      <c r="AV191" s="106"/>
      <c r="AW191" s="106"/>
      <c r="AX191" s="106"/>
      <c r="AY191" s="106"/>
      <c r="AZ191" s="106"/>
      <c r="BA191" s="106"/>
      <c r="BB191" s="106"/>
      <c r="BC191" s="106"/>
      <c r="BD191" s="106"/>
      <c r="BE191" s="106"/>
      <c r="BF191" s="106"/>
      <c r="BG191" s="106"/>
      <c r="BH191" s="106"/>
      <c r="BI191" s="106"/>
      <c r="BJ191" s="106"/>
      <c r="BK191" s="106"/>
      <c r="BL191" s="106"/>
      <c r="BM191" s="106"/>
      <c r="BN191" s="106"/>
    </row>
    <row r="192" ht="29.25" hidden="1" customHeight="1">
      <c r="A192" s="93" t="s">
        <v>126</v>
      </c>
      <c r="B192" s="107" t="s">
        <v>1015</v>
      </c>
      <c r="C192" s="108" t="s">
        <v>1016</v>
      </c>
      <c r="D192" s="96" t="s">
        <v>1017</v>
      </c>
      <c r="E192" s="97"/>
      <c r="F192" s="124" t="s">
        <v>75</v>
      </c>
      <c r="G192" s="98">
        <v>100.0</v>
      </c>
      <c r="H192" s="99"/>
      <c r="I192" s="100">
        <v>45904.0</v>
      </c>
      <c r="J192" s="101">
        <v>45905.0</v>
      </c>
      <c r="K192" s="101"/>
      <c r="L192" s="101">
        <v>45918.0</v>
      </c>
      <c r="M192" s="25">
        <f>IF(ISBLANK(L192), NETWORKDAYS(J192, TODAY(),Hoja2!$A$1:$A$18), NETWORKDAYS(J192, L192, Hoja2!$A$1:$A$18))</f>
        <v>10</v>
      </c>
      <c r="N192" s="100">
        <v>45918.0</v>
      </c>
      <c r="O192" s="102"/>
      <c r="P192" s="31" t="s">
        <v>1018</v>
      </c>
      <c r="Q192" s="28" t="s">
        <v>71</v>
      </c>
      <c r="R192" s="156">
        <v>2.0</v>
      </c>
      <c r="S192" s="103"/>
      <c r="T192" s="104"/>
      <c r="U192" s="106"/>
      <c r="V192" s="106"/>
      <c r="W192" s="106"/>
      <c r="X192" s="106"/>
      <c r="Y192" s="106"/>
      <c r="Z192" s="106"/>
      <c r="AA192" s="106"/>
      <c r="AB192" s="106"/>
      <c r="AC192" s="106"/>
      <c r="AD192" s="106"/>
      <c r="AE192" s="106"/>
      <c r="AF192" s="106"/>
      <c r="AG192" s="106"/>
      <c r="AH192" s="106"/>
      <c r="AI192" s="106"/>
      <c r="AJ192" s="106"/>
      <c r="AK192" s="106"/>
      <c r="AL192" s="106"/>
      <c r="AM192" s="106"/>
      <c r="AN192" s="106"/>
      <c r="AO192" s="106"/>
      <c r="AP192" s="106"/>
      <c r="AQ192" s="106"/>
      <c r="AR192" s="106"/>
      <c r="AS192" s="106"/>
      <c r="AT192" s="106"/>
      <c r="AU192" s="106"/>
      <c r="AV192" s="106"/>
      <c r="AW192" s="106"/>
      <c r="AX192" s="106"/>
      <c r="AY192" s="106"/>
      <c r="AZ192" s="106"/>
      <c r="BA192" s="106"/>
      <c r="BB192" s="106"/>
      <c r="BC192" s="106"/>
      <c r="BD192" s="106"/>
      <c r="BE192" s="106"/>
      <c r="BF192" s="106"/>
      <c r="BG192" s="106"/>
      <c r="BH192" s="106"/>
      <c r="BI192" s="106"/>
      <c r="BJ192" s="106"/>
      <c r="BK192" s="106"/>
      <c r="BL192" s="106"/>
      <c r="BM192" s="106"/>
      <c r="BN192" s="106"/>
    </row>
    <row r="193" ht="29.25" hidden="1" customHeight="1">
      <c r="A193" s="93" t="s">
        <v>126</v>
      </c>
      <c r="B193" s="107" t="s">
        <v>1019</v>
      </c>
      <c r="C193" s="108" t="s">
        <v>1020</v>
      </c>
      <c r="D193" s="96" t="s">
        <v>1021</v>
      </c>
      <c r="E193" s="97"/>
      <c r="F193" s="124" t="s">
        <v>75</v>
      </c>
      <c r="G193" s="98">
        <v>100.0</v>
      </c>
      <c r="H193" s="99"/>
      <c r="I193" s="100">
        <v>45916.0</v>
      </c>
      <c r="J193" s="101">
        <v>45919.0</v>
      </c>
      <c r="K193" s="101"/>
      <c r="L193" s="101">
        <v>45920.0</v>
      </c>
      <c r="M193" s="25">
        <f>IF(ISBLANK(L193), NETWORKDAYS(J193, TODAY(),Hoja2!$A$1:$A$18), NETWORKDAYS(J193, L193, Hoja2!$A$1:$A$18))</f>
        <v>1</v>
      </c>
      <c r="N193" s="100"/>
      <c r="O193" s="102"/>
      <c r="P193" s="31" t="s">
        <v>1022</v>
      </c>
      <c r="Q193" s="28" t="s">
        <v>71</v>
      </c>
      <c r="R193" s="156"/>
      <c r="S193" s="103"/>
      <c r="T193" s="104"/>
      <c r="U193" s="106"/>
      <c r="V193" s="106"/>
      <c r="W193" s="106"/>
      <c r="X193" s="106"/>
      <c r="Y193" s="106"/>
      <c r="Z193" s="106"/>
      <c r="AA193" s="106"/>
      <c r="AB193" s="106"/>
      <c r="AC193" s="106"/>
      <c r="AD193" s="106"/>
      <c r="AE193" s="106"/>
      <c r="AF193" s="106"/>
      <c r="AG193" s="106"/>
      <c r="AH193" s="106"/>
      <c r="AI193" s="106"/>
      <c r="AJ193" s="106"/>
      <c r="AK193" s="106"/>
      <c r="AL193" s="106"/>
      <c r="AM193" s="106"/>
      <c r="AN193" s="106"/>
      <c r="AO193" s="106"/>
      <c r="AP193" s="106"/>
      <c r="AQ193" s="106"/>
      <c r="AR193" s="106"/>
      <c r="AS193" s="106"/>
      <c r="AT193" s="106"/>
      <c r="AU193" s="106"/>
      <c r="AV193" s="106"/>
      <c r="AW193" s="106"/>
      <c r="AX193" s="106"/>
      <c r="AY193" s="106"/>
      <c r="AZ193" s="106"/>
      <c r="BA193" s="106"/>
      <c r="BB193" s="106"/>
      <c r="BC193" s="106"/>
      <c r="BD193" s="106"/>
      <c r="BE193" s="106"/>
      <c r="BF193" s="106"/>
      <c r="BG193" s="106"/>
      <c r="BH193" s="106"/>
      <c r="BI193" s="106"/>
      <c r="BJ193" s="106"/>
      <c r="BK193" s="106"/>
      <c r="BL193" s="106"/>
      <c r="BM193" s="106"/>
      <c r="BN193" s="106"/>
    </row>
    <row r="194" ht="29.25" hidden="1" customHeight="1">
      <c r="A194" s="53" t="s">
        <v>126</v>
      </c>
      <c r="B194" s="16" t="s">
        <v>1023</v>
      </c>
      <c r="C194" s="108" t="s">
        <v>1024</v>
      </c>
      <c r="D194" s="96" t="s">
        <v>1025</v>
      </c>
      <c r="E194" s="97"/>
      <c r="F194" s="124" t="s">
        <v>205</v>
      </c>
      <c r="G194" s="99"/>
      <c r="H194" s="99"/>
      <c r="I194" s="100">
        <v>45888.0</v>
      </c>
      <c r="J194" s="101">
        <v>45894.0</v>
      </c>
      <c r="K194" s="101"/>
      <c r="L194" s="101"/>
      <c r="M194" s="25">
        <f>IF(ISBLANK(L194), NETWORKDAYS(J194, TODAY(),Hoja2!$A$1:$A$18), NETWORKDAYS(J194, L194, Hoja2!$A$1:$A$18))</f>
        <v>84</v>
      </c>
      <c r="N194" s="100"/>
      <c r="O194" s="102"/>
      <c r="P194" s="31" t="s">
        <v>1026</v>
      </c>
      <c r="Q194" s="114" t="s">
        <v>71</v>
      </c>
      <c r="R194" s="103"/>
      <c r="S194" s="103"/>
      <c r="T194" s="104"/>
      <c r="U194" s="106"/>
      <c r="V194" s="106"/>
      <c r="W194" s="106"/>
      <c r="X194" s="106"/>
      <c r="Y194" s="106"/>
      <c r="Z194" s="106"/>
      <c r="AA194" s="106"/>
      <c r="AB194" s="106"/>
      <c r="AC194" s="106"/>
      <c r="AD194" s="106"/>
      <c r="AE194" s="106"/>
      <c r="AF194" s="106"/>
      <c r="AG194" s="106"/>
      <c r="AH194" s="106"/>
      <c r="AI194" s="106"/>
      <c r="AJ194" s="106"/>
      <c r="AK194" s="106"/>
      <c r="AL194" s="106"/>
      <c r="AM194" s="106"/>
      <c r="AN194" s="106"/>
      <c r="AO194" s="106"/>
      <c r="AP194" s="106"/>
      <c r="AQ194" s="106"/>
      <c r="AR194" s="106"/>
      <c r="AS194" s="106"/>
      <c r="AT194" s="106"/>
      <c r="AU194" s="106"/>
      <c r="AV194" s="106"/>
      <c r="AW194" s="106"/>
      <c r="AX194" s="106"/>
      <c r="AY194" s="106"/>
      <c r="AZ194" s="106"/>
      <c r="BA194" s="106"/>
      <c r="BB194" s="106"/>
      <c r="BC194" s="106"/>
      <c r="BD194" s="106"/>
      <c r="BE194" s="106"/>
      <c r="BF194" s="106"/>
      <c r="BG194" s="106"/>
      <c r="BH194" s="106"/>
      <c r="BI194" s="106"/>
      <c r="BJ194" s="106"/>
      <c r="BK194" s="106"/>
      <c r="BL194" s="106"/>
      <c r="BM194" s="106"/>
      <c r="BN194" s="106"/>
    </row>
    <row r="195" ht="29.25" hidden="1" customHeight="1">
      <c r="A195" s="93" t="s">
        <v>126</v>
      </c>
      <c r="B195" s="107" t="s">
        <v>1027</v>
      </c>
      <c r="C195" s="108" t="s">
        <v>1028</v>
      </c>
      <c r="D195" s="96" t="s">
        <v>1029</v>
      </c>
      <c r="E195" s="97"/>
      <c r="F195" s="124" t="s">
        <v>75</v>
      </c>
      <c r="G195" s="98">
        <v>100.0</v>
      </c>
      <c r="H195" s="99"/>
      <c r="I195" s="100">
        <v>45924.0</v>
      </c>
      <c r="J195" s="101">
        <v>45925.0</v>
      </c>
      <c r="K195" s="101"/>
      <c r="L195" s="101"/>
      <c r="M195" s="25">
        <f>IF(ISBLANK(L195), NETWORKDAYS(J195, TODAY(),Hoja2!$A$1:$A$18), NETWORKDAYS(J195, L195, Hoja2!$A$1:$A$18))</f>
        <v>61</v>
      </c>
      <c r="N195" s="100"/>
      <c r="O195" s="102"/>
      <c r="P195" s="31" t="s">
        <v>1030</v>
      </c>
      <c r="Q195" s="114" t="s">
        <v>71</v>
      </c>
      <c r="R195" s="156"/>
      <c r="S195" s="98" t="s">
        <v>1031</v>
      </c>
      <c r="T195" s="104"/>
      <c r="U195" s="106"/>
      <c r="V195" s="106"/>
      <c r="W195" s="106"/>
      <c r="X195" s="106"/>
      <c r="Y195" s="106"/>
      <c r="Z195" s="106"/>
      <c r="AA195" s="106"/>
      <c r="AB195" s="106"/>
      <c r="AC195" s="106"/>
      <c r="AD195" s="106"/>
      <c r="AE195" s="106"/>
      <c r="AF195" s="106"/>
      <c r="AG195" s="106"/>
      <c r="AH195" s="106"/>
      <c r="AI195" s="106"/>
      <c r="AJ195" s="106"/>
      <c r="AK195" s="106"/>
      <c r="AL195" s="106"/>
      <c r="AM195" s="106"/>
      <c r="AN195" s="106"/>
      <c r="AO195" s="106"/>
      <c r="AP195" s="106"/>
      <c r="AQ195" s="106"/>
      <c r="AR195" s="106"/>
      <c r="AS195" s="106"/>
      <c r="AT195" s="106"/>
      <c r="AU195" s="106"/>
      <c r="AV195" s="106"/>
      <c r="AW195" s="106"/>
      <c r="AX195" s="106"/>
      <c r="AY195" s="106"/>
      <c r="AZ195" s="106"/>
      <c r="BA195" s="106"/>
      <c r="BB195" s="106"/>
      <c r="BC195" s="106"/>
      <c r="BD195" s="106"/>
      <c r="BE195" s="106"/>
      <c r="BF195" s="106"/>
      <c r="BG195" s="106"/>
      <c r="BH195" s="106"/>
      <c r="BI195" s="106"/>
      <c r="BJ195" s="106"/>
      <c r="BK195" s="106"/>
      <c r="BL195" s="106"/>
      <c r="BM195" s="106"/>
      <c r="BN195" s="106"/>
    </row>
    <row r="196" ht="29.25" hidden="1" customHeight="1">
      <c r="A196" s="93" t="s">
        <v>126</v>
      </c>
      <c r="B196" s="107" t="s">
        <v>1032</v>
      </c>
      <c r="C196" s="108" t="s">
        <v>1033</v>
      </c>
      <c r="D196" s="96" t="s">
        <v>1034</v>
      </c>
      <c r="E196" s="97"/>
      <c r="F196" s="124" t="s">
        <v>75</v>
      </c>
      <c r="G196" s="98">
        <v>100.0</v>
      </c>
      <c r="H196" s="99"/>
      <c r="I196" s="100">
        <v>45924.0</v>
      </c>
      <c r="J196" s="101">
        <v>45924.0</v>
      </c>
      <c r="K196" s="101"/>
      <c r="L196" s="101">
        <v>45924.0</v>
      </c>
      <c r="M196" s="25">
        <f>IF(ISBLANK(L196), NETWORKDAYS(J196, TODAY(),Hoja2!$A$1:$A$18), NETWORKDAYS(J196, L196, Hoja2!$A$1:$A$18))</f>
        <v>1</v>
      </c>
      <c r="N196" s="100"/>
      <c r="O196" s="102"/>
      <c r="P196" s="31" t="s">
        <v>1035</v>
      </c>
      <c r="Q196" s="114" t="s">
        <v>71</v>
      </c>
      <c r="R196" s="156"/>
      <c r="S196" s="98"/>
      <c r="T196" s="104"/>
      <c r="U196" s="106"/>
      <c r="V196" s="106"/>
      <c r="W196" s="106"/>
      <c r="X196" s="106"/>
      <c r="Y196" s="106"/>
      <c r="Z196" s="106"/>
      <c r="AA196" s="106"/>
      <c r="AB196" s="106"/>
      <c r="AC196" s="106"/>
      <c r="AD196" s="106"/>
      <c r="AE196" s="106"/>
      <c r="AF196" s="106"/>
      <c r="AG196" s="106"/>
      <c r="AH196" s="106"/>
      <c r="AI196" s="106"/>
      <c r="AJ196" s="106"/>
      <c r="AK196" s="106"/>
      <c r="AL196" s="106"/>
      <c r="AM196" s="106"/>
      <c r="AN196" s="106"/>
      <c r="AO196" s="106"/>
      <c r="AP196" s="106"/>
      <c r="AQ196" s="106"/>
      <c r="AR196" s="106"/>
      <c r="AS196" s="106"/>
      <c r="AT196" s="106"/>
      <c r="AU196" s="106"/>
      <c r="AV196" s="106"/>
      <c r="AW196" s="106"/>
      <c r="AX196" s="106"/>
      <c r="AY196" s="106"/>
      <c r="AZ196" s="106"/>
      <c r="BA196" s="106"/>
      <c r="BB196" s="106"/>
      <c r="BC196" s="106"/>
      <c r="BD196" s="106"/>
      <c r="BE196" s="106"/>
      <c r="BF196" s="106"/>
      <c r="BG196" s="106"/>
      <c r="BH196" s="106"/>
      <c r="BI196" s="106"/>
      <c r="BJ196" s="106"/>
      <c r="BK196" s="106"/>
      <c r="BL196" s="106"/>
      <c r="BM196" s="106"/>
      <c r="BN196" s="106"/>
    </row>
    <row r="197" ht="29.25" hidden="1" customHeight="1">
      <c r="A197" s="93" t="s">
        <v>126</v>
      </c>
      <c r="B197" s="107" t="s">
        <v>1036</v>
      </c>
      <c r="C197" s="160" t="s">
        <v>1037</v>
      </c>
      <c r="D197" s="96" t="s">
        <v>1038</v>
      </c>
      <c r="E197" s="97"/>
      <c r="F197" s="124" t="s">
        <v>214</v>
      </c>
      <c r="G197" s="98">
        <v>35.0</v>
      </c>
      <c r="H197" s="99"/>
      <c r="I197" s="100">
        <v>46000.0</v>
      </c>
      <c r="J197" s="101">
        <v>45971.0</v>
      </c>
      <c r="K197" s="101"/>
      <c r="L197" s="101"/>
      <c r="M197" s="25">
        <f>IF(ISBLANK(L197), NETWORKDAYS(J197, TODAY(),Hoja2!$A$1:$A$18), NETWORKDAYS(J197, L197, Hoja2!$A$1:$A$18))</f>
        <v>29</v>
      </c>
      <c r="N197" s="100"/>
      <c r="O197" s="102"/>
      <c r="P197" s="31" t="s">
        <v>1039</v>
      </c>
      <c r="Q197" s="114" t="s">
        <v>71</v>
      </c>
      <c r="R197" s="103"/>
      <c r="S197" s="103"/>
      <c r="T197" s="104"/>
      <c r="U197" s="106"/>
      <c r="V197" s="106"/>
      <c r="W197" s="106"/>
      <c r="X197" s="106"/>
      <c r="Y197" s="106"/>
      <c r="Z197" s="106"/>
      <c r="AA197" s="106"/>
      <c r="AB197" s="106"/>
      <c r="AC197" s="106"/>
      <c r="AD197" s="106"/>
      <c r="AE197" s="106"/>
      <c r="AF197" s="106"/>
      <c r="AG197" s="106"/>
      <c r="AH197" s="106"/>
      <c r="AI197" s="106"/>
      <c r="AJ197" s="106"/>
      <c r="AK197" s="106"/>
      <c r="AL197" s="106"/>
      <c r="AM197" s="106"/>
      <c r="AN197" s="106"/>
      <c r="AO197" s="106"/>
      <c r="AP197" s="106"/>
      <c r="AQ197" s="106"/>
      <c r="AR197" s="106"/>
      <c r="AS197" s="106"/>
      <c r="AT197" s="106"/>
      <c r="AU197" s="106"/>
      <c r="AV197" s="106"/>
      <c r="AW197" s="106"/>
      <c r="AX197" s="106"/>
      <c r="AY197" s="106"/>
      <c r="AZ197" s="106"/>
      <c r="BA197" s="106"/>
      <c r="BB197" s="106"/>
      <c r="BC197" s="106"/>
      <c r="BD197" s="106"/>
      <c r="BE197" s="106"/>
      <c r="BF197" s="106"/>
      <c r="BG197" s="106"/>
      <c r="BH197" s="106"/>
      <c r="BI197" s="106"/>
      <c r="BJ197" s="106"/>
      <c r="BK197" s="106"/>
      <c r="BL197" s="106"/>
      <c r="BM197" s="106"/>
      <c r="BN197" s="106"/>
    </row>
    <row r="198" ht="29.25" hidden="1" customHeight="1">
      <c r="A198" s="93" t="s">
        <v>126</v>
      </c>
      <c r="B198" s="107" t="s">
        <v>1040</v>
      </c>
      <c r="C198" s="108" t="s">
        <v>1041</v>
      </c>
      <c r="D198" s="96" t="s">
        <v>1042</v>
      </c>
      <c r="E198" s="97"/>
      <c r="F198" s="124" t="s">
        <v>75</v>
      </c>
      <c r="G198" s="98">
        <v>100.0</v>
      </c>
      <c r="H198" s="99"/>
      <c r="I198" s="100">
        <v>45938.0</v>
      </c>
      <c r="J198" s="101">
        <v>45939.0</v>
      </c>
      <c r="K198" s="101"/>
      <c r="L198" s="101">
        <v>45939.0</v>
      </c>
      <c r="M198" s="25">
        <f>IF(ISBLANK(L198), NETWORKDAYS(J198, TODAY(),Hoja2!$A$1:$A$18), NETWORKDAYS(J198, L198, Hoja2!$A$1:$A$18))</f>
        <v>1</v>
      </c>
      <c r="N198" s="100"/>
      <c r="O198" s="102">
        <v>45939.0</v>
      </c>
      <c r="P198" s="31" t="s">
        <v>1043</v>
      </c>
      <c r="Q198" s="114" t="s">
        <v>71</v>
      </c>
      <c r="R198" s="156"/>
      <c r="S198" s="98"/>
      <c r="T198" s="104"/>
      <c r="U198" s="106"/>
      <c r="V198" s="106"/>
      <c r="W198" s="106"/>
      <c r="X198" s="106"/>
      <c r="Y198" s="106"/>
      <c r="Z198" s="106"/>
      <c r="AA198" s="106"/>
      <c r="AB198" s="106"/>
      <c r="AC198" s="106"/>
      <c r="AD198" s="106"/>
      <c r="AE198" s="106"/>
      <c r="AF198" s="106"/>
      <c r="AG198" s="106"/>
      <c r="AH198" s="106"/>
      <c r="AI198" s="106"/>
      <c r="AJ198" s="106"/>
      <c r="AK198" s="106"/>
      <c r="AL198" s="106"/>
      <c r="AM198" s="106"/>
      <c r="AN198" s="106"/>
      <c r="AO198" s="106"/>
      <c r="AP198" s="106"/>
      <c r="AQ198" s="106"/>
      <c r="AR198" s="106"/>
      <c r="AS198" s="106"/>
      <c r="AT198" s="106"/>
      <c r="AU198" s="106"/>
      <c r="AV198" s="106"/>
      <c r="AW198" s="106"/>
      <c r="AX198" s="106"/>
      <c r="AY198" s="106"/>
      <c r="AZ198" s="106"/>
      <c r="BA198" s="106"/>
      <c r="BB198" s="106"/>
      <c r="BC198" s="106"/>
      <c r="BD198" s="106"/>
      <c r="BE198" s="106"/>
      <c r="BF198" s="106"/>
      <c r="BG198" s="106"/>
      <c r="BH198" s="106"/>
      <c r="BI198" s="106"/>
      <c r="BJ198" s="106"/>
      <c r="BK198" s="106"/>
      <c r="BL198" s="106"/>
      <c r="BM198" s="106"/>
      <c r="BN198" s="106"/>
    </row>
    <row r="199" ht="29.25" hidden="1" customHeight="1">
      <c r="A199" s="93" t="s">
        <v>126</v>
      </c>
      <c r="B199" s="107" t="s">
        <v>1044</v>
      </c>
      <c r="C199" s="108" t="s">
        <v>1045</v>
      </c>
      <c r="D199" s="96"/>
      <c r="E199" s="97"/>
      <c r="F199" s="124" t="s">
        <v>75</v>
      </c>
      <c r="G199" s="98">
        <v>100.0</v>
      </c>
      <c r="H199" s="99"/>
      <c r="I199" s="100">
        <v>45939.0</v>
      </c>
      <c r="J199" s="101">
        <v>45939.0</v>
      </c>
      <c r="K199" s="101"/>
      <c r="L199" s="101">
        <v>45939.0</v>
      </c>
      <c r="M199" s="25">
        <f>IF(ISBLANK(L199), NETWORKDAYS(J199, TODAY(),Hoja2!$A$1:$A$18), NETWORKDAYS(J199, L199, Hoja2!$A$1:$A$18))</f>
        <v>1</v>
      </c>
      <c r="N199" s="100"/>
      <c r="O199" s="102"/>
      <c r="P199" s="31" t="s">
        <v>1046</v>
      </c>
      <c r="Q199" s="114" t="s">
        <v>71</v>
      </c>
      <c r="R199" s="156"/>
      <c r="S199" s="98"/>
      <c r="T199" s="104"/>
      <c r="U199" s="106"/>
      <c r="V199" s="106"/>
      <c r="W199" s="106"/>
      <c r="X199" s="106"/>
      <c r="Y199" s="106"/>
      <c r="Z199" s="106"/>
      <c r="AA199" s="106"/>
      <c r="AB199" s="106"/>
      <c r="AC199" s="106"/>
      <c r="AD199" s="106"/>
      <c r="AE199" s="106"/>
      <c r="AF199" s="106"/>
      <c r="AG199" s="106"/>
      <c r="AH199" s="106"/>
      <c r="AI199" s="106"/>
      <c r="AJ199" s="106"/>
      <c r="AK199" s="106"/>
      <c r="AL199" s="106"/>
      <c r="AM199" s="106"/>
      <c r="AN199" s="106"/>
      <c r="AO199" s="106"/>
      <c r="AP199" s="106"/>
      <c r="AQ199" s="106"/>
      <c r="AR199" s="106"/>
      <c r="AS199" s="106"/>
      <c r="AT199" s="106"/>
      <c r="AU199" s="106"/>
      <c r="AV199" s="106"/>
      <c r="AW199" s="106"/>
      <c r="AX199" s="106"/>
      <c r="AY199" s="106"/>
      <c r="AZ199" s="106"/>
      <c r="BA199" s="106"/>
      <c r="BB199" s="106"/>
      <c r="BC199" s="106"/>
      <c r="BD199" s="106"/>
      <c r="BE199" s="106"/>
      <c r="BF199" s="106"/>
      <c r="BG199" s="106"/>
      <c r="BH199" s="106"/>
      <c r="BI199" s="106"/>
      <c r="BJ199" s="106"/>
      <c r="BK199" s="106"/>
      <c r="BL199" s="106"/>
      <c r="BM199" s="106"/>
      <c r="BN199" s="106"/>
    </row>
    <row r="200" ht="29.25" hidden="1" customHeight="1">
      <c r="A200" s="93" t="s">
        <v>155</v>
      </c>
      <c r="B200" s="107" t="s">
        <v>1047</v>
      </c>
      <c r="C200" s="108" t="s">
        <v>1048</v>
      </c>
      <c r="D200" s="96" t="s">
        <v>1042</v>
      </c>
      <c r="E200" s="97"/>
      <c r="F200" s="124" t="s">
        <v>75</v>
      </c>
      <c r="G200" s="98">
        <v>100.0</v>
      </c>
      <c r="H200" s="99"/>
      <c r="I200" s="100">
        <v>45938.0</v>
      </c>
      <c r="J200" s="101">
        <v>45958.0</v>
      </c>
      <c r="K200" s="101"/>
      <c r="L200" s="101">
        <v>45961.0</v>
      </c>
      <c r="M200" s="25">
        <f>IF(ISBLANK(L200), NETWORKDAYS(J200, TODAY(),Hoja2!$A$1:$A$18), NETWORKDAYS(J200, L200, Hoja2!$A$1:$A$18))</f>
        <v>4</v>
      </c>
      <c r="N200" s="100">
        <v>45960.0</v>
      </c>
      <c r="O200" s="102">
        <v>45961.0</v>
      </c>
      <c r="P200" s="31" t="s">
        <v>1049</v>
      </c>
      <c r="Q200" s="114" t="s">
        <v>71</v>
      </c>
      <c r="R200" s="156">
        <v>3.0</v>
      </c>
      <c r="S200" s="98"/>
      <c r="T200" s="104"/>
      <c r="U200" s="186" t="s">
        <v>1050</v>
      </c>
      <c r="V200" s="106"/>
      <c r="W200" s="106"/>
      <c r="X200" s="106"/>
      <c r="Y200" s="106"/>
      <c r="Z200" s="106"/>
      <c r="AA200" s="106"/>
      <c r="AB200" s="106"/>
      <c r="AC200" s="106"/>
      <c r="AD200" s="106"/>
      <c r="AE200" s="106"/>
      <c r="AF200" s="106"/>
      <c r="AG200" s="106"/>
      <c r="AH200" s="106"/>
      <c r="AI200" s="106"/>
      <c r="AJ200" s="106"/>
      <c r="AK200" s="106"/>
      <c r="AL200" s="106"/>
      <c r="AM200" s="106"/>
      <c r="AN200" s="106"/>
      <c r="AO200" s="106"/>
      <c r="AP200" s="106"/>
      <c r="AQ200" s="106"/>
      <c r="AR200" s="106"/>
      <c r="AS200" s="106"/>
      <c r="AT200" s="106"/>
      <c r="AU200" s="106"/>
      <c r="AV200" s="106"/>
      <c r="AW200" s="106"/>
      <c r="AX200" s="106"/>
      <c r="AY200" s="106"/>
      <c r="AZ200" s="106"/>
      <c r="BA200" s="106"/>
      <c r="BB200" s="106"/>
      <c r="BC200" s="106"/>
      <c r="BD200" s="106"/>
      <c r="BE200" s="106"/>
      <c r="BF200" s="106"/>
      <c r="BG200" s="106"/>
      <c r="BH200" s="106"/>
      <c r="BI200" s="106"/>
      <c r="BJ200" s="106"/>
      <c r="BK200" s="106"/>
      <c r="BL200" s="106"/>
      <c r="BM200" s="106"/>
      <c r="BN200" s="106"/>
    </row>
    <row r="201" ht="29.25" hidden="1" customHeight="1">
      <c r="A201" s="93" t="s">
        <v>126</v>
      </c>
      <c r="B201" s="107" t="s">
        <v>1051</v>
      </c>
      <c r="C201" s="108" t="s">
        <v>1052</v>
      </c>
      <c r="D201" s="96" t="s">
        <v>1053</v>
      </c>
      <c r="E201" s="97"/>
      <c r="F201" s="124" t="s">
        <v>75</v>
      </c>
      <c r="G201" s="98">
        <v>100.0</v>
      </c>
      <c r="H201" s="99"/>
      <c r="I201" s="100">
        <v>45938.0</v>
      </c>
      <c r="J201" s="101">
        <v>45945.0</v>
      </c>
      <c r="K201" s="101"/>
      <c r="L201" s="101">
        <v>45946.0</v>
      </c>
      <c r="M201" s="25">
        <f>IF(ISBLANK(L201), NETWORKDAYS(J201, TODAY(),Hoja2!$A$1:$A$18), NETWORKDAYS(J201, L201, Hoja2!$A$1:$A$18))</f>
        <v>2</v>
      </c>
      <c r="N201" s="100"/>
      <c r="O201" s="102">
        <v>45946.0</v>
      </c>
      <c r="P201" s="31" t="s">
        <v>1054</v>
      </c>
      <c r="Q201" s="114" t="s">
        <v>71</v>
      </c>
      <c r="R201" s="156"/>
      <c r="S201" s="98"/>
      <c r="T201" s="104"/>
      <c r="U201" s="106"/>
      <c r="V201" s="106"/>
      <c r="W201" s="106"/>
      <c r="X201" s="106"/>
      <c r="Y201" s="106"/>
      <c r="Z201" s="106"/>
      <c r="AA201" s="106"/>
      <c r="AB201" s="106"/>
      <c r="AC201" s="106"/>
      <c r="AD201" s="106"/>
      <c r="AE201" s="106"/>
      <c r="AF201" s="106"/>
      <c r="AG201" s="106"/>
      <c r="AH201" s="106"/>
      <c r="AI201" s="106"/>
      <c r="AJ201" s="106"/>
      <c r="AK201" s="106"/>
      <c r="AL201" s="106"/>
      <c r="AM201" s="106"/>
      <c r="AN201" s="106"/>
      <c r="AO201" s="106"/>
      <c r="AP201" s="106"/>
      <c r="AQ201" s="106"/>
      <c r="AR201" s="106"/>
      <c r="AS201" s="106"/>
      <c r="AT201" s="106"/>
      <c r="AU201" s="106"/>
      <c r="AV201" s="106"/>
      <c r="AW201" s="106"/>
      <c r="AX201" s="106"/>
      <c r="AY201" s="106"/>
      <c r="AZ201" s="106"/>
      <c r="BA201" s="106"/>
      <c r="BB201" s="106"/>
      <c r="BC201" s="106"/>
      <c r="BD201" s="106"/>
      <c r="BE201" s="106"/>
      <c r="BF201" s="106"/>
      <c r="BG201" s="106"/>
      <c r="BH201" s="106"/>
      <c r="BI201" s="106"/>
      <c r="BJ201" s="106"/>
      <c r="BK201" s="106"/>
      <c r="BL201" s="106"/>
      <c r="BM201" s="106"/>
      <c r="BN201" s="106"/>
    </row>
    <row r="202" ht="29.25" hidden="1" customHeight="1">
      <c r="A202" s="93" t="s">
        <v>126</v>
      </c>
      <c r="B202" s="107" t="s">
        <v>1055</v>
      </c>
      <c r="C202" s="108" t="s">
        <v>1056</v>
      </c>
      <c r="D202" s="96" t="s">
        <v>1057</v>
      </c>
      <c r="E202" s="97"/>
      <c r="F202" s="124" t="s">
        <v>75</v>
      </c>
      <c r="G202" s="98">
        <v>100.0</v>
      </c>
      <c r="H202" s="99"/>
      <c r="I202" s="100">
        <v>45938.0</v>
      </c>
      <c r="J202" s="101">
        <v>45945.0</v>
      </c>
      <c r="K202" s="101"/>
      <c r="L202" s="101">
        <v>45946.0</v>
      </c>
      <c r="M202" s="25">
        <f>IF(ISBLANK(L202), NETWORKDAYS(J202, TODAY(),Hoja2!$A$1:$A$18), NETWORKDAYS(J202, L202, Hoja2!$A$1:$A$18))</f>
        <v>2</v>
      </c>
      <c r="N202" s="100"/>
      <c r="O202" s="102">
        <v>45946.0</v>
      </c>
      <c r="P202" s="31" t="s">
        <v>1058</v>
      </c>
      <c r="Q202" s="114" t="s">
        <v>71</v>
      </c>
      <c r="R202" s="156"/>
      <c r="S202" s="98"/>
      <c r="T202" s="104"/>
      <c r="U202" s="106"/>
      <c r="V202" s="106"/>
      <c r="W202" s="106"/>
      <c r="X202" s="106"/>
      <c r="Y202" s="106"/>
      <c r="Z202" s="106"/>
      <c r="AA202" s="106"/>
      <c r="AB202" s="106"/>
      <c r="AC202" s="106"/>
      <c r="AD202" s="106"/>
      <c r="AE202" s="106"/>
      <c r="AF202" s="106"/>
      <c r="AG202" s="106"/>
      <c r="AH202" s="106"/>
      <c r="AI202" s="106"/>
      <c r="AJ202" s="106"/>
      <c r="AK202" s="106"/>
      <c r="AL202" s="106"/>
      <c r="AM202" s="106"/>
      <c r="AN202" s="106"/>
      <c r="AO202" s="106"/>
      <c r="AP202" s="106"/>
      <c r="AQ202" s="106"/>
      <c r="AR202" s="106"/>
      <c r="AS202" s="106"/>
      <c r="AT202" s="106"/>
      <c r="AU202" s="106"/>
      <c r="AV202" s="106"/>
      <c r="AW202" s="106"/>
      <c r="AX202" s="106"/>
      <c r="AY202" s="106"/>
      <c r="AZ202" s="106"/>
      <c r="BA202" s="106"/>
      <c r="BB202" s="106"/>
      <c r="BC202" s="106"/>
      <c r="BD202" s="106"/>
      <c r="BE202" s="106"/>
      <c r="BF202" s="106"/>
      <c r="BG202" s="106"/>
      <c r="BH202" s="106"/>
      <c r="BI202" s="106"/>
      <c r="BJ202" s="106"/>
      <c r="BK202" s="106"/>
      <c r="BL202" s="106"/>
      <c r="BM202" s="106"/>
      <c r="BN202" s="106"/>
    </row>
    <row r="203" ht="29.25" hidden="1" customHeight="1">
      <c r="A203" s="93" t="s">
        <v>126</v>
      </c>
      <c r="B203" s="107" t="s">
        <v>1059</v>
      </c>
      <c r="C203" s="95" t="s">
        <v>1060</v>
      </c>
      <c r="D203" s="96" t="s">
        <v>1061</v>
      </c>
      <c r="E203" s="97"/>
      <c r="F203" s="124" t="s">
        <v>75</v>
      </c>
      <c r="G203" s="98">
        <v>100.0</v>
      </c>
      <c r="H203" s="99"/>
      <c r="I203" s="100">
        <v>45944.0</v>
      </c>
      <c r="J203" s="101">
        <v>45946.0</v>
      </c>
      <c r="K203" s="101"/>
      <c r="L203" s="101">
        <v>45967.0</v>
      </c>
      <c r="M203" s="25">
        <f>IF(ISBLANK(L203), NETWORKDAYS(J203, TODAY(),Hoja2!$A$1:$A$18), NETWORKDAYS(J203, L203, Hoja2!$A$1:$A$18))</f>
        <v>16</v>
      </c>
      <c r="N203" s="100"/>
      <c r="O203" s="102">
        <v>45993.0</v>
      </c>
      <c r="P203" s="31" t="s">
        <v>1062</v>
      </c>
      <c r="Q203" s="114" t="s">
        <v>71</v>
      </c>
      <c r="R203" s="156">
        <v>1.0</v>
      </c>
      <c r="S203" s="98" t="s">
        <v>1063</v>
      </c>
      <c r="T203" s="124" t="s">
        <v>1064</v>
      </c>
      <c r="U203" s="106"/>
      <c r="V203" s="106"/>
      <c r="W203" s="106"/>
      <c r="X203" s="106"/>
      <c r="Y203" s="106"/>
      <c r="Z203" s="106"/>
      <c r="AA203" s="106"/>
      <c r="AB203" s="106"/>
      <c r="AC203" s="106"/>
      <c r="AD203" s="106"/>
      <c r="AE203" s="106"/>
      <c r="AF203" s="106"/>
      <c r="AG203" s="106"/>
      <c r="AH203" s="106"/>
      <c r="AI203" s="106"/>
      <c r="AJ203" s="106"/>
      <c r="AK203" s="106"/>
      <c r="AL203" s="106"/>
      <c r="AM203" s="106"/>
      <c r="AN203" s="106"/>
      <c r="AO203" s="106"/>
      <c r="AP203" s="106"/>
      <c r="AQ203" s="106"/>
      <c r="AR203" s="106"/>
      <c r="AS203" s="106"/>
      <c r="AT203" s="106"/>
      <c r="AU203" s="106"/>
      <c r="AV203" s="106"/>
      <c r="AW203" s="106"/>
      <c r="AX203" s="106"/>
      <c r="AY203" s="106"/>
      <c r="AZ203" s="106"/>
      <c r="BA203" s="106"/>
      <c r="BB203" s="106"/>
      <c r="BC203" s="106"/>
      <c r="BD203" s="106"/>
      <c r="BE203" s="106"/>
      <c r="BF203" s="106"/>
      <c r="BG203" s="106"/>
      <c r="BH203" s="106"/>
      <c r="BI203" s="106"/>
      <c r="BJ203" s="106"/>
      <c r="BK203" s="106"/>
      <c r="BL203" s="106"/>
      <c r="BM203" s="106"/>
      <c r="BN203" s="106"/>
    </row>
    <row r="204" ht="29.25" hidden="1" customHeight="1">
      <c r="A204" s="93" t="s">
        <v>126</v>
      </c>
      <c r="B204" s="107" t="s">
        <v>1065</v>
      </c>
      <c r="C204" s="187" t="s">
        <v>1066</v>
      </c>
      <c r="D204" s="96" t="s">
        <v>1067</v>
      </c>
      <c r="E204" s="97"/>
      <c r="F204" s="124" t="s">
        <v>237</v>
      </c>
      <c r="G204" s="188"/>
      <c r="H204" s="99"/>
      <c r="I204" s="100"/>
      <c r="J204" s="101"/>
      <c r="K204" s="101"/>
      <c r="L204" s="101"/>
      <c r="M204" s="25">
        <f>IF(ISBLANK(L204), NETWORKDAYS(J204, TODAY(),Hoja2!$A$1:$A$18), NETWORKDAYS(J204, L204, Hoja2!$A$1:$A$18))</f>
        <v>32848</v>
      </c>
      <c r="N204" s="100"/>
      <c r="O204" s="102"/>
      <c r="P204" s="31"/>
      <c r="Q204" s="28" t="s">
        <v>91</v>
      </c>
      <c r="R204" s="156"/>
      <c r="S204" s="103"/>
      <c r="T204" s="104"/>
      <c r="U204" s="106"/>
      <c r="V204" s="106"/>
      <c r="W204" s="106"/>
      <c r="X204" s="106"/>
      <c r="Y204" s="106"/>
      <c r="Z204" s="106"/>
      <c r="AA204" s="106"/>
      <c r="AB204" s="106"/>
      <c r="AC204" s="106"/>
      <c r="AD204" s="106"/>
      <c r="AE204" s="106"/>
      <c r="AF204" s="106"/>
      <c r="AG204" s="106"/>
      <c r="AH204" s="106"/>
      <c r="AI204" s="106"/>
      <c r="AJ204" s="106"/>
      <c r="AK204" s="106"/>
      <c r="AL204" s="106"/>
      <c r="AM204" s="106"/>
      <c r="AN204" s="106"/>
      <c r="AO204" s="106"/>
      <c r="AP204" s="106"/>
      <c r="AQ204" s="106"/>
      <c r="AR204" s="106"/>
      <c r="AS204" s="106"/>
      <c r="AT204" s="106"/>
      <c r="AU204" s="106"/>
      <c r="AV204" s="106"/>
      <c r="AW204" s="106"/>
      <c r="AX204" s="106"/>
      <c r="AY204" s="106"/>
      <c r="AZ204" s="106"/>
      <c r="BA204" s="106"/>
      <c r="BB204" s="106"/>
      <c r="BC204" s="106"/>
      <c r="BD204" s="106"/>
      <c r="BE204" s="106"/>
      <c r="BF204" s="106"/>
      <c r="BG204" s="106"/>
      <c r="BH204" s="106"/>
      <c r="BI204" s="106"/>
      <c r="BJ204" s="106"/>
      <c r="BK204" s="106"/>
      <c r="BL204" s="106"/>
      <c r="BM204" s="106"/>
      <c r="BN204" s="106"/>
    </row>
    <row r="205" ht="29.25" hidden="1" customHeight="1">
      <c r="A205" s="93" t="s">
        <v>126</v>
      </c>
      <c r="B205" s="107" t="s">
        <v>1068</v>
      </c>
      <c r="C205" s="187" t="s">
        <v>1069</v>
      </c>
      <c r="D205" s="96" t="s">
        <v>1070</v>
      </c>
      <c r="E205" s="97"/>
      <c r="F205" s="124" t="s">
        <v>237</v>
      </c>
      <c r="G205" s="188"/>
      <c r="H205" s="99"/>
      <c r="I205" s="100"/>
      <c r="J205" s="101"/>
      <c r="K205" s="101"/>
      <c r="L205" s="101"/>
      <c r="M205" s="25">
        <f>IF(ISBLANK(L205), NETWORKDAYS(J205, TODAY(),Hoja2!$A$1:$A$18), NETWORKDAYS(J205, L205, Hoja2!$A$1:$A$18))</f>
        <v>32848</v>
      </c>
      <c r="N205" s="100"/>
      <c r="O205" s="102"/>
      <c r="P205" s="31"/>
      <c r="Q205" s="28" t="s">
        <v>91</v>
      </c>
      <c r="R205" s="156"/>
      <c r="S205" s="103"/>
      <c r="T205" s="104"/>
      <c r="U205" s="106"/>
      <c r="V205" s="106"/>
      <c r="W205" s="106"/>
      <c r="X205" s="106"/>
      <c r="Y205" s="106"/>
      <c r="Z205" s="106"/>
      <c r="AA205" s="106"/>
      <c r="AB205" s="106"/>
      <c r="AC205" s="106"/>
      <c r="AD205" s="106"/>
      <c r="AE205" s="106"/>
      <c r="AF205" s="106"/>
      <c r="AG205" s="106"/>
      <c r="AH205" s="106"/>
      <c r="AI205" s="106"/>
      <c r="AJ205" s="106"/>
      <c r="AK205" s="106"/>
      <c r="AL205" s="106"/>
      <c r="AM205" s="106"/>
      <c r="AN205" s="106"/>
      <c r="AO205" s="106"/>
      <c r="AP205" s="106"/>
      <c r="AQ205" s="106"/>
      <c r="AR205" s="106"/>
      <c r="AS205" s="106"/>
      <c r="AT205" s="106"/>
      <c r="AU205" s="106"/>
      <c r="AV205" s="106"/>
      <c r="AW205" s="106"/>
      <c r="AX205" s="106"/>
      <c r="AY205" s="106"/>
      <c r="AZ205" s="106"/>
      <c r="BA205" s="106"/>
      <c r="BB205" s="106"/>
      <c r="BC205" s="106"/>
      <c r="BD205" s="106"/>
      <c r="BE205" s="106"/>
      <c r="BF205" s="106"/>
      <c r="BG205" s="106"/>
      <c r="BH205" s="106"/>
      <c r="BI205" s="106"/>
      <c r="BJ205" s="106"/>
      <c r="BK205" s="106"/>
      <c r="BL205" s="106"/>
      <c r="BM205" s="106"/>
      <c r="BN205" s="106"/>
    </row>
    <row r="206" ht="29.25" hidden="1" customHeight="1">
      <c r="A206" s="93" t="s">
        <v>126</v>
      </c>
      <c r="B206" s="107" t="s">
        <v>1071</v>
      </c>
      <c r="C206" s="108" t="s">
        <v>1072</v>
      </c>
      <c r="D206" s="96" t="s">
        <v>1073</v>
      </c>
      <c r="E206" s="97"/>
      <c r="F206" s="124" t="s">
        <v>237</v>
      </c>
      <c r="G206" s="188"/>
      <c r="H206" s="99"/>
      <c r="I206" s="100">
        <v>45917.0</v>
      </c>
      <c r="J206" s="101"/>
      <c r="K206" s="101"/>
      <c r="L206" s="101"/>
      <c r="M206" s="25">
        <f>IF(ISBLANK(L206), NETWORKDAYS(J206, TODAY(),Hoja2!$A$1:$A$18), NETWORKDAYS(J206, L206, Hoja2!$A$1:$A$18))</f>
        <v>32848</v>
      </c>
      <c r="N206" s="100"/>
      <c r="O206" s="102"/>
      <c r="P206" s="31"/>
      <c r="Q206" s="28" t="s">
        <v>91</v>
      </c>
      <c r="R206" s="156"/>
      <c r="S206" s="103"/>
      <c r="T206" s="104"/>
      <c r="U206" s="106"/>
      <c r="V206" s="106"/>
      <c r="W206" s="106"/>
      <c r="X206" s="106"/>
      <c r="Y206" s="106"/>
      <c r="Z206" s="106"/>
      <c r="AA206" s="106"/>
      <c r="AB206" s="106"/>
      <c r="AC206" s="106"/>
      <c r="AD206" s="106"/>
      <c r="AE206" s="106"/>
      <c r="AF206" s="106"/>
      <c r="AG206" s="106"/>
      <c r="AH206" s="106"/>
      <c r="AI206" s="106"/>
      <c r="AJ206" s="106"/>
      <c r="AK206" s="106"/>
      <c r="AL206" s="106"/>
      <c r="AM206" s="106"/>
      <c r="AN206" s="106"/>
      <c r="AO206" s="106"/>
      <c r="AP206" s="106"/>
      <c r="AQ206" s="106"/>
      <c r="AR206" s="106"/>
      <c r="AS206" s="106"/>
      <c r="AT206" s="106"/>
      <c r="AU206" s="106"/>
      <c r="AV206" s="106"/>
      <c r="AW206" s="106"/>
      <c r="AX206" s="106"/>
      <c r="AY206" s="106"/>
      <c r="AZ206" s="106"/>
      <c r="BA206" s="106"/>
      <c r="BB206" s="106"/>
      <c r="BC206" s="106"/>
      <c r="BD206" s="106"/>
      <c r="BE206" s="106"/>
      <c r="BF206" s="106"/>
      <c r="BG206" s="106"/>
      <c r="BH206" s="106"/>
      <c r="BI206" s="106"/>
      <c r="BJ206" s="106"/>
      <c r="BK206" s="106"/>
      <c r="BL206" s="106"/>
      <c r="BM206" s="106"/>
      <c r="BN206" s="106"/>
    </row>
    <row r="207" ht="29.25" hidden="1" customHeight="1">
      <c r="A207" s="93" t="s">
        <v>126</v>
      </c>
      <c r="B207" s="107" t="s">
        <v>1074</v>
      </c>
      <c r="C207" s="108" t="s">
        <v>1075</v>
      </c>
      <c r="D207" s="96" t="s">
        <v>1076</v>
      </c>
      <c r="E207" s="97"/>
      <c r="F207" s="124" t="s">
        <v>237</v>
      </c>
      <c r="G207" s="98"/>
      <c r="H207" s="99"/>
      <c r="I207" s="100">
        <v>45926.0</v>
      </c>
      <c r="J207" s="101"/>
      <c r="K207" s="101"/>
      <c r="L207" s="101"/>
      <c r="M207" s="25">
        <f>IF(ISBLANK(L207), NETWORKDAYS(J207, TODAY(),Hoja2!$A$1:$A$18), NETWORKDAYS(J207, L207, Hoja2!$A$1:$A$18))</f>
        <v>32848</v>
      </c>
      <c r="N207" s="100"/>
      <c r="O207" s="102"/>
      <c r="P207" s="31" t="s">
        <v>1077</v>
      </c>
      <c r="Q207" s="114" t="s">
        <v>91</v>
      </c>
      <c r="R207" s="156"/>
      <c r="S207" s="98"/>
      <c r="T207" s="104"/>
      <c r="U207" s="106"/>
      <c r="V207" s="106"/>
      <c r="W207" s="106"/>
      <c r="X207" s="106"/>
      <c r="Y207" s="106"/>
      <c r="Z207" s="106"/>
      <c r="AA207" s="106"/>
      <c r="AB207" s="106"/>
      <c r="AC207" s="106"/>
      <c r="AD207" s="106"/>
      <c r="AE207" s="106"/>
      <c r="AF207" s="106"/>
      <c r="AG207" s="106"/>
      <c r="AH207" s="106"/>
      <c r="AI207" s="106"/>
      <c r="AJ207" s="106"/>
      <c r="AK207" s="106"/>
      <c r="AL207" s="106"/>
      <c r="AM207" s="106"/>
      <c r="AN207" s="106"/>
      <c r="AO207" s="106"/>
      <c r="AP207" s="106"/>
      <c r="AQ207" s="106"/>
      <c r="AR207" s="106"/>
      <c r="AS207" s="106"/>
      <c r="AT207" s="106"/>
      <c r="AU207" s="106"/>
      <c r="AV207" s="106"/>
      <c r="AW207" s="106"/>
      <c r="AX207" s="106"/>
      <c r="AY207" s="106"/>
      <c r="AZ207" s="106"/>
      <c r="BA207" s="106"/>
      <c r="BB207" s="106"/>
      <c r="BC207" s="106"/>
      <c r="BD207" s="106"/>
      <c r="BE207" s="106"/>
      <c r="BF207" s="106"/>
      <c r="BG207" s="106"/>
      <c r="BH207" s="106"/>
      <c r="BI207" s="106"/>
      <c r="BJ207" s="106"/>
      <c r="BK207" s="106"/>
      <c r="BL207" s="106"/>
      <c r="BM207" s="106"/>
      <c r="BN207" s="106"/>
    </row>
    <row r="208" ht="29.25" hidden="1" customHeight="1">
      <c r="A208" s="93" t="s">
        <v>126</v>
      </c>
      <c r="B208" s="107" t="s">
        <v>1078</v>
      </c>
      <c r="C208" s="108" t="s">
        <v>1079</v>
      </c>
      <c r="D208" s="96" t="s">
        <v>1080</v>
      </c>
      <c r="E208" s="97"/>
      <c r="F208" s="124" t="s">
        <v>75</v>
      </c>
      <c r="G208" s="98">
        <v>100.0</v>
      </c>
      <c r="H208" s="99"/>
      <c r="I208" s="100">
        <v>45945.0</v>
      </c>
      <c r="J208" s="101">
        <v>45947.0</v>
      </c>
      <c r="K208" s="101"/>
      <c r="L208" s="101">
        <v>45947.0</v>
      </c>
      <c r="M208" s="25">
        <f>IF(ISBLANK(L208), NETWORKDAYS(J208, TODAY(),Hoja2!$A$1:$A$18), NETWORKDAYS(J208, L208, Hoja2!$A$1:$A$18))</f>
        <v>1</v>
      </c>
      <c r="N208" s="100"/>
      <c r="O208" s="102"/>
      <c r="P208" s="31" t="s">
        <v>1081</v>
      </c>
      <c r="Q208" s="114" t="s">
        <v>71</v>
      </c>
      <c r="R208" s="156"/>
      <c r="S208" s="98"/>
      <c r="T208" s="104"/>
      <c r="U208" s="106"/>
      <c r="V208" s="106"/>
      <c r="W208" s="106"/>
      <c r="X208" s="106"/>
      <c r="Y208" s="106"/>
      <c r="Z208" s="106"/>
      <c r="AA208" s="106"/>
      <c r="AB208" s="106"/>
      <c r="AC208" s="106"/>
      <c r="AD208" s="106"/>
      <c r="AE208" s="106"/>
      <c r="AF208" s="106"/>
      <c r="AG208" s="106"/>
      <c r="AH208" s="106"/>
      <c r="AI208" s="106"/>
      <c r="AJ208" s="106"/>
      <c r="AK208" s="106"/>
      <c r="AL208" s="106"/>
      <c r="AM208" s="106"/>
      <c r="AN208" s="106"/>
      <c r="AO208" s="106"/>
      <c r="AP208" s="106"/>
      <c r="AQ208" s="106"/>
      <c r="AR208" s="106"/>
      <c r="AS208" s="106"/>
      <c r="AT208" s="106"/>
      <c r="AU208" s="106"/>
      <c r="AV208" s="106"/>
      <c r="AW208" s="106"/>
      <c r="AX208" s="106"/>
      <c r="AY208" s="106"/>
      <c r="AZ208" s="106"/>
      <c r="BA208" s="106"/>
      <c r="BB208" s="106"/>
      <c r="BC208" s="106"/>
      <c r="BD208" s="106"/>
      <c r="BE208" s="106"/>
      <c r="BF208" s="106"/>
      <c r="BG208" s="106"/>
      <c r="BH208" s="106"/>
      <c r="BI208" s="106"/>
      <c r="BJ208" s="106"/>
      <c r="BK208" s="106"/>
      <c r="BL208" s="106"/>
      <c r="BM208" s="106"/>
      <c r="BN208" s="106"/>
    </row>
    <row r="209" ht="29.25" hidden="1" customHeight="1">
      <c r="A209" s="93" t="s">
        <v>126</v>
      </c>
      <c r="B209" s="107" t="s">
        <v>1082</v>
      </c>
      <c r="C209" s="189" t="s">
        <v>1083</v>
      </c>
      <c r="D209" s="96" t="s">
        <v>1084</v>
      </c>
      <c r="E209" s="97"/>
      <c r="F209" s="124" t="s">
        <v>75</v>
      </c>
      <c r="G209" s="98">
        <v>100.0</v>
      </c>
      <c r="H209" s="99"/>
      <c r="I209" s="100">
        <v>45947.0</v>
      </c>
      <c r="J209" s="101">
        <v>45958.0</v>
      </c>
      <c r="K209" s="101">
        <v>45972.0</v>
      </c>
      <c r="L209" s="101">
        <v>45965.0</v>
      </c>
      <c r="M209" s="25">
        <f>IF(ISBLANK(L209), NETWORKDAYS(J209, TODAY(),Hoja2!$A$1:$A$18), NETWORKDAYS(J209, L209, Hoja2!$A$1:$A$18))</f>
        <v>6</v>
      </c>
      <c r="N209" s="100">
        <v>45965.0</v>
      </c>
      <c r="O209" s="102">
        <v>45995.0</v>
      </c>
      <c r="P209" s="31" t="s">
        <v>1085</v>
      </c>
      <c r="Q209" s="114" t="s">
        <v>71</v>
      </c>
      <c r="R209" s="156"/>
      <c r="S209" s="98"/>
      <c r="T209" s="124" t="s">
        <v>1086</v>
      </c>
      <c r="U209" s="106"/>
      <c r="V209" s="106"/>
      <c r="W209" s="106"/>
      <c r="X209" s="106"/>
      <c r="Y209" s="106"/>
      <c r="Z209" s="106"/>
      <c r="AA209" s="106"/>
      <c r="AB209" s="106"/>
      <c r="AC209" s="106"/>
      <c r="AD209" s="106"/>
      <c r="AE209" s="106"/>
      <c r="AF209" s="106"/>
      <c r="AG209" s="106"/>
      <c r="AH209" s="106"/>
      <c r="AI209" s="106"/>
      <c r="AJ209" s="106"/>
      <c r="AK209" s="106"/>
      <c r="AL209" s="106"/>
      <c r="AM209" s="106"/>
      <c r="AN209" s="106"/>
      <c r="AO209" s="106"/>
      <c r="AP209" s="106"/>
      <c r="AQ209" s="106"/>
      <c r="AR209" s="106"/>
      <c r="AS209" s="106"/>
      <c r="AT209" s="106"/>
      <c r="AU209" s="106"/>
      <c r="AV209" s="106"/>
      <c r="AW209" s="106"/>
      <c r="AX209" s="106"/>
      <c r="AY209" s="106"/>
      <c r="AZ209" s="106"/>
      <c r="BA209" s="106"/>
      <c r="BB209" s="106"/>
      <c r="BC209" s="106"/>
      <c r="BD209" s="106"/>
      <c r="BE209" s="106"/>
      <c r="BF209" s="106"/>
      <c r="BG209" s="106"/>
      <c r="BH209" s="106"/>
      <c r="BI209" s="106"/>
      <c r="BJ209" s="106"/>
      <c r="BK209" s="106"/>
      <c r="BL209" s="106"/>
      <c r="BM209" s="106"/>
      <c r="BN209" s="106"/>
    </row>
    <row r="210" ht="29.25" customHeight="1">
      <c r="A210" s="53" t="s">
        <v>155</v>
      </c>
      <c r="B210" s="16" t="s">
        <v>1087</v>
      </c>
      <c r="C210" s="95" t="s">
        <v>1088</v>
      </c>
      <c r="D210" s="17"/>
      <c r="E210" s="125"/>
      <c r="F210" s="19" t="s">
        <v>237</v>
      </c>
      <c r="G210" s="56">
        <v>60.0</v>
      </c>
      <c r="H210" s="56">
        <v>5.0</v>
      </c>
      <c r="I210" s="82">
        <v>45800.0</v>
      </c>
      <c r="J210" s="59">
        <v>45803.0</v>
      </c>
      <c r="K210" s="59"/>
      <c r="L210" s="59"/>
      <c r="M210" s="25">
        <f>IF(ISBLANK(L210), NETWORKDAYS(J210, TODAY(),Hoja2!$A$1:$A$18), NETWORKDAYS(J210, L210, Hoja2!$A$1:$A$18))</f>
        <v>149</v>
      </c>
      <c r="N210" s="82"/>
      <c r="O210" s="102"/>
      <c r="P210" s="105"/>
      <c r="Q210" s="28" t="s">
        <v>71</v>
      </c>
      <c r="R210" s="119"/>
      <c r="S210" s="119"/>
      <c r="T210" s="104"/>
      <c r="U210" s="106"/>
      <c r="V210" s="106"/>
      <c r="W210" s="106"/>
      <c r="X210" s="106"/>
      <c r="Y210" s="106"/>
      <c r="Z210" s="106"/>
      <c r="AA210" s="106"/>
      <c r="AB210" s="106"/>
      <c r="AC210" s="34"/>
      <c r="AD210" s="34"/>
      <c r="AE210" s="34"/>
      <c r="AF210" s="34"/>
      <c r="AG210" s="34" t="s">
        <v>1089</v>
      </c>
      <c r="AH210" s="34" t="s">
        <v>1090</v>
      </c>
      <c r="AI210" s="34" t="s">
        <v>1091</v>
      </c>
      <c r="AJ210" s="34" t="s">
        <v>1092</v>
      </c>
      <c r="AK210" s="34" t="s">
        <v>1093</v>
      </c>
      <c r="AL210" s="34" t="s">
        <v>1094</v>
      </c>
      <c r="AM210" s="34" t="s">
        <v>1095</v>
      </c>
      <c r="AN210" s="34"/>
      <c r="AO210" s="34"/>
      <c r="AP210" s="34"/>
      <c r="AQ210" s="34"/>
      <c r="AR210" s="34" t="s">
        <v>1096</v>
      </c>
      <c r="AS210" s="34"/>
      <c r="AT210" s="34"/>
      <c r="AU210" s="34"/>
      <c r="AV210" s="34" t="s">
        <v>1097</v>
      </c>
      <c r="AW210" s="34"/>
      <c r="AX210" s="34"/>
      <c r="AY210" s="34"/>
      <c r="AZ210" s="34"/>
      <c r="BA210" s="34"/>
      <c r="BB210" s="34"/>
      <c r="BC210" s="34"/>
      <c r="BD210" s="34"/>
      <c r="BE210" s="34"/>
      <c r="BF210" s="34"/>
      <c r="BG210" s="34"/>
      <c r="BH210" s="34"/>
      <c r="BI210" s="34"/>
      <c r="BJ210" s="34"/>
      <c r="BK210" s="34"/>
      <c r="BL210" s="34"/>
      <c r="BM210" s="34"/>
      <c r="BN210" s="34"/>
    </row>
    <row r="211" ht="29.25" hidden="1" customHeight="1">
      <c r="A211" s="93" t="s">
        <v>207</v>
      </c>
      <c r="B211" s="107" t="s">
        <v>1098</v>
      </c>
      <c r="C211" s="122" t="s">
        <v>1099</v>
      </c>
      <c r="D211" s="96"/>
      <c r="E211" s="97"/>
      <c r="F211" s="124" t="s">
        <v>214</v>
      </c>
      <c r="G211" s="98">
        <v>70.0</v>
      </c>
      <c r="H211" s="99"/>
      <c r="I211" s="100">
        <v>45992.0</v>
      </c>
      <c r="J211" s="101">
        <v>46003.0</v>
      </c>
      <c r="K211" s="101"/>
      <c r="L211" s="101"/>
      <c r="M211" s="25">
        <f>IF(ISBLANK(L211), NETWORKDAYS(J211, TODAY(),Hoja2!$A$1:$A$18), NETWORKDAYS(J211, L211, Hoja2!$A$1:$A$18))</f>
        <v>5</v>
      </c>
      <c r="N211" s="100"/>
      <c r="O211" s="102"/>
      <c r="P211" s="31" t="s">
        <v>1100</v>
      </c>
      <c r="Q211" s="114" t="s">
        <v>91</v>
      </c>
      <c r="R211" s="156"/>
      <c r="S211" s="98"/>
      <c r="T211" s="104"/>
      <c r="U211" s="106"/>
      <c r="V211" s="106"/>
      <c r="W211" s="106"/>
      <c r="X211" s="106"/>
      <c r="Y211" s="106"/>
      <c r="Z211" s="106"/>
      <c r="AA211" s="106"/>
      <c r="AB211" s="106"/>
      <c r="AC211" s="106"/>
      <c r="AD211" s="106"/>
      <c r="AE211" s="106"/>
      <c r="AF211" s="106"/>
      <c r="AG211" s="106"/>
      <c r="AH211" s="106"/>
      <c r="AI211" s="106"/>
      <c r="AJ211" s="106"/>
      <c r="AK211" s="106"/>
      <c r="AL211" s="106"/>
      <c r="AM211" s="106"/>
      <c r="AN211" s="106"/>
      <c r="AO211" s="106"/>
      <c r="AP211" s="106"/>
      <c r="AQ211" s="106"/>
      <c r="AR211" s="106"/>
      <c r="AS211" s="106"/>
      <c r="AT211" s="106"/>
      <c r="AU211" s="106"/>
      <c r="AV211" s="106"/>
      <c r="AW211" s="106"/>
      <c r="AX211" s="106"/>
      <c r="AY211" s="106"/>
      <c r="AZ211" s="106"/>
      <c r="BA211" s="106"/>
      <c r="BB211" s="106"/>
      <c r="BC211" s="106"/>
      <c r="BD211" s="106"/>
      <c r="BE211" s="106"/>
      <c r="BF211" s="106"/>
      <c r="BG211" s="106"/>
      <c r="BH211" s="106"/>
      <c r="BI211" s="106"/>
      <c r="BJ211" s="106"/>
      <c r="BK211" s="106"/>
      <c r="BL211" s="106"/>
      <c r="BM211" s="106"/>
      <c r="BN211" s="106"/>
    </row>
    <row r="212" ht="29.25" hidden="1" customHeight="1">
      <c r="A212" s="93" t="s">
        <v>207</v>
      </c>
      <c r="B212" s="107" t="s">
        <v>1101</v>
      </c>
      <c r="C212" s="190" t="s">
        <v>1102</v>
      </c>
      <c r="D212" s="96"/>
      <c r="E212" s="97"/>
      <c r="F212" s="124" t="s">
        <v>214</v>
      </c>
      <c r="G212" s="98">
        <v>70.0</v>
      </c>
      <c r="H212" s="99"/>
      <c r="I212" s="100">
        <v>45996.0</v>
      </c>
      <c r="J212" s="101">
        <v>46003.0</v>
      </c>
      <c r="K212" s="101"/>
      <c r="L212" s="101"/>
      <c r="M212" s="25">
        <f>IF(ISBLANK(L212), NETWORKDAYS(J212, TODAY(),Hoja2!$A$1:$A$18), NETWORKDAYS(J212, L212, Hoja2!$A$1:$A$18))</f>
        <v>5</v>
      </c>
      <c r="N212" s="100"/>
      <c r="O212" s="102"/>
      <c r="P212" s="31" t="s">
        <v>1103</v>
      </c>
      <c r="Q212" s="114" t="s">
        <v>91</v>
      </c>
      <c r="R212" s="156"/>
      <c r="S212" s="98"/>
      <c r="T212" s="104"/>
      <c r="U212" s="106"/>
      <c r="V212" s="106"/>
      <c r="W212" s="106"/>
      <c r="X212" s="106"/>
      <c r="Y212" s="106"/>
      <c r="Z212" s="106"/>
      <c r="AA212" s="106"/>
      <c r="AB212" s="106"/>
      <c r="AC212" s="106"/>
      <c r="AD212" s="106"/>
      <c r="AE212" s="106"/>
      <c r="AF212" s="106"/>
      <c r="AG212" s="106"/>
      <c r="AH212" s="106"/>
      <c r="AI212" s="106"/>
      <c r="AJ212" s="106"/>
      <c r="AK212" s="106"/>
      <c r="AL212" s="106"/>
      <c r="AM212" s="106"/>
      <c r="AN212" s="106"/>
      <c r="AO212" s="106"/>
      <c r="AP212" s="106"/>
      <c r="AQ212" s="106"/>
      <c r="AR212" s="106"/>
      <c r="AS212" s="106"/>
      <c r="AT212" s="106"/>
      <c r="AU212" s="106"/>
      <c r="AV212" s="106"/>
      <c r="AW212" s="106"/>
      <c r="AX212" s="106"/>
      <c r="AY212" s="106"/>
      <c r="AZ212" s="106"/>
      <c r="BA212" s="106"/>
      <c r="BB212" s="106"/>
      <c r="BC212" s="106"/>
      <c r="BD212" s="106"/>
      <c r="BE212" s="106"/>
      <c r="BF212" s="106"/>
      <c r="BG212" s="106"/>
      <c r="BH212" s="106"/>
      <c r="BI212" s="106"/>
      <c r="BJ212" s="106"/>
      <c r="BK212" s="106"/>
      <c r="BL212" s="106"/>
      <c r="BM212" s="106"/>
      <c r="BN212" s="106"/>
    </row>
    <row r="213" ht="29.25" hidden="1" customHeight="1">
      <c r="A213" s="93" t="s">
        <v>155</v>
      </c>
      <c r="B213" s="107" t="s">
        <v>1104</v>
      </c>
      <c r="C213" s="108" t="s">
        <v>1105</v>
      </c>
      <c r="D213" s="96" t="s">
        <v>1106</v>
      </c>
      <c r="E213" s="97"/>
      <c r="F213" s="124" t="s">
        <v>75</v>
      </c>
      <c r="G213" s="98">
        <v>100.0</v>
      </c>
      <c r="H213" s="99"/>
      <c r="I213" s="100">
        <v>45953.0</v>
      </c>
      <c r="J213" s="101">
        <v>45958.0</v>
      </c>
      <c r="K213" s="101"/>
      <c r="L213" s="101">
        <v>45958.0</v>
      </c>
      <c r="M213" s="25">
        <f>IF(ISBLANK(L213), NETWORKDAYS(J213, TODAY(),Hoja2!$A$1:$A$18), NETWORKDAYS(J213, L213, Hoja2!$A$1:$A$18))</f>
        <v>1</v>
      </c>
      <c r="N213" s="100"/>
      <c r="O213" s="102"/>
      <c r="P213" s="31" t="s">
        <v>1107</v>
      </c>
      <c r="Q213" s="114" t="s">
        <v>71</v>
      </c>
      <c r="R213" s="156"/>
      <c r="S213" s="98"/>
      <c r="T213" s="104"/>
      <c r="U213" s="106"/>
      <c r="V213" s="106"/>
      <c r="W213" s="106"/>
      <c r="X213" s="106"/>
      <c r="Y213" s="106"/>
      <c r="Z213" s="106"/>
      <c r="AA213" s="106"/>
      <c r="AB213" s="106"/>
      <c r="AC213" s="106"/>
      <c r="AD213" s="106"/>
      <c r="AE213" s="106"/>
      <c r="AF213" s="106"/>
      <c r="AG213" s="106"/>
      <c r="AH213" s="106"/>
      <c r="AI213" s="106"/>
      <c r="AJ213" s="106"/>
      <c r="AK213" s="106"/>
      <c r="AL213" s="106"/>
      <c r="AM213" s="106"/>
      <c r="AN213" s="106"/>
      <c r="AO213" s="106"/>
      <c r="AP213" s="106"/>
      <c r="AQ213" s="106"/>
      <c r="AR213" s="106"/>
      <c r="AS213" s="106"/>
      <c r="AT213" s="106"/>
      <c r="AU213" s="106"/>
      <c r="AV213" s="106"/>
      <c r="AW213" s="106"/>
      <c r="AX213" s="106"/>
      <c r="AY213" s="106"/>
      <c r="AZ213" s="106"/>
      <c r="BA213" s="106"/>
      <c r="BB213" s="106"/>
      <c r="BC213" s="106"/>
      <c r="BD213" s="106"/>
      <c r="BE213" s="106"/>
      <c r="BF213" s="106"/>
      <c r="BG213" s="106"/>
      <c r="BH213" s="106"/>
      <c r="BI213" s="106"/>
      <c r="BJ213" s="106"/>
      <c r="BK213" s="106"/>
      <c r="BL213" s="106"/>
      <c r="BM213" s="106"/>
      <c r="BN213" s="106"/>
    </row>
    <row r="214" ht="29.25" hidden="1" customHeight="1">
      <c r="A214" s="93" t="s">
        <v>126</v>
      </c>
      <c r="B214" s="107" t="s">
        <v>1108</v>
      </c>
      <c r="C214" s="108" t="s">
        <v>1109</v>
      </c>
      <c r="D214" s="96" t="s">
        <v>1110</v>
      </c>
      <c r="E214" s="97"/>
      <c r="F214" s="124" t="s">
        <v>75</v>
      </c>
      <c r="G214" s="98">
        <v>100.0</v>
      </c>
      <c r="H214" s="99"/>
      <c r="I214" s="100">
        <v>45953.0</v>
      </c>
      <c r="J214" s="101">
        <v>45957.0</v>
      </c>
      <c r="K214" s="101"/>
      <c r="L214" s="101">
        <v>45958.0</v>
      </c>
      <c r="M214" s="25">
        <f>IF(ISBLANK(L214), NETWORKDAYS(J214, TODAY(),Hoja2!$A$1:$A$18), NETWORKDAYS(J214, L214, Hoja2!$A$1:$A$18))</f>
        <v>2</v>
      </c>
      <c r="N214" s="100"/>
      <c r="O214" s="102">
        <v>45958.0</v>
      </c>
      <c r="P214" s="31" t="s">
        <v>1111</v>
      </c>
      <c r="Q214" s="114" t="s">
        <v>71</v>
      </c>
      <c r="R214" s="156"/>
      <c r="S214" s="98"/>
      <c r="T214" s="104"/>
      <c r="U214" s="106"/>
      <c r="V214" s="106"/>
      <c r="W214" s="106"/>
      <c r="X214" s="106"/>
      <c r="Y214" s="106"/>
      <c r="Z214" s="106"/>
      <c r="AA214" s="106"/>
      <c r="AB214" s="106"/>
      <c r="AC214" s="106"/>
      <c r="AD214" s="106"/>
      <c r="AE214" s="106"/>
      <c r="AF214" s="106"/>
      <c r="AG214" s="106"/>
      <c r="AH214" s="106"/>
      <c r="AI214" s="106"/>
      <c r="AJ214" s="106"/>
      <c r="AK214" s="106"/>
      <c r="AL214" s="106"/>
      <c r="AM214" s="106"/>
      <c r="AN214" s="106"/>
      <c r="AO214" s="106"/>
      <c r="AP214" s="106"/>
      <c r="AQ214" s="106"/>
      <c r="AR214" s="106"/>
      <c r="AS214" s="106"/>
      <c r="AT214" s="106"/>
      <c r="AU214" s="106"/>
      <c r="AV214" s="106"/>
      <c r="AW214" s="106"/>
      <c r="AX214" s="106"/>
      <c r="AY214" s="106"/>
      <c r="AZ214" s="106"/>
      <c r="BA214" s="106"/>
      <c r="BB214" s="106"/>
      <c r="BC214" s="106"/>
      <c r="BD214" s="106"/>
      <c r="BE214" s="106"/>
      <c r="BF214" s="106"/>
      <c r="BG214" s="106"/>
      <c r="BH214" s="106"/>
      <c r="BI214" s="106"/>
      <c r="BJ214" s="106"/>
      <c r="BK214" s="106"/>
      <c r="BL214" s="106"/>
      <c r="BM214" s="106"/>
      <c r="BN214" s="106"/>
    </row>
    <row r="215" ht="29.25" hidden="1" customHeight="1">
      <c r="A215" s="93" t="s">
        <v>126</v>
      </c>
      <c r="B215" s="107" t="s">
        <v>1112</v>
      </c>
      <c r="C215" s="108" t="s">
        <v>1113</v>
      </c>
      <c r="D215" s="96" t="s">
        <v>1114</v>
      </c>
      <c r="E215" s="97"/>
      <c r="F215" s="124" t="s">
        <v>75</v>
      </c>
      <c r="G215" s="98">
        <v>100.0</v>
      </c>
      <c r="H215" s="99"/>
      <c r="I215" s="100">
        <v>45957.0</v>
      </c>
      <c r="J215" s="101">
        <v>45957.0</v>
      </c>
      <c r="K215" s="101"/>
      <c r="L215" s="101">
        <v>45957.0</v>
      </c>
      <c r="M215" s="25">
        <f>IF(ISBLANK(L215), NETWORKDAYS(J215, TODAY(),Hoja2!$A$1:$A$18), NETWORKDAYS(J215, L215, Hoja2!$A$1:$A$18))</f>
        <v>1</v>
      </c>
      <c r="N215" s="100"/>
      <c r="O215" s="102"/>
      <c r="P215" s="31" t="s">
        <v>1115</v>
      </c>
      <c r="Q215" s="114" t="s">
        <v>71</v>
      </c>
      <c r="R215" s="156"/>
      <c r="S215" s="98"/>
      <c r="T215" s="104"/>
      <c r="U215" s="106"/>
      <c r="V215" s="106"/>
      <c r="W215" s="106"/>
      <c r="X215" s="106"/>
      <c r="Y215" s="106"/>
      <c r="Z215" s="106"/>
      <c r="AA215" s="106"/>
      <c r="AB215" s="106"/>
      <c r="AC215" s="106"/>
      <c r="AD215" s="106"/>
      <c r="AE215" s="106"/>
      <c r="AF215" s="106"/>
      <c r="AG215" s="106"/>
      <c r="AH215" s="106"/>
      <c r="AI215" s="106"/>
      <c r="AJ215" s="106"/>
      <c r="AK215" s="106"/>
      <c r="AL215" s="106"/>
      <c r="AM215" s="106"/>
      <c r="AN215" s="106"/>
      <c r="AO215" s="106"/>
      <c r="AP215" s="106"/>
      <c r="AQ215" s="106"/>
      <c r="AR215" s="106"/>
      <c r="AS215" s="106"/>
      <c r="AT215" s="106"/>
      <c r="AU215" s="106"/>
      <c r="AV215" s="106"/>
      <c r="AW215" s="106"/>
      <c r="AX215" s="106"/>
      <c r="AY215" s="106"/>
      <c r="AZ215" s="106"/>
      <c r="BA215" s="106"/>
      <c r="BB215" s="106"/>
      <c r="BC215" s="106"/>
      <c r="BD215" s="106"/>
      <c r="BE215" s="106"/>
      <c r="BF215" s="106"/>
      <c r="BG215" s="106"/>
      <c r="BH215" s="106"/>
      <c r="BI215" s="106"/>
      <c r="BJ215" s="106"/>
      <c r="BK215" s="106"/>
      <c r="BL215" s="106"/>
      <c r="BM215" s="106"/>
      <c r="BN215" s="106"/>
    </row>
    <row r="216" ht="29.25" hidden="1" customHeight="1">
      <c r="A216" s="93" t="s">
        <v>126</v>
      </c>
      <c r="B216" s="107" t="s">
        <v>1116</v>
      </c>
      <c r="C216" s="108" t="s">
        <v>1117</v>
      </c>
      <c r="D216" s="96"/>
      <c r="E216" s="97"/>
      <c r="F216" s="124" t="s">
        <v>237</v>
      </c>
      <c r="G216" s="167"/>
      <c r="H216" s="99"/>
      <c r="I216" s="100">
        <v>45953.0</v>
      </c>
      <c r="J216" s="170"/>
      <c r="K216" s="101"/>
      <c r="L216" s="101"/>
      <c r="M216" s="25">
        <f>IF(ISBLANK(L216), NETWORKDAYS(J216, TODAY(),Hoja2!$A$1:$A$18), NETWORKDAYS(J216, L216, Hoja2!$A$1:$A$18))</f>
        <v>32848</v>
      </c>
      <c r="N216" s="100"/>
      <c r="O216" s="102"/>
      <c r="P216" s="31"/>
      <c r="Q216" s="114" t="s">
        <v>91</v>
      </c>
      <c r="R216" s="156"/>
      <c r="S216" s="98"/>
      <c r="T216" s="104"/>
      <c r="U216" s="106"/>
      <c r="V216" s="106"/>
      <c r="W216" s="106"/>
      <c r="X216" s="106"/>
      <c r="Y216" s="106"/>
      <c r="Z216" s="106"/>
      <c r="AA216" s="106"/>
      <c r="AB216" s="106"/>
      <c r="AC216" s="106"/>
      <c r="AD216" s="106"/>
      <c r="AE216" s="106"/>
      <c r="AF216" s="106"/>
      <c r="AG216" s="106"/>
      <c r="AH216" s="106"/>
      <c r="AI216" s="106"/>
      <c r="AJ216" s="106"/>
      <c r="AK216" s="106"/>
      <c r="AL216" s="106"/>
      <c r="AM216" s="106"/>
      <c r="AN216" s="106"/>
      <c r="AO216" s="106"/>
      <c r="AP216" s="106"/>
      <c r="AQ216" s="106"/>
      <c r="AR216" s="106"/>
      <c r="AS216" s="106"/>
      <c r="AT216" s="106"/>
      <c r="AU216" s="106"/>
      <c r="AV216" s="106"/>
      <c r="AW216" s="106"/>
      <c r="AX216" s="106"/>
      <c r="AY216" s="106"/>
      <c r="AZ216" s="106"/>
      <c r="BA216" s="106"/>
      <c r="BB216" s="106"/>
      <c r="BC216" s="106"/>
      <c r="BD216" s="106"/>
      <c r="BE216" s="106"/>
      <c r="BF216" s="106"/>
      <c r="BG216" s="106"/>
      <c r="BH216" s="106"/>
      <c r="BI216" s="106"/>
      <c r="BJ216" s="106"/>
      <c r="BK216" s="106"/>
      <c r="BL216" s="106"/>
      <c r="BM216" s="106"/>
      <c r="BN216" s="106"/>
    </row>
    <row r="217" ht="29.25" hidden="1" customHeight="1">
      <c r="A217" s="93" t="s">
        <v>126</v>
      </c>
      <c r="B217" s="107" t="s">
        <v>1118</v>
      </c>
      <c r="C217" s="108" t="s">
        <v>1119</v>
      </c>
      <c r="D217" s="96" t="s">
        <v>1120</v>
      </c>
      <c r="E217" s="97"/>
      <c r="F217" s="124" t="s">
        <v>75</v>
      </c>
      <c r="G217" s="98">
        <v>100.0</v>
      </c>
      <c r="H217" s="99"/>
      <c r="I217" s="100">
        <v>45958.0</v>
      </c>
      <c r="J217" s="101">
        <v>45960.0</v>
      </c>
      <c r="K217" s="101">
        <v>45961.0</v>
      </c>
      <c r="L217" s="101">
        <v>45965.0</v>
      </c>
      <c r="M217" s="25">
        <f>IF(ISBLANK(L217), NETWORKDAYS(J217, TODAY(),Hoja2!$A$1:$A$18), NETWORKDAYS(J217, L217, Hoja2!$A$1:$A$18))</f>
        <v>4</v>
      </c>
      <c r="N217" s="100"/>
      <c r="O217" s="102">
        <v>45965.0</v>
      </c>
      <c r="P217" s="31" t="s">
        <v>1121</v>
      </c>
      <c r="Q217" s="114" t="s">
        <v>71</v>
      </c>
      <c r="R217" s="156"/>
      <c r="S217" s="98"/>
      <c r="T217" s="104"/>
      <c r="U217" s="106"/>
      <c r="V217" s="106"/>
      <c r="W217" s="106"/>
      <c r="X217" s="106"/>
      <c r="Y217" s="106"/>
      <c r="Z217" s="106"/>
      <c r="AA217" s="106"/>
      <c r="AB217" s="106"/>
      <c r="AC217" s="106"/>
      <c r="AD217" s="106"/>
      <c r="AE217" s="106"/>
      <c r="AF217" s="106"/>
      <c r="AG217" s="106"/>
      <c r="AH217" s="106"/>
      <c r="AI217" s="106"/>
      <c r="AJ217" s="106"/>
      <c r="AK217" s="106"/>
      <c r="AL217" s="106"/>
      <c r="AM217" s="106"/>
      <c r="AN217" s="106"/>
      <c r="AO217" s="106"/>
      <c r="AP217" s="106"/>
      <c r="AQ217" s="106"/>
      <c r="AR217" s="106"/>
      <c r="AS217" s="106"/>
      <c r="AT217" s="106"/>
      <c r="AU217" s="106"/>
      <c r="AV217" s="106"/>
      <c r="AW217" s="106"/>
      <c r="AX217" s="106"/>
      <c r="AY217" s="106"/>
      <c r="AZ217" s="106"/>
      <c r="BA217" s="106"/>
      <c r="BB217" s="106"/>
      <c r="BC217" s="106"/>
      <c r="BD217" s="106"/>
      <c r="BE217" s="106"/>
      <c r="BF217" s="106"/>
      <c r="BG217" s="106"/>
      <c r="BH217" s="106"/>
      <c r="BI217" s="106"/>
      <c r="BJ217" s="106"/>
      <c r="BK217" s="106"/>
      <c r="BL217" s="106"/>
      <c r="BM217" s="106"/>
      <c r="BN217" s="106"/>
    </row>
    <row r="218" ht="29.25" hidden="1" customHeight="1">
      <c r="A218" s="93" t="s">
        <v>126</v>
      </c>
      <c r="B218" s="107" t="s">
        <v>1122</v>
      </c>
      <c r="C218" s="108" t="s">
        <v>1123</v>
      </c>
      <c r="D218" s="96" t="s">
        <v>1124</v>
      </c>
      <c r="E218" s="97"/>
      <c r="F218" s="124" t="s">
        <v>75</v>
      </c>
      <c r="G218" s="98">
        <v>100.0</v>
      </c>
      <c r="H218" s="161"/>
      <c r="I218" s="100">
        <v>45958.0</v>
      </c>
      <c r="J218" s="101">
        <v>45966.0</v>
      </c>
      <c r="K218" s="101"/>
      <c r="L218" s="101">
        <v>45981.0</v>
      </c>
      <c r="M218" s="25">
        <f>IF(ISBLANK(L218), NETWORKDAYS(J218, TODAY(),Hoja2!$A$1:$A$18), NETWORKDAYS(J218, L218, Hoja2!$A$1:$A$18))</f>
        <v>12</v>
      </c>
      <c r="N218" s="100">
        <v>45981.0</v>
      </c>
      <c r="O218" s="102">
        <v>45994.0</v>
      </c>
      <c r="P218" s="31" t="s">
        <v>1125</v>
      </c>
      <c r="Q218" s="114" t="s">
        <v>71</v>
      </c>
      <c r="R218" s="156"/>
      <c r="S218" s="98"/>
      <c r="T218" s="104"/>
      <c r="U218" s="106"/>
      <c r="V218" s="106"/>
      <c r="W218" s="106"/>
      <c r="X218" s="106"/>
      <c r="Y218" s="106"/>
      <c r="Z218" s="106"/>
      <c r="AA218" s="106"/>
      <c r="AB218" s="106"/>
      <c r="AC218" s="106"/>
      <c r="AD218" s="106"/>
      <c r="AE218" s="106"/>
      <c r="AF218" s="106"/>
      <c r="AG218" s="106"/>
      <c r="AH218" s="106"/>
      <c r="AI218" s="106"/>
      <c r="AJ218" s="106"/>
      <c r="AK218" s="106"/>
      <c r="AL218" s="106"/>
      <c r="AM218" s="106"/>
      <c r="AN218" s="106"/>
      <c r="AO218" s="106"/>
      <c r="AP218" s="106"/>
      <c r="AQ218" s="106"/>
      <c r="AR218" s="106"/>
      <c r="AS218" s="106"/>
      <c r="AT218" s="106"/>
      <c r="AU218" s="106"/>
      <c r="AV218" s="106"/>
      <c r="AW218" s="106"/>
      <c r="AX218" s="106"/>
      <c r="AY218" s="106"/>
      <c r="AZ218" s="106"/>
      <c r="BA218" s="106"/>
      <c r="BB218" s="106"/>
      <c r="BC218" s="106"/>
      <c r="BD218" s="106"/>
      <c r="BE218" s="106"/>
      <c r="BF218" s="106"/>
      <c r="BG218" s="106"/>
      <c r="BH218" s="106"/>
      <c r="BI218" s="106"/>
      <c r="BJ218" s="106"/>
      <c r="BK218" s="106"/>
      <c r="BL218" s="106"/>
      <c r="BM218" s="106"/>
      <c r="BN218" s="106"/>
    </row>
    <row r="219" ht="29.25" hidden="1" customHeight="1">
      <c r="A219" s="93" t="s">
        <v>207</v>
      </c>
      <c r="B219" s="107" t="s">
        <v>1126</v>
      </c>
      <c r="C219" s="160" t="s">
        <v>1127</v>
      </c>
      <c r="D219" s="96" t="s">
        <v>1128</v>
      </c>
      <c r="E219" s="97"/>
      <c r="F219" s="124" t="s">
        <v>75</v>
      </c>
      <c r="G219" s="98">
        <v>100.0</v>
      </c>
      <c r="H219" s="161"/>
      <c r="I219" s="100">
        <v>45994.0</v>
      </c>
      <c r="J219" s="101">
        <v>45994.0</v>
      </c>
      <c r="K219" s="101"/>
      <c r="L219" s="101">
        <v>45994.0</v>
      </c>
      <c r="M219" s="25">
        <f>IF(ISBLANK(L219), NETWORKDAYS(J219, TODAY(),Hoja2!$A$1:$A$18), NETWORKDAYS(J219, L219, Hoja2!$A$1:$A$18))</f>
        <v>1</v>
      </c>
      <c r="N219" s="100"/>
      <c r="O219" s="102"/>
      <c r="P219" s="31" t="s">
        <v>1129</v>
      </c>
      <c r="Q219" s="114" t="s">
        <v>71</v>
      </c>
      <c r="R219" s="156"/>
      <c r="S219" s="98"/>
      <c r="T219" s="104"/>
      <c r="U219" s="106"/>
      <c r="V219" s="106"/>
      <c r="W219" s="106"/>
      <c r="X219" s="106"/>
      <c r="Y219" s="106"/>
      <c r="Z219" s="106"/>
      <c r="AA219" s="106"/>
      <c r="AB219" s="106"/>
      <c r="AC219" s="106"/>
      <c r="AD219" s="106"/>
      <c r="AE219" s="106"/>
      <c r="AF219" s="106"/>
      <c r="AG219" s="106"/>
      <c r="AH219" s="106"/>
      <c r="AI219" s="106"/>
      <c r="AJ219" s="106"/>
      <c r="AK219" s="106"/>
      <c r="AL219" s="106"/>
      <c r="AM219" s="106"/>
      <c r="AN219" s="106"/>
      <c r="AO219" s="106"/>
      <c r="AP219" s="106"/>
      <c r="AQ219" s="106"/>
      <c r="AR219" s="106"/>
      <c r="AS219" s="106"/>
      <c r="AT219" s="106"/>
      <c r="AU219" s="106"/>
      <c r="AV219" s="106"/>
      <c r="AW219" s="106"/>
      <c r="AX219" s="106"/>
      <c r="AY219" s="106"/>
      <c r="AZ219" s="106"/>
      <c r="BA219" s="106"/>
      <c r="BB219" s="106"/>
      <c r="BC219" s="106"/>
      <c r="BD219" s="106"/>
      <c r="BE219" s="106"/>
      <c r="BF219" s="106"/>
      <c r="BG219" s="106"/>
      <c r="BH219" s="106"/>
      <c r="BI219" s="106"/>
      <c r="BJ219" s="106"/>
      <c r="BK219" s="106"/>
      <c r="BL219" s="106"/>
      <c r="BM219" s="106"/>
      <c r="BN219" s="106"/>
    </row>
    <row r="220" ht="29.25" hidden="1" customHeight="1">
      <c r="A220" s="93" t="s">
        <v>126</v>
      </c>
      <c r="B220" s="107" t="s">
        <v>1130</v>
      </c>
      <c r="C220" s="108" t="s">
        <v>1131</v>
      </c>
      <c r="D220" s="96" t="s">
        <v>1132</v>
      </c>
      <c r="E220" s="97"/>
      <c r="F220" s="124" t="s">
        <v>237</v>
      </c>
      <c r="G220" s="128"/>
      <c r="H220" s="99"/>
      <c r="I220" s="100">
        <v>45957.0</v>
      </c>
      <c r="J220" s="174"/>
      <c r="K220" s="101"/>
      <c r="L220" s="101"/>
      <c r="M220" s="25">
        <f>IF(ISBLANK(L220), NETWORKDAYS(J220, TODAY(),Hoja2!$A$1:$A$18), NETWORKDAYS(J220, L220, Hoja2!$A$1:$A$18))</f>
        <v>32848</v>
      </c>
      <c r="N220" s="100"/>
      <c r="O220" s="102"/>
      <c r="P220" s="31" t="s">
        <v>1133</v>
      </c>
      <c r="Q220" s="114" t="s">
        <v>71</v>
      </c>
      <c r="R220" s="156"/>
      <c r="S220" s="98"/>
      <c r="T220" s="104"/>
      <c r="U220" s="106"/>
      <c r="V220" s="106"/>
      <c r="W220" s="106"/>
      <c r="X220" s="106"/>
      <c r="Y220" s="106"/>
      <c r="Z220" s="106"/>
      <c r="AA220" s="106"/>
      <c r="AB220" s="106"/>
      <c r="AC220" s="106"/>
      <c r="AD220" s="106"/>
      <c r="AE220" s="106"/>
      <c r="AF220" s="106"/>
      <c r="AG220" s="106"/>
      <c r="AH220" s="106"/>
      <c r="AI220" s="106"/>
      <c r="AJ220" s="106"/>
      <c r="AK220" s="106"/>
      <c r="AL220" s="106"/>
      <c r="AM220" s="106"/>
      <c r="AN220" s="106"/>
      <c r="AO220" s="106"/>
      <c r="AP220" s="106"/>
      <c r="AQ220" s="106"/>
      <c r="AR220" s="106"/>
      <c r="AS220" s="106"/>
      <c r="AT220" s="106"/>
      <c r="AU220" s="106"/>
      <c r="AV220" s="106"/>
      <c r="AW220" s="106"/>
      <c r="AX220" s="106"/>
      <c r="AY220" s="106"/>
      <c r="AZ220" s="106"/>
      <c r="BA220" s="106"/>
      <c r="BB220" s="106"/>
      <c r="BC220" s="106"/>
      <c r="BD220" s="106"/>
      <c r="BE220" s="106"/>
      <c r="BF220" s="106"/>
      <c r="BG220" s="106"/>
      <c r="BH220" s="106"/>
      <c r="BI220" s="106"/>
      <c r="BJ220" s="106"/>
      <c r="BK220" s="106"/>
      <c r="BL220" s="106"/>
      <c r="BM220" s="106"/>
      <c r="BN220" s="106"/>
    </row>
    <row r="221" ht="29.25" hidden="1" customHeight="1">
      <c r="A221" s="93" t="s">
        <v>126</v>
      </c>
      <c r="B221" s="107" t="s">
        <v>1134</v>
      </c>
      <c r="C221" s="108" t="s">
        <v>1135</v>
      </c>
      <c r="D221" s="96"/>
      <c r="E221" s="97"/>
      <c r="F221" s="124" t="s">
        <v>237</v>
      </c>
      <c r="G221" s="98"/>
      <c r="H221" s="99"/>
      <c r="I221" s="100">
        <v>45967.0</v>
      </c>
      <c r="J221" s="101"/>
      <c r="K221" s="101"/>
      <c r="L221" s="101"/>
      <c r="M221" s="25">
        <f>IF(ISBLANK(L221), NETWORKDAYS(J221, TODAY(),Hoja2!$A$1:$A$18), NETWORKDAYS(J221, L221, Hoja2!$A$1:$A$18))</f>
        <v>32848</v>
      </c>
      <c r="N221" s="100"/>
      <c r="O221" s="102"/>
      <c r="P221" s="31"/>
      <c r="Q221" s="114" t="s">
        <v>91</v>
      </c>
      <c r="R221" s="156"/>
      <c r="S221" s="98"/>
      <c r="T221" s="104"/>
      <c r="U221" s="106"/>
      <c r="V221" s="106"/>
      <c r="W221" s="106"/>
      <c r="X221" s="106"/>
      <c r="Y221" s="106"/>
      <c r="Z221" s="106"/>
      <c r="AA221" s="106"/>
      <c r="AB221" s="106"/>
      <c r="AC221" s="106"/>
      <c r="AD221" s="106"/>
      <c r="AE221" s="106"/>
      <c r="AF221" s="106"/>
      <c r="AG221" s="106"/>
      <c r="AH221" s="106"/>
      <c r="AI221" s="106"/>
      <c r="AJ221" s="106"/>
      <c r="AK221" s="106"/>
      <c r="AL221" s="106"/>
      <c r="AM221" s="106"/>
      <c r="AN221" s="106"/>
      <c r="AO221" s="106"/>
      <c r="AP221" s="106"/>
      <c r="AQ221" s="106"/>
      <c r="AR221" s="106"/>
      <c r="AS221" s="106"/>
      <c r="AT221" s="106"/>
      <c r="AU221" s="106"/>
      <c r="AV221" s="106"/>
      <c r="AW221" s="106"/>
      <c r="AX221" s="106"/>
      <c r="AY221" s="106"/>
      <c r="AZ221" s="106"/>
      <c r="BA221" s="106"/>
      <c r="BB221" s="106"/>
      <c r="BC221" s="106"/>
      <c r="BD221" s="106"/>
      <c r="BE221" s="106"/>
      <c r="BF221" s="106"/>
      <c r="BG221" s="106"/>
      <c r="BH221" s="106"/>
      <c r="BI221" s="106"/>
      <c r="BJ221" s="106"/>
      <c r="BK221" s="106"/>
      <c r="BL221" s="106"/>
      <c r="BM221" s="106"/>
      <c r="BN221" s="106"/>
    </row>
    <row r="222" ht="29.25" hidden="1" customHeight="1">
      <c r="A222" s="93" t="s">
        <v>126</v>
      </c>
      <c r="B222" s="107" t="s">
        <v>1136</v>
      </c>
      <c r="C222" s="111" t="s">
        <v>1137</v>
      </c>
      <c r="D222" s="96" t="s">
        <v>1138</v>
      </c>
      <c r="E222" s="97"/>
      <c r="F222" s="124" t="s">
        <v>205</v>
      </c>
      <c r="G222" s="98">
        <v>5.0</v>
      </c>
      <c r="H222" s="99"/>
      <c r="I222" s="100">
        <v>45968.0</v>
      </c>
      <c r="J222" s="101">
        <v>45981.0</v>
      </c>
      <c r="K222" s="101"/>
      <c r="L222" s="101"/>
      <c r="M222" s="25">
        <f>IF(ISBLANK(L222), NETWORKDAYS(J222, TODAY(),Hoja2!$A$1:$A$18), NETWORKDAYS(J222, L222, Hoja2!$A$1:$A$18))</f>
        <v>21</v>
      </c>
      <c r="N222" s="100"/>
      <c r="O222" s="102"/>
      <c r="P222" s="31" t="s">
        <v>1139</v>
      </c>
      <c r="Q222" s="114" t="s">
        <v>71</v>
      </c>
      <c r="R222" s="156"/>
      <c r="S222" s="98"/>
      <c r="T222" s="104"/>
      <c r="U222" s="106"/>
      <c r="V222" s="106"/>
      <c r="W222" s="106"/>
      <c r="X222" s="106"/>
      <c r="Y222" s="106"/>
      <c r="Z222" s="106"/>
      <c r="AA222" s="106"/>
      <c r="AB222" s="106"/>
      <c r="AC222" s="106"/>
      <c r="AD222" s="106"/>
      <c r="AE222" s="106"/>
      <c r="AF222" s="106"/>
      <c r="AG222" s="106"/>
      <c r="AH222" s="106"/>
      <c r="AI222" s="106"/>
      <c r="AJ222" s="106"/>
      <c r="AK222" s="106"/>
      <c r="AL222" s="106"/>
      <c r="AM222" s="106"/>
      <c r="AN222" s="106"/>
      <c r="AO222" s="106"/>
      <c r="AP222" s="106"/>
      <c r="AQ222" s="106"/>
      <c r="AR222" s="106"/>
      <c r="AS222" s="106"/>
      <c r="AT222" s="106"/>
      <c r="AU222" s="106"/>
      <c r="AV222" s="106"/>
      <c r="AW222" s="106"/>
      <c r="AX222" s="106"/>
      <c r="AY222" s="106"/>
      <c r="AZ222" s="106"/>
      <c r="BA222" s="106"/>
      <c r="BB222" s="106"/>
      <c r="BC222" s="106"/>
      <c r="BD222" s="106"/>
      <c r="BE222" s="106"/>
      <c r="BF222" s="106"/>
      <c r="BG222" s="106"/>
      <c r="BH222" s="106"/>
      <c r="BI222" s="106"/>
      <c r="BJ222" s="106"/>
      <c r="BK222" s="106"/>
      <c r="BL222" s="106"/>
      <c r="BM222" s="106"/>
      <c r="BN222" s="106"/>
    </row>
    <row r="223" ht="29.25" hidden="1" customHeight="1">
      <c r="A223" s="93" t="s">
        <v>126</v>
      </c>
      <c r="B223" s="107" t="s">
        <v>1140</v>
      </c>
      <c r="C223" s="111" t="s">
        <v>1141</v>
      </c>
      <c r="D223" s="96" t="s">
        <v>1142</v>
      </c>
      <c r="E223" s="97"/>
      <c r="F223" s="124" t="s">
        <v>75</v>
      </c>
      <c r="G223" s="98">
        <v>100.0</v>
      </c>
      <c r="H223" s="99"/>
      <c r="I223" s="100">
        <v>45989.0</v>
      </c>
      <c r="J223" s="101">
        <v>45992.0</v>
      </c>
      <c r="K223" s="101"/>
      <c r="L223" s="101">
        <v>45993.0</v>
      </c>
      <c r="M223" s="25">
        <f>IF(ISBLANK(L223), NETWORKDAYS(J223, TODAY(),Hoja2!$A$1:$A$18), NETWORKDAYS(J223, L223, Hoja2!$A$1:$A$18))</f>
        <v>2</v>
      </c>
      <c r="N223" s="100"/>
      <c r="O223" s="102">
        <v>45993.0</v>
      </c>
      <c r="P223" s="31" t="s">
        <v>1143</v>
      </c>
      <c r="Q223" s="114" t="s">
        <v>71</v>
      </c>
      <c r="R223" s="156"/>
      <c r="S223" s="98"/>
      <c r="T223" s="104"/>
      <c r="U223" s="106"/>
      <c r="V223" s="106"/>
      <c r="W223" s="106"/>
      <c r="X223" s="106"/>
      <c r="Y223" s="106"/>
      <c r="Z223" s="106"/>
      <c r="AA223" s="106"/>
      <c r="AB223" s="106"/>
      <c r="AC223" s="106"/>
      <c r="AD223" s="106"/>
      <c r="AE223" s="106"/>
      <c r="AF223" s="106"/>
      <c r="AG223" s="106"/>
      <c r="AH223" s="106"/>
      <c r="AI223" s="106"/>
      <c r="AJ223" s="106"/>
      <c r="AK223" s="106"/>
      <c r="AL223" s="106"/>
      <c r="AM223" s="106"/>
      <c r="AN223" s="106"/>
      <c r="AO223" s="106"/>
      <c r="AP223" s="106"/>
      <c r="AQ223" s="106"/>
      <c r="AR223" s="106"/>
      <c r="AS223" s="106"/>
      <c r="AT223" s="106"/>
      <c r="AU223" s="106"/>
      <c r="AV223" s="106"/>
      <c r="AW223" s="106"/>
      <c r="AX223" s="106"/>
      <c r="AY223" s="106"/>
      <c r="AZ223" s="106"/>
      <c r="BA223" s="106"/>
      <c r="BB223" s="106"/>
      <c r="BC223" s="106"/>
      <c r="BD223" s="106"/>
      <c r="BE223" s="106"/>
      <c r="BF223" s="106"/>
      <c r="BG223" s="106"/>
      <c r="BH223" s="106"/>
      <c r="BI223" s="106"/>
      <c r="BJ223" s="106"/>
      <c r="BK223" s="106"/>
      <c r="BL223" s="106"/>
      <c r="BM223" s="106"/>
      <c r="BN223" s="106"/>
    </row>
    <row r="224" ht="29.25" hidden="1" customHeight="1">
      <c r="A224" s="93" t="s">
        <v>126</v>
      </c>
      <c r="B224" s="107" t="s">
        <v>1144</v>
      </c>
      <c r="C224" s="111" t="s">
        <v>1145</v>
      </c>
      <c r="D224" s="96"/>
      <c r="E224" s="97"/>
      <c r="F224" s="124" t="s">
        <v>75</v>
      </c>
      <c r="G224" s="98">
        <v>100.0</v>
      </c>
      <c r="H224" s="99"/>
      <c r="I224" s="100">
        <v>45973.0</v>
      </c>
      <c r="J224" s="101">
        <v>45973.0</v>
      </c>
      <c r="K224" s="101"/>
      <c r="L224" s="101">
        <v>45973.0</v>
      </c>
      <c r="M224" s="25">
        <f>IF(ISBLANK(L224), NETWORKDAYS(J224, TODAY(),Hoja2!$A$1:$A$18), NETWORKDAYS(J224, L224, Hoja2!$A$1:$A$18))</f>
        <v>1</v>
      </c>
      <c r="N224" s="100"/>
      <c r="O224" s="102"/>
      <c r="P224" s="31" t="s">
        <v>1146</v>
      </c>
      <c r="Q224" s="114" t="s">
        <v>71</v>
      </c>
      <c r="R224" s="156"/>
      <c r="S224" s="98"/>
      <c r="T224" s="104"/>
      <c r="U224" s="106"/>
      <c r="V224" s="106"/>
      <c r="W224" s="106"/>
      <c r="X224" s="106"/>
      <c r="Y224" s="106"/>
      <c r="Z224" s="106"/>
      <c r="AA224" s="106"/>
      <c r="AB224" s="106"/>
      <c r="AC224" s="106"/>
      <c r="AD224" s="106"/>
      <c r="AE224" s="106"/>
      <c r="AF224" s="106"/>
      <c r="AG224" s="106"/>
      <c r="AH224" s="106"/>
      <c r="AI224" s="106"/>
      <c r="AJ224" s="106"/>
      <c r="AK224" s="106"/>
      <c r="AL224" s="106"/>
      <c r="AM224" s="106"/>
      <c r="AN224" s="106"/>
      <c r="AO224" s="106"/>
      <c r="AP224" s="106"/>
      <c r="AQ224" s="106"/>
      <c r="AR224" s="106"/>
      <c r="AS224" s="106"/>
      <c r="AT224" s="106"/>
      <c r="AU224" s="106"/>
      <c r="AV224" s="106"/>
      <c r="AW224" s="106"/>
      <c r="AX224" s="106"/>
      <c r="AY224" s="106"/>
      <c r="AZ224" s="106"/>
      <c r="BA224" s="106"/>
      <c r="BB224" s="106"/>
      <c r="BC224" s="106"/>
      <c r="BD224" s="106"/>
      <c r="BE224" s="106"/>
      <c r="BF224" s="106"/>
      <c r="BG224" s="106"/>
      <c r="BH224" s="106"/>
      <c r="BI224" s="106"/>
      <c r="BJ224" s="106"/>
      <c r="BK224" s="106"/>
      <c r="BL224" s="106"/>
      <c r="BM224" s="106"/>
      <c r="BN224" s="106"/>
    </row>
    <row r="225" ht="29.25" hidden="1" customHeight="1">
      <c r="A225" s="93" t="s">
        <v>126</v>
      </c>
      <c r="B225" s="107" t="s">
        <v>1147</v>
      </c>
      <c r="C225" s="111" t="s">
        <v>1148</v>
      </c>
      <c r="D225" s="96" t="s">
        <v>1149</v>
      </c>
      <c r="E225" s="97"/>
      <c r="F225" s="124" t="s">
        <v>75</v>
      </c>
      <c r="G225" s="98">
        <v>100.0</v>
      </c>
      <c r="H225" s="99"/>
      <c r="I225" s="100">
        <v>45974.0</v>
      </c>
      <c r="J225" s="101">
        <v>45974.0</v>
      </c>
      <c r="K225" s="101"/>
      <c r="L225" s="101">
        <v>45974.0</v>
      </c>
      <c r="M225" s="25">
        <f>IF(ISBLANK(L225), NETWORKDAYS(J225, TODAY(),Hoja2!$A$1:$A$18), NETWORKDAYS(J225, L225, Hoja2!$A$1:$A$18))</f>
        <v>1</v>
      </c>
      <c r="N225" s="100"/>
      <c r="O225" s="102"/>
      <c r="P225" s="31" t="s">
        <v>1150</v>
      </c>
      <c r="Q225" s="114" t="s">
        <v>71</v>
      </c>
      <c r="R225" s="156"/>
      <c r="S225" s="98"/>
      <c r="T225" s="104"/>
      <c r="U225" s="106"/>
      <c r="V225" s="106"/>
      <c r="W225" s="106"/>
      <c r="X225" s="106"/>
      <c r="Y225" s="106"/>
      <c r="Z225" s="106"/>
      <c r="AA225" s="106"/>
      <c r="AB225" s="106"/>
      <c r="AC225" s="106"/>
      <c r="AD225" s="106"/>
      <c r="AE225" s="106"/>
      <c r="AF225" s="106"/>
      <c r="AG225" s="106"/>
      <c r="AH225" s="106"/>
      <c r="AI225" s="106"/>
      <c r="AJ225" s="106"/>
      <c r="AK225" s="106"/>
      <c r="AL225" s="106"/>
      <c r="AM225" s="106"/>
      <c r="AN225" s="106"/>
      <c r="AO225" s="106"/>
      <c r="AP225" s="106"/>
      <c r="AQ225" s="106"/>
      <c r="AR225" s="106"/>
      <c r="AS225" s="106"/>
      <c r="AT225" s="106"/>
      <c r="AU225" s="106"/>
      <c r="AV225" s="106"/>
      <c r="AW225" s="106"/>
      <c r="AX225" s="106"/>
      <c r="AY225" s="106"/>
      <c r="AZ225" s="106"/>
      <c r="BA225" s="106"/>
      <c r="BB225" s="106"/>
      <c r="BC225" s="106"/>
      <c r="BD225" s="106"/>
      <c r="BE225" s="106"/>
      <c r="BF225" s="106"/>
      <c r="BG225" s="106"/>
      <c r="BH225" s="106"/>
      <c r="BI225" s="106"/>
      <c r="BJ225" s="106"/>
      <c r="BK225" s="106"/>
      <c r="BL225" s="106"/>
      <c r="BM225" s="106"/>
      <c r="BN225" s="106"/>
    </row>
    <row r="226" ht="29.25" hidden="1" customHeight="1">
      <c r="A226" s="93" t="s">
        <v>126</v>
      </c>
      <c r="B226" s="107" t="s">
        <v>1151</v>
      </c>
      <c r="C226" s="111" t="s">
        <v>1152</v>
      </c>
      <c r="D226" s="96" t="s">
        <v>1153</v>
      </c>
      <c r="E226" s="97"/>
      <c r="F226" s="124" t="s">
        <v>75</v>
      </c>
      <c r="G226" s="98">
        <v>100.0</v>
      </c>
      <c r="H226" s="99"/>
      <c r="I226" s="100">
        <v>45974.0</v>
      </c>
      <c r="J226" s="101">
        <v>45974.0</v>
      </c>
      <c r="K226" s="101"/>
      <c r="L226" s="101">
        <v>45974.0</v>
      </c>
      <c r="M226" s="25">
        <f>IF(ISBLANK(L226), NETWORKDAYS(J226, TODAY(),Hoja2!$A$1:$A$18), NETWORKDAYS(J226, L226, Hoja2!$A$1:$A$18))</f>
        <v>1</v>
      </c>
      <c r="N226" s="100"/>
      <c r="O226" s="102">
        <v>45974.0</v>
      </c>
      <c r="P226" s="31" t="s">
        <v>1154</v>
      </c>
      <c r="Q226" s="114" t="s">
        <v>71</v>
      </c>
      <c r="R226" s="156"/>
      <c r="S226" s="98"/>
      <c r="T226" s="104"/>
      <c r="U226" s="106"/>
      <c r="V226" s="106"/>
      <c r="W226" s="106"/>
      <c r="X226" s="106"/>
      <c r="Y226" s="106"/>
      <c r="Z226" s="106"/>
      <c r="AA226" s="106"/>
      <c r="AB226" s="106"/>
      <c r="AC226" s="106"/>
      <c r="AD226" s="106"/>
      <c r="AE226" s="106"/>
      <c r="AF226" s="106"/>
      <c r="AG226" s="106"/>
      <c r="AH226" s="106"/>
      <c r="AI226" s="106"/>
      <c r="AJ226" s="106"/>
      <c r="AK226" s="106"/>
      <c r="AL226" s="106"/>
      <c r="AM226" s="106"/>
      <c r="AN226" s="106"/>
      <c r="AO226" s="106"/>
      <c r="AP226" s="106"/>
      <c r="AQ226" s="106"/>
      <c r="AR226" s="106"/>
      <c r="AS226" s="106"/>
      <c r="AT226" s="106"/>
      <c r="AU226" s="106"/>
      <c r="AV226" s="106"/>
      <c r="AW226" s="106"/>
      <c r="AX226" s="106"/>
      <c r="AY226" s="106"/>
      <c r="AZ226" s="106"/>
      <c r="BA226" s="106"/>
      <c r="BB226" s="106"/>
      <c r="BC226" s="106"/>
      <c r="BD226" s="106"/>
      <c r="BE226" s="106"/>
      <c r="BF226" s="106"/>
      <c r="BG226" s="106"/>
      <c r="BH226" s="106"/>
      <c r="BI226" s="106"/>
      <c r="BJ226" s="106"/>
      <c r="BK226" s="106"/>
      <c r="BL226" s="106"/>
      <c r="BM226" s="106"/>
      <c r="BN226" s="106"/>
    </row>
    <row r="227" ht="29.25" hidden="1" customHeight="1">
      <c r="A227" s="93" t="s">
        <v>126</v>
      </c>
      <c r="B227" s="107" t="s">
        <v>1155</v>
      </c>
      <c r="C227" s="160" t="s">
        <v>1156</v>
      </c>
      <c r="D227" s="96" t="s">
        <v>1157</v>
      </c>
      <c r="E227" s="97"/>
      <c r="F227" s="124" t="s">
        <v>75</v>
      </c>
      <c r="G227" s="98">
        <v>100.0</v>
      </c>
      <c r="H227" s="99"/>
      <c r="I227" s="100">
        <v>45974.0</v>
      </c>
      <c r="J227" s="101">
        <v>45974.0</v>
      </c>
      <c r="K227" s="101"/>
      <c r="L227" s="101">
        <v>45974.0</v>
      </c>
      <c r="M227" s="25">
        <f>IF(ISBLANK(L227), NETWORKDAYS(J227, TODAY(),Hoja2!$A$1:$A$18), NETWORKDAYS(J227, L227, Hoja2!$A$1:$A$18))</f>
        <v>1</v>
      </c>
      <c r="N227" s="100"/>
      <c r="O227" s="102"/>
      <c r="P227" s="31" t="s">
        <v>1158</v>
      </c>
      <c r="Q227" s="114" t="s">
        <v>71</v>
      </c>
      <c r="R227" s="156"/>
      <c r="S227" s="98"/>
      <c r="T227" s="104"/>
      <c r="U227" s="106"/>
      <c r="V227" s="106"/>
      <c r="W227" s="106"/>
      <c r="X227" s="106"/>
      <c r="Y227" s="106"/>
      <c r="Z227" s="106"/>
      <c r="AA227" s="106"/>
      <c r="AB227" s="106"/>
      <c r="AC227" s="106"/>
      <c r="AD227" s="106"/>
      <c r="AE227" s="106"/>
      <c r="AF227" s="106"/>
      <c r="AG227" s="106"/>
      <c r="AH227" s="106"/>
      <c r="AI227" s="106"/>
      <c r="AJ227" s="106"/>
      <c r="AK227" s="106"/>
      <c r="AL227" s="106"/>
      <c r="AM227" s="106"/>
      <c r="AN227" s="106"/>
      <c r="AO227" s="106"/>
      <c r="AP227" s="106"/>
      <c r="AQ227" s="106"/>
      <c r="AR227" s="106"/>
      <c r="AS227" s="106"/>
      <c r="AT227" s="106"/>
      <c r="AU227" s="106"/>
      <c r="AV227" s="106"/>
      <c r="AW227" s="106"/>
      <c r="AX227" s="106"/>
      <c r="AY227" s="106"/>
      <c r="AZ227" s="106"/>
      <c r="BA227" s="106"/>
      <c r="BB227" s="106"/>
      <c r="BC227" s="106"/>
      <c r="BD227" s="106"/>
      <c r="BE227" s="106"/>
      <c r="BF227" s="106"/>
      <c r="BG227" s="106"/>
      <c r="BH227" s="106"/>
      <c r="BI227" s="106"/>
      <c r="BJ227" s="106"/>
      <c r="BK227" s="106"/>
      <c r="BL227" s="106"/>
      <c r="BM227" s="106"/>
      <c r="BN227" s="106"/>
    </row>
    <row r="228" ht="29.25" hidden="1" customHeight="1">
      <c r="A228" s="93" t="s">
        <v>126</v>
      </c>
      <c r="B228" s="107" t="s">
        <v>1159</v>
      </c>
      <c r="C228" s="108" t="s">
        <v>1160</v>
      </c>
      <c r="D228" s="96" t="s">
        <v>1161</v>
      </c>
      <c r="E228" s="97"/>
      <c r="F228" s="124" t="s">
        <v>75</v>
      </c>
      <c r="G228" s="98">
        <v>100.0</v>
      </c>
      <c r="H228" s="99"/>
      <c r="I228" s="100">
        <v>45931.0</v>
      </c>
      <c r="J228" s="101">
        <v>45932.0</v>
      </c>
      <c r="K228" s="101"/>
      <c r="L228" s="101">
        <v>45932.0</v>
      </c>
      <c r="M228" s="25">
        <f>IF(ISBLANK(L228), NETWORKDAYS(J228, TODAY(),Hoja2!$A$1:$A$18), NETWORKDAYS(J228, L228, Hoja2!$A$1:$A$18))</f>
        <v>1</v>
      </c>
      <c r="N228" s="100"/>
      <c r="O228" s="102"/>
      <c r="P228" s="31" t="s">
        <v>1162</v>
      </c>
      <c r="Q228" s="114" t="s">
        <v>71</v>
      </c>
      <c r="R228" s="156"/>
      <c r="S228" s="98"/>
      <c r="T228" s="104"/>
      <c r="U228" s="106"/>
      <c r="V228" s="106"/>
      <c r="W228" s="106"/>
      <c r="X228" s="106"/>
      <c r="Y228" s="106"/>
      <c r="Z228" s="106"/>
      <c r="AA228" s="106"/>
      <c r="AB228" s="106"/>
      <c r="AC228" s="106"/>
      <c r="AD228" s="106"/>
      <c r="AE228" s="106"/>
      <c r="AF228" s="106"/>
      <c r="AG228" s="106"/>
      <c r="AH228" s="106"/>
      <c r="AI228" s="106"/>
      <c r="AJ228" s="106"/>
      <c r="AK228" s="106"/>
      <c r="AL228" s="106"/>
      <c r="AM228" s="106"/>
      <c r="AN228" s="106"/>
      <c r="AO228" s="106"/>
      <c r="AP228" s="106"/>
      <c r="AQ228" s="106"/>
      <c r="AR228" s="106"/>
      <c r="AS228" s="106"/>
      <c r="AT228" s="106"/>
      <c r="AU228" s="106"/>
      <c r="AV228" s="106"/>
      <c r="AW228" s="106"/>
      <c r="AX228" s="106"/>
      <c r="AY228" s="106"/>
      <c r="AZ228" s="106"/>
      <c r="BA228" s="106"/>
      <c r="BB228" s="106"/>
      <c r="BC228" s="106"/>
      <c r="BD228" s="106"/>
      <c r="BE228" s="106"/>
      <c r="BF228" s="106"/>
      <c r="BG228" s="106"/>
      <c r="BH228" s="106"/>
      <c r="BI228" s="106"/>
      <c r="BJ228" s="106"/>
      <c r="BK228" s="106"/>
      <c r="BL228" s="106"/>
      <c r="BM228" s="106"/>
      <c r="BN228" s="106"/>
    </row>
    <row r="229" ht="29.25" hidden="1" customHeight="1">
      <c r="A229" s="93" t="s">
        <v>126</v>
      </c>
      <c r="B229" s="107" t="s">
        <v>1163</v>
      </c>
      <c r="C229" s="108" t="s">
        <v>1164</v>
      </c>
      <c r="D229" s="96" t="s">
        <v>1165</v>
      </c>
      <c r="E229" s="97"/>
      <c r="F229" s="124" t="s">
        <v>75</v>
      </c>
      <c r="G229" s="98">
        <v>100.0</v>
      </c>
      <c r="H229" s="99"/>
      <c r="I229" s="100">
        <v>45929.0</v>
      </c>
      <c r="J229" s="101">
        <v>45930.0</v>
      </c>
      <c r="K229" s="101"/>
      <c r="L229" s="101">
        <v>45930.0</v>
      </c>
      <c r="M229" s="25">
        <f>IF(ISBLANK(L229), NETWORKDAYS(J229, TODAY(),Hoja2!$A$1:$A$18), NETWORKDAYS(J229, L229, Hoja2!$A$1:$A$18))</f>
        <v>1</v>
      </c>
      <c r="N229" s="100"/>
      <c r="O229" s="102"/>
      <c r="P229" s="31" t="s">
        <v>1166</v>
      </c>
      <c r="Q229" s="114" t="s">
        <v>71</v>
      </c>
      <c r="R229" s="156"/>
      <c r="S229" s="98"/>
      <c r="T229" s="104"/>
      <c r="U229" s="106"/>
      <c r="V229" s="106"/>
      <c r="W229" s="106"/>
      <c r="X229" s="106"/>
      <c r="Y229" s="106"/>
      <c r="Z229" s="106"/>
      <c r="AA229" s="106"/>
      <c r="AB229" s="106"/>
      <c r="AC229" s="106"/>
      <c r="AD229" s="106"/>
      <c r="AE229" s="106"/>
      <c r="AF229" s="106"/>
      <c r="AG229" s="106"/>
      <c r="AH229" s="106"/>
      <c r="AI229" s="106"/>
      <c r="AJ229" s="106"/>
      <c r="AK229" s="106"/>
      <c r="AL229" s="106"/>
      <c r="AM229" s="106"/>
      <c r="AN229" s="106"/>
      <c r="AO229" s="106"/>
      <c r="AP229" s="106"/>
      <c r="AQ229" s="106"/>
      <c r="AR229" s="106"/>
      <c r="AS229" s="106"/>
      <c r="AT229" s="106"/>
      <c r="AU229" s="106"/>
      <c r="AV229" s="106"/>
      <c r="AW229" s="106"/>
      <c r="AX229" s="106"/>
      <c r="AY229" s="106"/>
      <c r="AZ229" s="106"/>
      <c r="BA229" s="106"/>
      <c r="BB229" s="106"/>
      <c r="BC229" s="106"/>
      <c r="BD229" s="106"/>
      <c r="BE229" s="106"/>
      <c r="BF229" s="106"/>
      <c r="BG229" s="106"/>
      <c r="BH229" s="106"/>
      <c r="BI229" s="106"/>
      <c r="BJ229" s="106"/>
      <c r="BK229" s="106"/>
      <c r="BL229" s="106"/>
      <c r="BM229" s="106"/>
      <c r="BN229" s="106"/>
    </row>
    <row r="230" ht="29.25" hidden="1" customHeight="1">
      <c r="A230" s="93" t="s">
        <v>126</v>
      </c>
      <c r="B230" s="107" t="s">
        <v>1167</v>
      </c>
      <c r="C230" s="108" t="s">
        <v>1168</v>
      </c>
      <c r="D230" s="96" t="s">
        <v>1169</v>
      </c>
      <c r="E230" s="97"/>
      <c r="F230" s="124" t="s">
        <v>75</v>
      </c>
      <c r="G230" s="98">
        <v>100.0</v>
      </c>
      <c r="H230" s="99"/>
      <c r="I230" s="100">
        <v>45908.0</v>
      </c>
      <c r="J230" s="101">
        <v>45909.0</v>
      </c>
      <c r="K230" s="101"/>
      <c r="L230" s="101">
        <v>45909.0</v>
      </c>
      <c r="M230" s="25">
        <f>IF(ISBLANK(L230), NETWORKDAYS(J230, TODAY(),Hoja2!$A$1:$A$18), NETWORKDAYS(J230, L230, Hoja2!$A$1:$A$18))</f>
        <v>1</v>
      </c>
      <c r="N230" s="100">
        <v>45910.0</v>
      </c>
      <c r="O230" s="102">
        <v>45910.0</v>
      </c>
      <c r="P230" s="31" t="s">
        <v>1170</v>
      </c>
      <c r="Q230" s="114" t="s">
        <v>71</v>
      </c>
      <c r="R230" s="103"/>
      <c r="S230" s="103"/>
      <c r="T230" s="104"/>
      <c r="U230" s="106"/>
      <c r="V230" s="106"/>
      <c r="W230" s="106"/>
      <c r="X230" s="106"/>
      <c r="Y230" s="106"/>
      <c r="Z230" s="106"/>
      <c r="AA230" s="106"/>
      <c r="AB230" s="106"/>
      <c r="AC230" s="106"/>
      <c r="AD230" s="106"/>
      <c r="AE230" s="106"/>
      <c r="AF230" s="106"/>
      <c r="AG230" s="106"/>
      <c r="AH230" s="106"/>
      <c r="AI230" s="106"/>
      <c r="AJ230" s="106"/>
      <c r="AK230" s="106"/>
      <c r="AL230" s="106"/>
      <c r="AM230" s="106"/>
      <c r="AN230" s="106"/>
      <c r="AO230" s="106"/>
      <c r="AP230" s="106"/>
      <c r="AQ230" s="106"/>
      <c r="AR230" s="106"/>
      <c r="AS230" s="106"/>
      <c r="AT230" s="106"/>
      <c r="AU230" s="106"/>
      <c r="AV230" s="106"/>
      <c r="AW230" s="106"/>
      <c r="AX230" s="106"/>
      <c r="AY230" s="106"/>
      <c r="AZ230" s="106"/>
      <c r="BA230" s="106"/>
      <c r="BB230" s="106"/>
      <c r="BC230" s="106"/>
      <c r="BD230" s="106"/>
      <c r="BE230" s="106"/>
      <c r="BF230" s="106"/>
      <c r="BG230" s="106"/>
      <c r="BH230" s="106"/>
      <c r="BI230" s="106"/>
      <c r="BJ230" s="106"/>
      <c r="BK230" s="106"/>
      <c r="BL230" s="106"/>
      <c r="BM230" s="106"/>
      <c r="BN230" s="106"/>
    </row>
    <row r="231" ht="29.25" hidden="1" customHeight="1">
      <c r="A231" s="93" t="s">
        <v>155</v>
      </c>
      <c r="B231" s="107" t="s">
        <v>1171</v>
      </c>
      <c r="C231" s="108" t="s">
        <v>1172</v>
      </c>
      <c r="D231" s="96"/>
      <c r="E231" s="97"/>
      <c r="F231" s="124" t="s">
        <v>75</v>
      </c>
      <c r="G231" s="98">
        <v>100.0</v>
      </c>
      <c r="H231" s="99"/>
      <c r="I231" s="100">
        <v>45912.0</v>
      </c>
      <c r="J231" s="101">
        <v>45915.0</v>
      </c>
      <c r="K231" s="101"/>
      <c r="L231" s="101">
        <v>45915.0</v>
      </c>
      <c r="M231" s="25">
        <f>IF(ISBLANK(L231), NETWORKDAYS(J231, TODAY(),Hoja2!$A$1:$A$18), NETWORKDAYS(J231, L231, Hoja2!$A$1:$A$18))</f>
        <v>1</v>
      </c>
      <c r="N231" s="100"/>
      <c r="O231" s="102"/>
      <c r="P231" s="31" t="s">
        <v>1173</v>
      </c>
      <c r="Q231" s="114" t="s">
        <v>71</v>
      </c>
      <c r="R231" s="103"/>
      <c r="S231" s="103"/>
      <c r="T231" s="104"/>
      <c r="U231" s="106"/>
      <c r="V231" s="106"/>
      <c r="W231" s="106"/>
      <c r="X231" s="106"/>
      <c r="Y231" s="106"/>
      <c r="Z231" s="106"/>
      <c r="AA231" s="106"/>
      <c r="AB231" s="106"/>
      <c r="AC231" s="106"/>
      <c r="AD231" s="106"/>
      <c r="AE231" s="106"/>
      <c r="AF231" s="106"/>
      <c r="AG231" s="106"/>
      <c r="AH231" s="106"/>
      <c r="AI231" s="106"/>
      <c r="AJ231" s="106"/>
      <c r="AK231" s="106"/>
      <c r="AL231" s="106"/>
      <c r="AM231" s="106"/>
      <c r="AN231" s="106"/>
      <c r="AO231" s="106"/>
      <c r="AP231" s="106"/>
      <c r="AQ231" s="106"/>
      <c r="AR231" s="106"/>
      <c r="AS231" s="106"/>
      <c r="AT231" s="106"/>
      <c r="AU231" s="106"/>
      <c r="AV231" s="106"/>
      <c r="AW231" s="106"/>
      <c r="AX231" s="106"/>
      <c r="AY231" s="106"/>
      <c r="AZ231" s="106"/>
      <c r="BA231" s="106"/>
      <c r="BB231" s="106"/>
      <c r="BC231" s="106"/>
      <c r="BD231" s="106"/>
      <c r="BE231" s="106"/>
      <c r="BF231" s="106"/>
      <c r="BG231" s="106"/>
      <c r="BH231" s="106"/>
      <c r="BI231" s="106"/>
      <c r="BJ231" s="106"/>
      <c r="BK231" s="106"/>
      <c r="BL231" s="106"/>
      <c r="BM231" s="106"/>
      <c r="BN231" s="106"/>
    </row>
    <row r="232" ht="29.25" hidden="1" customHeight="1">
      <c r="A232" s="93" t="s">
        <v>155</v>
      </c>
      <c r="B232" s="107" t="s">
        <v>1174</v>
      </c>
      <c r="C232" s="108" t="s">
        <v>1175</v>
      </c>
      <c r="D232" s="96" t="s">
        <v>1176</v>
      </c>
      <c r="E232" s="97"/>
      <c r="F232" s="124" t="s">
        <v>75</v>
      </c>
      <c r="G232" s="98">
        <v>100.0</v>
      </c>
      <c r="H232" s="99"/>
      <c r="I232" s="100">
        <v>45894.0</v>
      </c>
      <c r="J232" s="101">
        <v>45896.0</v>
      </c>
      <c r="K232" s="101"/>
      <c r="L232" s="101">
        <v>45897.0</v>
      </c>
      <c r="M232" s="25">
        <f>IF(ISBLANK(L232), NETWORKDAYS(J232, TODAY(),Hoja2!$A$1:$A$18), NETWORKDAYS(J232, L232, Hoja2!$A$1:$A$18))</f>
        <v>2</v>
      </c>
      <c r="N232" s="100"/>
      <c r="O232" s="102">
        <v>45897.0</v>
      </c>
      <c r="P232" s="31" t="s">
        <v>1177</v>
      </c>
      <c r="Q232" s="28" t="s">
        <v>71</v>
      </c>
      <c r="R232" s="103"/>
      <c r="S232" s="103"/>
      <c r="T232" s="104"/>
      <c r="U232" s="106"/>
      <c r="V232" s="106"/>
      <c r="W232" s="106"/>
      <c r="X232" s="106"/>
      <c r="Y232" s="106"/>
      <c r="Z232" s="106"/>
      <c r="AA232" s="106"/>
      <c r="AB232" s="106"/>
      <c r="AC232" s="106"/>
      <c r="AD232" s="106"/>
      <c r="AE232" s="106"/>
      <c r="AF232" s="106"/>
      <c r="AG232" s="106"/>
      <c r="AH232" s="106"/>
      <c r="AI232" s="106"/>
      <c r="AJ232" s="106"/>
      <c r="AK232" s="106"/>
      <c r="AL232" s="106"/>
      <c r="AM232" s="106"/>
      <c r="AN232" s="106"/>
      <c r="AO232" s="106"/>
      <c r="AP232" s="106"/>
      <c r="AQ232" s="106"/>
      <c r="AR232" s="106"/>
      <c r="AS232" s="106"/>
      <c r="AT232" s="106"/>
      <c r="AU232" s="106"/>
      <c r="AV232" s="106"/>
      <c r="AW232" s="106"/>
      <c r="AX232" s="106"/>
      <c r="AY232" s="106"/>
      <c r="AZ232" s="106"/>
      <c r="BA232" s="106"/>
      <c r="BB232" s="106"/>
      <c r="BC232" s="106"/>
      <c r="BD232" s="106"/>
      <c r="BE232" s="106"/>
      <c r="BF232" s="106"/>
      <c r="BG232" s="106"/>
      <c r="BH232" s="106"/>
      <c r="BI232" s="106"/>
      <c r="BJ232" s="106"/>
      <c r="BK232" s="106"/>
      <c r="BL232" s="106"/>
      <c r="BM232" s="106"/>
      <c r="BN232" s="106"/>
    </row>
    <row r="233" ht="29.25" customHeight="1">
      <c r="A233" s="53" t="s">
        <v>155</v>
      </c>
      <c r="B233" s="16" t="s">
        <v>1178</v>
      </c>
      <c r="C233" s="95" t="s">
        <v>1179</v>
      </c>
      <c r="D233" s="153"/>
      <c r="E233" s="97"/>
      <c r="F233" s="19" t="s">
        <v>237</v>
      </c>
      <c r="G233" s="98">
        <v>80.0</v>
      </c>
      <c r="H233" s="99"/>
      <c r="I233" s="100">
        <v>45841.0</v>
      </c>
      <c r="J233" s="101">
        <v>45842.0</v>
      </c>
      <c r="K233" s="101"/>
      <c r="L233" s="101"/>
      <c r="M233" s="25">
        <f>IF(ISBLANK(L233), NETWORKDAYS(J233, TODAY(),Hoja2!$A$1:$A$18), NETWORKDAYS(J233, L233, Hoja2!$A$1:$A$18))</f>
        <v>120</v>
      </c>
      <c r="N233" s="169"/>
      <c r="O233" s="102"/>
      <c r="P233" s="105"/>
      <c r="Q233" s="28" t="s">
        <v>91</v>
      </c>
      <c r="R233" s="103"/>
      <c r="S233" s="103"/>
      <c r="T233" s="104"/>
      <c r="U233" s="106"/>
      <c r="V233" s="106"/>
      <c r="W233" s="106"/>
      <c r="X233" s="106"/>
      <c r="Y233" s="106"/>
      <c r="Z233" s="106"/>
      <c r="AA233" s="106"/>
      <c r="AB233" s="106"/>
      <c r="AC233" s="106"/>
      <c r="AD233" s="106"/>
      <c r="AE233" s="106"/>
      <c r="AF233" s="106"/>
      <c r="AG233" s="106"/>
      <c r="AH233" s="106"/>
      <c r="AI233" s="106"/>
      <c r="AJ233" s="106"/>
      <c r="AK233" s="106"/>
      <c r="AL233" s="106"/>
      <c r="AM233" s="106"/>
      <c r="AN233" s="106"/>
      <c r="AO233" s="106"/>
      <c r="AP233" s="106"/>
      <c r="AQ233" s="106"/>
      <c r="AR233" s="106"/>
      <c r="AS233" s="106"/>
      <c r="AT233" s="106"/>
      <c r="AU233" s="106"/>
      <c r="AV233" s="106"/>
      <c r="AW233" s="34" t="s">
        <v>1180</v>
      </c>
      <c r="AX233" s="34" t="s">
        <v>1181</v>
      </c>
      <c r="AY233" s="34"/>
      <c r="AZ233" s="34"/>
      <c r="BA233" s="34"/>
      <c r="BB233" s="34"/>
      <c r="BC233" s="34" t="s">
        <v>1182</v>
      </c>
      <c r="BD233" s="34"/>
      <c r="BE233" s="34"/>
      <c r="BF233" s="34"/>
      <c r="BG233" s="34" t="s">
        <v>1183</v>
      </c>
      <c r="BH233" s="34"/>
      <c r="BI233" s="34"/>
      <c r="BJ233" s="34"/>
      <c r="BK233" s="34"/>
      <c r="BL233" s="34"/>
      <c r="BM233" s="34"/>
      <c r="BN233" s="34"/>
    </row>
    <row r="234" ht="29.25" hidden="1" customHeight="1">
      <c r="A234" s="93" t="s">
        <v>155</v>
      </c>
      <c r="B234" s="107" t="s">
        <v>1184</v>
      </c>
      <c r="C234" s="108" t="s">
        <v>1185</v>
      </c>
      <c r="D234" s="96" t="s">
        <v>1186</v>
      </c>
      <c r="E234" s="97"/>
      <c r="F234" s="124" t="s">
        <v>75</v>
      </c>
      <c r="G234" s="98">
        <v>100.0</v>
      </c>
      <c r="H234" s="99"/>
      <c r="I234" s="100">
        <v>45898.0</v>
      </c>
      <c r="J234" s="101">
        <v>45901.0</v>
      </c>
      <c r="K234" s="101"/>
      <c r="L234" s="101">
        <v>45901.0</v>
      </c>
      <c r="M234" s="25">
        <f>IF(ISBLANK(L234), NETWORKDAYS(J234, TODAY(),Hoja2!$A$1:$A$18), NETWORKDAYS(J234, L234, Hoja2!$A$1:$A$18))</f>
        <v>1</v>
      </c>
      <c r="N234" s="100"/>
      <c r="O234" s="102"/>
      <c r="P234" s="31" t="s">
        <v>1187</v>
      </c>
      <c r="Q234" s="114" t="s">
        <v>71</v>
      </c>
      <c r="R234" s="103"/>
      <c r="S234" s="103"/>
      <c r="T234" s="104"/>
      <c r="U234" s="106"/>
      <c r="V234" s="106"/>
      <c r="W234" s="106"/>
      <c r="X234" s="106"/>
      <c r="Y234" s="106"/>
      <c r="Z234" s="106"/>
      <c r="AA234" s="106"/>
      <c r="AB234" s="106"/>
      <c r="AC234" s="106"/>
      <c r="AD234" s="106"/>
      <c r="AE234" s="106"/>
      <c r="AF234" s="106"/>
      <c r="AG234" s="106"/>
      <c r="AH234" s="106"/>
      <c r="AI234" s="106"/>
      <c r="AJ234" s="106"/>
      <c r="AK234" s="106"/>
      <c r="AL234" s="106"/>
      <c r="AM234" s="106"/>
      <c r="AN234" s="106"/>
      <c r="AO234" s="106"/>
      <c r="AP234" s="106"/>
      <c r="AQ234" s="106"/>
      <c r="AR234" s="106"/>
      <c r="AS234" s="106"/>
      <c r="AT234" s="106"/>
      <c r="AU234" s="106"/>
      <c r="AV234" s="106"/>
      <c r="AW234" s="106"/>
      <c r="AX234" s="106"/>
      <c r="AY234" s="106"/>
      <c r="AZ234" s="106"/>
      <c r="BA234" s="106"/>
      <c r="BB234" s="106"/>
      <c r="BC234" s="106"/>
      <c r="BD234" s="106"/>
      <c r="BE234" s="106"/>
      <c r="BF234" s="106"/>
      <c r="BG234" s="106"/>
      <c r="BH234" s="106"/>
      <c r="BI234" s="106"/>
      <c r="BJ234" s="106"/>
      <c r="BK234" s="106"/>
      <c r="BL234" s="106"/>
      <c r="BM234" s="106"/>
      <c r="BN234" s="106"/>
    </row>
    <row r="235" ht="29.25" hidden="1" customHeight="1">
      <c r="A235" s="93" t="s">
        <v>155</v>
      </c>
      <c r="B235" s="107" t="s">
        <v>1188</v>
      </c>
      <c r="C235" s="108" t="s">
        <v>1189</v>
      </c>
      <c r="D235" s="96" t="s">
        <v>1190</v>
      </c>
      <c r="E235" s="97"/>
      <c r="F235" s="124" t="s">
        <v>75</v>
      </c>
      <c r="G235" s="98">
        <v>100.0</v>
      </c>
      <c r="H235" s="99"/>
      <c r="I235" s="100">
        <v>45902.0</v>
      </c>
      <c r="J235" s="101">
        <v>45902.0</v>
      </c>
      <c r="K235" s="101"/>
      <c r="L235" s="101">
        <v>45924.0</v>
      </c>
      <c r="M235" s="25">
        <f>IF(ISBLANK(L235), NETWORKDAYS(J235, TODAY(),Hoja2!$A$1:$A$18), NETWORKDAYS(J235, L235, Hoja2!$A$1:$A$18))</f>
        <v>17</v>
      </c>
      <c r="N235" s="100"/>
      <c r="O235" s="102"/>
      <c r="P235" s="31" t="s">
        <v>1191</v>
      </c>
      <c r="Q235" s="28" t="s">
        <v>71</v>
      </c>
      <c r="R235" s="103"/>
      <c r="S235" s="103"/>
      <c r="T235" s="104"/>
      <c r="U235" s="106"/>
      <c r="V235" s="106"/>
      <c r="W235" s="106"/>
      <c r="X235" s="106"/>
      <c r="Y235" s="106"/>
      <c r="Z235" s="106"/>
      <c r="AA235" s="106"/>
      <c r="AB235" s="106"/>
      <c r="AC235" s="106"/>
      <c r="AD235" s="106"/>
      <c r="AE235" s="106"/>
      <c r="AF235" s="106"/>
      <c r="AG235" s="106"/>
      <c r="AH235" s="106"/>
      <c r="AI235" s="106"/>
      <c r="AJ235" s="106"/>
      <c r="AK235" s="106"/>
      <c r="AL235" s="106"/>
      <c r="AM235" s="106"/>
      <c r="AN235" s="106"/>
      <c r="AO235" s="106"/>
      <c r="AP235" s="106"/>
      <c r="AQ235" s="106"/>
      <c r="AR235" s="106"/>
      <c r="AS235" s="106"/>
      <c r="AT235" s="106"/>
      <c r="AU235" s="106"/>
      <c r="AV235" s="106"/>
      <c r="AW235" s="106"/>
      <c r="AX235" s="106"/>
      <c r="AY235" s="106"/>
      <c r="AZ235" s="106"/>
      <c r="BA235" s="106"/>
      <c r="BB235" s="106"/>
      <c r="BC235" s="106"/>
      <c r="BD235" s="106"/>
      <c r="BE235" s="106"/>
      <c r="BF235" s="106"/>
      <c r="BG235" s="106"/>
      <c r="BH235" s="106"/>
      <c r="BI235" s="106"/>
      <c r="BJ235" s="106"/>
      <c r="BK235" s="106"/>
      <c r="BL235" s="106"/>
      <c r="BM235" s="106"/>
      <c r="BN235" s="106"/>
    </row>
    <row r="236" ht="29.25" hidden="1" customHeight="1">
      <c r="A236" s="93" t="s">
        <v>207</v>
      </c>
      <c r="B236" s="107" t="s">
        <v>1192</v>
      </c>
      <c r="C236" s="95" t="s">
        <v>1193</v>
      </c>
      <c r="D236" s="191" t="s">
        <v>1194</v>
      </c>
      <c r="E236" s="97"/>
      <c r="F236" s="124" t="s">
        <v>75</v>
      </c>
      <c r="G236" s="98">
        <v>100.0</v>
      </c>
      <c r="H236" s="99"/>
      <c r="I236" s="100">
        <v>45902.0</v>
      </c>
      <c r="J236" s="101">
        <v>45903.0</v>
      </c>
      <c r="K236" s="101"/>
      <c r="L236" s="101">
        <v>45975.0</v>
      </c>
      <c r="M236" s="25">
        <f>IF(ISBLANK(L236), NETWORKDAYS(J236, TODAY(),Hoja2!$A$1:$A$18), NETWORKDAYS(J236, L236, Hoja2!$A$1:$A$18))</f>
        <v>53</v>
      </c>
      <c r="N236" s="100"/>
      <c r="O236" s="102"/>
      <c r="P236" s="31" t="s">
        <v>1195</v>
      </c>
      <c r="Q236" s="28" t="s">
        <v>71</v>
      </c>
      <c r="R236" s="103"/>
      <c r="S236" s="103"/>
      <c r="T236" s="104"/>
      <c r="U236" s="106"/>
      <c r="V236" s="106"/>
      <c r="W236" s="106"/>
      <c r="X236" s="106"/>
      <c r="Y236" s="106"/>
      <c r="Z236" s="106"/>
      <c r="AA236" s="106"/>
      <c r="AB236" s="106"/>
      <c r="AC236" s="106"/>
      <c r="AD236" s="106"/>
      <c r="AE236" s="106"/>
      <c r="AF236" s="106"/>
      <c r="AG236" s="106"/>
      <c r="AH236" s="106"/>
      <c r="AI236" s="106"/>
      <c r="AJ236" s="106"/>
      <c r="AK236" s="106"/>
      <c r="AL236" s="106"/>
      <c r="AM236" s="106"/>
      <c r="AN236" s="106"/>
      <c r="AO236" s="106"/>
      <c r="AP236" s="106"/>
      <c r="AQ236" s="106"/>
      <c r="AR236" s="106"/>
      <c r="AS236" s="106"/>
      <c r="AT236" s="106"/>
      <c r="AU236" s="106"/>
      <c r="AV236" s="106"/>
      <c r="AW236" s="106"/>
      <c r="AX236" s="106"/>
      <c r="AY236" s="106"/>
      <c r="AZ236" s="106"/>
      <c r="BA236" s="106"/>
      <c r="BB236" s="106"/>
      <c r="BC236" s="106"/>
      <c r="BD236" s="106"/>
      <c r="BE236" s="106"/>
      <c r="BF236" s="106"/>
      <c r="BG236" s="106"/>
      <c r="BH236" s="106"/>
      <c r="BI236" s="106"/>
      <c r="BJ236" s="106"/>
      <c r="BK236" s="106"/>
      <c r="BL236" s="106"/>
      <c r="BM236" s="106"/>
      <c r="BN236" s="106"/>
    </row>
    <row r="237" ht="29.25" hidden="1" customHeight="1">
      <c r="A237" s="93" t="s">
        <v>207</v>
      </c>
      <c r="B237" s="107" t="s">
        <v>1196</v>
      </c>
      <c r="C237" s="111" t="s">
        <v>1197</v>
      </c>
      <c r="D237" s="192" t="s">
        <v>1198</v>
      </c>
      <c r="E237" s="97"/>
      <c r="F237" s="124" t="s">
        <v>75</v>
      </c>
      <c r="G237" s="98">
        <v>100.0</v>
      </c>
      <c r="H237" s="99"/>
      <c r="I237" s="100">
        <v>45975.0</v>
      </c>
      <c r="J237" s="101">
        <v>45987.0</v>
      </c>
      <c r="K237" s="101"/>
      <c r="L237" s="101">
        <v>45994.0</v>
      </c>
      <c r="M237" s="25">
        <f>IF(ISBLANK(L237), NETWORKDAYS(J237, TODAY(),Hoja2!$A$1:$A$18), NETWORKDAYS(J237, L237, Hoja2!$A$1:$A$18))</f>
        <v>6</v>
      </c>
      <c r="N237" s="100"/>
      <c r="O237" s="102"/>
      <c r="P237" s="31" t="s">
        <v>1199</v>
      </c>
      <c r="Q237" s="28" t="s">
        <v>71</v>
      </c>
      <c r="R237" s="103"/>
      <c r="S237" s="103"/>
      <c r="T237" s="104"/>
      <c r="U237" s="106"/>
      <c r="V237" s="106"/>
      <c r="W237" s="106"/>
      <c r="X237" s="106"/>
      <c r="Y237" s="106"/>
      <c r="Z237" s="106"/>
      <c r="AA237" s="106"/>
      <c r="AB237" s="106"/>
      <c r="AC237" s="106"/>
      <c r="AD237" s="106"/>
      <c r="AE237" s="106"/>
      <c r="AF237" s="106"/>
      <c r="AG237" s="106"/>
      <c r="AH237" s="106"/>
      <c r="AI237" s="106"/>
      <c r="AJ237" s="106"/>
      <c r="AK237" s="106"/>
      <c r="AL237" s="106"/>
      <c r="AM237" s="106"/>
      <c r="AN237" s="106"/>
      <c r="AO237" s="106"/>
      <c r="AP237" s="106"/>
      <c r="AQ237" s="106"/>
      <c r="AR237" s="106"/>
      <c r="AS237" s="106"/>
      <c r="AT237" s="106"/>
      <c r="AU237" s="106"/>
      <c r="AV237" s="106"/>
      <c r="AW237" s="106"/>
      <c r="AX237" s="106"/>
      <c r="AY237" s="106"/>
      <c r="AZ237" s="106"/>
      <c r="BA237" s="106"/>
      <c r="BB237" s="106"/>
      <c r="BC237" s="106"/>
      <c r="BD237" s="106"/>
      <c r="BE237" s="106"/>
      <c r="BF237" s="106"/>
      <c r="BG237" s="106"/>
      <c r="BH237" s="106"/>
      <c r="BI237" s="106"/>
      <c r="BJ237" s="106"/>
      <c r="BK237" s="106"/>
      <c r="BL237" s="106"/>
      <c r="BM237" s="106"/>
      <c r="BN237" s="106"/>
    </row>
    <row r="238" ht="29.25" hidden="1" customHeight="1">
      <c r="A238" s="93" t="s">
        <v>207</v>
      </c>
      <c r="B238" s="107" t="s">
        <v>1200</v>
      </c>
      <c r="C238" s="111" t="s">
        <v>1201</v>
      </c>
      <c r="D238" s="192"/>
      <c r="E238" s="97"/>
      <c r="F238" s="124" t="s">
        <v>75</v>
      </c>
      <c r="G238" s="98">
        <v>100.0</v>
      </c>
      <c r="H238" s="99"/>
      <c r="I238" s="100">
        <v>45980.0</v>
      </c>
      <c r="J238" s="101">
        <v>45980.0</v>
      </c>
      <c r="K238" s="101"/>
      <c r="L238" s="101">
        <v>46006.0</v>
      </c>
      <c r="M238" s="25">
        <f>IF(ISBLANK(L238), NETWORKDAYS(J238, TODAY(),Hoja2!$A$1:$A$18), NETWORKDAYS(J238, L238, Hoja2!$A$1:$A$18))</f>
        <v>19</v>
      </c>
      <c r="N238" s="100"/>
      <c r="O238" s="102"/>
      <c r="P238" s="31" t="s">
        <v>1202</v>
      </c>
      <c r="Q238" s="114" t="s">
        <v>71</v>
      </c>
      <c r="R238" s="103"/>
      <c r="S238" s="103"/>
      <c r="T238" s="104"/>
      <c r="U238" s="106"/>
      <c r="V238" s="106"/>
      <c r="W238" s="106"/>
      <c r="X238" s="106"/>
      <c r="Y238" s="106"/>
      <c r="Z238" s="106"/>
      <c r="AA238" s="106"/>
      <c r="AB238" s="106"/>
      <c r="AC238" s="106"/>
      <c r="AD238" s="106"/>
      <c r="AE238" s="106"/>
      <c r="AF238" s="106"/>
      <c r="AG238" s="106"/>
      <c r="AH238" s="106"/>
      <c r="AI238" s="106"/>
      <c r="AJ238" s="106"/>
      <c r="AK238" s="106"/>
      <c r="AL238" s="106"/>
      <c r="AM238" s="106"/>
      <c r="AN238" s="106"/>
      <c r="AO238" s="106"/>
      <c r="AP238" s="106"/>
      <c r="AQ238" s="106"/>
      <c r="AR238" s="106"/>
      <c r="AS238" s="106"/>
      <c r="AT238" s="106"/>
      <c r="AU238" s="106"/>
      <c r="AV238" s="106"/>
      <c r="AW238" s="106"/>
      <c r="AX238" s="106"/>
      <c r="AY238" s="106"/>
      <c r="AZ238" s="106"/>
      <c r="BA238" s="106"/>
      <c r="BB238" s="106"/>
      <c r="BC238" s="106"/>
      <c r="BD238" s="106"/>
      <c r="BE238" s="106"/>
      <c r="BF238" s="106"/>
      <c r="BG238" s="106"/>
      <c r="BH238" s="106"/>
      <c r="BI238" s="106"/>
      <c r="BJ238" s="106"/>
      <c r="BK238" s="106"/>
      <c r="BL238" s="106"/>
      <c r="BM238" s="106"/>
      <c r="BN238" s="106"/>
    </row>
    <row r="239" ht="29.25" hidden="1" customHeight="1">
      <c r="A239" s="93" t="s">
        <v>207</v>
      </c>
      <c r="B239" s="107" t="s">
        <v>1203</v>
      </c>
      <c r="C239" s="111" t="s">
        <v>1204</v>
      </c>
      <c r="D239" s="192" t="s">
        <v>1205</v>
      </c>
      <c r="E239" s="97"/>
      <c r="F239" s="124" t="s">
        <v>237</v>
      </c>
      <c r="G239" s="98">
        <v>10.0</v>
      </c>
      <c r="H239" s="99"/>
      <c r="I239" s="100">
        <v>45982.0</v>
      </c>
      <c r="J239" s="101">
        <v>45988.0</v>
      </c>
      <c r="K239" s="101"/>
      <c r="L239" s="101"/>
      <c r="M239" s="25">
        <f>IF(ISBLANK(L239), NETWORKDAYS(J239, TODAY(),Hoja2!$A$1:$A$18), NETWORKDAYS(J239, L239, Hoja2!$A$1:$A$18))</f>
        <v>16</v>
      </c>
      <c r="N239" s="100"/>
      <c r="O239" s="102"/>
      <c r="P239" s="31" t="s">
        <v>1206</v>
      </c>
      <c r="Q239" s="114" t="s">
        <v>91</v>
      </c>
      <c r="R239" s="103"/>
      <c r="S239" s="103"/>
      <c r="T239" s="104"/>
      <c r="U239" s="106"/>
      <c r="V239" s="106"/>
      <c r="W239" s="106"/>
      <c r="X239" s="106"/>
      <c r="Y239" s="106"/>
      <c r="Z239" s="106"/>
      <c r="AA239" s="106"/>
      <c r="AB239" s="106"/>
      <c r="AC239" s="106"/>
      <c r="AD239" s="106"/>
      <c r="AE239" s="106"/>
      <c r="AF239" s="106"/>
      <c r="AG239" s="106"/>
      <c r="AH239" s="106"/>
      <c r="AI239" s="106"/>
      <c r="AJ239" s="106"/>
      <c r="AK239" s="106"/>
      <c r="AL239" s="106"/>
      <c r="AM239" s="106"/>
      <c r="AN239" s="106"/>
      <c r="AO239" s="106"/>
      <c r="AP239" s="106"/>
      <c r="AQ239" s="106"/>
      <c r="AR239" s="106"/>
      <c r="AS239" s="106"/>
      <c r="AT239" s="106"/>
      <c r="AU239" s="106"/>
      <c r="AV239" s="106"/>
      <c r="AW239" s="106"/>
      <c r="AX239" s="106"/>
      <c r="AY239" s="106"/>
      <c r="AZ239" s="106"/>
      <c r="BA239" s="106"/>
      <c r="BB239" s="106"/>
      <c r="BC239" s="106"/>
      <c r="BD239" s="106"/>
      <c r="BE239" s="106"/>
      <c r="BF239" s="106"/>
      <c r="BG239" s="106"/>
      <c r="BH239" s="106"/>
      <c r="BI239" s="106"/>
      <c r="BJ239" s="106"/>
      <c r="BK239" s="106"/>
      <c r="BL239" s="106"/>
      <c r="BM239" s="106"/>
      <c r="BN239" s="106"/>
    </row>
    <row r="240" ht="29.25" hidden="1" customHeight="1">
      <c r="A240" s="93" t="s">
        <v>207</v>
      </c>
      <c r="B240" s="107" t="s">
        <v>1207</v>
      </c>
      <c r="C240" s="111" t="s">
        <v>1208</v>
      </c>
      <c r="D240" s="192"/>
      <c r="E240" s="97"/>
      <c r="F240" s="124" t="s">
        <v>75</v>
      </c>
      <c r="G240" s="98">
        <v>100.0</v>
      </c>
      <c r="H240" s="99"/>
      <c r="I240" s="100">
        <v>46006.0</v>
      </c>
      <c r="J240" s="101">
        <v>46006.0</v>
      </c>
      <c r="K240" s="101"/>
      <c r="L240" s="101">
        <v>46007.0</v>
      </c>
      <c r="M240" s="25">
        <f>IF(ISBLANK(L240), NETWORKDAYS(J240, TODAY(),Hoja2!$A$1:$A$18), NETWORKDAYS(J240, L240, Hoja2!$A$1:$A$18))</f>
        <v>2</v>
      </c>
      <c r="N240" s="100"/>
      <c r="O240" s="102"/>
      <c r="P240" s="31" t="s">
        <v>1209</v>
      </c>
      <c r="Q240" s="114" t="s">
        <v>71</v>
      </c>
      <c r="R240" s="103"/>
      <c r="S240" s="103"/>
      <c r="T240" s="104"/>
      <c r="U240" s="106"/>
      <c r="V240" s="106"/>
      <c r="W240" s="106"/>
      <c r="X240" s="106"/>
      <c r="Y240" s="106"/>
      <c r="Z240" s="106"/>
      <c r="AA240" s="106"/>
      <c r="AB240" s="106"/>
      <c r="AC240" s="106"/>
      <c r="AD240" s="106"/>
      <c r="AE240" s="106"/>
      <c r="AF240" s="106"/>
      <c r="AG240" s="106"/>
      <c r="AH240" s="106"/>
      <c r="AI240" s="106"/>
      <c r="AJ240" s="106"/>
      <c r="AK240" s="106"/>
      <c r="AL240" s="106"/>
      <c r="AM240" s="106"/>
      <c r="AN240" s="106"/>
      <c r="AO240" s="106"/>
      <c r="AP240" s="106"/>
      <c r="AQ240" s="106"/>
      <c r="AR240" s="106"/>
      <c r="AS240" s="106"/>
      <c r="AT240" s="106"/>
      <c r="AU240" s="106"/>
      <c r="AV240" s="106"/>
      <c r="AW240" s="106"/>
      <c r="AX240" s="106"/>
      <c r="AY240" s="106"/>
      <c r="AZ240" s="106"/>
      <c r="BA240" s="106"/>
      <c r="BB240" s="106"/>
      <c r="BC240" s="106"/>
      <c r="BD240" s="106"/>
      <c r="BE240" s="106"/>
      <c r="BF240" s="106"/>
      <c r="BG240" s="106"/>
      <c r="BH240" s="106"/>
      <c r="BI240" s="106"/>
      <c r="BJ240" s="106"/>
      <c r="BK240" s="106"/>
      <c r="BL240" s="106"/>
      <c r="BM240" s="106"/>
      <c r="BN240" s="106"/>
    </row>
    <row r="241" ht="29.25" hidden="1" customHeight="1">
      <c r="A241" s="93" t="s">
        <v>207</v>
      </c>
      <c r="B241" s="107" t="s">
        <v>1210</v>
      </c>
      <c r="C241" s="111" t="s">
        <v>1211</v>
      </c>
      <c r="D241" s="192" t="s">
        <v>1212</v>
      </c>
      <c r="E241" s="97"/>
      <c r="F241" s="124" t="s">
        <v>75</v>
      </c>
      <c r="G241" s="98">
        <v>100.0</v>
      </c>
      <c r="H241" s="99"/>
      <c r="I241" s="100">
        <v>45982.0</v>
      </c>
      <c r="J241" s="101">
        <v>45982.0</v>
      </c>
      <c r="K241" s="101"/>
      <c r="L241" s="101">
        <v>45986.0</v>
      </c>
      <c r="M241" s="25">
        <f>IF(ISBLANK(L241), NETWORKDAYS(J241, TODAY(),Hoja2!$A$1:$A$18), NETWORKDAYS(J241, L241, Hoja2!$A$1:$A$18))</f>
        <v>3</v>
      </c>
      <c r="N241" s="100"/>
      <c r="O241" s="102"/>
      <c r="P241" s="31" t="s">
        <v>1213</v>
      </c>
      <c r="Q241" s="114" t="s">
        <v>71</v>
      </c>
      <c r="R241" s="103"/>
      <c r="S241" s="103"/>
      <c r="T241" s="104"/>
      <c r="U241" s="106"/>
      <c r="V241" s="106"/>
      <c r="W241" s="106"/>
      <c r="X241" s="106"/>
      <c r="Y241" s="106"/>
      <c r="Z241" s="106"/>
      <c r="AA241" s="106"/>
      <c r="AB241" s="106"/>
      <c r="AC241" s="106"/>
      <c r="AD241" s="106"/>
      <c r="AE241" s="106"/>
      <c r="AF241" s="106"/>
      <c r="AG241" s="106"/>
      <c r="AH241" s="106"/>
      <c r="AI241" s="106"/>
      <c r="AJ241" s="106"/>
      <c r="AK241" s="106"/>
      <c r="AL241" s="106"/>
      <c r="AM241" s="106"/>
      <c r="AN241" s="106"/>
      <c r="AO241" s="106"/>
      <c r="AP241" s="106"/>
      <c r="AQ241" s="106"/>
      <c r="AR241" s="106"/>
      <c r="AS241" s="106"/>
      <c r="AT241" s="106"/>
      <c r="AU241" s="106"/>
      <c r="AV241" s="106"/>
      <c r="AW241" s="106"/>
      <c r="AX241" s="106"/>
      <c r="AY241" s="106"/>
      <c r="AZ241" s="106"/>
      <c r="BA241" s="106"/>
      <c r="BB241" s="106"/>
      <c r="BC241" s="106"/>
      <c r="BD241" s="106"/>
      <c r="BE241" s="106"/>
      <c r="BF241" s="106"/>
      <c r="BG241" s="106"/>
      <c r="BH241" s="106"/>
      <c r="BI241" s="106"/>
      <c r="BJ241" s="106"/>
      <c r="BK241" s="106"/>
      <c r="BL241" s="106"/>
      <c r="BM241" s="106"/>
      <c r="BN241" s="106"/>
    </row>
    <row r="242" ht="29.25" hidden="1" customHeight="1">
      <c r="A242" s="93" t="s">
        <v>207</v>
      </c>
      <c r="B242" s="107" t="s">
        <v>1214</v>
      </c>
      <c r="C242" s="111" t="s">
        <v>1215</v>
      </c>
      <c r="D242" s="192" t="s">
        <v>1216</v>
      </c>
      <c r="E242" s="97"/>
      <c r="F242" s="124" t="s">
        <v>75</v>
      </c>
      <c r="G242" s="98">
        <v>100.0</v>
      </c>
      <c r="H242" s="99"/>
      <c r="I242" s="100">
        <v>45989.0</v>
      </c>
      <c r="J242" s="101">
        <v>45989.0</v>
      </c>
      <c r="K242" s="101"/>
      <c r="L242" s="101">
        <v>45989.0</v>
      </c>
      <c r="M242" s="25">
        <f>IF(ISBLANK(L242), NETWORKDAYS(J242, TODAY(),Hoja2!$A$1:$A$18), NETWORKDAYS(J242, L242, Hoja2!$A$1:$A$18))</f>
        <v>1</v>
      </c>
      <c r="N242" s="100"/>
      <c r="O242" s="102"/>
      <c r="P242" s="31" t="s">
        <v>1217</v>
      </c>
      <c r="Q242" s="114" t="s">
        <v>71</v>
      </c>
      <c r="R242" s="103"/>
      <c r="S242" s="103"/>
      <c r="T242" s="104"/>
      <c r="U242" s="106"/>
      <c r="V242" s="106"/>
      <c r="W242" s="106"/>
      <c r="X242" s="106"/>
      <c r="Y242" s="106"/>
      <c r="Z242" s="106"/>
      <c r="AA242" s="106"/>
      <c r="AB242" s="106"/>
      <c r="AC242" s="106"/>
      <c r="AD242" s="106"/>
      <c r="AE242" s="106"/>
      <c r="AF242" s="106"/>
      <c r="AG242" s="106"/>
      <c r="AH242" s="106"/>
      <c r="AI242" s="106"/>
      <c r="AJ242" s="106"/>
      <c r="AK242" s="106"/>
      <c r="AL242" s="106"/>
      <c r="AM242" s="106"/>
      <c r="AN242" s="106"/>
      <c r="AO242" s="106"/>
      <c r="AP242" s="106"/>
      <c r="AQ242" s="106"/>
      <c r="AR242" s="106"/>
      <c r="AS242" s="106"/>
      <c r="AT242" s="106"/>
      <c r="AU242" s="106"/>
      <c r="AV242" s="106"/>
      <c r="AW242" s="106"/>
      <c r="AX242" s="106"/>
      <c r="AY242" s="106"/>
      <c r="AZ242" s="106"/>
      <c r="BA242" s="106"/>
      <c r="BB242" s="106"/>
      <c r="BC242" s="106"/>
      <c r="BD242" s="106"/>
      <c r="BE242" s="106"/>
      <c r="BF242" s="106"/>
      <c r="BG242" s="106"/>
      <c r="BH242" s="106"/>
      <c r="BI242" s="106"/>
      <c r="BJ242" s="106"/>
      <c r="BK242" s="106"/>
      <c r="BL242" s="106"/>
      <c r="BM242" s="106"/>
      <c r="BN242" s="106"/>
    </row>
    <row r="243" ht="29.25" hidden="1" customHeight="1">
      <c r="A243" s="93" t="s">
        <v>207</v>
      </c>
      <c r="B243" s="107" t="s">
        <v>1218</v>
      </c>
      <c r="C243" s="111" t="s">
        <v>1219</v>
      </c>
      <c r="D243" s="192" t="s">
        <v>1220</v>
      </c>
      <c r="E243" s="97"/>
      <c r="F243" s="124" t="s">
        <v>75</v>
      </c>
      <c r="G243" s="98">
        <v>100.0</v>
      </c>
      <c r="H243" s="99"/>
      <c r="I243" s="100">
        <v>45987.0</v>
      </c>
      <c r="J243" s="101">
        <v>45987.0</v>
      </c>
      <c r="K243" s="101"/>
      <c r="L243" s="101">
        <v>45987.0</v>
      </c>
      <c r="M243" s="25">
        <f>IF(ISBLANK(L243), NETWORKDAYS(J243, TODAY(),Hoja2!$A$1:$A$18), NETWORKDAYS(J243, L243, Hoja2!$A$1:$A$18))</f>
        <v>1</v>
      </c>
      <c r="N243" s="100"/>
      <c r="O243" s="102"/>
      <c r="P243" s="31" t="s">
        <v>1221</v>
      </c>
      <c r="Q243" s="114" t="s">
        <v>71</v>
      </c>
      <c r="R243" s="103"/>
      <c r="S243" s="103"/>
      <c r="T243" s="104"/>
      <c r="U243" s="106"/>
      <c r="V243" s="106"/>
      <c r="W243" s="106"/>
      <c r="X243" s="106"/>
      <c r="Y243" s="106"/>
      <c r="Z243" s="106"/>
      <c r="AA243" s="106"/>
      <c r="AB243" s="106"/>
      <c r="AC243" s="106"/>
      <c r="AD243" s="106"/>
      <c r="AE243" s="106"/>
      <c r="AF243" s="106"/>
      <c r="AG243" s="106"/>
      <c r="AH243" s="106"/>
      <c r="AI243" s="106"/>
      <c r="AJ243" s="106"/>
      <c r="AK243" s="106"/>
      <c r="AL243" s="106"/>
      <c r="AM243" s="106"/>
      <c r="AN243" s="106"/>
      <c r="AO243" s="106"/>
      <c r="AP243" s="106"/>
      <c r="AQ243" s="106"/>
      <c r="AR243" s="106"/>
      <c r="AS243" s="106"/>
      <c r="AT243" s="106"/>
      <c r="AU243" s="106"/>
      <c r="AV243" s="106"/>
      <c r="AW243" s="106"/>
      <c r="AX243" s="106"/>
      <c r="AY243" s="106"/>
      <c r="AZ243" s="106"/>
      <c r="BA243" s="106"/>
      <c r="BB243" s="106"/>
      <c r="BC243" s="106"/>
      <c r="BD243" s="106"/>
      <c r="BE243" s="106"/>
      <c r="BF243" s="106"/>
      <c r="BG243" s="106"/>
      <c r="BH243" s="106"/>
      <c r="BI243" s="106"/>
      <c r="BJ243" s="106"/>
      <c r="BK243" s="106"/>
      <c r="BL243" s="106"/>
      <c r="BM243" s="106"/>
      <c r="BN243" s="106"/>
    </row>
    <row r="244" ht="29.25" hidden="1" customHeight="1">
      <c r="A244" s="93" t="s">
        <v>207</v>
      </c>
      <c r="B244" s="177" t="s">
        <v>1222</v>
      </c>
      <c r="C244" s="193" t="s">
        <v>1223</v>
      </c>
      <c r="D244" s="192" t="s">
        <v>1224</v>
      </c>
      <c r="E244" s="97"/>
      <c r="F244" s="124" t="s">
        <v>75</v>
      </c>
      <c r="G244" s="98">
        <v>100.0</v>
      </c>
      <c r="H244" s="99"/>
      <c r="I244" s="100">
        <v>45985.0</v>
      </c>
      <c r="J244" s="101">
        <v>45985.0</v>
      </c>
      <c r="K244" s="101"/>
      <c r="L244" s="101">
        <v>45985.0</v>
      </c>
      <c r="M244" s="25">
        <f>IF(ISBLANK(L244), NETWORKDAYS(J244, TODAY(),Hoja2!$A$1:$A$18), NETWORKDAYS(J244, L244, Hoja2!$A$1:$A$18))</f>
        <v>1</v>
      </c>
      <c r="N244" s="100"/>
      <c r="O244" s="102"/>
      <c r="P244" s="31" t="s">
        <v>1225</v>
      </c>
      <c r="Q244" s="114" t="s">
        <v>71</v>
      </c>
      <c r="R244" s="103"/>
      <c r="S244" s="103"/>
      <c r="T244" s="104"/>
      <c r="U244" s="106"/>
      <c r="V244" s="106"/>
      <c r="W244" s="106"/>
      <c r="X244" s="106"/>
      <c r="Y244" s="106"/>
      <c r="Z244" s="106"/>
      <c r="AA244" s="106"/>
      <c r="AB244" s="106"/>
      <c r="AC244" s="106"/>
      <c r="AD244" s="106"/>
      <c r="AE244" s="106"/>
      <c r="AF244" s="106"/>
      <c r="AG244" s="106"/>
      <c r="AH244" s="106"/>
      <c r="AI244" s="106"/>
      <c r="AJ244" s="106"/>
      <c r="AK244" s="106"/>
      <c r="AL244" s="106"/>
      <c r="AM244" s="106"/>
      <c r="AN244" s="106"/>
      <c r="AO244" s="106"/>
      <c r="AP244" s="106"/>
      <c r="AQ244" s="106"/>
      <c r="AR244" s="106"/>
      <c r="AS244" s="106"/>
      <c r="AT244" s="106"/>
      <c r="AU244" s="106"/>
      <c r="AV244" s="106"/>
      <c r="AW244" s="106"/>
      <c r="AX244" s="106"/>
      <c r="AY244" s="106"/>
      <c r="AZ244" s="106"/>
      <c r="BA244" s="106"/>
      <c r="BB244" s="106"/>
      <c r="BC244" s="106"/>
      <c r="BD244" s="106"/>
      <c r="BE244" s="106"/>
      <c r="BF244" s="106"/>
      <c r="BG244" s="106"/>
      <c r="BH244" s="106"/>
      <c r="BI244" s="106"/>
      <c r="BJ244" s="106"/>
      <c r="BK244" s="106"/>
      <c r="BL244" s="106"/>
      <c r="BM244" s="106"/>
      <c r="BN244" s="106"/>
    </row>
    <row r="245" ht="29.25" customHeight="1">
      <c r="A245" s="53" t="s">
        <v>155</v>
      </c>
      <c r="B245" s="16" t="s">
        <v>1226</v>
      </c>
      <c r="C245" s="95" t="s">
        <v>1227</v>
      </c>
      <c r="D245" s="194"/>
      <c r="E245" s="97"/>
      <c r="F245" s="19" t="s">
        <v>205</v>
      </c>
      <c r="G245" s="98">
        <v>70.0</v>
      </c>
      <c r="H245" s="99"/>
      <c r="I245" s="100">
        <v>45861.0</v>
      </c>
      <c r="J245" s="101"/>
      <c r="K245" s="101"/>
      <c r="L245" s="101"/>
      <c r="M245" s="25">
        <f>IF(ISBLANK(L245), NETWORKDAYS(J245, TODAY(),Hoja2!$A$1:$A$18), NETWORKDAYS(J245, L245, Hoja2!$A$1:$A$18))</f>
        <v>32848</v>
      </c>
      <c r="N245" s="100"/>
      <c r="O245" s="102"/>
      <c r="P245" s="31" t="s">
        <v>1228</v>
      </c>
      <c r="Q245" s="28" t="s">
        <v>71</v>
      </c>
      <c r="R245" s="103"/>
      <c r="S245" s="103"/>
      <c r="T245" s="104"/>
      <c r="U245" s="106"/>
      <c r="V245" s="106"/>
      <c r="W245" s="106"/>
      <c r="X245" s="106"/>
      <c r="Y245" s="106"/>
      <c r="Z245" s="106"/>
      <c r="AA245" s="106"/>
      <c r="AB245" s="106"/>
      <c r="AC245" s="106"/>
      <c r="AD245" s="106"/>
      <c r="AE245" s="106"/>
      <c r="AF245" s="106"/>
      <c r="AG245" s="106"/>
      <c r="AH245" s="106"/>
      <c r="AI245" s="106"/>
      <c r="AJ245" s="106"/>
      <c r="AK245" s="106"/>
      <c r="AL245" s="106"/>
      <c r="AM245" s="106"/>
      <c r="AN245" s="106"/>
      <c r="AO245" s="106"/>
      <c r="AP245" s="106"/>
      <c r="AQ245" s="106"/>
      <c r="AR245" s="106"/>
      <c r="AS245" s="106"/>
      <c r="AT245" s="106"/>
      <c r="AU245" s="106"/>
      <c r="AV245" s="106"/>
      <c r="AW245" s="106"/>
      <c r="AX245" s="106"/>
      <c r="AY245" s="106"/>
      <c r="AZ245" s="106"/>
      <c r="BA245" s="106"/>
      <c r="BB245" s="106"/>
      <c r="BC245" s="106"/>
      <c r="BD245" s="106"/>
      <c r="BE245" s="106"/>
      <c r="BF245" s="106"/>
      <c r="BG245" s="106"/>
      <c r="BH245" s="106"/>
      <c r="BI245" s="106"/>
      <c r="BJ245" s="106"/>
      <c r="BK245" s="106"/>
      <c r="BL245" s="106"/>
      <c r="BM245" s="106"/>
      <c r="BN245" s="106"/>
    </row>
    <row r="246" ht="29.25" hidden="1" customHeight="1">
      <c r="A246" s="93" t="s">
        <v>155</v>
      </c>
      <c r="B246" s="107" t="s">
        <v>1229</v>
      </c>
      <c r="C246" s="95" t="s">
        <v>1230</v>
      </c>
      <c r="D246" s="112" t="s">
        <v>1231</v>
      </c>
      <c r="E246" s="97"/>
      <c r="F246" s="195" t="s">
        <v>75</v>
      </c>
      <c r="G246" s="98">
        <v>100.0</v>
      </c>
      <c r="H246" s="98">
        <v>10.0</v>
      </c>
      <c r="I246" s="100">
        <v>45904.0</v>
      </c>
      <c r="J246" s="101">
        <v>45910.0</v>
      </c>
      <c r="K246" s="101"/>
      <c r="L246" s="101">
        <v>45932.0</v>
      </c>
      <c r="M246" s="25">
        <f>IF(ISBLANK(L246), NETWORKDAYS(J246, TODAY(),Hoja2!$A$1:$A$18), NETWORKDAYS(J246, L246, Hoja2!$A$1:$A$18))</f>
        <v>17</v>
      </c>
      <c r="N246" s="100">
        <v>45932.0</v>
      </c>
      <c r="O246" s="102">
        <v>45993.0</v>
      </c>
      <c r="P246" s="31" t="s">
        <v>1232</v>
      </c>
      <c r="Q246" s="28" t="s">
        <v>71</v>
      </c>
      <c r="R246" s="98">
        <v>1.0</v>
      </c>
      <c r="S246" s="98" t="s">
        <v>1233</v>
      </c>
      <c r="T246" s="124" t="s">
        <v>1234</v>
      </c>
      <c r="U246" s="196" t="s">
        <v>1235</v>
      </c>
      <c r="V246" s="106"/>
      <c r="W246" s="106"/>
      <c r="X246" s="106"/>
      <c r="Y246" s="106"/>
      <c r="Z246" s="106"/>
      <c r="AA246" s="106"/>
      <c r="AB246" s="106"/>
      <c r="AC246" s="106"/>
      <c r="AD246" s="106"/>
      <c r="AE246" s="106"/>
      <c r="AF246" s="106"/>
      <c r="AG246" s="106"/>
      <c r="AH246" s="106"/>
      <c r="AI246" s="106"/>
      <c r="AJ246" s="106"/>
      <c r="AK246" s="106"/>
      <c r="AL246" s="106"/>
      <c r="AM246" s="106"/>
      <c r="AN246" s="106"/>
      <c r="AO246" s="106"/>
      <c r="AP246" s="106"/>
      <c r="AQ246" s="106"/>
      <c r="AR246" s="106"/>
      <c r="AS246" s="106"/>
      <c r="AT246" s="106"/>
      <c r="AU246" s="106"/>
      <c r="AV246" s="106"/>
      <c r="AW246" s="106"/>
      <c r="AX246" s="106"/>
      <c r="AY246" s="106"/>
      <c r="AZ246" s="106"/>
      <c r="BA246" s="106"/>
      <c r="BB246" s="106"/>
      <c r="BC246" s="106"/>
      <c r="BD246" s="106"/>
      <c r="BE246" s="106"/>
      <c r="BF246" s="106"/>
      <c r="BG246" s="106"/>
      <c r="BH246" s="106"/>
      <c r="BI246" s="106"/>
      <c r="BJ246" s="106"/>
      <c r="BK246" s="106"/>
      <c r="BL246" s="106"/>
      <c r="BM246" s="106"/>
      <c r="BN246" s="106"/>
    </row>
    <row r="247" ht="29.25" customHeight="1">
      <c r="A247" s="53" t="s">
        <v>155</v>
      </c>
      <c r="B247" s="16" t="s">
        <v>1236</v>
      </c>
      <c r="C247" s="95" t="s">
        <v>1237</v>
      </c>
      <c r="D247" s="153"/>
      <c r="E247" s="97"/>
      <c r="F247" s="19" t="s">
        <v>237</v>
      </c>
      <c r="G247" s="98">
        <v>0.0</v>
      </c>
      <c r="H247" s="99"/>
      <c r="I247" s="100">
        <v>45874.0</v>
      </c>
      <c r="J247" s="101">
        <v>45880.0</v>
      </c>
      <c r="K247" s="101">
        <v>45882.0</v>
      </c>
      <c r="L247" s="101"/>
      <c r="M247" s="25">
        <f>IF(ISBLANK(L247), NETWORKDAYS(J247, TODAY(),Hoja2!$A$1:$A$18), NETWORKDAYS(J247, L247, Hoja2!$A$1:$A$18))</f>
        <v>94</v>
      </c>
      <c r="N247" s="100"/>
      <c r="O247" s="102"/>
      <c r="P247" s="31" t="s">
        <v>1238</v>
      </c>
      <c r="Q247" s="114" t="s">
        <v>91</v>
      </c>
      <c r="R247" s="103"/>
      <c r="S247" s="103"/>
      <c r="T247" s="104"/>
      <c r="U247" s="106"/>
      <c r="V247" s="106"/>
      <c r="W247" s="106"/>
      <c r="X247" s="106"/>
      <c r="Y247" s="106"/>
      <c r="Z247" s="106"/>
      <c r="AA247" s="106"/>
      <c r="AB247" s="106"/>
      <c r="AC247" s="106"/>
      <c r="AD247" s="106"/>
      <c r="AE247" s="106"/>
      <c r="AF247" s="106"/>
      <c r="AG247" s="106"/>
      <c r="AH247" s="106"/>
      <c r="AI247" s="106"/>
      <c r="AJ247" s="106"/>
      <c r="AK247" s="106"/>
      <c r="AL247" s="106"/>
      <c r="AM247" s="106"/>
      <c r="AN247" s="106"/>
      <c r="AO247" s="106"/>
      <c r="AP247" s="106"/>
      <c r="AQ247" s="106"/>
      <c r="AR247" s="106"/>
      <c r="AS247" s="106"/>
      <c r="AT247" s="106"/>
      <c r="AU247" s="106"/>
      <c r="AV247" s="106"/>
      <c r="AW247" s="106"/>
      <c r="AX247" s="106"/>
      <c r="AY247" s="106"/>
      <c r="AZ247" s="106"/>
      <c r="BA247" s="106"/>
      <c r="BB247" s="106"/>
      <c r="BC247" s="106"/>
      <c r="BD247" s="106"/>
      <c r="BE247" s="106"/>
      <c r="BF247" s="106"/>
      <c r="BG247" s="106"/>
      <c r="BH247" s="106"/>
      <c r="BI247" s="106"/>
      <c r="BJ247" s="106"/>
      <c r="BK247" s="106"/>
      <c r="BL247" s="106"/>
      <c r="BM247" s="106"/>
      <c r="BN247" s="106"/>
    </row>
    <row r="248" ht="29.25" hidden="1" customHeight="1">
      <c r="A248" s="93" t="s">
        <v>207</v>
      </c>
      <c r="B248" s="107" t="s">
        <v>1239</v>
      </c>
      <c r="C248" s="111" t="s">
        <v>1240</v>
      </c>
      <c r="D248" s="112"/>
      <c r="E248" s="97"/>
      <c r="F248" s="113" t="s">
        <v>75</v>
      </c>
      <c r="G248" s="98">
        <v>100.0</v>
      </c>
      <c r="H248" s="98"/>
      <c r="I248" s="100">
        <v>45994.0</v>
      </c>
      <c r="J248" s="101">
        <v>45995.0</v>
      </c>
      <c r="K248" s="101"/>
      <c r="L248" s="101">
        <v>45995.0</v>
      </c>
      <c r="M248" s="25">
        <f>IF(ISBLANK(L248), NETWORKDAYS(J248, TODAY(),Hoja2!$A$1:$A$18), NETWORKDAYS(J248, L248, Hoja2!$A$1:$A$18))</f>
        <v>1</v>
      </c>
      <c r="N248" s="100"/>
      <c r="O248" s="102"/>
      <c r="P248" s="31" t="s">
        <v>1241</v>
      </c>
      <c r="Q248" s="114" t="s">
        <v>71</v>
      </c>
      <c r="R248" s="98"/>
      <c r="S248" s="98"/>
      <c r="T248" s="104"/>
      <c r="U248" s="197"/>
      <c r="V248" s="106"/>
      <c r="W248" s="106"/>
      <c r="X248" s="106"/>
      <c r="Y248" s="106"/>
      <c r="Z248" s="106"/>
      <c r="AA248" s="106"/>
      <c r="AB248" s="106"/>
      <c r="AC248" s="106"/>
      <c r="AD248" s="106"/>
      <c r="AE248" s="106"/>
      <c r="AF248" s="106"/>
      <c r="AG248" s="106"/>
      <c r="AH248" s="106"/>
      <c r="AI248" s="106"/>
      <c r="AJ248" s="106"/>
      <c r="AK248" s="106"/>
      <c r="AL248" s="106"/>
      <c r="AM248" s="106"/>
      <c r="AN248" s="106"/>
      <c r="AO248" s="106"/>
      <c r="AP248" s="106"/>
      <c r="AQ248" s="106"/>
      <c r="AR248" s="106"/>
      <c r="AS248" s="106"/>
      <c r="AT248" s="106"/>
      <c r="AU248" s="106"/>
      <c r="AV248" s="106"/>
      <c r="AW248" s="106"/>
      <c r="AX248" s="106"/>
      <c r="AY248" s="106"/>
      <c r="AZ248" s="106"/>
      <c r="BA248" s="106"/>
      <c r="BB248" s="106"/>
      <c r="BC248" s="106"/>
      <c r="BD248" s="106"/>
      <c r="BE248" s="106"/>
      <c r="BF248" s="106"/>
      <c r="BG248" s="106"/>
      <c r="BH248" s="106"/>
      <c r="BI248" s="106"/>
      <c r="BJ248" s="106"/>
      <c r="BK248" s="106"/>
      <c r="BL248" s="106"/>
      <c r="BM248" s="106"/>
      <c r="BN248" s="106"/>
    </row>
    <row r="249" ht="29.25" hidden="1" customHeight="1">
      <c r="A249" s="93" t="s">
        <v>207</v>
      </c>
      <c r="B249" s="107" t="s">
        <v>1242</v>
      </c>
      <c r="C249" s="111" t="s">
        <v>1243</v>
      </c>
      <c r="D249" s="112" t="s">
        <v>1244</v>
      </c>
      <c r="E249" s="97"/>
      <c r="F249" s="113" t="s">
        <v>75</v>
      </c>
      <c r="G249" s="98">
        <v>100.0</v>
      </c>
      <c r="H249" s="98"/>
      <c r="I249" s="100">
        <v>45994.0</v>
      </c>
      <c r="J249" s="101">
        <v>45995.0</v>
      </c>
      <c r="K249" s="101"/>
      <c r="L249" s="101">
        <v>45995.0</v>
      </c>
      <c r="M249" s="25">
        <f>IF(ISBLANK(L249), NETWORKDAYS(J249, TODAY(),Hoja2!$A$1:$A$18), NETWORKDAYS(J249, L249, Hoja2!$A$1:$A$18))</f>
        <v>1</v>
      </c>
      <c r="N249" s="100"/>
      <c r="O249" s="102"/>
      <c r="P249" s="31" t="s">
        <v>1245</v>
      </c>
      <c r="Q249" s="114" t="s">
        <v>71</v>
      </c>
      <c r="R249" s="98"/>
      <c r="S249" s="98"/>
      <c r="T249" s="104"/>
      <c r="U249" s="197"/>
      <c r="V249" s="106"/>
      <c r="W249" s="106"/>
      <c r="X249" s="106"/>
      <c r="Y249" s="106"/>
      <c r="Z249" s="106"/>
      <c r="AA249" s="106"/>
      <c r="AB249" s="106"/>
      <c r="AC249" s="106"/>
      <c r="AD249" s="106"/>
      <c r="AE249" s="106"/>
      <c r="AF249" s="106"/>
      <c r="AG249" s="106"/>
      <c r="AH249" s="106"/>
      <c r="AI249" s="106"/>
      <c r="AJ249" s="106"/>
      <c r="AK249" s="106"/>
      <c r="AL249" s="106"/>
      <c r="AM249" s="106"/>
      <c r="AN249" s="106"/>
      <c r="AO249" s="106"/>
      <c r="AP249" s="106"/>
      <c r="AQ249" s="106"/>
      <c r="AR249" s="106"/>
      <c r="AS249" s="106"/>
      <c r="AT249" s="106"/>
      <c r="AU249" s="106"/>
      <c r="AV249" s="106"/>
      <c r="AW249" s="106"/>
      <c r="AX249" s="106"/>
      <c r="AY249" s="106"/>
      <c r="AZ249" s="106"/>
      <c r="BA249" s="106"/>
      <c r="BB249" s="106"/>
      <c r="BC249" s="106"/>
      <c r="BD249" s="106"/>
      <c r="BE249" s="106"/>
      <c r="BF249" s="106"/>
      <c r="BG249" s="106"/>
      <c r="BH249" s="106"/>
      <c r="BI249" s="106"/>
      <c r="BJ249" s="106"/>
      <c r="BK249" s="106"/>
      <c r="BL249" s="106"/>
      <c r="BM249" s="106"/>
      <c r="BN249" s="106"/>
    </row>
    <row r="250" ht="29.25" customHeight="1">
      <c r="A250" s="53" t="s">
        <v>155</v>
      </c>
      <c r="B250" s="16" t="s">
        <v>1246</v>
      </c>
      <c r="C250" s="95" t="s">
        <v>1247</v>
      </c>
      <c r="D250" s="153"/>
      <c r="E250" s="97"/>
      <c r="F250" s="124" t="s">
        <v>237</v>
      </c>
      <c r="G250" s="99"/>
      <c r="H250" s="99"/>
      <c r="I250" s="100">
        <v>45883.0</v>
      </c>
      <c r="J250" s="101"/>
      <c r="K250" s="101"/>
      <c r="L250" s="101"/>
      <c r="M250" s="25">
        <f>IF(ISBLANK(L250), NETWORKDAYS(J250, TODAY(),Hoja2!$A$1:$A$18), NETWORKDAYS(J250, L250, Hoja2!$A$1:$A$18))</f>
        <v>32848</v>
      </c>
      <c r="N250" s="100"/>
      <c r="O250" s="102"/>
      <c r="P250" s="105"/>
      <c r="Q250" s="114" t="s">
        <v>91</v>
      </c>
      <c r="R250" s="103"/>
      <c r="S250" s="103"/>
      <c r="T250" s="104"/>
      <c r="U250" s="106"/>
      <c r="V250" s="106"/>
      <c r="W250" s="106"/>
      <c r="X250" s="106"/>
      <c r="Y250" s="106"/>
      <c r="Z250" s="106"/>
      <c r="AA250" s="106"/>
      <c r="AB250" s="106"/>
      <c r="AC250" s="106"/>
      <c r="AD250" s="106"/>
      <c r="AE250" s="106"/>
      <c r="AF250" s="106"/>
      <c r="AG250" s="106"/>
      <c r="AH250" s="106"/>
      <c r="AI250" s="106"/>
      <c r="AJ250" s="106"/>
      <c r="AK250" s="106"/>
      <c r="AL250" s="106"/>
      <c r="AM250" s="106"/>
      <c r="AN250" s="106"/>
      <c r="AO250" s="106"/>
      <c r="AP250" s="106"/>
      <c r="AQ250" s="106"/>
      <c r="AR250" s="106"/>
      <c r="AS250" s="106"/>
      <c r="AT250" s="106"/>
      <c r="AU250" s="106"/>
      <c r="AV250" s="106"/>
      <c r="AW250" s="106"/>
      <c r="AX250" s="106"/>
      <c r="AY250" s="106"/>
      <c r="AZ250" s="106"/>
      <c r="BA250" s="106"/>
      <c r="BB250" s="106"/>
      <c r="BC250" s="106"/>
      <c r="BD250" s="106"/>
      <c r="BE250" s="106"/>
      <c r="BF250" s="106"/>
      <c r="BG250" s="106"/>
      <c r="BH250" s="106"/>
      <c r="BI250" s="106"/>
      <c r="BJ250" s="106"/>
      <c r="BK250" s="106"/>
      <c r="BL250" s="106"/>
      <c r="BM250" s="106"/>
      <c r="BN250" s="106"/>
    </row>
    <row r="251" ht="29.25" hidden="1" customHeight="1">
      <c r="A251" s="93" t="s">
        <v>1248</v>
      </c>
      <c r="B251" s="107" t="s">
        <v>1249</v>
      </c>
      <c r="C251" s="111" t="s">
        <v>1250</v>
      </c>
      <c r="D251" s="112"/>
      <c r="E251" s="97"/>
      <c r="F251" s="195" t="s">
        <v>75</v>
      </c>
      <c r="G251" s="98">
        <v>100.0</v>
      </c>
      <c r="H251" s="98"/>
      <c r="I251" s="100">
        <v>45994.0</v>
      </c>
      <c r="J251" s="101">
        <v>45994.0</v>
      </c>
      <c r="K251" s="101"/>
      <c r="L251" s="101">
        <v>45994.0</v>
      </c>
      <c r="M251" s="25">
        <f>IF(ISBLANK(L251), NETWORKDAYS(J251, TODAY(),Hoja2!$A$1:$A$18), NETWORKDAYS(J251, L251, Hoja2!$A$1:$A$18))</f>
        <v>1</v>
      </c>
      <c r="N251" s="100"/>
      <c r="O251" s="102"/>
      <c r="P251" s="31" t="s">
        <v>1251</v>
      </c>
      <c r="Q251" s="114" t="s">
        <v>71</v>
      </c>
      <c r="R251" s="98"/>
      <c r="S251" s="98"/>
      <c r="T251" s="104"/>
      <c r="U251" s="34"/>
      <c r="V251" s="106"/>
      <c r="W251" s="106"/>
      <c r="X251" s="106"/>
      <c r="Y251" s="106"/>
      <c r="Z251" s="106"/>
      <c r="AA251" s="106"/>
      <c r="AB251" s="106"/>
      <c r="AC251" s="106"/>
      <c r="AD251" s="106"/>
      <c r="AE251" s="106"/>
      <c r="AF251" s="106"/>
      <c r="AG251" s="106"/>
      <c r="AH251" s="106"/>
      <c r="AI251" s="106"/>
      <c r="AJ251" s="106"/>
      <c r="AK251" s="106"/>
      <c r="AL251" s="106"/>
      <c r="AM251" s="106"/>
      <c r="AN251" s="106"/>
      <c r="AO251" s="106"/>
      <c r="AP251" s="106"/>
      <c r="AQ251" s="106"/>
      <c r="AR251" s="106"/>
      <c r="AS251" s="106"/>
      <c r="AT251" s="106"/>
      <c r="AU251" s="106"/>
      <c r="AV251" s="106"/>
      <c r="AW251" s="106"/>
      <c r="AX251" s="106"/>
      <c r="AY251" s="106"/>
      <c r="AZ251" s="106"/>
      <c r="BA251" s="106"/>
      <c r="BB251" s="106"/>
      <c r="BC251" s="106"/>
      <c r="BD251" s="106"/>
      <c r="BE251" s="106"/>
      <c r="BF251" s="106"/>
      <c r="BG251" s="106"/>
      <c r="BH251" s="106"/>
      <c r="BI251" s="106"/>
      <c r="BJ251" s="106"/>
      <c r="BK251" s="106"/>
      <c r="BL251" s="106"/>
      <c r="BM251" s="106"/>
      <c r="BN251" s="106"/>
    </row>
    <row r="252" ht="29.25" hidden="1" customHeight="1">
      <c r="A252" s="93" t="s">
        <v>155</v>
      </c>
      <c r="B252" s="107" t="s">
        <v>1252</v>
      </c>
      <c r="C252" s="111" t="s">
        <v>1253</v>
      </c>
      <c r="D252" s="112" t="s">
        <v>1254</v>
      </c>
      <c r="E252" s="97"/>
      <c r="F252" s="195" t="s">
        <v>75</v>
      </c>
      <c r="G252" s="98">
        <v>100.0</v>
      </c>
      <c r="H252" s="98"/>
      <c r="I252" s="100">
        <v>45986.0</v>
      </c>
      <c r="J252" s="101">
        <v>45987.0</v>
      </c>
      <c r="K252" s="101"/>
      <c r="L252" s="101">
        <v>45987.0</v>
      </c>
      <c r="M252" s="25">
        <f>IF(ISBLANK(L252), NETWORKDAYS(J252, TODAY(),Hoja2!$A$1:$A$18), NETWORKDAYS(J252, L252, Hoja2!$A$1:$A$18))</f>
        <v>1</v>
      </c>
      <c r="N252" s="100">
        <v>45987.0</v>
      </c>
      <c r="O252" s="102">
        <v>45994.0</v>
      </c>
      <c r="P252" s="31" t="s">
        <v>1255</v>
      </c>
      <c r="Q252" s="28" t="s">
        <v>71</v>
      </c>
      <c r="R252" s="98"/>
      <c r="S252" s="98"/>
      <c r="T252" s="104"/>
      <c r="U252" s="34"/>
      <c r="V252" s="106"/>
      <c r="W252" s="106"/>
      <c r="X252" s="106"/>
      <c r="Y252" s="106"/>
      <c r="Z252" s="106"/>
      <c r="AA252" s="106"/>
      <c r="AB252" s="106"/>
      <c r="AC252" s="106"/>
      <c r="AD252" s="106"/>
      <c r="AE252" s="106"/>
      <c r="AF252" s="106"/>
      <c r="AG252" s="106"/>
      <c r="AH252" s="106"/>
      <c r="AI252" s="106"/>
      <c r="AJ252" s="106"/>
      <c r="AK252" s="106"/>
      <c r="AL252" s="106"/>
      <c r="AM252" s="106"/>
      <c r="AN252" s="106"/>
      <c r="AO252" s="106"/>
      <c r="AP252" s="106"/>
      <c r="AQ252" s="106"/>
      <c r="AR252" s="106"/>
      <c r="AS252" s="106"/>
      <c r="AT252" s="106"/>
      <c r="AU252" s="106"/>
      <c r="AV252" s="106"/>
      <c r="AW252" s="106"/>
      <c r="AX252" s="106"/>
      <c r="AY252" s="106"/>
      <c r="AZ252" s="106"/>
      <c r="BA252" s="106"/>
      <c r="BB252" s="106"/>
      <c r="BC252" s="106"/>
      <c r="BD252" s="106"/>
      <c r="BE252" s="106"/>
      <c r="BF252" s="106"/>
      <c r="BG252" s="106"/>
      <c r="BH252" s="106"/>
      <c r="BI252" s="106"/>
      <c r="BJ252" s="106"/>
      <c r="BK252" s="106"/>
      <c r="BL252" s="106"/>
      <c r="BM252" s="106"/>
      <c r="BN252" s="106"/>
    </row>
    <row r="253" ht="29.25" customHeight="1">
      <c r="A253" s="93" t="s">
        <v>155</v>
      </c>
      <c r="B253" s="107" t="s">
        <v>1256</v>
      </c>
      <c r="C253" s="198" t="s">
        <v>1257</v>
      </c>
      <c r="D253" s="96" t="s">
        <v>1258</v>
      </c>
      <c r="E253" s="97"/>
      <c r="F253" s="124" t="s">
        <v>237</v>
      </c>
      <c r="G253" s="98"/>
      <c r="H253" s="99"/>
      <c r="I253" s="100">
        <v>45950.0</v>
      </c>
      <c r="J253" s="199"/>
      <c r="K253" s="101"/>
      <c r="L253" s="101"/>
      <c r="M253" s="25">
        <f>IF(ISBLANK(L253), NETWORKDAYS(J253, TODAY(),Hoja2!$A$1:$A$18), NETWORKDAYS(J253, L253, Hoja2!$A$1:$A$18))</f>
        <v>32848</v>
      </c>
      <c r="N253" s="100"/>
      <c r="O253" s="102"/>
      <c r="P253" s="31" t="s">
        <v>1259</v>
      </c>
      <c r="Q253" s="114" t="s">
        <v>91</v>
      </c>
      <c r="R253" s="156">
        <v>2.0</v>
      </c>
      <c r="S253" s="98"/>
      <c r="T253" s="104"/>
      <c r="U253" s="106"/>
      <c r="V253" s="106"/>
      <c r="W253" s="106"/>
      <c r="X253" s="106"/>
      <c r="Y253" s="106"/>
      <c r="Z253" s="106"/>
      <c r="AA253" s="106"/>
      <c r="AB253" s="106"/>
      <c r="AC253" s="106"/>
      <c r="AD253" s="106"/>
      <c r="AE253" s="106"/>
      <c r="AF253" s="106"/>
      <c r="AG253" s="106"/>
      <c r="AH253" s="106"/>
      <c r="AI253" s="106"/>
      <c r="AJ253" s="106"/>
      <c r="AK253" s="106"/>
      <c r="AL253" s="106"/>
      <c r="AM253" s="106"/>
      <c r="AN253" s="106"/>
      <c r="AO253" s="106"/>
      <c r="AP253" s="106"/>
      <c r="AQ253" s="106"/>
      <c r="AR253" s="106"/>
      <c r="AS253" s="106"/>
      <c r="AT253" s="106"/>
      <c r="AU253" s="106"/>
      <c r="AV253" s="106"/>
      <c r="AW253" s="106"/>
      <c r="AX253" s="106"/>
      <c r="AY253" s="106"/>
      <c r="AZ253" s="106"/>
      <c r="BA253" s="106"/>
      <c r="BB253" s="106"/>
      <c r="BC253" s="106"/>
      <c r="BD253" s="106"/>
      <c r="BE253" s="106"/>
      <c r="BF253" s="106"/>
      <c r="BG253" s="106"/>
      <c r="BH253" s="106"/>
      <c r="BI253" s="106"/>
      <c r="BJ253" s="106"/>
      <c r="BK253" s="106"/>
      <c r="BL253" s="106"/>
      <c r="BM253" s="106"/>
      <c r="BN253" s="106"/>
    </row>
    <row r="254" ht="29.25" hidden="1" customHeight="1">
      <c r="A254" s="93" t="s">
        <v>155</v>
      </c>
      <c r="B254" s="107" t="s">
        <v>1260</v>
      </c>
      <c r="C254" s="108" t="s">
        <v>1261</v>
      </c>
      <c r="D254" s="112" t="s">
        <v>1262</v>
      </c>
      <c r="E254" s="97"/>
      <c r="F254" s="124" t="s">
        <v>75</v>
      </c>
      <c r="G254" s="98">
        <v>100.0</v>
      </c>
      <c r="H254" s="98"/>
      <c r="I254" s="100">
        <v>45932.0</v>
      </c>
      <c r="J254" s="101">
        <v>45933.0</v>
      </c>
      <c r="K254" s="101"/>
      <c r="L254" s="101">
        <v>45933.0</v>
      </c>
      <c r="M254" s="25">
        <f>IF(ISBLANK(L254), NETWORKDAYS(J254, TODAY(),Hoja2!$A$1:$A$18), NETWORKDAYS(J254, L254, Hoja2!$A$1:$A$18))</f>
        <v>1</v>
      </c>
      <c r="N254" s="100"/>
      <c r="O254" s="102"/>
      <c r="P254" s="31" t="s">
        <v>1263</v>
      </c>
      <c r="Q254" s="28" t="s">
        <v>71</v>
      </c>
      <c r="R254" s="98"/>
      <c r="S254" s="103"/>
      <c r="T254" s="104"/>
      <c r="U254" s="34"/>
      <c r="V254" s="106"/>
      <c r="W254" s="106"/>
      <c r="X254" s="106"/>
      <c r="Y254" s="106"/>
      <c r="Z254" s="106"/>
      <c r="AA254" s="106"/>
      <c r="AB254" s="106"/>
      <c r="AC254" s="106"/>
      <c r="AD254" s="106"/>
      <c r="AE254" s="106"/>
      <c r="AF254" s="106"/>
      <c r="AG254" s="106"/>
      <c r="AH254" s="106"/>
      <c r="AI254" s="106"/>
      <c r="AJ254" s="106"/>
      <c r="AK254" s="106"/>
      <c r="AL254" s="106"/>
      <c r="AM254" s="106"/>
      <c r="AN254" s="106"/>
      <c r="AO254" s="106"/>
      <c r="AP254" s="106"/>
      <c r="AQ254" s="106"/>
      <c r="AR254" s="106"/>
      <c r="AS254" s="106"/>
      <c r="AT254" s="106"/>
      <c r="AU254" s="106"/>
      <c r="AV254" s="106"/>
      <c r="AW254" s="106"/>
      <c r="AX254" s="106"/>
      <c r="AY254" s="106"/>
      <c r="AZ254" s="106"/>
      <c r="BA254" s="106"/>
      <c r="BB254" s="106"/>
      <c r="BC254" s="106"/>
      <c r="BD254" s="106"/>
      <c r="BE254" s="106"/>
      <c r="BF254" s="106"/>
      <c r="BG254" s="106"/>
      <c r="BH254" s="106"/>
      <c r="BI254" s="106"/>
      <c r="BJ254" s="106"/>
      <c r="BK254" s="106"/>
      <c r="BL254" s="106"/>
      <c r="BM254" s="106"/>
      <c r="BN254" s="106"/>
    </row>
    <row r="255" ht="29.25" hidden="1" customHeight="1">
      <c r="A255" s="93" t="s">
        <v>155</v>
      </c>
      <c r="B255" s="107" t="s">
        <v>1264</v>
      </c>
      <c r="C255" s="108" t="s">
        <v>1265</v>
      </c>
      <c r="D255" s="112" t="s">
        <v>1266</v>
      </c>
      <c r="E255" s="97"/>
      <c r="F255" s="124" t="s">
        <v>75</v>
      </c>
      <c r="G255" s="98">
        <v>100.0</v>
      </c>
      <c r="H255" s="98">
        <v>2.0</v>
      </c>
      <c r="I255" s="100">
        <v>45917.0</v>
      </c>
      <c r="J255" s="101">
        <v>45922.0</v>
      </c>
      <c r="K255" s="101">
        <v>45923.0</v>
      </c>
      <c r="L255" s="101">
        <v>45929.0</v>
      </c>
      <c r="M255" s="25">
        <f>IF(ISBLANK(L255), NETWORKDAYS(J255, TODAY(),Hoja2!$A$1:$A$18), NETWORKDAYS(J255, L255, Hoja2!$A$1:$A$18))</f>
        <v>6</v>
      </c>
      <c r="N255" s="100">
        <v>45929.0</v>
      </c>
      <c r="O255" s="102">
        <v>45930.0</v>
      </c>
      <c r="P255" s="31" t="s">
        <v>1267</v>
      </c>
      <c r="Q255" s="28" t="s">
        <v>71</v>
      </c>
      <c r="R255" s="98"/>
      <c r="S255" s="103"/>
      <c r="T255" s="104"/>
      <c r="U255" s="34"/>
      <c r="V255" s="106"/>
      <c r="W255" s="106"/>
      <c r="X255" s="106"/>
      <c r="Y255" s="106"/>
      <c r="Z255" s="106"/>
      <c r="AA255" s="106"/>
      <c r="AB255" s="106"/>
      <c r="AC255" s="106"/>
      <c r="AD255" s="106"/>
      <c r="AE255" s="106"/>
      <c r="AF255" s="106"/>
      <c r="AG255" s="106"/>
      <c r="AH255" s="106"/>
      <c r="AI255" s="106"/>
      <c r="AJ255" s="106"/>
      <c r="AK255" s="106"/>
      <c r="AL255" s="106"/>
      <c r="AM255" s="106"/>
      <c r="AN255" s="106"/>
      <c r="AO255" s="106"/>
      <c r="AP255" s="106"/>
      <c r="AQ255" s="106"/>
      <c r="AR255" s="106"/>
      <c r="AS255" s="106"/>
      <c r="AT255" s="106"/>
      <c r="AU255" s="106"/>
      <c r="AV255" s="106"/>
      <c r="AW255" s="106"/>
      <c r="AX255" s="106"/>
      <c r="AY255" s="106"/>
      <c r="AZ255" s="106"/>
      <c r="BA255" s="106"/>
      <c r="BB255" s="106"/>
      <c r="BC255" s="106"/>
      <c r="BD255" s="106"/>
      <c r="BE255" s="106"/>
      <c r="BF255" s="106"/>
      <c r="BG255" s="106"/>
      <c r="BH255" s="106"/>
      <c r="BI255" s="106"/>
      <c r="BJ255" s="106"/>
      <c r="BK255" s="106"/>
      <c r="BL255" s="106"/>
      <c r="BM255" s="106"/>
      <c r="BN255" s="106"/>
    </row>
    <row r="256" ht="29.25" hidden="1" customHeight="1">
      <c r="A256" s="93" t="s">
        <v>155</v>
      </c>
      <c r="B256" s="107" t="s">
        <v>1268</v>
      </c>
      <c r="C256" s="108" t="s">
        <v>1269</v>
      </c>
      <c r="D256" s="112" t="s">
        <v>1270</v>
      </c>
      <c r="E256" s="97"/>
      <c r="F256" s="124" t="s">
        <v>75</v>
      </c>
      <c r="G256" s="98">
        <v>100.0</v>
      </c>
      <c r="H256" s="98"/>
      <c r="I256" s="100">
        <v>45926.0</v>
      </c>
      <c r="J256" s="101">
        <v>45929.0</v>
      </c>
      <c r="K256" s="101"/>
      <c r="L256" s="101">
        <v>45929.0</v>
      </c>
      <c r="M256" s="25">
        <f>IF(ISBLANK(L256), NETWORKDAYS(J256, TODAY(),Hoja2!$A$1:$A$18), NETWORKDAYS(J256, L256, Hoja2!$A$1:$A$18))</f>
        <v>1</v>
      </c>
      <c r="N256" s="100"/>
      <c r="O256" s="102"/>
      <c r="P256" s="31" t="s">
        <v>1271</v>
      </c>
      <c r="Q256" s="28" t="s">
        <v>71</v>
      </c>
      <c r="R256" s="98"/>
      <c r="S256" s="103"/>
      <c r="T256" s="104"/>
      <c r="U256" s="34"/>
      <c r="V256" s="106"/>
      <c r="W256" s="106"/>
      <c r="X256" s="106"/>
      <c r="Y256" s="106"/>
      <c r="Z256" s="106"/>
      <c r="AA256" s="106"/>
      <c r="AB256" s="106"/>
      <c r="AC256" s="106"/>
      <c r="AD256" s="106"/>
      <c r="AE256" s="106"/>
      <c r="AF256" s="106"/>
      <c r="AG256" s="106"/>
      <c r="AH256" s="106"/>
      <c r="AI256" s="106"/>
      <c r="AJ256" s="106"/>
      <c r="AK256" s="106"/>
      <c r="AL256" s="106"/>
      <c r="AM256" s="106"/>
      <c r="AN256" s="106"/>
      <c r="AO256" s="106"/>
      <c r="AP256" s="106"/>
      <c r="AQ256" s="106"/>
      <c r="AR256" s="106"/>
      <c r="AS256" s="106"/>
      <c r="AT256" s="106"/>
      <c r="AU256" s="106"/>
      <c r="AV256" s="106"/>
      <c r="AW256" s="106"/>
      <c r="AX256" s="106"/>
      <c r="AY256" s="106"/>
      <c r="AZ256" s="106"/>
      <c r="BA256" s="106"/>
      <c r="BB256" s="106"/>
      <c r="BC256" s="106"/>
      <c r="BD256" s="106"/>
      <c r="BE256" s="106"/>
      <c r="BF256" s="106"/>
      <c r="BG256" s="106"/>
      <c r="BH256" s="106"/>
      <c r="BI256" s="106"/>
      <c r="BJ256" s="106"/>
      <c r="BK256" s="106"/>
      <c r="BL256" s="106"/>
      <c r="BM256" s="106"/>
      <c r="BN256" s="106"/>
    </row>
    <row r="257" ht="29.25" hidden="1" customHeight="1">
      <c r="A257" s="93" t="s">
        <v>155</v>
      </c>
      <c r="B257" s="107" t="s">
        <v>1272</v>
      </c>
      <c r="C257" s="108" t="s">
        <v>1273</v>
      </c>
      <c r="D257" s="112" t="s">
        <v>1274</v>
      </c>
      <c r="E257" s="97"/>
      <c r="F257" s="124" t="s">
        <v>75</v>
      </c>
      <c r="G257" s="98">
        <v>100.0</v>
      </c>
      <c r="H257" s="98"/>
      <c r="I257" s="100">
        <v>45922.0</v>
      </c>
      <c r="J257" s="101">
        <v>45924.0</v>
      </c>
      <c r="K257" s="101"/>
      <c r="L257" s="101">
        <v>45925.0</v>
      </c>
      <c r="M257" s="25">
        <f>IF(ISBLANK(L257), NETWORKDAYS(J257, TODAY(),Hoja2!$A$1:$A$18), NETWORKDAYS(J257, L257, Hoja2!$A$1:$A$18))</f>
        <v>2</v>
      </c>
      <c r="N257" s="100"/>
      <c r="O257" s="102"/>
      <c r="P257" s="31" t="s">
        <v>1275</v>
      </c>
      <c r="Q257" s="28" t="s">
        <v>71</v>
      </c>
      <c r="R257" s="98"/>
      <c r="S257" s="103"/>
      <c r="T257" s="104"/>
      <c r="U257" s="34"/>
      <c r="V257" s="106"/>
      <c r="W257" s="106"/>
      <c r="X257" s="106"/>
      <c r="Y257" s="106"/>
      <c r="Z257" s="106"/>
      <c r="AA257" s="106"/>
      <c r="AB257" s="106"/>
      <c r="AC257" s="106"/>
      <c r="AD257" s="106"/>
      <c r="AE257" s="106"/>
      <c r="AF257" s="106"/>
      <c r="AG257" s="106"/>
      <c r="AH257" s="106"/>
      <c r="AI257" s="106"/>
      <c r="AJ257" s="106"/>
      <c r="AK257" s="106"/>
      <c r="AL257" s="106"/>
      <c r="AM257" s="106"/>
      <c r="AN257" s="106"/>
      <c r="AO257" s="106"/>
      <c r="AP257" s="106"/>
      <c r="AQ257" s="106"/>
      <c r="AR257" s="106"/>
      <c r="AS257" s="106"/>
      <c r="AT257" s="106"/>
      <c r="AU257" s="106"/>
      <c r="AV257" s="106"/>
      <c r="AW257" s="106"/>
      <c r="AX257" s="106"/>
      <c r="AY257" s="106"/>
      <c r="AZ257" s="106"/>
      <c r="BA257" s="106"/>
      <c r="BB257" s="106"/>
      <c r="BC257" s="106"/>
      <c r="BD257" s="106"/>
      <c r="BE257" s="106"/>
      <c r="BF257" s="106"/>
      <c r="BG257" s="106"/>
      <c r="BH257" s="106"/>
      <c r="BI257" s="106"/>
      <c r="BJ257" s="106"/>
      <c r="BK257" s="106"/>
      <c r="BL257" s="106"/>
      <c r="BM257" s="106"/>
      <c r="BN257" s="106"/>
    </row>
    <row r="258" ht="29.25" hidden="1" customHeight="1">
      <c r="A258" s="93" t="s">
        <v>155</v>
      </c>
      <c r="B258" s="107" t="s">
        <v>1276</v>
      </c>
      <c r="C258" s="108" t="s">
        <v>1277</v>
      </c>
      <c r="D258" s="112" t="s">
        <v>1278</v>
      </c>
      <c r="E258" s="97"/>
      <c r="F258" s="124" t="s">
        <v>75</v>
      </c>
      <c r="G258" s="98">
        <v>100.0</v>
      </c>
      <c r="H258" s="98"/>
      <c r="I258" s="100">
        <v>45915.0</v>
      </c>
      <c r="J258" s="101">
        <v>45916.0</v>
      </c>
      <c r="K258" s="101"/>
      <c r="L258" s="101">
        <v>45919.0</v>
      </c>
      <c r="M258" s="25">
        <f>IF(ISBLANK(L258), NETWORKDAYS(J258, TODAY(),Hoja2!$A$1:$A$18), NETWORKDAYS(J258, L258, Hoja2!$A$1:$A$18))</f>
        <v>4</v>
      </c>
      <c r="N258" s="100"/>
      <c r="O258" s="102"/>
      <c r="P258" s="31" t="s">
        <v>1279</v>
      </c>
      <c r="Q258" s="28" t="s">
        <v>71</v>
      </c>
      <c r="R258" s="98"/>
      <c r="S258" s="103"/>
      <c r="T258" s="104"/>
      <c r="U258" s="34"/>
      <c r="V258" s="106"/>
      <c r="W258" s="106"/>
      <c r="X258" s="106"/>
      <c r="Y258" s="106"/>
      <c r="Z258" s="106"/>
      <c r="AA258" s="106"/>
      <c r="AB258" s="106"/>
      <c r="AC258" s="106"/>
      <c r="AD258" s="106"/>
      <c r="AE258" s="106"/>
      <c r="AF258" s="106"/>
      <c r="AG258" s="106"/>
      <c r="AH258" s="106"/>
      <c r="AI258" s="106"/>
      <c r="AJ258" s="106"/>
      <c r="AK258" s="106"/>
      <c r="AL258" s="106"/>
      <c r="AM258" s="106"/>
      <c r="AN258" s="106"/>
      <c r="AO258" s="106"/>
      <c r="AP258" s="106"/>
      <c r="AQ258" s="106"/>
      <c r="AR258" s="106"/>
      <c r="AS258" s="106"/>
      <c r="AT258" s="106"/>
      <c r="AU258" s="106"/>
      <c r="AV258" s="106"/>
      <c r="AW258" s="106"/>
      <c r="AX258" s="106"/>
      <c r="AY258" s="106"/>
      <c r="AZ258" s="106"/>
      <c r="BA258" s="106"/>
      <c r="BB258" s="106"/>
      <c r="BC258" s="106"/>
      <c r="BD258" s="106"/>
      <c r="BE258" s="106"/>
      <c r="BF258" s="106"/>
      <c r="BG258" s="106"/>
      <c r="BH258" s="106"/>
      <c r="BI258" s="106"/>
      <c r="BJ258" s="106"/>
      <c r="BK258" s="106"/>
      <c r="BL258" s="106"/>
      <c r="BM258" s="106"/>
      <c r="BN258" s="106"/>
    </row>
    <row r="259" ht="29.25" hidden="1" customHeight="1">
      <c r="A259" s="93" t="s">
        <v>155</v>
      </c>
      <c r="B259" s="107" t="s">
        <v>1280</v>
      </c>
      <c r="C259" s="108" t="s">
        <v>1281</v>
      </c>
      <c r="D259" s="112" t="s">
        <v>1282</v>
      </c>
      <c r="E259" s="97"/>
      <c r="F259" s="124" t="s">
        <v>75</v>
      </c>
      <c r="G259" s="98">
        <v>100.0</v>
      </c>
      <c r="H259" s="99"/>
      <c r="I259" s="100">
        <v>45904.0</v>
      </c>
      <c r="J259" s="101">
        <v>45905.0</v>
      </c>
      <c r="K259" s="101"/>
      <c r="L259" s="101">
        <v>45905.0</v>
      </c>
      <c r="M259" s="25">
        <f>IF(ISBLANK(L259), NETWORKDAYS(J259, TODAY(),Hoja2!$A$1:$A$18), NETWORKDAYS(J259, L259, Hoja2!$A$1:$A$18))</f>
        <v>1</v>
      </c>
      <c r="N259" s="100">
        <v>45910.0</v>
      </c>
      <c r="O259" s="102">
        <v>45905.0</v>
      </c>
      <c r="P259" s="31" t="s">
        <v>1283</v>
      </c>
      <c r="Q259" s="28" t="s">
        <v>71</v>
      </c>
      <c r="R259" s="98"/>
      <c r="S259" s="103"/>
      <c r="T259" s="104"/>
      <c r="U259" s="106"/>
      <c r="V259" s="106"/>
      <c r="W259" s="106"/>
      <c r="X259" s="106"/>
      <c r="Y259" s="106"/>
      <c r="Z259" s="106"/>
      <c r="AA259" s="106"/>
      <c r="AB259" s="106"/>
      <c r="AC259" s="106"/>
      <c r="AD259" s="106"/>
      <c r="AE259" s="106"/>
      <c r="AF259" s="106"/>
      <c r="AG259" s="106"/>
      <c r="AH259" s="106"/>
      <c r="AI259" s="106"/>
      <c r="AJ259" s="106"/>
      <c r="AK259" s="106"/>
      <c r="AL259" s="106"/>
      <c r="AM259" s="106"/>
      <c r="AN259" s="106"/>
      <c r="AO259" s="106"/>
      <c r="AP259" s="106"/>
      <c r="AQ259" s="106"/>
      <c r="AR259" s="106"/>
      <c r="AS259" s="106"/>
      <c r="AT259" s="106"/>
      <c r="AU259" s="106"/>
      <c r="AV259" s="106"/>
      <c r="AW259" s="106"/>
      <c r="AX259" s="106"/>
      <c r="AY259" s="106"/>
      <c r="AZ259" s="106"/>
      <c r="BA259" s="106"/>
      <c r="BB259" s="106"/>
      <c r="BC259" s="106"/>
      <c r="BD259" s="106"/>
      <c r="BE259" s="106"/>
      <c r="BF259" s="106"/>
      <c r="BG259" s="106"/>
      <c r="BH259" s="106"/>
      <c r="BI259" s="106"/>
      <c r="BJ259" s="106"/>
      <c r="BK259" s="106"/>
      <c r="BL259" s="106"/>
      <c r="BM259" s="106"/>
      <c r="BN259" s="106"/>
    </row>
    <row r="260" ht="29.25" hidden="1" customHeight="1">
      <c r="A260" s="93" t="s">
        <v>126</v>
      </c>
      <c r="B260" s="107" t="s">
        <v>1284</v>
      </c>
      <c r="C260" s="108" t="s">
        <v>1285</v>
      </c>
      <c r="D260" s="96" t="s">
        <v>1286</v>
      </c>
      <c r="E260" s="97"/>
      <c r="F260" s="124" t="s">
        <v>75</v>
      </c>
      <c r="G260" s="98">
        <v>100.0</v>
      </c>
      <c r="H260" s="99"/>
      <c r="I260" s="100">
        <v>45896.0</v>
      </c>
      <c r="J260" s="101">
        <v>45898.0</v>
      </c>
      <c r="K260" s="101"/>
      <c r="L260" s="101">
        <v>45898.0</v>
      </c>
      <c r="M260" s="25">
        <f>IF(ISBLANK(L260), NETWORKDAYS(J260, TODAY(),Hoja2!$A$1:$A$18), NETWORKDAYS(J260, L260, Hoja2!$A$1:$A$18))</f>
        <v>1</v>
      </c>
      <c r="N260" s="100"/>
      <c r="O260" s="102">
        <v>45898.0</v>
      </c>
      <c r="P260" s="31" t="s">
        <v>1287</v>
      </c>
      <c r="Q260" s="28" t="s">
        <v>71</v>
      </c>
      <c r="R260" s="103"/>
      <c r="S260" s="103"/>
      <c r="T260" s="104"/>
      <c r="U260" s="106"/>
      <c r="V260" s="106"/>
      <c r="W260" s="106"/>
      <c r="X260" s="106"/>
      <c r="Y260" s="106"/>
      <c r="Z260" s="106"/>
      <c r="AA260" s="106"/>
      <c r="AB260" s="106"/>
      <c r="AC260" s="106"/>
      <c r="AD260" s="106"/>
      <c r="AE260" s="106"/>
      <c r="AF260" s="106"/>
      <c r="AG260" s="106"/>
      <c r="AH260" s="106"/>
      <c r="AI260" s="106"/>
      <c r="AJ260" s="106"/>
      <c r="AK260" s="106"/>
      <c r="AL260" s="106"/>
      <c r="AM260" s="106"/>
      <c r="AN260" s="106"/>
      <c r="AO260" s="106"/>
      <c r="AP260" s="106"/>
      <c r="AQ260" s="106"/>
      <c r="AR260" s="106"/>
      <c r="AS260" s="106"/>
      <c r="AT260" s="106"/>
      <c r="AU260" s="106"/>
      <c r="AV260" s="106"/>
      <c r="AW260" s="106"/>
      <c r="AX260" s="106"/>
      <c r="AY260" s="106"/>
      <c r="AZ260" s="106"/>
      <c r="BA260" s="106"/>
      <c r="BB260" s="106"/>
      <c r="BC260" s="106"/>
      <c r="BD260" s="106"/>
      <c r="BE260" s="106"/>
      <c r="BF260" s="106"/>
      <c r="BG260" s="106"/>
      <c r="BH260" s="106"/>
      <c r="BI260" s="106"/>
      <c r="BJ260" s="106"/>
      <c r="BK260" s="106"/>
      <c r="BL260" s="106"/>
      <c r="BM260" s="106"/>
      <c r="BN260" s="106"/>
    </row>
    <row r="261" ht="29.25" hidden="1" customHeight="1">
      <c r="A261" s="93" t="s">
        <v>457</v>
      </c>
      <c r="B261" s="107" t="s">
        <v>1288</v>
      </c>
      <c r="C261" s="108" t="s">
        <v>1289</v>
      </c>
      <c r="D261" s="96" t="s">
        <v>1290</v>
      </c>
      <c r="E261" s="97"/>
      <c r="F261" s="124" t="s">
        <v>75</v>
      </c>
      <c r="G261" s="98">
        <v>100.0</v>
      </c>
      <c r="H261" s="99"/>
      <c r="I261" s="100">
        <v>45945.0</v>
      </c>
      <c r="J261" s="101">
        <v>45946.0</v>
      </c>
      <c r="K261" s="101"/>
      <c r="L261" s="101">
        <v>45954.0</v>
      </c>
      <c r="M261" s="25">
        <f>IF(ISBLANK(L261), NETWORKDAYS(J261, TODAY(),Hoja2!$A$1:$A$18), NETWORKDAYS(J261, L261, Hoja2!$A$1:$A$18))</f>
        <v>7</v>
      </c>
      <c r="N261" s="100">
        <v>45954.0</v>
      </c>
      <c r="O261" s="102">
        <v>45954.0</v>
      </c>
      <c r="P261" s="31" t="s">
        <v>1291</v>
      </c>
      <c r="Q261" s="28" t="s">
        <v>71</v>
      </c>
      <c r="R261" s="103"/>
      <c r="S261" s="103"/>
      <c r="T261" s="104"/>
      <c r="U261" s="106"/>
      <c r="V261" s="106"/>
      <c r="W261" s="106"/>
      <c r="X261" s="106"/>
      <c r="Y261" s="106"/>
      <c r="Z261" s="106"/>
      <c r="AA261" s="106"/>
      <c r="AB261" s="106"/>
      <c r="AC261" s="106"/>
      <c r="AD261" s="106"/>
      <c r="AE261" s="106"/>
      <c r="AF261" s="106"/>
      <c r="AG261" s="106"/>
      <c r="AH261" s="106"/>
      <c r="AI261" s="106"/>
      <c r="AJ261" s="106"/>
      <c r="AK261" s="106"/>
      <c r="AL261" s="106"/>
      <c r="AM261" s="106"/>
      <c r="AN261" s="106"/>
      <c r="AO261" s="106"/>
      <c r="AP261" s="106"/>
      <c r="AQ261" s="106"/>
      <c r="AR261" s="106"/>
      <c r="AS261" s="106"/>
      <c r="AT261" s="106"/>
      <c r="AU261" s="106"/>
      <c r="AV261" s="106"/>
      <c r="AW261" s="106"/>
      <c r="AX261" s="106"/>
      <c r="AY261" s="106"/>
      <c r="AZ261" s="106"/>
      <c r="BA261" s="106"/>
      <c r="BB261" s="106"/>
      <c r="BC261" s="106"/>
      <c r="BD261" s="106"/>
      <c r="BE261" s="106"/>
      <c r="BF261" s="106"/>
      <c r="BG261" s="106"/>
      <c r="BH261" s="106"/>
      <c r="BI261" s="106"/>
      <c r="BJ261" s="106"/>
      <c r="BK261" s="106"/>
      <c r="BL261" s="106"/>
      <c r="BM261" s="106"/>
      <c r="BN261" s="106"/>
    </row>
    <row r="262" ht="29.25" customHeight="1">
      <c r="A262" s="93" t="s">
        <v>155</v>
      </c>
      <c r="B262" s="107" t="s">
        <v>1292</v>
      </c>
      <c r="C262" s="95" t="s">
        <v>1293</v>
      </c>
      <c r="D262" s="96" t="s">
        <v>1294</v>
      </c>
      <c r="E262" s="97"/>
      <c r="F262" s="124" t="s">
        <v>237</v>
      </c>
      <c r="G262" s="99"/>
      <c r="H262" s="99"/>
      <c r="I262" s="100">
        <v>45895.0</v>
      </c>
      <c r="J262" s="101"/>
      <c r="K262" s="101"/>
      <c r="L262" s="101"/>
      <c r="M262" s="25">
        <f>IF(ISBLANK(L262), NETWORKDAYS(J262, TODAY(),Hoja2!$A$1:$A$18), NETWORKDAYS(J262, L262, Hoja2!$A$1:$A$18))</f>
        <v>32848</v>
      </c>
      <c r="N262" s="200"/>
      <c r="O262" s="201"/>
      <c r="P262" s="31" t="s">
        <v>1295</v>
      </c>
      <c r="Q262" s="28" t="s">
        <v>91</v>
      </c>
      <c r="R262" s="172"/>
      <c r="S262" s="172"/>
      <c r="T262" s="173"/>
      <c r="U262" s="106"/>
      <c r="V262" s="106"/>
      <c r="W262" s="106"/>
      <c r="X262" s="106"/>
      <c r="Y262" s="106"/>
      <c r="Z262" s="106"/>
      <c r="AA262" s="106"/>
      <c r="AB262" s="106"/>
      <c r="AC262" s="106"/>
      <c r="AD262" s="106"/>
      <c r="AE262" s="106"/>
      <c r="AF262" s="106"/>
      <c r="AG262" s="106"/>
      <c r="AH262" s="106"/>
      <c r="AI262" s="106"/>
      <c r="AJ262" s="106"/>
      <c r="AK262" s="106"/>
      <c r="AL262" s="106"/>
      <c r="AM262" s="106"/>
      <c r="AN262" s="106"/>
      <c r="AO262" s="106"/>
      <c r="AP262" s="106"/>
      <c r="AQ262" s="106"/>
      <c r="AR262" s="106"/>
      <c r="AS262" s="106"/>
      <c r="AT262" s="106"/>
      <c r="AU262" s="106"/>
      <c r="AV262" s="106"/>
      <c r="AW262" s="106"/>
      <c r="AX262" s="106"/>
      <c r="AY262" s="106"/>
      <c r="AZ262" s="106"/>
      <c r="BA262" s="106"/>
      <c r="BB262" s="106"/>
      <c r="BC262" s="106"/>
      <c r="BD262" s="106"/>
      <c r="BE262" s="106"/>
      <c r="BF262" s="106"/>
      <c r="BG262" s="106"/>
      <c r="BH262" s="106"/>
      <c r="BI262" s="106"/>
      <c r="BJ262" s="106"/>
      <c r="BK262" s="106"/>
      <c r="BL262" s="106"/>
      <c r="BM262" s="106"/>
      <c r="BN262" s="106"/>
    </row>
    <row r="263" ht="29.25" hidden="1" customHeight="1">
      <c r="A263" s="93" t="s">
        <v>155</v>
      </c>
      <c r="B263" s="107" t="s">
        <v>1296</v>
      </c>
      <c r="C263" s="111" t="s">
        <v>1297</v>
      </c>
      <c r="D263" s="202"/>
      <c r="E263" s="97"/>
      <c r="F263" s="124" t="s">
        <v>75</v>
      </c>
      <c r="G263" s="98">
        <v>100.0</v>
      </c>
      <c r="H263" s="99"/>
      <c r="I263" s="100">
        <v>45993.0</v>
      </c>
      <c r="J263" s="101">
        <v>45994.0</v>
      </c>
      <c r="K263" s="101"/>
      <c r="L263" s="101">
        <v>45995.0</v>
      </c>
      <c r="M263" s="25">
        <f>IF(ISBLANK(L263), NETWORKDAYS(J263, TODAY(),Hoja2!$A$1:$A$18), NETWORKDAYS(J263, L263, Hoja2!$A$1:$A$18))</f>
        <v>2</v>
      </c>
      <c r="N263" s="100"/>
      <c r="O263" s="102"/>
      <c r="P263" s="31" t="s">
        <v>1298</v>
      </c>
      <c r="Q263" s="28" t="s">
        <v>71</v>
      </c>
      <c r="R263" s="172"/>
      <c r="S263" s="167"/>
      <c r="T263" s="173"/>
      <c r="U263" s="106"/>
      <c r="V263" s="106"/>
      <c r="W263" s="106"/>
      <c r="X263" s="106"/>
      <c r="Y263" s="106"/>
      <c r="Z263" s="106"/>
      <c r="AA263" s="106"/>
      <c r="AB263" s="106"/>
      <c r="AC263" s="106"/>
      <c r="AD263" s="106"/>
      <c r="AE263" s="106"/>
      <c r="AF263" s="106"/>
      <c r="AG263" s="106"/>
      <c r="AH263" s="106"/>
      <c r="AI263" s="106"/>
      <c r="AJ263" s="106"/>
      <c r="AK263" s="106"/>
      <c r="AL263" s="106"/>
      <c r="AM263" s="106"/>
      <c r="AN263" s="106"/>
      <c r="AO263" s="106"/>
      <c r="AP263" s="106"/>
      <c r="AQ263" s="106"/>
      <c r="AR263" s="106"/>
      <c r="AS263" s="106"/>
      <c r="AT263" s="106"/>
      <c r="AU263" s="106"/>
      <c r="AV263" s="106"/>
      <c r="AW263" s="106"/>
      <c r="AX263" s="106"/>
      <c r="AY263" s="106"/>
      <c r="AZ263" s="106"/>
      <c r="BA263" s="106"/>
      <c r="BB263" s="106"/>
      <c r="BC263" s="106"/>
      <c r="BD263" s="106"/>
      <c r="BE263" s="106"/>
      <c r="BF263" s="106"/>
      <c r="BG263" s="106"/>
      <c r="BH263" s="106"/>
      <c r="BI263" s="106"/>
      <c r="BJ263" s="106"/>
      <c r="BK263" s="106"/>
      <c r="BL263" s="106"/>
      <c r="BM263" s="106"/>
      <c r="BN263" s="106"/>
    </row>
    <row r="264" ht="29.25" customHeight="1">
      <c r="A264" s="93" t="s">
        <v>155</v>
      </c>
      <c r="B264" s="107" t="s">
        <v>1299</v>
      </c>
      <c r="C264" s="95" t="s">
        <v>1300</v>
      </c>
      <c r="D264" s="203" t="s">
        <v>1301</v>
      </c>
      <c r="E264" s="97"/>
      <c r="F264" s="124" t="s">
        <v>237</v>
      </c>
      <c r="G264" s="99"/>
      <c r="H264" s="99"/>
      <c r="I264" s="100">
        <v>45903.0</v>
      </c>
      <c r="J264" s="101"/>
      <c r="K264" s="101"/>
      <c r="L264" s="101"/>
      <c r="M264" s="25">
        <f>IF(ISBLANK(L264), NETWORKDAYS(J264, TODAY(),Hoja2!$A$1:$A$18), NETWORKDAYS(J264, L264, Hoja2!$A$1:$A$18))</f>
        <v>32848</v>
      </c>
      <c r="N264" s="100"/>
      <c r="O264" s="102"/>
      <c r="P264" s="31"/>
      <c r="Q264" s="28" t="s">
        <v>91</v>
      </c>
      <c r="R264" s="172"/>
      <c r="S264" s="172"/>
      <c r="T264" s="173"/>
      <c r="U264" s="106"/>
      <c r="V264" s="106"/>
      <c r="W264" s="106"/>
      <c r="X264" s="106"/>
      <c r="Y264" s="106"/>
      <c r="Z264" s="106"/>
      <c r="AA264" s="106"/>
      <c r="AB264" s="106"/>
      <c r="AC264" s="106"/>
      <c r="AD264" s="106"/>
      <c r="AE264" s="106"/>
      <c r="AF264" s="106"/>
      <c r="AG264" s="106"/>
      <c r="AH264" s="106"/>
      <c r="AI264" s="106"/>
      <c r="AJ264" s="106"/>
      <c r="AK264" s="106"/>
      <c r="AL264" s="106"/>
      <c r="AM264" s="106"/>
      <c r="AN264" s="106"/>
      <c r="AO264" s="106"/>
      <c r="AP264" s="106"/>
      <c r="AQ264" s="106"/>
      <c r="AR264" s="106"/>
      <c r="AS264" s="106"/>
      <c r="AT264" s="106"/>
      <c r="AU264" s="106"/>
      <c r="AV264" s="106"/>
      <c r="AW264" s="106"/>
      <c r="AX264" s="106"/>
      <c r="AY264" s="106"/>
      <c r="AZ264" s="106"/>
      <c r="BA264" s="106"/>
      <c r="BB264" s="106"/>
      <c r="BC264" s="106"/>
      <c r="BD264" s="106"/>
      <c r="BE264" s="106"/>
      <c r="BF264" s="106"/>
      <c r="BG264" s="106"/>
      <c r="BH264" s="106"/>
      <c r="BI264" s="106"/>
      <c r="BJ264" s="106"/>
      <c r="BK264" s="106"/>
      <c r="BL264" s="106"/>
      <c r="BM264" s="106"/>
      <c r="BN264" s="106"/>
    </row>
    <row r="265" ht="29.25" customHeight="1">
      <c r="A265" s="93" t="s">
        <v>211</v>
      </c>
      <c r="B265" s="107" t="s">
        <v>1302</v>
      </c>
      <c r="C265" s="122" t="s">
        <v>1303</v>
      </c>
      <c r="D265" s="112"/>
      <c r="E265" s="97"/>
      <c r="F265" s="113" t="s">
        <v>237</v>
      </c>
      <c r="G265" s="98"/>
      <c r="H265" s="98"/>
      <c r="I265" s="100">
        <v>45994.0</v>
      </c>
      <c r="J265" s="101"/>
      <c r="K265" s="101"/>
      <c r="L265" s="101"/>
      <c r="M265" s="25">
        <f>IF(ISBLANK(L265), NETWORKDAYS(J265, TODAY(),Hoja2!$A$1:$A$18), NETWORKDAYS(J265, L265, Hoja2!$A$1:$A$18))</f>
        <v>32848</v>
      </c>
      <c r="N265" s="100"/>
      <c r="O265" s="102"/>
      <c r="P265" s="31"/>
      <c r="Q265" s="28" t="s">
        <v>583</v>
      </c>
      <c r="R265" s="167"/>
      <c r="S265" s="167"/>
      <c r="T265" s="173"/>
      <c r="U265" s="197"/>
      <c r="V265" s="106"/>
      <c r="W265" s="106"/>
      <c r="X265" s="106"/>
      <c r="Y265" s="106"/>
      <c r="Z265" s="106"/>
      <c r="AA265" s="106"/>
      <c r="AB265" s="106"/>
      <c r="AC265" s="106"/>
      <c r="AD265" s="106"/>
      <c r="AE265" s="106"/>
      <c r="AF265" s="106"/>
      <c r="AG265" s="106"/>
      <c r="AH265" s="106"/>
      <c r="AI265" s="106"/>
      <c r="AJ265" s="106"/>
      <c r="AK265" s="106"/>
      <c r="AL265" s="106"/>
      <c r="AM265" s="106"/>
      <c r="AN265" s="106"/>
      <c r="AO265" s="106"/>
      <c r="AP265" s="106"/>
      <c r="AQ265" s="106"/>
      <c r="AR265" s="106"/>
      <c r="AS265" s="106"/>
      <c r="AT265" s="106"/>
      <c r="AU265" s="106"/>
      <c r="AV265" s="106"/>
      <c r="AW265" s="106"/>
      <c r="AX265" s="106"/>
      <c r="AY265" s="106"/>
      <c r="AZ265" s="106"/>
      <c r="BA265" s="106"/>
      <c r="BB265" s="106"/>
      <c r="BC265" s="106"/>
      <c r="BD265" s="106"/>
      <c r="BE265" s="106"/>
      <c r="BF265" s="106"/>
      <c r="BG265" s="106"/>
      <c r="BH265" s="106"/>
      <c r="BI265" s="106"/>
      <c r="BJ265" s="106"/>
      <c r="BK265" s="106"/>
      <c r="BL265" s="106"/>
      <c r="BM265" s="106"/>
      <c r="BN265" s="106"/>
    </row>
    <row r="266" ht="29.25" customHeight="1">
      <c r="A266" s="93" t="s">
        <v>155</v>
      </c>
      <c r="B266" s="107" t="s">
        <v>1304</v>
      </c>
      <c r="C266" s="95" t="s">
        <v>1305</v>
      </c>
      <c r="D266" s="112" t="s">
        <v>1306</v>
      </c>
      <c r="E266" s="97"/>
      <c r="F266" s="124" t="s">
        <v>237</v>
      </c>
      <c r="G266" s="98"/>
      <c r="H266" s="204"/>
      <c r="I266" s="100">
        <v>45931.0</v>
      </c>
      <c r="J266" s="101"/>
      <c r="K266" s="101"/>
      <c r="L266" s="101"/>
      <c r="M266" s="25">
        <f>IF(ISBLANK(L266), NETWORKDAYS(J266, TODAY(),Hoja2!$A$1:$A$18), NETWORKDAYS(J266, L266, Hoja2!$A$1:$A$18))</f>
        <v>32848</v>
      </c>
      <c r="N266" s="100"/>
      <c r="O266" s="102"/>
      <c r="P266" s="31"/>
      <c r="Q266" s="28" t="s">
        <v>91</v>
      </c>
      <c r="R266" s="167"/>
      <c r="S266" s="172"/>
      <c r="T266" s="173"/>
      <c r="U266" s="34"/>
      <c r="V266" s="106"/>
      <c r="W266" s="106"/>
      <c r="X266" s="106"/>
      <c r="Y266" s="106"/>
      <c r="Z266" s="106"/>
      <c r="AA266" s="106"/>
      <c r="AB266" s="106"/>
      <c r="AC266" s="106"/>
      <c r="AD266" s="106"/>
      <c r="AE266" s="106"/>
      <c r="AF266" s="106"/>
      <c r="AG266" s="106"/>
      <c r="AH266" s="106"/>
      <c r="AI266" s="106"/>
      <c r="AJ266" s="106"/>
      <c r="AK266" s="106"/>
      <c r="AL266" s="106"/>
      <c r="AM266" s="106"/>
      <c r="AN266" s="106"/>
      <c r="AO266" s="106"/>
      <c r="AP266" s="106"/>
      <c r="AQ266" s="106"/>
      <c r="AR266" s="106"/>
      <c r="AS266" s="106"/>
      <c r="AT266" s="106"/>
      <c r="AU266" s="106"/>
      <c r="AV266" s="106"/>
      <c r="AW266" s="106"/>
      <c r="AX266" s="106"/>
      <c r="AY266" s="106"/>
      <c r="AZ266" s="106"/>
      <c r="BA266" s="106"/>
      <c r="BB266" s="106"/>
      <c r="BC266" s="106"/>
      <c r="BD266" s="106"/>
      <c r="BE266" s="106"/>
      <c r="BF266" s="106"/>
      <c r="BG266" s="106"/>
      <c r="BH266" s="106"/>
      <c r="BI266" s="106"/>
      <c r="BJ266" s="106"/>
      <c r="BK266" s="106"/>
      <c r="BL266" s="106"/>
      <c r="BM266" s="106"/>
      <c r="BN266" s="106"/>
    </row>
    <row r="267" ht="29.25" customHeight="1">
      <c r="A267" s="93" t="s">
        <v>155</v>
      </c>
      <c r="B267" s="107" t="s">
        <v>1307</v>
      </c>
      <c r="C267" s="95" t="s">
        <v>1308</v>
      </c>
      <c r="D267" s="202" t="s">
        <v>1309</v>
      </c>
      <c r="E267" s="97"/>
      <c r="F267" s="124" t="s">
        <v>69</v>
      </c>
      <c r="G267" s="98">
        <v>80.0</v>
      </c>
      <c r="H267" s="99"/>
      <c r="I267" s="100">
        <v>45954.0</v>
      </c>
      <c r="J267" s="101">
        <v>45957.0</v>
      </c>
      <c r="K267" s="101"/>
      <c r="L267" s="101">
        <v>45982.0</v>
      </c>
      <c r="M267" s="25">
        <f>IF(ISBLANK(L267), NETWORKDAYS(J267, TODAY(),Hoja2!$A$1:$A$18), NETWORKDAYS(J267, L267, Hoja2!$A$1:$A$18))</f>
        <v>20</v>
      </c>
      <c r="N267" s="100">
        <v>45982.0</v>
      </c>
      <c r="O267" s="102"/>
      <c r="P267" s="31" t="s">
        <v>1310</v>
      </c>
      <c r="Q267" s="28" t="s">
        <v>71</v>
      </c>
      <c r="R267" s="172"/>
      <c r="S267" s="167" t="s">
        <v>1311</v>
      </c>
      <c r="T267" s="173"/>
      <c r="U267" s="106"/>
      <c r="V267" s="106"/>
      <c r="W267" s="106"/>
      <c r="X267" s="106"/>
      <c r="Y267" s="106"/>
      <c r="Z267" s="106"/>
      <c r="AA267" s="106"/>
      <c r="AB267" s="106"/>
      <c r="AC267" s="106"/>
      <c r="AD267" s="106"/>
      <c r="AE267" s="106"/>
      <c r="AF267" s="106"/>
      <c r="AG267" s="106"/>
      <c r="AH267" s="106"/>
      <c r="AI267" s="106"/>
      <c r="AJ267" s="106"/>
      <c r="AK267" s="106"/>
      <c r="AL267" s="106"/>
      <c r="AM267" s="106"/>
      <c r="AN267" s="106"/>
      <c r="AO267" s="106"/>
      <c r="AP267" s="106"/>
      <c r="AQ267" s="106"/>
      <c r="AR267" s="106"/>
      <c r="AS267" s="106"/>
      <c r="AT267" s="106"/>
      <c r="AU267" s="106"/>
      <c r="AV267" s="106"/>
      <c r="AW267" s="106"/>
      <c r="AX267" s="106"/>
      <c r="AY267" s="106"/>
      <c r="AZ267" s="106"/>
      <c r="BA267" s="106"/>
      <c r="BB267" s="106"/>
      <c r="BC267" s="106"/>
      <c r="BD267" s="106"/>
      <c r="BE267" s="106"/>
      <c r="BF267" s="106"/>
      <c r="BG267" s="106"/>
      <c r="BH267" s="106"/>
      <c r="BI267" s="106"/>
      <c r="BJ267" s="106"/>
      <c r="BK267" s="106"/>
      <c r="BL267" s="106"/>
      <c r="BM267" s="106"/>
      <c r="BN267" s="106"/>
    </row>
    <row r="268" ht="29.25" customHeight="1">
      <c r="A268" s="93" t="s">
        <v>155</v>
      </c>
      <c r="B268" s="107" t="s">
        <v>1312</v>
      </c>
      <c r="C268" s="111" t="s">
        <v>1313</v>
      </c>
      <c r="D268" s="123" t="s">
        <v>1314</v>
      </c>
      <c r="E268" s="97"/>
      <c r="F268" s="124" t="s">
        <v>237</v>
      </c>
      <c r="G268" s="98"/>
      <c r="H268" s="99"/>
      <c r="I268" s="100">
        <v>45988.0</v>
      </c>
      <c r="J268" s="101"/>
      <c r="K268" s="101"/>
      <c r="L268" s="101"/>
      <c r="M268" s="25">
        <f>IF(ISBLANK(L268), NETWORKDAYS(J268, TODAY(),Hoja2!$A$1:$A$18), NETWORKDAYS(J268, L268, Hoja2!$A$1:$A$18))</f>
        <v>32848</v>
      </c>
      <c r="N268" s="100"/>
      <c r="O268" s="102"/>
      <c r="P268" s="31"/>
      <c r="Q268" s="28" t="s">
        <v>91</v>
      </c>
      <c r="R268" s="172"/>
      <c r="S268" s="167"/>
      <c r="T268" s="173"/>
      <c r="U268" s="106"/>
      <c r="V268" s="106"/>
      <c r="W268" s="106"/>
      <c r="X268" s="106"/>
      <c r="Y268" s="106"/>
      <c r="Z268" s="106"/>
      <c r="AA268" s="106"/>
      <c r="AB268" s="106"/>
      <c r="AC268" s="106"/>
      <c r="AD268" s="106"/>
      <c r="AE268" s="106"/>
      <c r="AF268" s="106"/>
      <c r="AG268" s="106"/>
      <c r="AH268" s="106"/>
      <c r="AI268" s="106"/>
      <c r="AJ268" s="106"/>
      <c r="AK268" s="106"/>
      <c r="AL268" s="106"/>
      <c r="AM268" s="106"/>
      <c r="AN268" s="106"/>
      <c r="AO268" s="106"/>
      <c r="AP268" s="106"/>
      <c r="AQ268" s="106"/>
      <c r="AR268" s="106"/>
      <c r="AS268" s="106"/>
      <c r="AT268" s="106"/>
      <c r="AU268" s="106"/>
      <c r="AV268" s="106"/>
      <c r="AW268" s="106"/>
      <c r="AX268" s="106"/>
      <c r="AY268" s="106"/>
      <c r="AZ268" s="106"/>
      <c r="BA268" s="106"/>
      <c r="BB268" s="106"/>
      <c r="BC268" s="106"/>
      <c r="BD268" s="106"/>
      <c r="BE268" s="106"/>
      <c r="BF268" s="106"/>
      <c r="BG268" s="106"/>
      <c r="BH268" s="106"/>
      <c r="BI268" s="106"/>
      <c r="BJ268" s="106"/>
      <c r="BK268" s="106"/>
      <c r="BL268" s="106"/>
      <c r="BM268" s="106"/>
      <c r="BN268" s="106"/>
    </row>
    <row r="269" ht="29.25" hidden="1" customHeight="1">
      <c r="A269" s="93" t="s">
        <v>938</v>
      </c>
      <c r="B269" s="107" t="s">
        <v>1315</v>
      </c>
      <c r="C269" s="111" t="s">
        <v>1316</v>
      </c>
      <c r="D269" s="123" t="s">
        <v>1317</v>
      </c>
      <c r="E269" s="97"/>
      <c r="F269" s="124" t="s">
        <v>75</v>
      </c>
      <c r="G269" s="98">
        <v>100.0</v>
      </c>
      <c r="H269" s="99"/>
      <c r="I269" s="100">
        <v>45988.0</v>
      </c>
      <c r="J269" s="101">
        <v>45992.0</v>
      </c>
      <c r="K269" s="101"/>
      <c r="L269" s="101">
        <v>46009.0</v>
      </c>
      <c r="M269" s="25">
        <f>IF(ISBLANK(L269), NETWORKDAYS(J269, TODAY(),Hoja2!$A$1:$A$18), NETWORKDAYS(J269, L269, Hoja2!$A$1:$A$18))</f>
        <v>14</v>
      </c>
      <c r="N269" s="100"/>
      <c r="O269" s="102"/>
      <c r="P269" s="31" t="s">
        <v>1318</v>
      </c>
      <c r="Q269" s="28" t="s">
        <v>71</v>
      </c>
      <c r="R269" s="172"/>
      <c r="S269" s="167"/>
      <c r="T269" s="173"/>
      <c r="U269" s="106"/>
      <c r="V269" s="106"/>
      <c r="W269" s="106"/>
      <c r="X269" s="106"/>
      <c r="Y269" s="106"/>
      <c r="Z269" s="106"/>
      <c r="AA269" s="106"/>
      <c r="AB269" s="106"/>
      <c r="AC269" s="106"/>
      <c r="AD269" s="106"/>
      <c r="AE269" s="106"/>
      <c r="AF269" s="106"/>
      <c r="AG269" s="106"/>
      <c r="AH269" s="106"/>
      <c r="AI269" s="106"/>
      <c r="AJ269" s="106"/>
      <c r="AK269" s="106"/>
      <c r="AL269" s="106"/>
      <c r="AM269" s="106"/>
      <c r="AN269" s="106"/>
      <c r="AO269" s="106"/>
      <c r="AP269" s="106"/>
      <c r="AQ269" s="106"/>
      <c r="AR269" s="106"/>
      <c r="AS269" s="106"/>
      <c r="AT269" s="106"/>
      <c r="AU269" s="106"/>
      <c r="AV269" s="106"/>
      <c r="AW269" s="106"/>
      <c r="AX269" s="106"/>
      <c r="AY269" s="106"/>
      <c r="AZ269" s="106"/>
      <c r="BA269" s="106"/>
      <c r="BB269" s="106"/>
      <c r="BC269" s="106"/>
      <c r="BD269" s="106"/>
      <c r="BE269" s="106"/>
      <c r="BF269" s="106"/>
      <c r="BG269" s="106"/>
      <c r="BH269" s="106"/>
      <c r="BI269" s="106"/>
      <c r="BJ269" s="106"/>
      <c r="BK269" s="106"/>
      <c r="BL269" s="106"/>
      <c r="BM269" s="106"/>
      <c r="BN269" s="106"/>
    </row>
    <row r="270" ht="29.25" hidden="1" customHeight="1">
      <c r="A270" s="93" t="s">
        <v>155</v>
      </c>
      <c r="B270" s="107" t="s">
        <v>1319</v>
      </c>
      <c r="C270" s="111" t="s">
        <v>1320</v>
      </c>
      <c r="D270" s="123" t="s">
        <v>1321</v>
      </c>
      <c r="E270" s="97"/>
      <c r="F270" s="124" t="s">
        <v>75</v>
      </c>
      <c r="G270" s="98">
        <v>100.0</v>
      </c>
      <c r="H270" s="99"/>
      <c r="I270" s="100">
        <v>45994.0</v>
      </c>
      <c r="J270" s="101">
        <v>45994.0</v>
      </c>
      <c r="K270" s="101"/>
      <c r="L270" s="101">
        <v>45994.0</v>
      </c>
      <c r="M270" s="25">
        <f>IF(ISBLANK(L270), NETWORKDAYS(J270, TODAY(),Hoja2!$A$1:$A$18), NETWORKDAYS(J270, L270, Hoja2!$A$1:$A$18))</f>
        <v>1</v>
      </c>
      <c r="N270" s="100"/>
      <c r="O270" s="102"/>
      <c r="P270" s="31" t="s">
        <v>1322</v>
      </c>
      <c r="Q270" s="28" t="s">
        <v>71</v>
      </c>
      <c r="R270" s="172"/>
      <c r="S270" s="167"/>
      <c r="T270" s="173"/>
      <c r="U270" s="106"/>
      <c r="V270" s="106"/>
      <c r="W270" s="106"/>
      <c r="X270" s="106"/>
      <c r="Y270" s="106"/>
      <c r="Z270" s="106"/>
      <c r="AA270" s="106"/>
      <c r="AB270" s="106"/>
      <c r="AC270" s="106"/>
      <c r="AD270" s="106"/>
      <c r="AE270" s="106"/>
      <c r="AF270" s="106"/>
      <c r="AG270" s="106"/>
      <c r="AH270" s="106"/>
      <c r="AI270" s="106"/>
      <c r="AJ270" s="106"/>
      <c r="AK270" s="106"/>
      <c r="AL270" s="106"/>
      <c r="AM270" s="106"/>
      <c r="AN270" s="106"/>
      <c r="AO270" s="106"/>
      <c r="AP270" s="106"/>
      <c r="AQ270" s="106"/>
      <c r="AR270" s="106"/>
      <c r="AS270" s="106"/>
      <c r="AT270" s="106"/>
      <c r="AU270" s="106"/>
      <c r="AV270" s="106"/>
      <c r="AW270" s="106"/>
      <c r="AX270" s="106"/>
      <c r="AY270" s="106"/>
      <c r="AZ270" s="106"/>
      <c r="BA270" s="106"/>
      <c r="BB270" s="106"/>
      <c r="BC270" s="106"/>
      <c r="BD270" s="106"/>
      <c r="BE270" s="106"/>
      <c r="BF270" s="106"/>
      <c r="BG270" s="106"/>
      <c r="BH270" s="106"/>
      <c r="BI270" s="106"/>
      <c r="BJ270" s="106"/>
      <c r="BK270" s="106"/>
      <c r="BL270" s="106"/>
      <c r="BM270" s="106"/>
      <c r="BN270" s="106"/>
    </row>
    <row r="271" ht="29.25" hidden="1" customHeight="1">
      <c r="A271" s="93" t="s">
        <v>155</v>
      </c>
      <c r="B271" s="107" t="s">
        <v>1323</v>
      </c>
      <c r="C271" s="111" t="s">
        <v>1324</v>
      </c>
      <c r="D271" s="123" t="s">
        <v>1325</v>
      </c>
      <c r="E271" s="97"/>
      <c r="F271" s="124" t="s">
        <v>75</v>
      </c>
      <c r="G271" s="98">
        <v>100.0</v>
      </c>
      <c r="H271" s="99"/>
      <c r="I271" s="100">
        <v>45986.0</v>
      </c>
      <c r="J271" s="101">
        <v>45987.0</v>
      </c>
      <c r="K271" s="101"/>
      <c r="L271" s="101">
        <v>45987.0</v>
      </c>
      <c r="M271" s="25">
        <f>IF(ISBLANK(L271), NETWORKDAYS(J271, TODAY(),Hoja2!$A$1:$A$18), NETWORKDAYS(J271, L271, Hoja2!$A$1:$A$18))</f>
        <v>1</v>
      </c>
      <c r="N271" s="100">
        <v>45987.0</v>
      </c>
      <c r="O271" s="102">
        <v>45987.0</v>
      </c>
      <c r="P271" s="31" t="s">
        <v>1326</v>
      </c>
      <c r="Q271" s="28" t="s">
        <v>71</v>
      </c>
      <c r="R271" s="172"/>
      <c r="S271" s="167"/>
      <c r="T271" s="173"/>
      <c r="U271" s="106"/>
      <c r="V271" s="106"/>
      <c r="W271" s="106"/>
      <c r="X271" s="106"/>
      <c r="Y271" s="106"/>
      <c r="Z271" s="106"/>
      <c r="AA271" s="106"/>
      <c r="AB271" s="106"/>
      <c r="AC271" s="106"/>
      <c r="AD271" s="106"/>
      <c r="AE271" s="106"/>
      <c r="AF271" s="106"/>
      <c r="AG271" s="106"/>
      <c r="AH271" s="106"/>
      <c r="AI271" s="106"/>
      <c r="AJ271" s="106"/>
      <c r="AK271" s="106"/>
      <c r="AL271" s="106"/>
      <c r="AM271" s="106"/>
      <c r="AN271" s="106"/>
      <c r="AO271" s="106"/>
      <c r="AP271" s="106"/>
      <c r="AQ271" s="106"/>
      <c r="AR271" s="106"/>
      <c r="AS271" s="106"/>
      <c r="AT271" s="106"/>
      <c r="AU271" s="106"/>
      <c r="AV271" s="106"/>
      <c r="AW271" s="106"/>
      <c r="AX271" s="106"/>
      <c r="AY271" s="106"/>
      <c r="AZ271" s="106"/>
      <c r="BA271" s="106"/>
      <c r="BB271" s="106"/>
      <c r="BC271" s="106"/>
      <c r="BD271" s="106"/>
      <c r="BE271" s="106"/>
      <c r="BF271" s="106"/>
      <c r="BG271" s="106"/>
      <c r="BH271" s="106"/>
      <c r="BI271" s="106"/>
      <c r="BJ271" s="106"/>
      <c r="BK271" s="106"/>
      <c r="BL271" s="106"/>
      <c r="BM271" s="106"/>
      <c r="BN271" s="106"/>
    </row>
    <row r="272" ht="29.25" hidden="1" customHeight="1">
      <c r="A272" s="93" t="s">
        <v>155</v>
      </c>
      <c r="B272" s="107" t="s">
        <v>1327</v>
      </c>
      <c r="C272" s="111" t="s">
        <v>1328</v>
      </c>
      <c r="D272" s="202" t="s">
        <v>1329</v>
      </c>
      <c r="E272" s="97"/>
      <c r="F272" s="124" t="s">
        <v>75</v>
      </c>
      <c r="G272" s="98">
        <v>100.0</v>
      </c>
      <c r="H272" s="99"/>
      <c r="I272" s="100">
        <v>45986.0</v>
      </c>
      <c r="J272" s="101">
        <v>45986.0</v>
      </c>
      <c r="K272" s="101"/>
      <c r="L272" s="101">
        <v>45986.0</v>
      </c>
      <c r="M272" s="25">
        <f>IF(ISBLANK(L272), NETWORKDAYS(J272, TODAY(),Hoja2!$A$1:$A$18), NETWORKDAYS(J272, L272, Hoja2!$A$1:$A$18))</f>
        <v>1</v>
      </c>
      <c r="N272" s="100"/>
      <c r="O272" s="102"/>
      <c r="P272" s="31" t="s">
        <v>1330</v>
      </c>
      <c r="Q272" s="28" t="s">
        <v>71</v>
      </c>
      <c r="R272" s="172"/>
      <c r="S272" s="167"/>
      <c r="T272" s="173"/>
      <c r="U272" s="106"/>
      <c r="V272" s="106"/>
      <c r="W272" s="106"/>
      <c r="X272" s="106"/>
      <c r="Y272" s="106"/>
      <c r="Z272" s="106"/>
      <c r="AA272" s="106"/>
      <c r="AB272" s="106"/>
      <c r="AC272" s="106"/>
      <c r="AD272" s="106"/>
      <c r="AE272" s="106"/>
      <c r="AF272" s="106"/>
      <c r="AG272" s="106"/>
      <c r="AH272" s="106"/>
      <c r="AI272" s="106"/>
      <c r="AJ272" s="106"/>
      <c r="AK272" s="106"/>
      <c r="AL272" s="106"/>
      <c r="AM272" s="106"/>
      <c r="AN272" s="106"/>
      <c r="AO272" s="106"/>
      <c r="AP272" s="106"/>
      <c r="AQ272" s="106"/>
      <c r="AR272" s="106"/>
      <c r="AS272" s="106"/>
      <c r="AT272" s="106"/>
      <c r="AU272" s="106"/>
      <c r="AV272" s="106"/>
      <c r="AW272" s="106"/>
      <c r="AX272" s="106"/>
      <c r="AY272" s="106"/>
      <c r="AZ272" s="106"/>
      <c r="BA272" s="106"/>
      <c r="BB272" s="106"/>
      <c r="BC272" s="106"/>
      <c r="BD272" s="106"/>
      <c r="BE272" s="106"/>
      <c r="BF272" s="106"/>
      <c r="BG272" s="106"/>
      <c r="BH272" s="106"/>
      <c r="BI272" s="106"/>
      <c r="BJ272" s="106"/>
      <c r="BK272" s="106"/>
      <c r="BL272" s="106"/>
      <c r="BM272" s="106"/>
      <c r="BN272" s="106"/>
    </row>
    <row r="273" ht="29.25" hidden="1" customHeight="1">
      <c r="A273" s="93" t="s">
        <v>155</v>
      </c>
      <c r="B273" s="107" t="s">
        <v>1331</v>
      </c>
      <c r="C273" s="111" t="s">
        <v>1332</v>
      </c>
      <c r="D273" s="123" t="s">
        <v>1333</v>
      </c>
      <c r="E273" s="97"/>
      <c r="F273" s="124" t="s">
        <v>75</v>
      </c>
      <c r="G273" s="98">
        <v>100.0</v>
      </c>
      <c r="H273" s="99"/>
      <c r="I273" s="100">
        <v>45981.0</v>
      </c>
      <c r="J273" s="101">
        <v>45981.0</v>
      </c>
      <c r="K273" s="101"/>
      <c r="L273" s="101">
        <v>45981.0</v>
      </c>
      <c r="M273" s="25">
        <f>IF(ISBLANK(L273), NETWORKDAYS(J273, TODAY(),Hoja2!$A$1:$A$18), NETWORKDAYS(J273, L273, Hoja2!$A$1:$A$18))</f>
        <v>1</v>
      </c>
      <c r="N273" s="100"/>
      <c r="O273" s="102"/>
      <c r="P273" s="31" t="s">
        <v>1334</v>
      </c>
      <c r="Q273" s="28" t="s">
        <v>71</v>
      </c>
      <c r="R273" s="172"/>
      <c r="S273" s="167"/>
      <c r="T273" s="173"/>
      <c r="U273" s="106"/>
      <c r="V273" s="106"/>
      <c r="W273" s="106"/>
      <c r="X273" s="106"/>
      <c r="Y273" s="106"/>
      <c r="Z273" s="106"/>
      <c r="AA273" s="106"/>
      <c r="AB273" s="106"/>
      <c r="AC273" s="106"/>
      <c r="AD273" s="106"/>
      <c r="AE273" s="106"/>
      <c r="AF273" s="106"/>
      <c r="AG273" s="106"/>
      <c r="AH273" s="106"/>
      <c r="AI273" s="106"/>
      <c r="AJ273" s="106"/>
      <c r="AK273" s="106"/>
      <c r="AL273" s="106"/>
      <c r="AM273" s="106"/>
      <c r="AN273" s="106"/>
      <c r="AO273" s="106"/>
      <c r="AP273" s="106"/>
      <c r="AQ273" s="106"/>
      <c r="AR273" s="106"/>
      <c r="AS273" s="106"/>
      <c r="AT273" s="106"/>
      <c r="AU273" s="106"/>
      <c r="AV273" s="106"/>
      <c r="AW273" s="106"/>
      <c r="AX273" s="106"/>
      <c r="AY273" s="106"/>
      <c r="AZ273" s="106"/>
      <c r="BA273" s="106"/>
      <c r="BB273" s="106"/>
      <c r="BC273" s="106"/>
      <c r="BD273" s="106"/>
      <c r="BE273" s="106"/>
      <c r="BF273" s="106"/>
      <c r="BG273" s="106"/>
      <c r="BH273" s="106"/>
      <c r="BI273" s="106"/>
      <c r="BJ273" s="106"/>
      <c r="BK273" s="106"/>
      <c r="BL273" s="106"/>
      <c r="BM273" s="106"/>
      <c r="BN273" s="106"/>
    </row>
    <row r="274" ht="29.25" hidden="1" customHeight="1">
      <c r="A274" s="93" t="s">
        <v>126</v>
      </c>
      <c r="B274" s="205" t="s">
        <v>1335</v>
      </c>
      <c r="C274" s="95" t="s">
        <v>1336</v>
      </c>
      <c r="D274" s="96"/>
      <c r="E274" s="97"/>
      <c r="F274" s="124" t="s">
        <v>75</v>
      </c>
      <c r="G274" s="98">
        <v>100.0</v>
      </c>
      <c r="H274" s="99"/>
      <c r="I274" s="100">
        <v>45664.0</v>
      </c>
      <c r="J274" s="206">
        <v>45664.0</v>
      </c>
      <c r="K274" s="101"/>
      <c r="L274" s="101">
        <v>45665.0</v>
      </c>
      <c r="M274" s="25">
        <f>IF(ISBLANK(L274), NETWORKDAYS(J274, TODAY(),Hoja2!$A$1:$A$18), NETWORKDAYS(J274, L274, Hoja2!$A$1:$A$18))</f>
        <v>2</v>
      </c>
      <c r="N274" s="100"/>
      <c r="O274" s="102">
        <v>45665.0</v>
      </c>
      <c r="P274" s="31" t="s">
        <v>1337</v>
      </c>
      <c r="Q274" s="28" t="s">
        <v>71</v>
      </c>
      <c r="R274" s="103"/>
      <c r="S274" s="103"/>
      <c r="T274" s="104"/>
      <c r="U274" s="106"/>
      <c r="V274" s="106"/>
      <c r="W274" s="106"/>
      <c r="X274" s="106"/>
      <c r="Y274" s="106"/>
      <c r="Z274" s="106"/>
      <c r="AA274" s="106"/>
      <c r="AB274" s="106"/>
      <c r="AC274" s="106"/>
      <c r="AD274" s="106"/>
      <c r="AE274" s="106"/>
      <c r="AF274" s="106"/>
      <c r="AG274" s="106"/>
      <c r="AH274" s="106"/>
      <c r="AI274" s="106"/>
      <c r="AJ274" s="106"/>
      <c r="AK274" s="106"/>
      <c r="AL274" s="106"/>
      <c r="AM274" s="106"/>
      <c r="AN274" s="106"/>
      <c r="AO274" s="106"/>
      <c r="AP274" s="106"/>
      <c r="AQ274" s="106"/>
      <c r="AR274" s="106"/>
      <c r="AS274" s="106"/>
      <c r="AT274" s="106"/>
      <c r="AU274" s="106"/>
      <c r="AV274" s="106"/>
      <c r="AW274" s="106"/>
      <c r="AX274" s="106"/>
      <c r="AY274" s="106"/>
      <c r="AZ274" s="106"/>
      <c r="BA274" s="106"/>
      <c r="BB274" s="106"/>
      <c r="BC274" s="106"/>
      <c r="BD274" s="106"/>
      <c r="BE274" s="106"/>
      <c r="BF274" s="106"/>
      <c r="BG274" s="106"/>
      <c r="BH274" s="106"/>
      <c r="BI274" s="106"/>
      <c r="BJ274" s="106"/>
      <c r="BK274" s="106"/>
      <c r="BL274" s="106"/>
      <c r="BM274" s="106"/>
      <c r="BN274" s="106"/>
    </row>
    <row r="275" ht="29.25" hidden="1" customHeight="1">
      <c r="A275" s="93" t="s">
        <v>126</v>
      </c>
      <c r="B275" s="205" t="s">
        <v>1338</v>
      </c>
      <c r="C275" s="95" t="s">
        <v>1339</v>
      </c>
      <c r="D275" s="128"/>
      <c r="E275" s="128"/>
      <c r="F275" s="118" t="s">
        <v>75</v>
      </c>
      <c r="G275" s="56">
        <v>100.0</v>
      </c>
      <c r="H275" s="71"/>
      <c r="I275" s="58">
        <v>45726.0</v>
      </c>
      <c r="J275" s="68">
        <v>45726.0</v>
      </c>
      <c r="K275" s="59">
        <v>45775.0</v>
      </c>
      <c r="L275" s="59">
        <v>45758.0</v>
      </c>
      <c r="M275" s="25">
        <f>IF(ISBLANK(L275), NETWORKDAYS(J275, TODAY(),Hoja2!$A$1:$A$18), NETWORKDAYS(J275, L275, Hoja2!$A$1:$A$18))</f>
        <v>25</v>
      </c>
      <c r="N275" s="207"/>
      <c r="O275" s="69">
        <v>45757.0</v>
      </c>
      <c r="P275" s="208" t="s">
        <v>1340</v>
      </c>
      <c r="Q275" s="28" t="s">
        <v>71</v>
      </c>
      <c r="R275" s="103"/>
      <c r="S275" s="103"/>
      <c r="T275" s="124" t="s">
        <v>1341</v>
      </c>
      <c r="U275" s="106"/>
      <c r="V275" s="106"/>
      <c r="W275" s="106"/>
      <c r="X275" s="106"/>
      <c r="Y275" s="106"/>
      <c r="Z275" s="106"/>
      <c r="AA275" s="106"/>
      <c r="AB275" s="106"/>
      <c r="AC275" s="106"/>
      <c r="AD275" s="106"/>
      <c r="AE275" s="106"/>
      <c r="AF275" s="106"/>
      <c r="AG275" s="106"/>
      <c r="AH275" s="106"/>
      <c r="AI275" s="106"/>
      <c r="AJ275" s="106"/>
      <c r="AK275" s="106"/>
      <c r="AL275" s="106"/>
      <c r="AM275" s="106"/>
      <c r="AN275" s="106"/>
      <c r="AO275" s="106"/>
      <c r="AP275" s="106"/>
      <c r="AQ275" s="106"/>
      <c r="AR275" s="106"/>
      <c r="AS275" s="106"/>
      <c r="AT275" s="106"/>
      <c r="AU275" s="106"/>
      <c r="AV275" s="106"/>
      <c r="AW275" s="106"/>
      <c r="AX275" s="106"/>
      <c r="AY275" s="106"/>
      <c r="AZ275" s="106"/>
      <c r="BA275" s="106"/>
      <c r="BB275" s="106"/>
      <c r="BC275" s="106"/>
      <c r="BD275" s="106"/>
      <c r="BE275" s="106"/>
      <c r="BF275" s="106"/>
      <c r="BG275" s="106"/>
      <c r="BH275" s="106"/>
      <c r="BI275" s="106"/>
      <c r="BJ275" s="106"/>
      <c r="BK275" s="106"/>
      <c r="BL275" s="106"/>
      <c r="BM275" s="106"/>
      <c r="BN275" s="106"/>
    </row>
    <row r="276" ht="29.25" hidden="1" customHeight="1">
      <c r="A276" s="93" t="s">
        <v>126</v>
      </c>
      <c r="B276" s="205" t="s">
        <v>1342</v>
      </c>
      <c r="C276" s="95" t="s">
        <v>1343</v>
      </c>
      <c r="D276" s="96"/>
      <c r="E276" s="97"/>
      <c r="F276" s="124" t="s">
        <v>75</v>
      </c>
      <c r="G276" s="98">
        <v>100.0</v>
      </c>
      <c r="H276" s="99"/>
      <c r="I276" s="209">
        <v>45307.0</v>
      </c>
      <c r="J276" s="210">
        <v>45677.0</v>
      </c>
      <c r="K276" s="210"/>
      <c r="L276" s="210">
        <v>45678.0</v>
      </c>
      <c r="M276" s="25">
        <f>IF(ISBLANK(L276), NETWORKDAYS(J276, TODAY(),Hoja2!$A$1:$A$18), NETWORKDAYS(J276, L276, Hoja2!$A$1:$A$18))</f>
        <v>2</v>
      </c>
      <c r="N276" s="100"/>
      <c r="O276" s="102">
        <v>45678.0</v>
      </c>
      <c r="P276" s="31" t="s">
        <v>1344</v>
      </c>
      <c r="Q276" s="28" t="s">
        <v>71</v>
      </c>
      <c r="R276" s="103"/>
      <c r="S276" s="103"/>
      <c r="T276" s="104"/>
      <c r="U276" s="106"/>
      <c r="V276" s="106"/>
      <c r="W276" s="106"/>
      <c r="X276" s="106"/>
      <c r="Y276" s="106"/>
      <c r="Z276" s="106"/>
      <c r="AA276" s="106"/>
      <c r="AB276" s="106"/>
      <c r="AC276" s="106"/>
      <c r="AD276" s="106"/>
      <c r="AE276" s="106"/>
      <c r="AF276" s="106"/>
      <c r="AG276" s="106"/>
      <c r="AH276" s="106"/>
      <c r="AI276" s="106"/>
      <c r="AJ276" s="106"/>
      <c r="AK276" s="106"/>
      <c r="AL276" s="106"/>
      <c r="AM276" s="106"/>
      <c r="AN276" s="106"/>
      <c r="AO276" s="106"/>
      <c r="AP276" s="106"/>
      <c r="AQ276" s="106"/>
      <c r="AR276" s="106"/>
      <c r="AS276" s="106"/>
      <c r="AT276" s="106"/>
      <c r="AU276" s="106"/>
      <c r="AV276" s="106"/>
      <c r="AW276" s="106"/>
      <c r="AX276" s="106"/>
      <c r="AY276" s="106"/>
      <c r="AZ276" s="106"/>
      <c r="BA276" s="106"/>
      <c r="BB276" s="106"/>
      <c r="BC276" s="106"/>
      <c r="BD276" s="106"/>
      <c r="BE276" s="106"/>
      <c r="BF276" s="106"/>
      <c r="BG276" s="106"/>
      <c r="BH276" s="106"/>
      <c r="BI276" s="106"/>
      <c r="BJ276" s="106"/>
      <c r="BK276" s="106"/>
      <c r="BL276" s="106"/>
      <c r="BM276" s="106"/>
      <c r="BN276" s="106"/>
    </row>
    <row r="277" ht="29.25" hidden="1" customHeight="1">
      <c r="A277" s="93" t="s">
        <v>126</v>
      </c>
      <c r="B277" s="205" t="s">
        <v>1345</v>
      </c>
      <c r="C277" s="95" t="s">
        <v>1346</v>
      </c>
      <c r="D277" s="96"/>
      <c r="E277" s="97"/>
      <c r="F277" s="124" t="s">
        <v>75</v>
      </c>
      <c r="G277" s="98">
        <v>100.0</v>
      </c>
      <c r="H277" s="99"/>
      <c r="I277" s="211">
        <v>45678.0</v>
      </c>
      <c r="J277" s="210">
        <v>45678.0</v>
      </c>
      <c r="K277" s="101"/>
      <c r="L277" s="212">
        <v>45680.0</v>
      </c>
      <c r="M277" s="25">
        <f>IF(ISBLANK(L277), NETWORKDAYS(J277, TODAY(),Hoja2!$A$1:$A$18), NETWORKDAYS(J277, L277, Hoja2!$A$1:$A$18))</f>
        <v>3</v>
      </c>
      <c r="N277" s="100"/>
      <c r="O277" s="213">
        <v>45680.0</v>
      </c>
      <c r="P277" s="31" t="s">
        <v>1347</v>
      </c>
      <c r="Q277" s="28" t="s">
        <v>71</v>
      </c>
      <c r="R277" s="103"/>
      <c r="S277" s="103"/>
      <c r="T277" s="104"/>
      <c r="U277" s="106"/>
      <c r="V277" s="106"/>
      <c r="W277" s="106"/>
      <c r="X277" s="106"/>
      <c r="Y277" s="106"/>
      <c r="Z277" s="106"/>
      <c r="AA277" s="106"/>
      <c r="AB277" s="106"/>
      <c r="AC277" s="106"/>
      <c r="AD277" s="106"/>
      <c r="AE277" s="106"/>
      <c r="AF277" s="106"/>
      <c r="AG277" s="106"/>
      <c r="AH277" s="106"/>
      <c r="AI277" s="106"/>
      <c r="AJ277" s="106"/>
      <c r="AK277" s="106"/>
      <c r="AL277" s="106"/>
      <c r="AM277" s="106"/>
      <c r="AN277" s="106"/>
      <c r="AO277" s="106"/>
      <c r="AP277" s="106"/>
      <c r="AQ277" s="106"/>
      <c r="AR277" s="106"/>
      <c r="AS277" s="106"/>
      <c r="AT277" s="106"/>
      <c r="AU277" s="106"/>
      <c r="AV277" s="106"/>
      <c r="AW277" s="106"/>
      <c r="AX277" s="106"/>
      <c r="AY277" s="106"/>
      <c r="AZ277" s="106"/>
      <c r="BA277" s="106"/>
      <c r="BB277" s="106"/>
      <c r="BC277" s="106"/>
      <c r="BD277" s="106"/>
      <c r="BE277" s="106"/>
      <c r="BF277" s="106"/>
      <c r="BG277" s="106"/>
      <c r="BH277" s="106"/>
      <c r="BI277" s="106"/>
      <c r="BJ277" s="106"/>
      <c r="BK277" s="106"/>
      <c r="BL277" s="106"/>
      <c r="BM277" s="106"/>
      <c r="BN277" s="106"/>
    </row>
    <row r="278" ht="29.25" hidden="1" customHeight="1">
      <c r="A278" s="93" t="s">
        <v>126</v>
      </c>
      <c r="B278" s="205" t="s">
        <v>1348</v>
      </c>
      <c r="C278" s="95" t="s">
        <v>1349</v>
      </c>
      <c r="D278" s="96"/>
      <c r="E278" s="97"/>
      <c r="F278" s="124" t="s">
        <v>75</v>
      </c>
      <c r="G278" s="98">
        <v>100.0</v>
      </c>
      <c r="H278" s="99"/>
      <c r="I278" s="100">
        <v>45678.0</v>
      </c>
      <c r="J278" s="101">
        <v>45678.0</v>
      </c>
      <c r="K278" s="101"/>
      <c r="L278" s="101">
        <v>45680.0</v>
      </c>
      <c r="M278" s="25">
        <f>IF(ISBLANK(L278), NETWORKDAYS(J278, TODAY(),Hoja2!$A$1:$A$18), NETWORKDAYS(J278, L278, Hoja2!$A$1:$A$18))</f>
        <v>3</v>
      </c>
      <c r="N278" s="100"/>
      <c r="O278" s="213">
        <v>45680.0</v>
      </c>
      <c r="P278" s="31" t="s">
        <v>1347</v>
      </c>
      <c r="Q278" s="28" t="s">
        <v>71</v>
      </c>
      <c r="R278" s="103"/>
      <c r="S278" s="103"/>
      <c r="T278" s="104"/>
      <c r="U278" s="106"/>
      <c r="V278" s="106"/>
      <c r="W278" s="106"/>
      <c r="X278" s="106"/>
      <c r="Y278" s="106"/>
      <c r="Z278" s="106"/>
      <c r="AA278" s="106"/>
      <c r="AB278" s="106"/>
      <c r="AC278" s="106"/>
      <c r="AD278" s="106"/>
      <c r="AE278" s="106"/>
      <c r="AF278" s="106"/>
      <c r="AG278" s="106"/>
      <c r="AH278" s="106"/>
      <c r="AI278" s="106"/>
      <c r="AJ278" s="106"/>
      <c r="AK278" s="106"/>
      <c r="AL278" s="106"/>
      <c r="AM278" s="106"/>
      <c r="AN278" s="106"/>
      <c r="AO278" s="106"/>
      <c r="AP278" s="106"/>
      <c r="AQ278" s="106"/>
      <c r="AR278" s="106"/>
      <c r="AS278" s="106"/>
      <c r="AT278" s="106"/>
      <c r="AU278" s="106"/>
      <c r="AV278" s="106"/>
      <c r="AW278" s="106"/>
      <c r="AX278" s="106"/>
      <c r="AY278" s="106"/>
      <c r="AZ278" s="106"/>
      <c r="BA278" s="106"/>
      <c r="BB278" s="106"/>
      <c r="BC278" s="106"/>
      <c r="BD278" s="106"/>
      <c r="BE278" s="106"/>
      <c r="BF278" s="106"/>
      <c r="BG278" s="106"/>
      <c r="BH278" s="106"/>
      <c r="BI278" s="106"/>
      <c r="BJ278" s="106"/>
      <c r="BK278" s="106"/>
      <c r="BL278" s="106"/>
      <c r="BM278" s="106"/>
      <c r="BN278" s="106"/>
    </row>
    <row r="279" ht="29.25" hidden="1" customHeight="1">
      <c r="A279" s="93" t="s">
        <v>126</v>
      </c>
      <c r="B279" s="205" t="s">
        <v>1350</v>
      </c>
      <c r="C279" s="95" t="s">
        <v>1351</v>
      </c>
      <c r="D279" s="96" t="s">
        <v>1352</v>
      </c>
      <c r="E279" s="97"/>
      <c r="F279" s="124" t="s">
        <v>75</v>
      </c>
      <c r="G279" s="98">
        <v>100.0</v>
      </c>
      <c r="H279" s="99"/>
      <c r="I279" s="100">
        <v>45678.0</v>
      </c>
      <c r="J279" s="101">
        <v>45678.0</v>
      </c>
      <c r="K279" s="101"/>
      <c r="L279" s="101">
        <v>45680.0</v>
      </c>
      <c r="M279" s="25">
        <f>IF(ISBLANK(L279), NETWORKDAYS(J279, TODAY(),Hoja2!$A$1:$A$18), NETWORKDAYS(J279, L279, Hoja2!$A$1:$A$18))</f>
        <v>3</v>
      </c>
      <c r="N279" s="100"/>
      <c r="O279" s="213">
        <v>45680.0</v>
      </c>
      <c r="P279" s="31" t="s">
        <v>1347</v>
      </c>
      <c r="Q279" s="28" t="s">
        <v>71</v>
      </c>
      <c r="R279" s="103"/>
      <c r="S279" s="103"/>
      <c r="T279" s="104"/>
      <c r="U279" s="106"/>
      <c r="V279" s="106"/>
      <c r="W279" s="106"/>
      <c r="X279" s="106"/>
      <c r="Y279" s="106"/>
      <c r="Z279" s="106"/>
      <c r="AA279" s="106"/>
      <c r="AB279" s="106"/>
      <c r="AC279" s="106"/>
      <c r="AD279" s="106"/>
      <c r="AE279" s="106"/>
      <c r="AF279" s="106"/>
      <c r="AG279" s="106"/>
      <c r="AH279" s="106"/>
      <c r="AI279" s="106"/>
      <c r="AJ279" s="106"/>
      <c r="AK279" s="106"/>
      <c r="AL279" s="106"/>
      <c r="AM279" s="106"/>
      <c r="AN279" s="106"/>
      <c r="AO279" s="106"/>
      <c r="AP279" s="106"/>
      <c r="AQ279" s="106"/>
      <c r="AR279" s="106"/>
      <c r="AS279" s="106"/>
      <c r="AT279" s="106"/>
      <c r="AU279" s="106"/>
      <c r="AV279" s="106"/>
      <c r="AW279" s="106"/>
      <c r="AX279" s="106"/>
      <c r="AY279" s="106"/>
      <c r="AZ279" s="106"/>
      <c r="BA279" s="106"/>
      <c r="BB279" s="106"/>
      <c r="BC279" s="106"/>
      <c r="BD279" s="106"/>
      <c r="BE279" s="106"/>
      <c r="BF279" s="106"/>
      <c r="BG279" s="106"/>
      <c r="BH279" s="106"/>
      <c r="BI279" s="106"/>
      <c r="BJ279" s="106"/>
      <c r="BK279" s="106"/>
      <c r="BL279" s="106"/>
      <c r="BM279" s="106"/>
      <c r="BN279" s="106"/>
    </row>
    <row r="280" ht="29.25" hidden="1" customHeight="1">
      <c r="A280" s="93" t="s">
        <v>126</v>
      </c>
      <c r="B280" s="205" t="s">
        <v>1353</v>
      </c>
      <c r="C280" s="95" t="s">
        <v>1354</v>
      </c>
      <c r="D280" s="96"/>
      <c r="E280" s="97"/>
      <c r="F280" s="124" t="s">
        <v>75</v>
      </c>
      <c r="G280" s="98">
        <v>100.0</v>
      </c>
      <c r="H280" s="99"/>
      <c r="I280" s="100">
        <v>45694.0</v>
      </c>
      <c r="J280" s="101">
        <v>45695.0</v>
      </c>
      <c r="K280" s="101"/>
      <c r="L280" s="101">
        <v>45729.0</v>
      </c>
      <c r="M280" s="25">
        <f>IF(ISBLANK(L280), NETWORKDAYS(J280, TODAY(),Hoja2!$A$1:$A$18), NETWORKDAYS(J280, L280, Hoja2!$A$1:$A$18))</f>
        <v>25</v>
      </c>
      <c r="N280" s="100"/>
      <c r="O280" s="102">
        <v>45729.0</v>
      </c>
      <c r="P280" s="31" t="s">
        <v>1355</v>
      </c>
      <c r="Q280" s="28" t="s">
        <v>71</v>
      </c>
      <c r="R280" s="103"/>
      <c r="S280" s="103"/>
      <c r="T280" s="104"/>
      <c r="U280" s="106"/>
      <c r="V280" s="106"/>
      <c r="W280" s="106"/>
      <c r="X280" s="106"/>
      <c r="Y280" s="106"/>
      <c r="Z280" s="106"/>
      <c r="AA280" s="106"/>
      <c r="AB280" s="106"/>
      <c r="AC280" s="106"/>
      <c r="AD280" s="106"/>
      <c r="AE280" s="106"/>
      <c r="AF280" s="106"/>
      <c r="AG280" s="106"/>
      <c r="AH280" s="106"/>
      <c r="AI280" s="106"/>
      <c r="AJ280" s="106"/>
      <c r="AK280" s="106"/>
      <c r="AL280" s="106"/>
      <c r="AM280" s="106"/>
      <c r="AN280" s="106"/>
      <c r="AO280" s="106"/>
      <c r="AP280" s="106"/>
      <c r="AQ280" s="106"/>
      <c r="AR280" s="106"/>
      <c r="AS280" s="106"/>
      <c r="AT280" s="106"/>
      <c r="AU280" s="106"/>
      <c r="AV280" s="106"/>
      <c r="AW280" s="106"/>
      <c r="AX280" s="106"/>
      <c r="AY280" s="106"/>
      <c r="AZ280" s="106"/>
      <c r="BA280" s="106"/>
      <c r="BB280" s="106"/>
      <c r="BC280" s="106"/>
      <c r="BD280" s="106"/>
      <c r="BE280" s="106"/>
      <c r="BF280" s="106"/>
      <c r="BG280" s="106"/>
      <c r="BH280" s="106"/>
      <c r="BI280" s="106"/>
      <c r="BJ280" s="106"/>
      <c r="BK280" s="106"/>
      <c r="BL280" s="106"/>
      <c r="BM280" s="106"/>
      <c r="BN280" s="106"/>
    </row>
    <row r="281" ht="29.25" hidden="1" customHeight="1">
      <c r="A281" s="93" t="s">
        <v>155</v>
      </c>
      <c r="B281" s="205" t="s">
        <v>1356</v>
      </c>
      <c r="C281" s="95" t="s">
        <v>1357</v>
      </c>
      <c r="D281" s="96"/>
      <c r="E281" s="97"/>
      <c r="F281" s="124" t="s">
        <v>75</v>
      </c>
      <c r="G281" s="98">
        <v>100.0</v>
      </c>
      <c r="H281" s="99"/>
      <c r="I281" s="100">
        <v>45736.0</v>
      </c>
      <c r="J281" s="101">
        <v>45736.0</v>
      </c>
      <c r="K281" s="101"/>
      <c r="L281" s="101">
        <v>45749.0</v>
      </c>
      <c r="M281" s="25">
        <f>IF(ISBLANK(L281), NETWORKDAYS(J281, TODAY(),Hoja2!$A$1:$A$18), NETWORKDAYS(J281, L281, Hoja2!$A$1:$A$18))</f>
        <v>10</v>
      </c>
      <c r="N281" s="100">
        <v>45749.0</v>
      </c>
      <c r="O281" s="102">
        <v>45755.0</v>
      </c>
      <c r="P281" s="31" t="s">
        <v>1358</v>
      </c>
      <c r="Q281" s="28" t="s">
        <v>71</v>
      </c>
      <c r="R281" s="103"/>
      <c r="S281" s="103"/>
      <c r="T281" s="104"/>
      <c r="U281" s="106"/>
      <c r="V281" s="106"/>
      <c r="W281" s="106"/>
      <c r="X281" s="106"/>
      <c r="Y281" s="106"/>
      <c r="Z281" s="106"/>
      <c r="AA281" s="106"/>
      <c r="AB281" s="106"/>
      <c r="AC281" s="106"/>
      <c r="AD281" s="106"/>
      <c r="AE281" s="106"/>
      <c r="AF281" s="106"/>
      <c r="AG281" s="106"/>
      <c r="AH281" s="106"/>
      <c r="AI281" s="106"/>
      <c r="AJ281" s="106"/>
      <c r="AK281" s="106"/>
      <c r="AL281" s="106"/>
      <c r="AM281" s="106"/>
      <c r="AN281" s="106"/>
      <c r="AO281" s="106"/>
      <c r="AP281" s="106"/>
      <c r="AQ281" s="106"/>
      <c r="AR281" s="106"/>
      <c r="AS281" s="106"/>
      <c r="AT281" s="106"/>
      <c r="AU281" s="106"/>
      <c r="AV281" s="106"/>
      <c r="AW281" s="106"/>
      <c r="AX281" s="106"/>
      <c r="AY281" s="106"/>
      <c r="AZ281" s="106"/>
      <c r="BA281" s="106"/>
      <c r="BB281" s="106"/>
      <c r="BC281" s="106"/>
      <c r="BD281" s="106"/>
      <c r="BE281" s="106"/>
      <c r="BF281" s="106"/>
      <c r="BG281" s="106"/>
      <c r="BH281" s="106"/>
      <c r="BI281" s="106"/>
      <c r="BJ281" s="106"/>
      <c r="BK281" s="106"/>
      <c r="BL281" s="106"/>
      <c r="BM281" s="106"/>
      <c r="BN281" s="106"/>
    </row>
    <row r="282" ht="29.25" hidden="1" customHeight="1">
      <c r="A282" s="93" t="s">
        <v>126</v>
      </c>
      <c r="B282" s="205" t="s">
        <v>1359</v>
      </c>
      <c r="C282" s="95" t="s">
        <v>1360</v>
      </c>
      <c r="D282" s="96" t="s">
        <v>1361</v>
      </c>
      <c r="E282" s="97"/>
      <c r="F282" s="124" t="s">
        <v>75</v>
      </c>
      <c r="G282" s="98">
        <v>100.0</v>
      </c>
      <c r="H282" s="99"/>
      <c r="I282" s="100">
        <v>45736.0</v>
      </c>
      <c r="J282" s="101">
        <v>45736.0</v>
      </c>
      <c r="K282" s="101"/>
      <c r="L282" s="101">
        <v>45757.0</v>
      </c>
      <c r="M282" s="25">
        <f>IF(ISBLANK(L282), NETWORKDAYS(J282, TODAY(),Hoja2!$A$1:$A$18), NETWORKDAYS(J282, L282, Hoja2!$A$1:$A$18))</f>
        <v>16</v>
      </c>
      <c r="N282" s="100"/>
      <c r="O282" s="102">
        <v>45757.0</v>
      </c>
      <c r="P282" s="31" t="s">
        <v>1362</v>
      </c>
      <c r="Q282" s="28" t="s">
        <v>71</v>
      </c>
      <c r="R282" s="103"/>
      <c r="S282" s="103"/>
      <c r="T282" s="104"/>
      <c r="U282" s="106"/>
      <c r="V282" s="106"/>
      <c r="W282" s="106"/>
      <c r="X282" s="106"/>
      <c r="Y282" s="106"/>
      <c r="Z282" s="106"/>
      <c r="AA282" s="106"/>
      <c r="AB282" s="106"/>
      <c r="AC282" s="106"/>
      <c r="AD282" s="106"/>
      <c r="AE282" s="106"/>
      <c r="AF282" s="106"/>
      <c r="AG282" s="106"/>
      <c r="AH282" s="106"/>
      <c r="AI282" s="106"/>
      <c r="AJ282" s="106"/>
      <c r="AK282" s="106"/>
      <c r="AL282" s="106"/>
      <c r="AM282" s="106"/>
      <c r="AN282" s="106"/>
      <c r="AO282" s="106"/>
      <c r="AP282" s="106"/>
      <c r="AQ282" s="106"/>
      <c r="AR282" s="106"/>
      <c r="AS282" s="106"/>
      <c r="AT282" s="106"/>
      <c r="AU282" s="106"/>
      <c r="AV282" s="106"/>
      <c r="AW282" s="106"/>
      <c r="AX282" s="106"/>
      <c r="AY282" s="106"/>
      <c r="AZ282" s="106"/>
      <c r="BA282" s="106"/>
      <c r="BB282" s="106"/>
      <c r="BC282" s="106"/>
      <c r="BD282" s="106"/>
      <c r="BE282" s="106"/>
      <c r="BF282" s="106"/>
      <c r="BG282" s="106"/>
      <c r="BH282" s="106"/>
      <c r="BI282" s="106"/>
      <c r="BJ282" s="106"/>
      <c r="BK282" s="106"/>
      <c r="BL282" s="106"/>
      <c r="BM282" s="106"/>
      <c r="BN282" s="106"/>
    </row>
    <row r="283" ht="29.25" hidden="1" customHeight="1">
      <c r="A283" s="93" t="s">
        <v>66</v>
      </c>
      <c r="B283" s="205" t="s">
        <v>1363</v>
      </c>
      <c r="C283" s="95" t="s">
        <v>1364</v>
      </c>
      <c r="D283" s="96" t="s">
        <v>1365</v>
      </c>
      <c r="E283" s="97"/>
      <c r="F283" s="124" t="s">
        <v>75</v>
      </c>
      <c r="G283" s="98">
        <v>100.0</v>
      </c>
      <c r="H283" s="99"/>
      <c r="I283" s="100">
        <v>45751.0</v>
      </c>
      <c r="J283" s="101">
        <v>45756.0</v>
      </c>
      <c r="K283" s="50">
        <v>45760.0</v>
      </c>
      <c r="L283" s="35">
        <v>45759.0</v>
      </c>
      <c r="M283" s="25">
        <f>IF(ISBLANK(L283), NETWORKDAYS(J283, TODAY(),Hoja2!$A$1:$A$18), NETWORKDAYS(J283, L283, Hoja2!$A$1:$A$18))</f>
        <v>3</v>
      </c>
      <c r="N283" s="100"/>
      <c r="O283" s="214">
        <v>45759.0</v>
      </c>
      <c r="P283" s="31" t="s">
        <v>1366</v>
      </c>
      <c r="Q283" s="28" t="s">
        <v>71</v>
      </c>
      <c r="R283" s="98" t="s">
        <v>1367</v>
      </c>
      <c r="S283" s="103"/>
      <c r="T283" s="104"/>
      <c r="U283" s="106"/>
      <c r="V283" s="106"/>
      <c r="W283" s="106"/>
      <c r="X283" s="106"/>
      <c r="Y283" s="106"/>
      <c r="Z283" s="106"/>
      <c r="AA283" s="106"/>
      <c r="AB283" s="106"/>
      <c r="AC283" s="106"/>
      <c r="AD283" s="106"/>
      <c r="AE283" s="106"/>
      <c r="AF283" s="106"/>
      <c r="AG283" s="106"/>
      <c r="AH283" s="106"/>
      <c r="AI283" s="106"/>
      <c r="AJ283" s="106"/>
      <c r="AK283" s="106"/>
      <c r="AL283" s="106"/>
      <c r="AM283" s="106"/>
      <c r="AN283" s="106"/>
      <c r="AO283" s="106"/>
      <c r="AP283" s="106"/>
      <c r="AQ283" s="106"/>
      <c r="AR283" s="106"/>
      <c r="AS283" s="106"/>
      <c r="AT283" s="106"/>
      <c r="AU283" s="106"/>
      <c r="AV283" s="106"/>
      <c r="AW283" s="106"/>
      <c r="AX283" s="106"/>
      <c r="AY283" s="106"/>
      <c r="AZ283" s="106"/>
      <c r="BA283" s="106"/>
      <c r="BB283" s="106"/>
      <c r="BC283" s="106"/>
      <c r="BD283" s="106"/>
      <c r="BE283" s="106"/>
      <c r="BF283" s="106"/>
      <c r="BG283" s="106"/>
      <c r="BH283" s="106"/>
      <c r="BI283" s="106"/>
      <c r="BJ283" s="106"/>
      <c r="BK283" s="106"/>
      <c r="BL283" s="106"/>
      <c r="BM283" s="106"/>
      <c r="BN283" s="106"/>
    </row>
    <row r="284" ht="29.25" hidden="1" customHeight="1">
      <c r="A284" s="93" t="s">
        <v>155</v>
      </c>
      <c r="B284" s="205" t="s">
        <v>1368</v>
      </c>
      <c r="C284" s="95" t="s">
        <v>1369</v>
      </c>
      <c r="D284" s="96" t="s">
        <v>1370</v>
      </c>
      <c r="E284" s="97"/>
      <c r="F284" s="124" t="s">
        <v>75</v>
      </c>
      <c r="G284" s="98">
        <v>100.0</v>
      </c>
      <c r="H284" s="99"/>
      <c r="I284" s="82">
        <v>45779.0</v>
      </c>
      <c r="J284" s="59">
        <v>45779.0</v>
      </c>
      <c r="K284" s="59">
        <v>45779.0</v>
      </c>
      <c r="L284" s="59">
        <v>45779.0</v>
      </c>
      <c r="M284" s="25">
        <f>IF(ISBLANK(L284), NETWORKDAYS(J284, TODAY(),Hoja2!$A$1:$A$18), NETWORKDAYS(J284, L284, Hoja2!$A$1:$A$18))</f>
        <v>1</v>
      </c>
      <c r="N284" s="82">
        <v>45779.0</v>
      </c>
      <c r="O284" s="60">
        <v>45782.0</v>
      </c>
      <c r="P284" s="31" t="s">
        <v>1371</v>
      </c>
      <c r="Q284" s="28" t="s">
        <v>71</v>
      </c>
      <c r="R284" s="103"/>
      <c r="S284" s="103"/>
      <c r="T284" s="104"/>
      <c r="U284" s="106"/>
      <c r="V284" s="106"/>
      <c r="W284" s="106"/>
      <c r="X284" s="106"/>
      <c r="Y284" s="106"/>
      <c r="Z284" s="106"/>
      <c r="AA284" s="106"/>
      <c r="AB284" s="106"/>
      <c r="AC284" s="106"/>
      <c r="AD284" s="106"/>
      <c r="AE284" s="106"/>
      <c r="AF284" s="106"/>
      <c r="AG284" s="106"/>
      <c r="AH284" s="106"/>
      <c r="AI284" s="106"/>
      <c r="AJ284" s="106"/>
      <c r="AK284" s="106"/>
      <c r="AL284" s="106"/>
      <c r="AM284" s="106"/>
      <c r="AN284" s="106"/>
      <c r="AO284" s="106"/>
      <c r="AP284" s="106"/>
      <c r="AQ284" s="106"/>
      <c r="AR284" s="106"/>
      <c r="AS284" s="106"/>
      <c r="AT284" s="106"/>
      <c r="AU284" s="106"/>
      <c r="AV284" s="106"/>
      <c r="AW284" s="106"/>
      <c r="AX284" s="106"/>
      <c r="AY284" s="106"/>
      <c r="AZ284" s="106"/>
      <c r="BA284" s="106"/>
      <c r="BB284" s="106"/>
      <c r="BC284" s="106"/>
      <c r="BD284" s="106"/>
      <c r="BE284" s="106"/>
      <c r="BF284" s="106"/>
      <c r="BG284" s="106"/>
      <c r="BH284" s="106"/>
      <c r="BI284" s="106"/>
      <c r="BJ284" s="106"/>
      <c r="BK284" s="106"/>
      <c r="BL284" s="106"/>
      <c r="BM284" s="106"/>
      <c r="BN284" s="106"/>
    </row>
    <row r="285" ht="29.25" hidden="1" customHeight="1">
      <c r="A285" s="93" t="s">
        <v>126</v>
      </c>
      <c r="B285" s="205" t="s">
        <v>1372</v>
      </c>
      <c r="C285" s="95" t="s">
        <v>1373</v>
      </c>
      <c r="D285" s="96" t="s">
        <v>1374</v>
      </c>
      <c r="E285" s="97"/>
      <c r="F285" s="124" t="s">
        <v>75</v>
      </c>
      <c r="G285" s="98">
        <v>100.0</v>
      </c>
      <c r="H285" s="99"/>
      <c r="I285" s="100">
        <v>45776.0</v>
      </c>
      <c r="J285" s="101">
        <v>45784.0</v>
      </c>
      <c r="K285" s="101"/>
      <c r="L285" s="101">
        <v>45784.0</v>
      </c>
      <c r="M285" s="25">
        <f>IF(ISBLANK(L285), NETWORKDAYS(J285, TODAY(),Hoja2!$A$1:$A$18), NETWORKDAYS(J285, L285, Hoja2!$A$1:$A$18))</f>
        <v>1</v>
      </c>
      <c r="N285" s="100"/>
      <c r="O285" s="102">
        <v>45784.0</v>
      </c>
      <c r="P285" s="31" t="s">
        <v>1375</v>
      </c>
      <c r="Q285" s="28" t="s">
        <v>71</v>
      </c>
      <c r="R285" s="103"/>
      <c r="S285" s="103"/>
      <c r="T285" s="104"/>
      <c r="U285" s="106"/>
      <c r="V285" s="106"/>
      <c r="W285" s="106"/>
      <c r="X285" s="106"/>
      <c r="Y285" s="106"/>
      <c r="Z285" s="106"/>
      <c r="AA285" s="106"/>
      <c r="AB285" s="106"/>
      <c r="AC285" s="106"/>
      <c r="AD285" s="106"/>
      <c r="AE285" s="106"/>
      <c r="AF285" s="106"/>
      <c r="AG285" s="106"/>
      <c r="AH285" s="106"/>
      <c r="AI285" s="106"/>
      <c r="AJ285" s="106"/>
      <c r="AK285" s="106"/>
      <c r="AL285" s="106"/>
      <c r="AM285" s="106"/>
      <c r="AN285" s="106"/>
      <c r="AO285" s="106"/>
      <c r="AP285" s="106"/>
      <c r="AQ285" s="106"/>
      <c r="AR285" s="106"/>
      <c r="AS285" s="106"/>
      <c r="AT285" s="106"/>
      <c r="AU285" s="106"/>
      <c r="AV285" s="106"/>
      <c r="AW285" s="106"/>
      <c r="AX285" s="106"/>
      <c r="AY285" s="106"/>
      <c r="AZ285" s="106"/>
      <c r="BA285" s="106"/>
      <c r="BB285" s="106"/>
      <c r="BC285" s="106"/>
      <c r="BD285" s="106"/>
      <c r="BE285" s="106"/>
      <c r="BF285" s="106"/>
      <c r="BG285" s="106"/>
      <c r="BH285" s="106"/>
      <c r="BI285" s="106"/>
      <c r="BJ285" s="106"/>
      <c r="BK285" s="106"/>
      <c r="BL285" s="106"/>
      <c r="BM285" s="106"/>
      <c r="BN285" s="106"/>
    </row>
    <row r="286" ht="29.25" hidden="1" customHeight="1">
      <c r="A286" s="93" t="s">
        <v>126</v>
      </c>
      <c r="B286" s="205" t="s">
        <v>1376</v>
      </c>
      <c r="C286" s="95" t="s">
        <v>1377</v>
      </c>
      <c r="D286" s="96" t="s">
        <v>1378</v>
      </c>
      <c r="E286" s="97"/>
      <c r="F286" s="124" t="s">
        <v>75</v>
      </c>
      <c r="G286" s="98">
        <v>100.0</v>
      </c>
      <c r="H286" s="99"/>
      <c r="I286" s="100">
        <v>45811.0</v>
      </c>
      <c r="J286" s="101">
        <v>45811.0</v>
      </c>
      <c r="K286" s="101"/>
      <c r="L286" s="101">
        <v>45813.0</v>
      </c>
      <c r="M286" s="25">
        <f>IF(ISBLANK(L286), NETWORKDAYS(J286, TODAY(),Hoja2!$A$1:$A$18), NETWORKDAYS(J286, L286, Hoja2!$A$1:$A$18))</f>
        <v>3</v>
      </c>
      <c r="N286" s="100"/>
      <c r="O286" s="102">
        <v>45813.0</v>
      </c>
      <c r="P286" s="31" t="s">
        <v>1379</v>
      </c>
      <c r="Q286" s="28" t="s">
        <v>71</v>
      </c>
      <c r="R286" s="103"/>
      <c r="S286" s="103"/>
      <c r="T286" s="104"/>
      <c r="U286" s="106"/>
      <c r="V286" s="106"/>
      <c r="W286" s="106"/>
      <c r="X286" s="106"/>
      <c r="Y286" s="106"/>
      <c r="Z286" s="106"/>
      <c r="AA286" s="106"/>
      <c r="AB286" s="106"/>
      <c r="AC286" s="106"/>
      <c r="AD286" s="106"/>
      <c r="AE286" s="106"/>
      <c r="AF286" s="106"/>
      <c r="AG286" s="106"/>
      <c r="AH286" s="106"/>
      <c r="AI286" s="106"/>
      <c r="AJ286" s="106"/>
      <c r="AK286" s="106"/>
      <c r="AL286" s="106"/>
      <c r="AM286" s="106"/>
      <c r="AN286" s="106"/>
      <c r="AO286" s="106"/>
      <c r="AP286" s="106"/>
      <c r="AQ286" s="106"/>
      <c r="AR286" s="106"/>
      <c r="AS286" s="106"/>
      <c r="AT286" s="106"/>
      <c r="AU286" s="106"/>
      <c r="AV286" s="106"/>
      <c r="AW286" s="106"/>
      <c r="AX286" s="106"/>
      <c r="AY286" s="106"/>
      <c r="AZ286" s="106"/>
      <c r="BA286" s="106"/>
      <c r="BB286" s="106"/>
      <c r="BC286" s="106"/>
      <c r="BD286" s="106"/>
      <c r="BE286" s="106"/>
      <c r="BF286" s="106"/>
      <c r="BG286" s="106"/>
      <c r="BH286" s="106"/>
      <c r="BI286" s="106"/>
      <c r="BJ286" s="106"/>
      <c r="BK286" s="106"/>
      <c r="BL286" s="106"/>
      <c r="BM286" s="106"/>
      <c r="BN286" s="106"/>
    </row>
    <row r="287" ht="29.25" hidden="1" customHeight="1">
      <c r="A287" s="93" t="s">
        <v>66</v>
      </c>
      <c r="B287" s="205" t="s">
        <v>1380</v>
      </c>
      <c r="C287" s="95" t="s">
        <v>1381</v>
      </c>
      <c r="D287" s="96"/>
      <c r="E287" s="97"/>
      <c r="F287" s="124" t="s">
        <v>899</v>
      </c>
      <c r="G287" s="99"/>
      <c r="H287" s="99"/>
      <c r="I287" s="100"/>
      <c r="J287" s="101"/>
      <c r="K287" s="101"/>
      <c r="L287" s="101"/>
      <c r="M287" s="25">
        <f>IF(ISBLANK(L287), NETWORKDAYS(J287, TODAY(),Hoja2!$A$1:$A$18), NETWORKDAYS(J287, L287, Hoja2!$A$1:$A$18))</f>
        <v>32848</v>
      </c>
      <c r="N287" s="100"/>
      <c r="O287" s="102"/>
      <c r="P287" s="105"/>
      <c r="Q287" s="28" t="s">
        <v>91</v>
      </c>
      <c r="R287" s="103"/>
      <c r="S287" s="103"/>
      <c r="T287" s="104"/>
      <c r="U287" s="106"/>
      <c r="V287" s="106"/>
      <c r="W287" s="106"/>
      <c r="X287" s="106"/>
      <c r="Y287" s="106"/>
      <c r="Z287" s="106"/>
      <c r="AA287" s="106"/>
      <c r="AB287" s="106"/>
      <c r="AC287" s="106"/>
      <c r="AD287" s="106"/>
      <c r="AE287" s="106"/>
      <c r="AF287" s="106"/>
      <c r="AG287" s="106"/>
      <c r="AH287" s="106"/>
      <c r="AI287" s="106"/>
      <c r="AJ287" s="106"/>
      <c r="AK287" s="106"/>
      <c r="AL287" s="106"/>
      <c r="AM287" s="106"/>
      <c r="AN287" s="106"/>
      <c r="AO287" s="106"/>
      <c r="AP287" s="106"/>
      <c r="AQ287" s="106"/>
      <c r="AR287" s="106"/>
      <c r="AS287" s="106"/>
      <c r="AT287" s="106"/>
      <c r="AU287" s="106"/>
      <c r="AV287" s="106"/>
      <c r="AW287" s="106"/>
      <c r="AX287" s="106"/>
      <c r="AY287" s="106"/>
      <c r="AZ287" s="106"/>
      <c r="BA287" s="106"/>
      <c r="BB287" s="106"/>
      <c r="BC287" s="106"/>
      <c r="BD287" s="106"/>
      <c r="BE287" s="106"/>
      <c r="BF287" s="106"/>
      <c r="BG287" s="106"/>
      <c r="BH287" s="106"/>
      <c r="BI287" s="106"/>
      <c r="BJ287" s="106"/>
      <c r="BK287" s="106"/>
      <c r="BL287" s="106"/>
      <c r="BM287" s="106"/>
      <c r="BN287" s="106"/>
    </row>
    <row r="288" ht="29.25" hidden="1" customHeight="1">
      <c r="A288" s="93" t="s">
        <v>66</v>
      </c>
      <c r="B288" s="107" t="s">
        <v>1382</v>
      </c>
      <c r="C288" s="215" t="s">
        <v>1383</v>
      </c>
      <c r="D288" s="96" t="s">
        <v>1384</v>
      </c>
      <c r="E288" s="97"/>
      <c r="F288" s="124" t="s">
        <v>214</v>
      </c>
      <c r="G288" s="98">
        <v>50.0</v>
      </c>
      <c r="H288" s="99"/>
      <c r="I288" s="100">
        <v>46001.0</v>
      </c>
      <c r="J288" s="101">
        <v>46009.0</v>
      </c>
      <c r="K288" s="101"/>
      <c r="L288" s="101"/>
      <c r="M288" s="25">
        <f>IF(ISBLANK(L288), NETWORKDAYS(J288, TODAY(),Hoja2!$A$1:$A$18), NETWORKDAYS(J288, L288, Hoja2!$A$1:$A$18))</f>
        <v>1</v>
      </c>
      <c r="N288" s="100"/>
      <c r="O288" s="102"/>
      <c r="P288" s="31" t="s">
        <v>1385</v>
      </c>
      <c r="Q288" s="28" t="s">
        <v>71</v>
      </c>
      <c r="R288" s="103"/>
      <c r="S288" s="103"/>
      <c r="T288" s="104"/>
      <c r="U288" s="106"/>
      <c r="V288" s="106"/>
      <c r="W288" s="106"/>
      <c r="X288" s="106"/>
      <c r="Y288" s="106"/>
      <c r="Z288" s="106"/>
      <c r="AA288" s="106"/>
      <c r="AB288" s="106"/>
      <c r="AC288" s="106"/>
      <c r="AD288" s="106"/>
      <c r="AE288" s="106"/>
      <c r="AF288" s="106"/>
      <c r="AG288" s="106"/>
      <c r="AH288" s="106"/>
      <c r="AI288" s="106"/>
      <c r="AJ288" s="106"/>
      <c r="AK288" s="106"/>
      <c r="AL288" s="106"/>
      <c r="AM288" s="106"/>
      <c r="AN288" s="106"/>
      <c r="AO288" s="106"/>
      <c r="AP288" s="106"/>
      <c r="AQ288" s="106"/>
      <c r="AR288" s="106"/>
      <c r="AS288" s="106"/>
      <c r="AT288" s="106"/>
      <c r="AU288" s="106"/>
      <c r="AV288" s="106"/>
      <c r="AW288" s="106"/>
      <c r="AX288" s="106"/>
      <c r="AY288" s="106"/>
      <c r="AZ288" s="106"/>
      <c r="BA288" s="106"/>
      <c r="BB288" s="106"/>
      <c r="BC288" s="106"/>
      <c r="BD288" s="106"/>
      <c r="BE288" s="106"/>
      <c r="BF288" s="106"/>
      <c r="BG288" s="106"/>
      <c r="BH288" s="106"/>
      <c r="BI288" s="106"/>
      <c r="BJ288" s="106"/>
      <c r="BK288" s="106"/>
      <c r="BL288" s="106"/>
      <c r="BM288" s="106"/>
      <c r="BN288" s="106"/>
    </row>
    <row r="289" ht="29.25" hidden="1" customHeight="1">
      <c r="A289" s="93" t="s">
        <v>66</v>
      </c>
      <c r="B289" s="107" t="s">
        <v>1386</v>
      </c>
      <c r="C289" s="215" t="s">
        <v>1387</v>
      </c>
      <c r="D289" s="96" t="s">
        <v>1388</v>
      </c>
      <c r="E289" s="97"/>
      <c r="F289" s="124" t="s">
        <v>75</v>
      </c>
      <c r="G289" s="98">
        <v>100.0</v>
      </c>
      <c r="H289" s="99"/>
      <c r="I289" s="100">
        <v>45985.0</v>
      </c>
      <c r="J289" s="101">
        <v>45985.0</v>
      </c>
      <c r="K289" s="101"/>
      <c r="L289" s="101">
        <v>45985.0</v>
      </c>
      <c r="M289" s="25">
        <f>IF(ISBLANK(L289), NETWORKDAYS(J289, TODAY(),Hoja2!$A$1:$A$18), NETWORKDAYS(J289, L289, Hoja2!$A$1:$A$18))</f>
        <v>1</v>
      </c>
      <c r="N289" s="100"/>
      <c r="O289" s="102"/>
      <c r="P289" s="89" t="s">
        <v>1389</v>
      </c>
      <c r="Q289" s="28" t="s">
        <v>71</v>
      </c>
      <c r="R289" s="103"/>
      <c r="S289" s="103"/>
      <c r="T289" s="104"/>
      <c r="U289" s="106"/>
      <c r="V289" s="106"/>
      <c r="W289" s="106"/>
      <c r="X289" s="106"/>
      <c r="Y289" s="106"/>
      <c r="Z289" s="106"/>
      <c r="AA289" s="106"/>
      <c r="AB289" s="106"/>
      <c r="AC289" s="106"/>
      <c r="AD289" s="106"/>
      <c r="AE289" s="106"/>
      <c r="AF289" s="106"/>
      <c r="AG289" s="106"/>
      <c r="AH289" s="106"/>
      <c r="AI289" s="106"/>
      <c r="AJ289" s="106"/>
      <c r="AK289" s="106"/>
      <c r="AL289" s="106"/>
      <c r="AM289" s="106"/>
      <c r="AN289" s="106"/>
      <c r="AO289" s="106"/>
      <c r="AP289" s="106"/>
      <c r="AQ289" s="106"/>
      <c r="AR289" s="106"/>
      <c r="AS289" s="106"/>
      <c r="AT289" s="106"/>
      <c r="AU289" s="106"/>
      <c r="AV289" s="106"/>
      <c r="AW289" s="106"/>
      <c r="AX289" s="106"/>
      <c r="AY289" s="106"/>
      <c r="AZ289" s="106"/>
      <c r="BA289" s="106"/>
      <c r="BB289" s="106"/>
      <c r="BC289" s="106"/>
      <c r="BD289" s="106"/>
      <c r="BE289" s="106"/>
      <c r="BF289" s="106"/>
      <c r="BG289" s="106"/>
      <c r="BH289" s="106"/>
      <c r="BI289" s="106"/>
      <c r="BJ289" s="106"/>
      <c r="BK289" s="106"/>
      <c r="BL289" s="106"/>
      <c r="BM289" s="106"/>
      <c r="BN289" s="106"/>
    </row>
    <row r="290" ht="29.25" hidden="1" customHeight="1">
      <c r="A290" s="93" t="s">
        <v>66</v>
      </c>
      <c r="B290" s="107" t="s">
        <v>1390</v>
      </c>
      <c r="C290" s="122" t="s">
        <v>1391</v>
      </c>
      <c r="D290" s="96" t="s">
        <v>1392</v>
      </c>
      <c r="E290" s="97"/>
      <c r="F290" s="124" t="s">
        <v>75</v>
      </c>
      <c r="G290" s="98">
        <v>100.0</v>
      </c>
      <c r="H290" s="99"/>
      <c r="I290" s="100">
        <v>45973.0</v>
      </c>
      <c r="J290" s="101">
        <v>45975.0</v>
      </c>
      <c r="K290" s="101">
        <v>45979.0</v>
      </c>
      <c r="L290" s="101">
        <v>45979.0</v>
      </c>
      <c r="M290" s="25">
        <f>IF(ISBLANK(L290), NETWORKDAYS(J290, TODAY(),Hoja2!$A$1:$A$18), NETWORKDAYS(J290, L290, Hoja2!$A$1:$A$18))</f>
        <v>3</v>
      </c>
      <c r="N290" s="100"/>
      <c r="O290" s="102"/>
      <c r="P290" s="31" t="s">
        <v>1393</v>
      </c>
      <c r="Q290" s="28" t="s">
        <v>71</v>
      </c>
      <c r="R290" s="103"/>
      <c r="S290" s="103"/>
      <c r="T290" s="104"/>
      <c r="U290" s="106"/>
      <c r="V290" s="106"/>
      <c r="W290" s="106"/>
      <c r="X290" s="106"/>
      <c r="Y290" s="106"/>
      <c r="Z290" s="106"/>
      <c r="AA290" s="106"/>
      <c r="AB290" s="106"/>
      <c r="AC290" s="106"/>
      <c r="AD290" s="106"/>
      <c r="AE290" s="106"/>
      <c r="AF290" s="106"/>
      <c r="AG290" s="106"/>
      <c r="AH290" s="106"/>
      <c r="AI290" s="106"/>
      <c r="AJ290" s="106"/>
      <c r="AK290" s="106"/>
      <c r="AL290" s="106"/>
      <c r="AM290" s="106"/>
      <c r="AN290" s="106"/>
      <c r="AO290" s="106"/>
      <c r="AP290" s="106"/>
      <c r="AQ290" s="106"/>
      <c r="AR290" s="106"/>
      <c r="AS290" s="106"/>
      <c r="AT290" s="106"/>
      <c r="AU290" s="106"/>
      <c r="AV290" s="106"/>
      <c r="AW290" s="106"/>
      <c r="AX290" s="106"/>
      <c r="AY290" s="106"/>
      <c r="AZ290" s="106"/>
      <c r="BA290" s="106"/>
      <c r="BB290" s="106"/>
      <c r="BC290" s="106"/>
      <c r="BD290" s="106"/>
      <c r="BE290" s="106"/>
      <c r="BF290" s="106"/>
      <c r="BG290" s="106"/>
      <c r="BH290" s="106"/>
      <c r="BI290" s="106"/>
      <c r="BJ290" s="106"/>
      <c r="BK290" s="106"/>
      <c r="BL290" s="106"/>
      <c r="BM290" s="106"/>
      <c r="BN290" s="106"/>
    </row>
    <row r="291" ht="29.25" hidden="1" customHeight="1">
      <c r="A291" s="93" t="s">
        <v>66</v>
      </c>
      <c r="B291" s="107" t="s">
        <v>1394</v>
      </c>
      <c r="C291" s="111" t="s">
        <v>1395</v>
      </c>
      <c r="D291" s="96"/>
      <c r="E291" s="97"/>
      <c r="F291" s="124" t="s">
        <v>75</v>
      </c>
      <c r="G291" s="98">
        <v>100.0</v>
      </c>
      <c r="H291" s="99"/>
      <c r="I291" s="100">
        <v>45972.0</v>
      </c>
      <c r="J291" s="101">
        <v>45972.0</v>
      </c>
      <c r="K291" s="101"/>
      <c r="L291" s="101">
        <v>45972.0</v>
      </c>
      <c r="M291" s="25">
        <f>IF(ISBLANK(L291), NETWORKDAYS(J291, TODAY(),Hoja2!$A$1:$A$18), NETWORKDAYS(J291, L291, Hoja2!$A$1:$A$18))</f>
        <v>1</v>
      </c>
      <c r="N291" s="100"/>
      <c r="O291" s="102"/>
      <c r="P291" s="31" t="s">
        <v>1396</v>
      </c>
      <c r="Q291" s="28" t="s">
        <v>71</v>
      </c>
      <c r="R291" s="103"/>
      <c r="S291" s="103"/>
      <c r="T291" s="104"/>
      <c r="U291" s="106"/>
      <c r="V291" s="106"/>
      <c r="W291" s="106"/>
      <c r="X291" s="106"/>
      <c r="Y291" s="106"/>
      <c r="Z291" s="106"/>
      <c r="AA291" s="106"/>
      <c r="AB291" s="106"/>
      <c r="AC291" s="106"/>
      <c r="AD291" s="106"/>
      <c r="AE291" s="106"/>
      <c r="AF291" s="106"/>
      <c r="AG291" s="106"/>
      <c r="AH291" s="106"/>
      <c r="AI291" s="106"/>
      <c r="AJ291" s="106"/>
      <c r="AK291" s="106"/>
      <c r="AL291" s="106"/>
      <c r="AM291" s="106"/>
      <c r="AN291" s="106"/>
      <c r="AO291" s="106"/>
      <c r="AP291" s="106"/>
      <c r="AQ291" s="106"/>
      <c r="AR291" s="106"/>
      <c r="AS291" s="106"/>
      <c r="AT291" s="106"/>
      <c r="AU291" s="106"/>
      <c r="AV291" s="106"/>
      <c r="AW291" s="106"/>
      <c r="AX291" s="106"/>
      <c r="AY291" s="106"/>
      <c r="AZ291" s="106"/>
      <c r="BA291" s="106"/>
      <c r="BB291" s="106"/>
      <c r="BC291" s="106"/>
      <c r="BD291" s="106"/>
      <c r="BE291" s="106"/>
      <c r="BF291" s="106"/>
      <c r="BG291" s="106"/>
      <c r="BH291" s="106"/>
      <c r="BI291" s="106"/>
      <c r="BJ291" s="106"/>
      <c r="BK291" s="106"/>
      <c r="BL291" s="106"/>
      <c r="BM291" s="106"/>
      <c r="BN291" s="106"/>
    </row>
    <row r="292" ht="29.25" hidden="1" customHeight="1">
      <c r="A292" s="93" t="s">
        <v>66</v>
      </c>
      <c r="B292" s="205" t="s">
        <v>1397</v>
      </c>
      <c r="C292" s="95" t="s">
        <v>1398</v>
      </c>
      <c r="D292" s="96"/>
      <c r="E292" s="97"/>
      <c r="F292" s="124" t="s">
        <v>75</v>
      </c>
      <c r="G292" s="98">
        <v>100.0</v>
      </c>
      <c r="H292" s="99"/>
      <c r="I292" s="100">
        <v>45946.0</v>
      </c>
      <c r="J292" s="101">
        <v>45946.0</v>
      </c>
      <c r="K292" s="101"/>
      <c r="L292" s="101">
        <v>45947.0</v>
      </c>
      <c r="M292" s="25">
        <f>IF(ISBLANK(L292), NETWORKDAYS(J292, TODAY(),Hoja2!$A$1:$A$18), NETWORKDAYS(J292, L292, Hoja2!$A$1:$A$18))</f>
        <v>2</v>
      </c>
      <c r="N292" s="100"/>
      <c r="O292" s="102">
        <v>45947.0</v>
      </c>
      <c r="P292" s="31" t="s">
        <v>1399</v>
      </c>
      <c r="Q292" s="28" t="s">
        <v>71</v>
      </c>
      <c r="R292" s="103"/>
      <c r="S292" s="103"/>
      <c r="T292" s="104"/>
      <c r="U292" s="106"/>
      <c r="V292" s="106"/>
      <c r="W292" s="106"/>
      <c r="X292" s="106"/>
      <c r="Y292" s="106"/>
      <c r="Z292" s="106"/>
      <c r="AA292" s="106"/>
      <c r="AB292" s="106"/>
      <c r="AC292" s="106"/>
      <c r="AD292" s="106"/>
      <c r="AE292" s="106"/>
      <c r="AF292" s="106"/>
      <c r="AG292" s="106"/>
      <c r="AH292" s="106"/>
      <c r="AI292" s="106"/>
      <c r="AJ292" s="106"/>
      <c r="AK292" s="106"/>
      <c r="AL292" s="106"/>
      <c r="AM292" s="106"/>
      <c r="AN292" s="106"/>
      <c r="AO292" s="106"/>
      <c r="AP292" s="106"/>
      <c r="AQ292" s="106"/>
      <c r="AR292" s="106"/>
      <c r="AS292" s="106"/>
      <c r="AT292" s="106"/>
      <c r="AU292" s="106"/>
      <c r="AV292" s="106"/>
      <c r="AW292" s="106"/>
      <c r="AX292" s="106"/>
      <c r="AY292" s="106"/>
      <c r="AZ292" s="106"/>
      <c r="BA292" s="106"/>
      <c r="BB292" s="106"/>
      <c r="BC292" s="106"/>
      <c r="BD292" s="106"/>
      <c r="BE292" s="106"/>
      <c r="BF292" s="106"/>
      <c r="BG292" s="106"/>
      <c r="BH292" s="106"/>
      <c r="BI292" s="106"/>
      <c r="BJ292" s="106"/>
      <c r="BK292" s="106"/>
      <c r="BL292" s="106"/>
      <c r="BM292" s="106"/>
      <c r="BN292" s="106"/>
    </row>
    <row r="293" ht="29.25" hidden="1" customHeight="1">
      <c r="A293" s="216"/>
      <c r="B293" s="217"/>
      <c r="C293" s="164"/>
      <c r="D293" s="164"/>
      <c r="E293" s="165"/>
      <c r="F293" s="173"/>
      <c r="G293" s="168"/>
      <c r="H293" s="168"/>
      <c r="I293" s="169"/>
      <c r="J293" s="170"/>
      <c r="K293" s="170"/>
      <c r="L293" s="170"/>
      <c r="M293" s="167"/>
      <c r="N293" s="169"/>
      <c r="O293" s="171"/>
      <c r="P293" s="106"/>
      <c r="Q293" s="218"/>
      <c r="R293" s="172"/>
      <c r="S293" s="172"/>
      <c r="T293" s="173"/>
      <c r="U293" s="106"/>
      <c r="V293" s="106"/>
      <c r="W293" s="106"/>
      <c r="X293" s="106"/>
      <c r="Y293" s="106"/>
      <c r="Z293" s="106"/>
      <c r="AA293" s="106"/>
      <c r="AB293" s="106"/>
      <c r="AC293" s="106"/>
      <c r="AD293" s="106"/>
      <c r="AE293" s="106"/>
      <c r="AF293" s="106"/>
      <c r="AG293" s="106"/>
      <c r="AH293" s="106"/>
      <c r="AI293" s="106"/>
      <c r="AJ293" s="106"/>
      <c r="AK293" s="106"/>
      <c r="AL293" s="106"/>
      <c r="AM293" s="106"/>
      <c r="AN293" s="106"/>
      <c r="AO293" s="106"/>
      <c r="AP293" s="106"/>
      <c r="AQ293" s="106"/>
      <c r="AR293" s="106"/>
      <c r="AS293" s="106"/>
      <c r="AT293" s="106"/>
      <c r="AU293" s="106"/>
      <c r="AV293" s="106"/>
      <c r="AW293" s="106"/>
      <c r="AX293" s="106"/>
      <c r="AY293" s="106"/>
      <c r="AZ293" s="106"/>
      <c r="BA293" s="106"/>
      <c r="BB293" s="106"/>
      <c r="BC293" s="106"/>
      <c r="BD293" s="106"/>
      <c r="BE293" s="106"/>
      <c r="BF293" s="106"/>
      <c r="BG293" s="106"/>
      <c r="BH293" s="106"/>
      <c r="BI293" s="106"/>
      <c r="BJ293" s="106"/>
      <c r="BK293" s="106"/>
      <c r="BL293" s="106"/>
      <c r="BM293" s="106"/>
      <c r="BN293" s="106"/>
    </row>
    <row r="294" ht="29.25" hidden="1" customHeight="1">
      <c r="A294" s="216"/>
      <c r="B294" s="217"/>
      <c r="C294" s="164"/>
      <c r="D294" s="164"/>
      <c r="E294" s="165"/>
      <c r="F294" s="173"/>
      <c r="G294" s="168"/>
      <c r="H294" s="168"/>
      <c r="I294" s="169"/>
      <c r="J294" s="170"/>
      <c r="K294" s="170"/>
      <c r="L294" s="170"/>
      <c r="M294" s="167"/>
      <c r="N294" s="169"/>
      <c r="O294" s="171"/>
      <c r="P294" s="106"/>
      <c r="Q294" s="218"/>
      <c r="R294" s="172"/>
      <c r="S294" s="172"/>
      <c r="T294" s="173"/>
      <c r="U294" s="106"/>
      <c r="V294" s="106"/>
      <c r="W294" s="106"/>
      <c r="X294" s="106"/>
      <c r="Y294" s="106"/>
      <c r="Z294" s="106"/>
      <c r="AA294" s="106"/>
      <c r="AB294" s="106"/>
      <c r="AC294" s="106"/>
      <c r="AD294" s="106"/>
      <c r="AE294" s="106"/>
      <c r="AF294" s="106"/>
      <c r="AG294" s="106"/>
      <c r="AH294" s="106"/>
      <c r="AI294" s="106"/>
      <c r="AJ294" s="106"/>
      <c r="AK294" s="106"/>
      <c r="AL294" s="106"/>
      <c r="AM294" s="106"/>
      <c r="AN294" s="106"/>
      <c r="AO294" s="106"/>
      <c r="AP294" s="106"/>
      <c r="AQ294" s="106"/>
      <c r="AR294" s="106"/>
      <c r="AS294" s="106"/>
      <c r="AT294" s="106"/>
      <c r="AU294" s="106"/>
      <c r="AV294" s="106"/>
      <c r="AW294" s="106"/>
      <c r="AX294" s="106"/>
      <c r="AY294" s="106"/>
      <c r="AZ294" s="106"/>
      <c r="BA294" s="106"/>
      <c r="BB294" s="106"/>
      <c r="BC294" s="106"/>
      <c r="BD294" s="106"/>
      <c r="BE294" s="106"/>
      <c r="BF294" s="106"/>
      <c r="BG294" s="106"/>
      <c r="BH294" s="106"/>
      <c r="BI294" s="106"/>
      <c r="BJ294" s="106"/>
      <c r="BK294" s="106"/>
      <c r="BL294" s="106"/>
      <c r="BM294" s="106"/>
      <c r="BN294" s="106"/>
    </row>
    <row r="295" ht="29.25" hidden="1" customHeight="1">
      <c r="A295" s="216"/>
      <c r="B295" s="217"/>
      <c r="C295" s="164"/>
      <c r="D295" s="164"/>
      <c r="E295" s="165"/>
      <c r="F295" s="173"/>
      <c r="G295" s="168"/>
      <c r="H295" s="168"/>
      <c r="I295" s="169"/>
      <c r="J295" s="170"/>
      <c r="K295" s="170"/>
      <c r="L295" s="170"/>
      <c r="M295" s="167"/>
      <c r="N295" s="169"/>
      <c r="O295" s="171"/>
      <c r="P295" s="106"/>
      <c r="Q295" s="218"/>
      <c r="R295" s="172"/>
      <c r="S295" s="172"/>
      <c r="T295" s="173"/>
      <c r="U295" s="106"/>
      <c r="V295" s="106"/>
      <c r="W295" s="106"/>
      <c r="X295" s="106"/>
      <c r="Y295" s="106"/>
      <c r="Z295" s="106"/>
      <c r="AA295" s="106"/>
      <c r="AB295" s="106"/>
      <c r="AC295" s="106"/>
      <c r="AD295" s="106"/>
      <c r="AE295" s="106"/>
      <c r="AF295" s="106"/>
      <c r="AG295" s="106"/>
      <c r="AH295" s="106"/>
      <c r="AI295" s="106"/>
      <c r="AJ295" s="106"/>
      <c r="AK295" s="106"/>
      <c r="AL295" s="106"/>
      <c r="AM295" s="106"/>
      <c r="AN295" s="106"/>
      <c r="AO295" s="106"/>
      <c r="AP295" s="106"/>
      <c r="AQ295" s="106"/>
      <c r="AR295" s="106"/>
      <c r="AS295" s="106"/>
      <c r="AT295" s="106"/>
      <c r="AU295" s="106"/>
      <c r="AV295" s="106"/>
      <c r="AW295" s="106"/>
      <c r="AX295" s="106"/>
      <c r="AY295" s="106"/>
      <c r="AZ295" s="106"/>
      <c r="BA295" s="106"/>
      <c r="BB295" s="106"/>
      <c r="BC295" s="106"/>
      <c r="BD295" s="106"/>
      <c r="BE295" s="106"/>
      <c r="BF295" s="106"/>
      <c r="BG295" s="106"/>
      <c r="BH295" s="106"/>
      <c r="BI295" s="106"/>
      <c r="BJ295" s="106"/>
      <c r="BK295" s="106"/>
      <c r="BL295" s="106"/>
      <c r="BM295" s="106"/>
      <c r="BN295" s="106"/>
    </row>
    <row r="296" ht="29.25" hidden="1" customHeight="1">
      <c r="A296" s="216"/>
      <c r="B296" s="217"/>
      <c r="C296" s="164"/>
      <c r="D296" s="164"/>
      <c r="E296" s="165"/>
      <c r="F296" s="173"/>
      <c r="G296" s="168"/>
      <c r="H296" s="168"/>
      <c r="I296" s="169"/>
      <c r="J296" s="170"/>
      <c r="K296" s="170"/>
      <c r="L296" s="170"/>
      <c r="M296" s="167"/>
      <c r="N296" s="169"/>
      <c r="O296" s="171"/>
      <c r="P296" s="106"/>
      <c r="Q296" s="218"/>
      <c r="R296" s="172"/>
      <c r="S296" s="172"/>
      <c r="T296" s="173"/>
      <c r="U296" s="106"/>
      <c r="V296" s="106"/>
      <c r="W296" s="106"/>
      <c r="X296" s="106"/>
      <c r="Y296" s="106"/>
      <c r="Z296" s="106"/>
      <c r="AA296" s="106"/>
      <c r="AB296" s="106"/>
      <c r="AC296" s="106"/>
      <c r="AD296" s="106"/>
      <c r="AE296" s="106"/>
      <c r="AF296" s="106"/>
      <c r="AG296" s="106"/>
      <c r="AH296" s="106"/>
      <c r="AI296" s="106"/>
      <c r="AJ296" s="106"/>
      <c r="AK296" s="106"/>
      <c r="AL296" s="106"/>
      <c r="AM296" s="106"/>
      <c r="AN296" s="106"/>
      <c r="AO296" s="106"/>
      <c r="AP296" s="106"/>
      <c r="AQ296" s="106"/>
      <c r="AR296" s="106"/>
      <c r="AS296" s="106"/>
      <c r="AT296" s="106"/>
      <c r="AU296" s="106"/>
      <c r="AV296" s="106"/>
      <c r="AW296" s="106"/>
      <c r="AX296" s="106"/>
      <c r="AY296" s="106"/>
      <c r="AZ296" s="106"/>
      <c r="BA296" s="106"/>
      <c r="BB296" s="106"/>
      <c r="BC296" s="106"/>
      <c r="BD296" s="106"/>
      <c r="BE296" s="106"/>
      <c r="BF296" s="106"/>
      <c r="BG296" s="106"/>
      <c r="BH296" s="106"/>
      <c r="BI296" s="106"/>
      <c r="BJ296" s="106"/>
      <c r="BK296" s="106"/>
      <c r="BL296" s="106"/>
      <c r="BM296" s="106"/>
      <c r="BN296" s="106"/>
    </row>
    <row r="297" ht="29.25" hidden="1" customHeight="1">
      <c r="A297" s="216"/>
      <c r="B297" s="217"/>
      <c r="C297" s="164"/>
      <c r="D297" s="164"/>
      <c r="E297" s="165"/>
      <c r="F297" s="173"/>
      <c r="G297" s="168"/>
      <c r="H297" s="168"/>
      <c r="I297" s="169"/>
      <c r="J297" s="170"/>
      <c r="K297" s="170"/>
      <c r="L297" s="170"/>
      <c r="M297" s="167"/>
      <c r="N297" s="169"/>
      <c r="O297" s="171"/>
      <c r="P297" s="106"/>
      <c r="Q297" s="218"/>
      <c r="R297" s="172"/>
      <c r="S297" s="172"/>
      <c r="T297" s="173"/>
      <c r="U297" s="106"/>
      <c r="V297" s="106"/>
      <c r="W297" s="106"/>
      <c r="X297" s="106"/>
      <c r="Y297" s="106"/>
      <c r="Z297" s="106"/>
      <c r="AA297" s="106"/>
      <c r="AB297" s="106"/>
      <c r="AC297" s="106"/>
      <c r="AD297" s="106"/>
      <c r="AE297" s="106"/>
      <c r="AF297" s="106"/>
      <c r="AG297" s="106"/>
      <c r="AH297" s="106"/>
      <c r="AI297" s="106"/>
      <c r="AJ297" s="106"/>
      <c r="AK297" s="106"/>
      <c r="AL297" s="106"/>
      <c r="AM297" s="106"/>
      <c r="AN297" s="106"/>
      <c r="AO297" s="106"/>
      <c r="AP297" s="106"/>
      <c r="AQ297" s="106"/>
      <c r="AR297" s="106"/>
      <c r="AS297" s="106"/>
      <c r="AT297" s="106"/>
      <c r="AU297" s="106"/>
      <c r="AV297" s="106"/>
      <c r="AW297" s="106"/>
      <c r="AX297" s="106"/>
      <c r="AY297" s="106"/>
      <c r="AZ297" s="106"/>
      <c r="BA297" s="106"/>
      <c r="BB297" s="106"/>
      <c r="BC297" s="106"/>
      <c r="BD297" s="106"/>
      <c r="BE297" s="106"/>
      <c r="BF297" s="106"/>
      <c r="BG297" s="106"/>
      <c r="BH297" s="106"/>
      <c r="BI297" s="106"/>
      <c r="BJ297" s="106"/>
      <c r="BK297" s="106"/>
      <c r="BL297" s="106"/>
      <c r="BM297" s="106"/>
      <c r="BN297" s="106"/>
    </row>
    <row r="298" ht="29.25" hidden="1" customHeight="1">
      <c r="A298" s="216"/>
      <c r="B298" s="217"/>
      <c r="C298" s="164"/>
      <c r="D298" s="164"/>
      <c r="E298" s="165"/>
      <c r="F298" s="173"/>
      <c r="G298" s="168"/>
      <c r="H298" s="168"/>
      <c r="I298" s="169"/>
      <c r="J298" s="170"/>
      <c r="K298" s="170"/>
      <c r="L298" s="170"/>
      <c r="M298" s="167"/>
      <c r="N298" s="169"/>
      <c r="O298" s="171"/>
      <c r="P298" s="106"/>
      <c r="Q298" s="218"/>
      <c r="R298" s="172"/>
      <c r="S298" s="172"/>
      <c r="T298" s="173"/>
      <c r="U298" s="106"/>
      <c r="V298" s="106"/>
      <c r="W298" s="106"/>
      <c r="X298" s="106"/>
      <c r="Y298" s="106"/>
      <c r="Z298" s="106"/>
      <c r="AA298" s="106"/>
      <c r="AB298" s="106"/>
      <c r="AC298" s="106"/>
      <c r="AD298" s="106"/>
      <c r="AE298" s="106"/>
      <c r="AF298" s="106"/>
      <c r="AG298" s="106"/>
      <c r="AH298" s="106"/>
      <c r="AI298" s="106"/>
      <c r="AJ298" s="106"/>
      <c r="AK298" s="106"/>
      <c r="AL298" s="106"/>
      <c r="AM298" s="106"/>
      <c r="AN298" s="106"/>
      <c r="AO298" s="106"/>
      <c r="AP298" s="106"/>
      <c r="AQ298" s="106"/>
      <c r="AR298" s="106"/>
      <c r="AS298" s="106"/>
      <c r="AT298" s="106"/>
      <c r="AU298" s="106"/>
      <c r="AV298" s="106"/>
      <c r="AW298" s="106"/>
      <c r="AX298" s="106"/>
      <c r="AY298" s="106"/>
      <c r="AZ298" s="106"/>
      <c r="BA298" s="106"/>
      <c r="BB298" s="106"/>
      <c r="BC298" s="106"/>
      <c r="BD298" s="106"/>
      <c r="BE298" s="106"/>
      <c r="BF298" s="106"/>
      <c r="BG298" s="106"/>
      <c r="BH298" s="106"/>
      <c r="BI298" s="106"/>
      <c r="BJ298" s="106"/>
      <c r="BK298" s="106"/>
      <c r="BL298" s="106"/>
      <c r="BM298" s="106"/>
      <c r="BN298" s="106"/>
    </row>
    <row r="299" ht="29.25" hidden="1" customHeight="1">
      <c r="A299" s="216"/>
      <c r="B299" s="217"/>
      <c r="C299" s="164"/>
      <c r="D299" s="164"/>
      <c r="E299" s="165"/>
      <c r="F299" s="173"/>
      <c r="G299" s="168"/>
      <c r="H299" s="168"/>
      <c r="I299" s="169"/>
      <c r="J299" s="170"/>
      <c r="K299" s="170"/>
      <c r="L299" s="170"/>
      <c r="M299" s="167"/>
      <c r="N299" s="169"/>
      <c r="O299" s="171"/>
      <c r="P299" s="106"/>
      <c r="Q299" s="218"/>
      <c r="R299" s="172"/>
      <c r="S299" s="172"/>
      <c r="T299" s="173"/>
      <c r="U299" s="106"/>
      <c r="V299" s="106"/>
      <c r="W299" s="106"/>
      <c r="X299" s="106"/>
      <c r="Y299" s="106"/>
      <c r="Z299" s="106"/>
      <c r="AA299" s="106"/>
      <c r="AB299" s="106"/>
      <c r="AC299" s="106"/>
      <c r="AD299" s="106"/>
      <c r="AE299" s="106"/>
      <c r="AF299" s="106"/>
      <c r="AG299" s="106"/>
      <c r="AH299" s="106"/>
      <c r="AI299" s="106"/>
      <c r="AJ299" s="106"/>
      <c r="AK299" s="106"/>
      <c r="AL299" s="106"/>
      <c r="AM299" s="106"/>
      <c r="AN299" s="106"/>
      <c r="AO299" s="106"/>
      <c r="AP299" s="106"/>
      <c r="AQ299" s="106"/>
      <c r="AR299" s="106"/>
      <c r="AS299" s="106"/>
      <c r="AT299" s="106"/>
      <c r="AU299" s="106"/>
      <c r="AV299" s="106"/>
      <c r="AW299" s="106"/>
      <c r="AX299" s="106"/>
      <c r="AY299" s="106"/>
      <c r="AZ299" s="106"/>
      <c r="BA299" s="106"/>
      <c r="BB299" s="106"/>
      <c r="BC299" s="106"/>
      <c r="BD299" s="106"/>
      <c r="BE299" s="106"/>
      <c r="BF299" s="106"/>
      <c r="BG299" s="106"/>
      <c r="BH299" s="106"/>
      <c r="BI299" s="106"/>
      <c r="BJ299" s="106"/>
      <c r="BK299" s="106"/>
      <c r="BL299" s="106"/>
      <c r="BM299" s="106"/>
      <c r="BN299" s="106"/>
    </row>
    <row r="300" ht="29.25" hidden="1" customHeight="1">
      <c r="A300" s="216"/>
      <c r="B300" s="217"/>
      <c r="C300" s="164"/>
      <c r="D300" s="164"/>
      <c r="E300" s="165"/>
      <c r="F300" s="173"/>
      <c r="G300" s="168"/>
      <c r="H300" s="168"/>
      <c r="I300" s="169"/>
      <c r="J300" s="170"/>
      <c r="K300" s="170"/>
      <c r="L300" s="170"/>
      <c r="M300" s="167"/>
      <c r="N300" s="169"/>
      <c r="O300" s="171"/>
      <c r="P300" s="106"/>
      <c r="Q300" s="218"/>
      <c r="R300" s="172"/>
      <c r="S300" s="172"/>
      <c r="T300" s="173"/>
      <c r="U300" s="106"/>
      <c r="V300" s="106"/>
      <c r="W300" s="106"/>
      <c r="X300" s="106"/>
      <c r="Y300" s="106"/>
      <c r="Z300" s="106"/>
      <c r="AA300" s="106"/>
      <c r="AB300" s="106"/>
      <c r="AC300" s="106"/>
      <c r="AD300" s="106"/>
      <c r="AE300" s="106"/>
      <c r="AF300" s="106"/>
      <c r="AG300" s="106"/>
      <c r="AH300" s="106"/>
      <c r="AI300" s="106"/>
      <c r="AJ300" s="106"/>
      <c r="AK300" s="106"/>
      <c r="AL300" s="106"/>
      <c r="AM300" s="106"/>
      <c r="AN300" s="106"/>
      <c r="AO300" s="106"/>
      <c r="AP300" s="106"/>
      <c r="AQ300" s="106"/>
      <c r="AR300" s="106"/>
      <c r="AS300" s="106"/>
      <c r="AT300" s="106"/>
      <c r="AU300" s="106"/>
      <c r="AV300" s="106"/>
      <c r="AW300" s="106"/>
      <c r="AX300" s="106"/>
      <c r="AY300" s="106"/>
      <c r="AZ300" s="106"/>
      <c r="BA300" s="106"/>
      <c r="BB300" s="106"/>
      <c r="BC300" s="106"/>
      <c r="BD300" s="106"/>
      <c r="BE300" s="106"/>
      <c r="BF300" s="106"/>
      <c r="BG300" s="106"/>
      <c r="BH300" s="106"/>
      <c r="BI300" s="106"/>
      <c r="BJ300" s="106"/>
      <c r="BK300" s="106"/>
      <c r="BL300" s="106"/>
      <c r="BM300" s="106"/>
      <c r="BN300" s="106"/>
    </row>
    <row r="301" ht="29.25" hidden="1" customHeight="1">
      <c r="A301" s="216"/>
      <c r="B301" s="217"/>
      <c r="C301" s="164"/>
      <c r="D301" s="164"/>
      <c r="E301" s="165"/>
      <c r="F301" s="173"/>
      <c r="G301" s="168"/>
      <c r="H301" s="168"/>
      <c r="I301" s="169"/>
      <c r="J301" s="170"/>
      <c r="K301" s="170"/>
      <c r="L301" s="170"/>
      <c r="M301" s="167"/>
      <c r="N301" s="169"/>
      <c r="O301" s="171"/>
      <c r="P301" s="106"/>
      <c r="Q301" s="218"/>
      <c r="R301" s="172"/>
      <c r="S301" s="172"/>
      <c r="T301" s="173"/>
      <c r="U301" s="106"/>
      <c r="V301" s="106"/>
      <c r="W301" s="106"/>
      <c r="X301" s="106"/>
      <c r="Y301" s="106"/>
      <c r="Z301" s="106"/>
      <c r="AA301" s="106"/>
      <c r="AB301" s="106"/>
      <c r="AC301" s="106"/>
      <c r="AD301" s="106"/>
      <c r="AE301" s="106"/>
      <c r="AF301" s="106"/>
      <c r="AG301" s="106"/>
      <c r="AH301" s="106"/>
      <c r="AI301" s="106"/>
      <c r="AJ301" s="106"/>
      <c r="AK301" s="106"/>
      <c r="AL301" s="106"/>
      <c r="AM301" s="106"/>
      <c r="AN301" s="106"/>
      <c r="AO301" s="106"/>
      <c r="AP301" s="106"/>
      <c r="AQ301" s="106"/>
      <c r="AR301" s="106"/>
      <c r="AS301" s="106"/>
      <c r="AT301" s="106"/>
      <c r="AU301" s="106"/>
      <c r="AV301" s="106"/>
      <c r="AW301" s="106"/>
      <c r="AX301" s="106"/>
      <c r="AY301" s="106"/>
      <c r="AZ301" s="106"/>
      <c r="BA301" s="106"/>
      <c r="BB301" s="106"/>
      <c r="BC301" s="106"/>
      <c r="BD301" s="106"/>
      <c r="BE301" s="106"/>
      <c r="BF301" s="106"/>
      <c r="BG301" s="106"/>
      <c r="BH301" s="106"/>
      <c r="BI301" s="106"/>
      <c r="BJ301" s="106"/>
      <c r="BK301" s="106"/>
      <c r="BL301" s="106"/>
      <c r="BM301" s="106"/>
      <c r="BN301" s="106"/>
    </row>
    <row r="302" ht="29.25" hidden="1" customHeight="1">
      <c r="A302" s="216"/>
      <c r="B302" s="217"/>
      <c r="C302" s="164"/>
      <c r="D302" s="164"/>
      <c r="E302" s="165"/>
      <c r="F302" s="173"/>
      <c r="G302" s="168"/>
      <c r="H302" s="168"/>
      <c r="I302" s="169"/>
      <c r="J302" s="170"/>
      <c r="K302" s="170"/>
      <c r="L302" s="170"/>
      <c r="M302" s="167"/>
      <c r="N302" s="169"/>
      <c r="O302" s="171"/>
      <c r="P302" s="106"/>
      <c r="Q302" s="218"/>
      <c r="R302" s="172"/>
      <c r="S302" s="172"/>
      <c r="T302" s="173"/>
      <c r="U302" s="106"/>
      <c r="V302" s="106"/>
      <c r="W302" s="106"/>
      <c r="X302" s="106"/>
      <c r="Y302" s="106"/>
      <c r="Z302" s="106"/>
      <c r="AA302" s="106"/>
      <c r="AB302" s="106"/>
      <c r="AC302" s="106"/>
      <c r="AD302" s="106"/>
      <c r="AE302" s="106"/>
      <c r="AF302" s="106"/>
      <c r="AG302" s="106"/>
      <c r="AH302" s="106"/>
      <c r="AI302" s="106"/>
      <c r="AJ302" s="106"/>
      <c r="AK302" s="106"/>
      <c r="AL302" s="106"/>
      <c r="AM302" s="106"/>
      <c r="AN302" s="106"/>
      <c r="AO302" s="106"/>
      <c r="AP302" s="106"/>
      <c r="AQ302" s="106"/>
      <c r="AR302" s="106"/>
      <c r="AS302" s="106"/>
      <c r="AT302" s="106"/>
      <c r="AU302" s="106"/>
      <c r="AV302" s="106"/>
      <c r="AW302" s="106"/>
      <c r="AX302" s="106"/>
      <c r="AY302" s="106"/>
      <c r="AZ302" s="106"/>
      <c r="BA302" s="106"/>
      <c r="BB302" s="106"/>
      <c r="BC302" s="106"/>
      <c r="BD302" s="106"/>
      <c r="BE302" s="106"/>
      <c r="BF302" s="106"/>
      <c r="BG302" s="106"/>
      <c r="BH302" s="106"/>
      <c r="BI302" s="106"/>
      <c r="BJ302" s="106"/>
      <c r="BK302" s="106"/>
      <c r="BL302" s="106"/>
      <c r="BM302" s="106"/>
      <c r="BN302" s="106"/>
    </row>
    <row r="303" ht="29.25" hidden="1" customHeight="1">
      <c r="A303" s="216"/>
      <c r="B303" s="217"/>
      <c r="C303" s="164"/>
      <c r="D303" s="164"/>
      <c r="E303" s="165"/>
      <c r="F303" s="173"/>
      <c r="G303" s="168"/>
      <c r="H303" s="168"/>
      <c r="I303" s="169"/>
      <c r="J303" s="170"/>
      <c r="K303" s="170"/>
      <c r="L303" s="170"/>
      <c r="M303" s="167"/>
      <c r="N303" s="169"/>
      <c r="O303" s="171"/>
      <c r="P303" s="106"/>
      <c r="Q303" s="218"/>
      <c r="R303" s="172"/>
      <c r="S303" s="172"/>
      <c r="T303" s="173"/>
      <c r="U303" s="106"/>
      <c r="V303" s="106"/>
      <c r="W303" s="106"/>
      <c r="X303" s="106"/>
      <c r="Y303" s="106"/>
      <c r="Z303" s="106"/>
      <c r="AA303" s="106"/>
      <c r="AB303" s="106"/>
      <c r="AC303" s="106"/>
      <c r="AD303" s="106"/>
      <c r="AE303" s="106"/>
      <c r="AF303" s="106"/>
      <c r="AG303" s="106"/>
      <c r="AH303" s="106"/>
      <c r="AI303" s="106"/>
      <c r="AJ303" s="106"/>
      <c r="AK303" s="106"/>
      <c r="AL303" s="106"/>
      <c r="AM303" s="106"/>
      <c r="AN303" s="106"/>
      <c r="AO303" s="106"/>
      <c r="AP303" s="106"/>
      <c r="AQ303" s="106"/>
      <c r="AR303" s="106"/>
      <c r="AS303" s="106"/>
      <c r="AT303" s="106"/>
      <c r="AU303" s="106"/>
      <c r="AV303" s="106"/>
      <c r="AW303" s="106"/>
      <c r="AX303" s="106"/>
      <c r="AY303" s="106"/>
      <c r="AZ303" s="106"/>
      <c r="BA303" s="106"/>
      <c r="BB303" s="106"/>
      <c r="BC303" s="106"/>
      <c r="BD303" s="106"/>
      <c r="BE303" s="106"/>
      <c r="BF303" s="106"/>
      <c r="BG303" s="106"/>
      <c r="BH303" s="106"/>
      <c r="BI303" s="106"/>
      <c r="BJ303" s="106"/>
      <c r="BK303" s="106"/>
      <c r="BL303" s="106"/>
      <c r="BM303" s="106"/>
      <c r="BN303" s="106"/>
    </row>
    <row r="304" ht="29.25" hidden="1" customHeight="1">
      <c r="A304" s="216"/>
      <c r="B304" s="217"/>
      <c r="C304" s="164"/>
      <c r="D304" s="164"/>
      <c r="E304" s="165"/>
      <c r="F304" s="173"/>
      <c r="G304" s="168"/>
      <c r="H304" s="168"/>
      <c r="I304" s="169"/>
      <c r="J304" s="170"/>
      <c r="K304" s="170"/>
      <c r="L304" s="170"/>
      <c r="M304" s="167"/>
      <c r="N304" s="169"/>
      <c r="O304" s="171"/>
      <c r="P304" s="106"/>
      <c r="Q304" s="218"/>
      <c r="R304" s="172"/>
      <c r="S304" s="172"/>
      <c r="T304" s="173"/>
      <c r="U304" s="106"/>
      <c r="V304" s="106"/>
      <c r="W304" s="106"/>
      <c r="X304" s="106"/>
      <c r="Y304" s="106"/>
      <c r="Z304" s="106"/>
      <c r="AA304" s="106"/>
      <c r="AB304" s="106"/>
      <c r="AC304" s="106"/>
      <c r="AD304" s="106"/>
      <c r="AE304" s="106"/>
      <c r="AF304" s="106"/>
      <c r="AG304" s="106"/>
      <c r="AH304" s="106"/>
      <c r="AI304" s="106"/>
      <c r="AJ304" s="106"/>
      <c r="AK304" s="106"/>
      <c r="AL304" s="106"/>
      <c r="AM304" s="106"/>
      <c r="AN304" s="106"/>
      <c r="AO304" s="106"/>
      <c r="AP304" s="106"/>
      <c r="AQ304" s="106"/>
      <c r="AR304" s="106"/>
      <c r="AS304" s="106"/>
      <c r="AT304" s="106"/>
      <c r="AU304" s="106"/>
      <c r="AV304" s="106"/>
      <c r="AW304" s="106"/>
      <c r="AX304" s="106"/>
      <c r="AY304" s="106"/>
      <c r="AZ304" s="106"/>
      <c r="BA304" s="106"/>
      <c r="BB304" s="106"/>
      <c r="BC304" s="106"/>
      <c r="BD304" s="106"/>
      <c r="BE304" s="106"/>
      <c r="BF304" s="106"/>
      <c r="BG304" s="106"/>
      <c r="BH304" s="106"/>
      <c r="BI304" s="106"/>
      <c r="BJ304" s="106"/>
      <c r="BK304" s="106"/>
      <c r="BL304" s="106"/>
      <c r="BM304" s="106"/>
      <c r="BN304" s="106"/>
    </row>
    <row r="305" ht="29.25" hidden="1" customHeight="1">
      <c r="A305" s="216"/>
      <c r="B305" s="217"/>
      <c r="C305" s="164"/>
      <c r="D305" s="164"/>
      <c r="E305" s="165"/>
      <c r="F305" s="173"/>
      <c r="G305" s="168"/>
      <c r="H305" s="168"/>
      <c r="I305" s="169"/>
      <c r="J305" s="170"/>
      <c r="K305" s="170"/>
      <c r="L305" s="170"/>
      <c r="M305" s="167"/>
      <c r="N305" s="169"/>
      <c r="O305" s="171"/>
      <c r="P305" s="106"/>
      <c r="Q305" s="218"/>
      <c r="R305" s="172"/>
      <c r="S305" s="172"/>
      <c r="T305" s="173"/>
      <c r="U305" s="106"/>
      <c r="V305" s="106"/>
      <c r="W305" s="106"/>
      <c r="X305" s="106"/>
      <c r="Y305" s="106"/>
      <c r="Z305" s="106"/>
      <c r="AA305" s="106"/>
      <c r="AB305" s="106"/>
      <c r="AC305" s="106"/>
      <c r="AD305" s="106"/>
      <c r="AE305" s="106"/>
      <c r="AF305" s="106"/>
      <c r="AG305" s="106"/>
      <c r="AH305" s="106"/>
      <c r="AI305" s="106"/>
      <c r="AJ305" s="106"/>
      <c r="AK305" s="106"/>
      <c r="AL305" s="106"/>
      <c r="AM305" s="106"/>
      <c r="AN305" s="106"/>
      <c r="AO305" s="106"/>
      <c r="AP305" s="106"/>
      <c r="AQ305" s="106"/>
      <c r="AR305" s="106"/>
      <c r="AS305" s="106"/>
      <c r="AT305" s="106"/>
      <c r="AU305" s="106"/>
      <c r="AV305" s="106"/>
      <c r="AW305" s="106"/>
      <c r="AX305" s="106"/>
      <c r="AY305" s="106"/>
      <c r="AZ305" s="106"/>
      <c r="BA305" s="106"/>
      <c r="BB305" s="106"/>
      <c r="BC305" s="106"/>
      <c r="BD305" s="106"/>
      <c r="BE305" s="106"/>
      <c r="BF305" s="106"/>
      <c r="BG305" s="106"/>
      <c r="BH305" s="106"/>
      <c r="BI305" s="106"/>
      <c r="BJ305" s="106"/>
      <c r="BK305" s="106"/>
      <c r="BL305" s="106"/>
      <c r="BM305" s="106"/>
      <c r="BN305" s="106"/>
    </row>
    <row r="306" ht="29.25" hidden="1" customHeight="1">
      <c r="A306" s="216"/>
      <c r="B306" s="217"/>
      <c r="C306" s="164"/>
      <c r="D306" s="164"/>
      <c r="E306" s="165"/>
      <c r="F306" s="173"/>
      <c r="G306" s="168"/>
      <c r="H306" s="168"/>
      <c r="I306" s="169"/>
      <c r="J306" s="170"/>
      <c r="K306" s="170"/>
      <c r="L306" s="170"/>
      <c r="M306" s="167"/>
      <c r="N306" s="169"/>
      <c r="O306" s="171"/>
      <c r="P306" s="106"/>
      <c r="Q306" s="218"/>
      <c r="R306" s="172"/>
      <c r="S306" s="172"/>
      <c r="T306" s="173"/>
      <c r="U306" s="106"/>
      <c r="V306" s="106"/>
      <c r="W306" s="106"/>
      <c r="X306" s="106"/>
      <c r="Y306" s="106"/>
      <c r="Z306" s="106"/>
      <c r="AA306" s="106"/>
      <c r="AB306" s="106"/>
      <c r="AC306" s="106"/>
      <c r="AD306" s="106"/>
      <c r="AE306" s="106"/>
      <c r="AF306" s="106"/>
      <c r="AG306" s="106"/>
      <c r="AH306" s="106"/>
      <c r="AI306" s="106"/>
      <c r="AJ306" s="106"/>
      <c r="AK306" s="106"/>
      <c r="AL306" s="106"/>
      <c r="AM306" s="106"/>
      <c r="AN306" s="106"/>
      <c r="AO306" s="106"/>
      <c r="AP306" s="106"/>
      <c r="AQ306" s="106"/>
      <c r="AR306" s="106"/>
      <c r="AS306" s="106"/>
      <c r="AT306" s="106"/>
      <c r="AU306" s="106"/>
      <c r="AV306" s="106"/>
      <c r="AW306" s="106"/>
      <c r="AX306" s="106"/>
      <c r="AY306" s="106"/>
      <c r="AZ306" s="106"/>
      <c r="BA306" s="106"/>
      <c r="BB306" s="106"/>
      <c r="BC306" s="106"/>
      <c r="BD306" s="106"/>
      <c r="BE306" s="106"/>
      <c r="BF306" s="106"/>
      <c r="BG306" s="106"/>
      <c r="BH306" s="106"/>
      <c r="BI306" s="106"/>
      <c r="BJ306" s="106"/>
      <c r="BK306" s="106"/>
      <c r="BL306" s="106"/>
      <c r="BM306" s="106"/>
      <c r="BN306" s="106"/>
    </row>
    <row r="307" ht="29.25" hidden="1" customHeight="1">
      <c r="A307" s="216"/>
      <c r="B307" s="217"/>
      <c r="C307" s="164"/>
      <c r="D307" s="164"/>
      <c r="E307" s="165"/>
      <c r="F307" s="173"/>
      <c r="G307" s="168"/>
      <c r="H307" s="168"/>
      <c r="I307" s="169"/>
      <c r="J307" s="170"/>
      <c r="K307" s="170"/>
      <c r="L307" s="170"/>
      <c r="M307" s="167"/>
      <c r="N307" s="169"/>
      <c r="O307" s="171"/>
      <c r="P307" s="106"/>
      <c r="Q307" s="218"/>
      <c r="R307" s="172"/>
      <c r="S307" s="172"/>
      <c r="T307" s="173"/>
      <c r="U307" s="106"/>
      <c r="V307" s="106"/>
      <c r="W307" s="106"/>
      <c r="X307" s="106"/>
      <c r="Y307" s="106"/>
      <c r="Z307" s="106"/>
      <c r="AA307" s="106"/>
      <c r="AB307" s="106"/>
      <c r="AC307" s="106"/>
      <c r="AD307" s="106"/>
      <c r="AE307" s="106"/>
      <c r="AF307" s="106"/>
      <c r="AG307" s="106"/>
      <c r="AH307" s="106"/>
      <c r="AI307" s="106"/>
      <c r="AJ307" s="106"/>
      <c r="AK307" s="106"/>
      <c r="AL307" s="106"/>
      <c r="AM307" s="106"/>
      <c r="AN307" s="106"/>
      <c r="AO307" s="106"/>
      <c r="AP307" s="106"/>
      <c r="AQ307" s="106"/>
      <c r="AR307" s="106"/>
      <c r="AS307" s="106"/>
      <c r="AT307" s="106"/>
      <c r="AU307" s="106"/>
      <c r="AV307" s="106"/>
      <c r="AW307" s="106"/>
      <c r="AX307" s="106"/>
      <c r="AY307" s="106"/>
      <c r="AZ307" s="106"/>
      <c r="BA307" s="106"/>
      <c r="BB307" s="106"/>
      <c r="BC307" s="106"/>
      <c r="BD307" s="106"/>
      <c r="BE307" s="106"/>
      <c r="BF307" s="106"/>
      <c r="BG307" s="106"/>
      <c r="BH307" s="106"/>
      <c r="BI307" s="106"/>
      <c r="BJ307" s="106"/>
      <c r="BK307" s="106"/>
      <c r="BL307" s="106"/>
      <c r="BM307" s="106"/>
      <c r="BN307" s="106"/>
    </row>
    <row r="308" ht="29.25" hidden="1" customHeight="1">
      <c r="A308" s="216"/>
      <c r="B308" s="217"/>
      <c r="C308" s="164"/>
      <c r="D308" s="164"/>
      <c r="E308" s="165"/>
      <c r="F308" s="173"/>
      <c r="G308" s="168"/>
      <c r="H308" s="168"/>
      <c r="I308" s="169"/>
      <c r="J308" s="170"/>
      <c r="K308" s="170"/>
      <c r="L308" s="170"/>
      <c r="M308" s="167"/>
      <c r="N308" s="169"/>
      <c r="O308" s="171"/>
      <c r="P308" s="106"/>
      <c r="Q308" s="218"/>
      <c r="R308" s="172"/>
      <c r="S308" s="172"/>
      <c r="T308" s="173"/>
      <c r="U308" s="106"/>
      <c r="V308" s="106"/>
      <c r="W308" s="106"/>
      <c r="X308" s="106"/>
      <c r="Y308" s="106"/>
      <c r="Z308" s="106"/>
      <c r="AA308" s="106"/>
      <c r="AB308" s="106"/>
      <c r="AC308" s="106"/>
      <c r="AD308" s="106"/>
      <c r="AE308" s="106"/>
      <c r="AF308" s="106"/>
      <c r="AG308" s="106"/>
      <c r="AH308" s="106"/>
      <c r="AI308" s="106"/>
      <c r="AJ308" s="106"/>
      <c r="AK308" s="106"/>
      <c r="AL308" s="106"/>
      <c r="AM308" s="106"/>
      <c r="AN308" s="106"/>
      <c r="AO308" s="106"/>
      <c r="AP308" s="106"/>
      <c r="AQ308" s="106"/>
      <c r="AR308" s="106"/>
      <c r="AS308" s="106"/>
      <c r="AT308" s="106"/>
      <c r="AU308" s="106"/>
      <c r="AV308" s="106"/>
      <c r="AW308" s="106"/>
      <c r="AX308" s="106"/>
      <c r="AY308" s="106"/>
      <c r="AZ308" s="106"/>
      <c r="BA308" s="106"/>
      <c r="BB308" s="106"/>
      <c r="BC308" s="106"/>
      <c r="BD308" s="106"/>
      <c r="BE308" s="106"/>
      <c r="BF308" s="106"/>
      <c r="BG308" s="106"/>
      <c r="BH308" s="106"/>
      <c r="BI308" s="106"/>
      <c r="BJ308" s="106"/>
      <c r="BK308" s="106"/>
      <c r="BL308" s="106"/>
      <c r="BM308" s="106"/>
      <c r="BN308" s="106"/>
    </row>
    <row r="309" ht="29.25" hidden="1" customHeight="1">
      <c r="A309" s="216"/>
      <c r="B309" s="217"/>
      <c r="C309" s="164"/>
      <c r="D309" s="164"/>
      <c r="E309" s="165"/>
      <c r="F309" s="173"/>
      <c r="G309" s="168"/>
      <c r="H309" s="168"/>
      <c r="I309" s="169"/>
      <c r="J309" s="170"/>
      <c r="K309" s="170"/>
      <c r="L309" s="170"/>
      <c r="M309" s="167"/>
      <c r="N309" s="169"/>
      <c r="O309" s="171"/>
      <c r="P309" s="106"/>
      <c r="Q309" s="218"/>
      <c r="R309" s="172"/>
      <c r="S309" s="172"/>
      <c r="T309" s="173"/>
      <c r="U309" s="106"/>
      <c r="V309" s="106"/>
      <c r="W309" s="106"/>
      <c r="X309" s="106"/>
      <c r="Y309" s="106"/>
      <c r="Z309" s="106"/>
      <c r="AA309" s="106"/>
      <c r="AB309" s="106"/>
      <c r="AC309" s="106"/>
      <c r="AD309" s="106"/>
      <c r="AE309" s="106"/>
      <c r="AF309" s="106"/>
      <c r="AG309" s="106"/>
      <c r="AH309" s="106"/>
      <c r="AI309" s="106"/>
      <c r="AJ309" s="106"/>
      <c r="AK309" s="106"/>
      <c r="AL309" s="106"/>
      <c r="AM309" s="106"/>
      <c r="AN309" s="106"/>
      <c r="AO309" s="106"/>
      <c r="AP309" s="106"/>
      <c r="AQ309" s="106"/>
      <c r="AR309" s="106"/>
      <c r="AS309" s="106"/>
      <c r="AT309" s="106"/>
      <c r="AU309" s="106"/>
      <c r="AV309" s="106"/>
      <c r="AW309" s="106"/>
      <c r="AX309" s="106"/>
      <c r="AY309" s="106"/>
      <c r="AZ309" s="106"/>
      <c r="BA309" s="106"/>
      <c r="BB309" s="106"/>
      <c r="BC309" s="106"/>
      <c r="BD309" s="106"/>
      <c r="BE309" s="106"/>
      <c r="BF309" s="106"/>
      <c r="BG309" s="106"/>
      <c r="BH309" s="106"/>
      <c r="BI309" s="106"/>
      <c r="BJ309" s="106"/>
      <c r="BK309" s="106"/>
      <c r="BL309" s="106"/>
      <c r="BM309" s="106"/>
      <c r="BN309" s="106"/>
    </row>
    <row r="310" ht="29.25" hidden="1" customHeight="1">
      <c r="A310" s="216"/>
      <c r="B310" s="217"/>
      <c r="C310" s="164"/>
      <c r="D310" s="164"/>
      <c r="E310" s="165"/>
      <c r="F310" s="173"/>
      <c r="G310" s="168"/>
      <c r="H310" s="168"/>
      <c r="I310" s="169"/>
      <c r="J310" s="170"/>
      <c r="K310" s="170"/>
      <c r="L310" s="170"/>
      <c r="M310" s="167"/>
      <c r="N310" s="169"/>
      <c r="O310" s="171"/>
      <c r="P310" s="106"/>
      <c r="Q310" s="218"/>
      <c r="R310" s="172"/>
      <c r="S310" s="172"/>
      <c r="T310" s="173"/>
      <c r="U310" s="106"/>
      <c r="V310" s="106"/>
      <c r="W310" s="106"/>
      <c r="X310" s="106"/>
      <c r="Y310" s="106"/>
      <c r="Z310" s="106"/>
      <c r="AA310" s="106"/>
      <c r="AB310" s="106"/>
      <c r="AC310" s="106"/>
      <c r="AD310" s="106"/>
      <c r="AE310" s="106"/>
      <c r="AF310" s="106"/>
      <c r="AG310" s="106"/>
      <c r="AH310" s="106"/>
      <c r="AI310" s="106"/>
      <c r="AJ310" s="106"/>
      <c r="AK310" s="106"/>
      <c r="AL310" s="106"/>
      <c r="AM310" s="106"/>
      <c r="AN310" s="106"/>
      <c r="AO310" s="106"/>
      <c r="AP310" s="106"/>
      <c r="AQ310" s="106"/>
      <c r="AR310" s="106"/>
      <c r="AS310" s="106"/>
      <c r="AT310" s="106"/>
      <c r="AU310" s="106"/>
      <c r="AV310" s="106"/>
      <c r="AW310" s="106"/>
      <c r="AX310" s="106"/>
      <c r="AY310" s="106"/>
      <c r="AZ310" s="106"/>
      <c r="BA310" s="106"/>
      <c r="BB310" s="106"/>
      <c r="BC310" s="106"/>
      <c r="BD310" s="106"/>
      <c r="BE310" s="106"/>
      <c r="BF310" s="106"/>
      <c r="BG310" s="106"/>
      <c r="BH310" s="106"/>
      <c r="BI310" s="106"/>
      <c r="BJ310" s="106"/>
      <c r="BK310" s="106"/>
      <c r="BL310" s="106"/>
      <c r="BM310" s="106"/>
      <c r="BN310" s="106"/>
    </row>
    <row r="311" ht="29.25" hidden="1" customHeight="1">
      <c r="A311" s="216"/>
      <c r="B311" s="217"/>
      <c r="C311" s="164"/>
      <c r="D311" s="164"/>
      <c r="E311" s="165"/>
      <c r="F311" s="173"/>
      <c r="G311" s="168"/>
      <c r="H311" s="168"/>
      <c r="I311" s="169"/>
      <c r="J311" s="170"/>
      <c r="K311" s="170"/>
      <c r="L311" s="170"/>
      <c r="M311" s="167"/>
      <c r="N311" s="169"/>
      <c r="O311" s="171"/>
      <c r="P311" s="106"/>
      <c r="Q311" s="218"/>
      <c r="R311" s="172"/>
      <c r="S311" s="172"/>
      <c r="T311" s="173"/>
      <c r="U311" s="106"/>
      <c r="V311" s="106"/>
      <c r="W311" s="106"/>
      <c r="X311" s="106"/>
      <c r="Y311" s="106"/>
      <c r="Z311" s="106"/>
      <c r="AA311" s="106"/>
      <c r="AB311" s="106"/>
      <c r="AC311" s="106"/>
      <c r="AD311" s="106"/>
      <c r="AE311" s="106"/>
      <c r="AF311" s="106"/>
      <c r="AG311" s="106"/>
      <c r="AH311" s="106"/>
      <c r="AI311" s="106"/>
      <c r="AJ311" s="106"/>
      <c r="AK311" s="106"/>
      <c r="AL311" s="106"/>
      <c r="AM311" s="106"/>
      <c r="AN311" s="106"/>
      <c r="AO311" s="106"/>
      <c r="AP311" s="106"/>
      <c r="AQ311" s="106"/>
      <c r="AR311" s="106"/>
      <c r="AS311" s="106"/>
      <c r="AT311" s="106"/>
      <c r="AU311" s="106"/>
      <c r="AV311" s="106"/>
      <c r="AW311" s="106"/>
      <c r="AX311" s="106"/>
      <c r="AY311" s="106"/>
      <c r="AZ311" s="106"/>
      <c r="BA311" s="106"/>
      <c r="BB311" s="106"/>
      <c r="BC311" s="106"/>
      <c r="BD311" s="106"/>
      <c r="BE311" s="106"/>
      <c r="BF311" s="106"/>
      <c r="BG311" s="106"/>
      <c r="BH311" s="106"/>
      <c r="BI311" s="106"/>
      <c r="BJ311" s="106"/>
      <c r="BK311" s="106"/>
      <c r="BL311" s="106"/>
      <c r="BM311" s="106"/>
      <c r="BN311" s="106"/>
    </row>
    <row r="312" ht="29.25" hidden="1" customHeight="1">
      <c r="A312" s="216"/>
      <c r="B312" s="217"/>
      <c r="C312" s="164"/>
      <c r="D312" s="164"/>
      <c r="E312" s="165"/>
      <c r="F312" s="173"/>
      <c r="G312" s="168"/>
      <c r="H312" s="168"/>
      <c r="I312" s="169"/>
      <c r="J312" s="170"/>
      <c r="K312" s="170"/>
      <c r="L312" s="170"/>
      <c r="M312" s="167"/>
      <c r="N312" s="169"/>
      <c r="O312" s="171"/>
      <c r="P312" s="106"/>
      <c r="Q312" s="218"/>
      <c r="R312" s="172"/>
      <c r="S312" s="172"/>
      <c r="T312" s="173"/>
      <c r="U312" s="106"/>
      <c r="V312" s="106"/>
      <c r="W312" s="106"/>
      <c r="X312" s="106"/>
      <c r="Y312" s="106"/>
      <c r="Z312" s="106"/>
      <c r="AA312" s="106"/>
      <c r="AB312" s="106"/>
      <c r="AC312" s="106"/>
      <c r="AD312" s="106"/>
      <c r="AE312" s="106"/>
      <c r="AF312" s="106"/>
      <c r="AG312" s="106"/>
      <c r="AH312" s="106"/>
      <c r="AI312" s="106"/>
      <c r="AJ312" s="106"/>
      <c r="AK312" s="106"/>
      <c r="AL312" s="106"/>
      <c r="AM312" s="106"/>
      <c r="AN312" s="106"/>
      <c r="AO312" s="106"/>
      <c r="AP312" s="106"/>
      <c r="AQ312" s="106"/>
      <c r="AR312" s="106"/>
      <c r="AS312" s="106"/>
      <c r="AT312" s="106"/>
      <c r="AU312" s="106"/>
      <c r="AV312" s="106"/>
      <c r="AW312" s="106"/>
      <c r="AX312" s="106"/>
      <c r="AY312" s="106"/>
      <c r="AZ312" s="106"/>
      <c r="BA312" s="106"/>
      <c r="BB312" s="106"/>
      <c r="BC312" s="106"/>
      <c r="BD312" s="106"/>
      <c r="BE312" s="106"/>
      <c r="BF312" s="106"/>
      <c r="BG312" s="106"/>
      <c r="BH312" s="106"/>
      <c r="BI312" s="106"/>
      <c r="BJ312" s="106"/>
      <c r="BK312" s="106"/>
      <c r="BL312" s="106"/>
      <c r="BM312" s="106"/>
      <c r="BN312" s="106"/>
    </row>
    <row r="313" ht="29.25" hidden="1" customHeight="1">
      <c r="A313" s="216"/>
      <c r="B313" s="217"/>
      <c r="C313" s="164"/>
      <c r="D313" s="164"/>
      <c r="E313" s="165"/>
      <c r="F313" s="173"/>
      <c r="G313" s="168"/>
      <c r="H313" s="168"/>
      <c r="I313" s="169"/>
      <c r="J313" s="170"/>
      <c r="K313" s="170"/>
      <c r="L313" s="170"/>
      <c r="M313" s="167"/>
      <c r="N313" s="169"/>
      <c r="O313" s="171"/>
      <c r="P313" s="106"/>
      <c r="Q313" s="218"/>
      <c r="R313" s="172"/>
      <c r="S313" s="172"/>
      <c r="T313" s="173"/>
      <c r="U313" s="106"/>
      <c r="V313" s="106"/>
      <c r="W313" s="106"/>
      <c r="X313" s="106"/>
      <c r="Y313" s="106"/>
      <c r="Z313" s="106"/>
      <c r="AA313" s="106"/>
      <c r="AB313" s="106"/>
      <c r="AC313" s="106"/>
      <c r="AD313" s="106"/>
      <c r="AE313" s="106"/>
      <c r="AF313" s="106"/>
      <c r="AG313" s="106"/>
      <c r="AH313" s="106"/>
      <c r="AI313" s="106"/>
      <c r="AJ313" s="106"/>
      <c r="AK313" s="106"/>
      <c r="AL313" s="106"/>
      <c r="AM313" s="106"/>
      <c r="AN313" s="106"/>
      <c r="AO313" s="106"/>
      <c r="AP313" s="106"/>
      <c r="AQ313" s="106"/>
      <c r="AR313" s="106"/>
      <c r="AS313" s="106"/>
      <c r="AT313" s="106"/>
      <c r="AU313" s="106"/>
      <c r="AV313" s="106"/>
      <c r="AW313" s="106"/>
      <c r="AX313" s="106"/>
      <c r="AY313" s="106"/>
      <c r="AZ313" s="106"/>
      <c r="BA313" s="106"/>
      <c r="BB313" s="106"/>
      <c r="BC313" s="106"/>
      <c r="BD313" s="106"/>
      <c r="BE313" s="106"/>
      <c r="BF313" s="106"/>
      <c r="BG313" s="106"/>
      <c r="BH313" s="106"/>
      <c r="BI313" s="106"/>
      <c r="BJ313" s="106"/>
      <c r="BK313" s="106"/>
      <c r="BL313" s="106"/>
      <c r="BM313" s="106"/>
      <c r="BN313" s="106"/>
    </row>
    <row r="314" ht="29.25" hidden="1" customHeight="1">
      <c r="A314" s="216"/>
      <c r="B314" s="217"/>
      <c r="C314" s="164"/>
      <c r="D314" s="164"/>
      <c r="E314" s="165"/>
      <c r="F314" s="173"/>
      <c r="G314" s="168"/>
      <c r="H314" s="168"/>
      <c r="I314" s="169"/>
      <c r="J314" s="170"/>
      <c r="K314" s="170"/>
      <c r="L314" s="170"/>
      <c r="M314" s="167"/>
      <c r="N314" s="169"/>
      <c r="O314" s="171"/>
      <c r="P314" s="106"/>
      <c r="Q314" s="218"/>
      <c r="R314" s="172"/>
      <c r="S314" s="172"/>
      <c r="T314" s="173"/>
      <c r="U314" s="106"/>
      <c r="V314" s="106"/>
      <c r="W314" s="106"/>
      <c r="X314" s="106"/>
      <c r="Y314" s="106"/>
      <c r="Z314" s="106"/>
      <c r="AA314" s="106"/>
      <c r="AB314" s="106"/>
      <c r="AC314" s="106"/>
      <c r="AD314" s="106"/>
      <c r="AE314" s="106"/>
      <c r="AF314" s="106"/>
      <c r="AG314" s="106"/>
      <c r="AH314" s="106"/>
      <c r="AI314" s="106"/>
      <c r="AJ314" s="106"/>
      <c r="AK314" s="106"/>
      <c r="AL314" s="106"/>
      <c r="AM314" s="106"/>
      <c r="AN314" s="106"/>
      <c r="AO314" s="106"/>
      <c r="AP314" s="106"/>
      <c r="AQ314" s="106"/>
      <c r="AR314" s="106"/>
      <c r="AS314" s="106"/>
      <c r="AT314" s="106"/>
      <c r="AU314" s="106"/>
      <c r="AV314" s="106"/>
      <c r="AW314" s="106"/>
      <c r="AX314" s="106"/>
      <c r="AY314" s="106"/>
      <c r="AZ314" s="106"/>
      <c r="BA314" s="106"/>
      <c r="BB314" s="106"/>
      <c r="BC314" s="106"/>
      <c r="BD314" s="106"/>
      <c r="BE314" s="106"/>
      <c r="BF314" s="106"/>
      <c r="BG314" s="106"/>
      <c r="BH314" s="106"/>
      <c r="BI314" s="106"/>
      <c r="BJ314" s="106"/>
      <c r="BK314" s="106"/>
      <c r="BL314" s="106"/>
      <c r="BM314" s="106"/>
      <c r="BN314" s="106"/>
    </row>
    <row r="315" ht="29.25" hidden="1" customHeight="1">
      <c r="A315" s="216"/>
      <c r="B315" s="217"/>
      <c r="C315" s="164"/>
      <c r="D315" s="164"/>
      <c r="E315" s="165"/>
      <c r="F315" s="173"/>
      <c r="G315" s="168"/>
      <c r="H315" s="168"/>
      <c r="I315" s="169"/>
      <c r="J315" s="170"/>
      <c r="K315" s="170"/>
      <c r="L315" s="170"/>
      <c r="M315" s="167"/>
      <c r="N315" s="169"/>
      <c r="O315" s="171"/>
      <c r="P315" s="106"/>
      <c r="Q315" s="218"/>
      <c r="R315" s="172"/>
      <c r="S315" s="172"/>
      <c r="T315" s="173"/>
      <c r="U315" s="106"/>
      <c r="V315" s="106"/>
      <c r="W315" s="106"/>
      <c r="X315" s="106"/>
      <c r="Y315" s="106"/>
      <c r="Z315" s="106"/>
      <c r="AA315" s="106"/>
      <c r="AB315" s="106"/>
      <c r="AC315" s="106"/>
      <c r="AD315" s="106"/>
      <c r="AE315" s="106"/>
      <c r="AF315" s="106"/>
      <c r="AG315" s="106"/>
      <c r="AH315" s="106"/>
      <c r="AI315" s="106"/>
      <c r="AJ315" s="106"/>
      <c r="AK315" s="106"/>
      <c r="AL315" s="106"/>
      <c r="AM315" s="106"/>
      <c r="AN315" s="106"/>
      <c r="AO315" s="106"/>
      <c r="AP315" s="106"/>
      <c r="AQ315" s="106"/>
      <c r="AR315" s="106"/>
      <c r="AS315" s="106"/>
      <c r="AT315" s="106"/>
      <c r="AU315" s="106"/>
      <c r="AV315" s="106"/>
      <c r="AW315" s="106"/>
      <c r="AX315" s="106"/>
      <c r="AY315" s="106"/>
      <c r="AZ315" s="106"/>
      <c r="BA315" s="106"/>
      <c r="BB315" s="106"/>
      <c r="BC315" s="106"/>
      <c r="BD315" s="106"/>
      <c r="BE315" s="106"/>
      <c r="BF315" s="106"/>
      <c r="BG315" s="106"/>
      <c r="BH315" s="106"/>
      <c r="BI315" s="106"/>
      <c r="BJ315" s="106"/>
      <c r="BK315" s="106"/>
      <c r="BL315" s="106"/>
      <c r="BM315" s="106"/>
      <c r="BN315" s="106"/>
    </row>
    <row r="316" ht="29.25" hidden="1" customHeight="1">
      <c r="A316" s="216"/>
      <c r="B316" s="217"/>
      <c r="C316" s="164"/>
      <c r="D316" s="164"/>
      <c r="E316" s="165"/>
      <c r="F316" s="173"/>
      <c r="G316" s="168"/>
      <c r="H316" s="168"/>
      <c r="I316" s="169"/>
      <c r="J316" s="170"/>
      <c r="K316" s="170"/>
      <c r="L316" s="170"/>
      <c r="M316" s="167"/>
      <c r="N316" s="169"/>
      <c r="O316" s="171"/>
      <c r="P316" s="106"/>
      <c r="Q316" s="218"/>
      <c r="R316" s="172"/>
      <c r="S316" s="172"/>
      <c r="T316" s="173"/>
      <c r="U316" s="106"/>
      <c r="V316" s="106"/>
      <c r="W316" s="106"/>
      <c r="X316" s="106"/>
      <c r="Y316" s="106"/>
      <c r="Z316" s="106"/>
      <c r="AA316" s="106"/>
      <c r="AB316" s="106"/>
      <c r="AC316" s="106"/>
      <c r="AD316" s="106"/>
      <c r="AE316" s="106"/>
      <c r="AF316" s="106"/>
      <c r="AG316" s="106"/>
      <c r="AH316" s="106"/>
      <c r="AI316" s="106"/>
      <c r="AJ316" s="106"/>
      <c r="AK316" s="106"/>
      <c r="AL316" s="106"/>
      <c r="AM316" s="106"/>
      <c r="AN316" s="106"/>
      <c r="AO316" s="106"/>
      <c r="AP316" s="106"/>
      <c r="AQ316" s="106"/>
      <c r="AR316" s="106"/>
      <c r="AS316" s="106"/>
      <c r="AT316" s="106"/>
      <c r="AU316" s="106"/>
      <c r="AV316" s="106"/>
      <c r="AW316" s="106"/>
      <c r="AX316" s="106"/>
      <c r="AY316" s="106"/>
      <c r="AZ316" s="106"/>
      <c r="BA316" s="106"/>
      <c r="BB316" s="106"/>
      <c r="BC316" s="106"/>
      <c r="BD316" s="106"/>
      <c r="BE316" s="106"/>
      <c r="BF316" s="106"/>
      <c r="BG316" s="106"/>
      <c r="BH316" s="106"/>
      <c r="BI316" s="106"/>
      <c r="BJ316" s="106"/>
      <c r="BK316" s="106"/>
      <c r="BL316" s="106"/>
      <c r="BM316" s="106"/>
      <c r="BN316" s="106"/>
    </row>
    <row r="317" ht="29.25" hidden="1" customHeight="1">
      <c r="A317" s="216"/>
      <c r="B317" s="217"/>
      <c r="C317" s="164"/>
      <c r="D317" s="164"/>
      <c r="E317" s="165"/>
      <c r="F317" s="173"/>
      <c r="G317" s="168"/>
      <c r="H317" s="168"/>
      <c r="I317" s="169"/>
      <c r="J317" s="170"/>
      <c r="K317" s="170"/>
      <c r="L317" s="170"/>
      <c r="M317" s="167"/>
      <c r="N317" s="169"/>
      <c r="O317" s="171"/>
      <c r="P317" s="106"/>
      <c r="Q317" s="218"/>
      <c r="R317" s="172"/>
      <c r="S317" s="172"/>
      <c r="T317" s="173"/>
      <c r="U317" s="106"/>
      <c r="V317" s="106"/>
      <c r="W317" s="106"/>
      <c r="X317" s="106"/>
      <c r="Y317" s="106"/>
      <c r="Z317" s="106"/>
      <c r="AA317" s="106"/>
      <c r="AB317" s="106"/>
      <c r="AC317" s="106"/>
      <c r="AD317" s="106"/>
      <c r="AE317" s="106"/>
      <c r="AF317" s="106"/>
      <c r="AG317" s="106"/>
      <c r="AH317" s="106"/>
      <c r="AI317" s="106"/>
      <c r="AJ317" s="106"/>
      <c r="AK317" s="106"/>
      <c r="AL317" s="106"/>
      <c r="AM317" s="106"/>
      <c r="AN317" s="106"/>
      <c r="AO317" s="106"/>
      <c r="AP317" s="106"/>
      <c r="AQ317" s="106"/>
      <c r="AR317" s="106"/>
      <c r="AS317" s="106"/>
      <c r="AT317" s="106"/>
      <c r="AU317" s="106"/>
      <c r="AV317" s="106"/>
      <c r="AW317" s="106"/>
      <c r="AX317" s="106"/>
      <c r="AY317" s="106"/>
      <c r="AZ317" s="106"/>
      <c r="BA317" s="106"/>
      <c r="BB317" s="106"/>
      <c r="BC317" s="106"/>
      <c r="BD317" s="106"/>
      <c r="BE317" s="106"/>
      <c r="BF317" s="106"/>
      <c r="BG317" s="106"/>
      <c r="BH317" s="106"/>
      <c r="BI317" s="106"/>
      <c r="BJ317" s="106"/>
      <c r="BK317" s="106"/>
      <c r="BL317" s="106"/>
      <c r="BM317" s="106"/>
      <c r="BN317" s="106"/>
    </row>
    <row r="318" ht="29.25" hidden="1" customHeight="1">
      <c r="A318" s="216"/>
      <c r="B318" s="217"/>
      <c r="C318" s="164"/>
      <c r="D318" s="164"/>
      <c r="E318" s="165"/>
      <c r="F318" s="173"/>
      <c r="G318" s="168"/>
      <c r="H318" s="168"/>
      <c r="I318" s="169"/>
      <c r="J318" s="170"/>
      <c r="K318" s="170"/>
      <c r="L318" s="170"/>
      <c r="M318" s="167"/>
      <c r="N318" s="169"/>
      <c r="O318" s="171"/>
      <c r="P318" s="106"/>
      <c r="Q318" s="218"/>
      <c r="R318" s="172"/>
      <c r="S318" s="172"/>
      <c r="T318" s="173"/>
      <c r="U318" s="106"/>
      <c r="V318" s="106"/>
      <c r="W318" s="106"/>
      <c r="X318" s="106"/>
      <c r="Y318" s="106"/>
      <c r="Z318" s="106"/>
      <c r="AA318" s="106"/>
      <c r="AB318" s="106"/>
      <c r="AC318" s="106"/>
      <c r="AD318" s="106"/>
      <c r="AE318" s="106"/>
      <c r="AF318" s="106"/>
      <c r="AG318" s="106"/>
      <c r="AH318" s="106"/>
      <c r="AI318" s="106"/>
      <c r="AJ318" s="106"/>
      <c r="AK318" s="106"/>
      <c r="AL318" s="106"/>
      <c r="AM318" s="106"/>
      <c r="AN318" s="106"/>
      <c r="AO318" s="106"/>
      <c r="AP318" s="106"/>
      <c r="AQ318" s="106"/>
      <c r="AR318" s="106"/>
      <c r="AS318" s="106"/>
      <c r="AT318" s="106"/>
      <c r="AU318" s="106"/>
      <c r="AV318" s="106"/>
      <c r="AW318" s="106"/>
      <c r="AX318" s="106"/>
      <c r="AY318" s="106"/>
      <c r="AZ318" s="106"/>
      <c r="BA318" s="106"/>
      <c r="BB318" s="106"/>
      <c r="BC318" s="106"/>
      <c r="BD318" s="106"/>
      <c r="BE318" s="106"/>
      <c r="BF318" s="106"/>
      <c r="BG318" s="106"/>
      <c r="BH318" s="106"/>
      <c r="BI318" s="106"/>
      <c r="BJ318" s="106"/>
      <c r="BK318" s="106"/>
      <c r="BL318" s="106"/>
      <c r="BM318" s="106"/>
      <c r="BN318" s="106"/>
    </row>
    <row r="319" ht="29.25" hidden="1" customHeight="1">
      <c r="A319" s="216"/>
      <c r="B319" s="217"/>
      <c r="C319" s="164"/>
      <c r="D319" s="164"/>
      <c r="E319" s="165"/>
      <c r="F319" s="173"/>
      <c r="G319" s="168"/>
      <c r="H319" s="168"/>
      <c r="I319" s="169"/>
      <c r="J319" s="170"/>
      <c r="K319" s="170"/>
      <c r="L319" s="170"/>
      <c r="M319" s="167"/>
      <c r="N319" s="169"/>
      <c r="O319" s="171"/>
      <c r="P319" s="106"/>
      <c r="Q319" s="218"/>
      <c r="R319" s="172"/>
      <c r="S319" s="172"/>
      <c r="T319" s="173"/>
      <c r="U319" s="106"/>
      <c r="V319" s="106"/>
      <c r="W319" s="106"/>
      <c r="X319" s="106"/>
      <c r="Y319" s="106"/>
      <c r="Z319" s="106"/>
      <c r="AA319" s="106"/>
      <c r="AB319" s="106"/>
      <c r="AC319" s="106"/>
      <c r="AD319" s="106"/>
      <c r="AE319" s="106"/>
      <c r="AF319" s="106"/>
      <c r="AG319" s="106"/>
      <c r="AH319" s="106"/>
      <c r="AI319" s="106"/>
      <c r="AJ319" s="106"/>
      <c r="AK319" s="106"/>
      <c r="AL319" s="106"/>
      <c r="AM319" s="106"/>
      <c r="AN319" s="106"/>
      <c r="AO319" s="106"/>
      <c r="AP319" s="106"/>
      <c r="AQ319" s="106"/>
      <c r="AR319" s="106"/>
      <c r="AS319" s="106"/>
      <c r="AT319" s="106"/>
      <c r="AU319" s="106"/>
      <c r="AV319" s="106"/>
      <c r="AW319" s="106"/>
      <c r="AX319" s="106"/>
      <c r="AY319" s="106"/>
      <c r="AZ319" s="106"/>
      <c r="BA319" s="106"/>
      <c r="BB319" s="106"/>
      <c r="BC319" s="106"/>
      <c r="BD319" s="106"/>
      <c r="BE319" s="106"/>
      <c r="BF319" s="106"/>
      <c r="BG319" s="106"/>
      <c r="BH319" s="106"/>
      <c r="BI319" s="106"/>
      <c r="BJ319" s="106"/>
      <c r="BK319" s="106"/>
      <c r="BL319" s="106"/>
      <c r="BM319" s="106"/>
      <c r="BN319" s="106"/>
    </row>
    <row r="320" ht="29.25" hidden="1" customHeight="1">
      <c r="A320" s="216"/>
      <c r="B320" s="217"/>
      <c r="C320" s="164"/>
      <c r="D320" s="164"/>
      <c r="E320" s="165"/>
      <c r="F320" s="173"/>
      <c r="G320" s="168"/>
      <c r="H320" s="168"/>
      <c r="I320" s="169"/>
      <c r="J320" s="170"/>
      <c r="K320" s="170"/>
      <c r="L320" s="170"/>
      <c r="M320" s="167"/>
      <c r="N320" s="169"/>
      <c r="O320" s="171"/>
      <c r="P320" s="106"/>
      <c r="Q320" s="218"/>
      <c r="R320" s="172"/>
      <c r="S320" s="172"/>
      <c r="T320" s="173"/>
      <c r="U320" s="106"/>
      <c r="V320" s="106"/>
      <c r="W320" s="106"/>
      <c r="X320" s="106"/>
      <c r="Y320" s="106"/>
      <c r="Z320" s="106"/>
      <c r="AA320" s="106"/>
      <c r="AB320" s="106"/>
      <c r="AC320" s="106"/>
      <c r="AD320" s="106"/>
      <c r="AE320" s="106"/>
      <c r="AF320" s="106"/>
      <c r="AG320" s="106"/>
      <c r="AH320" s="106"/>
      <c r="AI320" s="106"/>
      <c r="AJ320" s="106"/>
      <c r="AK320" s="106"/>
      <c r="AL320" s="106"/>
      <c r="AM320" s="106"/>
      <c r="AN320" s="106"/>
      <c r="AO320" s="106"/>
      <c r="AP320" s="106"/>
      <c r="AQ320" s="106"/>
      <c r="AR320" s="106"/>
      <c r="AS320" s="106"/>
      <c r="AT320" s="106"/>
      <c r="AU320" s="106"/>
      <c r="AV320" s="106"/>
      <c r="AW320" s="106"/>
      <c r="AX320" s="106"/>
      <c r="AY320" s="106"/>
      <c r="AZ320" s="106"/>
      <c r="BA320" s="106"/>
      <c r="BB320" s="106"/>
      <c r="BC320" s="106"/>
      <c r="BD320" s="106"/>
      <c r="BE320" s="106"/>
      <c r="BF320" s="106"/>
      <c r="BG320" s="106"/>
      <c r="BH320" s="106"/>
      <c r="BI320" s="106"/>
      <c r="BJ320" s="106"/>
      <c r="BK320" s="106"/>
      <c r="BL320" s="106"/>
      <c r="BM320" s="106"/>
      <c r="BN320" s="106"/>
    </row>
    <row r="321" ht="29.25" hidden="1" customHeight="1">
      <c r="A321" s="216"/>
      <c r="B321" s="217"/>
      <c r="C321" s="164"/>
      <c r="D321" s="164"/>
      <c r="E321" s="165"/>
      <c r="F321" s="173"/>
      <c r="G321" s="168"/>
      <c r="H321" s="168"/>
      <c r="I321" s="169"/>
      <c r="J321" s="170"/>
      <c r="K321" s="170"/>
      <c r="L321" s="170"/>
      <c r="M321" s="167"/>
      <c r="N321" s="169"/>
      <c r="O321" s="171"/>
      <c r="P321" s="106"/>
      <c r="Q321" s="218"/>
      <c r="R321" s="172"/>
      <c r="S321" s="172"/>
      <c r="T321" s="173"/>
      <c r="U321" s="106"/>
      <c r="V321" s="106"/>
      <c r="W321" s="106"/>
      <c r="X321" s="106"/>
      <c r="Y321" s="106"/>
      <c r="Z321" s="106"/>
      <c r="AA321" s="106"/>
      <c r="AB321" s="106"/>
      <c r="AC321" s="106"/>
      <c r="AD321" s="106"/>
      <c r="AE321" s="106"/>
      <c r="AF321" s="106"/>
      <c r="AG321" s="106"/>
      <c r="AH321" s="106"/>
      <c r="AI321" s="106"/>
      <c r="AJ321" s="106"/>
      <c r="AK321" s="106"/>
      <c r="AL321" s="106"/>
      <c r="AM321" s="106"/>
      <c r="AN321" s="106"/>
      <c r="AO321" s="106"/>
      <c r="AP321" s="106"/>
      <c r="AQ321" s="106"/>
      <c r="AR321" s="106"/>
      <c r="AS321" s="106"/>
      <c r="AT321" s="106"/>
      <c r="AU321" s="106"/>
      <c r="AV321" s="106"/>
      <c r="AW321" s="106"/>
      <c r="AX321" s="106"/>
      <c r="AY321" s="106"/>
      <c r="AZ321" s="106"/>
      <c r="BA321" s="106"/>
      <c r="BB321" s="106"/>
      <c r="BC321" s="106"/>
      <c r="BD321" s="106"/>
      <c r="BE321" s="106"/>
      <c r="BF321" s="106"/>
      <c r="BG321" s="106"/>
      <c r="BH321" s="106"/>
      <c r="BI321" s="106"/>
      <c r="BJ321" s="106"/>
      <c r="BK321" s="106"/>
      <c r="BL321" s="106"/>
      <c r="BM321" s="106"/>
      <c r="BN321" s="106"/>
    </row>
    <row r="322" ht="29.25" hidden="1" customHeight="1">
      <c r="A322" s="216"/>
      <c r="B322" s="217"/>
      <c r="C322" s="164"/>
      <c r="D322" s="164"/>
      <c r="E322" s="165"/>
      <c r="F322" s="173"/>
      <c r="G322" s="168"/>
      <c r="H322" s="168"/>
      <c r="I322" s="169"/>
      <c r="J322" s="170"/>
      <c r="K322" s="170"/>
      <c r="L322" s="170"/>
      <c r="M322" s="167"/>
      <c r="N322" s="169"/>
      <c r="O322" s="171"/>
      <c r="P322" s="106"/>
      <c r="Q322" s="218"/>
      <c r="R322" s="172"/>
      <c r="S322" s="172"/>
      <c r="T322" s="173"/>
      <c r="U322" s="106"/>
      <c r="V322" s="106"/>
      <c r="W322" s="106"/>
      <c r="X322" s="106"/>
      <c r="Y322" s="106"/>
      <c r="Z322" s="106"/>
      <c r="AA322" s="106"/>
      <c r="AB322" s="106"/>
      <c r="AC322" s="106"/>
      <c r="AD322" s="106"/>
      <c r="AE322" s="106"/>
      <c r="AF322" s="106"/>
      <c r="AG322" s="106"/>
      <c r="AH322" s="106"/>
      <c r="AI322" s="106"/>
      <c r="AJ322" s="106"/>
      <c r="AK322" s="106"/>
      <c r="AL322" s="106"/>
      <c r="AM322" s="106"/>
      <c r="AN322" s="106"/>
      <c r="AO322" s="106"/>
      <c r="AP322" s="106"/>
      <c r="AQ322" s="106"/>
      <c r="AR322" s="106"/>
      <c r="AS322" s="106"/>
      <c r="AT322" s="106"/>
      <c r="AU322" s="106"/>
      <c r="AV322" s="106"/>
      <c r="AW322" s="106"/>
      <c r="AX322" s="106"/>
      <c r="AY322" s="106"/>
      <c r="AZ322" s="106"/>
      <c r="BA322" s="106"/>
      <c r="BB322" s="106"/>
      <c r="BC322" s="106"/>
      <c r="BD322" s="106"/>
      <c r="BE322" s="106"/>
      <c r="BF322" s="106"/>
      <c r="BG322" s="106"/>
      <c r="BH322" s="106"/>
      <c r="BI322" s="106"/>
      <c r="BJ322" s="106"/>
      <c r="BK322" s="106"/>
      <c r="BL322" s="106"/>
      <c r="BM322" s="106"/>
      <c r="BN322" s="106"/>
    </row>
    <row r="323" ht="29.25" hidden="1" customHeight="1">
      <c r="A323" s="216"/>
      <c r="B323" s="217"/>
      <c r="C323" s="164"/>
      <c r="D323" s="164"/>
      <c r="E323" s="165"/>
      <c r="F323" s="173"/>
      <c r="G323" s="168"/>
      <c r="H323" s="168"/>
      <c r="I323" s="169"/>
      <c r="J323" s="170"/>
      <c r="K323" s="170"/>
      <c r="L323" s="170"/>
      <c r="M323" s="167"/>
      <c r="N323" s="169"/>
      <c r="O323" s="171"/>
      <c r="P323" s="106"/>
      <c r="Q323" s="218"/>
      <c r="R323" s="172"/>
      <c r="S323" s="172"/>
      <c r="T323" s="173"/>
      <c r="U323" s="106"/>
      <c r="V323" s="106"/>
      <c r="W323" s="106"/>
      <c r="X323" s="106"/>
      <c r="Y323" s="106"/>
      <c r="Z323" s="106"/>
      <c r="AA323" s="106"/>
      <c r="AB323" s="106"/>
      <c r="AC323" s="106"/>
      <c r="AD323" s="106"/>
      <c r="AE323" s="106"/>
      <c r="AF323" s="106"/>
      <c r="AG323" s="106"/>
      <c r="AH323" s="106"/>
      <c r="AI323" s="106"/>
      <c r="AJ323" s="106"/>
      <c r="AK323" s="106"/>
      <c r="AL323" s="106"/>
      <c r="AM323" s="106"/>
      <c r="AN323" s="106"/>
      <c r="AO323" s="106"/>
      <c r="AP323" s="106"/>
      <c r="AQ323" s="106"/>
      <c r="AR323" s="106"/>
      <c r="AS323" s="106"/>
      <c r="AT323" s="106"/>
      <c r="AU323" s="106"/>
      <c r="AV323" s="106"/>
      <c r="AW323" s="106"/>
      <c r="AX323" s="106"/>
      <c r="AY323" s="106"/>
      <c r="AZ323" s="106"/>
      <c r="BA323" s="106"/>
      <c r="BB323" s="106"/>
      <c r="BC323" s="106"/>
      <c r="BD323" s="106"/>
      <c r="BE323" s="106"/>
      <c r="BF323" s="106"/>
      <c r="BG323" s="106"/>
      <c r="BH323" s="106"/>
      <c r="BI323" s="106"/>
      <c r="BJ323" s="106"/>
      <c r="BK323" s="106"/>
      <c r="BL323" s="106"/>
      <c r="BM323" s="106"/>
      <c r="BN323" s="106"/>
    </row>
    <row r="324" ht="29.25" hidden="1" customHeight="1">
      <c r="A324" s="216"/>
      <c r="B324" s="217"/>
      <c r="C324" s="164"/>
      <c r="D324" s="164"/>
      <c r="E324" s="165"/>
      <c r="F324" s="173"/>
      <c r="G324" s="168"/>
      <c r="H324" s="168"/>
      <c r="I324" s="169"/>
      <c r="J324" s="170"/>
      <c r="K324" s="170"/>
      <c r="L324" s="170"/>
      <c r="M324" s="167"/>
      <c r="N324" s="169"/>
      <c r="O324" s="171"/>
      <c r="P324" s="106"/>
      <c r="Q324" s="218"/>
      <c r="R324" s="172"/>
      <c r="S324" s="172"/>
      <c r="T324" s="173"/>
      <c r="U324" s="106"/>
      <c r="V324" s="106"/>
      <c r="W324" s="106"/>
      <c r="X324" s="106"/>
      <c r="Y324" s="106"/>
      <c r="Z324" s="106"/>
      <c r="AA324" s="106"/>
      <c r="AB324" s="106"/>
      <c r="AC324" s="106"/>
      <c r="AD324" s="106"/>
      <c r="AE324" s="106"/>
      <c r="AF324" s="106"/>
      <c r="AG324" s="106"/>
      <c r="AH324" s="106"/>
      <c r="AI324" s="106"/>
      <c r="AJ324" s="106"/>
      <c r="AK324" s="106"/>
      <c r="AL324" s="106"/>
      <c r="AM324" s="106"/>
      <c r="AN324" s="106"/>
      <c r="AO324" s="106"/>
      <c r="AP324" s="106"/>
      <c r="AQ324" s="106"/>
      <c r="AR324" s="106"/>
      <c r="AS324" s="106"/>
      <c r="AT324" s="106"/>
      <c r="AU324" s="106"/>
      <c r="AV324" s="106"/>
      <c r="AW324" s="106"/>
      <c r="AX324" s="106"/>
      <c r="AY324" s="106"/>
      <c r="AZ324" s="106"/>
      <c r="BA324" s="106"/>
      <c r="BB324" s="106"/>
      <c r="BC324" s="106"/>
      <c r="BD324" s="106"/>
      <c r="BE324" s="106"/>
      <c r="BF324" s="106"/>
      <c r="BG324" s="106"/>
      <c r="BH324" s="106"/>
      <c r="BI324" s="106"/>
      <c r="BJ324" s="106"/>
      <c r="BK324" s="106"/>
      <c r="BL324" s="106"/>
      <c r="BM324" s="106"/>
      <c r="BN324" s="106"/>
    </row>
    <row r="325" ht="29.25" hidden="1" customHeight="1">
      <c r="A325" s="216"/>
      <c r="B325" s="217"/>
      <c r="C325" s="164"/>
      <c r="D325" s="164"/>
      <c r="E325" s="165"/>
      <c r="F325" s="173"/>
      <c r="G325" s="168"/>
      <c r="H325" s="168"/>
      <c r="I325" s="169"/>
      <c r="J325" s="170"/>
      <c r="K325" s="170"/>
      <c r="L325" s="170"/>
      <c r="M325" s="167"/>
      <c r="N325" s="169"/>
      <c r="O325" s="171"/>
      <c r="P325" s="106"/>
      <c r="Q325" s="218"/>
      <c r="R325" s="172"/>
      <c r="S325" s="172"/>
      <c r="T325" s="173"/>
      <c r="U325" s="106"/>
      <c r="V325" s="106"/>
      <c r="W325" s="106"/>
      <c r="X325" s="106"/>
      <c r="Y325" s="106"/>
      <c r="Z325" s="106"/>
      <c r="AA325" s="106"/>
      <c r="AB325" s="106"/>
      <c r="AC325" s="106"/>
      <c r="AD325" s="106"/>
      <c r="AE325" s="106"/>
      <c r="AF325" s="106"/>
      <c r="AG325" s="106"/>
      <c r="AH325" s="106"/>
      <c r="AI325" s="106"/>
      <c r="AJ325" s="106"/>
      <c r="AK325" s="106"/>
      <c r="AL325" s="106"/>
      <c r="AM325" s="106"/>
      <c r="AN325" s="106"/>
      <c r="AO325" s="106"/>
      <c r="AP325" s="106"/>
      <c r="AQ325" s="106"/>
      <c r="AR325" s="106"/>
      <c r="AS325" s="106"/>
      <c r="AT325" s="106"/>
      <c r="AU325" s="106"/>
      <c r="AV325" s="106"/>
      <c r="AW325" s="106"/>
      <c r="AX325" s="106"/>
      <c r="AY325" s="106"/>
      <c r="AZ325" s="106"/>
      <c r="BA325" s="106"/>
      <c r="BB325" s="106"/>
      <c r="BC325" s="106"/>
      <c r="BD325" s="106"/>
      <c r="BE325" s="106"/>
      <c r="BF325" s="106"/>
      <c r="BG325" s="106"/>
      <c r="BH325" s="106"/>
      <c r="BI325" s="106"/>
      <c r="BJ325" s="106"/>
      <c r="BK325" s="106"/>
      <c r="BL325" s="106"/>
      <c r="BM325" s="106"/>
      <c r="BN325" s="106"/>
    </row>
    <row r="326" ht="29.25" hidden="1" customHeight="1">
      <c r="A326" s="216"/>
      <c r="B326" s="217"/>
      <c r="C326" s="164"/>
      <c r="D326" s="164"/>
      <c r="E326" s="165"/>
      <c r="F326" s="173"/>
      <c r="G326" s="168"/>
      <c r="H326" s="168"/>
      <c r="I326" s="169"/>
      <c r="J326" s="170"/>
      <c r="K326" s="170"/>
      <c r="L326" s="170"/>
      <c r="M326" s="167"/>
      <c r="N326" s="169"/>
      <c r="O326" s="171"/>
      <c r="P326" s="106"/>
      <c r="Q326" s="218"/>
      <c r="R326" s="172"/>
      <c r="S326" s="172"/>
      <c r="T326" s="173"/>
      <c r="U326" s="106"/>
      <c r="V326" s="106"/>
      <c r="W326" s="106"/>
      <c r="X326" s="106"/>
      <c r="Y326" s="106"/>
      <c r="Z326" s="106"/>
      <c r="AA326" s="106"/>
      <c r="AB326" s="106"/>
      <c r="AC326" s="106"/>
      <c r="AD326" s="106"/>
      <c r="AE326" s="106"/>
      <c r="AF326" s="106"/>
      <c r="AG326" s="106"/>
      <c r="AH326" s="106"/>
      <c r="AI326" s="106"/>
      <c r="AJ326" s="106"/>
      <c r="AK326" s="106"/>
      <c r="AL326" s="106"/>
      <c r="AM326" s="106"/>
      <c r="AN326" s="106"/>
      <c r="AO326" s="106"/>
      <c r="AP326" s="106"/>
      <c r="AQ326" s="106"/>
      <c r="AR326" s="106"/>
      <c r="AS326" s="106"/>
      <c r="AT326" s="106"/>
      <c r="AU326" s="106"/>
      <c r="AV326" s="106"/>
      <c r="AW326" s="106"/>
      <c r="AX326" s="106"/>
      <c r="AY326" s="106"/>
      <c r="AZ326" s="106"/>
      <c r="BA326" s="106"/>
      <c r="BB326" s="106"/>
      <c r="BC326" s="106"/>
      <c r="BD326" s="106"/>
      <c r="BE326" s="106"/>
      <c r="BF326" s="106"/>
      <c r="BG326" s="106"/>
      <c r="BH326" s="106"/>
      <c r="BI326" s="106"/>
      <c r="BJ326" s="106"/>
      <c r="BK326" s="106"/>
      <c r="BL326" s="106"/>
      <c r="BM326" s="106"/>
      <c r="BN326" s="106"/>
    </row>
    <row r="327" ht="29.25" hidden="1" customHeight="1">
      <c r="A327" s="216"/>
      <c r="B327" s="217"/>
      <c r="C327" s="164"/>
      <c r="D327" s="164"/>
      <c r="E327" s="165"/>
      <c r="F327" s="173"/>
      <c r="G327" s="168"/>
      <c r="H327" s="168"/>
      <c r="I327" s="169"/>
      <c r="J327" s="170"/>
      <c r="K327" s="170"/>
      <c r="L327" s="170"/>
      <c r="M327" s="167"/>
      <c r="N327" s="169"/>
      <c r="O327" s="171"/>
      <c r="P327" s="106"/>
      <c r="Q327" s="218"/>
      <c r="R327" s="172"/>
      <c r="S327" s="172"/>
      <c r="T327" s="173"/>
      <c r="U327" s="106"/>
      <c r="V327" s="106"/>
      <c r="W327" s="106"/>
      <c r="X327" s="106"/>
      <c r="Y327" s="106"/>
      <c r="Z327" s="106"/>
      <c r="AA327" s="106"/>
      <c r="AB327" s="106"/>
      <c r="AC327" s="106"/>
      <c r="AD327" s="106"/>
      <c r="AE327" s="106"/>
      <c r="AF327" s="106"/>
      <c r="AG327" s="106"/>
      <c r="AH327" s="106"/>
      <c r="AI327" s="106"/>
      <c r="AJ327" s="106"/>
      <c r="AK327" s="106"/>
      <c r="AL327" s="106"/>
      <c r="AM327" s="106"/>
      <c r="AN327" s="106"/>
      <c r="AO327" s="106"/>
      <c r="AP327" s="106"/>
      <c r="AQ327" s="106"/>
      <c r="AR327" s="106"/>
      <c r="AS327" s="106"/>
      <c r="AT327" s="106"/>
      <c r="AU327" s="106"/>
      <c r="AV327" s="106"/>
      <c r="AW327" s="106"/>
      <c r="AX327" s="106"/>
      <c r="AY327" s="106"/>
      <c r="AZ327" s="106"/>
      <c r="BA327" s="106"/>
      <c r="BB327" s="106"/>
      <c r="BC327" s="106"/>
      <c r="BD327" s="106"/>
      <c r="BE327" s="106"/>
      <c r="BF327" s="106"/>
      <c r="BG327" s="106"/>
      <c r="BH327" s="106"/>
      <c r="BI327" s="106"/>
      <c r="BJ327" s="106"/>
      <c r="BK327" s="106"/>
      <c r="BL327" s="106"/>
      <c r="BM327" s="106"/>
      <c r="BN327" s="106"/>
    </row>
    <row r="328" ht="29.25" hidden="1" customHeight="1">
      <c r="A328" s="216"/>
      <c r="B328" s="217"/>
      <c r="C328" s="164"/>
      <c r="D328" s="164"/>
      <c r="E328" s="165"/>
      <c r="F328" s="173"/>
      <c r="G328" s="168"/>
      <c r="H328" s="168"/>
      <c r="I328" s="169"/>
      <c r="J328" s="170"/>
      <c r="K328" s="170"/>
      <c r="L328" s="170"/>
      <c r="M328" s="167"/>
      <c r="N328" s="169"/>
      <c r="O328" s="171"/>
      <c r="P328" s="106"/>
      <c r="Q328" s="218"/>
      <c r="R328" s="172"/>
      <c r="S328" s="172"/>
      <c r="T328" s="173"/>
      <c r="U328" s="106"/>
      <c r="V328" s="106"/>
      <c r="W328" s="106"/>
      <c r="X328" s="106"/>
      <c r="Y328" s="106"/>
      <c r="Z328" s="106"/>
      <c r="AA328" s="106"/>
      <c r="AB328" s="106"/>
      <c r="AC328" s="106"/>
      <c r="AD328" s="106"/>
      <c r="AE328" s="106"/>
      <c r="AF328" s="106"/>
      <c r="AG328" s="106"/>
      <c r="AH328" s="106"/>
      <c r="AI328" s="106"/>
      <c r="AJ328" s="106"/>
      <c r="AK328" s="106"/>
      <c r="AL328" s="106"/>
      <c r="AM328" s="106"/>
      <c r="AN328" s="106"/>
      <c r="AO328" s="106"/>
      <c r="AP328" s="106"/>
      <c r="AQ328" s="106"/>
      <c r="AR328" s="106"/>
      <c r="AS328" s="106"/>
      <c r="AT328" s="106"/>
      <c r="AU328" s="106"/>
      <c r="AV328" s="106"/>
      <c r="AW328" s="106"/>
      <c r="AX328" s="106"/>
      <c r="AY328" s="106"/>
      <c r="AZ328" s="106"/>
      <c r="BA328" s="106"/>
      <c r="BB328" s="106"/>
      <c r="BC328" s="106"/>
      <c r="BD328" s="106"/>
      <c r="BE328" s="106"/>
      <c r="BF328" s="106"/>
      <c r="BG328" s="106"/>
      <c r="BH328" s="106"/>
      <c r="BI328" s="106"/>
      <c r="BJ328" s="106"/>
      <c r="BK328" s="106"/>
      <c r="BL328" s="106"/>
      <c r="BM328" s="106"/>
      <c r="BN328" s="106"/>
    </row>
    <row r="329" ht="29.25" hidden="1" customHeight="1">
      <c r="A329" s="216"/>
      <c r="B329" s="217"/>
      <c r="C329" s="164"/>
      <c r="D329" s="164"/>
      <c r="E329" s="165"/>
      <c r="F329" s="173"/>
      <c r="G329" s="168"/>
      <c r="H329" s="168"/>
      <c r="I329" s="169"/>
      <c r="J329" s="170"/>
      <c r="K329" s="170"/>
      <c r="L329" s="170"/>
      <c r="M329" s="167"/>
      <c r="N329" s="169"/>
      <c r="O329" s="171"/>
      <c r="P329" s="106"/>
      <c r="Q329" s="218"/>
      <c r="R329" s="172"/>
      <c r="S329" s="172"/>
      <c r="T329" s="173"/>
      <c r="U329" s="106"/>
      <c r="V329" s="106"/>
      <c r="W329" s="106"/>
      <c r="X329" s="106"/>
      <c r="Y329" s="106"/>
      <c r="Z329" s="106"/>
      <c r="AA329" s="106"/>
      <c r="AB329" s="106"/>
      <c r="AC329" s="106"/>
      <c r="AD329" s="106"/>
      <c r="AE329" s="106"/>
      <c r="AF329" s="106"/>
      <c r="AG329" s="106"/>
      <c r="AH329" s="106"/>
      <c r="AI329" s="106"/>
      <c r="AJ329" s="106"/>
      <c r="AK329" s="106"/>
      <c r="AL329" s="106"/>
      <c r="AM329" s="106"/>
      <c r="AN329" s="106"/>
      <c r="AO329" s="106"/>
      <c r="AP329" s="106"/>
      <c r="AQ329" s="106"/>
      <c r="AR329" s="106"/>
      <c r="AS329" s="106"/>
      <c r="AT329" s="106"/>
      <c r="AU329" s="106"/>
      <c r="AV329" s="106"/>
      <c r="AW329" s="106"/>
      <c r="AX329" s="106"/>
      <c r="AY329" s="106"/>
      <c r="AZ329" s="106"/>
      <c r="BA329" s="106"/>
      <c r="BB329" s="106"/>
      <c r="BC329" s="106"/>
      <c r="BD329" s="106"/>
      <c r="BE329" s="106"/>
      <c r="BF329" s="106"/>
      <c r="BG329" s="106"/>
      <c r="BH329" s="106"/>
      <c r="BI329" s="106"/>
      <c r="BJ329" s="106"/>
      <c r="BK329" s="106"/>
      <c r="BL329" s="106"/>
      <c r="BM329" s="106"/>
      <c r="BN329" s="106"/>
    </row>
    <row r="330" ht="29.25" hidden="1" customHeight="1">
      <c r="A330" s="216"/>
      <c r="B330" s="217"/>
      <c r="C330" s="164"/>
      <c r="D330" s="164"/>
      <c r="E330" s="165"/>
      <c r="F330" s="173"/>
      <c r="G330" s="168"/>
      <c r="H330" s="168"/>
      <c r="I330" s="169"/>
      <c r="J330" s="170"/>
      <c r="K330" s="170"/>
      <c r="L330" s="170"/>
      <c r="M330" s="167"/>
      <c r="N330" s="169"/>
      <c r="O330" s="171"/>
      <c r="P330" s="106"/>
      <c r="Q330" s="218"/>
      <c r="R330" s="172"/>
      <c r="S330" s="172"/>
      <c r="T330" s="173"/>
      <c r="U330" s="106"/>
      <c r="V330" s="106"/>
      <c r="W330" s="106"/>
      <c r="X330" s="106"/>
      <c r="Y330" s="106"/>
      <c r="Z330" s="106"/>
      <c r="AA330" s="106"/>
      <c r="AB330" s="106"/>
      <c r="AC330" s="106"/>
      <c r="AD330" s="106"/>
      <c r="AE330" s="106"/>
      <c r="AF330" s="106"/>
      <c r="AG330" s="106"/>
      <c r="AH330" s="106"/>
      <c r="AI330" s="106"/>
      <c r="AJ330" s="106"/>
      <c r="AK330" s="106"/>
      <c r="AL330" s="106"/>
      <c r="AM330" s="106"/>
      <c r="AN330" s="106"/>
      <c r="AO330" s="106"/>
      <c r="AP330" s="106"/>
      <c r="AQ330" s="106"/>
      <c r="AR330" s="106"/>
      <c r="AS330" s="106"/>
      <c r="AT330" s="106"/>
      <c r="AU330" s="106"/>
      <c r="AV330" s="106"/>
      <c r="AW330" s="106"/>
      <c r="AX330" s="106"/>
      <c r="AY330" s="106"/>
      <c r="AZ330" s="106"/>
      <c r="BA330" s="106"/>
      <c r="BB330" s="106"/>
      <c r="BC330" s="106"/>
      <c r="BD330" s="106"/>
      <c r="BE330" s="106"/>
      <c r="BF330" s="106"/>
      <c r="BG330" s="106"/>
      <c r="BH330" s="106"/>
      <c r="BI330" s="106"/>
      <c r="BJ330" s="106"/>
      <c r="BK330" s="106"/>
      <c r="BL330" s="106"/>
      <c r="BM330" s="106"/>
      <c r="BN330" s="106"/>
    </row>
    <row r="331" ht="29.25" hidden="1" customHeight="1">
      <c r="A331" s="216"/>
      <c r="B331" s="217"/>
      <c r="C331" s="164"/>
      <c r="D331" s="164"/>
      <c r="E331" s="165"/>
      <c r="F331" s="173"/>
      <c r="G331" s="168"/>
      <c r="H331" s="168"/>
      <c r="I331" s="169"/>
      <c r="J331" s="170"/>
      <c r="K331" s="170"/>
      <c r="L331" s="170"/>
      <c r="M331" s="167"/>
      <c r="N331" s="169"/>
      <c r="O331" s="171"/>
      <c r="P331" s="106"/>
      <c r="Q331" s="218"/>
      <c r="R331" s="172"/>
      <c r="S331" s="172"/>
      <c r="T331" s="173"/>
      <c r="U331" s="106"/>
      <c r="V331" s="106"/>
      <c r="W331" s="106"/>
      <c r="X331" s="106"/>
      <c r="Y331" s="106"/>
      <c r="Z331" s="106"/>
      <c r="AA331" s="106"/>
      <c r="AB331" s="106"/>
      <c r="AC331" s="106"/>
      <c r="AD331" s="106"/>
      <c r="AE331" s="106"/>
      <c r="AF331" s="106"/>
      <c r="AG331" s="106"/>
      <c r="AH331" s="106"/>
      <c r="AI331" s="106"/>
      <c r="AJ331" s="106"/>
      <c r="AK331" s="106"/>
      <c r="AL331" s="106"/>
      <c r="AM331" s="106"/>
      <c r="AN331" s="106"/>
      <c r="AO331" s="106"/>
      <c r="AP331" s="106"/>
      <c r="AQ331" s="106"/>
      <c r="AR331" s="106"/>
      <c r="AS331" s="106"/>
      <c r="AT331" s="106"/>
      <c r="AU331" s="106"/>
      <c r="AV331" s="106"/>
      <c r="AW331" s="106"/>
      <c r="AX331" s="106"/>
      <c r="AY331" s="106"/>
      <c r="AZ331" s="106"/>
      <c r="BA331" s="106"/>
      <c r="BB331" s="106"/>
      <c r="BC331" s="106"/>
      <c r="BD331" s="106"/>
      <c r="BE331" s="106"/>
      <c r="BF331" s="106"/>
      <c r="BG331" s="106"/>
      <c r="BH331" s="106"/>
      <c r="BI331" s="106"/>
      <c r="BJ331" s="106"/>
      <c r="BK331" s="106"/>
      <c r="BL331" s="106"/>
      <c r="BM331" s="106"/>
      <c r="BN331" s="106"/>
    </row>
    <row r="332" ht="29.25" hidden="1" customHeight="1">
      <c r="A332" s="216"/>
      <c r="B332" s="217"/>
      <c r="C332" s="164"/>
      <c r="D332" s="164"/>
      <c r="E332" s="165"/>
      <c r="F332" s="173"/>
      <c r="G332" s="168"/>
      <c r="H332" s="168"/>
      <c r="I332" s="169"/>
      <c r="J332" s="170"/>
      <c r="K332" s="170"/>
      <c r="L332" s="170"/>
      <c r="M332" s="167"/>
      <c r="N332" s="169"/>
      <c r="O332" s="171"/>
      <c r="P332" s="106"/>
      <c r="Q332" s="218"/>
      <c r="R332" s="172"/>
      <c r="S332" s="172"/>
      <c r="T332" s="173"/>
      <c r="U332" s="106"/>
      <c r="V332" s="106"/>
      <c r="W332" s="106"/>
      <c r="X332" s="106"/>
      <c r="Y332" s="106"/>
      <c r="Z332" s="106"/>
      <c r="AA332" s="106"/>
      <c r="AB332" s="106"/>
      <c r="AC332" s="106"/>
      <c r="AD332" s="106"/>
      <c r="AE332" s="106"/>
      <c r="AF332" s="106"/>
      <c r="AG332" s="106"/>
      <c r="AH332" s="106"/>
      <c r="AI332" s="106"/>
      <c r="AJ332" s="106"/>
      <c r="AK332" s="106"/>
      <c r="AL332" s="106"/>
      <c r="AM332" s="106"/>
      <c r="AN332" s="106"/>
      <c r="AO332" s="106"/>
      <c r="AP332" s="106"/>
      <c r="AQ332" s="106"/>
      <c r="AR332" s="106"/>
      <c r="AS332" s="106"/>
      <c r="AT332" s="106"/>
      <c r="AU332" s="106"/>
      <c r="AV332" s="106"/>
      <c r="AW332" s="106"/>
      <c r="AX332" s="106"/>
      <c r="AY332" s="106"/>
      <c r="AZ332" s="106"/>
      <c r="BA332" s="106"/>
      <c r="BB332" s="106"/>
      <c r="BC332" s="106"/>
      <c r="BD332" s="106"/>
      <c r="BE332" s="106"/>
      <c r="BF332" s="106"/>
      <c r="BG332" s="106"/>
      <c r="BH332" s="106"/>
      <c r="BI332" s="106"/>
      <c r="BJ332" s="106"/>
      <c r="BK332" s="106"/>
      <c r="BL332" s="106"/>
      <c r="BM332" s="106"/>
      <c r="BN332" s="106"/>
    </row>
    <row r="333" ht="29.25" hidden="1" customHeight="1">
      <c r="A333" s="216"/>
      <c r="B333" s="217"/>
      <c r="C333" s="164"/>
      <c r="D333" s="164"/>
      <c r="E333" s="165"/>
      <c r="F333" s="173"/>
      <c r="G333" s="168"/>
      <c r="H333" s="168"/>
      <c r="I333" s="169"/>
      <c r="J333" s="170"/>
      <c r="K333" s="170"/>
      <c r="L333" s="170"/>
      <c r="M333" s="167"/>
      <c r="N333" s="169"/>
      <c r="O333" s="171"/>
      <c r="P333" s="106"/>
      <c r="Q333" s="218"/>
      <c r="R333" s="172"/>
      <c r="S333" s="172"/>
      <c r="T333" s="173"/>
      <c r="U333" s="106"/>
      <c r="V333" s="106"/>
      <c r="W333" s="106"/>
      <c r="X333" s="106"/>
      <c r="Y333" s="106"/>
      <c r="Z333" s="106"/>
      <c r="AA333" s="106"/>
      <c r="AB333" s="106"/>
      <c r="AC333" s="106"/>
      <c r="AD333" s="106"/>
      <c r="AE333" s="106"/>
      <c r="AF333" s="106"/>
      <c r="AG333" s="106"/>
      <c r="AH333" s="106"/>
      <c r="AI333" s="106"/>
      <c r="AJ333" s="106"/>
      <c r="AK333" s="106"/>
      <c r="AL333" s="106"/>
      <c r="AM333" s="106"/>
      <c r="AN333" s="106"/>
      <c r="AO333" s="106"/>
      <c r="AP333" s="106"/>
      <c r="AQ333" s="106"/>
      <c r="AR333" s="106"/>
      <c r="AS333" s="106"/>
      <c r="AT333" s="106"/>
      <c r="AU333" s="106"/>
      <c r="AV333" s="106"/>
      <c r="AW333" s="106"/>
      <c r="AX333" s="106"/>
      <c r="AY333" s="106"/>
      <c r="AZ333" s="106"/>
      <c r="BA333" s="106"/>
      <c r="BB333" s="106"/>
      <c r="BC333" s="106"/>
      <c r="BD333" s="106"/>
      <c r="BE333" s="106"/>
      <c r="BF333" s="106"/>
      <c r="BG333" s="106"/>
      <c r="BH333" s="106"/>
      <c r="BI333" s="106"/>
      <c r="BJ333" s="106"/>
      <c r="BK333" s="106"/>
      <c r="BL333" s="106"/>
      <c r="BM333" s="106"/>
      <c r="BN333" s="106"/>
    </row>
    <row r="334" ht="29.25" hidden="1" customHeight="1">
      <c r="A334" s="216"/>
      <c r="B334" s="217"/>
      <c r="C334" s="164"/>
      <c r="D334" s="164"/>
      <c r="E334" s="165"/>
      <c r="F334" s="173"/>
      <c r="G334" s="168"/>
      <c r="H334" s="168"/>
      <c r="I334" s="169"/>
      <c r="J334" s="170"/>
      <c r="K334" s="170"/>
      <c r="L334" s="170"/>
      <c r="M334" s="167"/>
      <c r="N334" s="169"/>
      <c r="O334" s="171"/>
      <c r="P334" s="106"/>
      <c r="Q334" s="218"/>
      <c r="R334" s="172"/>
      <c r="S334" s="172"/>
      <c r="T334" s="173"/>
      <c r="U334" s="106"/>
      <c r="V334" s="106"/>
      <c r="W334" s="106"/>
      <c r="X334" s="106"/>
      <c r="Y334" s="106"/>
      <c r="Z334" s="106"/>
      <c r="AA334" s="106"/>
      <c r="AB334" s="106"/>
      <c r="AC334" s="106"/>
      <c r="AD334" s="106"/>
      <c r="AE334" s="106"/>
      <c r="AF334" s="106"/>
      <c r="AG334" s="106"/>
      <c r="AH334" s="106"/>
      <c r="AI334" s="106"/>
      <c r="AJ334" s="106"/>
      <c r="AK334" s="106"/>
      <c r="AL334" s="106"/>
      <c r="AM334" s="106"/>
      <c r="AN334" s="106"/>
      <c r="AO334" s="106"/>
      <c r="AP334" s="106"/>
      <c r="AQ334" s="106"/>
      <c r="AR334" s="106"/>
      <c r="AS334" s="106"/>
      <c r="AT334" s="106"/>
      <c r="AU334" s="106"/>
      <c r="AV334" s="106"/>
      <c r="AW334" s="106"/>
      <c r="AX334" s="106"/>
      <c r="AY334" s="106"/>
      <c r="AZ334" s="106"/>
      <c r="BA334" s="106"/>
      <c r="BB334" s="106"/>
      <c r="BC334" s="106"/>
      <c r="BD334" s="106"/>
      <c r="BE334" s="106"/>
      <c r="BF334" s="106"/>
      <c r="BG334" s="106"/>
      <c r="BH334" s="106"/>
      <c r="BI334" s="106"/>
      <c r="BJ334" s="106"/>
      <c r="BK334" s="106"/>
      <c r="BL334" s="106"/>
      <c r="BM334" s="106"/>
      <c r="BN334" s="106"/>
    </row>
    <row r="335" ht="29.25" hidden="1" customHeight="1">
      <c r="A335" s="216"/>
      <c r="B335" s="217"/>
      <c r="C335" s="164"/>
      <c r="D335" s="164"/>
      <c r="E335" s="165"/>
      <c r="F335" s="173"/>
      <c r="G335" s="168"/>
      <c r="H335" s="168"/>
      <c r="I335" s="169"/>
      <c r="J335" s="170"/>
      <c r="K335" s="170"/>
      <c r="L335" s="170"/>
      <c r="M335" s="167"/>
      <c r="N335" s="169"/>
      <c r="O335" s="171"/>
      <c r="P335" s="106"/>
      <c r="Q335" s="218"/>
      <c r="R335" s="172"/>
      <c r="S335" s="172"/>
      <c r="T335" s="173"/>
      <c r="U335" s="106"/>
      <c r="V335" s="106"/>
      <c r="W335" s="106"/>
      <c r="X335" s="106"/>
      <c r="Y335" s="106"/>
      <c r="Z335" s="106"/>
      <c r="AA335" s="106"/>
      <c r="AB335" s="106"/>
      <c r="AC335" s="106"/>
      <c r="AD335" s="106"/>
      <c r="AE335" s="106"/>
      <c r="AF335" s="106"/>
      <c r="AG335" s="106"/>
      <c r="AH335" s="106"/>
      <c r="AI335" s="106"/>
      <c r="AJ335" s="106"/>
      <c r="AK335" s="106"/>
      <c r="AL335" s="106"/>
      <c r="AM335" s="106"/>
      <c r="AN335" s="106"/>
      <c r="AO335" s="106"/>
      <c r="AP335" s="106"/>
      <c r="AQ335" s="106"/>
      <c r="AR335" s="106"/>
      <c r="AS335" s="106"/>
      <c r="AT335" s="106"/>
      <c r="AU335" s="106"/>
      <c r="AV335" s="106"/>
      <c r="AW335" s="106"/>
      <c r="AX335" s="106"/>
      <c r="AY335" s="106"/>
      <c r="AZ335" s="106"/>
      <c r="BA335" s="106"/>
      <c r="BB335" s="106"/>
      <c r="BC335" s="106"/>
      <c r="BD335" s="106"/>
      <c r="BE335" s="106"/>
      <c r="BF335" s="106"/>
      <c r="BG335" s="106"/>
      <c r="BH335" s="106"/>
      <c r="BI335" s="106"/>
      <c r="BJ335" s="106"/>
      <c r="BK335" s="106"/>
      <c r="BL335" s="106"/>
      <c r="BM335" s="106"/>
      <c r="BN335" s="106"/>
    </row>
    <row r="336" ht="29.25" hidden="1" customHeight="1">
      <c r="A336" s="216"/>
      <c r="B336" s="217"/>
      <c r="C336" s="164"/>
      <c r="D336" s="164"/>
      <c r="E336" s="165"/>
      <c r="F336" s="173"/>
      <c r="G336" s="168"/>
      <c r="H336" s="168"/>
      <c r="I336" s="169"/>
      <c r="J336" s="170"/>
      <c r="K336" s="170"/>
      <c r="L336" s="170"/>
      <c r="M336" s="167"/>
      <c r="N336" s="169"/>
      <c r="O336" s="171"/>
      <c r="P336" s="106"/>
      <c r="Q336" s="218"/>
      <c r="R336" s="172"/>
      <c r="S336" s="172"/>
      <c r="T336" s="173"/>
      <c r="U336" s="106"/>
      <c r="V336" s="106"/>
      <c r="W336" s="106"/>
      <c r="X336" s="106"/>
      <c r="Y336" s="106"/>
      <c r="Z336" s="106"/>
      <c r="AA336" s="106"/>
      <c r="AB336" s="106"/>
      <c r="AC336" s="106"/>
      <c r="AD336" s="106"/>
      <c r="AE336" s="106"/>
      <c r="AF336" s="106"/>
      <c r="AG336" s="106"/>
      <c r="AH336" s="106"/>
      <c r="AI336" s="106"/>
      <c r="AJ336" s="106"/>
      <c r="AK336" s="106"/>
      <c r="AL336" s="106"/>
      <c r="AM336" s="106"/>
      <c r="AN336" s="106"/>
      <c r="AO336" s="106"/>
      <c r="AP336" s="106"/>
      <c r="AQ336" s="106"/>
      <c r="AR336" s="106"/>
      <c r="AS336" s="106"/>
      <c r="AT336" s="106"/>
      <c r="AU336" s="106"/>
      <c r="AV336" s="106"/>
      <c r="AW336" s="106"/>
      <c r="AX336" s="106"/>
      <c r="AY336" s="106"/>
      <c r="AZ336" s="106"/>
      <c r="BA336" s="106"/>
      <c r="BB336" s="106"/>
      <c r="BC336" s="106"/>
      <c r="BD336" s="106"/>
      <c r="BE336" s="106"/>
      <c r="BF336" s="106"/>
      <c r="BG336" s="106"/>
      <c r="BH336" s="106"/>
      <c r="BI336" s="106"/>
      <c r="BJ336" s="106"/>
      <c r="BK336" s="106"/>
      <c r="BL336" s="106"/>
      <c r="BM336" s="106"/>
      <c r="BN336" s="106"/>
    </row>
    <row r="337" ht="29.25" hidden="1" customHeight="1">
      <c r="A337" s="216"/>
      <c r="B337" s="217"/>
      <c r="C337" s="164"/>
      <c r="D337" s="164"/>
      <c r="E337" s="165"/>
      <c r="F337" s="173"/>
      <c r="G337" s="168"/>
      <c r="H337" s="168"/>
      <c r="I337" s="169"/>
      <c r="J337" s="170"/>
      <c r="K337" s="170"/>
      <c r="L337" s="170"/>
      <c r="M337" s="167"/>
      <c r="N337" s="169"/>
      <c r="O337" s="171"/>
      <c r="P337" s="106"/>
      <c r="Q337" s="218"/>
      <c r="R337" s="172"/>
      <c r="S337" s="172"/>
      <c r="T337" s="173"/>
      <c r="U337" s="106"/>
      <c r="V337" s="106"/>
      <c r="W337" s="106"/>
      <c r="X337" s="106"/>
      <c r="Y337" s="106"/>
      <c r="Z337" s="106"/>
      <c r="AA337" s="106"/>
      <c r="AB337" s="106"/>
      <c r="AC337" s="106"/>
      <c r="AD337" s="106"/>
      <c r="AE337" s="106"/>
      <c r="AF337" s="106"/>
      <c r="AG337" s="106"/>
      <c r="AH337" s="106"/>
      <c r="AI337" s="106"/>
      <c r="AJ337" s="106"/>
      <c r="AK337" s="106"/>
      <c r="AL337" s="106"/>
      <c r="AM337" s="106"/>
      <c r="AN337" s="106"/>
      <c r="AO337" s="106"/>
      <c r="AP337" s="106"/>
      <c r="AQ337" s="106"/>
      <c r="AR337" s="106"/>
      <c r="AS337" s="106"/>
      <c r="AT337" s="106"/>
      <c r="AU337" s="106"/>
      <c r="AV337" s="106"/>
      <c r="AW337" s="106"/>
      <c r="AX337" s="106"/>
      <c r="AY337" s="106"/>
      <c r="AZ337" s="106"/>
      <c r="BA337" s="106"/>
      <c r="BB337" s="106"/>
      <c r="BC337" s="106"/>
      <c r="BD337" s="106"/>
      <c r="BE337" s="106"/>
      <c r="BF337" s="106"/>
      <c r="BG337" s="106"/>
      <c r="BH337" s="106"/>
      <c r="BI337" s="106"/>
      <c r="BJ337" s="106"/>
      <c r="BK337" s="106"/>
      <c r="BL337" s="106"/>
      <c r="BM337" s="106"/>
      <c r="BN337" s="106"/>
    </row>
    <row r="338" ht="29.25" hidden="1" customHeight="1">
      <c r="A338" s="216"/>
      <c r="B338" s="217"/>
      <c r="C338" s="164"/>
      <c r="D338" s="164"/>
      <c r="E338" s="165"/>
      <c r="F338" s="173"/>
      <c r="G338" s="168"/>
      <c r="H338" s="168"/>
      <c r="I338" s="169"/>
      <c r="J338" s="170"/>
      <c r="K338" s="170"/>
      <c r="L338" s="170"/>
      <c r="M338" s="167"/>
      <c r="N338" s="169"/>
      <c r="O338" s="171"/>
      <c r="P338" s="106"/>
      <c r="Q338" s="218"/>
      <c r="R338" s="172"/>
      <c r="S338" s="172"/>
      <c r="T338" s="173"/>
      <c r="U338" s="106"/>
      <c r="V338" s="106"/>
      <c r="W338" s="106"/>
      <c r="X338" s="106"/>
      <c r="Y338" s="106"/>
      <c r="Z338" s="106"/>
      <c r="AA338" s="106"/>
      <c r="AB338" s="106"/>
      <c r="AC338" s="106"/>
      <c r="AD338" s="106"/>
      <c r="AE338" s="106"/>
      <c r="AF338" s="106"/>
      <c r="AG338" s="106"/>
      <c r="AH338" s="106"/>
      <c r="AI338" s="106"/>
      <c r="AJ338" s="106"/>
      <c r="AK338" s="106"/>
      <c r="AL338" s="106"/>
      <c r="AM338" s="106"/>
      <c r="AN338" s="106"/>
      <c r="AO338" s="106"/>
      <c r="AP338" s="106"/>
      <c r="AQ338" s="106"/>
      <c r="AR338" s="106"/>
      <c r="AS338" s="106"/>
      <c r="AT338" s="106"/>
      <c r="AU338" s="106"/>
      <c r="AV338" s="106"/>
      <c r="AW338" s="106"/>
      <c r="AX338" s="106"/>
      <c r="AY338" s="106"/>
      <c r="AZ338" s="106"/>
      <c r="BA338" s="106"/>
      <c r="BB338" s="106"/>
      <c r="BC338" s="106"/>
      <c r="BD338" s="106"/>
      <c r="BE338" s="106"/>
      <c r="BF338" s="106"/>
      <c r="BG338" s="106"/>
      <c r="BH338" s="106"/>
      <c r="BI338" s="106"/>
      <c r="BJ338" s="106"/>
      <c r="BK338" s="106"/>
      <c r="BL338" s="106"/>
      <c r="BM338" s="106"/>
      <c r="BN338" s="106"/>
    </row>
    <row r="339" ht="29.25" hidden="1" customHeight="1">
      <c r="A339" s="216"/>
      <c r="B339" s="217"/>
      <c r="C339" s="164"/>
      <c r="D339" s="164"/>
      <c r="E339" s="165"/>
      <c r="F339" s="173"/>
      <c r="G339" s="168"/>
      <c r="H339" s="168"/>
      <c r="I339" s="169"/>
      <c r="J339" s="170"/>
      <c r="K339" s="170"/>
      <c r="L339" s="170"/>
      <c r="M339" s="167"/>
      <c r="N339" s="169"/>
      <c r="O339" s="171"/>
      <c r="P339" s="106"/>
      <c r="Q339" s="218"/>
      <c r="R339" s="172"/>
      <c r="S339" s="172"/>
      <c r="T339" s="173"/>
      <c r="U339" s="106"/>
      <c r="V339" s="106"/>
      <c r="W339" s="106"/>
      <c r="X339" s="106"/>
      <c r="Y339" s="106"/>
      <c r="Z339" s="106"/>
      <c r="AA339" s="106"/>
      <c r="AB339" s="106"/>
      <c r="AC339" s="106"/>
      <c r="AD339" s="106"/>
      <c r="AE339" s="106"/>
      <c r="AF339" s="106"/>
      <c r="AG339" s="106"/>
      <c r="AH339" s="106"/>
      <c r="AI339" s="106"/>
      <c r="AJ339" s="106"/>
      <c r="AK339" s="106"/>
      <c r="AL339" s="106"/>
      <c r="AM339" s="106"/>
      <c r="AN339" s="106"/>
      <c r="AO339" s="106"/>
      <c r="AP339" s="106"/>
      <c r="AQ339" s="106"/>
      <c r="AR339" s="106"/>
      <c r="AS339" s="106"/>
      <c r="AT339" s="106"/>
      <c r="AU339" s="106"/>
      <c r="AV339" s="106"/>
      <c r="AW339" s="106"/>
      <c r="AX339" s="106"/>
      <c r="AY339" s="106"/>
      <c r="AZ339" s="106"/>
      <c r="BA339" s="106"/>
      <c r="BB339" s="106"/>
      <c r="BC339" s="106"/>
      <c r="BD339" s="106"/>
      <c r="BE339" s="106"/>
      <c r="BF339" s="106"/>
      <c r="BG339" s="106"/>
      <c r="BH339" s="106"/>
      <c r="BI339" s="106"/>
      <c r="BJ339" s="106"/>
      <c r="BK339" s="106"/>
      <c r="BL339" s="106"/>
      <c r="BM339" s="106"/>
      <c r="BN339" s="106"/>
    </row>
    <row r="340" ht="29.25" hidden="1" customHeight="1">
      <c r="A340" s="216"/>
      <c r="B340" s="217"/>
      <c r="C340" s="164"/>
      <c r="D340" s="164"/>
      <c r="E340" s="165"/>
      <c r="F340" s="173"/>
      <c r="G340" s="168"/>
      <c r="H340" s="168"/>
      <c r="I340" s="169"/>
      <c r="J340" s="170"/>
      <c r="K340" s="170"/>
      <c r="L340" s="170"/>
      <c r="M340" s="167"/>
      <c r="N340" s="169"/>
      <c r="O340" s="171"/>
      <c r="P340" s="106"/>
      <c r="Q340" s="218"/>
      <c r="R340" s="172"/>
      <c r="S340" s="172"/>
      <c r="T340" s="173"/>
      <c r="U340" s="106"/>
      <c r="V340" s="106"/>
      <c r="W340" s="106"/>
      <c r="X340" s="106"/>
      <c r="Y340" s="106"/>
      <c r="Z340" s="106"/>
      <c r="AA340" s="106"/>
      <c r="AB340" s="106"/>
      <c r="AC340" s="106"/>
      <c r="AD340" s="106"/>
      <c r="AE340" s="106"/>
      <c r="AF340" s="106"/>
      <c r="AG340" s="106"/>
      <c r="AH340" s="106"/>
      <c r="AI340" s="106"/>
      <c r="AJ340" s="106"/>
      <c r="AK340" s="106"/>
      <c r="AL340" s="106"/>
      <c r="AM340" s="106"/>
      <c r="AN340" s="106"/>
      <c r="AO340" s="106"/>
      <c r="AP340" s="106"/>
      <c r="AQ340" s="106"/>
      <c r="AR340" s="106"/>
      <c r="AS340" s="106"/>
      <c r="AT340" s="106"/>
      <c r="AU340" s="106"/>
      <c r="AV340" s="106"/>
      <c r="AW340" s="106"/>
      <c r="AX340" s="106"/>
      <c r="AY340" s="106"/>
      <c r="AZ340" s="106"/>
      <c r="BA340" s="106"/>
      <c r="BB340" s="106"/>
      <c r="BC340" s="106"/>
      <c r="BD340" s="106"/>
      <c r="BE340" s="106"/>
      <c r="BF340" s="106"/>
      <c r="BG340" s="106"/>
      <c r="BH340" s="106"/>
      <c r="BI340" s="106"/>
      <c r="BJ340" s="106"/>
      <c r="BK340" s="106"/>
      <c r="BL340" s="106"/>
      <c r="BM340" s="106"/>
      <c r="BN340" s="106"/>
    </row>
    <row r="341" ht="29.25" hidden="1" customHeight="1">
      <c r="A341" s="216"/>
      <c r="B341" s="217"/>
      <c r="C341" s="164"/>
      <c r="D341" s="164"/>
      <c r="E341" s="165"/>
      <c r="F341" s="173"/>
      <c r="G341" s="168"/>
      <c r="H341" s="168"/>
      <c r="I341" s="169"/>
      <c r="J341" s="170"/>
      <c r="K341" s="170"/>
      <c r="L341" s="170"/>
      <c r="M341" s="167"/>
      <c r="N341" s="169"/>
      <c r="O341" s="171"/>
      <c r="P341" s="106"/>
      <c r="Q341" s="218"/>
      <c r="R341" s="172"/>
      <c r="S341" s="172"/>
      <c r="T341" s="173"/>
      <c r="U341" s="219"/>
      <c r="V341" s="219"/>
      <c r="W341" s="219"/>
      <c r="X341" s="219"/>
      <c r="Y341" s="219"/>
      <c r="Z341" s="219"/>
      <c r="AA341" s="219"/>
      <c r="AB341" s="219"/>
      <c r="AC341" s="219"/>
      <c r="AD341" s="219"/>
      <c r="AE341" s="219"/>
      <c r="AF341" s="219"/>
      <c r="AG341" s="219"/>
      <c r="AH341" s="219"/>
      <c r="AI341" s="219"/>
      <c r="AJ341" s="219"/>
      <c r="AK341" s="219"/>
      <c r="AL341" s="219"/>
      <c r="AM341" s="219"/>
      <c r="AN341" s="219"/>
      <c r="AO341" s="219"/>
      <c r="AP341" s="219"/>
      <c r="AQ341" s="219"/>
      <c r="AR341" s="219"/>
      <c r="AS341" s="219"/>
      <c r="AT341" s="219"/>
      <c r="AU341" s="219"/>
      <c r="AV341" s="219"/>
      <c r="AW341" s="219"/>
      <c r="AX341" s="219"/>
      <c r="AY341" s="219"/>
      <c r="AZ341" s="219"/>
      <c r="BA341" s="219"/>
      <c r="BB341" s="219"/>
      <c r="BC341" s="219"/>
      <c r="BD341" s="219"/>
      <c r="BE341" s="219"/>
      <c r="BF341" s="219"/>
      <c r="BG341" s="219"/>
      <c r="BH341" s="219"/>
      <c r="BI341" s="219"/>
      <c r="BJ341" s="219"/>
      <c r="BK341" s="219"/>
      <c r="BL341" s="219"/>
      <c r="BM341" s="219"/>
      <c r="BN341" s="219"/>
    </row>
    <row r="342" ht="29.25" hidden="1" customHeight="1">
      <c r="A342" s="216"/>
      <c r="B342" s="217"/>
      <c r="C342" s="164"/>
      <c r="D342" s="164"/>
      <c r="E342" s="165"/>
      <c r="F342" s="173"/>
      <c r="G342" s="168"/>
      <c r="H342" s="168"/>
      <c r="I342" s="169"/>
      <c r="J342" s="170"/>
      <c r="K342" s="170"/>
      <c r="L342" s="170"/>
      <c r="M342" s="167"/>
      <c r="N342" s="169"/>
      <c r="O342" s="171"/>
      <c r="P342" s="106"/>
      <c r="Q342" s="218"/>
      <c r="R342" s="172"/>
      <c r="S342" s="172"/>
      <c r="T342" s="173"/>
      <c r="U342" s="219"/>
      <c r="V342" s="219"/>
      <c r="W342" s="219"/>
      <c r="X342" s="219"/>
      <c r="Y342" s="219"/>
      <c r="Z342" s="219"/>
      <c r="AA342" s="219"/>
      <c r="AB342" s="219"/>
      <c r="AC342" s="219"/>
      <c r="AD342" s="219"/>
      <c r="AE342" s="219"/>
      <c r="AF342" s="219"/>
      <c r="AG342" s="219"/>
      <c r="AH342" s="219"/>
      <c r="AI342" s="219"/>
      <c r="AJ342" s="219"/>
      <c r="AK342" s="219"/>
      <c r="AL342" s="219"/>
      <c r="AM342" s="219"/>
      <c r="AN342" s="219"/>
      <c r="AO342" s="219"/>
      <c r="AP342" s="219"/>
      <c r="AQ342" s="219"/>
      <c r="AR342" s="219"/>
      <c r="AS342" s="219"/>
      <c r="AT342" s="219"/>
      <c r="AU342" s="219"/>
      <c r="AV342" s="219"/>
      <c r="AW342" s="219"/>
      <c r="AX342" s="219"/>
      <c r="AY342" s="219"/>
      <c r="AZ342" s="219"/>
      <c r="BA342" s="219"/>
      <c r="BB342" s="219"/>
      <c r="BC342" s="219"/>
      <c r="BD342" s="219"/>
      <c r="BE342" s="219"/>
      <c r="BF342" s="219"/>
      <c r="BG342" s="219"/>
      <c r="BH342" s="219"/>
      <c r="BI342" s="219"/>
      <c r="BJ342" s="219"/>
      <c r="BK342" s="219"/>
      <c r="BL342" s="219"/>
      <c r="BM342" s="219"/>
      <c r="BN342" s="219"/>
    </row>
    <row r="343" ht="29.25" hidden="1" customHeight="1">
      <c r="A343" s="216"/>
      <c r="B343" s="217"/>
      <c r="C343" s="164"/>
      <c r="D343" s="164"/>
      <c r="E343" s="165"/>
      <c r="F343" s="173"/>
      <c r="G343" s="168"/>
      <c r="H343" s="168"/>
      <c r="I343" s="169"/>
      <c r="J343" s="170"/>
      <c r="K343" s="170"/>
      <c r="L343" s="170"/>
      <c r="M343" s="167"/>
      <c r="N343" s="169"/>
      <c r="O343" s="171"/>
      <c r="P343" s="106"/>
      <c r="Q343" s="218"/>
      <c r="R343" s="172"/>
      <c r="S343" s="172"/>
      <c r="T343" s="173"/>
      <c r="U343" s="219"/>
      <c r="V343" s="219"/>
      <c r="W343" s="219"/>
      <c r="X343" s="219"/>
      <c r="Y343" s="219"/>
      <c r="Z343" s="219"/>
      <c r="AA343" s="219"/>
      <c r="AB343" s="219"/>
      <c r="AC343" s="219"/>
      <c r="AD343" s="219"/>
      <c r="AE343" s="219"/>
      <c r="AF343" s="219"/>
      <c r="AG343" s="219"/>
      <c r="AH343" s="219"/>
      <c r="AI343" s="219"/>
      <c r="AJ343" s="219"/>
      <c r="AK343" s="219"/>
      <c r="AL343" s="219"/>
      <c r="AM343" s="219"/>
      <c r="AN343" s="219"/>
      <c r="AO343" s="219"/>
      <c r="AP343" s="219"/>
      <c r="AQ343" s="219"/>
      <c r="AR343" s="219"/>
      <c r="AS343" s="219"/>
      <c r="AT343" s="219"/>
      <c r="AU343" s="219"/>
      <c r="AV343" s="219"/>
      <c r="AW343" s="219"/>
      <c r="AX343" s="219"/>
      <c r="AY343" s="219"/>
      <c r="AZ343" s="219"/>
      <c r="BA343" s="219"/>
      <c r="BB343" s="219"/>
      <c r="BC343" s="219"/>
      <c r="BD343" s="219"/>
      <c r="BE343" s="219"/>
      <c r="BF343" s="219"/>
      <c r="BG343" s="219"/>
      <c r="BH343" s="219"/>
      <c r="BI343" s="219"/>
      <c r="BJ343" s="219"/>
      <c r="BK343" s="219"/>
      <c r="BL343" s="219"/>
      <c r="BM343" s="219"/>
      <c r="BN343" s="219"/>
    </row>
    <row r="344" ht="29.25" hidden="1" customHeight="1">
      <c r="A344" s="216"/>
      <c r="B344" s="217"/>
      <c r="C344" s="164"/>
      <c r="D344" s="164"/>
      <c r="E344" s="165"/>
      <c r="F344" s="173"/>
      <c r="G344" s="168"/>
      <c r="H344" s="168"/>
      <c r="I344" s="169"/>
      <c r="J344" s="170"/>
      <c r="K344" s="170"/>
      <c r="L344" s="170"/>
      <c r="M344" s="167"/>
      <c r="N344" s="169"/>
      <c r="O344" s="171"/>
      <c r="P344" s="106"/>
      <c r="Q344" s="218"/>
      <c r="R344" s="172"/>
      <c r="S344" s="172"/>
      <c r="T344" s="173"/>
      <c r="U344" s="219"/>
      <c r="V344" s="219"/>
      <c r="W344" s="219"/>
      <c r="X344" s="219"/>
      <c r="Y344" s="219"/>
      <c r="Z344" s="219"/>
      <c r="AA344" s="219"/>
      <c r="AB344" s="219"/>
      <c r="AC344" s="219"/>
      <c r="AD344" s="219"/>
      <c r="AE344" s="219"/>
      <c r="AF344" s="219"/>
      <c r="AG344" s="219"/>
      <c r="AH344" s="219"/>
      <c r="AI344" s="219"/>
      <c r="AJ344" s="219"/>
      <c r="AK344" s="219"/>
      <c r="AL344" s="219"/>
      <c r="AM344" s="219"/>
      <c r="AN344" s="219"/>
      <c r="AO344" s="219"/>
      <c r="AP344" s="219"/>
      <c r="AQ344" s="219"/>
      <c r="AR344" s="219"/>
      <c r="AS344" s="219"/>
      <c r="AT344" s="219"/>
      <c r="AU344" s="219"/>
      <c r="AV344" s="219"/>
      <c r="AW344" s="219"/>
      <c r="AX344" s="219"/>
      <c r="AY344" s="219"/>
      <c r="AZ344" s="219"/>
      <c r="BA344" s="219"/>
      <c r="BB344" s="219"/>
      <c r="BC344" s="219"/>
      <c r="BD344" s="219"/>
      <c r="BE344" s="219"/>
      <c r="BF344" s="219"/>
      <c r="BG344" s="219"/>
      <c r="BH344" s="219"/>
      <c r="BI344" s="219"/>
      <c r="BJ344" s="219"/>
      <c r="BK344" s="219"/>
      <c r="BL344" s="219"/>
      <c r="BM344" s="219"/>
      <c r="BN344" s="219"/>
    </row>
    <row r="345" ht="29.25" hidden="1" customHeight="1">
      <c r="A345" s="216"/>
      <c r="B345" s="217"/>
      <c r="C345" s="164"/>
      <c r="D345" s="164"/>
      <c r="E345" s="165"/>
      <c r="F345" s="173"/>
      <c r="G345" s="168"/>
      <c r="H345" s="168"/>
      <c r="I345" s="169"/>
      <c r="J345" s="170"/>
      <c r="K345" s="170"/>
      <c r="L345" s="170"/>
      <c r="M345" s="167"/>
      <c r="N345" s="169"/>
      <c r="O345" s="171"/>
      <c r="P345" s="106"/>
      <c r="Q345" s="218"/>
      <c r="R345" s="172"/>
      <c r="S345" s="172"/>
      <c r="T345" s="173"/>
      <c r="U345" s="219"/>
      <c r="V345" s="219"/>
      <c r="W345" s="219"/>
      <c r="X345" s="219"/>
      <c r="Y345" s="219"/>
      <c r="Z345" s="219"/>
      <c r="AA345" s="219"/>
      <c r="AB345" s="219"/>
      <c r="AC345" s="219"/>
      <c r="AD345" s="219"/>
      <c r="AE345" s="219"/>
      <c r="AF345" s="219"/>
      <c r="AG345" s="219"/>
      <c r="AH345" s="219"/>
      <c r="AI345" s="219"/>
      <c r="AJ345" s="219"/>
      <c r="AK345" s="219"/>
      <c r="AL345" s="219"/>
      <c r="AM345" s="219"/>
      <c r="AN345" s="219"/>
      <c r="AO345" s="219"/>
      <c r="AP345" s="219"/>
      <c r="AQ345" s="219"/>
      <c r="AR345" s="219"/>
      <c r="AS345" s="219"/>
      <c r="AT345" s="219"/>
      <c r="AU345" s="219"/>
      <c r="AV345" s="219"/>
      <c r="AW345" s="219"/>
      <c r="AX345" s="219"/>
      <c r="AY345" s="219"/>
      <c r="AZ345" s="219"/>
      <c r="BA345" s="219"/>
      <c r="BB345" s="219"/>
      <c r="BC345" s="219"/>
      <c r="BD345" s="219"/>
      <c r="BE345" s="219"/>
      <c r="BF345" s="219"/>
      <c r="BG345" s="219"/>
      <c r="BH345" s="219"/>
      <c r="BI345" s="219"/>
      <c r="BJ345" s="219"/>
      <c r="BK345" s="219"/>
      <c r="BL345" s="219"/>
      <c r="BM345" s="219"/>
      <c r="BN345" s="219"/>
    </row>
    <row r="346" ht="29.25" hidden="1" customHeight="1">
      <c r="A346" s="216"/>
      <c r="B346" s="217"/>
      <c r="C346" s="164"/>
      <c r="D346" s="164"/>
      <c r="E346" s="165"/>
      <c r="F346" s="173"/>
      <c r="G346" s="168"/>
      <c r="H346" s="168"/>
      <c r="I346" s="169"/>
      <c r="J346" s="170"/>
      <c r="K346" s="170"/>
      <c r="L346" s="170"/>
      <c r="M346" s="167"/>
      <c r="N346" s="169"/>
      <c r="O346" s="171"/>
      <c r="P346" s="106"/>
      <c r="Q346" s="218"/>
      <c r="R346" s="172"/>
      <c r="S346" s="172"/>
      <c r="T346" s="173"/>
      <c r="U346" s="219"/>
      <c r="V346" s="219"/>
      <c r="W346" s="219"/>
      <c r="X346" s="219"/>
      <c r="Y346" s="219"/>
      <c r="Z346" s="219"/>
      <c r="AA346" s="219"/>
      <c r="AB346" s="219"/>
      <c r="AC346" s="219"/>
      <c r="AD346" s="219"/>
      <c r="AE346" s="219"/>
      <c r="AF346" s="219"/>
      <c r="AG346" s="219"/>
      <c r="AH346" s="219"/>
      <c r="AI346" s="219"/>
      <c r="AJ346" s="219"/>
      <c r="AK346" s="219"/>
      <c r="AL346" s="219"/>
      <c r="AM346" s="219"/>
      <c r="AN346" s="219"/>
      <c r="AO346" s="219"/>
      <c r="AP346" s="219"/>
      <c r="AQ346" s="219"/>
      <c r="AR346" s="219"/>
      <c r="AS346" s="219"/>
      <c r="AT346" s="219"/>
      <c r="AU346" s="219"/>
      <c r="AV346" s="219"/>
      <c r="AW346" s="219"/>
      <c r="AX346" s="219"/>
      <c r="AY346" s="219"/>
      <c r="AZ346" s="219"/>
      <c r="BA346" s="219"/>
      <c r="BB346" s="219"/>
      <c r="BC346" s="219"/>
      <c r="BD346" s="219"/>
      <c r="BE346" s="219"/>
      <c r="BF346" s="219"/>
      <c r="BG346" s="219"/>
      <c r="BH346" s="219"/>
      <c r="BI346" s="219"/>
      <c r="BJ346" s="219"/>
      <c r="BK346" s="219"/>
      <c r="BL346" s="219"/>
      <c r="BM346" s="219"/>
      <c r="BN346" s="219"/>
    </row>
    <row r="347" ht="29.25" hidden="1" customHeight="1">
      <c r="A347" s="216"/>
      <c r="B347" s="217"/>
      <c r="C347" s="164"/>
      <c r="D347" s="164"/>
      <c r="E347" s="165"/>
      <c r="F347" s="173"/>
      <c r="G347" s="168"/>
      <c r="H347" s="168"/>
      <c r="I347" s="169"/>
      <c r="J347" s="170"/>
      <c r="K347" s="170"/>
      <c r="L347" s="170"/>
      <c r="M347" s="167"/>
      <c r="N347" s="169"/>
      <c r="O347" s="171"/>
      <c r="P347" s="106"/>
      <c r="Q347" s="218"/>
      <c r="R347" s="172"/>
      <c r="S347" s="172"/>
      <c r="T347" s="173"/>
      <c r="U347" s="219"/>
      <c r="V347" s="219"/>
      <c r="W347" s="219"/>
      <c r="X347" s="219"/>
      <c r="Y347" s="219"/>
      <c r="Z347" s="219"/>
      <c r="AA347" s="219"/>
      <c r="AB347" s="219"/>
      <c r="AC347" s="219"/>
      <c r="AD347" s="219"/>
      <c r="AE347" s="219"/>
      <c r="AF347" s="219"/>
      <c r="AG347" s="219"/>
      <c r="AH347" s="219"/>
      <c r="AI347" s="219"/>
      <c r="AJ347" s="219"/>
      <c r="AK347" s="219"/>
      <c r="AL347" s="219"/>
      <c r="AM347" s="219"/>
      <c r="AN347" s="219"/>
      <c r="AO347" s="219"/>
      <c r="AP347" s="219"/>
      <c r="AQ347" s="219"/>
      <c r="AR347" s="219"/>
      <c r="AS347" s="219"/>
      <c r="AT347" s="219"/>
      <c r="AU347" s="219"/>
      <c r="AV347" s="219"/>
      <c r="AW347" s="219"/>
      <c r="AX347" s="219"/>
      <c r="AY347" s="219"/>
      <c r="AZ347" s="219"/>
      <c r="BA347" s="219"/>
      <c r="BB347" s="219"/>
      <c r="BC347" s="219"/>
      <c r="BD347" s="219"/>
      <c r="BE347" s="219"/>
      <c r="BF347" s="219"/>
      <c r="BG347" s="219"/>
      <c r="BH347" s="219"/>
      <c r="BI347" s="219"/>
      <c r="BJ347" s="219"/>
      <c r="BK347" s="219"/>
      <c r="BL347" s="219"/>
      <c r="BM347" s="219"/>
      <c r="BN347" s="219"/>
    </row>
    <row r="348" ht="29.25" hidden="1" customHeight="1">
      <c r="A348" s="216"/>
      <c r="B348" s="217"/>
      <c r="C348" s="164"/>
      <c r="D348" s="164"/>
      <c r="E348" s="165"/>
      <c r="F348" s="173"/>
      <c r="G348" s="168"/>
      <c r="H348" s="168"/>
      <c r="I348" s="169"/>
      <c r="J348" s="170"/>
      <c r="K348" s="170"/>
      <c r="L348" s="170"/>
      <c r="M348" s="167"/>
      <c r="N348" s="169"/>
      <c r="O348" s="171"/>
      <c r="P348" s="106"/>
      <c r="Q348" s="218"/>
      <c r="R348" s="172"/>
      <c r="S348" s="172"/>
      <c r="T348" s="173"/>
      <c r="U348" s="219"/>
      <c r="V348" s="219"/>
      <c r="W348" s="219"/>
      <c r="X348" s="219"/>
      <c r="Y348" s="219"/>
      <c r="Z348" s="219"/>
      <c r="AA348" s="219"/>
      <c r="AB348" s="219"/>
      <c r="AC348" s="219"/>
      <c r="AD348" s="219"/>
      <c r="AE348" s="219"/>
      <c r="AF348" s="219"/>
      <c r="AG348" s="219"/>
      <c r="AH348" s="219"/>
      <c r="AI348" s="219"/>
      <c r="AJ348" s="219"/>
      <c r="AK348" s="219"/>
      <c r="AL348" s="219"/>
      <c r="AM348" s="219"/>
      <c r="AN348" s="219"/>
      <c r="AO348" s="219"/>
      <c r="AP348" s="219"/>
      <c r="AQ348" s="219"/>
      <c r="AR348" s="219"/>
      <c r="AS348" s="219"/>
      <c r="AT348" s="219"/>
      <c r="AU348" s="219"/>
      <c r="AV348" s="219"/>
      <c r="AW348" s="219"/>
      <c r="AX348" s="219"/>
      <c r="AY348" s="219"/>
      <c r="AZ348" s="219"/>
      <c r="BA348" s="219"/>
      <c r="BB348" s="219"/>
      <c r="BC348" s="219"/>
      <c r="BD348" s="219"/>
      <c r="BE348" s="219"/>
      <c r="BF348" s="219"/>
      <c r="BG348" s="219"/>
      <c r="BH348" s="219"/>
      <c r="BI348" s="219"/>
      <c r="BJ348" s="219"/>
      <c r="BK348" s="219"/>
      <c r="BL348" s="219"/>
      <c r="BM348" s="219"/>
      <c r="BN348" s="219"/>
    </row>
    <row r="349" ht="29.25" hidden="1" customHeight="1">
      <c r="A349" s="216"/>
      <c r="B349" s="217"/>
      <c r="C349" s="164"/>
      <c r="D349" s="164"/>
      <c r="E349" s="165"/>
      <c r="F349" s="173"/>
      <c r="G349" s="168"/>
      <c r="H349" s="168"/>
      <c r="I349" s="169"/>
      <c r="J349" s="170"/>
      <c r="K349" s="170"/>
      <c r="L349" s="170"/>
      <c r="M349" s="167"/>
      <c r="N349" s="169"/>
      <c r="O349" s="171"/>
      <c r="P349" s="106"/>
      <c r="Q349" s="218"/>
      <c r="R349" s="172"/>
      <c r="S349" s="172"/>
      <c r="T349" s="173"/>
      <c r="U349" s="219"/>
      <c r="V349" s="219"/>
      <c r="W349" s="219"/>
      <c r="X349" s="219"/>
      <c r="Y349" s="219"/>
      <c r="Z349" s="219"/>
      <c r="AA349" s="219"/>
      <c r="AB349" s="219"/>
      <c r="AC349" s="219"/>
      <c r="AD349" s="219"/>
      <c r="AE349" s="219"/>
      <c r="AF349" s="219"/>
      <c r="AG349" s="219"/>
      <c r="AH349" s="219"/>
      <c r="AI349" s="219"/>
      <c r="AJ349" s="219"/>
      <c r="AK349" s="219"/>
      <c r="AL349" s="219"/>
      <c r="AM349" s="219"/>
      <c r="AN349" s="219"/>
      <c r="AO349" s="219"/>
      <c r="AP349" s="219"/>
      <c r="AQ349" s="219"/>
      <c r="AR349" s="219"/>
      <c r="AS349" s="219"/>
      <c r="AT349" s="219"/>
      <c r="AU349" s="219"/>
      <c r="AV349" s="219"/>
      <c r="AW349" s="219"/>
      <c r="AX349" s="219"/>
      <c r="AY349" s="219"/>
      <c r="AZ349" s="219"/>
      <c r="BA349" s="219"/>
      <c r="BB349" s="219"/>
      <c r="BC349" s="219"/>
      <c r="BD349" s="219"/>
      <c r="BE349" s="219"/>
      <c r="BF349" s="219"/>
      <c r="BG349" s="219"/>
      <c r="BH349" s="219"/>
      <c r="BI349" s="219"/>
      <c r="BJ349" s="219"/>
      <c r="BK349" s="219"/>
      <c r="BL349" s="219"/>
      <c r="BM349" s="219"/>
      <c r="BN349" s="219"/>
    </row>
    <row r="350" ht="29.25" hidden="1" customHeight="1">
      <c r="A350" s="216"/>
      <c r="B350" s="217"/>
      <c r="C350" s="164"/>
      <c r="D350" s="164"/>
      <c r="E350" s="165"/>
      <c r="F350" s="173"/>
      <c r="G350" s="168"/>
      <c r="H350" s="168"/>
      <c r="I350" s="169"/>
      <c r="J350" s="170"/>
      <c r="K350" s="170"/>
      <c r="L350" s="170"/>
      <c r="M350" s="167"/>
      <c r="N350" s="169"/>
      <c r="O350" s="171"/>
      <c r="P350" s="106"/>
      <c r="Q350" s="218"/>
      <c r="R350" s="172"/>
      <c r="S350" s="172"/>
      <c r="T350" s="173"/>
      <c r="U350" s="219"/>
      <c r="V350" s="219"/>
      <c r="W350" s="219"/>
      <c r="X350" s="219"/>
      <c r="Y350" s="219"/>
      <c r="Z350" s="219"/>
      <c r="AA350" s="219"/>
      <c r="AB350" s="219"/>
      <c r="AC350" s="219"/>
      <c r="AD350" s="219"/>
      <c r="AE350" s="219"/>
      <c r="AF350" s="219"/>
      <c r="AG350" s="219"/>
      <c r="AH350" s="219"/>
      <c r="AI350" s="219"/>
      <c r="AJ350" s="219"/>
      <c r="AK350" s="219"/>
      <c r="AL350" s="219"/>
      <c r="AM350" s="219"/>
      <c r="AN350" s="219"/>
      <c r="AO350" s="219"/>
      <c r="AP350" s="219"/>
      <c r="AQ350" s="219"/>
      <c r="AR350" s="219"/>
      <c r="AS350" s="219"/>
      <c r="AT350" s="219"/>
      <c r="AU350" s="219"/>
      <c r="AV350" s="219"/>
      <c r="AW350" s="219"/>
      <c r="AX350" s="219"/>
      <c r="AY350" s="219"/>
      <c r="AZ350" s="219"/>
      <c r="BA350" s="219"/>
      <c r="BB350" s="219"/>
      <c r="BC350" s="219"/>
      <c r="BD350" s="219"/>
      <c r="BE350" s="219"/>
      <c r="BF350" s="219"/>
      <c r="BG350" s="219"/>
      <c r="BH350" s="219"/>
      <c r="BI350" s="219"/>
      <c r="BJ350" s="219"/>
      <c r="BK350" s="219"/>
      <c r="BL350" s="219"/>
      <c r="BM350" s="219"/>
      <c r="BN350" s="219"/>
    </row>
    <row r="351" ht="29.25" hidden="1" customHeight="1">
      <c r="A351" s="216"/>
      <c r="B351" s="217"/>
      <c r="C351" s="164"/>
      <c r="D351" s="164"/>
      <c r="E351" s="165"/>
      <c r="F351" s="173"/>
      <c r="G351" s="168"/>
      <c r="H351" s="168"/>
      <c r="I351" s="169"/>
      <c r="J351" s="170"/>
      <c r="K351" s="170"/>
      <c r="L351" s="170"/>
      <c r="M351" s="167"/>
      <c r="N351" s="169"/>
      <c r="O351" s="171"/>
      <c r="P351" s="106"/>
      <c r="Q351" s="218"/>
      <c r="R351" s="172"/>
      <c r="S351" s="172"/>
      <c r="T351" s="173"/>
      <c r="U351" s="219"/>
      <c r="V351" s="219"/>
      <c r="W351" s="219"/>
      <c r="X351" s="219"/>
      <c r="Y351" s="219"/>
      <c r="Z351" s="219"/>
      <c r="AA351" s="219"/>
      <c r="AB351" s="219"/>
      <c r="AC351" s="219"/>
      <c r="AD351" s="219"/>
      <c r="AE351" s="219"/>
      <c r="AF351" s="219"/>
      <c r="AG351" s="219"/>
      <c r="AH351" s="219"/>
      <c r="AI351" s="219"/>
      <c r="AJ351" s="219"/>
      <c r="AK351" s="219"/>
      <c r="AL351" s="219"/>
      <c r="AM351" s="219"/>
      <c r="AN351" s="219"/>
      <c r="AO351" s="219"/>
      <c r="AP351" s="219"/>
      <c r="AQ351" s="219"/>
      <c r="AR351" s="219"/>
      <c r="AS351" s="219"/>
      <c r="AT351" s="219"/>
      <c r="AU351" s="219"/>
      <c r="AV351" s="219"/>
      <c r="AW351" s="219"/>
      <c r="AX351" s="219"/>
      <c r="AY351" s="219"/>
      <c r="AZ351" s="219"/>
      <c r="BA351" s="219"/>
      <c r="BB351" s="219"/>
      <c r="BC351" s="219"/>
      <c r="BD351" s="219"/>
      <c r="BE351" s="219"/>
      <c r="BF351" s="219"/>
      <c r="BG351" s="219"/>
      <c r="BH351" s="219"/>
      <c r="BI351" s="219"/>
      <c r="BJ351" s="219"/>
      <c r="BK351" s="219"/>
      <c r="BL351" s="219"/>
      <c r="BM351" s="219"/>
      <c r="BN351" s="219"/>
    </row>
    <row r="352" ht="29.25" hidden="1" customHeight="1">
      <c r="A352" s="216"/>
      <c r="B352" s="217"/>
      <c r="C352" s="164"/>
      <c r="D352" s="164"/>
      <c r="E352" s="165"/>
      <c r="F352" s="173"/>
      <c r="G352" s="168"/>
      <c r="H352" s="168"/>
      <c r="I352" s="169"/>
      <c r="J352" s="170"/>
      <c r="K352" s="170"/>
      <c r="L352" s="170"/>
      <c r="M352" s="167"/>
      <c r="N352" s="169"/>
      <c r="O352" s="171"/>
      <c r="P352" s="106"/>
      <c r="Q352" s="218"/>
      <c r="R352" s="172"/>
      <c r="S352" s="172"/>
      <c r="T352" s="173"/>
      <c r="U352" s="219"/>
      <c r="V352" s="219"/>
      <c r="W352" s="219"/>
      <c r="X352" s="219"/>
      <c r="Y352" s="219"/>
      <c r="Z352" s="219"/>
      <c r="AA352" s="219"/>
      <c r="AB352" s="219"/>
      <c r="AC352" s="219"/>
      <c r="AD352" s="219"/>
      <c r="AE352" s="219"/>
      <c r="AF352" s="219"/>
      <c r="AG352" s="219"/>
      <c r="AH352" s="219"/>
      <c r="AI352" s="219"/>
      <c r="AJ352" s="219"/>
      <c r="AK352" s="219"/>
      <c r="AL352" s="219"/>
      <c r="AM352" s="219"/>
      <c r="AN352" s="219"/>
      <c r="AO352" s="219"/>
      <c r="AP352" s="219"/>
      <c r="AQ352" s="219"/>
      <c r="AR352" s="219"/>
      <c r="AS352" s="219"/>
      <c r="AT352" s="219"/>
      <c r="AU352" s="219"/>
      <c r="AV352" s="219"/>
      <c r="AW352" s="219"/>
      <c r="AX352" s="219"/>
      <c r="AY352" s="219"/>
      <c r="AZ352" s="219"/>
      <c r="BA352" s="219"/>
      <c r="BB352" s="219"/>
      <c r="BC352" s="219"/>
      <c r="BD352" s="219"/>
      <c r="BE352" s="219"/>
      <c r="BF352" s="219"/>
      <c r="BG352" s="219"/>
      <c r="BH352" s="219"/>
      <c r="BI352" s="219"/>
      <c r="BJ352" s="219"/>
      <c r="BK352" s="219"/>
      <c r="BL352" s="219"/>
      <c r="BM352" s="219"/>
      <c r="BN352" s="219"/>
    </row>
    <row r="353" ht="29.25" hidden="1" customHeight="1">
      <c r="A353" s="216"/>
      <c r="B353" s="217"/>
      <c r="C353" s="164"/>
      <c r="D353" s="164"/>
      <c r="E353" s="165"/>
      <c r="F353" s="173"/>
      <c r="G353" s="168"/>
      <c r="H353" s="168"/>
      <c r="I353" s="169"/>
      <c r="J353" s="170"/>
      <c r="K353" s="170"/>
      <c r="L353" s="170"/>
      <c r="M353" s="167"/>
      <c r="N353" s="169"/>
      <c r="O353" s="171"/>
      <c r="P353" s="106"/>
      <c r="Q353" s="218"/>
      <c r="R353" s="172"/>
      <c r="S353" s="172"/>
      <c r="T353" s="173"/>
      <c r="U353" s="219"/>
      <c r="V353" s="219"/>
      <c r="W353" s="219"/>
      <c r="X353" s="219"/>
      <c r="Y353" s="219"/>
      <c r="Z353" s="219"/>
      <c r="AA353" s="219"/>
      <c r="AB353" s="219"/>
      <c r="AC353" s="219"/>
      <c r="AD353" s="219"/>
      <c r="AE353" s="219"/>
      <c r="AF353" s="219"/>
      <c r="AG353" s="219"/>
      <c r="AH353" s="219"/>
      <c r="AI353" s="219"/>
      <c r="AJ353" s="219"/>
      <c r="AK353" s="219"/>
      <c r="AL353" s="219"/>
      <c r="AM353" s="219"/>
      <c r="AN353" s="219"/>
      <c r="AO353" s="219"/>
      <c r="AP353" s="219"/>
      <c r="AQ353" s="219"/>
      <c r="AR353" s="219"/>
      <c r="AS353" s="219"/>
      <c r="AT353" s="219"/>
      <c r="AU353" s="219"/>
      <c r="AV353" s="219"/>
      <c r="AW353" s="219"/>
      <c r="AX353" s="219"/>
      <c r="AY353" s="219"/>
      <c r="AZ353" s="219"/>
      <c r="BA353" s="219"/>
      <c r="BB353" s="219"/>
      <c r="BC353" s="219"/>
      <c r="BD353" s="219"/>
      <c r="BE353" s="219"/>
      <c r="BF353" s="219"/>
      <c r="BG353" s="219"/>
      <c r="BH353" s="219"/>
      <c r="BI353" s="219"/>
      <c r="BJ353" s="219"/>
      <c r="BK353" s="219"/>
      <c r="BL353" s="219"/>
      <c r="BM353" s="219"/>
      <c r="BN353" s="219"/>
    </row>
    <row r="354" ht="29.25" hidden="1" customHeight="1">
      <c r="A354" s="216"/>
      <c r="B354" s="217"/>
      <c r="C354" s="164"/>
      <c r="D354" s="164"/>
      <c r="E354" s="165"/>
      <c r="F354" s="173"/>
      <c r="G354" s="168"/>
      <c r="H354" s="168"/>
      <c r="I354" s="169"/>
      <c r="J354" s="170"/>
      <c r="K354" s="170"/>
      <c r="L354" s="170"/>
      <c r="M354" s="167"/>
      <c r="N354" s="169"/>
      <c r="O354" s="171"/>
      <c r="P354" s="106"/>
      <c r="Q354" s="218"/>
      <c r="R354" s="172"/>
      <c r="S354" s="172"/>
      <c r="T354" s="173"/>
      <c r="U354" s="219"/>
      <c r="V354" s="219"/>
      <c r="W354" s="219"/>
      <c r="X354" s="219"/>
      <c r="Y354" s="219"/>
      <c r="Z354" s="219"/>
      <c r="AA354" s="219"/>
      <c r="AB354" s="219"/>
      <c r="AC354" s="219"/>
      <c r="AD354" s="219"/>
      <c r="AE354" s="219"/>
      <c r="AF354" s="219"/>
      <c r="AG354" s="219"/>
      <c r="AH354" s="219"/>
      <c r="AI354" s="219"/>
      <c r="AJ354" s="219"/>
      <c r="AK354" s="219"/>
      <c r="AL354" s="219"/>
      <c r="AM354" s="219"/>
      <c r="AN354" s="219"/>
      <c r="AO354" s="219"/>
      <c r="AP354" s="219"/>
      <c r="AQ354" s="219"/>
      <c r="AR354" s="219"/>
      <c r="AS354" s="219"/>
      <c r="AT354" s="219"/>
      <c r="AU354" s="219"/>
      <c r="AV354" s="219"/>
      <c r="AW354" s="219"/>
      <c r="AX354" s="219"/>
      <c r="AY354" s="219"/>
      <c r="AZ354" s="219"/>
      <c r="BA354" s="219"/>
      <c r="BB354" s="219"/>
      <c r="BC354" s="219"/>
      <c r="BD354" s="219"/>
      <c r="BE354" s="219"/>
      <c r="BF354" s="219"/>
      <c r="BG354" s="219"/>
      <c r="BH354" s="219"/>
      <c r="BI354" s="219"/>
      <c r="BJ354" s="219"/>
      <c r="BK354" s="219"/>
      <c r="BL354" s="219"/>
      <c r="BM354" s="219"/>
      <c r="BN354" s="219"/>
    </row>
    <row r="355" ht="29.25" hidden="1" customHeight="1">
      <c r="A355" s="216"/>
      <c r="B355" s="217"/>
      <c r="C355" s="164"/>
      <c r="D355" s="164"/>
      <c r="E355" s="165"/>
      <c r="F355" s="173"/>
      <c r="G355" s="168"/>
      <c r="H355" s="168"/>
      <c r="I355" s="169"/>
      <c r="J355" s="170"/>
      <c r="K355" s="170"/>
      <c r="L355" s="170"/>
      <c r="M355" s="167"/>
      <c r="N355" s="169"/>
      <c r="O355" s="171"/>
      <c r="P355" s="106"/>
      <c r="Q355" s="218"/>
      <c r="R355" s="172"/>
      <c r="S355" s="172"/>
      <c r="T355" s="173"/>
      <c r="U355" s="219"/>
      <c r="V355" s="219"/>
      <c r="W355" s="219"/>
      <c r="X355" s="219"/>
      <c r="Y355" s="219"/>
      <c r="Z355" s="219"/>
      <c r="AA355" s="219"/>
      <c r="AB355" s="219"/>
      <c r="AC355" s="219"/>
      <c r="AD355" s="219"/>
      <c r="AE355" s="219"/>
      <c r="AF355" s="219"/>
      <c r="AG355" s="219"/>
      <c r="AH355" s="219"/>
      <c r="AI355" s="219"/>
      <c r="AJ355" s="219"/>
      <c r="AK355" s="219"/>
      <c r="AL355" s="219"/>
      <c r="AM355" s="219"/>
      <c r="AN355" s="219"/>
      <c r="AO355" s="219"/>
      <c r="AP355" s="219"/>
      <c r="AQ355" s="219"/>
      <c r="AR355" s="219"/>
      <c r="AS355" s="219"/>
      <c r="AT355" s="219"/>
      <c r="AU355" s="219"/>
      <c r="AV355" s="219"/>
      <c r="AW355" s="219"/>
      <c r="AX355" s="219"/>
      <c r="AY355" s="219"/>
      <c r="AZ355" s="219"/>
      <c r="BA355" s="219"/>
      <c r="BB355" s="219"/>
      <c r="BC355" s="219"/>
      <c r="BD355" s="219"/>
      <c r="BE355" s="219"/>
      <c r="BF355" s="219"/>
      <c r="BG355" s="219"/>
      <c r="BH355" s="219"/>
      <c r="BI355" s="219"/>
      <c r="BJ355" s="219"/>
      <c r="BK355" s="219"/>
      <c r="BL355" s="219"/>
      <c r="BM355" s="219"/>
      <c r="BN355" s="219"/>
    </row>
    <row r="356" ht="29.25" hidden="1" customHeight="1">
      <c r="A356" s="216"/>
      <c r="B356" s="217"/>
      <c r="C356" s="164"/>
      <c r="D356" s="164"/>
      <c r="E356" s="165"/>
      <c r="F356" s="173"/>
      <c r="G356" s="168"/>
      <c r="H356" s="168"/>
      <c r="I356" s="169"/>
      <c r="J356" s="170"/>
      <c r="K356" s="170"/>
      <c r="L356" s="170"/>
      <c r="M356" s="167"/>
      <c r="N356" s="169"/>
      <c r="O356" s="171"/>
      <c r="P356" s="106"/>
      <c r="Q356" s="218"/>
      <c r="R356" s="172"/>
      <c r="S356" s="172"/>
      <c r="T356" s="173"/>
      <c r="U356" s="219"/>
      <c r="V356" s="219"/>
      <c r="W356" s="219"/>
      <c r="X356" s="219"/>
      <c r="Y356" s="219"/>
      <c r="Z356" s="219"/>
      <c r="AA356" s="219"/>
      <c r="AB356" s="219"/>
      <c r="AC356" s="219"/>
      <c r="AD356" s="219"/>
      <c r="AE356" s="219"/>
      <c r="AF356" s="219"/>
      <c r="AG356" s="219"/>
      <c r="AH356" s="219"/>
      <c r="AI356" s="219"/>
      <c r="AJ356" s="219"/>
      <c r="AK356" s="219"/>
      <c r="AL356" s="219"/>
      <c r="AM356" s="219"/>
      <c r="AN356" s="219"/>
      <c r="AO356" s="219"/>
      <c r="AP356" s="219"/>
      <c r="AQ356" s="219"/>
      <c r="AR356" s="219"/>
      <c r="AS356" s="219"/>
      <c r="AT356" s="219"/>
      <c r="AU356" s="219"/>
      <c r="AV356" s="219"/>
      <c r="AW356" s="219"/>
      <c r="AX356" s="219"/>
      <c r="AY356" s="219"/>
      <c r="AZ356" s="219"/>
      <c r="BA356" s="219"/>
      <c r="BB356" s="219"/>
      <c r="BC356" s="219"/>
      <c r="BD356" s="219"/>
      <c r="BE356" s="219"/>
      <c r="BF356" s="219"/>
      <c r="BG356" s="219"/>
      <c r="BH356" s="219"/>
      <c r="BI356" s="219"/>
      <c r="BJ356" s="219"/>
      <c r="BK356" s="219"/>
      <c r="BL356" s="219"/>
      <c r="BM356" s="219"/>
      <c r="BN356" s="219"/>
    </row>
    <row r="357" ht="29.25" hidden="1" customHeight="1">
      <c r="A357" s="216"/>
      <c r="B357" s="217"/>
      <c r="C357" s="164"/>
      <c r="D357" s="164"/>
      <c r="E357" s="165"/>
      <c r="F357" s="173"/>
      <c r="G357" s="168"/>
      <c r="H357" s="168"/>
      <c r="I357" s="169"/>
      <c r="J357" s="170"/>
      <c r="K357" s="170"/>
      <c r="L357" s="170"/>
      <c r="M357" s="167"/>
      <c r="N357" s="169"/>
      <c r="O357" s="171"/>
      <c r="P357" s="106"/>
      <c r="Q357" s="218"/>
      <c r="R357" s="172"/>
      <c r="S357" s="172"/>
      <c r="T357" s="173"/>
      <c r="U357" s="219"/>
      <c r="V357" s="219"/>
      <c r="W357" s="219"/>
      <c r="X357" s="219"/>
      <c r="Y357" s="219"/>
      <c r="Z357" s="219"/>
      <c r="AA357" s="219"/>
      <c r="AB357" s="219"/>
      <c r="AC357" s="219"/>
      <c r="AD357" s="219"/>
      <c r="AE357" s="219"/>
      <c r="AF357" s="219"/>
      <c r="AG357" s="219"/>
      <c r="AH357" s="219"/>
      <c r="AI357" s="219"/>
      <c r="AJ357" s="219"/>
      <c r="AK357" s="219"/>
      <c r="AL357" s="219"/>
      <c r="AM357" s="219"/>
      <c r="AN357" s="219"/>
      <c r="AO357" s="219"/>
      <c r="AP357" s="219"/>
      <c r="AQ357" s="219"/>
      <c r="AR357" s="219"/>
      <c r="AS357" s="219"/>
      <c r="AT357" s="219"/>
      <c r="AU357" s="219"/>
      <c r="AV357" s="219"/>
      <c r="AW357" s="219"/>
      <c r="AX357" s="219"/>
      <c r="AY357" s="219"/>
      <c r="AZ357" s="219"/>
      <c r="BA357" s="219"/>
      <c r="BB357" s="219"/>
      <c r="BC357" s="219"/>
      <c r="BD357" s="219"/>
      <c r="BE357" s="219"/>
      <c r="BF357" s="219"/>
      <c r="BG357" s="219"/>
      <c r="BH357" s="219"/>
      <c r="BI357" s="219"/>
      <c r="BJ357" s="219"/>
      <c r="BK357" s="219"/>
      <c r="BL357" s="219"/>
      <c r="BM357" s="219"/>
      <c r="BN357" s="219"/>
    </row>
    <row r="358" ht="29.25" hidden="1" customHeight="1">
      <c r="A358" s="216"/>
      <c r="B358" s="217"/>
      <c r="C358" s="164"/>
      <c r="D358" s="164"/>
      <c r="E358" s="165"/>
      <c r="F358" s="173"/>
      <c r="G358" s="168"/>
      <c r="H358" s="168"/>
      <c r="I358" s="169"/>
      <c r="J358" s="170"/>
      <c r="K358" s="170"/>
      <c r="L358" s="170"/>
      <c r="M358" s="167"/>
      <c r="N358" s="169"/>
      <c r="O358" s="171"/>
      <c r="P358" s="106"/>
      <c r="Q358" s="218"/>
      <c r="R358" s="172"/>
      <c r="S358" s="172"/>
      <c r="T358" s="173"/>
      <c r="U358" s="219"/>
      <c r="V358" s="219"/>
      <c r="W358" s="219"/>
      <c r="X358" s="219"/>
      <c r="Y358" s="219"/>
      <c r="Z358" s="219"/>
      <c r="AA358" s="219"/>
      <c r="AB358" s="219"/>
      <c r="AC358" s="219"/>
      <c r="AD358" s="219"/>
      <c r="AE358" s="219"/>
      <c r="AF358" s="219"/>
      <c r="AG358" s="219"/>
      <c r="AH358" s="219"/>
      <c r="AI358" s="219"/>
      <c r="AJ358" s="219"/>
      <c r="AK358" s="219"/>
      <c r="AL358" s="219"/>
      <c r="AM358" s="219"/>
      <c r="AN358" s="219"/>
      <c r="AO358" s="219"/>
      <c r="AP358" s="219"/>
      <c r="AQ358" s="219"/>
      <c r="AR358" s="219"/>
      <c r="AS358" s="219"/>
      <c r="AT358" s="219"/>
      <c r="AU358" s="219"/>
      <c r="AV358" s="219"/>
      <c r="AW358" s="219"/>
      <c r="AX358" s="219"/>
      <c r="AY358" s="219"/>
      <c r="AZ358" s="219"/>
      <c r="BA358" s="219"/>
      <c r="BB358" s="219"/>
      <c r="BC358" s="219"/>
      <c r="BD358" s="219"/>
      <c r="BE358" s="219"/>
      <c r="BF358" s="219"/>
      <c r="BG358" s="219"/>
      <c r="BH358" s="219"/>
      <c r="BI358" s="219"/>
      <c r="BJ358" s="219"/>
      <c r="BK358" s="219"/>
      <c r="BL358" s="219"/>
      <c r="BM358" s="219"/>
      <c r="BN358" s="219"/>
    </row>
    <row r="359" ht="29.25" hidden="1" customHeight="1">
      <c r="A359" s="216"/>
      <c r="B359" s="217"/>
      <c r="C359" s="164"/>
      <c r="D359" s="164"/>
      <c r="E359" s="165"/>
      <c r="F359" s="173"/>
      <c r="G359" s="168"/>
      <c r="H359" s="168"/>
      <c r="I359" s="169"/>
      <c r="J359" s="170"/>
      <c r="K359" s="170"/>
      <c r="L359" s="170"/>
      <c r="M359" s="167"/>
      <c r="N359" s="169"/>
      <c r="O359" s="171"/>
      <c r="P359" s="106"/>
      <c r="Q359" s="218"/>
      <c r="R359" s="172"/>
      <c r="S359" s="172"/>
      <c r="T359" s="173"/>
      <c r="U359" s="219"/>
      <c r="V359" s="219"/>
      <c r="W359" s="219"/>
      <c r="X359" s="219"/>
      <c r="Y359" s="219"/>
      <c r="Z359" s="219"/>
      <c r="AA359" s="219"/>
      <c r="AB359" s="219"/>
      <c r="AC359" s="219"/>
      <c r="AD359" s="219"/>
      <c r="AE359" s="219"/>
      <c r="AF359" s="219"/>
      <c r="AG359" s="219"/>
      <c r="AH359" s="219"/>
      <c r="AI359" s="219"/>
      <c r="AJ359" s="219"/>
      <c r="AK359" s="219"/>
      <c r="AL359" s="219"/>
      <c r="AM359" s="219"/>
      <c r="AN359" s="219"/>
      <c r="AO359" s="219"/>
      <c r="AP359" s="219"/>
      <c r="AQ359" s="219"/>
      <c r="AR359" s="219"/>
      <c r="AS359" s="219"/>
      <c r="AT359" s="219"/>
      <c r="AU359" s="219"/>
      <c r="AV359" s="219"/>
      <c r="AW359" s="219"/>
      <c r="AX359" s="219"/>
      <c r="AY359" s="219"/>
      <c r="AZ359" s="219"/>
      <c r="BA359" s="219"/>
      <c r="BB359" s="219"/>
      <c r="BC359" s="219"/>
      <c r="BD359" s="219"/>
      <c r="BE359" s="219"/>
      <c r="BF359" s="219"/>
      <c r="BG359" s="219"/>
      <c r="BH359" s="219"/>
      <c r="BI359" s="219"/>
      <c r="BJ359" s="219"/>
      <c r="BK359" s="219"/>
      <c r="BL359" s="219"/>
      <c r="BM359" s="219"/>
      <c r="BN359" s="219"/>
    </row>
    <row r="360" ht="29.25" hidden="1" customHeight="1">
      <c r="A360" s="216"/>
      <c r="B360" s="217"/>
      <c r="C360" s="164"/>
      <c r="D360" s="164"/>
      <c r="E360" s="165"/>
      <c r="F360" s="173"/>
      <c r="G360" s="168"/>
      <c r="H360" s="168"/>
      <c r="I360" s="169"/>
      <c r="J360" s="170"/>
      <c r="K360" s="170"/>
      <c r="L360" s="170"/>
      <c r="M360" s="167"/>
      <c r="N360" s="169"/>
      <c r="O360" s="171"/>
      <c r="P360" s="106"/>
      <c r="Q360" s="218"/>
      <c r="R360" s="172"/>
      <c r="S360" s="172"/>
      <c r="T360" s="173"/>
      <c r="U360" s="219"/>
      <c r="V360" s="219"/>
      <c r="W360" s="219"/>
      <c r="X360" s="219"/>
      <c r="Y360" s="219"/>
      <c r="Z360" s="219"/>
      <c r="AA360" s="219"/>
      <c r="AB360" s="219"/>
      <c r="AC360" s="219"/>
      <c r="AD360" s="219"/>
      <c r="AE360" s="219"/>
      <c r="AF360" s="219"/>
      <c r="AG360" s="219"/>
      <c r="AH360" s="219"/>
      <c r="AI360" s="219"/>
      <c r="AJ360" s="219"/>
      <c r="AK360" s="219"/>
      <c r="AL360" s="219"/>
      <c r="AM360" s="219"/>
      <c r="AN360" s="219"/>
      <c r="AO360" s="219"/>
      <c r="AP360" s="219"/>
      <c r="AQ360" s="219"/>
      <c r="AR360" s="219"/>
      <c r="AS360" s="219"/>
      <c r="AT360" s="219"/>
      <c r="AU360" s="219"/>
      <c r="AV360" s="219"/>
      <c r="AW360" s="219"/>
      <c r="AX360" s="219"/>
      <c r="AY360" s="219"/>
      <c r="AZ360" s="219"/>
      <c r="BA360" s="219"/>
      <c r="BB360" s="219"/>
      <c r="BC360" s="219"/>
      <c r="BD360" s="219"/>
      <c r="BE360" s="219"/>
      <c r="BF360" s="219"/>
      <c r="BG360" s="219"/>
      <c r="BH360" s="219"/>
      <c r="BI360" s="219"/>
      <c r="BJ360" s="219"/>
      <c r="BK360" s="219"/>
      <c r="BL360" s="219"/>
      <c r="BM360" s="219"/>
      <c r="BN360" s="219"/>
    </row>
    <row r="361" ht="29.25" hidden="1" customHeight="1">
      <c r="A361" s="216"/>
      <c r="B361" s="217"/>
      <c r="C361" s="164"/>
      <c r="D361" s="164"/>
      <c r="E361" s="165"/>
      <c r="F361" s="173"/>
      <c r="G361" s="168"/>
      <c r="H361" s="168"/>
      <c r="I361" s="169"/>
      <c r="J361" s="170"/>
      <c r="K361" s="170"/>
      <c r="L361" s="170"/>
      <c r="M361" s="167"/>
      <c r="N361" s="169"/>
      <c r="O361" s="171"/>
      <c r="P361" s="106"/>
      <c r="Q361" s="218"/>
      <c r="R361" s="172"/>
      <c r="S361" s="172"/>
      <c r="T361" s="173"/>
      <c r="U361" s="219"/>
      <c r="V361" s="219"/>
      <c r="W361" s="219"/>
      <c r="X361" s="219"/>
      <c r="Y361" s="219"/>
      <c r="Z361" s="219"/>
      <c r="AA361" s="219"/>
      <c r="AB361" s="219"/>
      <c r="AC361" s="219"/>
      <c r="AD361" s="219"/>
      <c r="AE361" s="219"/>
      <c r="AF361" s="219"/>
      <c r="AG361" s="219"/>
      <c r="AH361" s="219"/>
      <c r="AI361" s="219"/>
      <c r="AJ361" s="219"/>
      <c r="AK361" s="219"/>
      <c r="AL361" s="219"/>
      <c r="AM361" s="219"/>
      <c r="AN361" s="219"/>
      <c r="AO361" s="219"/>
      <c r="AP361" s="219"/>
      <c r="AQ361" s="219"/>
      <c r="AR361" s="219"/>
      <c r="AS361" s="219"/>
      <c r="AT361" s="219"/>
      <c r="AU361" s="219"/>
      <c r="AV361" s="219"/>
      <c r="AW361" s="219"/>
      <c r="AX361" s="219"/>
      <c r="AY361" s="219"/>
      <c r="AZ361" s="219"/>
      <c r="BA361" s="219"/>
      <c r="BB361" s="219"/>
      <c r="BC361" s="219"/>
      <c r="BD361" s="219"/>
      <c r="BE361" s="219"/>
      <c r="BF361" s="219"/>
      <c r="BG361" s="219"/>
      <c r="BH361" s="219"/>
      <c r="BI361" s="219"/>
      <c r="BJ361" s="219"/>
      <c r="BK361" s="219"/>
      <c r="BL361" s="219"/>
      <c r="BM361" s="219"/>
      <c r="BN361" s="219"/>
    </row>
    <row r="362" ht="29.25" hidden="1" customHeight="1">
      <c r="A362" s="216"/>
      <c r="B362" s="217"/>
      <c r="C362" s="164"/>
      <c r="D362" s="164"/>
      <c r="E362" s="165"/>
      <c r="F362" s="173"/>
      <c r="G362" s="168"/>
      <c r="H362" s="168"/>
      <c r="I362" s="169"/>
      <c r="J362" s="170"/>
      <c r="K362" s="170"/>
      <c r="L362" s="170"/>
      <c r="M362" s="167"/>
      <c r="N362" s="169"/>
      <c r="O362" s="171"/>
      <c r="P362" s="106"/>
      <c r="Q362" s="218"/>
      <c r="R362" s="172"/>
      <c r="S362" s="172"/>
      <c r="T362" s="173"/>
      <c r="U362" s="219"/>
      <c r="V362" s="219"/>
      <c r="W362" s="219"/>
      <c r="X362" s="219"/>
      <c r="Y362" s="219"/>
      <c r="Z362" s="219"/>
      <c r="AA362" s="219"/>
      <c r="AB362" s="219"/>
      <c r="AC362" s="219"/>
      <c r="AD362" s="219"/>
      <c r="AE362" s="219"/>
      <c r="AF362" s="219"/>
      <c r="AG362" s="219"/>
      <c r="AH362" s="219"/>
      <c r="AI362" s="219"/>
      <c r="AJ362" s="219"/>
      <c r="AK362" s="219"/>
      <c r="AL362" s="219"/>
      <c r="AM362" s="219"/>
      <c r="AN362" s="219"/>
      <c r="AO362" s="219"/>
      <c r="AP362" s="219"/>
      <c r="AQ362" s="219"/>
      <c r="AR362" s="219"/>
      <c r="AS362" s="219"/>
      <c r="AT362" s="219"/>
      <c r="AU362" s="219"/>
      <c r="AV362" s="219"/>
      <c r="AW362" s="219"/>
      <c r="AX362" s="219"/>
      <c r="AY362" s="219"/>
      <c r="AZ362" s="219"/>
      <c r="BA362" s="219"/>
      <c r="BB362" s="219"/>
      <c r="BC362" s="219"/>
      <c r="BD362" s="219"/>
      <c r="BE362" s="219"/>
      <c r="BF362" s="219"/>
      <c r="BG362" s="219"/>
      <c r="BH362" s="219"/>
      <c r="BI362" s="219"/>
      <c r="BJ362" s="219"/>
      <c r="BK362" s="219"/>
      <c r="BL362" s="219"/>
      <c r="BM362" s="219"/>
      <c r="BN362" s="219"/>
    </row>
    <row r="363" ht="29.25" hidden="1" customHeight="1">
      <c r="A363" s="216"/>
      <c r="B363" s="217"/>
      <c r="C363" s="164"/>
      <c r="D363" s="164"/>
      <c r="E363" s="165"/>
      <c r="F363" s="173"/>
      <c r="G363" s="168"/>
      <c r="H363" s="168"/>
      <c r="I363" s="169"/>
      <c r="J363" s="170"/>
      <c r="K363" s="170"/>
      <c r="L363" s="170"/>
      <c r="M363" s="167"/>
      <c r="N363" s="169"/>
      <c r="O363" s="171"/>
      <c r="P363" s="106"/>
      <c r="Q363" s="218"/>
      <c r="R363" s="172"/>
      <c r="S363" s="172"/>
      <c r="T363" s="173"/>
      <c r="U363" s="219"/>
      <c r="V363" s="219"/>
      <c r="W363" s="219"/>
      <c r="X363" s="219"/>
      <c r="Y363" s="219"/>
      <c r="Z363" s="219"/>
      <c r="AA363" s="219"/>
      <c r="AB363" s="219"/>
      <c r="AC363" s="219"/>
      <c r="AD363" s="219"/>
      <c r="AE363" s="219"/>
      <c r="AF363" s="219"/>
      <c r="AG363" s="219"/>
      <c r="AH363" s="219"/>
      <c r="AI363" s="219"/>
      <c r="AJ363" s="219"/>
      <c r="AK363" s="219"/>
      <c r="AL363" s="219"/>
      <c r="AM363" s="219"/>
      <c r="AN363" s="219"/>
      <c r="AO363" s="219"/>
      <c r="AP363" s="219"/>
      <c r="AQ363" s="219"/>
      <c r="AR363" s="219"/>
      <c r="AS363" s="219"/>
      <c r="AT363" s="219"/>
      <c r="AU363" s="219"/>
      <c r="AV363" s="219"/>
      <c r="AW363" s="219"/>
      <c r="AX363" s="219"/>
      <c r="AY363" s="219"/>
      <c r="AZ363" s="219"/>
      <c r="BA363" s="219"/>
      <c r="BB363" s="219"/>
      <c r="BC363" s="219"/>
      <c r="BD363" s="219"/>
      <c r="BE363" s="219"/>
      <c r="BF363" s="219"/>
      <c r="BG363" s="219"/>
      <c r="BH363" s="219"/>
      <c r="BI363" s="219"/>
      <c r="BJ363" s="219"/>
      <c r="BK363" s="219"/>
      <c r="BL363" s="219"/>
      <c r="BM363" s="219"/>
      <c r="BN363" s="219"/>
    </row>
    <row r="364" ht="29.25" hidden="1" customHeight="1">
      <c r="A364" s="216"/>
      <c r="B364" s="217"/>
      <c r="C364" s="164"/>
      <c r="D364" s="164"/>
      <c r="E364" s="165"/>
      <c r="F364" s="173"/>
      <c r="G364" s="168"/>
      <c r="H364" s="168"/>
      <c r="I364" s="169"/>
      <c r="J364" s="170"/>
      <c r="K364" s="170"/>
      <c r="L364" s="170"/>
      <c r="M364" s="167"/>
      <c r="N364" s="169"/>
      <c r="O364" s="171"/>
      <c r="P364" s="106"/>
      <c r="Q364" s="218"/>
      <c r="R364" s="172"/>
      <c r="S364" s="172"/>
      <c r="T364" s="173"/>
      <c r="U364" s="219"/>
      <c r="V364" s="219"/>
      <c r="W364" s="219"/>
      <c r="X364" s="219"/>
      <c r="Y364" s="219"/>
      <c r="Z364" s="219"/>
      <c r="AA364" s="219"/>
      <c r="AB364" s="219"/>
      <c r="AC364" s="219"/>
      <c r="AD364" s="219"/>
      <c r="AE364" s="219"/>
      <c r="AF364" s="219"/>
      <c r="AG364" s="219"/>
      <c r="AH364" s="219"/>
      <c r="AI364" s="219"/>
      <c r="AJ364" s="219"/>
      <c r="AK364" s="219"/>
      <c r="AL364" s="219"/>
      <c r="AM364" s="219"/>
      <c r="AN364" s="219"/>
      <c r="AO364" s="219"/>
      <c r="AP364" s="219"/>
      <c r="AQ364" s="219"/>
      <c r="AR364" s="219"/>
      <c r="AS364" s="219"/>
      <c r="AT364" s="219"/>
      <c r="AU364" s="219"/>
      <c r="AV364" s="219"/>
      <c r="AW364" s="219"/>
      <c r="AX364" s="219"/>
      <c r="AY364" s="219"/>
      <c r="AZ364" s="219"/>
      <c r="BA364" s="219"/>
      <c r="BB364" s="219"/>
      <c r="BC364" s="219"/>
      <c r="BD364" s="219"/>
      <c r="BE364" s="219"/>
      <c r="BF364" s="219"/>
      <c r="BG364" s="219"/>
      <c r="BH364" s="219"/>
      <c r="BI364" s="219"/>
      <c r="BJ364" s="219"/>
      <c r="BK364" s="219"/>
      <c r="BL364" s="219"/>
      <c r="BM364" s="219"/>
      <c r="BN364" s="219"/>
    </row>
    <row r="365" ht="29.25" hidden="1" customHeight="1">
      <c r="A365" s="216"/>
      <c r="B365" s="217"/>
      <c r="C365" s="164"/>
      <c r="D365" s="164"/>
      <c r="E365" s="165"/>
      <c r="F365" s="173"/>
      <c r="G365" s="168"/>
      <c r="H365" s="168"/>
      <c r="I365" s="169"/>
      <c r="J365" s="170"/>
      <c r="K365" s="170"/>
      <c r="L365" s="170"/>
      <c r="M365" s="167"/>
      <c r="N365" s="169"/>
      <c r="O365" s="171"/>
      <c r="P365" s="106"/>
      <c r="Q365" s="218"/>
      <c r="R365" s="172"/>
      <c r="S365" s="172"/>
      <c r="T365" s="173"/>
      <c r="U365" s="219"/>
      <c r="V365" s="219"/>
      <c r="W365" s="219"/>
      <c r="X365" s="219"/>
      <c r="Y365" s="219"/>
      <c r="Z365" s="219"/>
      <c r="AA365" s="219"/>
      <c r="AB365" s="219"/>
      <c r="AC365" s="219"/>
      <c r="AD365" s="219"/>
      <c r="AE365" s="219"/>
      <c r="AF365" s="219"/>
      <c r="AG365" s="219"/>
      <c r="AH365" s="219"/>
      <c r="AI365" s="219"/>
      <c r="AJ365" s="219"/>
      <c r="AK365" s="219"/>
      <c r="AL365" s="219"/>
      <c r="AM365" s="219"/>
      <c r="AN365" s="219"/>
      <c r="AO365" s="219"/>
      <c r="AP365" s="219"/>
      <c r="AQ365" s="219"/>
      <c r="AR365" s="219"/>
      <c r="AS365" s="219"/>
      <c r="AT365" s="219"/>
      <c r="AU365" s="219"/>
      <c r="AV365" s="219"/>
      <c r="AW365" s="219"/>
      <c r="AX365" s="219"/>
      <c r="AY365" s="219"/>
      <c r="AZ365" s="219"/>
      <c r="BA365" s="219"/>
      <c r="BB365" s="219"/>
      <c r="BC365" s="219"/>
      <c r="BD365" s="219"/>
      <c r="BE365" s="219"/>
      <c r="BF365" s="219"/>
      <c r="BG365" s="219"/>
      <c r="BH365" s="219"/>
      <c r="BI365" s="219"/>
      <c r="BJ365" s="219"/>
      <c r="BK365" s="219"/>
      <c r="BL365" s="219"/>
      <c r="BM365" s="219"/>
      <c r="BN365" s="219"/>
    </row>
    <row r="366" ht="29.25" hidden="1" customHeight="1">
      <c r="A366" s="216"/>
      <c r="B366" s="217"/>
      <c r="C366" s="164"/>
      <c r="D366" s="164"/>
      <c r="E366" s="165"/>
      <c r="F366" s="173"/>
      <c r="G366" s="168"/>
      <c r="H366" s="168"/>
      <c r="I366" s="169"/>
      <c r="J366" s="170"/>
      <c r="K366" s="170"/>
      <c r="L366" s="170"/>
      <c r="M366" s="167"/>
      <c r="N366" s="169"/>
      <c r="O366" s="171"/>
      <c r="P366" s="106"/>
      <c r="Q366" s="218"/>
      <c r="R366" s="172"/>
      <c r="S366" s="172"/>
      <c r="T366" s="173"/>
      <c r="U366" s="219"/>
      <c r="V366" s="219"/>
      <c r="W366" s="219"/>
      <c r="X366" s="219"/>
      <c r="Y366" s="219"/>
      <c r="Z366" s="219"/>
      <c r="AA366" s="219"/>
      <c r="AB366" s="219"/>
      <c r="AC366" s="219"/>
      <c r="AD366" s="219"/>
      <c r="AE366" s="219"/>
      <c r="AF366" s="219"/>
      <c r="AG366" s="219"/>
      <c r="AH366" s="219"/>
      <c r="AI366" s="219"/>
      <c r="AJ366" s="219"/>
      <c r="AK366" s="219"/>
      <c r="AL366" s="219"/>
      <c r="AM366" s="219"/>
      <c r="AN366" s="219"/>
      <c r="AO366" s="219"/>
      <c r="AP366" s="219"/>
      <c r="AQ366" s="219"/>
      <c r="AR366" s="219"/>
      <c r="AS366" s="219"/>
      <c r="AT366" s="219"/>
      <c r="AU366" s="219"/>
      <c r="AV366" s="219"/>
      <c r="AW366" s="219"/>
      <c r="AX366" s="219"/>
      <c r="AY366" s="219"/>
      <c r="AZ366" s="219"/>
      <c r="BA366" s="219"/>
      <c r="BB366" s="219"/>
      <c r="BC366" s="219"/>
      <c r="BD366" s="219"/>
      <c r="BE366" s="219"/>
      <c r="BF366" s="219"/>
      <c r="BG366" s="219"/>
      <c r="BH366" s="219"/>
      <c r="BI366" s="219"/>
      <c r="BJ366" s="219"/>
      <c r="BK366" s="219"/>
      <c r="BL366" s="219"/>
      <c r="BM366" s="219"/>
      <c r="BN366" s="219"/>
    </row>
    <row r="367" ht="29.25" hidden="1" customHeight="1">
      <c r="A367" s="216"/>
      <c r="B367" s="217"/>
      <c r="C367" s="164"/>
      <c r="D367" s="164"/>
      <c r="E367" s="165"/>
      <c r="F367" s="173"/>
      <c r="G367" s="168"/>
      <c r="H367" s="168"/>
      <c r="I367" s="169"/>
      <c r="J367" s="170"/>
      <c r="K367" s="170"/>
      <c r="L367" s="170"/>
      <c r="M367" s="167"/>
      <c r="N367" s="169"/>
      <c r="O367" s="171"/>
      <c r="P367" s="106"/>
      <c r="Q367" s="218"/>
      <c r="R367" s="172"/>
      <c r="S367" s="172"/>
      <c r="T367" s="173"/>
      <c r="U367" s="219"/>
      <c r="V367" s="219"/>
      <c r="W367" s="219"/>
      <c r="X367" s="219"/>
      <c r="Y367" s="219"/>
      <c r="Z367" s="219"/>
      <c r="AA367" s="219"/>
      <c r="AB367" s="219"/>
      <c r="AC367" s="219"/>
      <c r="AD367" s="219"/>
      <c r="AE367" s="219"/>
      <c r="AF367" s="219"/>
      <c r="AG367" s="219"/>
      <c r="AH367" s="219"/>
      <c r="AI367" s="219"/>
      <c r="AJ367" s="219"/>
      <c r="AK367" s="219"/>
      <c r="AL367" s="219"/>
      <c r="AM367" s="219"/>
      <c r="AN367" s="219"/>
      <c r="AO367" s="219"/>
      <c r="AP367" s="219"/>
      <c r="AQ367" s="219"/>
      <c r="AR367" s="219"/>
      <c r="AS367" s="219"/>
      <c r="AT367" s="219"/>
      <c r="AU367" s="219"/>
      <c r="AV367" s="219"/>
      <c r="AW367" s="219"/>
      <c r="AX367" s="219"/>
      <c r="AY367" s="219"/>
      <c r="AZ367" s="219"/>
      <c r="BA367" s="219"/>
      <c r="BB367" s="219"/>
      <c r="BC367" s="219"/>
      <c r="BD367" s="219"/>
      <c r="BE367" s="219"/>
      <c r="BF367" s="219"/>
      <c r="BG367" s="219"/>
      <c r="BH367" s="219"/>
      <c r="BI367" s="219"/>
      <c r="BJ367" s="219"/>
      <c r="BK367" s="219"/>
      <c r="BL367" s="219"/>
      <c r="BM367" s="219"/>
      <c r="BN367" s="219"/>
    </row>
    <row r="368" ht="29.25" hidden="1" customHeight="1">
      <c r="A368" s="216"/>
      <c r="B368" s="217"/>
      <c r="C368" s="164"/>
      <c r="D368" s="164"/>
      <c r="E368" s="165"/>
      <c r="F368" s="173"/>
      <c r="G368" s="168"/>
      <c r="H368" s="168"/>
      <c r="I368" s="169"/>
      <c r="J368" s="170"/>
      <c r="K368" s="170"/>
      <c r="L368" s="170"/>
      <c r="M368" s="167"/>
      <c r="N368" s="169"/>
      <c r="O368" s="171"/>
      <c r="P368" s="106"/>
      <c r="Q368" s="218"/>
      <c r="R368" s="172"/>
      <c r="S368" s="172"/>
      <c r="T368" s="173"/>
      <c r="U368" s="219"/>
      <c r="V368" s="219"/>
      <c r="W368" s="219"/>
      <c r="X368" s="219"/>
      <c r="Y368" s="219"/>
      <c r="Z368" s="219"/>
      <c r="AA368" s="219"/>
      <c r="AB368" s="219"/>
      <c r="AC368" s="219"/>
      <c r="AD368" s="219"/>
      <c r="AE368" s="219"/>
      <c r="AF368" s="219"/>
      <c r="AG368" s="219"/>
      <c r="AH368" s="219"/>
      <c r="AI368" s="219"/>
      <c r="AJ368" s="219"/>
      <c r="AK368" s="219"/>
      <c r="AL368" s="219"/>
      <c r="AM368" s="219"/>
      <c r="AN368" s="219"/>
      <c r="AO368" s="219"/>
      <c r="AP368" s="219"/>
      <c r="AQ368" s="219"/>
      <c r="AR368" s="219"/>
      <c r="AS368" s="219"/>
      <c r="AT368" s="219"/>
      <c r="AU368" s="219"/>
      <c r="AV368" s="219"/>
      <c r="AW368" s="219"/>
      <c r="AX368" s="219"/>
      <c r="AY368" s="219"/>
      <c r="AZ368" s="219"/>
      <c r="BA368" s="219"/>
      <c r="BB368" s="219"/>
      <c r="BC368" s="219"/>
      <c r="BD368" s="219"/>
      <c r="BE368" s="219"/>
      <c r="BF368" s="219"/>
      <c r="BG368" s="219"/>
      <c r="BH368" s="219"/>
      <c r="BI368" s="219"/>
      <c r="BJ368" s="219"/>
      <c r="BK368" s="219"/>
      <c r="BL368" s="219"/>
      <c r="BM368" s="219"/>
      <c r="BN368" s="219"/>
    </row>
    <row r="369" ht="29.25" hidden="1" customHeight="1">
      <c r="A369" s="216"/>
      <c r="B369" s="217"/>
      <c r="C369" s="164"/>
      <c r="D369" s="164"/>
      <c r="E369" s="165"/>
      <c r="F369" s="173"/>
      <c r="G369" s="168"/>
      <c r="H369" s="168"/>
      <c r="I369" s="169"/>
      <c r="J369" s="170"/>
      <c r="K369" s="170"/>
      <c r="L369" s="170"/>
      <c r="M369" s="167"/>
      <c r="N369" s="169"/>
      <c r="O369" s="171"/>
      <c r="P369" s="106"/>
      <c r="Q369" s="218"/>
      <c r="R369" s="172"/>
      <c r="S369" s="172"/>
      <c r="T369" s="173"/>
      <c r="U369" s="219"/>
      <c r="V369" s="219"/>
      <c r="W369" s="219"/>
      <c r="X369" s="219"/>
      <c r="Y369" s="219"/>
      <c r="Z369" s="219"/>
      <c r="AA369" s="219"/>
      <c r="AB369" s="219"/>
      <c r="AC369" s="219"/>
      <c r="AD369" s="219"/>
      <c r="AE369" s="219"/>
      <c r="AF369" s="219"/>
      <c r="AG369" s="219"/>
      <c r="AH369" s="219"/>
      <c r="AI369" s="219"/>
      <c r="AJ369" s="219"/>
      <c r="AK369" s="219"/>
      <c r="AL369" s="219"/>
      <c r="AM369" s="219"/>
      <c r="AN369" s="219"/>
      <c r="AO369" s="219"/>
      <c r="AP369" s="219"/>
      <c r="AQ369" s="219"/>
      <c r="AR369" s="219"/>
      <c r="AS369" s="219"/>
      <c r="AT369" s="219"/>
      <c r="AU369" s="219"/>
      <c r="AV369" s="219"/>
      <c r="AW369" s="219"/>
      <c r="AX369" s="219"/>
      <c r="AY369" s="219"/>
      <c r="AZ369" s="219"/>
      <c r="BA369" s="219"/>
      <c r="BB369" s="219"/>
      <c r="BC369" s="219"/>
      <c r="BD369" s="219"/>
      <c r="BE369" s="219"/>
      <c r="BF369" s="219"/>
      <c r="BG369" s="219"/>
      <c r="BH369" s="219"/>
      <c r="BI369" s="219"/>
      <c r="BJ369" s="219"/>
      <c r="BK369" s="219"/>
      <c r="BL369" s="219"/>
      <c r="BM369" s="219"/>
      <c r="BN369" s="219"/>
    </row>
    <row r="370" ht="29.25" hidden="1" customHeight="1">
      <c r="A370" s="216"/>
      <c r="B370" s="217"/>
      <c r="C370" s="164"/>
      <c r="D370" s="164"/>
      <c r="E370" s="165"/>
      <c r="F370" s="173"/>
      <c r="G370" s="168"/>
      <c r="H370" s="168"/>
      <c r="I370" s="169"/>
      <c r="J370" s="170"/>
      <c r="K370" s="170"/>
      <c r="L370" s="170"/>
      <c r="M370" s="167"/>
      <c r="N370" s="169"/>
      <c r="O370" s="171"/>
      <c r="P370" s="106"/>
      <c r="Q370" s="218"/>
      <c r="R370" s="172"/>
      <c r="S370" s="172"/>
      <c r="T370" s="173"/>
      <c r="U370" s="219"/>
      <c r="V370" s="219"/>
      <c r="W370" s="219"/>
      <c r="X370" s="219"/>
      <c r="Y370" s="219"/>
      <c r="Z370" s="219"/>
      <c r="AA370" s="219"/>
      <c r="AB370" s="219"/>
      <c r="AC370" s="219"/>
      <c r="AD370" s="219"/>
      <c r="AE370" s="219"/>
      <c r="AF370" s="219"/>
      <c r="AG370" s="219"/>
      <c r="AH370" s="219"/>
      <c r="AI370" s="219"/>
      <c r="AJ370" s="219"/>
      <c r="AK370" s="219"/>
      <c r="AL370" s="219"/>
      <c r="AM370" s="219"/>
      <c r="AN370" s="219"/>
      <c r="AO370" s="219"/>
      <c r="AP370" s="219"/>
      <c r="AQ370" s="219"/>
      <c r="AR370" s="219"/>
      <c r="AS370" s="219"/>
      <c r="AT370" s="219"/>
      <c r="AU370" s="219"/>
      <c r="AV370" s="219"/>
      <c r="AW370" s="219"/>
      <c r="AX370" s="219"/>
      <c r="AY370" s="219"/>
      <c r="AZ370" s="219"/>
      <c r="BA370" s="219"/>
      <c r="BB370" s="219"/>
      <c r="BC370" s="219"/>
      <c r="BD370" s="219"/>
      <c r="BE370" s="219"/>
      <c r="BF370" s="219"/>
      <c r="BG370" s="219"/>
      <c r="BH370" s="219"/>
      <c r="BI370" s="219"/>
      <c r="BJ370" s="219"/>
      <c r="BK370" s="219"/>
      <c r="BL370" s="219"/>
      <c r="BM370" s="219"/>
      <c r="BN370" s="219"/>
    </row>
    <row r="371" ht="29.25" hidden="1" customHeight="1">
      <c r="A371" s="216"/>
      <c r="B371" s="217"/>
      <c r="C371" s="164"/>
      <c r="D371" s="164"/>
      <c r="E371" s="165"/>
      <c r="F371" s="173"/>
      <c r="G371" s="168"/>
      <c r="H371" s="168"/>
      <c r="I371" s="169"/>
      <c r="J371" s="170"/>
      <c r="K371" s="170"/>
      <c r="L371" s="170"/>
      <c r="M371" s="167"/>
      <c r="N371" s="169"/>
      <c r="O371" s="171"/>
      <c r="P371" s="106"/>
      <c r="Q371" s="218"/>
      <c r="R371" s="172"/>
      <c r="S371" s="172"/>
      <c r="T371" s="173"/>
      <c r="U371" s="219"/>
      <c r="V371" s="219"/>
      <c r="W371" s="219"/>
      <c r="X371" s="219"/>
      <c r="Y371" s="219"/>
      <c r="Z371" s="219"/>
      <c r="AA371" s="219"/>
      <c r="AB371" s="219"/>
      <c r="AC371" s="219"/>
      <c r="AD371" s="219"/>
      <c r="AE371" s="219"/>
      <c r="AF371" s="219"/>
      <c r="AG371" s="219"/>
      <c r="AH371" s="219"/>
      <c r="AI371" s="219"/>
      <c r="AJ371" s="219"/>
      <c r="AK371" s="219"/>
      <c r="AL371" s="219"/>
      <c r="AM371" s="219"/>
      <c r="AN371" s="219"/>
      <c r="AO371" s="219"/>
      <c r="AP371" s="219"/>
      <c r="AQ371" s="219"/>
      <c r="AR371" s="219"/>
      <c r="AS371" s="219"/>
      <c r="AT371" s="219"/>
      <c r="AU371" s="219"/>
      <c r="AV371" s="219"/>
      <c r="AW371" s="219"/>
      <c r="AX371" s="219"/>
      <c r="AY371" s="219"/>
      <c r="AZ371" s="219"/>
      <c r="BA371" s="219"/>
      <c r="BB371" s="219"/>
      <c r="BC371" s="219"/>
      <c r="BD371" s="219"/>
      <c r="BE371" s="219"/>
      <c r="BF371" s="219"/>
      <c r="BG371" s="219"/>
      <c r="BH371" s="219"/>
      <c r="BI371" s="219"/>
      <c r="BJ371" s="219"/>
      <c r="BK371" s="219"/>
      <c r="BL371" s="219"/>
      <c r="BM371" s="219"/>
      <c r="BN371" s="219"/>
    </row>
    <row r="372" ht="29.25" hidden="1" customHeight="1">
      <c r="A372" s="216"/>
      <c r="B372" s="217"/>
      <c r="C372" s="164"/>
      <c r="D372" s="164"/>
      <c r="E372" s="165"/>
      <c r="F372" s="173"/>
      <c r="G372" s="168"/>
      <c r="H372" s="168"/>
      <c r="I372" s="169"/>
      <c r="J372" s="170"/>
      <c r="K372" s="170"/>
      <c r="L372" s="170"/>
      <c r="M372" s="167"/>
      <c r="N372" s="169"/>
      <c r="O372" s="171"/>
      <c r="P372" s="106"/>
      <c r="Q372" s="218"/>
      <c r="R372" s="172"/>
      <c r="S372" s="172"/>
      <c r="T372" s="173"/>
      <c r="U372" s="219"/>
      <c r="V372" s="219"/>
      <c r="W372" s="219"/>
      <c r="X372" s="219"/>
      <c r="Y372" s="219"/>
      <c r="Z372" s="219"/>
      <c r="AA372" s="219"/>
      <c r="AB372" s="219"/>
      <c r="AC372" s="219"/>
      <c r="AD372" s="219"/>
      <c r="AE372" s="219"/>
      <c r="AF372" s="219"/>
      <c r="AG372" s="219"/>
      <c r="AH372" s="219"/>
      <c r="AI372" s="219"/>
      <c r="AJ372" s="219"/>
      <c r="AK372" s="219"/>
      <c r="AL372" s="219"/>
      <c r="AM372" s="219"/>
      <c r="AN372" s="219"/>
      <c r="AO372" s="219"/>
      <c r="AP372" s="219"/>
      <c r="AQ372" s="219"/>
      <c r="AR372" s="219"/>
      <c r="AS372" s="219"/>
      <c r="AT372" s="219"/>
      <c r="AU372" s="219"/>
      <c r="AV372" s="219"/>
      <c r="AW372" s="219"/>
      <c r="AX372" s="219"/>
      <c r="AY372" s="219"/>
      <c r="AZ372" s="219"/>
      <c r="BA372" s="219"/>
      <c r="BB372" s="219"/>
      <c r="BC372" s="219"/>
      <c r="BD372" s="219"/>
      <c r="BE372" s="219"/>
      <c r="BF372" s="219"/>
      <c r="BG372" s="219"/>
      <c r="BH372" s="219"/>
      <c r="BI372" s="219"/>
      <c r="BJ372" s="219"/>
      <c r="BK372" s="219"/>
      <c r="BL372" s="219"/>
      <c r="BM372" s="219"/>
      <c r="BN372" s="219"/>
    </row>
    <row r="373" ht="29.25" hidden="1" customHeight="1">
      <c r="A373" s="216"/>
      <c r="B373" s="217"/>
      <c r="C373" s="164"/>
      <c r="D373" s="164"/>
      <c r="E373" s="165"/>
      <c r="F373" s="173"/>
      <c r="G373" s="168"/>
      <c r="H373" s="168"/>
      <c r="I373" s="169"/>
      <c r="J373" s="170"/>
      <c r="K373" s="170"/>
      <c r="L373" s="170"/>
      <c r="M373" s="167"/>
      <c r="N373" s="169"/>
      <c r="O373" s="171"/>
      <c r="P373" s="106"/>
      <c r="Q373" s="218"/>
      <c r="R373" s="172"/>
      <c r="S373" s="172"/>
      <c r="T373" s="173"/>
      <c r="U373" s="219"/>
      <c r="V373" s="219"/>
      <c r="W373" s="219"/>
      <c r="X373" s="219"/>
      <c r="Y373" s="219"/>
      <c r="Z373" s="219"/>
      <c r="AA373" s="219"/>
      <c r="AB373" s="219"/>
      <c r="AC373" s="219"/>
      <c r="AD373" s="219"/>
      <c r="AE373" s="219"/>
      <c r="AF373" s="219"/>
      <c r="AG373" s="219"/>
      <c r="AH373" s="219"/>
      <c r="AI373" s="219"/>
      <c r="AJ373" s="219"/>
      <c r="AK373" s="219"/>
      <c r="AL373" s="219"/>
      <c r="AM373" s="219"/>
      <c r="AN373" s="219"/>
      <c r="AO373" s="219"/>
      <c r="AP373" s="219"/>
      <c r="AQ373" s="219"/>
      <c r="AR373" s="219"/>
      <c r="AS373" s="219"/>
      <c r="AT373" s="219"/>
      <c r="AU373" s="219"/>
      <c r="AV373" s="219"/>
      <c r="AW373" s="219"/>
      <c r="AX373" s="219"/>
      <c r="AY373" s="219"/>
      <c r="AZ373" s="219"/>
      <c r="BA373" s="219"/>
      <c r="BB373" s="219"/>
      <c r="BC373" s="219"/>
      <c r="BD373" s="219"/>
      <c r="BE373" s="219"/>
      <c r="BF373" s="219"/>
      <c r="BG373" s="219"/>
      <c r="BH373" s="219"/>
      <c r="BI373" s="219"/>
      <c r="BJ373" s="219"/>
      <c r="BK373" s="219"/>
      <c r="BL373" s="219"/>
      <c r="BM373" s="219"/>
      <c r="BN373" s="219"/>
    </row>
    <row r="374" ht="29.25" hidden="1" customHeight="1">
      <c r="A374" s="216"/>
      <c r="B374" s="217"/>
      <c r="C374" s="164"/>
      <c r="D374" s="164"/>
      <c r="E374" s="165"/>
      <c r="F374" s="173"/>
      <c r="G374" s="168"/>
      <c r="H374" s="168"/>
      <c r="I374" s="169"/>
      <c r="J374" s="170"/>
      <c r="K374" s="170"/>
      <c r="L374" s="170"/>
      <c r="M374" s="167"/>
      <c r="N374" s="169"/>
      <c r="O374" s="171"/>
      <c r="P374" s="106"/>
      <c r="Q374" s="218"/>
      <c r="R374" s="172"/>
      <c r="S374" s="172"/>
      <c r="T374" s="173"/>
      <c r="U374" s="219"/>
      <c r="V374" s="219"/>
      <c r="W374" s="219"/>
      <c r="X374" s="219"/>
      <c r="Y374" s="219"/>
      <c r="Z374" s="219"/>
      <c r="AA374" s="219"/>
      <c r="AB374" s="219"/>
      <c r="AC374" s="219"/>
      <c r="AD374" s="219"/>
      <c r="AE374" s="219"/>
      <c r="AF374" s="219"/>
      <c r="AG374" s="219"/>
      <c r="AH374" s="219"/>
      <c r="AI374" s="219"/>
      <c r="AJ374" s="219"/>
      <c r="AK374" s="219"/>
      <c r="AL374" s="219"/>
      <c r="AM374" s="219"/>
      <c r="AN374" s="219"/>
      <c r="AO374" s="219"/>
      <c r="AP374" s="219"/>
      <c r="AQ374" s="219"/>
      <c r="AR374" s="219"/>
      <c r="AS374" s="219"/>
      <c r="AT374" s="219"/>
      <c r="AU374" s="219"/>
      <c r="AV374" s="219"/>
      <c r="AW374" s="219"/>
      <c r="AX374" s="219"/>
      <c r="AY374" s="219"/>
      <c r="AZ374" s="219"/>
      <c r="BA374" s="219"/>
      <c r="BB374" s="219"/>
      <c r="BC374" s="219"/>
      <c r="BD374" s="219"/>
      <c r="BE374" s="219"/>
      <c r="BF374" s="219"/>
      <c r="BG374" s="219"/>
      <c r="BH374" s="219"/>
      <c r="BI374" s="219"/>
      <c r="BJ374" s="219"/>
      <c r="BK374" s="219"/>
      <c r="BL374" s="219"/>
      <c r="BM374" s="219"/>
      <c r="BN374" s="219"/>
    </row>
    <row r="375" ht="29.25" hidden="1" customHeight="1">
      <c r="A375" s="216"/>
      <c r="B375" s="217"/>
      <c r="C375" s="164"/>
      <c r="D375" s="164"/>
      <c r="E375" s="165"/>
      <c r="F375" s="173"/>
      <c r="G375" s="168"/>
      <c r="H375" s="168"/>
      <c r="I375" s="169"/>
      <c r="J375" s="170"/>
      <c r="K375" s="170"/>
      <c r="L375" s="170"/>
      <c r="M375" s="167"/>
      <c r="N375" s="169"/>
      <c r="O375" s="171"/>
      <c r="P375" s="106"/>
      <c r="Q375" s="218"/>
      <c r="R375" s="172"/>
      <c r="S375" s="172"/>
      <c r="T375" s="173"/>
      <c r="U375" s="219"/>
      <c r="V375" s="219"/>
      <c r="W375" s="219"/>
      <c r="X375" s="219"/>
      <c r="Y375" s="219"/>
      <c r="Z375" s="219"/>
      <c r="AA375" s="219"/>
      <c r="AB375" s="219"/>
      <c r="AC375" s="219"/>
      <c r="AD375" s="219"/>
      <c r="AE375" s="219"/>
      <c r="AF375" s="219"/>
      <c r="AG375" s="219"/>
      <c r="AH375" s="219"/>
      <c r="AI375" s="219"/>
      <c r="AJ375" s="219"/>
      <c r="AK375" s="219"/>
      <c r="AL375" s="219"/>
      <c r="AM375" s="219"/>
      <c r="AN375" s="219"/>
      <c r="AO375" s="219"/>
      <c r="AP375" s="219"/>
      <c r="AQ375" s="219"/>
      <c r="AR375" s="219"/>
      <c r="AS375" s="219"/>
      <c r="AT375" s="219"/>
      <c r="AU375" s="219"/>
      <c r="AV375" s="219"/>
      <c r="AW375" s="219"/>
      <c r="AX375" s="219"/>
      <c r="AY375" s="219"/>
      <c r="AZ375" s="219"/>
      <c r="BA375" s="219"/>
      <c r="BB375" s="219"/>
      <c r="BC375" s="219"/>
      <c r="BD375" s="219"/>
      <c r="BE375" s="219"/>
      <c r="BF375" s="219"/>
      <c r="BG375" s="219"/>
      <c r="BH375" s="219"/>
      <c r="BI375" s="219"/>
      <c r="BJ375" s="219"/>
      <c r="BK375" s="219"/>
      <c r="BL375" s="219"/>
      <c r="BM375" s="219"/>
      <c r="BN375" s="219"/>
    </row>
    <row r="376" ht="29.25" hidden="1" customHeight="1">
      <c r="A376" s="216"/>
      <c r="B376" s="217"/>
      <c r="C376" s="164"/>
      <c r="D376" s="164"/>
      <c r="E376" s="165"/>
      <c r="F376" s="173"/>
      <c r="G376" s="168"/>
      <c r="H376" s="168"/>
      <c r="I376" s="169"/>
      <c r="J376" s="170"/>
      <c r="K376" s="170"/>
      <c r="L376" s="170"/>
      <c r="M376" s="167"/>
      <c r="N376" s="169"/>
      <c r="O376" s="171"/>
      <c r="P376" s="106"/>
      <c r="Q376" s="218"/>
      <c r="R376" s="172"/>
      <c r="S376" s="172"/>
      <c r="T376" s="173"/>
      <c r="U376" s="219"/>
      <c r="V376" s="219"/>
      <c r="W376" s="219"/>
      <c r="X376" s="219"/>
      <c r="Y376" s="219"/>
      <c r="Z376" s="219"/>
      <c r="AA376" s="219"/>
      <c r="AB376" s="219"/>
      <c r="AC376" s="219"/>
      <c r="AD376" s="219"/>
      <c r="AE376" s="219"/>
      <c r="AF376" s="219"/>
      <c r="AG376" s="219"/>
      <c r="AH376" s="219"/>
      <c r="AI376" s="219"/>
      <c r="AJ376" s="219"/>
      <c r="AK376" s="219"/>
      <c r="AL376" s="219"/>
      <c r="AM376" s="219"/>
      <c r="AN376" s="219"/>
      <c r="AO376" s="219"/>
      <c r="AP376" s="219"/>
      <c r="AQ376" s="219"/>
      <c r="AR376" s="219"/>
      <c r="AS376" s="219"/>
      <c r="AT376" s="219"/>
      <c r="AU376" s="219"/>
      <c r="AV376" s="219"/>
      <c r="AW376" s="219"/>
      <c r="AX376" s="219"/>
      <c r="AY376" s="219"/>
      <c r="AZ376" s="219"/>
      <c r="BA376" s="219"/>
      <c r="BB376" s="219"/>
      <c r="BC376" s="219"/>
      <c r="BD376" s="219"/>
      <c r="BE376" s="219"/>
      <c r="BF376" s="219"/>
      <c r="BG376" s="219"/>
      <c r="BH376" s="219"/>
      <c r="BI376" s="219"/>
      <c r="BJ376" s="219"/>
      <c r="BK376" s="219"/>
      <c r="BL376" s="219"/>
      <c r="BM376" s="219"/>
      <c r="BN376" s="219"/>
    </row>
    <row r="377" ht="29.25" hidden="1" customHeight="1">
      <c r="A377" s="216"/>
      <c r="B377" s="217"/>
      <c r="C377" s="164"/>
      <c r="D377" s="164"/>
      <c r="E377" s="165"/>
      <c r="F377" s="173"/>
      <c r="G377" s="168"/>
      <c r="H377" s="168"/>
      <c r="I377" s="169"/>
      <c r="J377" s="170"/>
      <c r="K377" s="170"/>
      <c r="L377" s="170"/>
      <c r="M377" s="167"/>
      <c r="N377" s="169"/>
      <c r="O377" s="171"/>
      <c r="P377" s="106"/>
      <c r="Q377" s="218"/>
      <c r="R377" s="172"/>
      <c r="S377" s="172"/>
      <c r="T377" s="173"/>
      <c r="U377" s="219"/>
      <c r="V377" s="219"/>
      <c r="W377" s="219"/>
      <c r="X377" s="219"/>
      <c r="Y377" s="219"/>
      <c r="Z377" s="219"/>
      <c r="AA377" s="219"/>
      <c r="AB377" s="219"/>
      <c r="AC377" s="219"/>
      <c r="AD377" s="219"/>
      <c r="AE377" s="219"/>
      <c r="AF377" s="219"/>
      <c r="AG377" s="219"/>
      <c r="AH377" s="219"/>
      <c r="AI377" s="219"/>
      <c r="AJ377" s="219"/>
      <c r="AK377" s="219"/>
      <c r="AL377" s="219"/>
      <c r="AM377" s="219"/>
      <c r="AN377" s="219"/>
      <c r="AO377" s="219"/>
      <c r="AP377" s="219"/>
      <c r="AQ377" s="219"/>
      <c r="AR377" s="219"/>
      <c r="AS377" s="219"/>
      <c r="AT377" s="219"/>
      <c r="AU377" s="219"/>
      <c r="AV377" s="219"/>
      <c r="AW377" s="219"/>
      <c r="AX377" s="219"/>
      <c r="AY377" s="219"/>
      <c r="AZ377" s="219"/>
      <c r="BA377" s="219"/>
      <c r="BB377" s="219"/>
      <c r="BC377" s="219"/>
      <c r="BD377" s="219"/>
      <c r="BE377" s="219"/>
      <c r="BF377" s="219"/>
      <c r="BG377" s="219"/>
      <c r="BH377" s="219"/>
      <c r="BI377" s="219"/>
      <c r="BJ377" s="219"/>
      <c r="BK377" s="219"/>
      <c r="BL377" s="219"/>
      <c r="BM377" s="219"/>
      <c r="BN377" s="219"/>
    </row>
    <row r="378" ht="29.25" hidden="1" customHeight="1">
      <c r="A378" s="216"/>
      <c r="B378" s="217"/>
      <c r="C378" s="164"/>
      <c r="D378" s="164"/>
      <c r="E378" s="165"/>
      <c r="F378" s="173"/>
      <c r="G378" s="168"/>
      <c r="H378" s="168"/>
      <c r="I378" s="169"/>
      <c r="J378" s="170"/>
      <c r="K378" s="170"/>
      <c r="L378" s="170"/>
      <c r="M378" s="167"/>
      <c r="N378" s="169"/>
      <c r="O378" s="171"/>
      <c r="P378" s="106"/>
      <c r="Q378" s="218"/>
      <c r="R378" s="172"/>
      <c r="S378" s="172"/>
      <c r="T378" s="173"/>
      <c r="U378" s="219"/>
      <c r="V378" s="219"/>
      <c r="W378" s="219"/>
      <c r="X378" s="219"/>
      <c r="Y378" s="219"/>
      <c r="Z378" s="219"/>
      <c r="AA378" s="219"/>
      <c r="AB378" s="219"/>
      <c r="AC378" s="219"/>
      <c r="AD378" s="219"/>
      <c r="AE378" s="219"/>
      <c r="AF378" s="219"/>
      <c r="AG378" s="219"/>
      <c r="AH378" s="219"/>
      <c r="AI378" s="219"/>
      <c r="AJ378" s="219"/>
      <c r="AK378" s="219"/>
      <c r="AL378" s="219"/>
      <c r="AM378" s="219"/>
      <c r="AN378" s="219"/>
      <c r="AO378" s="219"/>
      <c r="AP378" s="219"/>
      <c r="AQ378" s="219"/>
      <c r="AR378" s="219"/>
      <c r="AS378" s="219"/>
      <c r="AT378" s="219"/>
      <c r="AU378" s="219"/>
      <c r="AV378" s="219"/>
      <c r="AW378" s="219"/>
      <c r="AX378" s="219"/>
      <c r="AY378" s="219"/>
      <c r="AZ378" s="219"/>
      <c r="BA378" s="219"/>
      <c r="BB378" s="219"/>
      <c r="BC378" s="219"/>
      <c r="BD378" s="219"/>
      <c r="BE378" s="219"/>
      <c r="BF378" s="219"/>
      <c r="BG378" s="219"/>
      <c r="BH378" s="219"/>
      <c r="BI378" s="219"/>
      <c r="BJ378" s="219"/>
      <c r="BK378" s="219"/>
      <c r="BL378" s="219"/>
      <c r="BM378" s="219"/>
      <c r="BN378" s="219"/>
    </row>
    <row r="379" ht="29.25" hidden="1" customHeight="1">
      <c r="A379" s="216"/>
      <c r="B379" s="217"/>
      <c r="C379" s="164"/>
      <c r="D379" s="164"/>
      <c r="E379" s="165"/>
      <c r="F379" s="173"/>
      <c r="G379" s="168"/>
      <c r="H379" s="168"/>
      <c r="I379" s="169"/>
      <c r="J379" s="170"/>
      <c r="K379" s="170"/>
      <c r="L379" s="170"/>
      <c r="M379" s="167"/>
      <c r="N379" s="169"/>
      <c r="O379" s="171"/>
      <c r="P379" s="106"/>
      <c r="Q379" s="218"/>
      <c r="R379" s="172"/>
      <c r="S379" s="172"/>
      <c r="T379" s="173"/>
      <c r="U379" s="219"/>
      <c r="V379" s="219"/>
      <c r="W379" s="219"/>
      <c r="X379" s="219"/>
      <c r="Y379" s="219"/>
      <c r="Z379" s="219"/>
      <c r="AA379" s="219"/>
      <c r="AB379" s="219"/>
      <c r="AC379" s="219"/>
      <c r="AD379" s="219"/>
      <c r="AE379" s="219"/>
      <c r="AF379" s="219"/>
      <c r="AG379" s="219"/>
      <c r="AH379" s="219"/>
      <c r="AI379" s="219"/>
      <c r="AJ379" s="219"/>
      <c r="AK379" s="219"/>
      <c r="AL379" s="219"/>
      <c r="AM379" s="219"/>
      <c r="AN379" s="219"/>
      <c r="AO379" s="219"/>
      <c r="AP379" s="219"/>
      <c r="AQ379" s="219"/>
      <c r="AR379" s="219"/>
      <c r="AS379" s="219"/>
      <c r="AT379" s="219"/>
      <c r="AU379" s="219"/>
      <c r="AV379" s="219"/>
      <c r="AW379" s="219"/>
      <c r="AX379" s="219"/>
      <c r="AY379" s="219"/>
      <c r="AZ379" s="219"/>
      <c r="BA379" s="219"/>
      <c r="BB379" s="219"/>
      <c r="BC379" s="219"/>
      <c r="BD379" s="219"/>
      <c r="BE379" s="219"/>
      <c r="BF379" s="219"/>
      <c r="BG379" s="219"/>
      <c r="BH379" s="219"/>
      <c r="BI379" s="219"/>
      <c r="BJ379" s="219"/>
      <c r="BK379" s="219"/>
      <c r="BL379" s="219"/>
      <c r="BM379" s="219"/>
      <c r="BN379" s="219"/>
    </row>
    <row r="380" ht="29.25" hidden="1" customHeight="1">
      <c r="A380" s="216"/>
      <c r="B380" s="217"/>
      <c r="C380" s="164"/>
      <c r="D380" s="164"/>
      <c r="E380" s="165"/>
      <c r="F380" s="173"/>
      <c r="G380" s="168"/>
      <c r="H380" s="168"/>
      <c r="I380" s="169"/>
      <c r="J380" s="170"/>
      <c r="K380" s="170"/>
      <c r="L380" s="170"/>
      <c r="M380" s="167"/>
      <c r="N380" s="169"/>
      <c r="O380" s="171"/>
      <c r="P380" s="106"/>
      <c r="Q380" s="218"/>
      <c r="R380" s="172"/>
      <c r="S380" s="172"/>
      <c r="T380" s="173"/>
      <c r="U380" s="219"/>
      <c r="V380" s="219"/>
      <c r="W380" s="219"/>
      <c r="X380" s="219"/>
      <c r="Y380" s="219"/>
      <c r="Z380" s="219"/>
      <c r="AA380" s="219"/>
      <c r="AB380" s="219"/>
      <c r="AC380" s="219"/>
      <c r="AD380" s="219"/>
      <c r="AE380" s="219"/>
      <c r="AF380" s="219"/>
      <c r="AG380" s="219"/>
      <c r="AH380" s="219"/>
      <c r="AI380" s="219"/>
      <c r="AJ380" s="219"/>
      <c r="AK380" s="219"/>
      <c r="AL380" s="219"/>
      <c r="AM380" s="219"/>
      <c r="AN380" s="219"/>
      <c r="AO380" s="219"/>
      <c r="AP380" s="219"/>
      <c r="AQ380" s="219"/>
      <c r="AR380" s="219"/>
      <c r="AS380" s="219"/>
      <c r="AT380" s="219"/>
      <c r="AU380" s="219"/>
      <c r="AV380" s="219"/>
      <c r="AW380" s="219"/>
      <c r="AX380" s="219"/>
      <c r="AY380" s="219"/>
      <c r="AZ380" s="219"/>
      <c r="BA380" s="219"/>
      <c r="BB380" s="219"/>
      <c r="BC380" s="219"/>
      <c r="BD380" s="219"/>
      <c r="BE380" s="219"/>
      <c r="BF380" s="219"/>
      <c r="BG380" s="219"/>
      <c r="BH380" s="219"/>
      <c r="BI380" s="219"/>
      <c r="BJ380" s="219"/>
      <c r="BK380" s="219"/>
      <c r="BL380" s="219"/>
      <c r="BM380" s="219"/>
      <c r="BN380" s="219"/>
    </row>
    <row r="381" ht="29.25" hidden="1" customHeight="1">
      <c r="A381" s="216"/>
      <c r="B381" s="217"/>
      <c r="C381" s="164"/>
      <c r="D381" s="164"/>
      <c r="E381" s="165"/>
      <c r="F381" s="173"/>
      <c r="G381" s="168"/>
      <c r="H381" s="168"/>
      <c r="I381" s="169"/>
      <c r="J381" s="170"/>
      <c r="K381" s="170"/>
      <c r="L381" s="170"/>
      <c r="M381" s="167"/>
      <c r="N381" s="169"/>
      <c r="O381" s="171"/>
      <c r="P381" s="106"/>
      <c r="Q381" s="218"/>
      <c r="R381" s="172"/>
      <c r="S381" s="172"/>
      <c r="T381" s="173"/>
      <c r="U381" s="219"/>
      <c r="V381" s="219"/>
      <c r="W381" s="219"/>
      <c r="X381" s="219"/>
      <c r="Y381" s="219"/>
      <c r="Z381" s="219"/>
      <c r="AA381" s="219"/>
      <c r="AB381" s="219"/>
      <c r="AC381" s="219"/>
      <c r="AD381" s="219"/>
      <c r="AE381" s="219"/>
      <c r="AF381" s="219"/>
      <c r="AG381" s="219"/>
      <c r="AH381" s="219"/>
      <c r="AI381" s="219"/>
      <c r="AJ381" s="219"/>
      <c r="AK381" s="219"/>
      <c r="AL381" s="219"/>
      <c r="AM381" s="219"/>
      <c r="AN381" s="219"/>
      <c r="AO381" s="219"/>
      <c r="AP381" s="219"/>
      <c r="AQ381" s="219"/>
      <c r="AR381" s="219"/>
      <c r="AS381" s="219"/>
      <c r="AT381" s="219"/>
      <c r="AU381" s="219"/>
      <c r="AV381" s="219"/>
      <c r="AW381" s="219"/>
      <c r="AX381" s="219"/>
      <c r="AY381" s="219"/>
      <c r="AZ381" s="219"/>
      <c r="BA381" s="219"/>
      <c r="BB381" s="219"/>
      <c r="BC381" s="219"/>
      <c r="BD381" s="219"/>
      <c r="BE381" s="219"/>
      <c r="BF381" s="219"/>
      <c r="BG381" s="219"/>
      <c r="BH381" s="219"/>
      <c r="BI381" s="219"/>
      <c r="BJ381" s="219"/>
      <c r="BK381" s="219"/>
      <c r="BL381" s="219"/>
      <c r="BM381" s="219"/>
      <c r="BN381" s="219"/>
    </row>
    <row r="382" ht="29.25" hidden="1" customHeight="1">
      <c r="A382" s="216"/>
      <c r="B382" s="217"/>
      <c r="C382" s="164"/>
      <c r="D382" s="164"/>
      <c r="E382" s="165"/>
      <c r="F382" s="173"/>
      <c r="G382" s="168"/>
      <c r="H382" s="168"/>
      <c r="I382" s="169"/>
      <c r="J382" s="170"/>
      <c r="K382" s="170"/>
      <c r="L382" s="170"/>
      <c r="M382" s="167"/>
      <c r="N382" s="169"/>
      <c r="O382" s="171"/>
      <c r="P382" s="106"/>
      <c r="Q382" s="218"/>
      <c r="R382" s="172"/>
      <c r="S382" s="172"/>
      <c r="T382" s="173"/>
      <c r="U382" s="219"/>
      <c r="V382" s="219"/>
      <c r="W382" s="219"/>
      <c r="X382" s="219"/>
      <c r="Y382" s="219"/>
      <c r="Z382" s="219"/>
      <c r="AA382" s="219"/>
      <c r="AB382" s="219"/>
      <c r="AC382" s="219"/>
      <c r="AD382" s="219"/>
      <c r="AE382" s="219"/>
      <c r="AF382" s="219"/>
      <c r="AG382" s="219"/>
      <c r="AH382" s="219"/>
      <c r="AI382" s="219"/>
      <c r="AJ382" s="219"/>
      <c r="AK382" s="219"/>
      <c r="AL382" s="219"/>
      <c r="AM382" s="219"/>
      <c r="AN382" s="219"/>
      <c r="AO382" s="219"/>
      <c r="AP382" s="219"/>
      <c r="AQ382" s="219"/>
      <c r="AR382" s="219"/>
      <c r="AS382" s="219"/>
      <c r="AT382" s="219"/>
      <c r="AU382" s="219"/>
      <c r="AV382" s="219"/>
      <c r="AW382" s="219"/>
      <c r="AX382" s="219"/>
      <c r="AY382" s="219"/>
      <c r="AZ382" s="219"/>
      <c r="BA382" s="219"/>
      <c r="BB382" s="219"/>
      <c r="BC382" s="219"/>
      <c r="BD382" s="219"/>
      <c r="BE382" s="219"/>
      <c r="BF382" s="219"/>
      <c r="BG382" s="219"/>
      <c r="BH382" s="219"/>
      <c r="BI382" s="219"/>
      <c r="BJ382" s="219"/>
      <c r="BK382" s="219"/>
      <c r="BL382" s="219"/>
      <c r="BM382" s="219"/>
      <c r="BN382" s="219"/>
    </row>
    <row r="383" ht="29.25" hidden="1" customHeight="1">
      <c r="A383" s="216"/>
      <c r="B383" s="217"/>
      <c r="C383" s="164"/>
      <c r="D383" s="164"/>
      <c r="E383" s="165"/>
      <c r="F383" s="173"/>
      <c r="G383" s="168"/>
      <c r="H383" s="168"/>
      <c r="I383" s="169"/>
      <c r="J383" s="170"/>
      <c r="K383" s="170"/>
      <c r="L383" s="170"/>
      <c r="M383" s="167"/>
      <c r="N383" s="169"/>
      <c r="O383" s="171"/>
      <c r="P383" s="106"/>
      <c r="Q383" s="218"/>
      <c r="R383" s="172"/>
      <c r="S383" s="172"/>
      <c r="T383" s="173"/>
      <c r="U383" s="219"/>
      <c r="V383" s="219"/>
      <c r="W383" s="219"/>
      <c r="X383" s="219"/>
      <c r="Y383" s="219"/>
      <c r="Z383" s="219"/>
      <c r="AA383" s="219"/>
      <c r="AB383" s="219"/>
      <c r="AC383" s="219"/>
      <c r="AD383" s="219"/>
      <c r="AE383" s="219"/>
      <c r="AF383" s="219"/>
      <c r="AG383" s="219"/>
      <c r="AH383" s="219"/>
      <c r="AI383" s="219"/>
      <c r="AJ383" s="219"/>
      <c r="AK383" s="219"/>
      <c r="AL383" s="219"/>
      <c r="AM383" s="219"/>
      <c r="AN383" s="219"/>
      <c r="AO383" s="219"/>
      <c r="AP383" s="219"/>
      <c r="AQ383" s="219"/>
      <c r="AR383" s="219"/>
      <c r="AS383" s="219"/>
      <c r="AT383" s="219"/>
      <c r="AU383" s="219"/>
      <c r="AV383" s="219"/>
      <c r="AW383" s="219"/>
      <c r="AX383" s="219"/>
      <c r="AY383" s="219"/>
      <c r="AZ383" s="219"/>
      <c r="BA383" s="219"/>
      <c r="BB383" s="219"/>
      <c r="BC383" s="219"/>
      <c r="BD383" s="219"/>
      <c r="BE383" s="219"/>
      <c r="BF383" s="219"/>
      <c r="BG383" s="219"/>
      <c r="BH383" s="219"/>
      <c r="BI383" s="219"/>
      <c r="BJ383" s="219"/>
      <c r="BK383" s="219"/>
      <c r="BL383" s="219"/>
      <c r="BM383" s="219"/>
      <c r="BN383" s="219"/>
    </row>
    <row r="384" ht="29.25" hidden="1" customHeight="1">
      <c r="A384" s="216"/>
      <c r="B384" s="217"/>
      <c r="C384" s="164"/>
      <c r="D384" s="164"/>
      <c r="E384" s="165"/>
      <c r="F384" s="173"/>
      <c r="G384" s="168"/>
      <c r="H384" s="168"/>
      <c r="I384" s="169"/>
      <c r="J384" s="170"/>
      <c r="K384" s="170"/>
      <c r="L384" s="170"/>
      <c r="M384" s="167"/>
      <c r="N384" s="169"/>
      <c r="O384" s="171"/>
      <c r="P384" s="106"/>
      <c r="Q384" s="218"/>
      <c r="R384" s="172"/>
      <c r="S384" s="172"/>
      <c r="T384" s="173"/>
      <c r="U384" s="219"/>
      <c r="V384" s="219"/>
      <c r="W384" s="219"/>
      <c r="X384" s="219"/>
      <c r="Y384" s="219"/>
      <c r="Z384" s="219"/>
      <c r="AA384" s="219"/>
      <c r="AB384" s="219"/>
      <c r="AC384" s="219"/>
      <c r="AD384" s="219"/>
      <c r="AE384" s="219"/>
      <c r="AF384" s="219"/>
      <c r="AG384" s="219"/>
      <c r="AH384" s="219"/>
      <c r="AI384" s="219"/>
      <c r="AJ384" s="219"/>
      <c r="AK384" s="219"/>
      <c r="AL384" s="219"/>
      <c r="AM384" s="219"/>
      <c r="AN384" s="219"/>
      <c r="AO384" s="219"/>
      <c r="AP384" s="219"/>
      <c r="AQ384" s="219"/>
      <c r="AR384" s="219"/>
      <c r="AS384" s="219"/>
      <c r="AT384" s="219"/>
      <c r="AU384" s="219"/>
      <c r="AV384" s="219"/>
      <c r="AW384" s="219"/>
      <c r="AX384" s="219"/>
      <c r="AY384" s="219"/>
      <c r="AZ384" s="219"/>
      <c r="BA384" s="219"/>
      <c r="BB384" s="219"/>
      <c r="BC384" s="219"/>
      <c r="BD384" s="219"/>
      <c r="BE384" s="219"/>
      <c r="BF384" s="219"/>
      <c r="BG384" s="219"/>
      <c r="BH384" s="219"/>
      <c r="BI384" s="219"/>
      <c r="BJ384" s="219"/>
      <c r="BK384" s="219"/>
      <c r="BL384" s="219"/>
      <c r="BM384" s="219"/>
      <c r="BN384" s="219"/>
    </row>
    <row r="385" ht="29.25" hidden="1" customHeight="1">
      <c r="A385" s="216"/>
      <c r="B385" s="217"/>
      <c r="C385" s="164"/>
      <c r="D385" s="164"/>
      <c r="E385" s="165"/>
      <c r="F385" s="173"/>
      <c r="G385" s="168"/>
      <c r="H385" s="168"/>
      <c r="I385" s="169"/>
      <c r="J385" s="170"/>
      <c r="K385" s="170"/>
      <c r="L385" s="170"/>
      <c r="M385" s="167"/>
      <c r="N385" s="169"/>
      <c r="O385" s="171"/>
      <c r="P385" s="106"/>
      <c r="Q385" s="218"/>
      <c r="R385" s="172"/>
      <c r="S385" s="172"/>
      <c r="T385" s="173"/>
      <c r="U385" s="219"/>
      <c r="V385" s="219"/>
      <c r="W385" s="219"/>
      <c r="X385" s="219"/>
      <c r="Y385" s="219"/>
      <c r="Z385" s="219"/>
      <c r="AA385" s="219"/>
      <c r="AB385" s="219"/>
      <c r="AC385" s="219"/>
      <c r="AD385" s="219"/>
      <c r="AE385" s="219"/>
      <c r="AF385" s="219"/>
      <c r="AG385" s="219"/>
      <c r="AH385" s="219"/>
      <c r="AI385" s="219"/>
      <c r="AJ385" s="219"/>
      <c r="AK385" s="219"/>
      <c r="AL385" s="219"/>
      <c r="AM385" s="219"/>
      <c r="AN385" s="219"/>
      <c r="AO385" s="219"/>
      <c r="AP385" s="219"/>
      <c r="AQ385" s="219"/>
      <c r="AR385" s="219"/>
      <c r="AS385" s="219"/>
      <c r="AT385" s="219"/>
      <c r="AU385" s="219"/>
      <c r="AV385" s="219"/>
      <c r="AW385" s="219"/>
      <c r="AX385" s="219"/>
      <c r="AY385" s="219"/>
      <c r="AZ385" s="219"/>
      <c r="BA385" s="219"/>
      <c r="BB385" s="219"/>
      <c r="BC385" s="219"/>
      <c r="BD385" s="219"/>
      <c r="BE385" s="219"/>
      <c r="BF385" s="219"/>
      <c r="BG385" s="219"/>
      <c r="BH385" s="219"/>
      <c r="BI385" s="219"/>
      <c r="BJ385" s="219"/>
      <c r="BK385" s="219"/>
      <c r="BL385" s="219"/>
      <c r="BM385" s="219"/>
      <c r="BN385" s="219"/>
    </row>
    <row r="386" ht="29.25" hidden="1" customHeight="1">
      <c r="A386" s="216"/>
      <c r="B386" s="217"/>
      <c r="C386" s="164"/>
      <c r="D386" s="164"/>
      <c r="E386" s="165"/>
      <c r="F386" s="173"/>
      <c r="G386" s="168"/>
      <c r="H386" s="168"/>
      <c r="I386" s="169"/>
      <c r="J386" s="170"/>
      <c r="K386" s="170"/>
      <c r="L386" s="170"/>
      <c r="M386" s="167"/>
      <c r="N386" s="169"/>
      <c r="O386" s="171"/>
      <c r="P386" s="106"/>
      <c r="Q386" s="218"/>
      <c r="R386" s="172"/>
      <c r="S386" s="172"/>
      <c r="T386" s="173"/>
      <c r="U386" s="219"/>
      <c r="V386" s="219"/>
      <c r="W386" s="219"/>
      <c r="X386" s="219"/>
      <c r="Y386" s="219"/>
      <c r="Z386" s="219"/>
      <c r="AA386" s="219"/>
      <c r="AB386" s="219"/>
      <c r="AC386" s="219"/>
      <c r="AD386" s="219"/>
      <c r="AE386" s="219"/>
      <c r="AF386" s="219"/>
      <c r="AG386" s="219"/>
      <c r="AH386" s="219"/>
      <c r="AI386" s="219"/>
      <c r="AJ386" s="219"/>
      <c r="AK386" s="219"/>
      <c r="AL386" s="219"/>
      <c r="AM386" s="219"/>
      <c r="AN386" s="219"/>
      <c r="AO386" s="219"/>
      <c r="AP386" s="219"/>
      <c r="AQ386" s="219"/>
      <c r="AR386" s="219"/>
      <c r="AS386" s="219"/>
      <c r="AT386" s="219"/>
      <c r="AU386" s="219"/>
      <c r="AV386" s="219"/>
      <c r="AW386" s="219"/>
      <c r="AX386" s="219"/>
      <c r="AY386" s="219"/>
      <c r="AZ386" s="219"/>
      <c r="BA386" s="219"/>
      <c r="BB386" s="219"/>
      <c r="BC386" s="219"/>
      <c r="BD386" s="219"/>
      <c r="BE386" s="219"/>
      <c r="BF386" s="219"/>
      <c r="BG386" s="219"/>
      <c r="BH386" s="219"/>
      <c r="BI386" s="219"/>
      <c r="BJ386" s="219"/>
      <c r="BK386" s="219"/>
      <c r="BL386" s="219"/>
      <c r="BM386" s="219"/>
      <c r="BN386" s="219"/>
    </row>
    <row r="387" ht="29.25" hidden="1" customHeight="1">
      <c r="A387" s="216"/>
      <c r="B387" s="217"/>
      <c r="C387" s="164"/>
      <c r="D387" s="164"/>
      <c r="E387" s="165"/>
      <c r="F387" s="173"/>
      <c r="G387" s="168"/>
      <c r="H387" s="168"/>
      <c r="I387" s="169"/>
      <c r="J387" s="170"/>
      <c r="K387" s="170"/>
      <c r="L387" s="170"/>
      <c r="M387" s="167"/>
      <c r="N387" s="169"/>
      <c r="O387" s="171"/>
      <c r="P387" s="106"/>
      <c r="Q387" s="218"/>
      <c r="R387" s="172"/>
      <c r="S387" s="172"/>
      <c r="T387" s="173"/>
      <c r="U387" s="219"/>
      <c r="V387" s="219"/>
      <c r="W387" s="219"/>
      <c r="X387" s="219"/>
      <c r="Y387" s="219"/>
      <c r="Z387" s="219"/>
      <c r="AA387" s="219"/>
      <c r="AB387" s="219"/>
      <c r="AC387" s="219"/>
      <c r="AD387" s="219"/>
      <c r="AE387" s="219"/>
      <c r="AF387" s="219"/>
      <c r="AG387" s="219"/>
      <c r="AH387" s="219"/>
      <c r="AI387" s="219"/>
      <c r="AJ387" s="219"/>
      <c r="AK387" s="219"/>
      <c r="AL387" s="219"/>
      <c r="AM387" s="219"/>
      <c r="AN387" s="219"/>
      <c r="AO387" s="219"/>
      <c r="AP387" s="219"/>
      <c r="AQ387" s="219"/>
      <c r="AR387" s="219"/>
      <c r="AS387" s="219"/>
      <c r="AT387" s="219"/>
      <c r="AU387" s="219"/>
      <c r="AV387" s="219"/>
      <c r="AW387" s="219"/>
      <c r="AX387" s="219"/>
      <c r="AY387" s="219"/>
      <c r="AZ387" s="219"/>
      <c r="BA387" s="219"/>
      <c r="BB387" s="219"/>
      <c r="BC387" s="219"/>
      <c r="BD387" s="219"/>
      <c r="BE387" s="219"/>
      <c r="BF387" s="219"/>
      <c r="BG387" s="219"/>
      <c r="BH387" s="219"/>
      <c r="BI387" s="219"/>
      <c r="BJ387" s="219"/>
      <c r="BK387" s="219"/>
      <c r="BL387" s="219"/>
      <c r="BM387" s="219"/>
      <c r="BN387" s="219"/>
    </row>
    <row r="388" ht="29.25" hidden="1" customHeight="1">
      <c r="A388" s="216"/>
      <c r="B388" s="217"/>
      <c r="C388" s="164"/>
      <c r="D388" s="164"/>
      <c r="E388" s="165"/>
      <c r="F388" s="173"/>
      <c r="G388" s="168"/>
      <c r="H388" s="168"/>
      <c r="I388" s="169"/>
      <c r="J388" s="170"/>
      <c r="K388" s="170"/>
      <c r="L388" s="170"/>
      <c r="M388" s="167"/>
      <c r="N388" s="169"/>
      <c r="O388" s="171"/>
      <c r="P388" s="106"/>
      <c r="Q388" s="218"/>
      <c r="R388" s="172"/>
      <c r="S388" s="172"/>
      <c r="T388" s="173"/>
      <c r="U388" s="219"/>
      <c r="V388" s="219"/>
      <c r="W388" s="219"/>
      <c r="X388" s="219"/>
      <c r="Y388" s="219"/>
      <c r="Z388" s="219"/>
      <c r="AA388" s="219"/>
      <c r="AB388" s="219"/>
      <c r="AC388" s="219"/>
      <c r="AD388" s="219"/>
      <c r="AE388" s="219"/>
      <c r="AF388" s="219"/>
      <c r="AG388" s="219"/>
      <c r="AH388" s="219"/>
      <c r="AI388" s="219"/>
      <c r="AJ388" s="219"/>
      <c r="AK388" s="219"/>
      <c r="AL388" s="219"/>
      <c r="AM388" s="219"/>
      <c r="AN388" s="219"/>
      <c r="AO388" s="219"/>
      <c r="AP388" s="219"/>
      <c r="AQ388" s="219"/>
      <c r="AR388" s="219"/>
      <c r="AS388" s="219"/>
      <c r="AT388" s="219"/>
      <c r="AU388" s="219"/>
      <c r="AV388" s="219"/>
      <c r="AW388" s="219"/>
      <c r="AX388" s="219"/>
      <c r="AY388" s="219"/>
      <c r="AZ388" s="219"/>
      <c r="BA388" s="219"/>
      <c r="BB388" s="219"/>
      <c r="BC388" s="219"/>
      <c r="BD388" s="219"/>
      <c r="BE388" s="219"/>
      <c r="BF388" s="219"/>
      <c r="BG388" s="219"/>
      <c r="BH388" s="219"/>
      <c r="BI388" s="219"/>
      <c r="BJ388" s="219"/>
      <c r="BK388" s="219"/>
      <c r="BL388" s="219"/>
      <c r="BM388" s="219"/>
      <c r="BN388" s="219"/>
    </row>
    <row r="389" ht="29.25" hidden="1" customHeight="1">
      <c r="A389" s="216"/>
      <c r="B389" s="217"/>
      <c r="C389" s="164"/>
      <c r="D389" s="164"/>
      <c r="E389" s="165"/>
      <c r="F389" s="173"/>
      <c r="G389" s="168"/>
      <c r="H389" s="168"/>
      <c r="I389" s="169"/>
      <c r="J389" s="170"/>
      <c r="K389" s="170"/>
      <c r="L389" s="170"/>
      <c r="M389" s="167"/>
      <c r="N389" s="169"/>
      <c r="O389" s="171"/>
      <c r="P389" s="106"/>
      <c r="Q389" s="218"/>
      <c r="R389" s="172"/>
      <c r="S389" s="172"/>
      <c r="T389" s="173"/>
      <c r="U389" s="219"/>
      <c r="V389" s="219"/>
      <c r="W389" s="219"/>
      <c r="X389" s="219"/>
      <c r="Y389" s="219"/>
      <c r="Z389" s="219"/>
      <c r="AA389" s="219"/>
      <c r="AB389" s="219"/>
      <c r="AC389" s="219"/>
      <c r="AD389" s="219"/>
      <c r="AE389" s="219"/>
      <c r="AF389" s="219"/>
      <c r="AG389" s="219"/>
      <c r="AH389" s="219"/>
      <c r="AI389" s="219"/>
      <c r="AJ389" s="219"/>
      <c r="AK389" s="219"/>
      <c r="AL389" s="219"/>
      <c r="AM389" s="219"/>
      <c r="AN389" s="219"/>
      <c r="AO389" s="219"/>
      <c r="AP389" s="219"/>
      <c r="AQ389" s="219"/>
      <c r="AR389" s="219"/>
      <c r="AS389" s="219"/>
      <c r="AT389" s="219"/>
      <c r="AU389" s="219"/>
      <c r="AV389" s="219"/>
      <c r="AW389" s="219"/>
      <c r="AX389" s="219"/>
      <c r="AY389" s="219"/>
      <c r="AZ389" s="219"/>
      <c r="BA389" s="219"/>
      <c r="BB389" s="219"/>
      <c r="BC389" s="219"/>
      <c r="BD389" s="219"/>
      <c r="BE389" s="219"/>
      <c r="BF389" s="219"/>
      <c r="BG389" s="219"/>
      <c r="BH389" s="219"/>
      <c r="BI389" s="219"/>
      <c r="BJ389" s="219"/>
      <c r="BK389" s="219"/>
      <c r="BL389" s="219"/>
      <c r="BM389" s="219"/>
      <c r="BN389" s="219"/>
    </row>
    <row r="390" ht="29.25" hidden="1" customHeight="1">
      <c r="A390" s="216"/>
      <c r="B390" s="217"/>
      <c r="C390" s="164"/>
      <c r="D390" s="164"/>
      <c r="E390" s="165"/>
      <c r="F390" s="173"/>
      <c r="G390" s="168"/>
      <c r="H390" s="168"/>
      <c r="I390" s="169"/>
      <c r="J390" s="170"/>
      <c r="K390" s="170"/>
      <c r="L390" s="170"/>
      <c r="M390" s="167"/>
      <c r="N390" s="169"/>
      <c r="O390" s="171"/>
      <c r="P390" s="106"/>
      <c r="Q390" s="218"/>
      <c r="R390" s="172"/>
      <c r="S390" s="172"/>
      <c r="T390" s="173"/>
      <c r="U390" s="219"/>
      <c r="V390" s="219"/>
      <c r="W390" s="219"/>
      <c r="X390" s="219"/>
      <c r="Y390" s="219"/>
      <c r="Z390" s="219"/>
      <c r="AA390" s="219"/>
      <c r="AB390" s="219"/>
      <c r="AC390" s="219"/>
      <c r="AD390" s="219"/>
      <c r="AE390" s="219"/>
      <c r="AF390" s="219"/>
      <c r="AG390" s="219"/>
      <c r="AH390" s="219"/>
      <c r="AI390" s="219"/>
      <c r="AJ390" s="219"/>
      <c r="AK390" s="219"/>
      <c r="AL390" s="219"/>
      <c r="AM390" s="219"/>
      <c r="AN390" s="219"/>
      <c r="AO390" s="219"/>
      <c r="AP390" s="219"/>
      <c r="AQ390" s="219"/>
      <c r="AR390" s="219"/>
      <c r="AS390" s="219"/>
      <c r="AT390" s="219"/>
      <c r="AU390" s="219"/>
      <c r="AV390" s="219"/>
      <c r="AW390" s="219"/>
      <c r="AX390" s="219"/>
      <c r="AY390" s="219"/>
      <c r="AZ390" s="219"/>
      <c r="BA390" s="219"/>
      <c r="BB390" s="219"/>
      <c r="BC390" s="219"/>
      <c r="BD390" s="219"/>
      <c r="BE390" s="219"/>
      <c r="BF390" s="219"/>
      <c r="BG390" s="219"/>
      <c r="BH390" s="219"/>
      <c r="BI390" s="219"/>
      <c r="BJ390" s="219"/>
      <c r="BK390" s="219"/>
      <c r="BL390" s="219"/>
      <c r="BM390" s="219"/>
      <c r="BN390" s="219"/>
    </row>
    <row r="391" ht="29.25" hidden="1" customHeight="1">
      <c r="A391" s="216"/>
      <c r="B391" s="217"/>
      <c r="C391" s="164"/>
      <c r="D391" s="164"/>
      <c r="E391" s="165"/>
      <c r="F391" s="173"/>
      <c r="G391" s="168"/>
      <c r="H391" s="168"/>
      <c r="I391" s="169"/>
      <c r="J391" s="170"/>
      <c r="K391" s="170"/>
      <c r="L391" s="170"/>
      <c r="M391" s="167"/>
      <c r="N391" s="169"/>
      <c r="O391" s="171"/>
      <c r="P391" s="106"/>
      <c r="Q391" s="218"/>
      <c r="R391" s="172"/>
      <c r="S391" s="172"/>
      <c r="T391" s="173"/>
      <c r="U391" s="219"/>
      <c r="V391" s="219"/>
      <c r="W391" s="219"/>
      <c r="X391" s="219"/>
      <c r="Y391" s="219"/>
      <c r="Z391" s="219"/>
      <c r="AA391" s="219"/>
      <c r="AB391" s="219"/>
      <c r="AC391" s="219"/>
      <c r="AD391" s="219"/>
      <c r="AE391" s="219"/>
      <c r="AF391" s="219"/>
      <c r="AG391" s="219"/>
      <c r="AH391" s="219"/>
      <c r="AI391" s="219"/>
      <c r="AJ391" s="219"/>
      <c r="AK391" s="219"/>
      <c r="AL391" s="219"/>
      <c r="AM391" s="219"/>
      <c r="AN391" s="219"/>
      <c r="AO391" s="219"/>
      <c r="AP391" s="219"/>
      <c r="AQ391" s="219"/>
      <c r="AR391" s="219"/>
      <c r="AS391" s="219"/>
      <c r="AT391" s="219"/>
      <c r="AU391" s="219"/>
      <c r="AV391" s="219"/>
      <c r="AW391" s="219"/>
      <c r="AX391" s="219"/>
      <c r="AY391" s="219"/>
      <c r="AZ391" s="219"/>
      <c r="BA391" s="219"/>
      <c r="BB391" s="219"/>
      <c r="BC391" s="219"/>
      <c r="BD391" s="219"/>
      <c r="BE391" s="219"/>
      <c r="BF391" s="219"/>
      <c r="BG391" s="219"/>
      <c r="BH391" s="219"/>
      <c r="BI391" s="219"/>
      <c r="BJ391" s="219"/>
      <c r="BK391" s="219"/>
      <c r="BL391" s="219"/>
      <c r="BM391" s="219"/>
      <c r="BN391" s="219"/>
    </row>
    <row r="392" ht="29.25" hidden="1" customHeight="1">
      <c r="A392" s="216"/>
      <c r="B392" s="217"/>
      <c r="C392" s="164"/>
      <c r="D392" s="164"/>
      <c r="E392" s="165"/>
      <c r="F392" s="173"/>
      <c r="G392" s="168"/>
      <c r="H392" s="168"/>
      <c r="I392" s="169"/>
      <c r="J392" s="170"/>
      <c r="K392" s="170"/>
      <c r="L392" s="170"/>
      <c r="M392" s="167"/>
      <c r="N392" s="169"/>
      <c r="O392" s="171"/>
      <c r="P392" s="106"/>
      <c r="Q392" s="218"/>
      <c r="R392" s="172"/>
      <c r="S392" s="172"/>
      <c r="T392" s="173"/>
      <c r="U392" s="219"/>
      <c r="V392" s="219"/>
      <c r="W392" s="219"/>
      <c r="X392" s="219"/>
      <c r="Y392" s="219"/>
      <c r="Z392" s="219"/>
      <c r="AA392" s="219"/>
      <c r="AB392" s="219"/>
      <c r="AC392" s="219"/>
      <c r="AD392" s="219"/>
      <c r="AE392" s="219"/>
      <c r="AF392" s="219"/>
      <c r="AG392" s="219"/>
      <c r="AH392" s="219"/>
      <c r="AI392" s="219"/>
      <c r="AJ392" s="219"/>
      <c r="AK392" s="219"/>
      <c r="AL392" s="219"/>
      <c r="AM392" s="219"/>
      <c r="AN392" s="219"/>
      <c r="AO392" s="219"/>
      <c r="AP392" s="219"/>
      <c r="AQ392" s="219"/>
      <c r="AR392" s="219"/>
      <c r="AS392" s="219"/>
      <c r="AT392" s="219"/>
      <c r="AU392" s="219"/>
      <c r="AV392" s="219"/>
      <c r="AW392" s="219"/>
      <c r="AX392" s="219"/>
      <c r="AY392" s="219"/>
      <c r="AZ392" s="219"/>
      <c r="BA392" s="219"/>
      <c r="BB392" s="219"/>
      <c r="BC392" s="219"/>
      <c r="BD392" s="219"/>
      <c r="BE392" s="219"/>
      <c r="BF392" s="219"/>
      <c r="BG392" s="219"/>
      <c r="BH392" s="219"/>
      <c r="BI392" s="219"/>
      <c r="BJ392" s="219"/>
      <c r="BK392" s="219"/>
      <c r="BL392" s="219"/>
      <c r="BM392" s="219"/>
      <c r="BN392" s="219"/>
    </row>
    <row r="393" ht="29.25" hidden="1" customHeight="1">
      <c r="A393" s="216"/>
      <c r="B393" s="217"/>
      <c r="C393" s="164"/>
      <c r="D393" s="164"/>
      <c r="E393" s="165"/>
      <c r="F393" s="173"/>
      <c r="G393" s="168"/>
      <c r="H393" s="168"/>
      <c r="I393" s="169"/>
      <c r="J393" s="170"/>
      <c r="K393" s="170"/>
      <c r="L393" s="170"/>
      <c r="M393" s="167"/>
      <c r="N393" s="169"/>
      <c r="O393" s="171"/>
      <c r="P393" s="106"/>
      <c r="Q393" s="218"/>
      <c r="R393" s="172"/>
      <c r="S393" s="172"/>
      <c r="T393" s="173"/>
      <c r="U393" s="219"/>
      <c r="V393" s="219"/>
      <c r="W393" s="219"/>
      <c r="X393" s="219"/>
      <c r="Y393" s="219"/>
      <c r="Z393" s="219"/>
      <c r="AA393" s="219"/>
      <c r="AB393" s="219"/>
      <c r="AC393" s="219"/>
      <c r="AD393" s="219"/>
      <c r="AE393" s="219"/>
      <c r="AF393" s="219"/>
      <c r="AG393" s="219"/>
      <c r="AH393" s="219"/>
      <c r="AI393" s="219"/>
      <c r="AJ393" s="219"/>
      <c r="AK393" s="219"/>
      <c r="AL393" s="219"/>
      <c r="AM393" s="219"/>
      <c r="AN393" s="219"/>
      <c r="AO393" s="219"/>
      <c r="AP393" s="219"/>
      <c r="AQ393" s="219"/>
      <c r="AR393" s="219"/>
      <c r="AS393" s="219"/>
      <c r="AT393" s="219"/>
      <c r="AU393" s="219"/>
      <c r="AV393" s="219"/>
      <c r="AW393" s="219"/>
      <c r="AX393" s="219"/>
      <c r="AY393" s="219"/>
      <c r="AZ393" s="219"/>
      <c r="BA393" s="219"/>
      <c r="BB393" s="219"/>
      <c r="BC393" s="219"/>
      <c r="BD393" s="219"/>
      <c r="BE393" s="219"/>
      <c r="BF393" s="219"/>
      <c r="BG393" s="219"/>
      <c r="BH393" s="219"/>
      <c r="BI393" s="219"/>
      <c r="BJ393" s="219"/>
      <c r="BK393" s="219"/>
      <c r="BL393" s="219"/>
      <c r="BM393" s="219"/>
      <c r="BN393" s="219"/>
    </row>
    <row r="394" ht="29.25" hidden="1" customHeight="1">
      <c r="A394" s="216"/>
      <c r="B394" s="217"/>
      <c r="C394" s="164"/>
      <c r="D394" s="164"/>
      <c r="E394" s="165"/>
      <c r="F394" s="173"/>
      <c r="G394" s="168"/>
      <c r="H394" s="168"/>
      <c r="I394" s="169"/>
      <c r="J394" s="170"/>
      <c r="K394" s="170"/>
      <c r="L394" s="170"/>
      <c r="M394" s="167"/>
      <c r="N394" s="169"/>
      <c r="O394" s="171"/>
      <c r="P394" s="106"/>
      <c r="Q394" s="218"/>
      <c r="R394" s="172"/>
      <c r="S394" s="172"/>
      <c r="T394" s="173"/>
      <c r="U394" s="219"/>
      <c r="V394" s="219"/>
      <c r="W394" s="219"/>
      <c r="X394" s="219"/>
      <c r="Y394" s="219"/>
      <c r="Z394" s="219"/>
      <c r="AA394" s="219"/>
      <c r="AB394" s="219"/>
      <c r="AC394" s="219"/>
      <c r="AD394" s="219"/>
      <c r="AE394" s="219"/>
      <c r="AF394" s="219"/>
      <c r="AG394" s="219"/>
      <c r="AH394" s="219"/>
      <c r="AI394" s="219"/>
      <c r="AJ394" s="219"/>
      <c r="AK394" s="219"/>
      <c r="AL394" s="219"/>
      <c r="AM394" s="219"/>
      <c r="AN394" s="219"/>
      <c r="AO394" s="219"/>
      <c r="AP394" s="219"/>
      <c r="AQ394" s="219"/>
      <c r="AR394" s="219"/>
      <c r="AS394" s="219"/>
      <c r="AT394" s="219"/>
      <c r="AU394" s="219"/>
      <c r="AV394" s="219"/>
      <c r="AW394" s="219"/>
      <c r="AX394" s="219"/>
      <c r="AY394" s="219"/>
      <c r="AZ394" s="219"/>
      <c r="BA394" s="219"/>
      <c r="BB394" s="219"/>
      <c r="BC394" s="219"/>
      <c r="BD394" s="219"/>
      <c r="BE394" s="219"/>
      <c r="BF394" s="219"/>
      <c r="BG394" s="219"/>
      <c r="BH394" s="219"/>
      <c r="BI394" s="219"/>
      <c r="BJ394" s="219"/>
      <c r="BK394" s="219"/>
      <c r="BL394" s="219"/>
      <c r="BM394" s="219"/>
      <c r="BN394" s="219"/>
    </row>
    <row r="395" ht="29.25" hidden="1" customHeight="1">
      <c r="A395" s="216"/>
      <c r="B395" s="217"/>
      <c r="C395" s="164"/>
      <c r="D395" s="164"/>
      <c r="E395" s="165"/>
      <c r="F395" s="173"/>
      <c r="G395" s="168"/>
      <c r="H395" s="168"/>
      <c r="I395" s="169"/>
      <c r="J395" s="170"/>
      <c r="K395" s="170"/>
      <c r="L395" s="170"/>
      <c r="M395" s="167"/>
      <c r="N395" s="169"/>
      <c r="O395" s="171"/>
      <c r="P395" s="106"/>
      <c r="Q395" s="218"/>
      <c r="R395" s="172"/>
      <c r="S395" s="172"/>
      <c r="T395" s="173"/>
      <c r="U395" s="219"/>
      <c r="V395" s="219"/>
      <c r="W395" s="219"/>
      <c r="X395" s="219"/>
      <c r="Y395" s="219"/>
      <c r="Z395" s="219"/>
      <c r="AA395" s="219"/>
      <c r="AB395" s="219"/>
      <c r="AC395" s="219"/>
      <c r="AD395" s="219"/>
      <c r="AE395" s="219"/>
      <c r="AF395" s="219"/>
      <c r="AG395" s="219"/>
      <c r="AH395" s="219"/>
      <c r="AI395" s="219"/>
      <c r="AJ395" s="219"/>
      <c r="AK395" s="219"/>
      <c r="AL395" s="219"/>
      <c r="AM395" s="219"/>
      <c r="AN395" s="219"/>
      <c r="AO395" s="219"/>
      <c r="AP395" s="219"/>
      <c r="AQ395" s="219"/>
      <c r="AR395" s="219"/>
      <c r="AS395" s="219"/>
      <c r="AT395" s="219"/>
      <c r="AU395" s="219"/>
      <c r="AV395" s="219"/>
      <c r="AW395" s="219"/>
      <c r="AX395" s="219"/>
      <c r="AY395" s="219"/>
      <c r="AZ395" s="219"/>
      <c r="BA395" s="219"/>
      <c r="BB395" s="219"/>
      <c r="BC395" s="219"/>
      <c r="BD395" s="219"/>
      <c r="BE395" s="219"/>
      <c r="BF395" s="219"/>
      <c r="BG395" s="219"/>
      <c r="BH395" s="219"/>
      <c r="BI395" s="219"/>
      <c r="BJ395" s="219"/>
      <c r="BK395" s="219"/>
      <c r="BL395" s="219"/>
      <c r="BM395" s="219"/>
      <c r="BN395" s="219"/>
    </row>
    <row r="396" ht="29.25" hidden="1" customHeight="1">
      <c r="A396" s="216"/>
      <c r="B396" s="217"/>
      <c r="C396" s="164"/>
      <c r="D396" s="164"/>
      <c r="E396" s="165"/>
      <c r="F396" s="173"/>
      <c r="G396" s="168"/>
      <c r="H396" s="168"/>
      <c r="I396" s="169"/>
      <c r="J396" s="170"/>
      <c r="K396" s="170"/>
      <c r="L396" s="170"/>
      <c r="M396" s="167"/>
      <c r="N396" s="169"/>
      <c r="O396" s="171"/>
      <c r="P396" s="106"/>
      <c r="Q396" s="218"/>
      <c r="R396" s="172"/>
      <c r="S396" s="172"/>
      <c r="T396" s="173"/>
      <c r="U396" s="219"/>
      <c r="V396" s="219"/>
      <c r="W396" s="219"/>
      <c r="X396" s="219"/>
      <c r="Y396" s="219"/>
      <c r="Z396" s="219"/>
      <c r="AA396" s="219"/>
      <c r="AB396" s="219"/>
      <c r="AC396" s="219"/>
      <c r="AD396" s="219"/>
      <c r="AE396" s="219"/>
      <c r="AF396" s="219"/>
      <c r="AG396" s="219"/>
      <c r="AH396" s="219"/>
      <c r="AI396" s="219"/>
      <c r="AJ396" s="219"/>
      <c r="AK396" s="219"/>
      <c r="AL396" s="219"/>
      <c r="AM396" s="219"/>
      <c r="AN396" s="219"/>
      <c r="AO396" s="219"/>
      <c r="AP396" s="219"/>
      <c r="AQ396" s="219"/>
      <c r="AR396" s="219"/>
      <c r="AS396" s="219"/>
      <c r="AT396" s="219"/>
      <c r="AU396" s="219"/>
      <c r="AV396" s="219"/>
      <c r="AW396" s="219"/>
      <c r="AX396" s="219"/>
      <c r="AY396" s="219"/>
      <c r="AZ396" s="219"/>
      <c r="BA396" s="219"/>
      <c r="BB396" s="219"/>
      <c r="BC396" s="219"/>
      <c r="BD396" s="219"/>
      <c r="BE396" s="219"/>
      <c r="BF396" s="219"/>
      <c r="BG396" s="219"/>
      <c r="BH396" s="219"/>
      <c r="BI396" s="219"/>
      <c r="BJ396" s="219"/>
      <c r="BK396" s="219"/>
      <c r="BL396" s="219"/>
      <c r="BM396" s="219"/>
      <c r="BN396" s="219"/>
    </row>
    <row r="397" ht="29.25" hidden="1" customHeight="1">
      <c r="A397" s="216"/>
      <c r="B397" s="217"/>
      <c r="C397" s="164"/>
      <c r="D397" s="164"/>
      <c r="E397" s="165"/>
      <c r="F397" s="173"/>
      <c r="G397" s="168"/>
      <c r="H397" s="168"/>
      <c r="I397" s="169"/>
      <c r="J397" s="170"/>
      <c r="K397" s="170"/>
      <c r="L397" s="170"/>
      <c r="M397" s="167"/>
      <c r="N397" s="169"/>
      <c r="O397" s="171"/>
      <c r="P397" s="106"/>
      <c r="Q397" s="218"/>
      <c r="R397" s="172"/>
      <c r="S397" s="172"/>
      <c r="T397" s="173"/>
      <c r="U397" s="219"/>
      <c r="V397" s="219"/>
      <c r="W397" s="219"/>
      <c r="X397" s="219"/>
      <c r="Y397" s="219"/>
      <c r="Z397" s="219"/>
      <c r="AA397" s="219"/>
      <c r="AB397" s="219"/>
      <c r="AC397" s="219"/>
      <c r="AD397" s="219"/>
      <c r="AE397" s="219"/>
      <c r="AF397" s="219"/>
      <c r="AG397" s="219"/>
      <c r="AH397" s="219"/>
      <c r="AI397" s="219"/>
      <c r="AJ397" s="219"/>
      <c r="AK397" s="219"/>
      <c r="AL397" s="219"/>
      <c r="AM397" s="219"/>
      <c r="AN397" s="219"/>
      <c r="AO397" s="219"/>
      <c r="AP397" s="219"/>
      <c r="AQ397" s="219"/>
      <c r="AR397" s="219"/>
      <c r="AS397" s="219"/>
      <c r="AT397" s="219"/>
      <c r="AU397" s="219"/>
      <c r="AV397" s="219"/>
      <c r="AW397" s="219"/>
      <c r="AX397" s="219"/>
      <c r="AY397" s="219"/>
      <c r="AZ397" s="219"/>
      <c r="BA397" s="219"/>
      <c r="BB397" s="219"/>
      <c r="BC397" s="219"/>
      <c r="BD397" s="219"/>
      <c r="BE397" s="219"/>
      <c r="BF397" s="219"/>
      <c r="BG397" s="219"/>
      <c r="BH397" s="219"/>
      <c r="BI397" s="219"/>
      <c r="BJ397" s="219"/>
      <c r="BK397" s="219"/>
      <c r="BL397" s="219"/>
      <c r="BM397" s="219"/>
      <c r="BN397" s="219"/>
    </row>
    <row r="398" ht="29.25" hidden="1" customHeight="1">
      <c r="A398" s="216"/>
      <c r="B398" s="217"/>
      <c r="C398" s="164"/>
      <c r="D398" s="164"/>
      <c r="E398" s="165"/>
      <c r="F398" s="173"/>
      <c r="G398" s="168"/>
      <c r="H398" s="168"/>
      <c r="I398" s="169"/>
      <c r="J398" s="170"/>
      <c r="K398" s="170"/>
      <c r="L398" s="170"/>
      <c r="M398" s="167"/>
      <c r="N398" s="169"/>
      <c r="O398" s="171"/>
      <c r="P398" s="106"/>
      <c r="Q398" s="218"/>
      <c r="R398" s="172"/>
      <c r="S398" s="172"/>
      <c r="T398" s="173"/>
      <c r="U398" s="219"/>
      <c r="V398" s="219"/>
      <c r="W398" s="219"/>
      <c r="X398" s="219"/>
      <c r="Y398" s="219"/>
      <c r="Z398" s="219"/>
      <c r="AA398" s="219"/>
      <c r="AB398" s="219"/>
      <c r="AC398" s="219"/>
      <c r="AD398" s="219"/>
      <c r="AE398" s="219"/>
      <c r="AF398" s="219"/>
      <c r="AG398" s="219"/>
      <c r="AH398" s="219"/>
      <c r="AI398" s="219"/>
      <c r="AJ398" s="219"/>
      <c r="AK398" s="219"/>
      <c r="AL398" s="219"/>
      <c r="AM398" s="219"/>
      <c r="AN398" s="219"/>
      <c r="AO398" s="219"/>
      <c r="AP398" s="219"/>
      <c r="AQ398" s="219"/>
      <c r="AR398" s="219"/>
      <c r="AS398" s="219"/>
      <c r="AT398" s="219"/>
      <c r="AU398" s="219"/>
      <c r="AV398" s="219"/>
      <c r="AW398" s="219"/>
      <c r="AX398" s="219"/>
      <c r="AY398" s="219"/>
      <c r="AZ398" s="219"/>
      <c r="BA398" s="219"/>
      <c r="BB398" s="219"/>
      <c r="BC398" s="219"/>
      <c r="BD398" s="219"/>
      <c r="BE398" s="219"/>
      <c r="BF398" s="219"/>
      <c r="BG398" s="219"/>
      <c r="BH398" s="219"/>
      <c r="BI398" s="219"/>
      <c r="BJ398" s="219"/>
      <c r="BK398" s="219"/>
      <c r="BL398" s="219"/>
      <c r="BM398" s="219"/>
      <c r="BN398" s="219"/>
    </row>
    <row r="399" ht="29.25" hidden="1" customHeight="1">
      <c r="A399" s="216"/>
      <c r="B399" s="217"/>
      <c r="C399" s="164"/>
      <c r="D399" s="164"/>
      <c r="E399" s="165"/>
      <c r="F399" s="173"/>
      <c r="G399" s="168"/>
      <c r="H399" s="168"/>
      <c r="I399" s="169"/>
      <c r="J399" s="170"/>
      <c r="K399" s="170"/>
      <c r="L399" s="170"/>
      <c r="M399" s="167"/>
      <c r="N399" s="169"/>
      <c r="O399" s="171"/>
      <c r="P399" s="106"/>
      <c r="Q399" s="218"/>
      <c r="R399" s="172"/>
      <c r="S399" s="172"/>
      <c r="T399" s="173"/>
      <c r="U399" s="219"/>
      <c r="V399" s="219"/>
      <c r="W399" s="219"/>
      <c r="X399" s="219"/>
      <c r="Y399" s="219"/>
      <c r="Z399" s="219"/>
      <c r="AA399" s="219"/>
      <c r="AB399" s="219"/>
      <c r="AC399" s="219"/>
      <c r="AD399" s="219"/>
      <c r="AE399" s="219"/>
      <c r="AF399" s="219"/>
      <c r="AG399" s="219"/>
      <c r="AH399" s="219"/>
      <c r="AI399" s="219"/>
      <c r="AJ399" s="219"/>
      <c r="AK399" s="219"/>
      <c r="AL399" s="219"/>
      <c r="AM399" s="219"/>
      <c r="AN399" s="219"/>
      <c r="AO399" s="219"/>
      <c r="AP399" s="219"/>
      <c r="AQ399" s="219"/>
      <c r="AR399" s="219"/>
      <c r="AS399" s="219"/>
      <c r="AT399" s="219"/>
      <c r="AU399" s="219"/>
      <c r="AV399" s="219"/>
      <c r="AW399" s="219"/>
      <c r="AX399" s="219"/>
      <c r="AY399" s="219"/>
      <c r="AZ399" s="219"/>
      <c r="BA399" s="219"/>
      <c r="BB399" s="219"/>
      <c r="BC399" s="219"/>
      <c r="BD399" s="219"/>
      <c r="BE399" s="219"/>
      <c r="BF399" s="219"/>
      <c r="BG399" s="219"/>
      <c r="BH399" s="219"/>
      <c r="BI399" s="219"/>
      <c r="BJ399" s="219"/>
      <c r="BK399" s="219"/>
      <c r="BL399" s="219"/>
      <c r="BM399" s="219"/>
      <c r="BN399" s="219"/>
    </row>
    <row r="400" ht="29.25" hidden="1" customHeight="1">
      <c r="A400" s="216"/>
      <c r="B400" s="217"/>
      <c r="C400" s="164"/>
      <c r="D400" s="164"/>
      <c r="E400" s="165"/>
      <c r="F400" s="173"/>
      <c r="G400" s="168"/>
      <c r="H400" s="168"/>
      <c r="I400" s="169"/>
      <c r="J400" s="170"/>
      <c r="K400" s="170"/>
      <c r="L400" s="170"/>
      <c r="M400" s="167"/>
      <c r="N400" s="169"/>
      <c r="O400" s="171"/>
      <c r="P400" s="106"/>
      <c r="Q400" s="218"/>
      <c r="R400" s="172"/>
      <c r="S400" s="172"/>
      <c r="T400" s="173"/>
      <c r="U400" s="219"/>
      <c r="V400" s="219"/>
      <c r="W400" s="219"/>
      <c r="X400" s="219"/>
      <c r="Y400" s="219"/>
      <c r="Z400" s="219"/>
      <c r="AA400" s="219"/>
      <c r="AB400" s="219"/>
      <c r="AC400" s="219"/>
      <c r="AD400" s="219"/>
      <c r="AE400" s="219"/>
      <c r="AF400" s="219"/>
      <c r="AG400" s="219"/>
      <c r="AH400" s="219"/>
      <c r="AI400" s="219"/>
      <c r="AJ400" s="219"/>
      <c r="AK400" s="219"/>
      <c r="AL400" s="219"/>
      <c r="AM400" s="219"/>
      <c r="AN400" s="219"/>
      <c r="AO400" s="219"/>
      <c r="AP400" s="219"/>
      <c r="AQ400" s="219"/>
      <c r="AR400" s="219"/>
      <c r="AS400" s="219"/>
      <c r="AT400" s="219"/>
      <c r="AU400" s="219"/>
      <c r="AV400" s="219"/>
      <c r="AW400" s="219"/>
      <c r="AX400" s="219"/>
      <c r="AY400" s="219"/>
      <c r="AZ400" s="219"/>
      <c r="BA400" s="219"/>
      <c r="BB400" s="219"/>
      <c r="BC400" s="219"/>
      <c r="BD400" s="219"/>
      <c r="BE400" s="219"/>
      <c r="BF400" s="219"/>
      <c r="BG400" s="219"/>
      <c r="BH400" s="219"/>
      <c r="BI400" s="219"/>
      <c r="BJ400" s="219"/>
      <c r="BK400" s="219"/>
      <c r="BL400" s="219"/>
      <c r="BM400" s="219"/>
      <c r="BN400" s="219"/>
    </row>
    <row r="401" ht="29.25" hidden="1" customHeight="1">
      <c r="A401" s="216"/>
      <c r="B401" s="217"/>
      <c r="C401" s="164"/>
      <c r="D401" s="164"/>
      <c r="E401" s="165"/>
      <c r="F401" s="173"/>
      <c r="G401" s="168"/>
      <c r="H401" s="168"/>
      <c r="I401" s="169"/>
      <c r="J401" s="170"/>
      <c r="K401" s="170"/>
      <c r="L401" s="170"/>
      <c r="M401" s="167"/>
      <c r="N401" s="169"/>
      <c r="O401" s="171"/>
      <c r="P401" s="106"/>
      <c r="Q401" s="218"/>
      <c r="R401" s="172"/>
      <c r="S401" s="172"/>
      <c r="T401" s="173"/>
      <c r="U401" s="219"/>
      <c r="V401" s="219"/>
      <c r="W401" s="219"/>
      <c r="X401" s="219"/>
      <c r="Y401" s="219"/>
      <c r="Z401" s="219"/>
      <c r="AA401" s="219"/>
      <c r="AB401" s="219"/>
      <c r="AC401" s="219"/>
      <c r="AD401" s="219"/>
      <c r="AE401" s="219"/>
      <c r="AF401" s="219"/>
      <c r="AG401" s="219"/>
      <c r="AH401" s="219"/>
      <c r="AI401" s="219"/>
      <c r="AJ401" s="219"/>
      <c r="AK401" s="219"/>
      <c r="AL401" s="219"/>
      <c r="AM401" s="219"/>
      <c r="AN401" s="219"/>
      <c r="AO401" s="219"/>
      <c r="AP401" s="219"/>
      <c r="AQ401" s="219"/>
      <c r="AR401" s="219"/>
      <c r="AS401" s="219"/>
      <c r="AT401" s="219"/>
      <c r="AU401" s="219"/>
      <c r="AV401" s="219"/>
      <c r="AW401" s="219"/>
      <c r="AX401" s="219"/>
      <c r="AY401" s="219"/>
      <c r="AZ401" s="219"/>
      <c r="BA401" s="219"/>
      <c r="BB401" s="219"/>
      <c r="BC401" s="219"/>
      <c r="BD401" s="219"/>
      <c r="BE401" s="219"/>
      <c r="BF401" s="219"/>
      <c r="BG401" s="219"/>
      <c r="BH401" s="219"/>
      <c r="BI401" s="219"/>
      <c r="BJ401" s="219"/>
      <c r="BK401" s="219"/>
      <c r="BL401" s="219"/>
      <c r="BM401" s="219"/>
      <c r="BN401" s="219"/>
    </row>
    <row r="402" ht="29.25" hidden="1" customHeight="1">
      <c r="A402" s="216"/>
      <c r="B402" s="217"/>
      <c r="C402" s="164"/>
      <c r="D402" s="164"/>
      <c r="E402" s="165"/>
      <c r="F402" s="173"/>
      <c r="G402" s="168"/>
      <c r="H402" s="168"/>
      <c r="I402" s="169"/>
      <c r="J402" s="170"/>
      <c r="K402" s="170"/>
      <c r="L402" s="170"/>
      <c r="M402" s="167"/>
      <c r="N402" s="169"/>
      <c r="O402" s="171"/>
      <c r="P402" s="106"/>
      <c r="Q402" s="218"/>
      <c r="R402" s="172"/>
      <c r="S402" s="172"/>
      <c r="T402" s="173"/>
      <c r="U402" s="219"/>
      <c r="V402" s="219"/>
      <c r="W402" s="219"/>
      <c r="X402" s="219"/>
      <c r="Y402" s="219"/>
      <c r="Z402" s="219"/>
      <c r="AA402" s="219"/>
      <c r="AB402" s="219"/>
      <c r="AC402" s="219"/>
      <c r="AD402" s="219"/>
      <c r="AE402" s="219"/>
      <c r="AF402" s="219"/>
      <c r="AG402" s="219"/>
      <c r="AH402" s="219"/>
      <c r="AI402" s="219"/>
      <c r="AJ402" s="219"/>
      <c r="AK402" s="219"/>
      <c r="AL402" s="219"/>
      <c r="AM402" s="219"/>
      <c r="AN402" s="219"/>
      <c r="AO402" s="219"/>
      <c r="AP402" s="219"/>
      <c r="AQ402" s="219"/>
      <c r="AR402" s="219"/>
      <c r="AS402" s="219"/>
      <c r="AT402" s="219"/>
      <c r="AU402" s="219"/>
      <c r="AV402" s="219"/>
      <c r="AW402" s="219"/>
      <c r="AX402" s="219"/>
      <c r="AY402" s="219"/>
      <c r="AZ402" s="219"/>
      <c r="BA402" s="219"/>
      <c r="BB402" s="219"/>
      <c r="BC402" s="219"/>
      <c r="BD402" s="219"/>
      <c r="BE402" s="219"/>
      <c r="BF402" s="219"/>
      <c r="BG402" s="219"/>
      <c r="BH402" s="219"/>
      <c r="BI402" s="219"/>
      <c r="BJ402" s="219"/>
      <c r="BK402" s="219"/>
      <c r="BL402" s="219"/>
      <c r="BM402" s="219"/>
      <c r="BN402" s="219"/>
    </row>
    <row r="403" ht="29.25" hidden="1" customHeight="1">
      <c r="A403" s="216"/>
      <c r="B403" s="217"/>
      <c r="C403" s="164"/>
      <c r="D403" s="164"/>
      <c r="E403" s="165"/>
      <c r="F403" s="173"/>
      <c r="G403" s="168"/>
      <c r="H403" s="168"/>
      <c r="I403" s="169"/>
      <c r="J403" s="170"/>
      <c r="K403" s="170"/>
      <c r="L403" s="170"/>
      <c r="M403" s="167"/>
      <c r="N403" s="169"/>
      <c r="O403" s="171"/>
      <c r="P403" s="106"/>
      <c r="Q403" s="218"/>
      <c r="R403" s="172"/>
      <c r="S403" s="172"/>
      <c r="T403" s="173"/>
      <c r="U403" s="219"/>
      <c r="V403" s="219"/>
      <c r="W403" s="219"/>
      <c r="X403" s="219"/>
      <c r="Y403" s="219"/>
      <c r="Z403" s="219"/>
      <c r="AA403" s="219"/>
      <c r="AB403" s="219"/>
      <c r="AC403" s="219"/>
      <c r="AD403" s="219"/>
      <c r="AE403" s="219"/>
      <c r="AF403" s="219"/>
      <c r="AG403" s="219"/>
      <c r="AH403" s="219"/>
      <c r="AI403" s="219"/>
      <c r="AJ403" s="219"/>
      <c r="AK403" s="219"/>
      <c r="AL403" s="219"/>
      <c r="AM403" s="219"/>
      <c r="AN403" s="219"/>
      <c r="AO403" s="219"/>
      <c r="AP403" s="219"/>
      <c r="AQ403" s="219"/>
      <c r="AR403" s="219"/>
      <c r="AS403" s="219"/>
      <c r="AT403" s="219"/>
      <c r="AU403" s="219"/>
      <c r="AV403" s="219"/>
      <c r="AW403" s="219"/>
      <c r="AX403" s="219"/>
      <c r="AY403" s="219"/>
      <c r="AZ403" s="219"/>
      <c r="BA403" s="219"/>
      <c r="BB403" s="219"/>
      <c r="BC403" s="219"/>
      <c r="BD403" s="219"/>
      <c r="BE403" s="219"/>
      <c r="BF403" s="219"/>
      <c r="BG403" s="219"/>
      <c r="BH403" s="219"/>
      <c r="BI403" s="219"/>
      <c r="BJ403" s="219"/>
      <c r="BK403" s="219"/>
      <c r="BL403" s="219"/>
      <c r="BM403" s="219"/>
      <c r="BN403" s="219"/>
    </row>
    <row r="404" ht="29.25" hidden="1" customHeight="1">
      <c r="A404" s="216"/>
      <c r="B404" s="217"/>
      <c r="C404" s="164"/>
      <c r="D404" s="164"/>
      <c r="E404" s="165"/>
      <c r="F404" s="173"/>
      <c r="G404" s="168"/>
      <c r="H404" s="168"/>
      <c r="I404" s="169"/>
      <c r="J404" s="170"/>
      <c r="K404" s="170"/>
      <c r="L404" s="170"/>
      <c r="M404" s="167"/>
      <c r="N404" s="169"/>
      <c r="O404" s="171"/>
      <c r="P404" s="106"/>
      <c r="Q404" s="218"/>
      <c r="R404" s="172"/>
      <c r="S404" s="172"/>
      <c r="T404" s="173"/>
      <c r="U404" s="219"/>
      <c r="V404" s="219"/>
      <c r="W404" s="219"/>
      <c r="X404" s="219"/>
      <c r="Y404" s="219"/>
      <c r="Z404" s="219"/>
      <c r="AA404" s="219"/>
      <c r="AB404" s="219"/>
      <c r="AC404" s="219"/>
      <c r="AD404" s="219"/>
      <c r="AE404" s="219"/>
      <c r="AF404" s="219"/>
      <c r="AG404" s="219"/>
      <c r="AH404" s="219"/>
      <c r="AI404" s="219"/>
      <c r="AJ404" s="219"/>
      <c r="AK404" s="219"/>
      <c r="AL404" s="219"/>
      <c r="AM404" s="219"/>
      <c r="AN404" s="219"/>
      <c r="AO404" s="219"/>
      <c r="AP404" s="219"/>
      <c r="AQ404" s="219"/>
      <c r="AR404" s="219"/>
      <c r="AS404" s="219"/>
      <c r="AT404" s="219"/>
      <c r="AU404" s="219"/>
      <c r="AV404" s="219"/>
      <c r="AW404" s="219"/>
      <c r="AX404" s="219"/>
      <c r="AY404" s="219"/>
      <c r="AZ404" s="219"/>
      <c r="BA404" s="219"/>
      <c r="BB404" s="219"/>
      <c r="BC404" s="219"/>
      <c r="BD404" s="219"/>
      <c r="BE404" s="219"/>
      <c r="BF404" s="219"/>
      <c r="BG404" s="219"/>
      <c r="BH404" s="219"/>
      <c r="BI404" s="219"/>
      <c r="BJ404" s="219"/>
      <c r="BK404" s="219"/>
      <c r="BL404" s="219"/>
      <c r="BM404" s="219"/>
      <c r="BN404" s="219"/>
    </row>
    <row r="405" ht="29.25" hidden="1" customHeight="1">
      <c r="A405" s="216"/>
      <c r="B405" s="217"/>
      <c r="C405" s="164"/>
      <c r="D405" s="164"/>
      <c r="E405" s="165"/>
      <c r="F405" s="173"/>
      <c r="G405" s="168"/>
      <c r="H405" s="168"/>
      <c r="I405" s="169"/>
      <c r="J405" s="170"/>
      <c r="K405" s="170"/>
      <c r="L405" s="170"/>
      <c r="M405" s="167"/>
      <c r="N405" s="169"/>
      <c r="O405" s="171"/>
      <c r="P405" s="106"/>
      <c r="Q405" s="218"/>
      <c r="R405" s="172"/>
      <c r="S405" s="172"/>
      <c r="T405" s="173"/>
      <c r="U405" s="219"/>
      <c r="V405" s="219"/>
      <c r="W405" s="219"/>
      <c r="X405" s="219"/>
      <c r="Y405" s="219"/>
      <c r="Z405" s="219"/>
      <c r="AA405" s="219"/>
      <c r="AB405" s="219"/>
      <c r="AC405" s="219"/>
      <c r="AD405" s="219"/>
      <c r="AE405" s="219"/>
      <c r="AF405" s="219"/>
      <c r="AG405" s="219"/>
      <c r="AH405" s="219"/>
      <c r="AI405" s="219"/>
      <c r="AJ405" s="219"/>
      <c r="AK405" s="219"/>
      <c r="AL405" s="219"/>
      <c r="AM405" s="219"/>
      <c r="AN405" s="219"/>
      <c r="AO405" s="219"/>
      <c r="AP405" s="219"/>
      <c r="AQ405" s="219"/>
      <c r="AR405" s="219"/>
      <c r="AS405" s="219"/>
      <c r="AT405" s="219"/>
      <c r="AU405" s="219"/>
      <c r="AV405" s="219"/>
      <c r="AW405" s="219"/>
      <c r="AX405" s="219"/>
      <c r="AY405" s="219"/>
      <c r="AZ405" s="219"/>
      <c r="BA405" s="219"/>
      <c r="BB405" s="219"/>
      <c r="BC405" s="219"/>
      <c r="BD405" s="219"/>
      <c r="BE405" s="219"/>
      <c r="BF405" s="219"/>
      <c r="BG405" s="219"/>
      <c r="BH405" s="219"/>
      <c r="BI405" s="219"/>
      <c r="BJ405" s="219"/>
      <c r="BK405" s="219"/>
      <c r="BL405" s="219"/>
      <c r="BM405" s="219"/>
      <c r="BN405" s="219"/>
    </row>
    <row r="406" ht="29.25" hidden="1" customHeight="1">
      <c r="A406" s="216"/>
      <c r="B406" s="217"/>
      <c r="C406" s="164"/>
      <c r="D406" s="164"/>
      <c r="E406" s="165"/>
      <c r="F406" s="173"/>
      <c r="G406" s="168"/>
      <c r="H406" s="168"/>
      <c r="I406" s="169"/>
      <c r="J406" s="170"/>
      <c r="K406" s="170"/>
      <c r="L406" s="170"/>
      <c r="M406" s="167"/>
      <c r="N406" s="169"/>
      <c r="O406" s="171"/>
      <c r="P406" s="106"/>
      <c r="Q406" s="218"/>
      <c r="R406" s="172"/>
      <c r="S406" s="172"/>
      <c r="T406" s="173"/>
      <c r="U406" s="219"/>
      <c r="V406" s="219"/>
      <c r="W406" s="219"/>
      <c r="X406" s="219"/>
      <c r="Y406" s="219"/>
      <c r="Z406" s="219"/>
      <c r="AA406" s="219"/>
      <c r="AB406" s="219"/>
      <c r="AC406" s="219"/>
      <c r="AD406" s="219"/>
      <c r="AE406" s="219"/>
      <c r="AF406" s="219"/>
      <c r="AG406" s="219"/>
      <c r="AH406" s="219"/>
      <c r="AI406" s="219"/>
      <c r="AJ406" s="219"/>
      <c r="AK406" s="219"/>
      <c r="AL406" s="219"/>
      <c r="AM406" s="219"/>
      <c r="AN406" s="219"/>
      <c r="AO406" s="219"/>
      <c r="AP406" s="219"/>
      <c r="AQ406" s="219"/>
      <c r="AR406" s="219"/>
      <c r="AS406" s="219"/>
      <c r="AT406" s="219"/>
      <c r="AU406" s="219"/>
      <c r="AV406" s="219"/>
      <c r="AW406" s="219"/>
      <c r="AX406" s="219"/>
      <c r="AY406" s="219"/>
      <c r="AZ406" s="219"/>
      <c r="BA406" s="219"/>
      <c r="BB406" s="219"/>
      <c r="BC406" s="219"/>
      <c r="BD406" s="219"/>
      <c r="BE406" s="219"/>
      <c r="BF406" s="219"/>
      <c r="BG406" s="219"/>
      <c r="BH406" s="219"/>
      <c r="BI406" s="219"/>
      <c r="BJ406" s="219"/>
      <c r="BK406" s="219"/>
      <c r="BL406" s="219"/>
      <c r="BM406" s="219"/>
      <c r="BN406" s="219"/>
    </row>
    <row r="407" ht="29.25" hidden="1" customHeight="1">
      <c r="A407" s="216"/>
      <c r="B407" s="217"/>
      <c r="C407" s="164"/>
      <c r="D407" s="164"/>
      <c r="E407" s="165"/>
      <c r="F407" s="173"/>
      <c r="G407" s="168"/>
      <c r="H407" s="168"/>
      <c r="I407" s="169"/>
      <c r="J407" s="170"/>
      <c r="K407" s="170"/>
      <c r="L407" s="170"/>
      <c r="M407" s="167"/>
      <c r="N407" s="169"/>
      <c r="O407" s="171"/>
      <c r="P407" s="106"/>
      <c r="Q407" s="218"/>
      <c r="R407" s="172"/>
      <c r="S407" s="172"/>
      <c r="T407" s="173"/>
      <c r="U407" s="219"/>
      <c r="V407" s="219"/>
      <c r="W407" s="219"/>
      <c r="X407" s="219"/>
      <c r="Y407" s="219"/>
      <c r="Z407" s="219"/>
      <c r="AA407" s="219"/>
      <c r="AB407" s="219"/>
      <c r="AC407" s="219"/>
      <c r="AD407" s="219"/>
      <c r="AE407" s="219"/>
      <c r="AF407" s="219"/>
      <c r="AG407" s="219"/>
      <c r="AH407" s="219"/>
      <c r="AI407" s="219"/>
      <c r="AJ407" s="219"/>
      <c r="AK407" s="219"/>
      <c r="AL407" s="219"/>
      <c r="AM407" s="219"/>
      <c r="AN407" s="219"/>
      <c r="AO407" s="219"/>
      <c r="AP407" s="219"/>
      <c r="AQ407" s="219"/>
      <c r="AR407" s="219"/>
      <c r="AS407" s="219"/>
      <c r="AT407" s="219"/>
      <c r="AU407" s="219"/>
      <c r="AV407" s="219"/>
      <c r="AW407" s="219"/>
      <c r="AX407" s="219"/>
      <c r="AY407" s="219"/>
      <c r="AZ407" s="219"/>
      <c r="BA407" s="219"/>
      <c r="BB407" s="219"/>
      <c r="BC407" s="219"/>
      <c r="BD407" s="219"/>
      <c r="BE407" s="219"/>
      <c r="BF407" s="219"/>
      <c r="BG407" s="219"/>
      <c r="BH407" s="219"/>
      <c r="BI407" s="219"/>
      <c r="BJ407" s="219"/>
      <c r="BK407" s="219"/>
      <c r="BL407" s="219"/>
      <c r="BM407" s="219"/>
      <c r="BN407" s="219"/>
    </row>
    <row r="408" ht="29.25" hidden="1" customHeight="1">
      <c r="A408" s="216"/>
      <c r="B408" s="217"/>
      <c r="C408" s="164"/>
      <c r="D408" s="164"/>
      <c r="E408" s="165"/>
      <c r="F408" s="173"/>
      <c r="G408" s="168"/>
      <c r="H408" s="168"/>
      <c r="I408" s="169"/>
      <c r="J408" s="170"/>
      <c r="K408" s="170"/>
      <c r="L408" s="170"/>
      <c r="M408" s="167"/>
      <c r="N408" s="169"/>
      <c r="O408" s="171"/>
      <c r="P408" s="106"/>
      <c r="Q408" s="218"/>
      <c r="R408" s="172"/>
      <c r="S408" s="172"/>
      <c r="T408" s="173"/>
      <c r="U408" s="219"/>
      <c r="V408" s="219"/>
      <c r="W408" s="219"/>
      <c r="X408" s="219"/>
      <c r="Y408" s="219"/>
      <c r="Z408" s="219"/>
      <c r="AA408" s="219"/>
      <c r="AB408" s="219"/>
      <c r="AC408" s="219"/>
      <c r="AD408" s="219"/>
      <c r="AE408" s="219"/>
      <c r="AF408" s="219"/>
      <c r="AG408" s="219"/>
      <c r="AH408" s="219"/>
      <c r="AI408" s="219"/>
      <c r="AJ408" s="219"/>
      <c r="AK408" s="219"/>
      <c r="AL408" s="219"/>
      <c r="AM408" s="219"/>
      <c r="AN408" s="219"/>
      <c r="AO408" s="219"/>
      <c r="AP408" s="219"/>
      <c r="AQ408" s="219"/>
      <c r="AR408" s="219"/>
      <c r="AS408" s="219"/>
      <c r="AT408" s="219"/>
      <c r="AU408" s="219"/>
      <c r="AV408" s="219"/>
      <c r="AW408" s="219"/>
      <c r="AX408" s="219"/>
      <c r="AY408" s="219"/>
      <c r="AZ408" s="219"/>
      <c r="BA408" s="219"/>
      <c r="BB408" s="219"/>
      <c r="BC408" s="219"/>
      <c r="BD408" s="219"/>
      <c r="BE408" s="219"/>
      <c r="BF408" s="219"/>
      <c r="BG408" s="219"/>
      <c r="BH408" s="219"/>
      <c r="BI408" s="219"/>
      <c r="BJ408" s="219"/>
      <c r="BK408" s="219"/>
      <c r="BL408" s="219"/>
      <c r="BM408" s="219"/>
      <c r="BN408" s="219"/>
    </row>
    <row r="409" ht="29.25" hidden="1" customHeight="1">
      <c r="A409" s="216"/>
      <c r="B409" s="217"/>
      <c r="C409" s="164"/>
      <c r="D409" s="164"/>
      <c r="E409" s="165"/>
      <c r="F409" s="173"/>
      <c r="G409" s="168"/>
      <c r="H409" s="168"/>
      <c r="I409" s="169"/>
      <c r="J409" s="170"/>
      <c r="K409" s="170"/>
      <c r="L409" s="170"/>
      <c r="M409" s="167"/>
      <c r="N409" s="169"/>
      <c r="O409" s="171"/>
      <c r="P409" s="106"/>
      <c r="Q409" s="218"/>
      <c r="R409" s="172"/>
      <c r="S409" s="172"/>
      <c r="T409" s="173"/>
      <c r="U409" s="219"/>
      <c r="V409" s="219"/>
      <c r="W409" s="219"/>
      <c r="X409" s="219"/>
      <c r="Y409" s="219"/>
      <c r="Z409" s="219"/>
      <c r="AA409" s="219"/>
      <c r="AB409" s="219"/>
      <c r="AC409" s="219"/>
      <c r="AD409" s="219"/>
      <c r="AE409" s="219"/>
      <c r="AF409" s="219"/>
      <c r="AG409" s="219"/>
      <c r="AH409" s="219"/>
      <c r="AI409" s="219"/>
      <c r="AJ409" s="219"/>
      <c r="AK409" s="219"/>
      <c r="AL409" s="219"/>
      <c r="AM409" s="219"/>
      <c r="AN409" s="219"/>
      <c r="AO409" s="219"/>
      <c r="AP409" s="219"/>
      <c r="AQ409" s="219"/>
      <c r="AR409" s="219"/>
      <c r="AS409" s="219"/>
      <c r="AT409" s="219"/>
      <c r="AU409" s="219"/>
      <c r="AV409" s="219"/>
      <c r="AW409" s="219"/>
      <c r="AX409" s="219"/>
      <c r="AY409" s="219"/>
      <c r="AZ409" s="219"/>
      <c r="BA409" s="219"/>
      <c r="BB409" s="219"/>
      <c r="BC409" s="219"/>
      <c r="BD409" s="219"/>
      <c r="BE409" s="219"/>
      <c r="BF409" s="219"/>
      <c r="BG409" s="219"/>
      <c r="BH409" s="219"/>
      <c r="BI409" s="219"/>
      <c r="BJ409" s="219"/>
      <c r="BK409" s="219"/>
      <c r="BL409" s="219"/>
      <c r="BM409" s="219"/>
      <c r="BN409" s="219"/>
    </row>
    <row r="410" ht="29.25" hidden="1" customHeight="1">
      <c r="A410" s="216"/>
      <c r="B410" s="217"/>
      <c r="C410" s="164"/>
      <c r="D410" s="164"/>
      <c r="E410" s="165"/>
      <c r="F410" s="173"/>
      <c r="G410" s="168"/>
      <c r="H410" s="168"/>
      <c r="I410" s="169"/>
      <c r="J410" s="170"/>
      <c r="K410" s="170"/>
      <c r="L410" s="170"/>
      <c r="M410" s="167"/>
      <c r="N410" s="169"/>
      <c r="O410" s="171"/>
      <c r="P410" s="106"/>
      <c r="Q410" s="218"/>
      <c r="R410" s="172"/>
      <c r="S410" s="172"/>
      <c r="T410" s="173"/>
      <c r="U410" s="219"/>
      <c r="V410" s="219"/>
      <c r="W410" s="219"/>
      <c r="X410" s="219"/>
      <c r="Y410" s="219"/>
      <c r="Z410" s="219"/>
      <c r="AA410" s="219"/>
      <c r="AB410" s="219"/>
      <c r="AC410" s="219"/>
      <c r="AD410" s="219"/>
      <c r="AE410" s="219"/>
      <c r="AF410" s="219"/>
      <c r="AG410" s="219"/>
      <c r="AH410" s="219"/>
      <c r="AI410" s="219"/>
      <c r="AJ410" s="219"/>
      <c r="AK410" s="219"/>
      <c r="AL410" s="219"/>
      <c r="AM410" s="219"/>
      <c r="AN410" s="219"/>
      <c r="AO410" s="219"/>
      <c r="AP410" s="219"/>
      <c r="AQ410" s="219"/>
      <c r="AR410" s="219"/>
      <c r="AS410" s="219"/>
      <c r="AT410" s="219"/>
      <c r="AU410" s="219"/>
      <c r="AV410" s="219"/>
      <c r="AW410" s="219"/>
      <c r="AX410" s="219"/>
      <c r="AY410" s="219"/>
      <c r="AZ410" s="219"/>
      <c r="BA410" s="219"/>
      <c r="BB410" s="219"/>
      <c r="BC410" s="219"/>
      <c r="BD410" s="219"/>
      <c r="BE410" s="219"/>
      <c r="BF410" s="219"/>
      <c r="BG410" s="219"/>
      <c r="BH410" s="219"/>
      <c r="BI410" s="219"/>
      <c r="BJ410" s="219"/>
      <c r="BK410" s="219"/>
      <c r="BL410" s="219"/>
      <c r="BM410" s="219"/>
      <c r="BN410" s="219"/>
    </row>
    <row r="411" ht="29.25" hidden="1" customHeight="1">
      <c r="A411" s="216"/>
      <c r="B411" s="217"/>
      <c r="C411" s="164"/>
      <c r="D411" s="164"/>
      <c r="E411" s="165"/>
      <c r="F411" s="173"/>
      <c r="G411" s="168"/>
      <c r="H411" s="168"/>
      <c r="I411" s="169"/>
      <c r="J411" s="170"/>
      <c r="K411" s="170"/>
      <c r="L411" s="170"/>
      <c r="M411" s="167"/>
      <c r="N411" s="169"/>
      <c r="O411" s="171"/>
      <c r="P411" s="106"/>
      <c r="Q411" s="218"/>
      <c r="R411" s="172"/>
      <c r="S411" s="172"/>
      <c r="T411" s="173"/>
      <c r="U411" s="219"/>
      <c r="V411" s="219"/>
      <c r="W411" s="219"/>
      <c r="X411" s="219"/>
      <c r="Y411" s="219"/>
      <c r="Z411" s="219"/>
      <c r="AA411" s="219"/>
      <c r="AB411" s="219"/>
      <c r="AC411" s="219"/>
      <c r="AD411" s="219"/>
      <c r="AE411" s="219"/>
      <c r="AF411" s="219"/>
      <c r="AG411" s="219"/>
      <c r="AH411" s="219"/>
      <c r="AI411" s="219"/>
      <c r="AJ411" s="219"/>
      <c r="AK411" s="219"/>
      <c r="AL411" s="219"/>
      <c r="AM411" s="219"/>
      <c r="AN411" s="219"/>
      <c r="AO411" s="219"/>
      <c r="AP411" s="219"/>
      <c r="AQ411" s="219"/>
      <c r="AR411" s="219"/>
      <c r="AS411" s="219"/>
      <c r="AT411" s="219"/>
      <c r="AU411" s="219"/>
      <c r="AV411" s="219"/>
      <c r="AW411" s="219"/>
      <c r="AX411" s="219"/>
      <c r="AY411" s="219"/>
      <c r="AZ411" s="219"/>
      <c r="BA411" s="219"/>
      <c r="BB411" s="219"/>
      <c r="BC411" s="219"/>
      <c r="BD411" s="219"/>
      <c r="BE411" s="219"/>
      <c r="BF411" s="219"/>
      <c r="BG411" s="219"/>
      <c r="BH411" s="219"/>
      <c r="BI411" s="219"/>
      <c r="BJ411" s="219"/>
      <c r="BK411" s="219"/>
      <c r="BL411" s="219"/>
      <c r="BM411" s="219"/>
      <c r="BN411" s="219"/>
    </row>
    <row r="412" ht="29.25" hidden="1" customHeight="1">
      <c r="A412" s="216"/>
      <c r="B412" s="217"/>
      <c r="C412" s="164"/>
      <c r="D412" s="164"/>
      <c r="E412" s="165"/>
      <c r="F412" s="173"/>
      <c r="G412" s="168"/>
      <c r="H412" s="168"/>
      <c r="I412" s="169"/>
      <c r="J412" s="170"/>
      <c r="K412" s="170"/>
      <c r="L412" s="170"/>
      <c r="M412" s="167"/>
      <c r="N412" s="169"/>
      <c r="O412" s="171"/>
      <c r="P412" s="106"/>
      <c r="Q412" s="218"/>
      <c r="R412" s="172"/>
      <c r="S412" s="172"/>
      <c r="T412" s="173"/>
      <c r="U412" s="219"/>
      <c r="V412" s="219"/>
      <c r="W412" s="219"/>
      <c r="X412" s="219"/>
      <c r="Y412" s="219"/>
      <c r="Z412" s="219"/>
      <c r="AA412" s="219"/>
      <c r="AB412" s="219"/>
      <c r="AC412" s="219"/>
      <c r="AD412" s="219"/>
      <c r="AE412" s="219"/>
      <c r="AF412" s="219"/>
      <c r="AG412" s="219"/>
      <c r="AH412" s="219"/>
      <c r="AI412" s="219"/>
      <c r="AJ412" s="219"/>
      <c r="AK412" s="219"/>
      <c r="AL412" s="219"/>
      <c r="AM412" s="219"/>
      <c r="AN412" s="219"/>
      <c r="AO412" s="219"/>
      <c r="AP412" s="219"/>
      <c r="AQ412" s="219"/>
      <c r="AR412" s="219"/>
      <c r="AS412" s="219"/>
      <c r="AT412" s="219"/>
      <c r="AU412" s="219"/>
      <c r="AV412" s="219"/>
      <c r="AW412" s="219"/>
      <c r="AX412" s="219"/>
      <c r="AY412" s="219"/>
      <c r="AZ412" s="219"/>
      <c r="BA412" s="219"/>
      <c r="BB412" s="219"/>
      <c r="BC412" s="219"/>
      <c r="BD412" s="219"/>
      <c r="BE412" s="219"/>
      <c r="BF412" s="219"/>
      <c r="BG412" s="219"/>
      <c r="BH412" s="219"/>
      <c r="BI412" s="219"/>
      <c r="BJ412" s="219"/>
      <c r="BK412" s="219"/>
      <c r="BL412" s="219"/>
      <c r="BM412" s="219"/>
      <c r="BN412" s="219"/>
    </row>
    <row r="413" ht="29.25" hidden="1" customHeight="1">
      <c r="A413" s="216"/>
      <c r="B413" s="217"/>
      <c r="C413" s="164"/>
      <c r="D413" s="164"/>
      <c r="E413" s="165"/>
      <c r="F413" s="173"/>
      <c r="G413" s="168"/>
      <c r="H413" s="168"/>
      <c r="I413" s="169"/>
      <c r="J413" s="170"/>
      <c r="K413" s="170"/>
      <c r="L413" s="170"/>
      <c r="M413" s="167"/>
      <c r="N413" s="169"/>
      <c r="O413" s="171"/>
      <c r="P413" s="106"/>
      <c r="Q413" s="218"/>
      <c r="R413" s="172"/>
      <c r="S413" s="172"/>
      <c r="T413" s="173"/>
      <c r="U413" s="219"/>
      <c r="V413" s="219"/>
      <c r="W413" s="219"/>
      <c r="X413" s="219"/>
      <c r="Y413" s="219"/>
      <c r="Z413" s="219"/>
      <c r="AA413" s="219"/>
      <c r="AB413" s="219"/>
      <c r="AC413" s="219"/>
      <c r="AD413" s="219"/>
      <c r="AE413" s="219"/>
      <c r="AF413" s="219"/>
      <c r="AG413" s="219"/>
      <c r="AH413" s="219"/>
      <c r="AI413" s="219"/>
      <c r="AJ413" s="219"/>
      <c r="AK413" s="219"/>
      <c r="AL413" s="219"/>
      <c r="AM413" s="219"/>
      <c r="AN413" s="219"/>
      <c r="AO413" s="219"/>
      <c r="AP413" s="219"/>
      <c r="AQ413" s="219"/>
      <c r="AR413" s="219"/>
      <c r="AS413" s="219"/>
      <c r="AT413" s="219"/>
      <c r="AU413" s="219"/>
      <c r="AV413" s="219"/>
      <c r="AW413" s="219"/>
      <c r="AX413" s="219"/>
      <c r="AY413" s="219"/>
      <c r="AZ413" s="219"/>
      <c r="BA413" s="219"/>
      <c r="BB413" s="219"/>
      <c r="BC413" s="219"/>
      <c r="BD413" s="219"/>
      <c r="BE413" s="219"/>
      <c r="BF413" s="219"/>
      <c r="BG413" s="219"/>
      <c r="BH413" s="219"/>
      <c r="BI413" s="219"/>
      <c r="BJ413" s="219"/>
      <c r="BK413" s="219"/>
      <c r="BL413" s="219"/>
      <c r="BM413" s="219"/>
      <c r="BN413" s="219"/>
    </row>
    <row r="414" ht="29.25" hidden="1" customHeight="1">
      <c r="A414" s="216"/>
      <c r="B414" s="217"/>
      <c r="C414" s="164"/>
      <c r="D414" s="164"/>
      <c r="E414" s="165"/>
      <c r="F414" s="173"/>
      <c r="G414" s="168"/>
      <c r="H414" s="168"/>
      <c r="I414" s="169"/>
      <c r="J414" s="170"/>
      <c r="K414" s="170"/>
      <c r="L414" s="170"/>
      <c r="M414" s="167"/>
      <c r="N414" s="169"/>
      <c r="O414" s="171"/>
      <c r="P414" s="106"/>
      <c r="Q414" s="218"/>
      <c r="R414" s="172"/>
      <c r="S414" s="172"/>
      <c r="T414" s="173"/>
      <c r="U414" s="219"/>
      <c r="V414" s="219"/>
      <c r="W414" s="219"/>
      <c r="X414" s="219"/>
      <c r="Y414" s="219"/>
      <c r="Z414" s="219"/>
      <c r="AA414" s="219"/>
      <c r="AB414" s="219"/>
      <c r="AC414" s="219"/>
      <c r="AD414" s="219"/>
      <c r="AE414" s="219"/>
      <c r="AF414" s="219"/>
      <c r="AG414" s="219"/>
      <c r="AH414" s="219"/>
      <c r="AI414" s="219"/>
      <c r="AJ414" s="219"/>
      <c r="AK414" s="219"/>
      <c r="AL414" s="219"/>
      <c r="AM414" s="219"/>
      <c r="AN414" s="219"/>
      <c r="AO414" s="219"/>
      <c r="AP414" s="219"/>
      <c r="AQ414" s="219"/>
      <c r="AR414" s="219"/>
      <c r="AS414" s="219"/>
      <c r="AT414" s="219"/>
      <c r="AU414" s="219"/>
      <c r="AV414" s="219"/>
      <c r="AW414" s="219"/>
      <c r="AX414" s="219"/>
      <c r="AY414" s="219"/>
      <c r="AZ414" s="219"/>
      <c r="BA414" s="219"/>
      <c r="BB414" s="219"/>
      <c r="BC414" s="219"/>
      <c r="BD414" s="219"/>
      <c r="BE414" s="219"/>
      <c r="BF414" s="219"/>
      <c r="BG414" s="219"/>
      <c r="BH414" s="219"/>
      <c r="BI414" s="219"/>
      <c r="BJ414" s="219"/>
      <c r="BK414" s="219"/>
      <c r="BL414" s="219"/>
      <c r="BM414" s="219"/>
      <c r="BN414" s="219"/>
    </row>
    <row r="415" ht="29.25" hidden="1" customHeight="1">
      <c r="A415" s="216"/>
      <c r="B415" s="217"/>
      <c r="C415" s="164"/>
      <c r="D415" s="164"/>
      <c r="E415" s="165"/>
      <c r="F415" s="173"/>
      <c r="G415" s="168"/>
      <c r="H415" s="168"/>
      <c r="I415" s="169"/>
      <c r="J415" s="170"/>
      <c r="K415" s="170"/>
      <c r="L415" s="170"/>
      <c r="M415" s="167"/>
      <c r="N415" s="169"/>
      <c r="O415" s="171"/>
      <c r="P415" s="106"/>
      <c r="Q415" s="218"/>
      <c r="R415" s="172"/>
      <c r="S415" s="172"/>
      <c r="T415" s="173"/>
      <c r="U415" s="219"/>
      <c r="V415" s="219"/>
      <c r="W415" s="219"/>
      <c r="X415" s="219"/>
      <c r="Y415" s="219"/>
      <c r="Z415" s="219"/>
      <c r="AA415" s="219"/>
      <c r="AB415" s="219"/>
      <c r="AC415" s="219"/>
      <c r="AD415" s="219"/>
      <c r="AE415" s="219"/>
      <c r="AF415" s="219"/>
      <c r="AG415" s="219"/>
      <c r="AH415" s="219"/>
      <c r="AI415" s="219"/>
      <c r="AJ415" s="219"/>
      <c r="AK415" s="219"/>
      <c r="AL415" s="219"/>
      <c r="AM415" s="219"/>
      <c r="AN415" s="219"/>
      <c r="AO415" s="219"/>
      <c r="AP415" s="219"/>
      <c r="AQ415" s="219"/>
      <c r="AR415" s="219"/>
      <c r="AS415" s="219"/>
      <c r="AT415" s="219"/>
      <c r="AU415" s="219"/>
      <c r="AV415" s="219"/>
      <c r="AW415" s="219"/>
      <c r="AX415" s="219"/>
      <c r="AY415" s="219"/>
      <c r="AZ415" s="219"/>
      <c r="BA415" s="219"/>
      <c r="BB415" s="219"/>
      <c r="BC415" s="219"/>
      <c r="BD415" s="219"/>
      <c r="BE415" s="219"/>
      <c r="BF415" s="219"/>
      <c r="BG415" s="219"/>
      <c r="BH415" s="219"/>
      <c r="BI415" s="219"/>
      <c r="BJ415" s="219"/>
      <c r="BK415" s="219"/>
      <c r="BL415" s="219"/>
      <c r="BM415" s="219"/>
      <c r="BN415" s="219"/>
    </row>
    <row r="416" ht="29.25" hidden="1" customHeight="1">
      <c r="A416" s="216"/>
      <c r="B416" s="217"/>
      <c r="C416" s="164"/>
      <c r="D416" s="164"/>
      <c r="E416" s="165"/>
      <c r="F416" s="173"/>
      <c r="G416" s="168"/>
      <c r="H416" s="168"/>
      <c r="I416" s="169"/>
      <c r="J416" s="170"/>
      <c r="K416" s="170"/>
      <c r="L416" s="170"/>
      <c r="M416" s="167"/>
      <c r="N416" s="169"/>
      <c r="O416" s="171"/>
      <c r="P416" s="106"/>
      <c r="Q416" s="218"/>
      <c r="R416" s="172"/>
      <c r="S416" s="172"/>
      <c r="T416" s="173"/>
      <c r="U416" s="219"/>
      <c r="V416" s="219"/>
      <c r="W416" s="219"/>
      <c r="X416" s="219"/>
      <c r="Y416" s="219"/>
      <c r="Z416" s="219"/>
      <c r="AA416" s="219"/>
      <c r="AB416" s="219"/>
      <c r="AC416" s="219"/>
      <c r="AD416" s="219"/>
      <c r="AE416" s="219"/>
      <c r="AF416" s="219"/>
      <c r="AG416" s="219"/>
      <c r="AH416" s="219"/>
      <c r="AI416" s="219"/>
      <c r="AJ416" s="219"/>
      <c r="AK416" s="219"/>
      <c r="AL416" s="219"/>
      <c r="AM416" s="219"/>
      <c r="AN416" s="219"/>
      <c r="AO416" s="219"/>
      <c r="AP416" s="219"/>
      <c r="AQ416" s="219"/>
      <c r="AR416" s="219"/>
      <c r="AS416" s="219"/>
      <c r="AT416" s="219"/>
      <c r="AU416" s="219"/>
      <c r="AV416" s="219"/>
      <c r="AW416" s="219"/>
      <c r="AX416" s="219"/>
      <c r="AY416" s="219"/>
      <c r="AZ416" s="219"/>
      <c r="BA416" s="219"/>
      <c r="BB416" s="219"/>
      <c r="BC416" s="219"/>
      <c r="BD416" s="219"/>
      <c r="BE416" s="219"/>
      <c r="BF416" s="219"/>
      <c r="BG416" s="219"/>
      <c r="BH416" s="219"/>
      <c r="BI416" s="219"/>
      <c r="BJ416" s="219"/>
      <c r="BK416" s="219"/>
      <c r="BL416" s="219"/>
      <c r="BM416" s="219"/>
      <c r="BN416" s="219"/>
    </row>
    <row r="417" ht="29.25" hidden="1" customHeight="1">
      <c r="A417" s="216"/>
      <c r="B417" s="217"/>
      <c r="C417" s="164"/>
      <c r="D417" s="164"/>
      <c r="E417" s="165"/>
      <c r="F417" s="173"/>
      <c r="G417" s="168"/>
      <c r="H417" s="168"/>
      <c r="I417" s="169"/>
      <c r="J417" s="170"/>
      <c r="K417" s="170"/>
      <c r="L417" s="170"/>
      <c r="M417" s="167"/>
      <c r="N417" s="169"/>
      <c r="O417" s="171"/>
      <c r="P417" s="106"/>
      <c r="Q417" s="218"/>
      <c r="R417" s="172"/>
      <c r="S417" s="172"/>
      <c r="T417" s="173"/>
      <c r="U417" s="219"/>
      <c r="V417" s="219"/>
      <c r="W417" s="219"/>
      <c r="X417" s="219"/>
      <c r="Y417" s="219"/>
      <c r="Z417" s="219"/>
      <c r="AA417" s="219"/>
      <c r="AB417" s="219"/>
      <c r="AC417" s="219"/>
      <c r="AD417" s="219"/>
      <c r="AE417" s="219"/>
      <c r="AF417" s="219"/>
      <c r="AG417" s="219"/>
      <c r="AH417" s="219"/>
      <c r="AI417" s="219"/>
      <c r="AJ417" s="219"/>
      <c r="AK417" s="219"/>
      <c r="AL417" s="219"/>
      <c r="AM417" s="219"/>
      <c r="AN417" s="219"/>
      <c r="AO417" s="219"/>
      <c r="AP417" s="219"/>
      <c r="AQ417" s="219"/>
      <c r="AR417" s="219"/>
      <c r="AS417" s="219"/>
      <c r="AT417" s="219"/>
      <c r="AU417" s="219"/>
      <c r="AV417" s="219"/>
      <c r="AW417" s="219"/>
      <c r="AX417" s="219"/>
      <c r="AY417" s="219"/>
      <c r="AZ417" s="219"/>
      <c r="BA417" s="219"/>
      <c r="BB417" s="219"/>
      <c r="BC417" s="219"/>
      <c r="BD417" s="219"/>
      <c r="BE417" s="219"/>
      <c r="BF417" s="219"/>
      <c r="BG417" s="219"/>
      <c r="BH417" s="219"/>
      <c r="BI417" s="219"/>
      <c r="BJ417" s="219"/>
      <c r="BK417" s="219"/>
      <c r="BL417" s="219"/>
      <c r="BM417" s="219"/>
      <c r="BN417" s="219"/>
    </row>
    <row r="418" ht="29.25" hidden="1" customHeight="1">
      <c r="A418" s="216"/>
      <c r="B418" s="217"/>
      <c r="C418" s="164"/>
      <c r="D418" s="164"/>
      <c r="E418" s="165"/>
      <c r="F418" s="173"/>
      <c r="G418" s="168"/>
      <c r="H418" s="168"/>
      <c r="I418" s="169"/>
      <c r="J418" s="170"/>
      <c r="K418" s="170"/>
      <c r="L418" s="170"/>
      <c r="M418" s="167"/>
      <c r="N418" s="169"/>
      <c r="O418" s="171"/>
      <c r="P418" s="106"/>
      <c r="Q418" s="218"/>
      <c r="R418" s="172"/>
      <c r="S418" s="172"/>
      <c r="T418" s="173"/>
      <c r="U418" s="219"/>
      <c r="V418" s="219"/>
      <c r="W418" s="219"/>
      <c r="X418" s="219"/>
      <c r="Y418" s="219"/>
      <c r="Z418" s="219"/>
      <c r="AA418" s="219"/>
      <c r="AB418" s="219"/>
      <c r="AC418" s="219"/>
      <c r="AD418" s="219"/>
      <c r="AE418" s="219"/>
      <c r="AF418" s="219"/>
      <c r="AG418" s="219"/>
      <c r="AH418" s="219"/>
      <c r="AI418" s="219"/>
      <c r="AJ418" s="219"/>
      <c r="AK418" s="219"/>
      <c r="AL418" s="219"/>
      <c r="AM418" s="219"/>
      <c r="AN418" s="219"/>
      <c r="AO418" s="219"/>
      <c r="AP418" s="219"/>
      <c r="AQ418" s="219"/>
      <c r="AR418" s="219"/>
      <c r="AS418" s="219"/>
      <c r="AT418" s="219"/>
      <c r="AU418" s="219"/>
      <c r="AV418" s="219"/>
      <c r="AW418" s="219"/>
      <c r="AX418" s="219"/>
      <c r="AY418" s="219"/>
      <c r="AZ418" s="219"/>
      <c r="BA418" s="219"/>
      <c r="BB418" s="219"/>
      <c r="BC418" s="219"/>
      <c r="BD418" s="219"/>
      <c r="BE418" s="219"/>
      <c r="BF418" s="219"/>
      <c r="BG418" s="219"/>
      <c r="BH418" s="219"/>
      <c r="BI418" s="219"/>
      <c r="BJ418" s="219"/>
      <c r="BK418" s="219"/>
      <c r="BL418" s="219"/>
      <c r="BM418" s="219"/>
      <c r="BN418" s="219"/>
    </row>
    <row r="419" ht="29.25" hidden="1" customHeight="1">
      <c r="A419" s="216"/>
      <c r="B419" s="217"/>
      <c r="C419" s="164"/>
      <c r="D419" s="164"/>
      <c r="E419" s="165"/>
      <c r="F419" s="173"/>
      <c r="G419" s="168"/>
      <c r="H419" s="168"/>
      <c r="I419" s="169"/>
      <c r="J419" s="170"/>
      <c r="K419" s="170"/>
      <c r="L419" s="170"/>
      <c r="M419" s="167"/>
      <c r="N419" s="169"/>
      <c r="O419" s="171"/>
      <c r="P419" s="106"/>
      <c r="Q419" s="218"/>
      <c r="R419" s="172"/>
      <c r="S419" s="172"/>
      <c r="T419" s="173"/>
      <c r="U419" s="219"/>
      <c r="V419" s="219"/>
      <c r="W419" s="219"/>
      <c r="X419" s="219"/>
      <c r="Y419" s="219"/>
      <c r="Z419" s="219"/>
      <c r="AA419" s="219"/>
      <c r="AB419" s="219"/>
      <c r="AC419" s="219"/>
      <c r="AD419" s="219"/>
      <c r="AE419" s="219"/>
      <c r="AF419" s="219"/>
      <c r="AG419" s="219"/>
      <c r="AH419" s="219"/>
      <c r="AI419" s="219"/>
      <c r="AJ419" s="219"/>
      <c r="AK419" s="219"/>
      <c r="AL419" s="219"/>
      <c r="AM419" s="219"/>
      <c r="AN419" s="219"/>
      <c r="AO419" s="219"/>
      <c r="AP419" s="219"/>
      <c r="AQ419" s="219"/>
      <c r="AR419" s="219"/>
      <c r="AS419" s="219"/>
      <c r="AT419" s="219"/>
      <c r="AU419" s="219"/>
      <c r="AV419" s="219"/>
      <c r="AW419" s="219"/>
      <c r="AX419" s="219"/>
      <c r="AY419" s="219"/>
      <c r="AZ419" s="219"/>
      <c r="BA419" s="219"/>
      <c r="BB419" s="219"/>
      <c r="BC419" s="219"/>
      <c r="BD419" s="219"/>
      <c r="BE419" s="219"/>
      <c r="BF419" s="219"/>
      <c r="BG419" s="219"/>
      <c r="BH419" s="219"/>
      <c r="BI419" s="219"/>
      <c r="BJ419" s="219"/>
      <c r="BK419" s="219"/>
      <c r="BL419" s="219"/>
      <c r="BM419" s="219"/>
      <c r="BN419" s="219"/>
    </row>
    <row r="420" ht="29.25" hidden="1" customHeight="1">
      <c r="A420" s="216"/>
      <c r="B420" s="217"/>
      <c r="C420" s="164"/>
      <c r="D420" s="164"/>
      <c r="E420" s="165"/>
      <c r="F420" s="173"/>
      <c r="G420" s="168"/>
      <c r="H420" s="168"/>
      <c r="I420" s="169"/>
      <c r="J420" s="170"/>
      <c r="K420" s="170"/>
      <c r="L420" s="170"/>
      <c r="M420" s="167"/>
      <c r="N420" s="169"/>
      <c r="O420" s="171"/>
      <c r="P420" s="106"/>
      <c r="Q420" s="218"/>
      <c r="R420" s="172"/>
      <c r="S420" s="172"/>
      <c r="T420" s="173"/>
      <c r="U420" s="219"/>
      <c r="V420" s="219"/>
      <c r="W420" s="219"/>
      <c r="X420" s="219"/>
      <c r="Y420" s="219"/>
      <c r="Z420" s="219"/>
      <c r="AA420" s="219"/>
      <c r="AB420" s="219"/>
      <c r="AC420" s="219"/>
      <c r="AD420" s="219"/>
      <c r="AE420" s="219"/>
      <c r="AF420" s="219"/>
      <c r="AG420" s="219"/>
      <c r="AH420" s="219"/>
      <c r="AI420" s="219"/>
      <c r="AJ420" s="219"/>
      <c r="AK420" s="219"/>
      <c r="AL420" s="219"/>
      <c r="AM420" s="219"/>
      <c r="AN420" s="219"/>
      <c r="AO420" s="219"/>
      <c r="AP420" s="219"/>
      <c r="AQ420" s="219"/>
      <c r="AR420" s="219"/>
      <c r="AS420" s="219"/>
      <c r="AT420" s="219"/>
      <c r="AU420" s="219"/>
      <c r="AV420" s="219"/>
      <c r="AW420" s="219"/>
      <c r="AX420" s="219"/>
      <c r="AY420" s="219"/>
      <c r="AZ420" s="219"/>
      <c r="BA420" s="219"/>
      <c r="BB420" s="219"/>
      <c r="BC420" s="219"/>
      <c r="BD420" s="219"/>
      <c r="BE420" s="219"/>
      <c r="BF420" s="219"/>
      <c r="BG420" s="219"/>
      <c r="BH420" s="219"/>
      <c r="BI420" s="219"/>
      <c r="BJ420" s="219"/>
      <c r="BK420" s="219"/>
      <c r="BL420" s="219"/>
      <c r="BM420" s="219"/>
      <c r="BN420" s="219"/>
    </row>
    <row r="421" ht="29.25" hidden="1" customHeight="1">
      <c r="A421" s="216"/>
      <c r="B421" s="217"/>
      <c r="C421" s="164"/>
      <c r="D421" s="164"/>
      <c r="E421" s="165"/>
      <c r="F421" s="173"/>
      <c r="G421" s="168"/>
      <c r="H421" s="168"/>
      <c r="I421" s="169"/>
      <c r="J421" s="170"/>
      <c r="K421" s="170"/>
      <c r="L421" s="170"/>
      <c r="M421" s="167"/>
      <c r="N421" s="169"/>
      <c r="O421" s="171"/>
      <c r="P421" s="106"/>
      <c r="Q421" s="218"/>
      <c r="R421" s="172"/>
      <c r="S421" s="172"/>
      <c r="T421" s="173"/>
      <c r="U421" s="219"/>
      <c r="V421" s="219"/>
      <c r="W421" s="219"/>
      <c r="X421" s="219"/>
      <c r="Y421" s="219"/>
      <c r="Z421" s="219"/>
      <c r="AA421" s="219"/>
      <c r="AB421" s="219"/>
      <c r="AC421" s="219"/>
      <c r="AD421" s="219"/>
      <c r="AE421" s="219"/>
      <c r="AF421" s="219"/>
      <c r="AG421" s="219"/>
      <c r="AH421" s="219"/>
      <c r="AI421" s="219"/>
      <c r="AJ421" s="219"/>
      <c r="AK421" s="219"/>
      <c r="AL421" s="219"/>
      <c r="AM421" s="219"/>
      <c r="AN421" s="219"/>
      <c r="AO421" s="219"/>
      <c r="AP421" s="219"/>
      <c r="AQ421" s="219"/>
      <c r="AR421" s="219"/>
      <c r="AS421" s="219"/>
      <c r="AT421" s="219"/>
      <c r="AU421" s="219"/>
      <c r="AV421" s="219"/>
      <c r="AW421" s="219"/>
      <c r="AX421" s="219"/>
      <c r="AY421" s="219"/>
      <c r="AZ421" s="219"/>
      <c r="BA421" s="219"/>
      <c r="BB421" s="219"/>
      <c r="BC421" s="219"/>
      <c r="BD421" s="219"/>
      <c r="BE421" s="219"/>
      <c r="BF421" s="219"/>
      <c r="BG421" s="219"/>
      <c r="BH421" s="219"/>
      <c r="BI421" s="219"/>
      <c r="BJ421" s="219"/>
      <c r="BK421" s="219"/>
      <c r="BL421" s="219"/>
      <c r="BM421" s="219"/>
      <c r="BN421" s="219"/>
    </row>
    <row r="422" ht="29.25" hidden="1" customHeight="1">
      <c r="A422" s="216"/>
      <c r="B422" s="217"/>
      <c r="C422" s="164"/>
      <c r="D422" s="164"/>
      <c r="E422" s="165"/>
      <c r="F422" s="173"/>
      <c r="G422" s="168"/>
      <c r="H422" s="168"/>
      <c r="I422" s="169"/>
      <c r="J422" s="170"/>
      <c r="K422" s="170"/>
      <c r="L422" s="170"/>
      <c r="M422" s="167"/>
      <c r="N422" s="169"/>
      <c r="O422" s="171"/>
      <c r="P422" s="106"/>
      <c r="Q422" s="218"/>
      <c r="R422" s="172"/>
      <c r="S422" s="172"/>
      <c r="T422" s="173"/>
      <c r="U422" s="219"/>
      <c r="V422" s="219"/>
      <c r="W422" s="219"/>
      <c r="X422" s="219"/>
      <c r="Y422" s="219"/>
      <c r="Z422" s="219"/>
      <c r="AA422" s="219"/>
      <c r="AB422" s="219"/>
      <c r="AC422" s="219"/>
      <c r="AD422" s="219"/>
      <c r="AE422" s="219"/>
      <c r="AF422" s="219"/>
      <c r="AG422" s="219"/>
      <c r="AH422" s="219"/>
      <c r="AI422" s="219"/>
      <c r="AJ422" s="219"/>
      <c r="AK422" s="219"/>
      <c r="AL422" s="219"/>
      <c r="AM422" s="219"/>
      <c r="AN422" s="219"/>
      <c r="AO422" s="219"/>
      <c r="AP422" s="219"/>
      <c r="AQ422" s="219"/>
      <c r="AR422" s="219"/>
      <c r="AS422" s="219"/>
      <c r="AT422" s="219"/>
      <c r="AU422" s="219"/>
      <c r="AV422" s="219"/>
      <c r="AW422" s="219"/>
      <c r="AX422" s="219"/>
      <c r="AY422" s="219"/>
      <c r="AZ422" s="219"/>
      <c r="BA422" s="219"/>
      <c r="BB422" s="219"/>
      <c r="BC422" s="219"/>
      <c r="BD422" s="219"/>
      <c r="BE422" s="219"/>
      <c r="BF422" s="219"/>
      <c r="BG422" s="219"/>
      <c r="BH422" s="219"/>
      <c r="BI422" s="219"/>
      <c r="BJ422" s="219"/>
      <c r="BK422" s="219"/>
      <c r="BL422" s="219"/>
      <c r="BM422" s="219"/>
      <c r="BN422" s="219"/>
    </row>
    <row r="423" ht="29.25" hidden="1" customHeight="1">
      <c r="A423" s="216"/>
      <c r="B423" s="217"/>
      <c r="C423" s="164"/>
      <c r="D423" s="164"/>
      <c r="E423" s="165"/>
      <c r="F423" s="173"/>
      <c r="G423" s="168"/>
      <c r="H423" s="168"/>
      <c r="I423" s="169"/>
      <c r="J423" s="170"/>
      <c r="K423" s="170"/>
      <c r="L423" s="170"/>
      <c r="M423" s="167"/>
      <c r="N423" s="169"/>
      <c r="O423" s="171"/>
      <c r="P423" s="106"/>
      <c r="Q423" s="218"/>
      <c r="R423" s="172"/>
      <c r="S423" s="172"/>
      <c r="T423" s="173"/>
      <c r="U423" s="219"/>
      <c r="V423" s="219"/>
      <c r="W423" s="219"/>
      <c r="X423" s="219"/>
      <c r="Y423" s="219"/>
      <c r="Z423" s="219"/>
      <c r="AA423" s="219"/>
      <c r="AB423" s="219"/>
      <c r="AC423" s="219"/>
      <c r="AD423" s="219"/>
      <c r="AE423" s="219"/>
      <c r="AF423" s="219"/>
      <c r="AG423" s="219"/>
      <c r="AH423" s="219"/>
      <c r="AI423" s="219"/>
      <c r="AJ423" s="219"/>
      <c r="AK423" s="219"/>
      <c r="AL423" s="219"/>
      <c r="AM423" s="219"/>
      <c r="AN423" s="219"/>
      <c r="AO423" s="219"/>
      <c r="AP423" s="219"/>
      <c r="AQ423" s="219"/>
      <c r="AR423" s="219"/>
      <c r="AS423" s="219"/>
      <c r="AT423" s="219"/>
      <c r="AU423" s="219"/>
      <c r="AV423" s="219"/>
      <c r="AW423" s="219"/>
      <c r="AX423" s="219"/>
      <c r="AY423" s="219"/>
      <c r="AZ423" s="219"/>
      <c r="BA423" s="219"/>
      <c r="BB423" s="219"/>
      <c r="BC423" s="219"/>
      <c r="BD423" s="219"/>
      <c r="BE423" s="219"/>
      <c r="BF423" s="219"/>
      <c r="BG423" s="219"/>
      <c r="BH423" s="219"/>
      <c r="BI423" s="219"/>
      <c r="BJ423" s="219"/>
      <c r="BK423" s="219"/>
      <c r="BL423" s="219"/>
      <c r="BM423" s="219"/>
      <c r="BN423" s="219"/>
    </row>
    <row r="424" ht="29.25" hidden="1" customHeight="1">
      <c r="A424" s="216"/>
      <c r="B424" s="217"/>
      <c r="C424" s="164"/>
      <c r="D424" s="164"/>
      <c r="E424" s="165"/>
      <c r="F424" s="173"/>
      <c r="G424" s="168"/>
      <c r="H424" s="168"/>
      <c r="I424" s="169"/>
      <c r="J424" s="170"/>
      <c r="K424" s="170"/>
      <c r="L424" s="170"/>
      <c r="M424" s="167"/>
      <c r="N424" s="169"/>
      <c r="O424" s="171"/>
      <c r="P424" s="106"/>
      <c r="Q424" s="218"/>
      <c r="R424" s="172"/>
      <c r="S424" s="172"/>
      <c r="T424" s="173"/>
      <c r="U424" s="219"/>
      <c r="V424" s="219"/>
      <c r="W424" s="219"/>
      <c r="X424" s="219"/>
      <c r="Y424" s="219"/>
      <c r="Z424" s="219"/>
      <c r="AA424" s="219"/>
      <c r="AB424" s="219"/>
      <c r="AC424" s="219"/>
      <c r="AD424" s="219"/>
      <c r="AE424" s="219"/>
      <c r="AF424" s="219"/>
      <c r="AG424" s="219"/>
      <c r="AH424" s="219"/>
      <c r="AI424" s="219"/>
      <c r="AJ424" s="219"/>
      <c r="AK424" s="219"/>
      <c r="AL424" s="219"/>
      <c r="AM424" s="219"/>
      <c r="AN424" s="219"/>
      <c r="AO424" s="219"/>
      <c r="AP424" s="219"/>
      <c r="AQ424" s="219"/>
      <c r="AR424" s="219"/>
      <c r="AS424" s="219"/>
      <c r="AT424" s="219"/>
      <c r="AU424" s="219"/>
      <c r="AV424" s="219"/>
      <c r="AW424" s="219"/>
      <c r="AX424" s="219"/>
      <c r="AY424" s="219"/>
      <c r="AZ424" s="219"/>
      <c r="BA424" s="219"/>
      <c r="BB424" s="219"/>
      <c r="BC424" s="219"/>
      <c r="BD424" s="219"/>
      <c r="BE424" s="219"/>
      <c r="BF424" s="219"/>
      <c r="BG424" s="219"/>
      <c r="BH424" s="219"/>
      <c r="BI424" s="219"/>
      <c r="BJ424" s="219"/>
      <c r="BK424" s="219"/>
      <c r="BL424" s="219"/>
      <c r="BM424" s="219"/>
      <c r="BN424" s="219"/>
    </row>
    <row r="425" ht="29.25" hidden="1" customHeight="1">
      <c r="A425" s="216"/>
      <c r="B425" s="217"/>
      <c r="C425" s="164"/>
      <c r="D425" s="164"/>
      <c r="E425" s="165"/>
      <c r="F425" s="173"/>
      <c r="G425" s="168"/>
      <c r="H425" s="168"/>
      <c r="I425" s="169"/>
      <c r="J425" s="170"/>
      <c r="K425" s="170"/>
      <c r="L425" s="170"/>
      <c r="M425" s="167"/>
      <c r="N425" s="169"/>
      <c r="O425" s="171"/>
      <c r="P425" s="106"/>
      <c r="Q425" s="218"/>
      <c r="R425" s="172"/>
      <c r="S425" s="172"/>
      <c r="T425" s="173"/>
      <c r="U425" s="219"/>
      <c r="V425" s="219"/>
      <c r="W425" s="219"/>
      <c r="X425" s="219"/>
      <c r="Y425" s="219"/>
      <c r="Z425" s="219"/>
      <c r="AA425" s="219"/>
      <c r="AB425" s="219"/>
      <c r="AC425" s="219"/>
      <c r="AD425" s="219"/>
      <c r="AE425" s="219"/>
      <c r="AF425" s="219"/>
      <c r="AG425" s="219"/>
      <c r="AH425" s="219"/>
      <c r="AI425" s="219"/>
      <c r="AJ425" s="219"/>
      <c r="AK425" s="219"/>
      <c r="AL425" s="219"/>
      <c r="AM425" s="219"/>
      <c r="AN425" s="219"/>
      <c r="AO425" s="219"/>
      <c r="AP425" s="219"/>
      <c r="AQ425" s="219"/>
      <c r="AR425" s="219"/>
      <c r="AS425" s="219"/>
      <c r="AT425" s="219"/>
      <c r="AU425" s="219"/>
      <c r="AV425" s="219"/>
      <c r="AW425" s="219"/>
      <c r="AX425" s="219"/>
      <c r="AY425" s="219"/>
      <c r="AZ425" s="219"/>
      <c r="BA425" s="219"/>
      <c r="BB425" s="219"/>
      <c r="BC425" s="219"/>
      <c r="BD425" s="219"/>
      <c r="BE425" s="219"/>
      <c r="BF425" s="219"/>
      <c r="BG425" s="219"/>
      <c r="BH425" s="219"/>
      <c r="BI425" s="219"/>
      <c r="BJ425" s="219"/>
      <c r="BK425" s="219"/>
      <c r="BL425" s="219"/>
      <c r="BM425" s="219"/>
      <c r="BN425" s="219"/>
    </row>
    <row r="426" ht="29.25" hidden="1" customHeight="1">
      <c r="A426" s="216"/>
      <c r="B426" s="217"/>
      <c r="C426" s="164"/>
      <c r="D426" s="164"/>
      <c r="E426" s="165"/>
      <c r="F426" s="173"/>
      <c r="G426" s="168"/>
      <c r="H426" s="168"/>
      <c r="I426" s="169"/>
      <c r="J426" s="170"/>
      <c r="K426" s="170"/>
      <c r="L426" s="170"/>
      <c r="M426" s="167"/>
      <c r="N426" s="169"/>
      <c r="O426" s="171"/>
      <c r="P426" s="106"/>
      <c r="Q426" s="218"/>
      <c r="R426" s="172"/>
      <c r="S426" s="172"/>
      <c r="T426" s="173"/>
      <c r="U426" s="219"/>
      <c r="V426" s="219"/>
      <c r="W426" s="219"/>
      <c r="X426" s="219"/>
      <c r="Y426" s="219"/>
      <c r="Z426" s="219"/>
      <c r="AA426" s="219"/>
      <c r="AB426" s="219"/>
      <c r="AC426" s="219"/>
      <c r="AD426" s="219"/>
      <c r="AE426" s="219"/>
      <c r="AF426" s="219"/>
      <c r="AG426" s="219"/>
      <c r="AH426" s="219"/>
      <c r="AI426" s="219"/>
      <c r="AJ426" s="219"/>
      <c r="AK426" s="219"/>
      <c r="AL426" s="219"/>
      <c r="AM426" s="219"/>
      <c r="AN426" s="219"/>
      <c r="AO426" s="219"/>
      <c r="AP426" s="219"/>
      <c r="AQ426" s="219"/>
      <c r="AR426" s="219"/>
      <c r="AS426" s="219"/>
      <c r="AT426" s="219"/>
      <c r="AU426" s="219"/>
      <c r="AV426" s="219"/>
      <c r="AW426" s="219"/>
      <c r="AX426" s="219"/>
      <c r="AY426" s="219"/>
      <c r="AZ426" s="219"/>
      <c r="BA426" s="219"/>
      <c r="BB426" s="219"/>
      <c r="BC426" s="219"/>
      <c r="BD426" s="219"/>
      <c r="BE426" s="219"/>
      <c r="BF426" s="219"/>
      <c r="BG426" s="219"/>
      <c r="BH426" s="219"/>
      <c r="BI426" s="219"/>
      <c r="BJ426" s="219"/>
      <c r="BK426" s="219"/>
      <c r="BL426" s="219"/>
      <c r="BM426" s="219"/>
      <c r="BN426" s="219"/>
    </row>
    <row r="427" ht="29.25" hidden="1" customHeight="1">
      <c r="A427" s="216"/>
      <c r="B427" s="217"/>
      <c r="C427" s="164"/>
      <c r="D427" s="164"/>
      <c r="E427" s="165"/>
      <c r="F427" s="173"/>
      <c r="G427" s="168"/>
      <c r="H427" s="168"/>
      <c r="I427" s="169"/>
      <c r="J427" s="170"/>
      <c r="K427" s="170"/>
      <c r="L427" s="170"/>
      <c r="M427" s="167"/>
      <c r="N427" s="169"/>
      <c r="O427" s="171"/>
      <c r="P427" s="106"/>
      <c r="Q427" s="218"/>
      <c r="R427" s="172"/>
      <c r="S427" s="172"/>
      <c r="T427" s="173"/>
      <c r="U427" s="219"/>
      <c r="V427" s="219"/>
      <c r="W427" s="219"/>
      <c r="X427" s="219"/>
      <c r="Y427" s="219"/>
      <c r="Z427" s="219"/>
      <c r="AA427" s="219"/>
      <c r="AB427" s="219"/>
      <c r="AC427" s="219"/>
      <c r="AD427" s="219"/>
      <c r="AE427" s="219"/>
      <c r="AF427" s="219"/>
      <c r="AG427" s="219"/>
      <c r="AH427" s="219"/>
      <c r="AI427" s="219"/>
      <c r="AJ427" s="219"/>
      <c r="AK427" s="219"/>
      <c r="AL427" s="219"/>
      <c r="AM427" s="219"/>
      <c r="AN427" s="219"/>
      <c r="AO427" s="219"/>
      <c r="AP427" s="219"/>
      <c r="AQ427" s="219"/>
      <c r="AR427" s="219"/>
      <c r="AS427" s="219"/>
      <c r="AT427" s="219"/>
      <c r="AU427" s="219"/>
      <c r="AV427" s="219"/>
      <c r="AW427" s="219"/>
      <c r="AX427" s="219"/>
      <c r="AY427" s="219"/>
      <c r="AZ427" s="219"/>
      <c r="BA427" s="219"/>
      <c r="BB427" s="219"/>
      <c r="BC427" s="219"/>
      <c r="BD427" s="219"/>
      <c r="BE427" s="219"/>
      <c r="BF427" s="219"/>
      <c r="BG427" s="219"/>
      <c r="BH427" s="219"/>
      <c r="BI427" s="219"/>
      <c r="BJ427" s="219"/>
      <c r="BK427" s="219"/>
      <c r="BL427" s="219"/>
      <c r="BM427" s="219"/>
      <c r="BN427" s="219"/>
    </row>
    <row r="428" ht="29.25" hidden="1" customHeight="1">
      <c r="A428" s="216"/>
      <c r="B428" s="217"/>
      <c r="C428" s="164"/>
      <c r="D428" s="164"/>
      <c r="E428" s="165"/>
      <c r="F428" s="173"/>
      <c r="G428" s="168"/>
      <c r="H428" s="168"/>
      <c r="I428" s="169"/>
      <c r="J428" s="170"/>
      <c r="K428" s="170"/>
      <c r="L428" s="170"/>
      <c r="M428" s="167"/>
      <c r="N428" s="169"/>
      <c r="O428" s="171"/>
      <c r="P428" s="106"/>
      <c r="Q428" s="218"/>
      <c r="R428" s="172"/>
      <c r="S428" s="172"/>
      <c r="T428" s="173"/>
      <c r="U428" s="219"/>
      <c r="V428" s="219"/>
      <c r="W428" s="219"/>
      <c r="X428" s="219"/>
      <c r="Y428" s="219"/>
      <c r="Z428" s="219"/>
      <c r="AA428" s="219"/>
      <c r="AB428" s="219"/>
      <c r="AC428" s="219"/>
      <c r="AD428" s="219"/>
      <c r="AE428" s="219"/>
      <c r="AF428" s="219"/>
      <c r="AG428" s="219"/>
      <c r="AH428" s="219"/>
      <c r="AI428" s="219"/>
      <c r="AJ428" s="219"/>
      <c r="AK428" s="219"/>
      <c r="AL428" s="219"/>
      <c r="AM428" s="219"/>
      <c r="AN428" s="219"/>
      <c r="AO428" s="219"/>
      <c r="AP428" s="219"/>
      <c r="AQ428" s="219"/>
      <c r="AR428" s="219"/>
      <c r="AS428" s="219"/>
      <c r="AT428" s="219"/>
      <c r="AU428" s="219"/>
      <c r="AV428" s="219"/>
      <c r="AW428" s="219"/>
      <c r="AX428" s="219"/>
      <c r="AY428" s="219"/>
      <c r="AZ428" s="219"/>
      <c r="BA428" s="219"/>
      <c r="BB428" s="219"/>
      <c r="BC428" s="219"/>
      <c r="BD428" s="219"/>
      <c r="BE428" s="219"/>
      <c r="BF428" s="219"/>
      <c r="BG428" s="219"/>
      <c r="BH428" s="219"/>
      <c r="BI428" s="219"/>
      <c r="BJ428" s="219"/>
      <c r="BK428" s="219"/>
      <c r="BL428" s="219"/>
      <c r="BM428" s="219"/>
      <c r="BN428" s="219"/>
    </row>
    <row r="429" ht="29.25" hidden="1" customHeight="1">
      <c r="A429" s="216"/>
      <c r="B429" s="217"/>
      <c r="C429" s="164"/>
      <c r="D429" s="164"/>
      <c r="E429" s="165"/>
      <c r="F429" s="173"/>
      <c r="G429" s="168"/>
      <c r="H429" s="168"/>
      <c r="I429" s="169"/>
      <c r="J429" s="170"/>
      <c r="K429" s="170"/>
      <c r="L429" s="170"/>
      <c r="M429" s="167"/>
      <c r="N429" s="169"/>
      <c r="O429" s="171"/>
      <c r="P429" s="106"/>
      <c r="Q429" s="218"/>
      <c r="R429" s="172"/>
      <c r="S429" s="172"/>
      <c r="T429" s="173"/>
      <c r="U429" s="219"/>
      <c r="V429" s="219"/>
      <c r="W429" s="219"/>
      <c r="X429" s="219"/>
      <c r="Y429" s="219"/>
      <c r="Z429" s="219"/>
      <c r="AA429" s="219"/>
      <c r="AB429" s="219"/>
      <c r="AC429" s="219"/>
      <c r="AD429" s="219"/>
      <c r="AE429" s="219"/>
      <c r="AF429" s="219"/>
      <c r="AG429" s="219"/>
      <c r="AH429" s="219"/>
      <c r="AI429" s="219"/>
      <c r="AJ429" s="219"/>
      <c r="AK429" s="219"/>
      <c r="AL429" s="219"/>
      <c r="AM429" s="219"/>
      <c r="AN429" s="219"/>
      <c r="AO429" s="219"/>
      <c r="AP429" s="219"/>
      <c r="AQ429" s="219"/>
      <c r="AR429" s="219"/>
      <c r="AS429" s="219"/>
      <c r="AT429" s="219"/>
      <c r="AU429" s="219"/>
      <c r="AV429" s="219"/>
      <c r="AW429" s="219"/>
      <c r="AX429" s="219"/>
      <c r="AY429" s="219"/>
      <c r="AZ429" s="219"/>
      <c r="BA429" s="219"/>
      <c r="BB429" s="219"/>
      <c r="BC429" s="219"/>
      <c r="BD429" s="219"/>
      <c r="BE429" s="219"/>
      <c r="BF429" s="219"/>
      <c r="BG429" s="219"/>
      <c r="BH429" s="219"/>
      <c r="BI429" s="219"/>
      <c r="BJ429" s="219"/>
      <c r="BK429" s="219"/>
      <c r="BL429" s="219"/>
      <c r="BM429" s="219"/>
      <c r="BN429" s="219"/>
    </row>
    <row r="430" ht="29.25" hidden="1" customHeight="1">
      <c r="A430" s="216"/>
      <c r="B430" s="217"/>
      <c r="C430" s="164"/>
      <c r="D430" s="164"/>
      <c r="E430" s="165"/>
      <c r="F430" s="173"/>
      <c r="G430" s="168"/>
      <c r="H430" s="168"/>
      <c r="I430" s="169"/>
      <c r="J430" s="170"/>
      <c r="K430" s="170"/>
      <c r="L430" s="170"/>
      <c r="M430" s="167"/>
      <c r="N430" s="169"/>
      <c r="O430" s="171"/>
      <c r="P430" s="106"/>
      <c r="Q430" s="218"/>
      <c r="R430" s="172"/>
      <c r="S430" s="172"/>
      <c r="T430" s="173"/>
      <c r="U430" s="219"/>
      <c r="V430" s="219"/>
      <c r="W430" s="219"/>
      <c r="X430" s="219"/>
      <c r="Y430" s="219"/>
      <c r="Z430" s="219"/>
      <c r="AA430" s="219"/>
      <c r="AB430" s="219"/>
      <c r="AC430" s="219"/>
      <c r="AD430" s="219"/>
      <c r="AE430" s="219"/>
      <c r="AF430" s="219"/>
      <c r="AG430" s="219"/>
      <c r="AH430" s="219"/>
      <c r="AI430" s="219"/>
      <c r="AJ430" s="219"/>
      <c r="AK430" s="219"/>
      <c r="AL430" s="219"/>
      <c r="AM430" s="219"/>
      <c r="AN430" s="219"/>
      <c r="AO430" s="219"/>
      <c r="AP430" s="219"/>
      <c r="AQ430" s="219"/>
      <c r="AR430" s="219"/>
      <c r="AS430" s="219"/>
      <c r="AT430" s="219"/>
      <c r="AU430" s="219"/>
      <c r="AV430" s="219"/>
      <c r="AW430" s="219"/>
      <c r="AX430" s="219"/>
      <c r="AY430" s="219"/>
      <c r="AZ430" s="219"/>
      <c r="BA430" s="219"/>
      <c r="BB430" s="219"/>
      <c r="BC430" s="219"/>
      <c r="BD430" s="219"/>
      <c r="BE430" s="219"/>
      <c r="BF430" s="219"/>
      <c r="BG430" s="219"/>
      <c r="BH430" s="219"/>
      <c r="BI430" s="219"/>
      <c r="BJ430" s="219"/>
      <c r="BK430" s="219"/>
      <c r="BL430" s="219"/>
      <c r="BM430" s="219"/>
      <c r="BN430" s="219"/>
    </row>
    <row r="431" ht="29.25" hidden="1" customHeight="1">
      <c r="A431" s="216"/>
      <c r="B431" s="217"/>
      <c r="C431" s="164"/>
      <c r="D431" s="164"/>
      <c r="E431" s="165"/>
      <c r="F431" s="173"/>
      <c r="G431" s="168"/>
      <c r="H431" s="168"/>
      <c r="I431" s="169"/>
      <c r="J431" s="170"/>
      <c r="K431" s="170"/>
      <c r="L431" s="170"/>
      <c r="M431" s="167"/>
      <c r="N431" s="169"/>
      <c r="O431" s="171"/>
      <c r="P431" s="106"/>
      <c r="Q431" s="218"/>
      <c r="R431" s="172"/>
      <c r="S431" s="172"/>
      <c r="T431" s="173"/>
      <c r="U431" s="219"/>
      <c r="V431" s="219"/>
      <c r="W431" s="219"/>
      <c r="X431" s="219"/>
      <c r="Y431" s="219"/>
      <c r="Z431" s="219"/>
      <c r="AA431" s="219"/>
      <c r="AB431" s="219"/>
      <c r="AC431" s="219"/>
      <c r="AD431" s="219"/>
      <c r="AE431" s="219"/>
      <c r="AF431" s="219"/>
      <c r="AG431" s="219"/>
      <c r="AH431" s="219"/>
      <c r="AI431" s="219"/>
      <c r="AJ431" s="219"/>
      <c r="AK431" s="219"/>
      <c r="AL431" s="219"/>
      <c r="AM431" s="219"/>
      <c r="AN431" s="219"/>
      <c r="AO431" s="219"/>
      <c r="AP431" s="219"/>
      <c r="AQ431" s="219"/>
      <c r="AR431" s="219"/>
      <c r="AS431" s="219"/>
      <c r="AT431" s="219"/>
      <c r="AU431" s="219"/>
      <c r="AV431" s="219"/>
      <c r="AW431" s="219"/>
      <c r="AX431" s="219"/>
      <c r="AY431" s="219"/>
      <c r="AZ431" s="219"/>
      <c r="BA431" s="219"/>
      <c r="BB431" s="219"/>
      <c r="BC431" s="219"/>
      <c r="BD431" s="219"/>
      <c r="BE431" s="219"/>
      <c r="BF431" s="219"/>
      <c r="BG431" s="219"/>
      <c r="BH431" s="219"/>
      <c r="BI431" s="219"/>
      <c r="BJ431" s="219"/>
      <c r="BK431" s="219"/>
      <c r="BL431" s="219"/>
      <c r="BM431" s="219"/>
      <c r="BN431" s="219"/>
    </row>
    <row r="432" ht="29.25" hidden="1" customHeight="1">
      <c r="A432" s="216"/>
      <c r="B432" s="217"/>
      <c r="C432" s="164"/>
      <c r="D432" s="164"/>
      <c r="E432" s="165"/>
      <c r="F432" s="173"/>
      <c r="G432" s="168"/>
      <c r="H432" s="168"/>
      <c r="I432" s="169"/>
      <c r="J432" s="170"/>
      <c r="K432" s="170"/>
      <c r="L432" s="170"/>
      <c r="M432" s="167"/>
      <c r="N432" s="169"/>
      <c r="O432" s="171"/>
      <c r="P432" s="106"/>
      <c r="Q432" s="218"/>
      <c r="R432" s="172"/>
      <c r="S432" s="172"/>
      <c r="T432" s="173"/>
      <c r="U432" s="219"/>
      <c r="V432" s="219"/>
      <c r="W432" s="219"/>
      <c r="X432" s="219"/>
      <c r="Y432" s="219"/>
      <c r="Z432" s="219"/>
      <c r="AA432" s="219"/>
      <c r="AB432" s="219"/>
      <c r="AC432" s="219"/>
      <c r="AD432" s="219"/>
      <c r="AE432" s="219"/>
      <c r="AF432" s="219"/>
      <c r="AG432" s="219"/>
      <c r="AH432" s="219"/>
      <c r="AI432" s="219"/>
      <c r="AJ432" s="219"/>
      <c r="AK432" s="219"/>
      <c r="AL432" s="219"/>
      <c r="AM432" s="219"/>
      <c r="AN432" s="219"/>
      <c r="AO432" s="219"/>
      <c r="AP432" s="219"/>
      <c r="AQ432" s="219"/>
      <c r="AR432" s="219"/>
      <c r="AS432" s="219"/>
      <c r="AT432" s="219"/>
      <c r="AU432" s="219"/>
      <c r="AV432" s="219"/>
      <c r="AW432" s="219"/>
      <c r="AX432" s="219"/>
      <c r="AY432" s="219"/>
      <c r="AZ432" s="219"/>
      <c r="BA432" s="219"/>
      <c r="BB432" s="219"/>
      <c r="BC432" s="219"/>
      <c r="BD432" s="219"/>
      <c r="BE432" s="219"/>
      <c r="BF432" s="219"/>
      <c r="BG432" s="219"/>
      <c r="BH432" s="219"/>
      <c r="BI432" s="219"/>
      <c r="BJ432" s="219"/>
      <c r="BK432" s="219"/>
      <c r="BL432" s="219"/>
      <c r="BM432" s="219"/>
      <c r="BN432" s="219"/>
    </row>
    <row r="433" ht="29.25" hidden="1" customHeight="1">
      <c r="A433" s="216"/>
      <c r="B433" s="217"/>
      <c r="C433" s="164"/>
      <c r="D433" s="164"/>
      <c r="E433" s="165"/>
      <c r="F433" s="173"/>
      <c r="G433" s="168"/>
      <c r="H433" s="168"/>
      <c r="I433" s="169"/>
      <c r="J433" s="170"/>
      <c r="K433" s="170"/>
      <c r="L433" s="170"/>
      <c r="M433" s="167"/>
      <c r="N433" s="169"/>
      <c r="O433" s="171"/>
      <c r="P433" s="106"/>
      <c r="Q433" s="218"/>
      <c r="R433" s="172"/>
      <c r="S433" s="172"/>
      <c r="T433" s="173"/>
      <c r="U433" s="219"/>
      <c r="V433" s="219"/>
      <c r="W433" s="219"/>
      <c r="X433" s="219"/>
      <c r="Y433" s="219"/>
      <c r="Z433" s="219"/>
      <c r="AA433" s="219"/>
      <c r="AB433" s="219"/>
      <c r="AC433" s="219"/>
      <c r="AD433" s="219"/>
      <c r="AE433" s="219"/>
      <c r="AF433" s="219"/>
      <c r="AG433" s="219"/>
      <c r="AH433" s="219"/>
      <c r="AI433" s="219"/>
      <c r="AJ433" s="219"/>
      <c r="AK433" s="219"/>
      <c r="AL433" s="219"/>
      <c r="AM433" s="219"/>
      <c r="AN433" s="219"/>
      <c r="AO433" s="219"/>
      <c r="AP433" s="219"/>
      <c r="AQ433" s="219"/>
      <c r="AR433" s="219"/>
      <c r="AS433" s="219"/>
      <c r="AT433" s="219"/>
      <c r="AU433" s="219"/>
      <c r="AV433" s="219"/>
      <c r="AW433" s="219"/>
      <c r="AX433" s="219"/>
      <c r="AY433" s="219"/>
      <c r="AZ433" s="219"/>
      <c r="BA433" s="219"/>
      <c r="BB433" s="219"/>
      <c r="BC433" s="219"/>
      <c r="BD433" s="219"/>
      <c r="BE433" s="219"/>
      <c r="BF433" s="219"/>
      <c r="BG433" s="219"/>
      <c r="BH433" s="219"/>
      <c r="BI433" s="219"/>
      <c r="BJ433" s="219"/>
      <c r="BK433" s="219"/>
      <c r="BL433" s="219"/>
      <c r="BM433" s="219"/>
      <c r="BN433" s="219"/>
    </row>
    <row r="434" ht="29.25" hidden="1" customHeight="1">
      <c r="A434" s="216"/>
      <c r="B434" s="217"/>
      <c r="C434" s="164"/>
      <c r="D434" s="164"/>
      <c r="E434" s="165"/>
      <c r="F434" s="173"/>
      <c r="G434" s="168"/>
      <c r="H434" s="168"/>
      <c r="I434" s="169"/>
      <c r="J434" s="170"/>
      <c r="K434" s="170"/>
      <c r="L434" s="170"/>
      <c r="M434" s="167"/>
      <c r="N434" s="169"/>
      <c r="O434" s="171"/>
      <c r="P434" s="106"/>
      <c r="Q434" s="218"/>
      <c r="R434" s="172"/>
      <c r="S434" s="172"/>
      <c r="T434" s="173"/>
      <c r="U434" s="219"/>
      <c r="V434" s="219"/>
      <c r="W434" s="219"/>
      <c r="X434" s="219"/>
      <c r="Y434" s="219"/>
      <c r="Z434" s="219"/>
      <c r="AA434" s="219"/>
      <c r="AB434" s="219"/>
      <c r="AC434" s="219"/>
      <c r="AD434" s="219"/>
      <c r="AE434" s="219"/>
      <c r="AF434" s="219"/>
      <c r="AG434" s="219"/>
      <c r="AH434" s="219"/>
      <c r="AI434" s="219"/>
      <c r="AJ434" s="219"/>
      <c r="AK434" s="219"/>
      <c r="AL434" s="219"/>
      <c r="AM434" s="219"/>
      <c r="AN434" s="219"/>
      <c r="AO434" s="219"/>
      <c r="AP434" s="219"/>
      <c r="AQ434" s="219"/>
      <c r="AR434" s="219"/>
      <c r="AS434" s="219"/>
      <c r="AT434" s="219"/>
      <c r="AU434" s="219"/>
      <c r="AV434" s="219"/>
      <c r="AW434" s="219"/>
      <c r="AX434" s="219"/>
      <c r="AY434" s="219"/>
      <c r="AZ434" s="219"/>
      <c r="BA434" s="219"/>
      <c r="BB434" s="219"/>
      <c r="BC434" s="219"/>
      <c r="BD434" s="219"/>
      <c r="BE434" s="219"/>
      <c r="BF434" s="219"/>
      <c r="BG434" s="219"/>
      <c r="BH434" s="219"/>
      <c r="BI434" s="219"/>
      <c r="BJ434" s="219"/>
      <c r="BK434" s="219"/>
      <c r="BL434" s="219"/>
      <c r="BM434" s="219"/>
      <c r="BN434" s="219"/>
    </row>
    <row r="435" ht="29.25" hidden="1" customHeight="1">
      <c r="A435" s="216"/>
      <c r="B435" s="217"/>
      <c r="C435" s="164"/>
      <c r="D435" s="164"/>
      <c r="E435" s="165"/>
      <c r="F435" s="173"/>
      <c r="G435" s="168"/>
      <c r="H435" s="168"/>
      <c r="I435" s="169"/>
      <c r="J435" s="170"/>
      <c r="K435" s="170"/>
      <c r="L435" s="170"/>
      <c r="M435" s="167"/>
      <c r="N435" s="169"/>
      <c r="O435" s="171"/>
      <c r="P435" s="106"/>
      <c r="Q435" s="218"/>
      <c r="R435" s="172"/>
      <c r="S435" s="172"/>
      <c r="T435" s="173"/>
      <c r="U435" s="219"/>
      <c r="V435" s="219"/>
      <c r="W435" s="219"/>
      <c r="X435" s="219"/>
      <c r="Y435" s="219"/>
      <c r="Z435" s="219"/>
      <c r="AA435" s="219"/>
      <c r="AB435" s="219"/>
      <c r="AC435" s="219"/>
      <c r="AD435" s="219"/>
      <c r="AE435" s="219"/>
      <c r="AF435" s="219"/>
      <c r="AG435" s="219"/>
      <c r="AH435" s="219"/>
      <c r="AI435" s="219"/>
      <c r="AJ435" s="219"/>
      <c r="AK435" s="219"/>
      <c r="AL435" s="219"/>
      <c r="AM435" s="219"/>
      <c r="AN435" s="219"/>
      <c r="AO435" s="219"/>
      <c r="AP435" s="219"/>
      <c r="AQ435" s="219"/>
      <c r="AR435" s="219"/>
      <c r="AS435" s="219"/>
      <c r="AT435" s="219"/>
      <c r="AU435" s="219"/>
      <c r="AV435" s="219"/>
      <c r="AW435" s="219"/>
      <c r="AX435" s="219"/>
      <c r="AY435" s="219"/>
      <c r="AZ435" s="219"/>
      <c r="BA435" s="219"/>
      <c r="BB435" s="219"/>
      <c r="BC435" s="219"/>
      <c r="BD435" s="219"/>
      <c r="BE435" s="219"/>
      <c r="BF435" s="219"/>
      <c r="BG435" s="219"/>
      <c r="BH435" s="219"/>
      <c r="BI435" s="219"/>
      <c r="BJ435" s="219"/>
      <c r="BK435" s="219"/>
      <c r="BL435" s="219"/>
      <c r="BM435" s="219"/>
      <c r="BN435" s="219"/>
    </row>
    <row r="436" ht="29.25" hidden="1" customHeight="1">
      <c r="A436" s="216"/>
      <c r="B436" s="217"/>
      <c r="C436" s="164"/>
      <c r="D436" s="164"/>
      <c r="E436" s="165"/>
      <c r="F436" s="173"/>
      <c r="G436" s="168"/>
      <c r="H436" s="168"/>
      <c r="I436" s="169"/>
      <c r="J436" s="170"/>
      <c r="K436" s="170"/>
      <c r="L436" s="170"/>
      <c r="M436" s="167"/>
      <c r="N436" s="169"/>
      <c r="O436" s="171"/>
      <c r="P436" s="106"/>
      <c r="Q436" s="218"/>
      <c r="R436" s="172"/>
      <c r="S436" s="172"/>
      <c r="T436" s="173"/>
      <c r="U436" s="219"/>
      <c r="V436" s="219"/>
      <c r="W436" s="219"/>
      <c r="X436" s="219"/>
      <c r="Y436" s="219"/>
      <c r="Z436" s="219"/>
      <c r="AA436" s="219"/>
      <c r="AB436" s="219"/>
      <c r="AC436" s="219"/>
      <c r="AD436" s="219"/>
      <c r="AE436" s="219"/>
      <c r="AF436" s="219"/>
      <c r="AG436" s="219"/>
      <c r="AH436" s="219"/>
      <c r="AI436" s="219"/>
      <c r="AJ436" s="219"/>
      <c r="AK436" s="219"/>
      <c r="AL436" s="219"/>
      <c r="AM436" s="219"/>
      <c r="AN436" s="219"/>
      <c r="AO436" s="219"/>
      <c r="AP436" s="219"/>
      <c r="AQ436" s="219"/>
      <c r="AR436" s="219"/>
      <c r="AS436" s="219"/>
      <c r="AT436" s="219"/>
      <c r="AU436" s="219"/>
      <c r="AV436" s="219"/>
      <c r="AW436" s="219"/>
      <c r="AX436" s="219"/>
      <c r="AY436" s="219"/>
      <c r="AZ436" s="219"/>
      <c r="BA436" s="219"/>
      <c r="BB436" s="219"/>
      <c r="BC436" s="219"/>
      <c r="BD436" s="219"/>
      <c r="BE436" s="219"/>
      <c r="BF436" s="219"/>
      <c r="BG436" s="219"/>
      <c r="BH436" s="219"/>
      <c r="BI436" s="219"/>
      <c r="BJ436" s="219"/>
      <c r="BK436" s="219"/>
      <c r="BL436" s="219"/>
      <c r="BM436" s="219"/>
      <c r="BN436" s="219"/>
    </row>
    <row r="437" ht="29.25" hidden="1" customHeight="1">
      <c r="A437" s="216"/>
      <c r="B437" s="217"/>
      <c r="C437" s="164"/>
      <c r="D437" s="164"/>
      <c r="E437" s="165"/>
      <c r="F437" s="173"/>
      <c r="G437" s="168"/>
      <c r="H437" s="168"/>
      <c r="I437" s="169"/>
      <c r="J437" s="170"/>
      <c r="K437" s="170"/>
      <c r="L437" s="170"/>
      <c r="M437" s="167"/>
      <c r="N437" s="169"/>
      <c r="O437" s="171"/>
      <c r="P437" s="106"/>
      <c r="Q437" s="218"/>
      <c r="R437" s="172"/>
      <c r="S437" s="172"/>
      <c r="T437" s="173"/>
      <c r="U437" s="219"/>
      <c r="V437" s="219"/>
      <c r="W437" s="219"/>
      <c r="X437" s="219"/>
      <c r="Y437" s="219"/>
      <c r="Z437" s="219"/>
      <c r="AA437" s="219"/>
      <c r="AB437" s="219"/>
      <c r="AC437" s="219"/>
      <c r="AD437" s="219"/>
      <c r="AE437" s="219"/>
      <c r="AF437" s="219"/>
      <c r="AG437" s="219"/>
      <c r="AH437" s="219"/>
      <c r="AI437" s="219"/>
      <c r="AJ437" s="219"/>
      <c r="AK437" s="219"/>
      <c r="AL437" s="219"/>
      <c r="AM437" s="219"/>
      <c r="AN437" s="219"/>
      <c r="AO437" s="219"/>
      <c r="AP437" s="219"/>
      <c r="AQ437" s="219"/>
      <c r="AR437" s="219"/>
      <c r="AS437" s="219"/>
      <c r="AT437" s="219"/>
      <c r="AU437" s="219"/>
      <c r="AV437" s="219"/>
      <c r="AW437" s="219"/>
      <c r="AX437" s="219"/>
      <c r="AY437" s="219"/>
      <c r="AZ437" s="219"/>
      <c r="BA437" s="219"/>
      <c r="BB437" s="219"/>
      <c r="BC437" s="219"/>
      <c r="BD437" s="219"/>
      <c r="BE437" s="219"/>
      <c r="BF437" s="219"/>
      <c r="BG437" s="219"/>
      <c r="BH437" s="219"/>
      <c r="BI437" s="219"/>
      <c r="BJ437" s="219"/>
      <c r="BK437" s="219"/>
      <c r="BL437" s="219"/>
      <c r="BM437" s="219"/>
      <c r="BN437" s="219"/>
    </row>
    <row r="438" ht="29.25" hidden="1" customHeight="1">
      <c r="A438" s="216"/>
      <c r="B438" s="217"/>
      <c r="C438" s="164"/>
      <c r="D438" s="164"/>
      <c r="E438" s="165"/>
      <c r="F438" s="173"/>
      <c r="G438" s="168"/>
      <c r="H438" s="168"/>
      <c r="I438" s="169"/>
      <c r="J438" s="170"/>
      <c r="K438" s="170"/>
      <c r="L438" s="170"/>
      <c r="M438" s="167"/>
      <c r="N438" s="169"/>
      <c r="O438" s="171"/>
      <c r="P438" s="106"/>
      <c r="Q438" s="218"/>
      <c r="R438" s="172"/>
      <c r="S438" s="172"/>
      <c r="T438" s="173"/>
      <c r="U438" s="219"/>
      <c r="V438" s="219"/>
      <c r="W438" s="219"/>
      <c r="X438" s="219"/>
      <c r="Y438" s="219"/>
      <c r="Z438" s="219"/>
      <c r="AA438" s="219"/>
      <c r="AB438" s="219"/>
      <c r="AC438" s="219"/>
      <c r="AD438" s="219"/>
      <c r="AE438" s="219"/>
      <c r="AF438" s="219"/>
      <c r="AG438" s="219"/>
      <c r="AH438" s="219"/>
      <c r="AI438" s="219"/>
      <c r="AJ438" s="219"/>
      <c r="AK438" s="219"/>
      <c r="AL438" s="219"/>
      <c r="AM438" s="219"/>
      <c r="AN438" s="219"/>
      <c r="AO438" s="219"/>
      <c r="AP438" s="219"/>
      <c r="AQ438" s="219"/>
      <c r="AR438" s="219"/>
      <c r="AS438" s="219"/>
      <c r="AT438" s="219"/>
      <c r="AU438" s="219"/>
      <c r="AV438" s="219"/>
      <c r="AW438" s="219"/>
      <c r="AX438" s="219"/>
      <c r="AY438" s="219"/>
      <c r="AZ438" s="219"/>
      <c r="BA438" s="219"/>
      <c r="BB438" s="219"/>
      <c r="BC438" s="219"/>
      <c r="BD438" s="219"/>
      <c r="BE438" s="219"/>
      <c r="BF438" s="219"/>
      <c r="BG438" s="219"/>
      <c r="BH438" s="219"/>
      <c r="BI438" s="219"/>
      <c r="BJ438" s="219"/>
      <c r="BK438" s="219"/>
      <c r="BL438" s="219"/>
      <c r="BM438" s="219"/>
      <c r="BN438" s="219"/>
    </row>
    <row r="439" ht="29.25" hidden="1" customHeight="1">
      <c r="A439" s="216"/>
      <c r="B439" s="217"/>
      <c r="C439" s="164"/>
      <c r="D439" s="164"/>
      <c r="E439" s="165"/>
      <c r="F439" s="173"/>
      <c r="G439" s="168"/>
      <c r="H439" s="168"/>
      <c r="I439" s="169"/>
      <c r="J439" s="170"/>
      <c r="K439" s="170"/>
      <c r="L439" s="170"/>
      <c r="M439" s="167"/>
      <c r="N439" s="169"/>
      <c r="O439" s="171"/>
      <c r="P439" s="106"/>
      <c r="Q439" s="218"/>
      <c r="R439" s="172"/>
      <c r="S439" s="172"/>
      <c r="T439" s="173"/>
      <c r="U439" s="219"/>
      <c r="V439" s="219"/>
      <c r="W439" s="219"/>
      <c r="X439" s="219"/>
      <c r="Y439" s="219"/>
      <c r="Z439" s="219"/>
      <c r="AA439" s="219"/>
      <c r="AB439" s="219"/>
      <c r="AC439" s="219"/>
      <c r="AD439" s="219"/>
      <c r="AE439" s="219"/>
      <c r="AF439" s="219"/>
      <c r="AG439" s="219"/>
      <c r="AH439" s="219"/>
      <c r="AI439" s="219"/>
      <c r="AJ439" s="219"/>
      <c r="AK439" s="219"/>
      <c r="AL439" s="219"/>
      <c r="AM439" s="219"/>
      <c r="AN439" s="219"/>
      <c r="AO439" s="219"/>
      <c r="AP439" s="219"/>
      <c r="AQ439" s="219"/>
      <c r="AR439" s="219"/>
      <c r="AS439" s="219"/>
      <c r="AT439" s="219"/>
      <c r="AU439" s="219"/>
      <c r="AV439" s="219"/>
      <c r="AW439" s="219"/>
      <c r="AX439" s="219"/>
      <c r="AY439" s="219"/>
      <c r="AZ439" s="219"/>
      <c r="BA439" s="219"/>
      <c r="BB439" s="219"/>
      <c r="BC439" s="219"/>
      <c r="BD439" s="219"/>
      <c r="BE439" s="219"/>
      <c r="BF439" s="219"/>
      <c r="BG439" s="219"/>
      <c r="BH439" s="219"/>
      <c r="BI439" s="219"/>
      <c r="BJ439" s="219"/>
      <c r="BK439" s="219"/>
      <c r="BL439" s="219"/>
      <c r="BM439" s="219"/>
      <c r="BN439" s="219"/>
    </row>
    <row r="440" ht="29.25" hidden="1" customHeight="1">
      <c r="A440" s="216"/>
      <c r="B440" s="217"/>
      <c r="C440" s="164"/>
      <c r="D440" s="164"/>
      <c r="E440" s="165"/>
      <c r="F440" s="173"/>
      <c r="G440" s="168"/>
      <c r="H440" s="168"/>
      <c r="I440" s="169"/>
      <c r="J440" s="170"/>
      <c r="K440" s="170"/>
      <c r="L440" s="170"/>
      <c r="M440" s="167"/>
      <c r="N440" s="169"/>
      <c r="O440" s="171"/>
      <c r="P440" s="106"/>
      <c r="Q440" s="218"/>
      <c r="R440" s="172"/>
      <c r="S440" s="172"/>
      <c r="T440" s="173"/>
      <c r="U440" s="219"/>
      <c r="V440" s="219"/>
      <c r="W440" s="219"/>
      <c r="X440" s="219"/>
      <c r="Y440" s="219"/>
      <c r="Z440" s="219"/>
      <c r="AA440" s="219"/>
      <c r="AB440" s="219"/>
      <c r="AC440" s="219"/>
      <c r="AD440" s="219"/>
      <c r="AE440" s="219"/>
      <c r="AF440" s="219"/>
      <c r="AG440" s="219"/>
      <c r="AH440" s="219"/>
      <c r="AI440" s="219"/>
      <c r="AJ440" s="219"/>
      <c r="AK440" s="219"/>
      <c r="AL440" s="219"/>
      <c r="AM440" s="219"/>
      <c r="AN440" s="219"/>
      <c r="AO440" s="219"/>
      <c r="AP440" s="219"/>
      <c r="AQ440" s="219"/>
      <c r="AR440" s="219"/>
      <c r="AS440" s="219"/>
      <c r="AT440" s="219"/>
      <c r="AU440" s="219"/>
      <c r="AV440" s="219"/>
      <c r="AW440" s="219"/>
      <c r="AX440" s="219"/>
      <c r="AY440" s="219"/>
      <c r="AZ440" s="219"/>
      <c r="BA440" s="219"/>
      <c r="BB440" s="219"/>
      <c r="BC440" s="219"/>
      <c r="BD440" s="219"/>
      <c r="BE440" s="219"/>
      <c r="BF440" s="219"/>
      <c r="BG440" s="219"/>
      <c r="BH440" s="219"/>
      <c r="BI440" s="219"/>
      <c r="BJ440" s="219"/>
      <c r="BK440" s="219"/>
      <c r="BL440" s="219"/>
      <c r="BM440" s="219"/>
      <c r="BN440" s="219"/>
    </row>
    <row r="441" ht="29.25" hidden="1" customHeight="1">
      <c r="A441" s="216"/>
      <c r="B441" s="217"/>
      <c r="C441" s="164"/>
      <c r="D441" s="164"/>
      <c r="E441" s="165"/>
      <c r="F441" s="173"/>
      <c r="G441" s="168"/>
      <c r="H441" s="168"/>
      <c r="I441" s="169"/>
      <c r="J441" s="170"/>
      <c r="K441" s="170"/>
      <c r="L441" s="170"/>
      <c r="M441" s="167"/>
      <c r="N441" s="169"/>
      <c r="O441" s="171"/>
      <c r="P441" s="106"/>
      <c r="Q441" s="218"/>
      <c r="R441" s="172"/>
      <c r="S441" s="172"/>
      <c r="T441" s="173"/>
      <c r="U441" s="219"/>
      <c r="V441" s="219"/>
      <c r="W441" s="219"/>
      <c r="X441" s="219"/>
      <c r="Y441" s="219"/>
      <c r="Z441" s="219"/>
      <c r="AA441" s="219"/>
      <c r="AB441" s="219"/>
      <c r="AC441" s="219"/>
      <c r="AD441" s="219"/>
      <c r="AE441" s="219"/>
      <c r="AF441" s="219"/>
      <c r="AG441" s="219"/>
      <c r="AH441" s="219"/>
      <c r="AI441" s="219"/>
      <c r="AJ441" s="219"/>
      <c r="AK441" s="219"/>
      <c r="AL441" s="219"/>
      <c r="AM441" s="219"/>
      <c r="AN441" s="219"/>
      <c r="AO441" s="219"/>
      <c r="AP441" s="219"/>
      <c r="AQ441" s="219"/>
      <c r="AR441" s="219"/>
      <c r="AS441" s="219"/>
      <c r="AT441" s="219"/>
      <c r="AU441" s="219"/>
      <c r="AV441" s="219"/>
      <c r="AW441" s="219"/>
      <c r="AX441" s="219"/>
      <c r="AY441" s="219"/>
      <c r="AZ441" s="219"/>
      <c r="BA441" s="219"/>
      <c r="BB441" s="219"/>
      <c r="BC441" s="219"/>
      <c r="BD441" s="219"/>
      <c r="BE441" s="219"/>
      <c r="BF441" s="219"/>
      <c r="BG441" s="219"/>
      <c r="BH441" s="219"/>
      <c r="BI441" s="219"/>
      <c r="BJ441" s="219"/>
      <c r="BK441" s="219"/>
      <c r="BL441" s="219"/>
      <c r="BM441" s="219"/>
      <c r="BN441" s="219"/>
    </row>
    <row r="442" ht="29.25" hidden="1" customHeight="1">
      <c r="A442" s="216"/>
      <c r="B442" s="217"/>
      <c r="C442" s="164"/>
      <c r="D442" s="164"/>
      <c r="E442" s="165"/>
      <c r="F442" s="173"/>
      <c r="G442" s="168"/>
      <c r="H442" s="168"/>
      <c r="I442" s="169"/>
      <c r="J442" s="170"/>
      <c r="K442" s="170"/>
      <c r="L442" s="170"/>
      <c r="M442" s="167"/>
      <c r="N442" s="169"/>
      <c r="O442" s="171"/>
      <c r="P442" s="106"/>
      <c r="Q442" s="218"/>
      <c r="R442" s="172"/>
      <c r="S442" s="172"/>
      <c r="T442" s="173"/>
      <c r="U442" s="219"/>
      <c r="V442" s="219"/>
      <c r="W442" s="219"/>
      <c r="X442" s="219"/>
      <c r="Y442" s="219"/>
      <c r="Z442" s="219"/>
      <c r="AA442" s="219"/>
      <c r="AB442" s="219"/>
      <c r="AC442" s="219"/>
      <c r="AD442" s="219"/>
      <c r="AE442" s="219"/>
      <c r="AF442" s="219"/>
      <c r="AG442" s="219"/>
      <c r="AH442" s="219"/>
      <c r="AI442" s="219"/>
      <c r="AJ442" s="219"/>
      <c r="AK442" s="219"/>
      <c r="AL442" s="219"/>
      <c r="AM442" s="219"/>
      <c r="AN442" s="219"/>
      <c r="AO442" s="219"/>
      <c r="AP442" s="219"/>
      <c r="AQ442" s="219"/>
      <c r="AR442" s="219"/>
      <c r="AS442" s="219"/>
      <c r="AT442" s="219"/>
      <c r="AU442" s="219"/>
      <c r="AV442" s="219"/>
      <c r="AW442" s="219"/>
      <c r="AX442" s="219"/>
      <c r="AY442" s="219"/>
      <c r="AZ442" s="219"/>
      <c r="BA442" s="219"/>
      <c r="BB442" s="219"/>
      <c r="BC442" s="219"/>
      <c r="BD442" s="219"/>
      <c r="BE442" s="219"/>
      <c r="BF442" s="219"/>
      <c r="BG442" s="219"/>
      <c r="BH442" s="219"/>
      <c r="BI442" s="219"/>
      <c r="BJ442" s="219"/>
      <c r="BK442" s="219"/>
      <c r="BL442" s="219"/>
      <c r="BM442" s="219"/>
      <c r="BN442" s="219"/>
    </row>
    <row r="443" ht="29.25" hidden="1" customHeight="1">
      <c r="A443" s="216"/>
      <c r="B443" s="217"/>
      <c r="C443" s="164"/>
      <c r="D443" s="164"/>
      <c r="E443" s="165"/>
      <c r="F443" s="173"/>
      <c r="G443" s="168"/>
      <c r="H443" s="168"/>
      <c r="I443" s="169"/>
      <c r="J443" s="170"/>
      <c r="K443" s="170"/>
      <c r="L443" s="170"/>
      <c r="M443" s="167"/>
      <c r="N443" s="169"/>
      <c r="O443" s="171"/>
      <c r="P443" s="106"/>
      <c r="Q443" s="218"/>
      <c r="R443" s="172"/>
      <c r="S443" s="172"/>
      <c r="T443" s="173"/>
      <c r="U443" s="219"/>
      <c r="V443" s="219"/>
      <c r="W443" s="219"/>
      <c r="X443" s="219"/>
      <c r="Y443" s="219"/>
      <c r="Z443" s="219"/>
      <c r="AA443" s="219"/>
      <c r="AB443" s="219"/>
      <c r="AC443" s="219"/>
      <c r="AD443" s="219"/>
      <c r="AE443" s="219"/>
      <c r="AF443" s="219"/>
      <c r="AG443" s="219"/>
      <c r="AH443" s="219"/>
      <c r="AI443" s="219"/>
      <c r="AJ443" s="219"/>
      <c r="AK443" s="219"/>
      <c r="AL443" s="219"/>
      <c r="AM443" s="219"/>
      <c r="AN443" s="219"/>
      <c r="AO443" s="219"/>
      <c r="AP443" s="219"/>
      <c r="AQ443" s="219"/>
      <c r="AR443" s="219"/>
      <c r="AS443" s="219"/>
      <c r="AT443" s="219"/>
      <c r="AU443" s="219"/>
      <c r="AV443" s="219"/>
      <c r="AW443" s="219"/>
      <c r="AX443" s="219"/>
      <c r="AY443" s="219"/>
      <c r="AZ443" s="219"/>
      <c r="BA443" s="219"/>
      <c r="BB443" s="219"/>
      <c r="BC443" s="219"/>
      <c r="BD443" s="219"/>
      <c r="BE443" s="219"/>
      <c r="BF443" s="219"/>
      <c r="BG443" s="219"/>
      <c r="BH443" s="219"/>
      <c r="BI443" s="219"/>
      <c r="BJ443" s="219"/>
      <c r="BK443" s="219"/>
      <c r="BL443" s="219"/>
      <c r="BM443" s="219"/>
      <c r="BN443" s="219"/>
    </row>
    <row r="444" ht="29.25" hidden="1" customHeight="1">
      <c r="A444" s="216"/>
      <c r="B444" s="217"/>
      <c r="C444" s="164"/>
      <c r="D444" s="164"/>
      <c r="E444" s="165"/>
      <c r="F444" s="173"/>
      <c r="G444" s="168"/>
      <c r="H444" s="168"/>
      <c r="I444" s="169"/>
      <c r="J444" s="170"/>
      <c r="K444" s="170"/>
      <c r="L444" s="170"/>
      <c r="M444" s="167"/>
      <c r="N444" s="169"/>
      <c r="O444" s="171"/>
      <c r="P444" s="106"/>
      <c r="Q444" s="218"/>
      <c r="R444" s="172"/>
      <c r="S444" s="172"/>
      <c r="T444" s="173"/>
      <c r="U444" s="219"/>
      <c r="V444" s="219"/>
      <c r="W444" s="219"/>
      <c r="X444" s="219"/>
      <c r="Y444" s="219"/>
      <c r="Z444" s="219"/>
      <c r="AA444" s="219"/>
      <c r="AB444" s="219"/>
      <c r="AC444" s="219"/>
      <c r="AD444" s="219"/>
      <c r="AE444" s="219"/>
      <c r="AF444" s="219"/>
      <c r="AG444" s="219"/>
      <c r="AH444" s="219"/>
      <c r="AI444" s="219"/>
      <c r="AJ444" s="219"/>
      <c r="AK444" s="219"/>
      <c r="AL444" s="219"/>
      <c r="AM444" s="219"/>
      <c r="AN444" s="219"/>
      <c r="AO444" s="219"/>
      <c r="AP444" s="219"/>
      <c r="AQ444" s="219"/>
      <c r="AR444" s="219"/>
      <c r="AS444" s="219"/>
      <c r="AT444" s="219"/>
      <c r="AU444" s="219"/>
      <c r="AV444" s="219"/>
      <c r="AW444" s="219"/>
      <c r="AX444" s="219"/>
      <c r="AY444" s="219"/>
      <c r="AZ444" s="219"/>
      <c r="BA444" s="219"/>
      <c r="BB444" s="219"/>
      <c r="BC444" s="219"/>
      <c r="BD444" s="219"/>
      <c r="BE444" s="219"/>
      <c r="BF444" s="219"/>
      <c r="BG444" s="219"/>
      <c r="BH444" s="219"/>
      <c r="BI444" s="219"/>
      <c r="BJ444" s="219"/>
      <c r="BK444" s="219"/>
      <c r="BL444" s="219"/>
      <c r="BM444" s="219"/>
      <c r="BN444" s="219"/>
    </row>
    <row r="445" ht="29.25" hidden="1" customHeight="1">
      <c r="A445" s="216"/>
      <c r="B445" s="217"/>
      <c r="C445" s="164"/>
      <c r="D445" s="164"/>
      <c r="E445" s="165"/>
      <c r="F445" s="173"/>
      <c r="G445" s="168"/>
      <c r="H445" s="168"/>
      <c r="I445" s="169"/>
      <c r="J445" s="170"/>
      <c r="K445" s="170"/>
      <c r="L445" s="170"/>
      <c r="M445" s="167"/>
      <c r="N445" s="169"/>
      <c r="O445" s="171"/>
      <c r="P445" s="106"/>
      <c r="Q445" s="218"/>
      <c r="R445" s="172"/>
      <c r="S445" s="172"/>
      <c r="T445" s="173"/>
      <c r="U445" s="219"/>
      <c r="V445" s="219"/>
      <c r="W445" s="219"/>
      <c r="X445" s="219"/>
      <c r="Y445" s="219"/>
      <c r="Z445" s="219"/>
      <c r="AA445" s="219"/>
      <c r="AB445" s="219"/>
      <c r="AC445" s="219"/>
      <c r="AD445" s="219"/>
      <c r="AE445" s="219"/>
      <c r="AF445" s="219"/>
      <c r="AG445" s="219"/>
      <c r="AH445" s="219"/>
      <c r="AI445" s="219"/>
      <c r="AJ445" s="219"/>
      <c r="AK445" s="219"/>
      <c r="AL445" s="219"/>
      <c r="AM445" s="219"/>
      <c r="AN445" s="219"/>
      <c r="AO445" s="219"/>
      <c r="AP445" s="219"/>
      <c r="AQ445" s="219"/>
      <c r="AR445" s="219"/>
      <c r="AS445" s="219"/>
      <c r="AT445" s="219"/>
      <c r="AU445" s="219"/>
      <c r="AV445" s="219"/>
      <c r="AW445" s="219"/>
      <c r="AX445" s="219"/>
      <c r="AY445" s="219"/>
      <c r="AZ445" s="219"/>
      <c r="BA445" s="219"/>
      <c r="BB445" s="219"/>
      <c r="BC445" s="219"/>
      <c r="BD445" s="219"/>
      <c r="BE445" s="219"/>
      <c r="BF445" s="219"/>
      <c r="BG445" s="219"/>
      <c r="BH445" s="219"/>
      <c r="BI445" s="219"/>
      <c r="BJ445" s="219"/>
      <c r="BK445" s="219"/>
      <c r="BL445" s="219"/>
      <c r="BM445" s="219"/>
      <c r="BN445" s="219"/>
    </row>
    <row r="446" ht="29.25" hidden="1" customHeight="1">
      <c r="A446" s="216"/>
      <c r="B446" s="217"/>
      <c r="C446" s="164"/>
      <c r="D446" s="164"/>
      <c r="E446" s="165"/>
      <c r="F446" s="173"/>
      <c r="G446" s="168"/>
      <c r="H446" s="168"/>
      <c r="I446" s="169"/>
      <c r="J446" s="170"/>
      <c r="K446" s="170"/>
      <c r="L446" s="170"/>
      <c r="M446" s="167"/>
      <c r="N446" s="169"/>
      <c r="O446" s="171"/>
      <c r="P446" s="106"/>
      <c r="Q446" s="218"/>
      <c r="R446" s="172"/>
      <c r="S446" s="172"/>
      <c r="T446" s="173"/>
      <c r="U446" s="219"/>
      <c r="V446" s="219"/>
      <c r="W446" s="219"/>
      <c r="X446" s="219"/>
      <c r="Y446" s="219"/>
      <c r="Z446" s="219"/>
      <c r="AA446" s="219"/>
      <c r="AB446" s="219"/>
      <c r="AC446" s="219"/>
      <c r="AD446" s="219"/>
      <c r="AE446" s="219"/>
      <c r="AF446" s="219"/>
      <c r="AG446" s="219"/>
      <c r="AH446" s="219"/>
      <c r="AI446" s="219"/>
      <c r="AJ446" s="219"/>
      <c r="AK446" s="219"/>
      <c r="AL446" s="219"/>
      <c r="AM446" s="219"/>
      <c r="AN446" s="219"/>
      <c r="AO446" s="219"/>
      <c r="AP446" s="219"/>
      <c r="AQ446" s="219"/>
      <c r="AR446" s="219"/>
      <c r="AS446" s="219"/>
      <c r="AT446" s="219"/>
      <c r="AU446" s="219"/>
      <c r="AV446" s="219"/>
      <c r="AW446" s="219"/>
      <c r="AX446" s="219"/>
      <c r="AY446" s="219"/>
      <c r="AZ446" s="219"/>
      <c r="BA446" s="219"/>
      <c r="BB446" s="219"/>
      <c r="BC446" s="219"/>
      <c r="BD446" s="219"/>
      <c r="BE446" s="219"/>
      <c r="BF446" s="219"/>
      <c r="BG446" s="219"/>
      <c r="BH446" s="219"/>
      <c r="BI446" s="219"/>
      <c r="BJ446" s="219"/>
      <c r="BK446" s="219"/>
      <c r="BL446" s="219"/>
      <c r="BM446" s="219"/>
      <c r="BN446" s="219"/>
    </row>
    <row r="447" ht="29.25" hidden="1" customHeight="1">
      <c r="A447" s="216"/>
      <c r="B447" s="217"/>
      <c r="C447" s="164"/>
      <c r="D447" s="164"/>
      <c r="E447" s="165"/>
      <c r="F447" s="173"/>
      <c r="G447" s="168"/>
      <c r="H447" s="168"/>
      <c r="I447" s="169"/>
      <c r="J447" s="170"/>
      <c r="K447" s="170"/>
      <c r="L447" s="170"/>
      <c r="M447" s="167"/>
      <c r="N447" s="169"/>
      <c r="O447" s="171"/>
      <c r="P447" s="106"/>
      <c r="Q447" s="218"/>
      <c r="R447" s="172"/>
      <c r="S447" s="172"/>
      <c r="T447" s="173"/>
      <c r="U447" s="219"/>
      <c r="V447" s="219"/>
      <c r="W447" s="219"/>
      <c r="X447" s="219"/>
      <c r="Y447" s="219"/>
      <c r="Z447" s="219"/>
      <c r="AA447" s="219"/>
      <c r="AB447" s="219"/>
      <c r="AC447" s="219"/>
      <c r="AD447" s="219"/>
      <c r="AE447" s="219"/>
      <c r="AF447" s="219"/>
      <c r="AG447" s="219"/>
      <c r="AH447" s="219"/>
      <c r="AI447" s="219"/>
      <c r="AJ447" s="219"/>
      <c r="AK447" s="219"/>
      <c r="AL447" s="219"/>
      <c r="AM447" s="219"/>
      <c r="AN447" s="219"/>
      <c r="AO447" s="219"/>
      <c r="AP447" s="219"/>
      <c r="AQ447" s="219"/>
      <c r="AR447" s="219"/>
      <c r="AS447" s="219"/>
      <c r="AT447" s="219"/>
      <c r="AU447" s="219"/>
      <c r="AV447" s="219"/>
      <c r="AW447" s="219"/>
      <c r="AX447" s="219"/>
      <c r="AY447" s="219"/>
      <c r="AZ447" s="219"/>
      <c r="BA447" s="219"/>
      <c r="BB447" s="219"/>
      <c r="BC447" s="219"/>
      <c r="BD447" s="219"/>
      <c r="BE447" s="219"/>
      <c r="BF447" s="219"/>
      <c r="BG447" s="219"/>
      <c r="BH447" s="219"/>
      <c r="BI447" s="219"/>
      <c r="BJ447" s="219"/>
      <c r="BK447" s="219"/>
      <c r="BL447" s="219"/>
      <c r="BM447" s="219"/>
      <c r="BN447" s="219"/>
    </row>
    <row r="448" ht="29.25" hidden="1" customHeight="1">
      <c r="A448" s="216"/>
      <c r="B448" s="217"/>
      <c r="C448" s="164"/>
      <c r="D448" s="164"/>
      <c r="E448" s="165"/>
      <c r="F448" s="173"/>
      <c r="G448" s="168"/>
      <c r="H448" s="168"/>
      <c r="I448" s="169"/>
      <c r="J448" s="170"/>
      <c r="K448" s="170"/>
      <c r="L448" s="170"/>
      <c r="M448" s="167"/>
      <c r="N448" s="169"/>
      <c r="O448" s="171"/>
      <c r="P448" s="106"/>
      <c r="Q448" s="218"/>
      <c r="R448" s="172"/>
      <c r="S448" s="172"/>
      <c r="T448" s="173"/>
      <c r="U448" s="219"/>
      <c r="V448" s="219"/>
      <c r="W448" s="219"/>
      <c r="X448" s="219"/>
      <c r="Y448" s="219"/>
      <c r="Z448" s="219"/>
      <c r="AA448" s="219"/>
      <c r="AB448" s="219"/>
      <c r="AC448" s="219"/>
      <c r="AD448" s="219"/>
      <c r="AE448" s="219"/>
      <c r="AF448" s="219"/>
      <c r="AG448" s="219"/>
      <c r="AH448" s="219"/>
      <c r="AI448" s="219"/>
      <c r="AJ448" s="219"/>
      <c r="AK448" s="219"/>
      <c r="AL448" s="219"/>
      <c r="AM448" s="219"/>
      <c r="AN448" s="219"/>
      <c r="AO448" s="219"/>
      <c r="AP448" s="219"/>
      <c r="AQ448" s="219"/>
      <c r="AR448" s="219"/>
      <c r="AS448" s="219"/>
      <c r="AT448" s="219"/>
      <c r="AU448" s="219"/>
      <c r="AV448" s="219"/>
      <c r="AW448" s="219"/>
      <c r="AX448" s="219"/>
      <c r="AY448" s="219"/>
      <c r="AZ448" s="219"/>
      <c r="BA448" s="219"/>
      <c r="BB448" s="219"/>
      <c r="BC448" s="219"/>
      <c r="BD448" s="219"/>
      <c r="BE448" s="219"/>
      <c r="BF448" s="219"/>
      <c r="BG448" s="219"/>
      <c r="BH448" s="219"/>
      <c r="BI448" s="219"/>
      <c r="BJ448" s="219"/>
      <c r="BK448" s="219"/>
      <c r="BL448" s="219"/>
      <c r="BM448" s="219"/>
      <c r="BN448" s="219"/>
    </row>
    <row r="449" ht="29.25" hidden="1" customHeight="1">
      <c r="A449" s="216"/>
      <c r="B449" s="217"/>
      <c r="C449" s="164"/>
      <c r="D449" s="164"/>
      <c r="E449" s="165"/>
      <c r="F449" s="173"/>
      <c r="G449" s="168"/>
      <c r="H449" s="168"/>
      <c r="I449" s="169"/>
      <c r="J449" s="170"/>
      <c r="K449" s="170"/>
      <c r="L449" s="170"/>
      <c r="M449" s="167"/>
      <c r="N449" s="169"/>
      <c r="O449" s="171"/>
      <c r="P449" s="106"/>
      <c r="Q449" s="218"/>
      <c r="R449" s="172"/>
      <c r="S449" s="172"/>
      <c r="T449" s="173"/>
      <c r="U449" s="219"/>
      <c r="V449" s="219"/>
      <c r="W449" s="219"/>
      <c r="X449" s="219"/>
      <c r="Y449" s="219"/>
      <c r="Z449" s="219"/>
      <c r="AA449" s="219"/>
      <c r="AB449" s="219"/>
      <c r="AC449" s="219"/>
      <c r="AD449" s="219"/>
      <c r="AE449" s="219"/>
      <c r="AF449" s="219"/>
      <c r="AG449" s="219"/>
      <c r="AH449" s="219"/>
      <c r="AI449" s="219"/>
      <c r="AJ449" s="219"/>
      <c r="AK449" s="219"/>
      <c r="AL449" s="219"/>
      <c r="AM449" s="219"/>
      <c r="AN449" s="219"/>
      <c r="AO449" s="219"/>
      <c r="AP449" s="219"/>
      <c r="AQ449" s="219"/>
      <c r="AR449" s="219"/>
      <c r="AS449" s="219"/>
      <c r="AT449" s="219"/>
      <c r="AU449" s="219"/>
      <c r="AV449" s="219"/>
      <c r="AW449" s="219"/>
      <c r="AX449" s="219"/>
      <c r="AY449" s="219"/>
      <c r="AZ449" s="219"/>
      <c r="BA449" s="219"/>
      <c r="BB449" s="219"/>
      <c r="BC449" s="219"/>
      <c r="BD449" s="219"/>
      <c r="BE449" s="219"/>
      <c r="BF449" s="219"/>
      <c r="BG449" s="219"/>
      <c r="BH449" s="219"/>
      <c r="BI449" s="219"/>
      <c r="BJ449" s="219"/>
      <c r="BK449" s="219"/>
      <c r="BL449" s="219"/>
      <c r="BM449" s="219"/>
      <c r="BN449" s="219"/>
    </row>
    <row r="450" ht="29.25" hidden="1" customHeight="1">
      <c r="A450" s="216"/>
      <c r="B450" s="217"/>
      <c r="C450" s="164"/>
      <c r="D450" s="164"/>
      <c r="E450" s="165"/>
      <c r="F450" s="173"/>
      <c r="G450" s="168"/>
      <c r="H450" s="168"/>
      <c r="I450" s="169"/>
      <c r="J450" s="170"/>
      <c r="K450" s="170"/>
      <c r="L450" s="170"/>
      <c r="M450" s="167"/>
      <c r="N450" s="169"/>
      <c r="O450" s="171"/>
      <c r="P450" s="106"/>
      <c r="Q450" s="218"/>
      <c r="R450" s="172"/>
      <c r="S450" s="172"/>
      <c r="T450" s="173"/>
      <c r="U450" s="219"/>
      <c r="V450" s="219"/>
      <c r="W450" s="219"/>
      <c r="X450" s="219"/>
      <c r="Y450" s="219"/>
      <c r="Z450" s="219"/>
      <c r="AA450" s="219"/>
      <c r="AB450" s="219"/>
      <c r="AC450" s="219"/>
      <c r="AD450" s="219"/>
      <c r="AE450" s="219"/>
      <c r="AF450" s="219"/>
      <c r="AG450" s="219"/>
      <c r="AH450" s="219"/>
      <c r="AI450" s="219"/>
      <c r="AJ450" s="219"/>
      <c r="AK450" s="219"/>
      <c r="AL450" s="219"/>
      <c r="AM450" s="219"/>
      <c r="AN450" s="219"/>
      <c r="AO450" s="219"/>
      <c r="AP450" s="219"/>
      <c r="AQ450" s="219"/>
      <c r="AR450" s="219"/>
      <c r="AS450" s="219"/>
      <c r="AT450" s="219"/>
      <c r="AU450" s="219"/>
      <c r="AV450" s="219"/>
      <c r="AW450" s="219"/>
      <c r="AX450" s="219"/>
      <c r="AY450" s="219"/>
      <c r="AZ450" s="219"/>
      <c r="BA450" s="219"/>
      <c r="BB450" s="219"/>
      <c r="BC450" s="219"/>
      <c r="BD450" s="219"/>
      <c r="BE450" s="219"/>
      <c r="BF450" s="219"/>
      <c r="BG450" s="219"/>
      <c r="BH450" s="219"/>
      <c r="BI450" s="219"/>
      <c r="BJ450" s="219"/>
      <c r="BK450" s="219"/>
      <c r="BL450" s="219"/>
      <c r="BM450" s="219"/>
      <c r="BN450" s="219"/>
    </row>
    <row r="451" ht="29.25" hidden="1" customHeight="1">
      <c r="A451" s="216"/>
      <c r="B451" s="217"/>
      <c r="C451" s="164"/>
      <c r="D451" s="164"/>
      <c r="E451" s="165"/>
      <c r="F451" s="173"/>
      <c r="G451" s="168"/>
      <c r="H451" s="168"/>
      <c r="I451" s="169"/>
      <c r="J451" s="170"/>
      <c r="K451" s="170"/>
      <c r="L451" s="170"/>
      <c r="M451" s="167"/>
      <c r="N451" s="169"/>
      <c r="O451" s="171"/>
      <c r="P451" s="106"/>
      <c r="Q451" s="218"/>
      <c r="R451" s="172"/>
      <c r="S451" s="172"/>
      <c r="T451" s="173"/>
      <c r="U451" s="219"/>
      <c r="V451" s="219"/>
      <c r="W451" s="219"/>
      <c r="X451" s="219"/>
      <c r="Y451" s="219"/>
      <c r="Z451" s="219"/>
      <c r="AA451" s="219"/>
      <c r="AB451" s="219"/>
      <c r="AC451" s="219"/>
      <c r="AD451" s="219"/>
      <c r="AE451" s="219"/>
      <c r="AF451" s="219"/>
      <c r="AG451" s="219"/>
      <c r="AH451" s="219"/>
      <c r="AI451" s="219"/>
      <c r="AJ451" s="219"/>
      <c r="AK451" s="219"/>
      <c r="AL451" s="219"/>
      <c r="AM451" s="219"/>
      <c r="AN451" s="219"/>
      <c r="AO451" s="219"/>
      <c r="AP451" s="219"/>
      <c r="AQ451" s="219"/>
      <c r="AR451" s="219"/>
      <c r="AS451" s="219"/>
      <c r="AT451" s="219"/>
      <c r="AU451" s="219"/>
      <c r="AV451" s="219"/>
      <c r="AW451" s="219"/>
      <c r="AX451" s="219"/>
      <c r="AY451" s="219"/>
      <c r="AZ451" s="219"/>
      <c r="BA451" s="219"/>
      <c r="BB451" s="219"/>
      <c r="BC451" s="219"/>
      <c r="BD451" s="219"/>
      <c r="BE451" s="219"/>
      <c r="BF451" s="219"/>
      <c r="BG451" s="219"/>
      <c r="BH451" s="219"/>
      <c r="BI451" s="219"/>
      <c r="BJ451" s="219"/>
      <c r="BK451" s="219"/>
      <c r="BL451" s="219"/>
      <c r="BM451" s="219"/>
      <c r="BN451" s="219"/>
    </row>
    <row r="452" ht="29.25" hidden="1" customHeight="1">
      <c r="A452" s="216"/>
      <c r="B452" s="217"/>
      <c r="C452" s="164"/>
      <c r="D452" s="164"/>
      <c r="E452" s="165"/>
      <c r="F452" s="173"/>
      <c r="G452" s="168"/>
      <c r="H452" s="168"/>
      <c r="I452" s="169"/>
      <c r="J452" s="170"/>
      <c r="K452" s="170"/>
      <c r="L452" s="170"/>
      <c r="M452" s="167"/>
      <c r="N452" s="169"/>
      <c r="O452" s="171"/>
      <c r="P452" s="106"/>
      <c r="Q452" s="218"/>
      <c r="R452" s="172"/>
      <c r="S452" s="172"/>
      <c r="T452" s="173"/>
      <c r="U452" s="219"/>
      <c r="V452" s="219"/>
      <c r="W452" s="219"/>
      <c r="X452" s="219"/>
      <c r="Y452" s="219"/>
      <c r="Z452" s="219"/>
      <c r="AA452" s="219"/>
      <c r="AB452" s="219"/>
      <c r="AC452" s="219"/>
      <c r="AD452" s="219"/>
      <c r="AE452" s="219"/>
      <c r="AF452" s="219"/>
      <c r="AG452" s="219"/>
      <c r="AH452" s="219"/>
      <c r="AI452" s="219"/>
      <c r="AJ452" s="219"/>
      <c r="AK452" s="219"/>
      <c r="AL452" s="219"/>
      <c r="AM452" s="219"/>
      <c r="AN452" s="219"/>
      <c r="AO452" s="219"/>
      <c r="AP452" s="219"/>
      <c r="AQ452" s="219"/>
      <c r="AR452" s="219"/>
      <c r="AS452" s="219"/>
      <c r="AT452" s="219"/>
      <c r="AU452" s="219"/>
      <c r="AV452" s="219"/>
      <c r="AW452" s="219"/>
      <c r="AX452" s="219"/>
      <c r="AY452" s="219"/>
      <c r="AZ452" s="219"/>
      <c r="BA452" s="219"/>
      <c r="BB452" s="219"/>
      <c r="BC452" s="219"/>
      <c r="BD452" s="219"/>
      <c r="BE452" s="219"/>
      <c r="BF452" s="219"/>
      <c r="BG452" s="219"/>
      <c r="BH452" s="219"/>
      <c r="BI452" s="219"/>
      <c r="BJ452" s="219"/>
      <c r="BK452" s="219"/>
      <c r="BL452" s="219"/>
      <c r="BM452" s="219"/>
      <c r="BN452" s="219"/>
    </row>
    <row r="453" ht="29.25" hidden="1" customHeight="1">
      <c r="A453" s="216"/>
      <c r="B453" s="217"/>
      <c r="C453" s="164"/>
      <c r="D453" s="164"/>
      <c r="E453" s="165"/>
      <c r="F453" s="173"/>
      <c r="G453" s="168"/>
      <c r="H453" s="168"/>
      <c r="I453" s="169"/>
      <c r="J453" s="170"/>
      <c r="K453" s="170"/>
      <c r="L453" s="170"/>
      <c r="M453" s="167"/>
      <c r="N453" s="169"/>
      <c r="O453" s="171"/>
      <c r="P453" s="106"/>
      <c r="Q453" s="218"/>
      <c r="R453" s="172"/>
      <c r="S453" s="172"/>
      <c r="T453" s="173"/>
      <c r="U453" s="219"/>
      <c r="V453" s="219"/>
      <c r="W453" s="219"/>
      <c r="X453" s="219"/>
      <c r="Y453" s="219"/>
      <c r="Z453" s="219"/>
      <c r="AA453" s="219"/>
      <c r="AB453" s="219"/>
      <c r="AC453" s="219"/>
      <c r="AD453" s="219"/>
      <c r="AE453" s="219"/>
      <c r="AF453" s="219"/>
      <c r="AG453" s="219"/>
      <c r="AH453" s="219"/>
      <c r="AI453" s="219"/>
      <c r="AJ453" s="219"/>
      <c r="AK453" s="219"/>
      <c r="AL453" s="219"/>
      <c r="AM453" s="219"/>
      <c r="AN453" s="219"/>
      <c r="AO453" s="219"/>
      <c r="AP453" s="219"/>
      <c r="AQ453" s="219"/>
      <c r="AR453" s="219"/>
      <c r="AS453" s="219"/>
      <c r="AT453" s="219"/>
      <c r="AU453" s="219"/>
      <c r="AV453" s="219"/>
      <c r="AW453" s="219"/>
      <c r="AX453" s="219"/>
      <c r="AY453" s="219"/>
      <c r="AZ453" s="219"/>
      <c r="BA453" s="219"/>
      <c r="BB453" s="219"/>
      <c r="BC453" s="219"/>
      <c r="BD453" s="219"/>
      <c r="BE453" s="219"/>
      <c r="BF453" s="219"/>
      <c r="BG453" s="219"/>
      <c r="BH453" s="219"/>
      <c r="BI453" s="219"/>
      <c r="BJ453" s="219"/>
      <c r="BK453" s="219"/>
      <c r="BL453" s="219"/>
      <c r="BM453" s="219"/>
      <c r="BN453" s="219"/>
    </row>
    <row r="454" ht="29.25" hidden="1" customHeight="1">
      <c r="A454" s="216"/>
      <c r="B454" s="217"/>
      <c r="C454" s="164"/>
      <c r="D454" s="164"/>
      <c r="E454" s="165"/>
      <c r="F454" s="173"/>
      <c r="G454" s="168"/>
      <c r="H454" s="168"/>
      <c r="I454" s="169"/>
      <c r="J454" s="170"/>
      <c r="K454" s="170"/>
      <c r="L454" s="170"/>
      <c r="M454" s="167"/>
      <c r="N454" s="169"/>
      <c r="O454" s="171"/>
      <c r="P454" s="106"/>
      <c r="Q454" s="218"/>
      <c r="R454" s="172"/>
      <c r="S454" s="172"/>
      <c r="T454" s="173"/>
      <c r="U454" s="219"/>
      <c r="V454" s="219"/>
      <c r="W454" s="219"/>
      <c r="X454" s="219"/>
      <c r="Y454" s="219"/>
      <c r="Z454" s="219"/>
      <c r="AA454" s="219"/>
      <c r="AB454" s="219"/>
      <c r="AC454" s="219"/>
      <c r="AD454" s="219"/>
      <c r="AE454" s="219"/>
      <c r="AF454" s="219"/>
      <c r="AG454" s="219"/>
      <c r="AH454" s="219"/>
      <c r="AI454" s="219"/>
      <c r="AJ454" s="219"/>
      <c r="AK454" s="219"/>
      <c r="AL454" s="219"/>
      <c r="AM454" s="219"/>
      <c r="AN454" s="219"/>
      <c r="AO454" s="219"/>
      <c r="AP454" s="219"/>
      <c r="AQ454" s="219"/>
      <c r="AR454" s="219"/>
      <c r="AS454" s="219"/>
      <c r="AT454" s="219"/>
      <c r="AU454" s="219"/>
      <c r="AV454" s="219"/>
      <c r="AW454" s="219"/>
      <c r="AX454" s="219"/>
      <c r="AY454" s="219"/>
      <c r="AZ454" s="219"/>
      <c r="BA454" s="219"/>
      <c r="BB454" s="219"/>
      <c r="BC454" s="219"/>
      <c r="BD454" s="219"/>
      <c r="BE454" s="219"/>
      <c r="BF454" s="219"/>
      <c r="BG454" s="219"/>
      <c r="BH454" s="219"/>
      <c r="BI454" s="219"/>
      <c r="BJ454" s="219"/>
      <c r="BK454" s="219"/>
      <c r="BL454" s="219"/>
      <c r="BM454" s="219"/>
      <c r="BN454" s="219"/>
    </row>
    <row r="455" ht="29.25" hidden="1" customHeight="1">
      <c r="A455" s="216"/>
      <c r="B455" s="217"/>
      <c r="C455" s="164"/>
      <c r="D455" s="164"/>
      <c r="E455" s="165"/>
      <c r="F455" s="173"/>
      <c r="G455" s="168"/>
      <c r="H455" s="168"/>
      <c r="I455" s="169"/>
      <c r="J455" s="170"/>
      <c r="K455" s="170"/>
      <c r="L455" s="170"/>
      <c r="M455" s="167"/>
      <c r="N455" s="169"/>
      <c r="O455" s="171"/>
      <c r="P455" s="106"/>
      <c r="Q455" s="218"/>
      <c r="R455" s="172"/>
      <c r="S455" s="172"/>
      <c r="T455" s="173"/>
      <c r="U455" s="219"/>
      <c r="V455" s="219"/>
      <c r="W455" s="219"/>
      <c r="X455" s="219"/>
      <c r="Y455" s="219"/>
      <c r="Z455" s="219"/>
      <c r="AA455" s="219"/>
      <c r="AB455" s="219"/>
      <c r="AC455" s="219"/>
      <c r="AD455" s="219"/>
      <c r="AE455" s="219"/>
      <c r="AF455" s="219"/>
      <c r="AG455" s="219"/>
      <c r="AH455" s="219"/>
      <c r="AI455" s="219"/>
      <c r="AJ455" s="219"/>
      <c r="AK455" s="219"/>
      <c r="AL455" s="219"/>
      <c r="AM455" s="219"/>
      <c r="AN455" s="219"/>
      <c r="AO455" s="219"/>
      <c r="AP455" s="219"/>
      <c r="AQ455" s="219"/>
      <c r="AR455" s="219"/>
      <c r="AS455" s="219"/>
      <c r="AT455" s="219"/>
      <c r="AU455" s="219"/>
      <c r="AV455" s="219"/>
      <c r="AW455" s="219"/>
      <c r="AX455" s="219"/>
      <c r="AY455" s="219"/>
      <c r="AZ455" s="219"/>
      <c r="BA455" s="219"/>
      <c r="BB455" s="219"/>
      <c r="BC455" s="219"/>
      <c r="BD455" s="219"/>
      <c r="BE455" s="219"/>
      <c r="BF455" s="219"/>
      <c r="BG455" s="219"/>
      <c r="BH455" s="219"/>
      <c r="BI455" s="219"/>
      <c r="BJ455" s="219"/>
      <c r="BK455" s="219"/>
      <c r="BL455" s="219"/>
      <c r="BM455" s="219"/>
      <c r="BN455" s="219"/>
    </row>
    <row r="456" ht="29.25" hidden="1" customHeight="1">
      <c r="A456" s="216"/>
      <c r="B456" s="217"/>
      <c r="C456" s="164"/>
      <c r="D456" s="164"/>
      <c r="E456" s="165"/>
      <c r="F456" s="173"/>
      <c r="G456" s="168"/>
      <c r="H456" s="168"/>
      <c r="I456" s="169"/>
      <c r="J456" s="170"/>
      <c r="K456" s="170"/>
      <c r="L456" s="170"/>
      <c r="M456" s="167"/>
      <c r="N456" s="169"/>
      <c r="O456" s="171"/>
      <c r="P456" s="106"/>
      <c r="Q456" s="218"/>
      <c r="R456" s="172"/>
      <c r="S456" s="172"/>
      <c r="T456" s="173"/>
      <c r="U456" s="219"/>
      <c r="V456" s="219"/>
      <c r="W456" s="219"/>
      <c r="X456" s="219"/>
      <c r="Y456" s="219"/>
      <c r="Z456" s="219"/>
      <c r="AA456" s="219"/>
      <c r="AB456" s="219"/>
      <c r="AC456" s="219"/>
      <c r="AD456" s="219"/>
      <c r="AE456" s="219"/>
      <c r="AF456" s="219"/>
      <c r="AG456" s="219"/>
      <c r="AH456" s="219"/>
      <c r="AI456" s="219"/>
      <c r="AJ456" s="219"/>
      <c r="AK456" s="219"/>
      <c r="AL456" s="219"/>
      <c r="AM456" s="219"/>
      <c r="AN456" s="219"/>
      <c r="AO456" s="219"/>
      <c r="AP456" s="219"/>
      <c r="AQ456" s="219"/>
      <c r="AR456" s="219"/>
      <c r="AS456" s="219"/>
      <c r="AT456" s="219"/>
      <c r="AU456" s="219"/>
      <c r="AV456" s="219"/>
      <c r="AW456" s="219"/>
      <c r="AX456" s="219"/>
      <c r="AY456" s="219"/>
      <c r="AZ456" s="219"/>
      <c r="BA456" s="219"/>
      <c r="BB456" s="219"/>
      <c r="BC456" s="219"/>
      <c r="BD456" s="219"/>
      <c r="BE456" s="219"/>
      <c r="BF456" s="219"/>
      <c r="BG456" s="219"/>
      <c r="BH456" s="219"/>
      <c r="BI456" s="219"/>
      <c r="BJ456" s="219"/>
      <c r="BK456" s="219"/>
      <c r="BL456" s="219"/>
      <c r="BM456" s="219"/>
      <c r="BN456" s="219"/>
    </row>
    <row r="457" ht="29.25" hidden="1" customHeight="1">
      <c r="A457" s="216"/>
      <c r="B457" s="217"/>
      <c r="C457" s="164"/>
      <c r="D457" s="164"/>
      <c r="E457" s="165"/>
      <c r="F457" s="173"/>
      <c r="G457" s="168"/>
      <c r="H457" s="168"/>
      <c r="I457" s="169"/>
      <c r="J457" s="170"/>
      <c r="K457" s="170"/>
      <c r="L457" s="170"/>
      <c r="M457" s="167"/>
      <c r="N457" s="169"/>
      <c r="O457" s="171"/>
      <c r="P457" s="106"/>
      <c r="Q457" s="218"/>
      <c r="R457" s="172"/>
      <c r="S457" s="172"/>
      <c r="T457" s="173"/>
      <c r="U457" s="219"/>
      <c r="V457" s="219"/>
      <c r="W457" s="219"/>
      <c r="X457" s="219"/>
      <c r="Y457" s="219"/>
      <c r="Z457" s="219"/>
      <c r="AA457" s="219"/>
      <c r="AB457" s="219"/>
      <c r="AC457" s="219"/>
      <c r="AD457" s="219"/>
      <c r="AE457" s="219"/>
      <c r="AF457" s="219"/>
      <c r="AG457" s="219"/>
      <c r="AH457" s="219"/>
      <c r="AI457" s="219"/>
      <c r="AJ457" s="219"/>
      <c r="AK457" s="219"/>
      <c r="AL457" s="219"/>
      <c r="AM457" s="219"/>
      <c r="AN457" s="219"/>
      <c r="AO457" s="219"/>
      <c r="AP457" s="219"/>
      <c r="AQ457" s="219"/>
      <c r="AR457" s="219"/>
      <c r="AS457" s="219"/>
      <c r="AT457" s="219"/>
      <c r="AU457" s="219"/>
      <c r="AV457" s="219"/>
      <c r="AW457" s="219"/>
      <c r="AX457" s="219"/>
      <c r="AY457" s="219"/>
      <c r="AZ457" s="219"/>
      <c r="BA457" s="219"/>
      <c r="BB457" s="219"/>
      <c r="BC457" s="219"/>
      <c r="BD457" s="219"/>
      <c r="BE457" s="219"/>
      <c r="BF457" s="219"/>
      <c r="BG457" s="219"/>
      <c r="BH457" s="219"/>
      <c r="BI457" s="219"/>
      <c r="BJ457" s="219"/>
      <c r="BK457" s="219"/>
      <c r="BL457" s="219"/>
      <c r="BM457" s="219"/>
      <c r="BN457" s="219"/>
    </row>
    <row r="458" ht="29.25" hidden="1" customHeight="1">
      <c r="A458" s="216"/>
      <c r="B458" s="217"/>
      <c r="C458" s="164"/>
      <c r="D458" s="164"/>
      <c r="E458" s="165"/>
      <c r="F458" s="173"/>
      <c r="G458" s="168"/>
      <c r="H458" s="168"/>
      <c r="I458" s="169"/>
      <c r="J458" s="170"/>
      <c r="K458" s="170"/>
      <c r="L458" s="170"/>
      <c r="M458" s="167"/>
      <c r="N458" s="169"/>
      <c r="O458" s="171"/>
      <c r="P458" s="106"/>
      <c r="Q458" s="218"/>
      <c r="R458" s="172"/>
      <c r="S458" s="172"/>
      <c r="T458" s="173"/>
      <c r="U458" s="219"/>
      <c r="V458" s="219"/>
      <c r="W458" s="219"/>
      <c r="X458" s="219"/>
      <c r="Y458" s="219"/>
      <c r="Z458" s="219"/>
      <c r="AA458" s="219"/>
      <c r="AB458" s="219"/>
      <c r="AC458" s="219"/>
      <c r="AD458" s="219"/>
      <c r="AE458" s="219"/>
      <c r="AF458" s="219"/>
      <c r="AG458" s="219"/>
      <c r="AH458" s="219"/>
      <c r="AI458" s="219"/>
      <c r="AJ458" s="219"/>
      <c r="AK458" s="219"/>
      <c r="AL458" s="219"/>
      <c r="AM458" s="219"/>
      <c r="AN458" s="219"/>
      <c r="AO458" s="219"/>
      <c r="AP458" s="219"/>
      <c r="AQ458" s="219"/>
      <c r="AR458" s="219"/>
      <c r="AS458" s="219"/>
      <c r="AT458" s="219"/>
      <c r="AU458" s="219"/>
      <c r="AV458" s="219"/>
      <c r="AW458" s="219"/>
      <c r="AX458" s="219"/>
      <c r="AY458" s="219"/>
      <c r="AZ458" s="219"/>
      <c r="BA458" s="219"/>
      <c r="BB458" s="219"/>
      <c r="BC458" s="219"/>
      <c r="BD458" s="219"/>
      <c r="BE458" s="219"/>
      <c r="BF458" s="219"/>
      <c r="BG458" s="219"/>
      <c r="BH458" s="219"/>
      <c r="BI458" s="219"/>
      <c r="BJ458" s="219"/>
      <c r="BK458" s="219"/>
      <c r="BL458" s="219"/>
      <c r="BM458" s="219"/>
      <c r="BN458" s="219"/>
    </row>
    <row r="459" ht="29.25" hidden="1" customHeight="1">
      <c r="A459" s="216"/>
      <c r="B459" s="217"/>
      <c r="C459" s="164"/>
      <c r="D459" s="164"/>
      <c r="E459" s="165"/>
      <c r="F459" s="173"/>
      <c r="G459" s="168"/>
      <c r="H459" s="168"/>
      <c r="I459" s="169"/>
      <c r="J459" s="170"/>
      <c r="K459" s="170"/>
      <c r="L459" s="170"/>
      <c r="M459" s="167"/>
      <c r="N459" s="169"/>
      <c r="O459" s="171"/>
      <c r="P459" s="106"/>
      <c r="Q459" s="218"/>
      <c r="R459" s="172"/>
      <c r="S459" s="172"/>
      <c r="T459" s="173"/>
      <c r="U459" s="219"/>
      <c r="V459" s="219"/>
      <c r="W459" s="219"/>
      <c r="X459" s="219"/>
      <c r="Y459" s="219"/>
      <c r="Z459" s="219"/>
      <c r="AA459" s="219"/>
      <c r="AB459" s="219"/>
      <c r="AC459" s="219"/>
      <c r="AD459" s="219"/>
      <c r="AE459" s="219"/>
      <c r="AF459" s="219"/>
      <c r="AG459" s="219"/>
      <c r="AH459" s="219"/>
      <c r="AI459" s="219"/>
      <c r="AJ459" s="219"/>
      <c r="AK459" s="219"/>
      <c r="AL459" s="219"/>
      <c r="AM459" s="219"/>
      <c r="AN459" s="219"/>
      <c r="AO459" s="219"/>
      <c r="AP459" s="219"/>
      <c r="AQ459" s="219"/>
      <c r="AR459" s="219"/>
      <c r="AS459" s="219"/>
      <c r="AT459" s="219"/>
      <c r="AU459" s="219"/>
      <c r="AV459" s="219"/>
      <c r="AW459" s="219"/>
      <c r="AX459" s="219"/>
      <c r="AY459" s="219"/>
      <c r="AZ459" s="219"/>
      <c r="BA459" s="219"/>
      <c r="BB459" s="219"/>
      <c r="BC459" s="219"/>
      <c r="BD459" s="219"/>
      <c r="BE459" s="219"/>
      <c r="BF459" s="219"/>
      <c r="BG459" s="219"/>
      <c r="BH459" s="219"/>
      <c r="BI459" s="219"/>
      <c r="BJ459" s="219"/>
      <c r="BK459" s="219"/>
      <c r="BL459" s="219"/>
      <c r="BM459" s="219"/>
      <c r="BN459" s="219"/>
    </row>
    <row r="460" ht="29.25" hidden="1" customHeight="1">
      <c r="A460" s="216"/>
      <c r="B460" s="217"/>
      <c r="C460" s="164"/>
      <c r="D460" s="164"/>
      <c r="E460" s="165"/>
      <c r="F460" s="173"/>
      <c r="G460" s="168"/>
      <c r="H460" s="168"/>
      <c r="I460" s="169"/>
      <c r="J460" s="170"/>
      <c r="K460" s="170"/>
      <c r="L460" s="170"/>
      <c r="M460" s="167"/>
      <c r="N460" s="169"/>
      <c r="O460" s="171"/>
      <c r="P460" s="106"/>
      <c r="Q460" s="218"/>
      <c r="R460" s="172"/>
      <c r="S460" s="172"/>
      <c r="T460" s="173"/>
      <c r="U460" s="219"/>
      <c r="V460" s="219"/>
      <c r="W460" s="219"/>
      <c r="X460" s="219"/>
      <c r="Y460" s="219"/>
      <c r="Z460" s="219"/>
      <c r="AA460" s="219"/>
      <c r="AB460" s="219"/>
      <c r="AC460" s="219"/>
      <c r="AD460" s="219"/>
      <c r="AE460" s="219"/>
      <c r="AF460" s="219"/>
      <c r="AG460" s="219"/>
      <c r="AH460" s="219"/>
      <c r="AI460" s="219"/>
      <c r="AJ460" s="219"/>
      <c r="AK460" s="219"/>
      <c r="AL460" s="219"/>
      <c r="AM460" s="219"/>
      <c r="AN460" s="219"/>
      <c r="AO460" s="219"/>
      <c r="AP460" s="219"/>
      <c r="AQ460" s="219"/>
      <c r="AR460" s="219"/>
      <c r="AS460" s="219"/>
      <c r="AT460" s="219"/>
      <c r="AU460" s="219"/>
      <c r="AV460" s="219"/>
      <c r="AW460" s="219"/>
      <c r="AX460" s="219"/>
      <c r="AY460" s="219"/>
      <c r="AZ460" s="219"/>
      <c r="BA460" s="219"/>
      <c r="BB460" s="219"/>
      <c r="BC460" s="219"/>
      <c r="BD460" s="219"/>
      <c r="BE460" s="219"/>
      <c r="BF460" s="219"/>
      <c r="BG460" s="219"/>
      <c r="BH460" s="219"/>
      <c r="BI460" s="219"/>
      <c r="BJ460" s="219"/>
      <c r="BK460" s="219"/>
      <c r="BL460" s="219"/>
      <c r="BM460" s="219"/>
      <c r="BN460" s="219"/>
    </row>
    <row r="461" ht="29.25" hidden="1" customHeight="1">
      <c r="A461" s="216"/>
      <c r="B461" s="217"/>
      <c r="C461" s="164"/>
      <c r="D461" s="164"/>
      <c r="E461" s="165"/>
      <c r="F461" s="173"/>
      <c r="G461" s="168"/>
      <c r="H461" s="168"/>
      <c r="I461" s="169"/>
      <c r="J461" s="170"/>
      <c r="K461" s="170"/>
      <c r="L461" s="170"/>
      <c r="M461" s="167"/>
      <c r="N461" s="169"/>
      <c r="O461" s="171"/>
      <c r="P461" s="106"/>
      <c r="Q461" s="218"/>
      <c r="R461" s="172"/>
      <c r="S461" s="172"/>
      <c r="T461" s="173"/>
      <c r="U461" s="219"/>
      <c r="V461" s="219"/>
      <c r="W461" s="219"/>
      <c r="X461" s="219"/>
      <c r="Y461" s="219"/>
      <c r="Z461" s="219"/>
      <c r="AA461" s="219"/>
      <c r="AB461" s="219"/>
      <c r="AC461" s="219"/>
      <c r="AD461" s="219"/>
      <c r="AE461" s="219"/>
      <c r="AF461" s="219"/>
      <c r="AG461" s="219"/>
      <c r="AH461" s="219"/>
      <c r="AI461" s="219"/>
      <c r="AJ461" s="219"/>
      <c r="AK461" s="219"/>
      <c r="AL461" s="219"/>
      <c r="AM461" s="219"/>
      <c r="AN461" s="219"/>
      <c r="AO461" s="219"/>
      <c r="AP461" s="219"/>
      <c r="AQ461" s="219"/>
      <c r="AR461" s="219"/>
      <c r="AS461" s="219"/>
      <c r="AT461" s="219"/>
      <c r="AU461" s="219"/>
      <c r="AV461" s="219"/>
      <c r="AW461" s="219"/>
      <c r="AX461" s="219"/>
      <c r="AY461" s="219"/>
      <c r="AZ461" s="219"/>
      <c r="BA461" s="219"/>
      <c r="BB461" s="219"/>
      <c r="BC461" s="219"/>
      <c r="BD461" s="219"/>
      <c r="BE461" s="219"/>
      <c r="BF461" s="219"/>
      <c r="BG461" s="219"/>
      <c r="BH461" s="219"/>
      <c r="BI461" s="219"/>
      <c r="BJ461" s="219"/>
      <c r="BK461" s="219"/>
      <c r="BL461" s="219"/>
      <c r="BM461" s="219"/>
      <c r="BN461" s="219"/>
    </row>
    <row r="462" ht="29.25" hidden="1" customHeight="1">
      <c r="A462" s="216"/>
      <c r="B462" s="217"/>
      <c r="C462" s="164"/>
      <c r="D462" s="164"/>
      <c r="E462" s="165"/>
      <c r="F462" s="173"/>
      <c r="G462" s="168"/>
      <c r="H462" s="168"/>
      <c r="I462" s="169"/>
      <c r="J462" s="170"/>
      <c r="K462" s="170"/>
      <c r="L462" s="170"/>
      <c r="M462" s="167"/>
      <c r="N462" s="169"/>
      <c r="O462" s="171"/>
      <c r="P462" s="106"/>
      <c r="Q462" s="218"/>
      <c r="R462" s="172"/>
      <c r="S462" s="172"/>
      <c r="T462" s="173"/>
      <c r="U462" s="219"/>
      <c r="V462" s="219"/>
      <c r="W462" s="219"/>
      <c r="X462" s="219"/>
      <c r="Y462" s="219"/>
      <c r="Z462" s="219"/>
      <c r="AA462" s="219"/>
      <c r="AB462" s="219"/>
      <c r="AC462" s="219"/>
      <c r="AD462" s="219"/>
      <c r="AE462" s="219"/>
      <c r="AF462" s="219"/>
      <c r="AG462" s="219"/>
      <c r="AH462" s="219"/>
      <c r="AI462" s="219"/>
      <c r="AJ462" s="219"/>
      <c r="AK462" s="219"/>
      <c r="AL462" s="219"/>
      <c r="AM462" s="219"/>
      <c r="AN462" s="219"/>
      <c r="AO462" s="219"/>
      <c r="AP462" s="219"/>
      <c r="AQ462" s="219"/>
      <c r="AR462" s="219"/>
      <c r="AS462" s="219"/>
      <c r="AT462" s="219"/>
      <c r="AU462" s="219"/>
      <c r="AV462" s="219"/>
      <c r="AW462" s="219"/>
      <c r="AX462" s="219"/>
      <c r="AY462" s="219"/>
      <c r="AZ462" s="219"/>
      <c r="BA462" s="219"/>
      <c r="BB462" s="219"/>
      <c r="BC462" s="219"/>
      <c r="BD462" s="219"/>
      <c r="BE462" s="219"/>
      <c r="BF462" s="219"/>
      <c r="BG462" s="219"/>
      <c r="BH462" s="219"/>
      <c r="BI462" s="219"/>
      <c r="BJ462" s="219"/>
      <c r="BK462" s="219"/>
      <c r="BL462" s="219"/>
      <c r="BM462" s="219"/>
      <c r="BN462" s="219"/>
    </row>
    <row r="463" ht="29.25" hidden="1" customHeight="1">
      <c r="A463" s="216"/>
      <c r="B463" s="217"/>
      <c r="C463" s="164"/>
      <c r="D463" s="164"/>
      <c r="E463" s="165"/>
      <c r="F463" s="173"/>
      <c r="G463" s="168"/>
      <c r="H463" s="168"/>
      <c r="I463" s="169"/>
      <c r="J463" s="170"/>
      <c r="K463" s="170"/>
      <c r="L463" s="170"/>
      <c r="M463" s="167"/>
      <c r="N463" s="169"/>
      <c r="O463" s="171"/>
      <c r="P463" s="106"/>
      <c r="Q463" s="218"/>
      <c r="R463" s="172"/>
      <c r="S463" s="172"/>
      <c r="T463" s="173"/>
      <c r="U463" s="219"/>
      <c r="V463" s="219"/>
      <c r="W463" s="219"/>
      <c r="X463" s="219"/>
      <c r="Y463" s="219"/>
      <c r="Z463" s="219"/>
      <c r="AA463" s="219"/>
      <c r="AB463" s="219"/>
      <c r="AC463" s="219"/>
      <c r="AD463" s="219"/>
      <c r="AE463" s="219"/>
      <c r="AF463" s="219"/>
      <c r="AG463" s="219"/>
      <c r="AH463" s="219"/>
      <c r="AI463" s="219"/>
      <c r="AJ463" s="219"/>
      <c r="AK463" s="219"/>
      <c r="AL463" s="219"/>
      <c r="AM463" s="219"/>
      <c r="AN463" s="219"/>
      <c r="AO463" s="219"/>
      <c r="AP463" s="219"/>
      <c r="AQ463" s="219"/>
      <c r="AR463" s="219"/>
      <c r="AS463" s="219"/>
      <c r="AT463" s="219"/>
      <c r="AU463" s="219"/>
      <c r="AV463" s="219"/>
      <c r="AW463" s="219"/>
      <c r="AX463" s="219"/>
      <c r="AY463" s="219"/>
      <c r="AZ463" s="219"/>
      <c r="BA463" s="219"/>
      <c r="BB463" s="219"/>
      <c r="BC463" s="219"/>
      <c r="BD463" s="219"/>
      <c r="BE463" s="219"/>
      <c r="BF463" s="219"/>
      <c r="BG463" s="219"/>
      <c r="BH463" s="219"/>
      <c r="BI463" s="219"/>
      <c r="BJ463" s="219"/>
      <c r="BK463" s="219"/>
      <c r="BL463" s="219"/>
      <c r="BM463" s="219"/>
      <c r="BN463" s="219"/>
    </row>
    <row r="464" ht="29.25" hidden="1" customHeight="1">
      <c r="A464" s="216"/>
      <c r="B464" s="217"/>
      <c r="C464" s="164"/>
      <c r="D464" s="164"/>
      <c r="E464" s="165"/>
      <c r="F464" s="173"/>
      <c r="G464" s="168"/>
      <c r="H464" s="168"/>
      <c r="I464" s="169"/>
      <c r="J464" s="170"/>
      <c r="K464" s="170"/>
      <c r="L464" s="170"/>
      <c r="M464" s="167"/>
      <c r="N464" s="169"/>
      <c r="O464" s="171"/>
      <c r="P464" s="106"/>
      <c r="Q464" s="218"/>
      <c r="R464" s="172"/>
      <c r="S464" s="172"/>
      <c r="T464" s="173"/>
      <c r="U464" s="219"/>
      <c r="V464" s="219"/>
      <c r="W464" s="219"/>
      <c r="X464" s="219"/>
      <c r="Y464" s="219"/>
      <c r="Z464" s="219"/>
      <c r="AA464" s="219"/>
      <c r="AB464" s="219"/>
      <c r="AC464" s="219"/>
      <c r="AD464" s="219"/>
      <c r="AE464" s="219"/>
      <c r="AF464" s="219"/>
      <c r="AG464" s="219"/>
      <c r="AH464" s="219"/>
      <c r="AI464" s="219"/>
      <c r="AJ464" s="219"/>
      <c r="AK464" s="219"/>
      <c r="AL464" s="219"/>
      <c r="AM464" s="219"/>
      <c r="AN464" s="219"/>
      <c r="AO464" s="219"/>
      <c r="AP464" s="219"/>
      <c r="AQ464" s="219"/>
      <c r="AR464" s="219"/>
      <c r="AS464" s="219"/>
      <c r="AT464" s="219"/>
      <c r="AU464" s="219"/>
      <c r="AV464" s="219"/>
      <c r="AW464" s="219"/>
      <c r="AX464" s="219"/>
      <c r="AY464" s="219"/>
      <c r="AZ464" s="219"/>
      <c r="BA464" s="219"/>
      <c r="BB464" s="219"/>
      <c r="BC464" s="219"/>
      <c r="BD464" s="219"/>
      <c r="BE464" s="219"/>
      <c r="BF464" s="219"/>
      <c r="BG464" s="219"/>
      <c r="BH464" s="219"/>
      <c r="BI464" s="219"/>
      <c r="BJ464" s="219"/>
      <c r="BK464" s="219"/>
      <c r="BL464" s="219"/>
      <c r="BM464" s="219"/>
      <c r="BN464" s="219"/>
    </row>
    <row r="465" ht="29.25" hidden="1" customHeight="1">
      <c r="A465" s="216"/>
      <c r="B465" s="217"/>
      <c r="C465" s="164"/>
      <c r="D465" s="164"/>
      <c r="E465" s="165"/>
      <c r="F465" s="173"/>
      <c r="G465" s="168"/>
      <c r="H465" s="168"/>
      <c r="I465" s="169"/>
      <c r="J465" s="170"/>
      <c r="K465" s="170"/>
      <c r="L465" s="170"/>
      <c r="M465" s="167"/>
      <c r="N465" s="169"/>
      <c r="O465" s="171"/>
      <c r="P465" s="106"/>
      <c r="Q465" s="218"/>
      <c r="R465" s="172"/>
      <c r="S465" s="172"/>
      <c r="T465" s="173"/>
      <c r="U465" s="219"/>
      <c r="V465" s="219"/>
      <c r="W465" s="219"/>
      <c r="X465" s="219"/>
      <c r="Y465" s="219"/>
      <c r="Z465" s="219"/>
      <c r="AA465" s="219"/>
      <c r="AB465" s="219"/>
      <c r="AC465" s="219"/>
      <c r="AD465" s="219"/>
      <c r="AE465" s="219"/>
      <c r="AF465" s="219"/>
      <c r="AG465" s="219"/>
      <c r="AH465" s="219"/>
      <c r="AI465" s="219"/>
      <c r="AJ465" s="219"/>
      <c r="AK465" s="219"/>
      <c r="AL465" s="219"/>
      <c r="AM465" s="219"/>
      <c r="AN465" s="219"/>
      <c r="AO465" s="219"/>
      <c r="AP465" s="219"/>
      <c r="AQ465" s="219"/>
      <c r="AR465" s="219"/>
      <c r="AS465" s="219"/>
      <c r="AT465" s="219"/>
      <c r="AU465" s="219"/>
      <c r="AV465" s="219"/>
      <c r="AW465" s="219"/>
      <c r="AX465" s="219"/>
      <c r="AY465" s="219"/>
      <c r="AZ465" s="219"/>
      <c r="BA465" s="219"/>
      <c r="BB465" s="219"/>
      <c r="BC465" s="219"/>
      <c r="BD465" s="219"/>
      <c r="BE465" s="219"/>
      <c r="BF465" s="219"/>
      <c r="BG465" s="219"/>
      <c r="BH465" s="219"/>
      <c r="BI465" s="219"/>
      <c r="BJ465" s="219"/>
      <c r="BK465" s="219"/>
      <c r="BL465" s="219"/>
      <c r="BM465" s="219"/>
      <c r="BN465" s="219"/>
    </row>
    <row r="466" ht="29.25" hidden="1" customHeight="1">
      <c r="A466" s="216"/>
      <c r="B466" s="217"/>
      <c r="C466" s="164"/>
      <c r="D466" s="164"/>
      <c r="E466" s="165"/>
      <c r="F466" s="173"/>
      <c r="G466" s="168"/>
      <c r="H466" s="168"/>
      <c r="I466" s="169"/>
      <c r="J466" s="170"/>
      <c r="K466" s="170"/>
      <c r="L466" s="170"/>
      <c r="M466" s="167"/>
      <c r="N466" s="169"/>
      <c r="O466" s="171"/>
      <c r="P466" s="106"/>
      <c r="Q466" s="218"/>
      <c r="R466" s="172"/>
      <c r="S466" s="172"/>
      <c r="T466" s="173"/>
      <c r="U466" s="219"/>
      <c r="V466" s="219"/>
      <c r="W466" s="219"/>
      <c r="X466" s="219"/>
      <c r="Y466" s="219"/>
      <c r="Z466" s="219"/>
      <c r="AA466" s="219"/>
      <c r="AB466" s="219"/>
      <c r="AC466" s="219"/>
      <c r="AD466" s="219"/>
      <c r="AE466" s="219"/>
      <c r="AF466" s="219"/>
      <c r="AG466" s="219"/>
      <c r="AH466" s="219"/>
      <c r="AI466" s="219"/>
      <c r="AJ466" s="219"/>
      <c r="AK466" s="219"/>
      <c r="AL466" s="219"/>
      <c r="AM466" s="219"/>
      <c r="AN466" s="219"/>
      <c r="AO466" s="219"/>
      <c r="AP466" s="219"/>
      <c r="AQ466" s="219"/>
      <c r="AR466" s="219"/>
      <c r="AS466" s="219"/>
      <c r="AT466" s="219"/>
      <c r="AU466" s="219"/>
      <c r="AV466" s="219"/>
      <c r="AW466" s="219"/>
      <c r="AX466" s="219"/>
      <c r="AY466" s="219"/>
      <c r="AZ466" s="219"/>
      <c r="BA466" s="219"/>
      <c r="BB466" s="219"/>
      <c r="BC466" s="219"/>
      <c r="BD466" s="219"/>
      <c r="BE466" s="219"/>
      <c r="BF466" s="219"/>
      <c r="BG466" s="219"/>
      <c r="BH466" s="219"/>
      <c r="BI466" s="219"/>
      <c r="BJ466" s="219"/>
      <c r="BK466" s="219"/>
      <c r="BL466" s="219"/>
      <c r="BM466" s="219"/>
      <c r="BN466" s="219"/>
    </row>
    <row r="467" ht="29.25" hidden="1" customHeight="1">
      <c r="A467" s="216"/>
      <c r="B467" s="217"/>
      <c r="C467" s="164"/>
      <c r="D467" s="164"/>
      <c r="E467" s="165"/>
      <c r="F467" s="173"/>
      <c r="G467" s="168"/>
      <c r="H467" s="168"/>
      <c r="I467" s="169"/>
      <c r="J467" s="170"/>
      <c r="K467" s="170"/>
      <c r="L467" s="170"/>
      <c r="M467" s="167"/>
      <c r="N467" s="169"/>
      <c r="O467" s="171"/>
      <c r="P467" s="106"/>
      <c r="Q467" s="218"/>
      <c r="R467" s="172"/>
      <c r="S467" s="172"/>
      <c r="T467" s="173"/>
      <c r="U467" s="219"/>
      <c r="V467" s="219"/>
      <c r="W467" s="219"/>
      <c r="X467" s="219"/>
      <c r="Y467" s="219"/>
      <c r="Z467" s="219"/>
      <c r="AA467" s="219"/>
      <c r="AB467" s="219"/>
      <c r="AC467" s="219"/>
      <c r="AD467" s="219"/>
      <c r="AE467" s="219"/>
      <c r="AF467" s="219"/>
      <c r="AG467" s="219"/>
      <c r="AH467" s="219"/>
      <c r="AI467" s="219"/>
      <c r="AJ467" s="219"/>
      <c r="AK467" s="219"/>
      <c r="AL467" s="219"/>
      <c r="AM467" s="219"/>
      <c r="AN467" s="219"/>
      <c r="AO467" s="219"/>
      <c r="AP467" s="219"/>
      <c r="AQ467" s="219"/>
      <c r="AR467" s="219"/>
      <c r="AS467" s="219"/>
      <c r="AT467" s="219"/>
      <c r="AU467" s="219"/>
      <c r="AV467" s="219"/>
      <c r="AW467" s="219"/>
      <c r="AX467" s="219"/>
      <c r="AY467" s="219"/>
      <c r="AZ467" s="219"/>
      <c r="BA467" s="219"/>
      <c r="BB467" s="219"/>
      <c r="BC467" s="219"/>
      <c r="BD467" s="219"/>
      <c r="BE467" s="219"/>
      <c r="BF467" s="219"/>
      <c r="BG467" s="219"/>
      <c r="BH467" s="219"/>
      <c r="BI467" s="219"/>
      <c r="BJ467" s="219"/>
      <c r="BK467" s="219"/>
      <c r="BL467" s="219"/>
      <c r="BM467" s="219"/>
      <c r="BN467" s="219"/>
    </row>
    <row r="468" ht="29.25" hidden="1" customHeight="1">
      <c r="A468" s="216"/>
      <c r="B468" s="217"/>
      <c r="C468" s="164"/>
      <c r="D468" s="164"/>
      <c r="E468" s="165"/>
      <c r="F468" s="173"/>
      <c r="G468" s="168"/>
      <c r="H468" s="168"/>
      <c r="I468" s="169"/>
      <c r="J468" s="170"/>
      <c r="K468" s="170"/>
      <c r="L468" s="170"/>
      <c r="M468" s="167"/>
      <c r="N468" s="169"/>
      <c r="O468" s="171"/>
      <c r="P468" s="106"/>
      <c r="Q468" s="218"/>
      <c r="R468" s="172"/>
      <c r="S468" s="172"/>
      <c r="T468" s="173"/>
      <c r="U468" s="219"/>
      <c r="V468" s="219"/>
      <c r="W468" s="219"/>
      <c r="X468" s="219"/>
      <c r="Y468" s="219"/>
      <c r="Z468" s="219"/>
      <c r="AA468" s="219"/>
      <c r="AB468" s="219"/>
      <c r="AC468" s="219"/>
      <c r="AD468" s="219"/>
      <c r="AE468" s="219"/>
      <c r="AF468" s="219"/>
      <c r="AG468" s="219"/>
      <c r="AH468" s="219"/>
      <c r="AI468" s="219"/>
      <c r="AJ468" s="219"/>
      <c r="AK468" s="219"/>
      <c r="AL468" s="219"/>
      <c r="AM468" s="219"/>
      <c r="AN468" s="219"/>
      <c r="AO468" s="219"/>
      <c r="AP468" s="219"/>
      <c r="AQ468" s="219"/>
      <c r="AR468" s="219"/>
      <c r="AS468" s="219"/>
      <c r="AT468" s="219"/>
      <c r="AU468" s="219"/>
      <c r="AV468" s="219"/>
      <c r="AW468" s="219"/>
      <c r="AX468" s="219"/>
      <c r="AY468" s="219"/>
      <c r="AZ468" s="219"/>
      <c r="BA468" s="219"/>
      <c r="BB468" s="219"/>
      <c r="BC468" s="219"/>
      <c r="BD468" s="219"/>
      <c r="BE468" s="219"/>
      <c r="BF468" s="219"/>
      <c r="BG468" s="219"/>
      <c r="BH468" s="219"/>
      <c r="BI468" s="219"/>
      <c r="BJ468" s="219"/>
      <c r="BK468" s="219"/>
      <c r="BL468" s="219"/>
      <c r="BM468" s="219"/>
      <c r="BN468" s="219"/>
    </row>
    <row r="469" ht="29.25" hidden="1" customHeight="1">
      <c r="A469" s="216"/>
      <c r="B469" s="217"/>
      <c r="C469" s="164"/>
      <c r="D469" s="164"/>
      <c r="E469" s="165"/>
      <c r="F469" s="173"/>
      <c r="G469" s="168"/>
      <c r="H469" s="168"/>
      <c r="I469" s="169"/>
      <c r="J469" s="170"/>
      <c r="K469" s="170"/>
      <c r="L469" s="170"/>
      <c r="M469" s="167"/>
      <c r="N469" s="169"/>
      <c r="O469" s="171"/>
      <c r="P469" s="106"/>
      <c r="Q469" s="218"/>
      <c r="R469" s="172"/>
      <c r="S469" s="172"/>
      <c r="T469" s="173"/>
      <c r="U469" s="219"/>
      <c r="V469" s="219"/>
      <c r="W469" s="219"/>
      <c r="X469" s="219"/>
      <c r="Y469" s="219"/>
      <c r="Z469" s="219"/>
      <c r="AA469" s="219"/>
      <c r="AB469" s="219"/>
      <c r="AC469" s="219"/>
      <c r="AD469" s="219"/>
      <c r="AE469" s="219"/>
      <c r="AF469" s="219"/>
      <c r="AG469" s="219"/>
      <c r="AH469" s="219"/>
      <c r="AI469" s="219"/>
      <c r="AJ469" s="219"/>
      <c r="AK469" s="219"/>
      <c r="AL469" s="219"/>
      <c r="AM469" s="219"/>
      <c r="AN469" s="219"/>
      <c r="AO469" s="219"/>
      <c r="AP469" s="219"/>
      <c r="AQ469" s="219"/>
      <c r="AR469" s="219"/>
      <c r="AS469" s="219"/>
      <c r="AT469" s="219"/>
      <c r="AU469" s="219"/>
      <c r="AV469" s="219"/>
      <c r="AW469" s="219"/>
      <c r="AX469" s="219"/>
      <c r="AY469" s="219"/>
      <c r="AZ469" s="219"/>
      <c r="BA469" s="219"/>
      <c r="BB469" s="219"/>
      <c r="BC469" s="219"/>
      <c r="BD469" s="219"/>
      <c r="BE469" s="219"/>
      <c r="BF469" s="219"/>
      <c r="BG469" s="219"/>
      <c r="BH469" s="219"/>
      <c r="BI469" s="219"/>
      <c r="BJ469" s="219"/>
      <c r="BK469" s="219"/>
      <c r="BL469" s="219"/>
      <c r="BM469" s="219"/>
      <c r="BN469" s="219"/>
    </row>
    <row r="470" ht="29.25" hidden="1" customHeight="1">
      <c r="A470" s="216"/>
      <c r="B470" s="217"/>
      <c r="C470" s="164"/>
      <c r="D470" s="164"/>
      <c r="E470" s="165"/>
      <c r="F470" s="173"/>
      <c r="G470" s="168"/>
      <c r="H470" s="168"/>
      <c r="I470" s="169"/>
      <c r="J470" s="170"/>
      <c r="K470" s="170"/>
      <c r="L470" s="170"/>
      <c r="M470" s="167"/>
      <c r="N470" s="169"/>
      <c r="O470" s="171"/>
      <c r="P470" s="106"/>
      <c r="Q470" s="218"/>
      <c r="R470" s="172"/>
      <c r="S470" s="172"/>
      <c r="T470" s="173"/>
      <c r="U470" s="219"/>
      <c r="V470" s="219"/>
      <c r="W470" s="219"/>
      <c r="X470" s="219"/>
      <c r="Y470" s="219"/>
      <c r="Z470" s="219"/>
      <c r="AA470" s="219"/>
      <c r="AB470" s="219"/>
      <c r="AC470" s="219"/>
      <c r="AD470" s="219"/>
      <c r="AE470" s="219"/>
      <c r="AF470" s="219"/>
      <c r="AG470" s="219"/>
      <c r="AH470" s="219"/>
      <c r="AI470" s="219"/>
      <c r="AJ470" s="219"/>
      <c r="AK470" s="219"/>
      <c r="AL470" s="219"/>
      <c r="AM470" s="219"/>
      <c r="AN470" s="219"/>
      <c r="AO470" s="219"/>
      <c r="AP470" s="219"/>
      <c r="AQ470" s="219"/>
      <c r="AR470" s="219"/>
      <c r="AS470" s="219"/>
      <c r="AT470" s="219"/>
      <c r="AU470" s="219"/>
      <c r="AV470" s="219"/>
      <c r="AW470" s="219"/>
      <c r="AX470" s="219"/>
      <c r="AY470" s="219"/>
      <c r="AZ470" s="219"/>
      <c r="BA470" s="219"/>
      <c r="BB470" s="219"/>
      <c r="BC470" s="219"/>
      <c r="BD470" s="219"/>
      <c r="BE470" s="219"/>
      <c r="BF470" s="219"/>
      <c r="BG470" s="219"/>
      <c r="BH470" s="219"/>
      <c r="BI470" s="219"/>
      <c r="BJ470" s="219"/>
      <c r="BK470" s="219"/>
      <c r="BL470" s="219"/>
      <c r="BM470" s="219"/>
      <c r="BN470" s="219"/>
    </row>
    <row r="471" ht="29.25" hidden="1" customHeight="1">
      <c r="A471" s="216"/>
      <c r="B471" s="217"/>
      <c r="C471" s="164"/>
      <c r="D471" s="164"/>
      <c r="E471" s="165"/>
      <c r="F471" s="173"/>
      <c r="G471" s="168"/>
      <c r="H471" s="168"/>
      <c r="I471" s="169"/>
      <c r="J471" s="170"/>
      <c r="K471" s="170"/>
      <c r="L471" s="170"/>
      <c r="M471" s="167"/>
      <c r="N471" s="169"/>
      <c r="O471" s="171"/>
      <c r="P471" s="106"/>
      <c r="Q471" s="218"/>
      <c r="R471" s="172"/>
      <c r="S471" s="172"/>
      <c r="T471" s="173"/>
      <c r="U471" s="219"/>
      <c r="V471" s="219"/>
      <c r="W471" s="219"/>
      <c r="X471" s="219"/>
      <c r="Y471" s="219"/>
      <c r="Z471" s="219"/>
      <c r="AA471" s="219"/>
      <c r="AB471" s="219"/>
      <c r="AC471" s="219"/>
      <c r="AD471" s="219"/>
      <c r="AE471" s="219"/>
      <c r="AF471" s="219"/>
      <c r="AG471" s="219"/>
      <c r="AH471" s="219"/>
      <c r="AI471" s="219"/>
      <c r="AJ471" s="219"/>
      <c r="AK471" s="219"/>
      <c r="AL471" s="219"/>
      <c r="AM471" s="219"/>
      <c r="AN471" s="219"/>
      <c r="AO471" s="219"/>
      <c r="AP471" s="219"/>
      <c r="AQ471" s="219"/>
      <c r="AR471" s="219"/>
      <c r="AS471" s="219"/>
      <c r="AT471" s="219"/>
      <c r="AU471" s="219"/>
      <c r="AV471" s="219"/>
      <c r="AW471" s="219"/>
      <c r="AX471" s="219"/>
      <c r="AY471" s="219"/>
      <c r="AZ471" s="219"/>
      <c r="BA471" s="219"/>
      <c r="BB471" s="219"/>
      <c r="BC471" s="219"/>
      <c r="BD471" s="219"/>
      <c r="BE471" s="219"/>
      <c r="BF471" s="219"/>
      <c r="BG471" s="219"/>
      <c r="BH471" s="219"/>
      <c r="BI471" s="219"/>
      <c r="BJ471" s="219"/>
      <c r="BK471" s="219"/>
      <c r="BL471" s="219"/>
      <c r="BM471" s="219"/>
      <c r="BN471" s="219"/>
    </row>
    <row r="472" ht="29.25" hidden="1" customHeight="1">
      <c r="A472" s="216"/>
      <c r="B472" s="217"/>
      <c r="C472" s="164"/>
      <c r="D472" s="164"/>
      <c r="E472" s="165"/>
      <c r="F472" s="173"/>
      <c r="G472" s="168"/>
      <c r="H472" s="168"/>
      <c r="I472" s="169"/>
      <c r="J472" s="170"/>
      <c r="K472" s="170"/>
      <c r="L472" s="170"/>
      <c r="M472" s="167"/>
      <c r="N472" s="169"/>
      <c r="O472" s="171"/>
      <c r="P472" s="106"/>
      <c r="Q472" s="218"/>
      <c r="R472" s="172"/>
      <c r="S472" s="172"/>
      <c r="T472" s="173"/>
      <c r="U472" s="219"/>
      <c r="V472" s="219"/>
      <c r="W472" s="219"/>
      <c r="X472" s="219"/>
      <c r="Y472" s="219"/>
      <c r="Z472" s="219"/>
      <c r="AA472" s="219"/>
      <c r="AB472" s="219"/>
      <c r="AC472" s="219"/>
      <c r="AD472" s="219"/>
      <c r="AE472" s="219"/>
      <c r="AF472" s="219"/>
      <c r="AG472" s="219"/>
      <c r="AH472" s="219"/>
      <c r="AI472" s="219"/>
      <c r="AJ472" s="219"/>
      <c r="AK472" s="219"/>
      <c r="AL472" s="219"/>
      <c r="AM472" s="219"/>
      <c r="AN472" s="219"/>
      <c r="AO472" s="219"/>
      <c r="AP472" s="219"/>
      <c r="AQ472" s="219"/>
      <c r="AR472" s="219"/>
      <c r="AS472" s="219"/>
      <c r="AT472" s="219"/>
      <c r="AU472" s="219"/>
      <c r="AV472" s="219"/>
      <c r="AW472" s="219"/>
      <c r="AX472" s="219"/>
      <c r="AY472" s="219"/>
      <c r="AZ472" s="219"/>
      <c r="BA472" s="219"/>
      <c r="BB472" s="219"/>
      <c r="BC472" s="219"/>
      <c r="BD472" s="219"/>
      <c r="BE472" s="219"/>
      <c r="BF472" s="219"/>
      <c r="BG472" s="219"/>
      <c r="BH472" s="219"/>
      <c r="BI472" s="219"/>
      <c r="BJ472" s="219"/>
      <c r="BK472" s="219"/>
      <c r="BL472" s="219"/>
      <c r="BM472" s="219"/>
      <c r="BN472" s="219"/>
    </row>
    <row r="473" ht="29.25" hidden="1" customHeight="1">
      <c r="A473" s="216"/>
      <c r="B473" s="217"/>
      <c r="C473" s="164"/>
      <c r="D473" s="164"/>
      <c r="E473" s="165"/>
      <c r="F473" s="173"/>
      <c r="G473" s="168"/>
      <c r="H473" s="168"/>
      <c r="I473" s="169"/>
      <c r="J473" s="170"/>
      <c r="K473" s="170"/>
      <c r="L473" s="170"/>
      <c r="M473" s="167"/>
      <c r="N473" s="169"/>
      <c r="O473" s="171"/>
      <c r="P473" s="106"/>
      <c r="Q473" s="218"/>
      <c r="R473" s="172"/>
      <c r="S473" s="172"/>
      <c r="T473" s="173"/>
      <c r="U473" s="219"/>
      <c r="V473" s="219"/>
      <c r="W473" s="219"/>
      <c r="X473" s="219"/>
      <c r="Y473" s="219"/>
      <c r="Z473" s="219"/>
      <c r="AA473" s="219"/>
      <c r="AB473" s="219"/>
      <c r="AC473" s="219"/>
      <c r="AD473" s="219"/>
      <c r="AE473" s="219"/>
      <c r="AF473" s="219"/>
      <c r="AG473" s="219"/>
      <c r="AH473" s="219"/>
      <c r="AI473" s="219"/>
      <c r="AJ473" s="219"/>
      <c r="AK473" s="219"/>
      <c r="AL473" s="219"/>
      <c r="AM473" s="219"/>
      <c r="AN473" s="219"/>
      <c r="AO473" s="219"/>
      <c r="AP473" s="219"/>
      <c r="AQ473" s="219"/>
      <c r="AR473" s="219"/>
      <c r="AS473" s="219"/>
      <c r="AT473" s="219"/>
      <c r="AU473" s="219"/>
      <c r="AV473" s="219"/>
      <c r="AW473" s="219"/>
      <c r="AX473" s="219"/>
      <c r="AY473" s="219"/>
      <c r="AZ473" s="219"/>
      <c r="BA473" s="219"/>
      <c r="BB473" s="219"/>
      <c r="BC473" s="219"/>
      <c r="BD473" s="219"/>
      <c r="BE473" s="219"/>
      <c r="BF473" s="219"/>
      <c r="BG473" s="219"/>
      <c r="BH473" s="219"/>
      <c r="BI473" s="219"/>
      <c r="BJ473" s="219"/>
      <c r="BK473" s="219"/>
      <c r="BL473" s="219"/>
      <c r="BM473" s="219"/>
      <c r="BN473" s="219"/>
    </row>
    <row r="474" ht="29.25" hidden="1" customHeight="1">
      <c r="A474" s="216"/>
      <c r="B474" s="217"/>
      <c r="C474" s="164"/>
      <c r="D474" s="164"/>
      <c r="E474" s="165"/>
      <c r="F474" s="173"/>
      <c r="G474" s="168"/>
      <c r="H474" s="168"/>
      <c r="I474" s="169"/>
      <c r="J474" s="170"/>
      <c r="K474" s="170"/>
      <c r="L474" s="170"/>
      <c r="M474" s="167"/>
      <c r="N474" s="169"/>
      <c r="O474" s="171"/>
      <c r="P474" s="106"/>
      <c r="Q474" s="218"/>
      <c r="R474" s="172"/>
      <c r="S474" s="172"/>
      <c r="T474" s="173"/>
      <c r="U474" s="219"/>
      <c r="V474" s="219"/>
      <c r="W474" s="219"/>
      <c r="X474" s="219"/>
      <c r="Y474" s="219"/>
      <c r="Z474" s="219"/>
      <c r="AA474" s="219"/>
      <c r="AB474" s="219"/>
      <c r="AC474" s="219"/>
      <c r="AD474" s="219"/>
      <c r="AE474" s="219"/>
      <c r="AF474" s="219"/>
      <c r="AG474" s="219"/>
      <c r="AH474" s="219"/>
      <c r="AI474" s="219"/>
      <c r="AJ474" s="219"/>
      <c r="AK474" s="219"/>
      <c r="AL474" s="219"/>
      <c r="AM474" s="219"/>
      <c r="AN474" s="219"/>
      <c r="AO474" s="219"/>
      <c r="AP474" s="219"/>
      <c r="AQ474" s="219"/>
      <c r="AR474" s="219"/>
      <c r="AS474" s="219"/>
      <c r="AT474" s="219"/>
      <c r="AU474" s="219"/>
      <c r="AV474" s="219"/>
      <c r="AW474" s="219"/>
      <c r="AX474" s="219"/>
      <c r="AY474" s="219"/>
      <c r="AZ474" s="219"/>
      <c r="BA474" s="219"/>
      <c r="BB474" s="219"/>
      <c r="BC474" s="219"/>
      <c r="BD474" s="219"/>
      <c r="BE474" s="219"/>
      <c r="BF474" s="219"/>
      <c r="BG474" s="219"/>
      <c r="BH474" s="219"/>
      <c r="BI474" s="219"/>
      <c r="BJ474" s="219"/>
      <c r="BK474" s="219"/>
      <c r="BL474" s="219"/>
      <c r="BM474" s="219"/>
      <c r="BN474" s="219"/>
    </row>
    <row r="475" ht="29.25" hidden="1" customHeight="1">
      <c r="A475" s="216"/>
      <c r="B475" s="217"/>
      <c r="C475" s="164"/>
      <c r="D475" s="164"/>
      <c r="E475" s="165"/>
      <c r="F475" s="173"/>
      <c r="G475" s="168"/>
      <c r="H475" s="168"/>
      <c r="I475" s="169"/>
      <c r="J475" s="170"/>
      <c r="K475" s="170"/>
      <c r="L475" s="170"/>
      <c r="M475" s="167"/>
      <c r="N475" s="169"/>
      <c r="O475" s="171"/>
      <c r="P475" s="106"/>
      <c r="Q475" s="218"/>
      <c r="R475" s="172"/>
      <c r="S475" s="172"/>
      <c r="T475" s="173"/>
      <c r="U475" s="219"/>
      <c r="V475" s="219"/>
      <c r="W475" s="219"/>
      <c r="X475" s="219"/>
      <c r="Y475" s="219"/>
      <c r="Z475" s="219"/>
      <c r="AA475" s="219"/>
      <c r="AB475" s="219"/>
      <c r="AC475" s="219"/>
      <c r="AD475" s="219"/>
      <c r="AE475" s="219"/>
      <c r="AF475" s="219"/>
      <c r="AG475" s="219"/>
      <c r="AH475" s="219"/>
      <c r="AI475" s="219"/>
      <c r="AJ475" s="219"/>
      <c r="AK475" s="219"/>
      <c r="AL475" s="219"/>
      <c r="AM475" s="219"/>
      <c r="AN475" s="219"/>
      <c r="AO475" s="219"/>
      <c r="AP475" s="219"/>
      <c r="AQ475" s="219"/>
      <c r="AR475" s="219"/>
      <c r="AS475" s="219"/>
      <c r="AT475" s="219"/>
      <c r="AU475" s="219"/>
      <c r="AV475" s="219"/>
      <c r="AW475" s="219"/>
      <c r="AX475" s="219"/>
      <c r="AY475" s="219"/>
      <c r="AZ475" s="219"/>
      <c r="BA475" s="219"/>
      <c r="BB475" s="219"/>
      <c r="BC475" s="219"/>
      <c r="BD475" s="219"/>
      <c r="BE475" s="219"/>
      <c r="BF475" s="219"/>
      <c r="BG475" s="219"/>
      <c r="BH475" s="219"/>
      <c r="BI475" s="219"/>
      <c r="BJ475" s="219"/>
      <c r="BK475" s="219"/>
      <c r="BL475" s="219"/>
      <c r="BM475" s="219"/>
      <c r="BN475" s="219"/>
    </row>
    <row r="476" ht="29.25" hidden="1" customHeight="1">
      <c r="A476" s="216"/>
      <c r="B476" s="217"/>
      <c r="C476" s="164"/>
      <c r="D476" s="164"/>
      <c r="E476" s="165"/>
      <c r="F476" s="173"/>
      <c r="G476" s="168"/>
      <c r="H476" s="168"/>
      <c r="I476" s="169"/>
      <c r="J476" s="170"/>
      <c r="K476" s="170"/>
      <c r="L476" s="170"/>
      <c r="M476" s="167"/>
      <c r="N476" s="169"/>
      <c r="O476" s="171"/>
      <c r="P476" s="106"/>
      <c r="Q476" s="218"/>
      <c r="R476" s="172"/>
      <c r="S476" s="172"/>
      <c r="T476" s="173"/>
      <c r="U476" s="219"/>
      <c r="V476" s="219"/>
      <c r="W476" s="219"/>
      <c r="X476" s="219"/>
      <c r="Y476" s="219"/>
      <c r="Z476" s="219"/>
      <c r="AA476" s="219"/>
      <c r="AB476" s="219"/>
      <c r="AC476" s="219"/>
      <c r="AD476" s="219"/>
      <c r="AE476" s="219"/>
      <c r="AF476" s="219"/>
      <c r="AG476" s="219"/>
      <c r="AH476" s="219"/>
      <c r="AI476" s="219"/>
      <c r="AJ476" s="219"/>
      <c r="AK476" s="219"/>
      <c r="AL476" s="219"/>
      <c r="AM476" s="219"/>
      <c r="AN476" s="219"/>
      <c r="AO476" s="219"/>
      <c r="AP476" s="219"/>
      <c r="AQ476" s="219"/>
      <c r="AR476" s="219"/>
      <c r="AS476" s="219"/>
      <c r="AT476" s="219"/>
      <c r="AU476" s="219"/>
      <c r="AV476" s="219"/>
      <c r="AW476" s="219"/>
      <c r="AX476" s="219"/>
      <c r="AY476" s="219"/>
      <c r="AZ476" s="219"/>
      <c r="BA476" s="219"/>
      <c r="BB476" s="219"/>
      <c r="BC476" s="219"/>
      <c r="BD476" s="219"/>
      <c r="BE476" s="219"/>
      <c r="BF476" s="219"/>
      <c r="BG476" s="219"/>
      <c r="BH476" s="219"/>
      <c r="BI476" s="219"/>
      <c r="BJ476" s="219"/>
      <c r="BK476" s="219"/>
      <c r="BL476" s="219"/>
      <c r="BM476" s="219"/>
      <c r="BN476" s="219"/>
    </row>
    <row r="477" ht="29.25" hidden="1" customHeight="1">
      <c r="A477" s="216"/>
      <c r="B477" s="217"/>
      <c r="C477" s="164"/>
      <c r="D477" s="164"/>
      <c r="E477" s="165"/>
      <c r="F477" s="173"/>
      <c r="G477" s="168"/>
      <c r="H477" s="168"/>
      <c r="I477" s="169"/>
      <c r="J477" s="170"/>
      <c r="K477" s="170"/>
      <c r="L477" s="170"/>
      <c r="M477" s="167"/>
      <c r="N477" s="169"/>
      <c r="O477" s="171"/>
      <c r="P477" s="106"/>
      <c r="Q477" s="218"/>
      <c r="R477" s="172"/>
      <c r="S477" s="172"/>
      <c r="T477" s="173"/>
      <c r="U477" s="219"/>
      <c r="V477" s="219"/>
      <c r="W477" s="219"/>
      <c r="X477" s="219"/>
      <c r="Y477" s="219"/>
      <c r="Z477" s="219"/>
      <c r="AA477" s="219"/>
      <c r="AB477" s="219"/>
      <c r="AC477" s="219"/>
      <c r="AD477" s="219"/>
      <c r="AE477" s="219"/>
      <c r="AF477" s="219"/>
      <c r="AG477" s="219"/>
      <c r="AH477" s="219"/>
      <c r="AI477" s="219"/>
      <c r="AJ477" s="219"/>
      <c r="AK477" s="219"/>
      <c r="AL477" s="219"/>
      <c r="AM477" s="219"/>
      <c r="AN477" s="219"/>
      <c r="AO477" s="219"/>
      <c r="AP477" s="219"/>
      <c r="AQ477" s="219"/>
      <c r="AR477" s="219"/>
      <c r="AS477" s="219"/>
      <c r="AT477" s="219"/>
      <c r="AU477" s="219"/>
      <c r="AV477" s="219"/>
      <c r="AW477" s="219"/>
      <c r="AX477" s="219"/>
      <c r="AY477" s="219"/>
      <c r="AZ477" s="219"/>
      <c r="BA477" s="219"/>
      <c r="BB477" s="219"/>
      <c r="BC477" s="219"/>
      <c r="BD477" s="219"/>
      <c r="BE477" s="219"/>
      <c r="BF477" s="219"/>
      <c r="BG477" s="219"/>
      <c r="BH477" s="219"/>
      <c r="BI477" s="219"/>
      <c r="BJ477" s="219"/>
      <c r="BK477" s="219"/>
      <c r="BL477" s="219"/>
      <c r="BM477" s="219"/>
      <c r="BN477" s="219"/>
    </row>
    <row r="478" ht="29.25" hidden="1" customHeight="1">
      <c r="A478" s="216"/>
      <c r="B478" s="217"/>
      <c r="C478" s="164"/>
      <c r="D478" s="164"/>
      <c r="E478" s="165"/>
      <c r="F478" s="173"/>
      <c r="G478" s="168"/>
      <c r="H478" s="168"/>
      <c r="I478" s="169"/>
      <c r="J478" s="170"/>
      <c r="K478" s="170"/>
      <c r="L478" s="170"/>
      <c r="M478" s="167"/>
      <c r="N478" s="169"/>
      <c r="O478" s="171"/>
      <c r="P478" s="106"/>
      <c r="Q478" s="218"/>
      <c r="R478" s="172"/>
      <c r="S478" s="172"/>
      <c r="T478" s="173"/>
      <c r="U478" s="219"/>
      <c r="V478" s="219"/>
      <c r="W478" s="219"/>
      <c r="X478" s="219"/>
      <c r="Y478" s="219"/>
      <c r="Z478" s="219"/>
      <c r="AA478" s="219"/>
      <c r="AB478" s="219"/>
      <c r="AC478" s="219"/>
      <c r="AD478" s="219"/>
      <c r="AE478" s="219"/>
      <c r="AF478" s="219"/>
      <c r="AG478" s="219"/>
      <c r="AH478" s="219"/>
      <c r="AI478" s="219"/>
      <c r="AJ478" s="219"/>
      <c r="AK478" s="219"/>
      <c r="AL478" s="219"/>
      <c r="AM478" s="219"/>
      <c r="AN478" s="219"/>
      <c r="AO478" s="219"/>
      <c r="AP478" s="219"/>
      <c r="AQ478" s="219"/>
      <c r="AR478" s="219"/>
      <c r="AS478" s="219"/>
      <c r="AT478" s="219"/>
      <c r="AU478" s="219"/>
      <c r="AV478" s="219"/>
      <c r="AW478" s="219"/>
      <c r="AX478" s="219"/>
      <c r="AY478" s="219"/>
      <c r="AZ478" s="219"/>
      <c r="BA478" s="219"/>
      <c r="BB478" s="219"/>
      <c r="BC478" s="219"/>
      <c r="BD478" s="219"/>
      <c r="BE478" s="219"/>
      <c r="BF478" s="219"/>
      <c r="BG478" s="219"/>
      <c r="BH478" s="219"/>
      <c r="BI478" s="219"/>
      <c r="BJ478" s="219"/>
      <c r="BK478" s="219"/>
      <c r="BL478" s="219"/>
      <c r="BM478" s="219"/>
      <c r="BN478" s="219"/>
    </row>
    <row r="479" ht="29.25" hidden="1" customHeight="1">
      <c r="A479" s="216"/>
      <c r="B479" s="217"/>
      <c r="C479" s="164"/>
      <c r="D479" s="164"/>
      <c r="E479" s="165"/>
      <c r="F479" s="173"/>
      <c r="G479" s="168"/>
      <c r="H479" s="168"/>
      <c r="I479" s="169"/>
      <c r="J479" s="170"/>
      <c r="K479" s="170"/>
      <c r="L479" s="170"/>
      <c r="M479" s="167"/>
      <c r="N479" s="169"/>
      <c r="O479" s="171"/>
      <c r="P479" s="106"/>
      <c r="Q479" s="218"/>
      <c r="R479" s="172"/>
      <c r="S479" s="172"/>
      <c r="T479" s="173"/>
      <c r="U479" s="219"/>
      <c r="V479" s="219"/>
      <c r="W479" s="219"/>
      <c r="X479" s="219"/>
      <c r="Y479" s="219"/>
      <c r="Z479" s="219"/>
      <c r="AA479" s="219"/>
      <c r="AB479" s="219"/>
      <c r="AC479" s="219"/>
      <c r="AD479" s="219"/>
      <c r="AE479" s="219"/>
      <c r="AF479" s="219"/>
      <c r="AG479" s="219"/>
      <c r="AH479" s="219"/>
      <c r="AI479" s="219"/>
      <c r="AJ479" s="219"/>
      <c r="AK479" s="219"/>
      <c r="AL479" s="219"/>
      <c r="AM479" s="219"/>
      <c r="AN479" s="219"/>
      <c r="AO479" s="219"/>
      <c r="AP479" s="219"/>
      <c r="AQ479" s="219"/>
      <c r="AR479" s="219"/>
      <c r="AS479" s="219"/>
      <c r="AT479" s="219"/>
      <c r="AU479" s="219"/>
      <c r="AV479" s="219"/>
      <c r="AW479" s="219"/>
      <c r="AX479" s="219"/>
      <c r="AY479" s="219"/>
      <c r="AZ479" s="219"/>
      <c r="BA479" s="219"/>
      <c r="BB479" s="219"/>
      <c r="BC479" s="219"/>
      <c r="BD479" s="219"/>
      <c r="BE479" s="219"/>
      <c r="BF479" s="219"/>
      <c r="BG479" s="219"/>
      <c r="BH479" s="219"/>
      <c r="BI479" s="219"/>
      <c r="BJ479" s="219"/>
      <c r="BK479" s="219"/>
      <c r="BL479" s="219"/>
      <c r="BM479" s="219"/>
      <c r="BN479" s="219"/>
    </row>
    <row r="480" ht="29.25" hidden="1" customHeight="1">
      <c r="A480" s="216"/>
      <c r="B480" s="217"/>
      <c r="C480" s="164"/>
      <c r="D480" s="164"/>
      <c r="E480" s="165"/>
      <c r="F480" s="173"/>
      <c r="G480" s="168"/>
      <c r="H480" s="168"/>
      <c r="I480" s="169"/>
      <c r="J480" s="170"/>
      <c r="K480" s="170"/>
      <c r="L480" s="170"/>
      <c r="M480" s="167"/>
      <c r="N480" s="169"/>
      <c r="O480" s="171"/>
      <c r="P480" s="106"/>
      <c r="Q480" s="218"/>
      <c r="R480" s="172"/>
      <c r="S480" s="172"/>
      <c r="T480" s="173"/>
      <c r="U480" s="219"/>
      <c r="V480" s="219"/>
      <c r="W480" s="219"/>
      <c r="X480" s="219"/>
      <c r="Y480" s="219"/>
      <c r="Z480" s="219"/>
      <c r="AA480" s="219"/>
      <c r="AB480" s="219"/>
      <c r="AC480" s="219"/>
      <c r="AD480" s="219"/>
      <c r="AE480" s="219"/>
      <c r="AF480" s="219"/>
      <c r="AG480" s="219"/>
      <c r="AH480" s="219"/>
      <c r="AI480" s="219"/>
      <c r="AJ480" s="219"/>
      <c r="AK480" s="219"/>
      <c r="AL480" s="219"/>
      <c r="AM480" s="219"/>
      <c r="AN480" s="219"/>
      <c r="AO480" s="219"/>
      <c r="AP480" s="219"/>
      <c r="AQ480" s="219"/>
      <c r="AR480" s="219"/>
      <c r="AS480" s="219"/>
      <c r="AT480" s="219"/>
      <c r="AU480" s="219"/>
      <c r="AV480" s="219"/>
      <c r="AW480" s="219"/>
      <c r="AX480" s="219"/>
      <c r="AY480" s="219"/>
      <c r="AZ480" s="219"/>
      <c r="BA480" s="219"/>
      <c r="BB480" s="219"/>
      <c r="BC480" s="219"/>
      <c r="BD480" s="219"/>
      <c r="BE480" s="219"/>
      <c r="BF480" s="219"/>
      <c r="BG480" s="219"/>
      <c r="BH480" s="219"/>
      <c r="BI480" s="219"/>
      <c r="BJ480" s="219"/>
      <c r="BK480" s="219"/>
      <c r="BL480" s="219"/>
      <c r="BM480" s="219"/>
      <c r="BN480" s="219"/>
    </row>
    <row r="481" ht="29.25" hidden="1" customHeight="1">
      <c r="A481" s="216"/>
      <c r="B481" s="217"/>
      <c r="C481" s="164"/>
      <c r="D481" s="164"/>
      <c r="E481" s="165"/>
      <c r="F481" s="173"/>
      <c r="G481" s="168"/>
      <c r="H481" s="168"/>
      <c r="I481" s="169"/>
      <c r="J481" s="170"/>
      <c r="K481" s="170"/>
      <c r="L481" s="170"/>
      <c r="M481" s="167"/>
      <c r="N481" s="169"/>
      <c r="O481" s="171"/>
      <c r="P481" s="106"/>
      <c r="Q481" s="218"/>
      <c r="R481" s="172"/>
      <c r="S481" s="172"/>
      <c r="T481" s="173"/>
      <c r="U481" s="219"/>
      <c r="V481" s="219"/>
      <c r="W481" s="219"/>
      <c r="X481" s="219"/>
      <c r="Y481" s="219"/>
      <c r="Z481" s="219"/>
      <c r="AA481" s="219"/>
      <c r="AB481" s="219"/>
      <c r="AC481" s="219"/>
      <c r="AD481" s="219"/>
      <c r="AE481" s="219"/>
      <c r="AF481" s="219"/>
      <c r="AG481" s="219"/>
      <c r="AH481" s="219"/>
      <c r="AI481" s="219"/>
      <c r="AJ481" s="219"/>
      <c r="AK481" s="219"/>
      <c r="AL481" s="219"/>
      <c r="AM481" s="219"/>
      <c r="AN481" s="219"/>
      <c r="AO481" s="219"/>
      <c r="AP481" s="219"/>
      <c r="AQ481" s="219"/>
      <c r="AR481" s="219"/>
      <c r="AS481" s="219"/>
      <c r="AT481" s="219"/>
      <c r="AU481" s="219"/>
      <c r="AV481" s="219"/>
      <c r="AW481" s="219"/>
      <c r="AX481" s="219"/>
      <c r="AY481" s="219"/>
      <c r="AZ481" s="219"/>
      <c r="BA481" s="219"/>
      <c r="BB481" s="219"/>
      <c r="BC481" s="219"/>
      <c r="BD481" s="219"/>
      <c r="BE481" s="219"/>
      <c r="BF481" s="219"/>
      <c r="BG481" s="219"/>
      <c r="BH481" s="219"/>
      <c r="BI481" s="219"/>
      <c r="BJ481" s="219"/>
      <c r="BK481" s="219"/>
      <c r="BL481" s="219"/>
      <c r="BM481" s="219"/>
      <c r="BN481" s="219"/>
    </row>
    <row r="482" ht="29.25" hidden="1" customHeight="1">
      <c r="A482" s="216"/>
      <c r="B482" s="217"/>
      <c r="C482" s="164"/>
      <c r="D482" s="164"/>
      <c r="E482" s="165"/>
      <c r="F482" s="173"/>
      <c r="G482" s="168"/>
      <c r="H482" s="168"/>
      <c r="I482" s="169"/>
      <c r="J482" s="170"/>
      <c r="K482" s="170"/>
      <c r="L482" s="170"/>
      <c r="M482" s="167"/>
      <c r="N482" s="169"/>
      <c r="O482" s="171"/>
      <c r="P482" s="106"/>
      <c r="Q482" s="218"/>
      <c r="R482" s="172"/>
      <c r="S482" s="172"/>
      <c r="T482" s="173"/>
      <c r="U482" s="219"/>
      <c r="V482" s="219"/>
      <c r="W482" s="219"/>
      <c r="X482" s="219"/>
      <c r="Y482" s="219"/>
      <c r="Z482" s="219"/>
      <c r="AA482" s="219"/>
      <c r="AB482" s="219"/>
      <c r="AC482" s="219"/>
      <c r="AD482" s="219"/>
      <c r="AE482" s="219"/>
      <c r="AF482" s="219"/>
      <c r="AG482" s="219"/>
      <c r="AH482" s="219"/>
      <c r="AI482" s="219"/>
      <c r="AJ482" s="219"/>
      <c r="AK482" s="219"/>
      <c r="AL482" s="219"/>
      <c r="AM482" s="219"/>
      <c r="AN482" s="219"/>
      <c r="AO482" s="219"/>
      <c r="AP482" s="219"/>
      <c r="AQ482" s="219"/>
      <c r="AR482" s="219"/>
      <c r="AS482" s="219"/>
      <c r="AT482" s="219"/>
      <c r="AU482" s="219"/>
      <c r="AV482" s="219"/>
      <c r="AW482" s="219"/>
      <c r="AX482" s="219"/>
      <c r="AY482" s="219"/>
      <c r="AZ482" s="219"/>
      <c r="BA482" s="219"/>
      <c r="BB482" s="219"/>
      <c r="BC482" s="219"/>
      <c r="BD482" s="219"/>
      <c r="BE482" s="219"/>
      <c r="BF482" s="219"/>
      <c r="BG482" s="219"/>
      <c r="BH482" s="219"/>
      <c r="BI482" s="219"/>
      <c r="BJ482" s="219"/>
      <c r="BK482" s="219"/>
      <c r="BL482" s="219"/>
      <c r="BM482" s="219"/>
      <c r="BN482" s="219"/>
    </row>
    <row r="483" ht="29.25" hidden="1" customHeight="1">
      <c r="A483" s="216"/>
      <c r="B483" s="217"/>
      <c r="C483" s="164"/>
      <c r="D483" s="164"/>
      <c r="E483" s="165"/>
      <c r="F483" s="173"/>
      <c r="G483" s="168"/>
      <c r="H483" s="168"/>
      <c r="I483" s="169"/>
      <c r="J483" s="170"/>
      <c r="K483" s="170"/>
      <c r="L483" s="170"/>
      <c r="M483" s="167"/>
      <c r="N483" s="169"/>
      <c r="O483" s="171"/>
      <c r="P483" s="106"/>
      <c r="Q483" s="218"/>
      <c r="R483" s="172"/>
      <c r="S483" s="172"/>
      <c r="T483" s="173"/>
      <c r="U483" s="219"/>
      <c r="V483" s="219"/>
      <c r="W483" s="219"/>
      <c r="X483" s="219"/>
      <c r="Y483" s="219"/>
      <c r="Z483" s="219"/>
      <c r="AA483" s="219"/>
      <c r="AB483" s="219"/>
      <c r="AC483" s="219"/>
      <c r="AD483" s="219"/>
      <c r="AE483" s="219"/>
      <c r="AF483" s="219"/>
      <c r="AG483" s="219"/>
      <c r="AH483" s="219"/>
      <c r="AI483" s="219"/>
      <c r="AJ483" s="219"/>
      <c r="AK483" s="219"/>
      <c r="AL483" s="219"/>
      <c r="AM483" s="219"/>
      <c r="AN483" s="219"/>
      <c r="AO483" s="219"/>
      <c r="AP483" s="219"/>
      <c r="AQ483" s="219"/>
      <c r="AR483" s="219"/>
      <c r="AS483" s="219"/>
      <c r="AT483" s="219"/>
      <c r="AU483" s="219"/>
      <c r="AV483" s="219"/>
      <c r="AW483" s="219"/>
      <c r="AX483" s="219"/>
      <c r="AY483" s="219"/>
      <c r="AZ483" s="219"/>
      <c r="BA483" s="219"/>
      <c r="BB483" s="219"/>
      <c r="BC483" s="219"/>
      <c r="BD483" s="219"/>
      <c r="BE483" s="219"/>
      <c r="BF483" s="219"/>
      <c r="BG483" s="219"/>
      <c r="BH483" s="219"/>
      <c r="BI483" s="219"/>
      <c r="BJ483" s="219"/>
      <c r="BK483" s="219"/>
      <c r="BL483" s="219"/>
      <c r="BM483" s="219"/>
      <c r="BN483" s="219"/>
    </row>
    <row r="484" ht="29.25" hidden="1" customHeight="1">
      <c r="A484" s="216"/>
      <c r="B484" s="217"/>
      <c r="C484" s="164"/>
      <c r="D484" s="164"/>
      <c r="E484" s="165"/>
      <c r="F484" s="173"/>
      <c r="G484" s="168"/>
      <c r="H484" s="168"/>
      <c r="I484" s="169"/>
      <c r="J484" s="170"/>
      <c r="K484" s="170"/>
      <c r="L484" s="170"/>
      <c r="M484" s="167"/>
      <c r="N484" s="169"/>
      <c r="O484" s="171"/>
      <c r="P484" s="106"/>
      <c r="Q484" s="218"/>
      <c r="R484" s="172"/>
      <c r="S484" s="172"/>
      <c r="T484" s="173"/>
      <c r="U484" s="219"/>
      <c r="V484" s="219"/>
      <c r="W484" s="219"/>
      <c r="X484" s="219"/>
      <c r="Y484" s="219"/>
      <c r="Z484" s="219"/>
      <c r="AA484" s="219"/>
      <c r="AB484" s="219"/>
      <c r="AC484" s="219"/>
      <c r="AD484" s="219"/>
      <c r="AE484" s="219"/>
      <c r="AF484" s="219"/>
      <c r="AG484" s="219"/>
      <c r="AH484" s="219"/>
      <c r="AI484" s="219"/>
      <c r="AJ484" s="219"/>
      <c r="AK484" s="219"/>
      <c r="AL484" s="219"/>
      <c r="AM484" s="219"/>
      <c r="AN484" s="219"/>
      <c r="AO484" s="219"/>
      <c r="AP484" s="219"/>
      <c r="AQ484" s="219"/>
      <c r="AR484" s="219"/>
      <c r="AS484" s="219"/>
      <c r="AT484" s="219"/>
      <c r="AU484" s="219"/>
      <c r="AV484" s="219"/>
      <c r="AW484" s="219"/>
      <c r="AX484" s="219"/>
      <c r="AY484" s="219"/>
      <c r="AZ484" s="219"/>
      <c r="BA484" s="219"/>
      <c r="BB484" s="219"/>
      <c r="BC484" s="219"/>
      <c r="BD484" s="219"/>
      <c r="BE484" s="219"/>
      <c r="BF484" s="219"/>
      <c r="BG484" s="219"/>
      <c r="BH484" s="219"/>
      <c r="BI484" s="219"/>
      <c r="BJ484" s="219"/>
      <c r="BK484" s="219"/>
      <c r="BL484" s="219"/>
      <c r="BM484" s="219"/>
      <c r="BN484" s="219"/>
    </row>
    <row r="485" ht="29.25" hidden="1" customHeight="1">
      <c r="A485" s="216"/>
      <c r="B485" s="217"/>
      <c r="C485" s="164"/>
      <c r="D485" s="164"/>
      <c r="E485" s="165"/>
      <c r="F485" s="173"/>
      <c r="G485" s="168"/>
      <c r="H485" s="168"/>
      <c r="I485" s="169"/>
      <c r="J485" s="170"/>
      <c r="K485" s="170"/>
      <c r="L485" s="170"/>
      <c r="M485" s="167"/>
      <c r="N485" s="169"/>
      <c r="O485" s="171"/>
      <c r="P485" s="106"/>
      <c r="Q485" s="218"/>
      <c r="R485" s="172"/>
      <c r="S485" s="172"/>
      <c r="T485" s="173"/>
      <c r="U485" s="219"/>
      <c r="V485" s="219"/>
      <c r="W485" s="219"/>
      <c r="X485" s="219"/>
      <c r="Y485" s="219"/>
      <c r="Z485" s="219"/>
      <c r="AA485" s="219"/>
      <c r="AB485" s="219"/>
      <c r="AC485" s="219"/>
      <c r="AD485" s="219"/>
      <c r="AE485" s="219"/>
      <c r="AF485" s="219"/>
      <c r="AG485" s="219"/>
      <c r="AH485" s="219"/>
      <c r="AI485" s="219"/>
      <c r="AJ485" s="219"/>
      <c r="AK485" s="219"/>
      <c r="AL485" s="219"/>
      <c r="AM485" s="219"/>
      <c r="AN485" s="219"/>
      <c r="AO485" s="219"/>
      <c r="AP485" s="219"/>
      <c r="AQ485" s="219"/>
      <c r="AR485" s="219"/>
      <c r="AS485" s="219"/>
      <c r="AT485" s="219"/>
      <c r="AU485" s="219"/>
      <c r="AV485" s="219"/>
      <c r="AW485" s="219"/>
      <c r="AX485" s="219"/>
      <c r="AY485" s="219"/>
      <c r="AZ485" s="219"/>
      <c r="BA485" s="219"/>
      <c r="BB485" s="219"/>
      <c r="BC485" s="219"/>
      <c r="BD485" s="219"/>
      <c r="BE485" s="219"/>
      <c r="BF485" s="219"/>
      <c r="BG485" s="219"/>
      <c r="BH485" s="219"/>
      <c r="BI485" s="219"/>
      <c r="BJ485" s="219"/>
      <c r="BK485" s="219"/>
      <c r="BL485" s="219"/>
      <c r="BM485" s="219"/>
      <c r="BN485" s="219"/>
    </row>
    <row r="486" ht="29.25" hidden="1" customHeight="1">
      <c r="A486" s="216"/>
      <c r="B486" s="217"/>
      <c r="C486" s="164"/>
      <c r="D486" s="164"/>
      <c r="E486" s="165"/>
      <c r="F486" s="173"/>
      <c r="G486" s="168"/>
      <c r="H486" s="168"/>
      <c r="I486" s="169"/>
      <c r="J486" s="170"/>
      <c r="K486" s="170"/>
      <c r="L486" s="170"/>
      <c r="M486" s="167"/>
      <c r="N486" s="169"/>
      <c r="O486" s="171"/>
      <c r="P486" s="106"/>
      <c r="Q486" s="218"/>
      <c r="R486" s="172"/>
      <c r="S486" s="172"/>
      <c r="T486" s="173"/>
      <c r="U486" s="219"/>
      <c r="V486" s="219"/>
      <c r="W486" s="219"/>
      <c r="X486" s="219"/>
      <c r="Y486" s="219"/>
      <c r="Z486" s="219"/>
      <c r="AA486" s="219"/>
      <c r="AB486" s="219"/>
      <c r="AC486" s="219"/>
      <c r="AD486" s="219"/>
      <c r="AE486" s="219"/>
      <c r="AF486" s="219"/>
      <c r="AG486" s="219"/>
      <c r="AH486" s="219"/>
      <c r="AI486" s="219"/>
      <c r="AJ486" s="219"/>
      <c r="AK486" s="219"/>
      <c r="AL486" s="219"/>
      <c r="AM486" s="219"/>
      <c r="AN486" s="219"/>
      <c r="AO486" s="219"/>
      <c r="AP486" s="219"/>
      <c r="AQ486" s="219"/>
      <c r="AR486" s="219"/>
      <c r="AS486" s="219"/>
      <c r="AT486" s="219"/>
      <c r="AU486" s="219"/>
      <c r="AV486" s="219"/>
      <c r="AW486" s="219"/>
      <c r="AX486" s="219"/>
      <c r="AY486" s="219"/>
      <c r="AZ486" s="219"/>
      <c r="BA486" s="219"/>
      <c r="BB486" s="219"/>
      <c r="BC486" s="219"/>
      <c r="BD486" s="219"/>
      <c r="BE486" s="219"/>
      <c r="BF486" s="219"/>
      <c r="BG486" s="219"/>
      <c r="BH486" s="219"/>
      <c r="BI486" s="219"/>
      <c r="BJ486" s="219"/>
      <c r="BK486" s="219"/>
      <c r="BL486" s="219"/>
      <c r="BM486" s="219"/>
      <c r="BN486" s="219"/>
    </row>
    <row r="487" ht="29.25" hidden="1" customHeight="1">
      <c r="A487" s="216"/>
      <c r="B487" s="217"/>
      <c r="C487" s="164"/>
      <c r="D487" s="164"/>
      <c r="E487" s="165"/>
      <c r="F487" s="173"/>
      <c r="G487" s="168"/>
      <c r="H487" s="168"/>
      <c r="I487" s="169"/>
      <c r="J487" s="170"/>
      <c r="K487" s="170"/>
      <c r="L487" s="170"/>
      <c r="M487" s="167"/>
      <c r="N487" s="169"/>
      <c r="O487" s="171"/>
      <c r="P487" s="106"/>
      <c r="Q487" s="218"/>
      <c r="R487" s="172"/>
      <c r="S487" s="172"/>
      <c r="T487" s="173"/>
      <c r="U487" s="219"/>
      <c r="V487" s="219"/>
      <c r="W487" s="219"/>
      <c r="X487" s="219"/>
      <c r="Y487" s="219"/>
      <c r="Z487" s="219"/>
      <c r="AA487" s="219"/>
      <c r="AB487" s="219"/>
      <c r="AC487" s="219"/>
      <c r="AD487" s="219"/>
      <c r="AE487" s="219"/>
      <c r="AF487" s="219"/>
      <c r="AG487" s="219"/>
      <c r="AH487" s="219"/>
      <c r="AI487" s="219"/>
      <c r="AJ487" s="219"/>
      <c r="AK487" s="219"/>
      <c r="AL487" s="219"/>
      <c r="AM487" s="219"/>
      <c r="AN487" s="219"/>
      <c r="AO487" s="219"/>
      <c r="AP487" s="219"/>
      <c r="AQ487" s="219"/>
      <c r="AR487" s="219"/>
      <c r="AS487" s="219"/>
      <c r="AT487" s="219"/>
      <c r="AU487" s="219"/>
      <c r="AV487" s="219"/>
      <c r="AW487" s="219"/>
      <c r="AX487" s="219"/>
      <c r="AY487" s="219"/>
      <c r="AZ487" s="219"/>
      <c r="BA487" s="219"/>
      <c r="BB487" s="219"/>
      <c r="BC487" s="219"/>
      <c r="BD487" s="219"/>
      <c r="BE487" s="219"/>
      <c r="BF487" s="219"/>
      <c r="BG487" s="219"/>
      <c r="BH487" s="219"/>
      <c r="BI487" s="219"/>
      <c r="BJ487" s="219"/>
      <c r="BK487" s="219"/>
      <c r="BL487" s="219"/>
      <c r="BM487" s="219"/>
      <c r="BN487" s="219"/>
    </row>
    <row r="488" ht="29.25" hidden="1" customHeight="1">
      <c r="A488" s="216"/>
      <c r="B488" s="217"/>
      <c r="C488" s="164"/>
      <c r="D488" s="164"/>
      <c r="E488" s="165"/>
      <c r="F488" s="173"/>
      <c r="G488" s="168"/>
      <c r="H488" s="168"/>
      <c r="I488" s="169"/>
      <c r="J488" s="170"/>
      <c r="K488" s="170"/>
      <c r="L488" s="170"/>
      <c r="M488" s="167"/>
      <c r="N488" s="169"/>
      <c r="O488" s="171"/>
      <c r="P488" s="106"/>
      <c r="Q488" s="218"/>
      <c r="R488" s="172"/>
      <c r="S488" s="172"/>
      <c r="T488" s="173"/>
      <c r="U488" s="219"/>
      <c r="V488" s="219"/>
      <c r="W488" s="219"/>
      <c r="X488" s="219"/>
      <c r="Y488" s="219"/>
      <c r="Z488" s="219"/>
      <c r="AA488" s="219"/>
      <c r="AB488" s="219"/>
      <c r="AC488" s="219"/>
      <c r="AD488" s="219"/>
      <c r="AE488" s="219"/>
      <c r="AF488" s="219"/>
      <c r="AG488" s="219"/>
      <c r="AH488" s="219"/>
      <c r="AI488" s="219"/>
      <c r="AJ488" s="219"/>
      <c r="AK488" s="219"/>
      <c r="AL488" s="219"/>
      <c r="AM488" s="219"/>
      <c r="AN488" s="219"/>
      <c r="AO488" s="219"/>
      <c r="AP488" s="219"/>
      <c r="AQ488" s="219"/>
      <c r="AR488" s="219"/>
      <c r="AS488" s="219"/>
      <c r="AT488" s="219"/>
      <c r="AU488" s="219"/>
      <c r="AV488" s="219"/>
      <c r="AW488" s="219"/>
      <c r="AX488" s="219"/>
      <c r="AY488" s="219"/>
      <c r="AZ488" s="219"/>
      <c r="BA488" s="219"/>
      <c r="BB488" s="219"/>
      <c r="BC488" s="219"/>
      <c r="BD488" s="219"/>
      <c r="BE488" s="219"/>
      <c r="BF488" s="219"/>
      <c r="BG488" s="219"/>
      <c r="BH488" s="219"/>
      <c r="BI488" s="219"/>
      <c r="BJ488" s="219"/>
      <c r="BK488" s="219"/>
      <c r="BL488" s="219"/>
      <c r="BM488" s="219"/>
      <c r="BN488" s="219"/>
    </row>
    <row r="489" ht="29.25" hidden="1" customHeight="1">
      <c r="A489" s="216"/>
      <c r="B489" s="217"/>
      <c r="C489" s="164"/>
      <c r="D489" s="164"/>
      <c r="E489" s="165"/>
      <c r="F489" s="173"/>
      <c r="G489" s="168"/>
      <c r="H489" s="168"/>
      <c r="I489" s="169"/>
      <c r="J489" s="170"/>
      <c r="K489" s="170"/>
      <c r="L489" s="170"/>
      <c r="M489" s="167"/>
      <c r="N489" s="169"/>
      <c r="O489" s="171"/>
      <c r="P489" s="106"/>
      <c r="Q489" s="218"/>
      <c r="R489" s="172"/>
      <c r="S489" s="172"/>
      <c r="T489" s="173"/>
      <c r="U489" s="219"/>
      <c r="V489" s="219"/>
      <c r="W489" s="219"/>
      <c r="X489" s="219"/>
      <c r="Y489" s="219"/>
      <c r="Z489" s="219"/>
      <c r="AA489" s="219"/>
      <c r="AB489" s="219"/>
      <c r="AC489" s="219"/>
      <c r="AD489" s="219"/>
      <c r="AE489" s="219"/>
      <c r="AF489" s="219"/>
      <c r="AG489" s="219"/>
      <c r="AH489" s="219"/>
      <c r="AI489" s="219"/>
      <c r="AJ489" s="219"/>
      <c r="AK489" s="219"/>
      <c r="AL489" s="219"/>
      <c r="AM489" s="219"/>
      <c r="AN489" s="219"/>
      <c r="AO489" s="219"/>
      <c r="AP489" s="219"/>
      <c r="AQ489" s="219"/>
      <c r="AR489" s="219"/>
      <c r="AS489" s="219"/>
      <c r="AT489" s="219"/>
      <c r="AU489" s="219"/>
      <c r="AV489" s="219"/>
      <c r="AW489" s="219"/>
      <c r="AX489" s="219"/>
      <c r="AY489" s="219"/>
      <c r="AZ489" s="219"/>
      <c r="BA489" s="219"/>
      <c r="BB489" s="219"/>
      <c r="BC489" s="219"/>
      <c r="BD489" s="219"/>
      <c r="BE489" s="219"/>
      <c r="BF489" s="219"/>
      <c r="BG489" s="219"/>
      <c r="BH489" s="219"/>
      <c r="BI489" s="219"/>
      <c r="BJ489" s="219"/>
      <c r="BK489" s="219"/>
      <c r="BL489" s="219"/>
      <c r="BM489" s="219"/>
      <c r="BN489" s="219"/>
    </row>
    <row r="490" ht="29.25" hidden="1" customHeight="1">
      <c r="A490" s="216"/>
      <c r="B490" s="217"/>
      <c r="C490" s="164"/>
      <c r="D490" s="164"/>
      <c r="E490" s="165"/>
      <c r="F490" s="173"/>
      <c r="G490" s="168"/>
      <c r="H490" s="168"/>
      <c r="I490" s="169"/>
      <c r="J490" s="170"/>
      <c r="K490" s="170"/>
      <c r="L490" s="170"/>
      <c r="M490" s="167"/>
      <c r="N490" s="169"/>
      <c r="O490" s="171"/>
      <c r="P490" s="106"/>
      <c r="Q490" s="218"/>
      <c r="R490" s="172"/>
      <c r="S490" s="172"/>
      <c r="T490" s="173"/>
      <c r="U490" s="219"/>
      <c r="V490" s="219"/>
      <c r="W490" s="219"/>
      <c r="X490" s="219"/>
      <c r="Y490" s="219"/>
      <c r="Z490" s="219"/>
      <c r="AA490" s="219"/>
      <c r="AB490" s="219"/>
      <c r="AC490" s="219"/>
      <c r="AD490" s="219"/>
      <c r="AE490" s="219"/>
      <c r="AF490" s="219"/>
      <c r="AG490" s="219"/>
      <c r="AH490" s="219"/>
      <c r="AI490" s="219"/>
      <c r="AJ490" s="219"/>
      <c r="AK490" s="219"/>
      <c r="AL490" s="219"/>
      <c r="AM490" s="219"/>
      <c r="AN490" s="219"/>
      <c r="AO490" s="219"/>
      <c r="AP490" s="219"/>
      <c r="AQ490" s="219"/>
      <c r="AR490" s="219"/>
      <c r="AS490" s="219"/>
      <c r="AT490" s="219"/>
      <c r="AU490" s="219"/>
      <c r="AV490" s="219"/>
      <c r="AW490" s="219"/>
      <c r="AX490" s="219"/>
      <c r="AY490" s="219"/>
      <c r="AZ490" s="219"/>
      <c r="BA490" s="219"/>
      <c r="BB490" s="219"/>
      <c r="BC490" s="219"/>
      <c r="BD490" s="219"/>
      <c r="BE490" s="219"/>
      <c r="BF490" s="219"/>
      <c r="BG490" s="219"/>
      <c r="BH490" s="219"/>
      <c r="BI490" s="219"/>
      <c r="BJ490" s="219"/>
      <c r="BK490" s="219"/>
      <c r="BL490" s="219"/>
      <c r="BM490" s="219"/>
      <c r="BN490" s="219"/>
    </row>
    <row r="491" ht="29.25" hidden="1" customHeight="1">
      <c r="A491" s="216"/>
      <c r="B491" s="217"/>
      <c r="C491" s="164"/>
      <c r="D491" s="164"/>
      <c r="E491" s="165"/>
      <c r="F491" s="173"/>
      <c r="G491" s="168"/>
      <c r="H491" s="168"/>
      <c r="I491" s="169"/>
      <c r="J491" s="170"/>
      <c r="K491" s="170"/>
      <c r="L491" s="170"/>
      <c r="M491" s="167"/>
      <c r="N491" s="169"/>
      <c r="O491" s="171"/>
      <c r="P491" s="106"/>
      <c r="Q491" s="218"/>
      <c r="R491" s="172"/>
      <c r="S491" s="172"/>
      <c r="T491" s="173"/>
      <c r="U491" s="219"/>
      <c r="V491" s="219"/>
      <c r="W491" s="219"/>
      <c r="X491" s="219"/>
      <c r="Y491" s="219"/>
      <c r="Z491" s="219"/>
      <c r="AA491" s="219"/>
      <c r="AB491" s="219"/>
      <c r="AC491" s="219"/>
      <c r="AD491" s="219"/>
      <c r="AE491" s="219"/>
      <c r="AF491" s="219"/>
      <c r="AG491" s="219"/>
      <c r="AH491" s="219"/>
      <c r="AI491" s="219"/>
      <c r="AJ491" s="219"/>
      <c r="AK491" s="219"/>
      <c r="AL491" s="219"/>
      <c r="AM491" s="219"/>
      <c r="AN491" s="219"/>
      <c r="AO491" s="219"/>
      <c r="AP491" s="219"/>
      <c r="AQ491" s="219"/>
      <c r="AR491" s="219"/>
      <c r="AS491" s="219"/>
      <c r="AT491" s="219"/>
      <c r="AU491" s="219"/>
      <c r="AV491" s="219"/>
      <c r="AW491" s="219"/>
      <c r="AX491" s="219"/>
      <c r="AY491" s="219"/>
      <c r="AZ491" s="219"/>
      <c r="BA491" s="219"/>
      <c r="BB491" s="219"/>
      <c r="BC491" s="219"/>
      <c r="BD491" s="219"/>
      <c r="BE491" s="219"/>
      <c r="BF491" s="219"/>
      <c r="BG491" s="219"/>
      <c r="BH491" s="219"/>
      <c r="BI491" s="219"/>
      <c r="BJ491" s="219"/>
      <c r="BK491" s="219"/>
      <c r="BL491" s="219"/>
      <c r="BM491" s="219"/>
      <c r="BN491" s="219"/>
    </row>
    <row r="492" ht="29.25" hidden="1" customHeight="1">
      <c r="A492" s="216"/>
      <c r="B492" s="217"/>
      <c r="C492" s="164"/>
      <c r="D492" s="164"/>
      <c r="E492" s="165"/>
      <c r="F492" s="173"/>
      <c r="G492" s="168"/>
      <c r="H492" s="168"/>
      <c r="I492" s="169"/>
      <c r="J492" s="170"/>
      <c r="K492" s="170"/>
      <c r="L492" s="170"/>
      <c r="M492" s="167"/>
      <c r="N492" s="169"/>
      <c r="O492" s="171"/>
      <c r="P492" s="106"/>
      <c r="Q492" s="218"/>
      <c r="R492" s="172"/>
      <c r="S492" s="172"/>
      <c r="T492" s="173"/>
      <c r="U492" s="219"/>
      <c r="V492" s="219"/>
      <c r="W492" s="219"/>
      <c r="X492" s="219"/>
      <c r="Y492" s="219"/>
      <c r="Z492" s="219"/>
      <c r="AA492" s="219"/>
      <c r="AB492" s="219"/>
      <c r="AC492" s="219"/>
      <c r="AD492" s="219"/>
      <c r="AE492" s="219"/>
      <c r="AF492" s="219"/>
      <c r="AG492" s="219"/>
      <c r="AH492" s="219"/>
      <c r="AI492" s="219"/>
      <c r="AJ492" s="219"/>
      <c r="AK492" s="219"/>
      <c r="AL492" s="219"/>
      <c r="AM492" s="219"/>
      <c r="AN492" s="219"/>
      <c r="AO492" s="219"/>
      <c r="AP492" s="219"/>
      <c r="AQ492" s="219"/>
      <c r="AR492" s="219"/>
      <c r="AS492" s="219"/>
      <c r="AT492" s="219"/>
      <c r="AU492" s="219"/>
      <c r="AV492" s="219"/>
      <c r="AW492" s="219"/>
      <c r="AX492" s="219"/>
      <c r="AY492" s="219"/>
      <c r="AZ492" s="219"/>
      <c r="BA492" s="219"/>
      <c r="BB492" s="219"/>
      <c r="BC492" s="219"/>
      <c r="BD492" s="219"/>
      <c r="BE492" s="219"/>
      <c r="BF492" s="219"/>
      <c r="BG492" s="219"/>
      <c r="BH492" s="219"/>
      <c r="BI492" s="219"/>
      <c r="BJ492" s="219"/>
      <c r="BK492" s="219"/>
      <c r="BL492" s="219"/>
      <c r="BM492" s="219"/>
      <c r="BN492" s="219"/>
    </row>
    <row r="493" ht="29.25" hidden="1" customHeight="1">
      <c r="A493" s="216"/>
      <c r="B493" s="217"/>
      <c r="C493" s="164"/>
      <c r="D493" s="164"/>
      <c r="E493" s="165"/>
      <c r="F493" s="173"/>
      <c r="G493" s="168"/>
      <c r="H493" s="168"/>
      <c r="I493" s="169"/>
      <c r="J493" s="170"/>
      <c r="K493" s="170"/>
      <c r="L493" s="170"/>
      <c r="M493" s="167"/>
      <c r="N493" s="169"/>
      <c r="O493" s="171"/>
      <c r="P493" s="106"/>
      <c r="Q493" s="218"/>
      <c r="R493" s="172"/>
      <c r="S493" s="172"/>
      <c r="T493" s="173"/>
      <c r="U493" s="219"/>
      <c r="V493" s="219"/>
      <c r="W493" s="219"/>
      <c r="X493" s="219"/>
      <c r="Y493" s="219"/>
      <c r="Z493" s="219"/>
      <c r="AA493" s="219"/>
      <c r="AB493" s="219"/>
      <c r="AC493" s="219"/>
      <c r="AD493" s="219"/>
      <c r="AE493" s="219"/>
      <c r="AF493" s="219"/>
      <c r="AG493" s="219"/>
      <c r="AH493" s="219"/>
      <c r="AI493" s="219"/>
      <c r="AJ493" s="219"/>
      <c r="AK493" s="219"/>
      <c r="AL493" s="219"/>
      <c r="AM493" s="219"/>
      <c r="AN493" s="219"/>
      <c r="AO493" s="219"/>
      <c r="AP493" s="219"/>
      <c r="AQ493" s="219"/>
      <c r="AR493" s="219"/>
      <c r="AS493" s="219"/>
      <c r="AT493" s="219"/>
      <c r="AU493" s="219"/>
      <c r="AV493" s="219"/>
      <c r="AW493" s="219"/>
      <c r="AX493" s="219"/>
      <c r="AY493" s="219"/>
      <c r="AZ493" s="219"/>
      <c r="BA493" s="219"/>
      <c r="BB493" s="219"/>
      <c r="BC493" s="219"/>
      <c r="BD493" s="219"/>
      <c r="BE493" s="219"/>
      <c r="BF493" s="219"/>
      <c r="BG493" s="219"/>
      <c r="BH493" s="219"/>
      <c r="BI493" s="219"/>
      <c r="BJ493" s="219"/>
      <c r="BK493" s="219"/>
      <c r="BL493" s="219"/>
      <c r="BM493" s="219"/>
      <c r="BN493" s="219"/>
    </row>
    <row r="494" ht="29.25" hidden="1" customHeight="1">
      <c r="A494" s="216"/>
      <c r="B494" s="217"/>
      <c r="C494" s="164"/>
      <c r="D494" s="164"/>
      <c r="E494" s="165"/>
      <c r="F494" s="173"/>
      <c r="G494" s="168"/>
      <c r="H494" s="168"/>
      <c r="I494" s="169"/>
      <c r="J494" s="170"/>
      <c r="K494" s="170"/>
      <c r="L494" s="170"/>
      <c r="M494" s="167"/>
      <c r="N494" s="169"/>
      <c r="O494" s="171"/>
      <c r="P494" s="106"/>
      <c r="Q494" s="218"/>
      <c r="R494" s="172"/>
      <c r="S494" s="172"/>
      <c r="T494" s="173"/>
      <c r="U494" s="219"/>
      <c r="V494" s="219"/>
      <c r="W494" s="219"/>
      <c r="X494" s="219"/>
      <c r="Y494" s="219"/>
      <c r="Z494" s="219"/>
      <c r="AA494" s="219"/>
      <c r="AB494" s="219"/>
      <c r="AC494" s="219"/>
      <c r="AD494" s="219"/>
      <c r="AE494" s="219"/>
      <c r="AF494" s="219"/>
      <c r="AG494" s="219"/>
      <c r="AH494" s="219"/>
      <c r="AI494" s="219"/>
      <c r="AJ494" s="219"/>
      <c r="AK494" s="219"/>
      <c r="AL494" s="219"/>
      <c r="AM494" s="219"/>
      <c r="AN494" s="219"/>
      <c r="AO494" s="219"/>
      <c r="AP494" s="219"/>
      <c r="AQ494" s="219"/>
      <c r="AR494" s="219"/>
      <c r="AS494" s="219"/>
      <c r="AT494" s="219"/>
      <c r="AU494" s="219"/>
      <c r="AV494" s="219"/>
      <c r="AW494" s="219"/>
      <c r="AX494" s="219"/>
      <c r="AY494" s="219"/>
      <c r="AZ494" s="219"/>
      <c r="BA494" s="219"/>
      <c r="BB494" s="219"/>
      <c r="BC494" s="219"/>
      <c r="BD494" s="219"/>
      <c r="BE494" s="219"/>
      <c r="BF494" s="219"/>
      <c r="BG494" s="219"/>
      <c r="BH494" s="219"/>
      <c r="BI494" s="219"/>
      <c r="BJ494" s="219"/>
      <c r="BK494" s="219"/>
      <c r="BL494" s="219"/>
      <c r="BM494" s="219"/>
      <c r="BN494" s="219"/>
    </row>
    <row r="495" ht="29.25" hidden="1" customHeight="1">
      <c r="A495" s="216"/>
      <c r="B495" s="217"/>
      <c r="C495" s="164"/>
      <c r="D495" s="164"/>
      <c r="E495" s="165"/>
      <c r="F495" s="173"/>
      <c r="G495" s="168"/>
      <c r="H495" s="168"/>
      <c r="I495" s="169"/>
      <c r="J495" s="170"/>
      <c r="K495" s="170"/>
      <c r="L495" s="170"/>
      <c r="M495" s="167"/>
      <c r="N495" s="169"/>
      <c r="O495" s="171"/>
      <c r="P495" s="106"/>
      <c r="Q495" s="218"/>
      <c r="R495" s="172"/>
      <c r="S495" s="172"/>
      <c r="T495" s="173"/>
      <c r="U495" s="219"/>
      <c r="V495" s="219"/>
      <c r="W495" s="219"/>
      <c r="X495" s="219"/>
      <c r="Y495" s="219"/>
      <c r="Z495" s="219"/>
      <c r="AA495" s="219"/>
      <c r="AB495" s="219"/>
      <c r="AC495" s="219"/>
      <c r="AD495" s="219"/>
      <c r="AE495" s="219"/>
      <c r="AF495" s="219"/>
      <c r="AG495" s="219"/>
      <c r="AH495" s="219"/>
      <c r="AI495" s="219"/>
      <c r="AJ495" s="219"/>
      <c r="AK495" s="219"/>
      <c r="AL495" s="219"/>
      <c r="AM495" s="219"/>
      <c r="AN495" s="219"/>
      <c r="AO495" s="219"/>
      <c r="AP495" s="219"/>
      <c r="AQ495" s="219"/>
      <c r="AR495" s="219"/>
      <c r="AS495" s="219"/>
      <c r="AT495" s="219"/>
      <c r="AU495" s="219"/>
      <c r="AV495" s="219"/>
      <c r="AW495" s="219"/>
      <c r="AX495" s="219"/>
      <c r="AY495" s="219"/>
      <c r="AZ495" s="219"/>
      <c r="BA495" s="219"/>
      <c r="BB495" s="219"/>
      <c r="BC495" s="219"/>
      <c r="BD495" s="219"/>
      <c r="BE495" s="219"/>
      <c r="BF495" s="219"/>
      <c r="BG495" s="219"/>
      <c r="BH495" s="219"/>
      <c r="BI495" s="219"/>
      <c r="BJ495" s="219"/>
      <c r="BK495" s="219"/>
      <c r="BL495" s="219"/>
      <c r="BM495" s="219"/>
      <c r="BN495" s="219"/>
    </row>
    <row r="496" ht="29.25" hidden="1" customHeight="1">
      <c r="A496" s="216"/>
      <c r="B496" s="217"/>
      <c r="C496" s="164"/>
      <c r="D496" s="164"/>
      <c r="E496" s="165"/>
      <c r="F496" s="173"/>
      <c r="G496" s="168"/>
      <c r="H496" s="168"/>
      <c r="I496" s="169"/>
      <c r="J496" s="170"/>
      <c r="K496" s="170"/>
      <c r="L496" s="170"/>
      <c r="M496" s="167"/>
      <c r="N496" s="169"/>
      <c r="O496" s="171"/>
      <c r="P496" s="106"/>
      <c r="Q496" s="218"/>
      <c r="R496" s="172"/>
      <c r="S496" s="172"/>
      <c r="T496" s="173"/>
      <c r="U496" s="219"/>
      <c r="V496" s="219"/>
      <c r="W496" s="219"/>
      <c r="X496" s="219"/>
      <c r="Y496" s="219"/>
      <c r="Z496" s="219"/>
      <c r="AA496" s="219"/>
      <c r="AB496" s="219"/>
      <c r="AC496" s="219"/>
      <c r="AD496" s="219"/>
      <c r="AE496" s="219"/>
      <c r="AF496" s="219"/>
      <c r="AG496" s="219"/>
      <c r="AH496" s="219"/>
      <c r="AI496" s="219"/>
      <c r="AJ496" s="219"/>
      <c r="AK496" s="219"/>
      <c r="AL496" s="219"/>
      <c r="AM496" s="219"/>
      <c r="AN496" s="219"/>
      <c r="AO496" s="219"/>
      <c r="AP496" s="219"/>
      <c r="AQ496" s="219"/>
      <c r="AR496" s="219"/>
      <c r="AS496" s="219"/>
      <c r="AT496" s="219"/>
      <c r="AU496" s="219"/>
      <c r="AV496" s="219"/>
      <c r="AW496" s="219"/>
      <c r="AX496" s="219"/>
      <c r="AY496" s="219"/>
      <c r="AZ496" s="219"/>
      <c r="BA496" s="219"/>
      <c r="BB496" s="219"/>
      <c r="BC496" s="219"/>
      <c r="BD496" s="219"/>
      <c r="BE496" s="219"/>
      <c r="BF496" s="219"/>
      <c r="BG496" s="219"/>
      <c r="BH496" s="219"/>
      <c r="BI496" s="219"/>
      <c r="BJ496" s="219"/>
      <c r="BK496" s="219"/>
      <c r="BL496" s="219"/>
      <c r="BM496" s="219"/>
      <c r="BN496" s="219"/>
    </row>
    <row r="497" ht="29.25" hidden="1" customHeight="1">
      <c r="A497" s="216"/>
      <c r="B497" s="217"/>
      <c r="C497" s="164"/>
      <c r="D497" s="164"/>
      <c r="E497" s="165"/>
      <c r="F497" s="173"/>
      <c r="G497" s="168"/>
      <c r="H497" s="168"/>
      <c r="I497" s="169"/>
      <c r="J497" s="170"/>
      <c r="K497" s="170"/>
      <c r="L497" s="170"/>
      <c r="M497" s="167"/>
      <c r="N497" s="169"/>
      <c r="O497" s="171"/>
      <c r="P497" s="106"/>
      <c r="Q497" s="218"/>
      <c r="R497" s="172"/>
      <c r="S497" s="172"/>
      <c r="T497" s="173"/>
      <c r="U497" s="219"/>
      <c r="V497" s="219"/>
      <c r="W497" s="219"/>
      <c r="X497" s="219"/>
      <c r="Y497" s="219"/>
      <c r="Z497" s="219"/>
      <c r="AA497" s="219"/>
      <c r="AB497" s="219"/>
      <c r="AC497" s="219"/>
      <c r="AD497" s="219"/>
      <c r="AE497" s="219"/>
      <c r="AF497" s="219"/>
      <c r="AG497" s="219"/>
      <c r="AH497" s="219"/>
      <c r="AI497" s="219"/>
      <c r="AJ497" s="219"/>
      <c r="AK497" s="219"/>
      <c r="AL497" s="219"/>
      <c r="AM497" s="219"/>
      <c r="AN497" s="219"/>
      <c r="AO497" s="219"/>
      <c r="AP497" s="219"/>
      <c r="AQ497" s="219"/>
      <c r="AR497" s="219"/>
      <c r="AS497" s="219"/>
      <c r="AT497" s="219"/>
      <c r="AU497" s="219"/>
      <c r="AV497" s="219"/>
      <c r="AW497" s="219"/>
      <c r="AX497" s="219"/>
      <c r="AY497" s="219"/>
      <c r="AZ497" s="219"/>
      <c r="BA497" s="219"/>
      <c r="BB497" s="219"/>
      <c r="BC497" s="219"/>
      <c r="BD497" s="219"/>
      <c r="BE497" s="219"/>
      <c r="BF497" s="219"/>
      <c r="BG497" s="219"/>
      <c r="BH497" s="219"/>
      <c r="BI497" s="219"/>
      <c r="BJ497" s="219"/>
      <c r="BK497" s="219"/>
      <c r="BL497" s="219"/>
      <c r="BM497" s="219"/>
      <c r="BN497" s="219"/>
    </row>
    <row r="498" ht="29.25" hidden="1" customHeight="1">
      <c r="A498" s="216"/>
      <c r="B498" s="217"/>
      <c r="C498" s="164"/>
      <c r="D498" s="164"/>
      <c r="E498" s="165"/>
      <c r="F498" s="173"/>
      <c r="G498" s="168"/>
      <c r="H498" s="168"/>
      <c r="I498" s="169"/>
      <c r="J498" s="170"/>
      <c r="K498" s="170"/>
      <c r="L498" s="170"/>
      <c r="M498" s="167"/>
      <c r="N498" s="169"/>
      <c r="O498" s="171"/>
      <c r="P498" s="106"/>
      <c r="Q498" s="218"/>
      <c r="R498" s="172"/>
      <c r="S498" s="172"/>
      <c r="T498" s="173"/>
      <c r="U498" s="219"/>
      <c r="V498" s="219"/>
      <c r="W498" s="219"/>
      <c r="X498" s="219"/>
      <c r="Y498" s="219"/>
      <c r="Z498" s="219"/>
      <c r="AA498" s="219"/>
      <c r="AB498" s="219"/>
      <c r="AC498" s="219"/>
      <c r="AD498" s="219"/>
      <c r="AE498" s="219"/>
      <c r="AF498" s="219"/>
      <c r="AG498" s="219"/>
      <c r="AH498" s="219"/>
      <c r="AI498" s="219"/>
      <c r="AJ498" s="219"/>
      <c r="AK498" s="219"/>
      <c r="AL498" s="219"/>
      <c r="AM498" s="219"/>
      <c r="AN498" s="219"/>
      <c r="AO498" s="219"/>
      <c r="AP498" s="219"/>
      <c r="AQ498" s="219"/>
      <c r="AR498" s="219"/>
      <c r="AS498" s="219"/>
      <c r="AT498" s="219"/>
      <c r="AU498" s="219"/>
      <c r="AV498" s="219"/>
      <c r="AW498" s="219"/>
      <c r="AX498" s="219"/>
      <c r="AY498" s="219"/>
      <c r="AZ498" s="219"/>
      <c r="BA498" s="219"/>
      <c r="BB498" s="219"/>
      <c r="BC498" s="219"/>
      <c r="BD498" s="219"/>
      <c r="BE498" s="219"/>
      <c r="BF498" s="219"/>
      <c r="BG498" s="219"/>
      <c r="BH498" s="219"/>
      <c r="BI498" s="219"/>
      <c r="BJ498" s="219"/>
      <c r="BK498" s="219"/>
      <c r="BL498" s="219"/>
      <c r="BM498" s="219"/>
      <c r="BN498" s="219"/>
    </row>
    <row r="499" ht="29.25" hidden="1" customHeight="1">
      <c r="A499" s="216"/>
      <c r="B499" s="217"/>
      <c r="C499" s="164"/>
      <c r="D499" s="164"/>
      <c r="E499" s="165"/>
      <c r="F499" s="173"/>
      <c r="G499" s="168"/>
      <c r="H499" s="168"/>
      <c r="I499" s="169"/>
      <c r="J499" s="170"/>
      <c r="K499" s="170"/>
      <c r="L499" s="170"/>
      <c r="M499" s="167"/>
      <c r="N499" s="169"/>
      <c r="O499" s="171"/>
      <c r="P499" s="106"/>
      <c r="Q499" s="218"/>
      <c r="R499" s="172"/>
      <c r="S499" s="172"/>
      <c r="T499" s="173"/>
      <c r="U499" s="219"/>
      <c r="V499" s="219"/>
      <c r="W499" s="219"/>
      <c r="X499" s="219"/>
      <c r="Y499" s="219"/>
      <c r="Z499" s="219"/>
      <c r="AA499" s="219"/>
      <c r="AB499" s="219"/>
      <c r="AC499" s="219"/>
      <c r="AD499" s="219"/>
      <c r="AE499" s="219"/>
      <c r="AF499" s="219"/>
      <c r="AG499" s="219"/>
      <c r="AH499" s="219"/>
      <c r="AI499" s="219"/>
      <c r="AJ499" s="219"/>
      <c r="AK499" s="219"/>
      <c r="AL499" s="219"/>
      <c r="AM499" s="219"/>
      <c r="AN499" s="219"/>
      <c r="AO499" s="219"/>
      <c r="AP499" s="219"/>
      <c r="AQ499" s="219"/>
      <c r="AR499" s="219"/>
      <c r="AS499" s="219"/>
      <c r="AT499" s="219"/>
      <c r="AU499" s="219"/>
      <c r="AV499" s="219"/>
      <c r="AW499" s="219"/>
      <c r="AX499" s="219"/>
      <c r="AY499" s="219"/>
      <c r="AZ499" s="219"/>
      <c r="BA499" s="219"/>
      <c r="BB499" s="219"/>
      <c r="BC499" s="219"/>
      <c r="BD499" s="219"/>
      <c r="BE499" s="219"/>
      <c r="BF499" s="219"/>
      <c r="BG499" s="219"/>
      <c r="BH499" s="219"/>
      <c r="BI499" s="219"/>
      <c r="BJ499" s="219"/>
      <c r="BK499" s="219"/>
      <c r="BL499" s="219"/>
      <c r="BM499" s="219"/>
      <c r="BN499" s="219"/>
    </row>
    <row r="500" ht="29.25" hidden="1" customHeight="1">
      <c r="A500" s="216"/>
      <c r="B500" s="217"/>
      <c r="C500" s="164"/>
      <c r="D500" s="164"/>
      <c r="E500" s="165"/>
      <c r="F500" s="173"/>
      <c r="G500" s="168"/>
      <c r="H500" s="168"/>
      <c r="I500" s="169"/>
      <c r="J500" s="170"/>
      <c r="K500" s="170"/>
      <c r="L500" s="170"/>
      <c r="M500" s="167"/>
      <c r="N500" s="169"/>
      <c r="O500" s="171"/>
      <c r="P500" s="106"/>
      <c r="Q500" s="218"/>
      <c r="R500" s="172"/>
      <c r="S500" s="172"/>
      <c r="T500" s="173"/>
      <c r="U500" s="219"/>
      <c r="V500" s="219"/>
      <c r="W500" s="219"/>
      <c r="X500" s="219"/>
      <c r="Y500" s="219"/>
      <c r="Z500" s="219"/>
      <c r="AA500" s="219"/>
      <c r="AB500" s="219"/>
      <c r="AC500" s="219"/>
      <c r="AD500" s="219"/>
      <c r="AE500" s="219"/>
      <c r="AF500" s="219"/>
      <c r="AG500" s="219"/>
      <c r="AH500" s="219"/>
      <c r="AI500" s="219"/>
      <c r="AJ500" s="219"/>
      <c r="AK500" s="219"/>
      <c r="AL500" s="219"/>
      <c r="AM500" s="219"/>
      <c r="AN500" s="219"/>
      <c r="AO500" s="219"/>
      <c r="AP500" s="219"/>
      <c r="AQ500" s="219"/>
      <c r="AR500" s="219"/>
      <c r="AS500" s="219"/>
      <c r="AT500" s="219"/>
      <c r="AU500" s="219"/>
      <c r="AV500" s="219"/>
      <c r="AW500" s="219"/>
      <c r="AX500" s="219"/>
      <c r="AY500" s="219"/>
      <c r="AZ500" s="219"/>
      <c r="BA500" s="219"/>
      <c r="BB500" s="219"/>
      <c r="BC500" s="219"/>
      <c r="BD500" s="219"/>
      <c r="BE500" s="219"/>
      <c r="BF500" s="219"/>
      <c r="BG500" s="219"/>
      <c r="BH500" s="219"/>
      <c r="BI500" s="219"/>
      <c r="BJ500" s="219"/>
      <c r="BK500" s="219"/>
      <c r="BL500" s="219"/>
      <c r="BM500" s="219"/>
      <c r="BN500" s="219"/>
    </row>
    <row r="501" ht="29.25" hidden="1" customHeight="1">
      <c r="A501" s="216"/>
      <c r="B501" s="217"/>
      <c r="C501" s="164"/>
      <c r="D501" s="164"/>
      <c r="E501" s="165"/>
      <c r="F501" s="173"/>
      <c r="G501" s="168"/>
      <c r="H501" s="168"/>
      <c r="I501" s="169"/>
      <c r="J501" s="170"/>
      <c r="K501" s="170"/>
      <c r="L501" s="170"/>
      <c r="M501" s="167"/>
      <c r="N501" s="169"/>
      <c r="O501" s="171"/>
      <c r="P501" s="106"/>
      <c r="Q501" s="218"/>
      <c r="R501" s="172"/>
      <c r="S501" s="172"/>
      <c r="T501" s="173"/>
      <c r="U501" s="219"/>
      <c r="V501" s="219"/>
      <c r="W501" s="219"/>
      <c r="X501" s="219"/>
      <c r="Y501" s="219"/>
      <c r="Z501" s="219"/>
      <c r="AA501" s="219"/>
      <c r="AB501" s="219"/>
      <c r="AC501" s="219"/>
      <c r="AD501" s="219"/>
      <c r="AE501" s="219"/>
      <c r="AF501" s="219"/>
      <c r="AG501" s="219"/>
      <c r="AH501" s="219"/>
      <c r="AI501" s="219"/>
      <c r="AJ501" s="219"/>
      <c r="AK501" s="219"/>
      <c r="AL501" s="219"/>
      <c r="AM501" s="219"/>
      <c r="AN501" s="219"/>
      <c r="AO501" s="219"/>
      <c r="AP501" s="219"/>
      <c r="AQ501" s="219"/>
      <c r="AR501" s="219"/>
      <c r="AS501" s="219"/>
      <c r="AT501" s="219"/>
      <c r="AU501" s="219"/>
      <c r="AV501" s="219"/>
      <c r="AW501" s="219"/>
      <c r="AX501" s="219"/>
      <c r="AY501" s="219"/>
      <c r="AZ501" s="219"/>
      <c r="BA501" s="219"/>
      <c r="BB501" s="219"/>
      <c r="BC501" s="219"/>
      <c r="BD501" s="219"/>
      <c r="BE501" s="219"/>
      <c r="BF501" s="219"/>
      <c r="BG501" s="219"/>
      <c r="BH501" s="219"/>
      <c r="BI501" s="219"/>
      <c r="BJ501" s="219"/>
      <c r="BK501" s="219"/>
      <c r="BL501" s="219"/>
      <c r="BM501" s="219"/>
      <c r="BN501" s="219"/>
    </row>
    <row r="502" ht="29.25" hidden="1" customHeight="1">
      <c r="A502" s="216"/>
      <c r="B502" s="217"/>
      <c r="C502" s="164"/>
      <c r="D502" s="164"/>
      <c r="E502" s="165"/>
      <c r="F502" s="173"/>
      <c r="G502" s="168"/>
      <c r="H502" s="168"/>
      <c r="I502" s="169"/>
      <c r="J502" s="170"/>
      <c r="K502" s="170"/>
      <c r="L502" s="170"/>
      <c r="M502" s="167"/>
      <c r="N502" s="169"/>
      <c r="O502" s="171"/>
      <c r="P502" s="106"/>
      <c r="Q502" s="218"/>
      <c r="R502" s="172"/>
      <c r="S502" s="172"/>
      <c r="T502" s="173"/>
      <c r="U502" s="219"/>
      <c r="V502" s="219"/>
      <c r="W502" s="219"/>
      <c r="X502" s="219"/>
      <c r="Y502" s="219"/>
      <c r="Z502" s="219"/>
      <c r="AA502" s="219"/>
      <c r="AB502" s="219"/>
      <c r="AC502" s="219"/>
      <c r="AD502" s="219"/>
      <c r="AE502" s="219"/>
      <c r="AF502" s="219"/>
      <c r="AG502" s="219"/>
      <c r="AH502" s="219"/>
      <c r="AI502" s="219"/>
      <c r="AJ502" s="219"/>
      <c r="AK502" s="219"/>
      <c r="AL502" s="219"/>
      <c r="AM502" s="219"/>
      <c r="AN502" s="219"/>
      <c r="AO502" s="219"/>
      <c r="AP502" s="219"/>
      <c r="AQ502" s="219"/>
      <c r="AR502" s="219"/>
      <c r="AS502" s="219"/>
      <c r="AT502" s="219"/>
      <c r="AU502" s="219"/>
      <c r="AV502" s="219"/>
      <c r="AW502" s="219"/>
      <c r="AX502" s="219"/>
      <c r="AY502" s="219"/>
      <c r="AZ502" s="219"/>
      <c r="BA502" s="219"/>
      <c r="BB502" s="219"/>
      <c r="BC502" s="219"/>
      <c r="BD502" s="219"/>
      <c r="BE502" s="219"/>
      <c r="BF502" s="219"/>
      <c r="BG502" s="219"/>
      <c r="BH502" s="219"/>
      <c r="BI502" s="219"/>
      <c r="BJ502" s="219"/>
      <c r="BK502" s="219"/>
      <c r="BL502" s="219"/>
      <c r="BM502" s="219"/>
      <c r="BN502" s="219"/>
    </row>
    <row r="503" ht="29.25" hidden="1" customHeight="1">
      <c r="A503" s="216"/>
      <c r="B503" s="217"/>
      <c r="C503" s="164"/>
      <c r="D503" s="164"/>
      <c r="E503" s="165"/>
      <c r="F503" s="173"/>
      <c r="G503" s="168"/>
      <c r="H503" s="168"/>
      <c r="I503" s="169"/>
      <c r="J503" s="170"/>
      <c r="K503" s="170"/>
      <c r="L503" s="170"/>
      <c r="M503" s="167"/>
      <c r="N503" s="169"/>
      <c r="O503" s="171"/>
      <c r="P503" s="106"/>
      <c r="Q503" s="218"/>
      <c r="R503" s="172"/>
      <c r="S503" s="172"/>
      <c r="T503" s="173"/>
      <c r="U503" s="219"/>
      <c r="V503" s="219"/>
      <c r="W503" s="219"/>
      <c r="X503" s="219"/>
      <c r="Y503" s="219"/>
      <c r="Z503" s="219"/>
      <c r="AA503" s="219"/>
      <c r="AB503" s="219"/>
      <c r="AC503" s="219"/>
      <c r="AD503" s="219"/>
      <c r="AE503" s="219"/>
      <c r="AF503" s="219"/>
      <c r="AG503" s="219"/>
      <c r="AH503" s="219"/>
      <c r="AI503" s="219"/>
      <c r="AJ503" s="219"/>
      <c r="AK503" s="219"/>
      <c r="AL503" s="219"/>
      <c r="AM503" s="219"/>
      <c r="AN503" s="219"/>
      <c r="AO503" s="219"/>
      <c r="AP503" s="219"/>
      <c r="AQ503" s="219"/>
      <c r="AR503" s="219"/>
      <c r="AS503" s="219"/>
      <c r="AT503" s="219"/>
      <c r="AU503" s="219"/>
      <c r="AV503" s="219"/>
      <c r="AW503" s="219"/>
      <c r="AX503" s="219"/>
      <c r="AY503" s="219"/>
      <c r="AZ503" s="219"/>
      <c r="BA503" s="219"/>
      <c r="BB503" s="219"/>
      <c r="BC503" s="219"/>
      <c r="BD503" s="219"/>
      <c r="BE503" s="219"/>
      <c r="BF503" s="219"/>
      <c r="BG503" s="219"/>
      <c r="BH503" s="219"/>
      <c r="BI503" s="219"/>
      <c r="BJ503" s="219"/>
      <c r="BK503" s="219"/>
      <c r="BL503" s="219"/>
      <c r="BM503" s="219"/>
      <c r="BN503" s="219"/>
    </row>
    <row r="504" ht="29.25" hidden="1" customHeight="1">
      <c r="A504" s="216"/>
      <c r="B504" s="217"/>
      <c r="C504" s="164"/>
      <c r="D504" s="164"/>
      <c r="E504" s="165"/>
      <c r="F504" s="173"/>
      <c r="G504" s="168"/>
      <c r="H504" s="168"/>
      <c r="I504" s="169"/>
      <c r="J504" s="170"/>
      <c r="K504" s="170"/>
      <c r="L504" s="170"/>
      <c r="M504" s="167"/>
      <c r="N504" s="169"/>
      <c r="O504" s="171"/>
      <c r="P504" s="106"/>
      <c r="Q504" s="218"/>
      <c r="R504" s="172"/>
      <c r="S504" s="172"/>
      <c r="T504" s="173"/>
      <c r="U504" s="219"/>
      <c r="V504" s="219"/>
      <c r="W504" s="219"/>
      <c r="X504" s="219"/>
      <c r="Y504" s="219"/>
      <c r="Z504" s="219"/>
      <c r="AA504" s="219"/>
      <c r="AB504" s="219"/>
      <c r="AC504" s="219"/>
      <c r="AD504" s="219"/>
      <c r="AE504" s="219"/>
      <c r="AF504" s="219"/>
      <c r="AG504" s="219"/>
      <c r="AH504" s="219"/>
      <c r="AI504" s="219"/>
      <c r="AJ504" s="219"/>
      <c r="AK504" s="219"/>
      <c r="AL504" s="219"/>
      <c r="AM504" s="219"/>
      <c r="AN504" s="219"/>
      <c r="AO504" s="219"/>
      <c r="AP504" s="219"/>
      <c r="AQ504" s="219"/>
      <c r="AR504" s="219"/>
      <c r="AS504" s="219"/>
      <c r="AT504" s="219"/>
      <c r="AU504" s="219"/>
      <c r="AV504" s="219"/>
      <c r="AW504" s="219"/>
      <c r="AX504" s="219"/>
      <c r="AY504" s="219"/>
      <c r="AZ504" s="219"/>
      <c r="BA504" s="219"/>
      <c r="BB504" s="219"/>
      <c r="BC504" s="219"/>
      <c r="BD504" s="219"/>
      <c r="BE504" s="219"/>
      <c r="BF504" s="219"/>
      <c r="BG504" s="219"/>
      <c r="BH504" s="219"/>
      <c r="BI504" s="219"/>
      <c r="BJ504" s="219"/>
      <c r="BK504" s="219"/>
      <c r="BL504" s="219"/>
      <c r="BM504" s="219"/>
      <c r="BN504" s="219"/>
    </row>
    <row r="505" ht="29.25" hidden="1" customHeight="1">
      <c r="A505" s="216"/>
      <c r="B505" s="217"/>
      <c r="C505" s="164"/>
      <c r="D505" s="164"/>
      <c r="E505" s="165"/>
      <c r="F505" s="173"/>
      <c r="G505" s="168"/>
      <c r="H505" s="168"/>
      <c r="I505" s="169"/>
      <c r="J505" s="170"/>
      <c r="K505" s="170"/>
      <c r="L505" s="170"/>
      <c r="M505" s="167"/>
      <c r="N505" s="169"/>
      <c r="O505" s="171"/>
      <c r="P505" s="106"/>
      <c r="Q505" s="218"/>
      <c r="R505" s="172"/>
      <c r="S505" s="172"/>
      <c r="T505" s="173"/>
      <c r="U505" s="219"/>
      <c r="V505" s="219"/>
      <c r="W505" s="219"/>
      <c r="X505" s="219"/>
      <c r="Y505" s="219"/>
      <c r="Z505" s="219"/>
      <c r="AA505" s="219"/>
      <c r="AB505" s="219"/>
      <c r="AC505" s="219"/>
      <c r="AD505" s="219"/>
      <c r="AE505" s="219"/>
      <c r="AF505" s="219"/>
      <c r="AG505" s="219"/>
      <c r="AH505" s="219"/>
      <c r="AI505" s="219"/>
      <c r="AJ505" s="219"/>
      <c r="AK505" s="219"/>
      <c r="AL505" s="219"/>
      <c r="AM505" s="219"/>
      <c r="AN505" s="219"/>
      <c r="AO505" s="219"/>
      <c r="AP505" s="219"/>
      <c r="AQ505" s="219"/>
      <c r="AR505" s="219"/>
      <c r="AS505" s="219"/>
      <c r="AT505" s="219"/>
      <c r="AU505" s="219"/>
      <c r="AV505" s="219"/>
      <c r="AW505" s="219"/>
      <c r="AX505" s="219"/>
      <c r="AY505" s="219"/>
      <c r="AZ505" s="219"/>
      <c r="BA505" s="219"/>
      <c r="BB505" s="219"/>
      <c r="BC505" s="219"/>
      <c r="BD505" s="219"/>
      <c r="BE505" s="219"/>
      <c r="BF505" s="219"/>
      <c r="BG505" s="219"/>
      <c r="BH505" s="219"/>
      <c r="BI505" s="219"/>
      <c r="BJ505" s="219"/>
      <c r="BK505" s="219"/>
      <c r="BL505" s="219"/>
      <c r="BM505" s="219"/>
      <c r="BN505" s="219"/>
    </row>
    <row r="506" ht="29.25" hidden="1" customHeight="1">
      <c r="A506" s="216"/>
      <c r="B506" s="217"/>
      <c r="C506" s="164"/>
      <c r="D506" s="164"/>
      <c r="E506" s="165"/>
      <c r="F506" s="173"/>
      <c r="G506" s="168"/>
      <c r="H506" s="168"/>
      <c r="I506" s="169"/>
      <c r="J506" s="170"/>
      <c r="K506" s="170"/>
      <c r="L506" s="170"/>
      <c r="M506" s="167"/>
      <c r="N506" s="169"/>
      <c r="O506" s="171"/>
      <c r="P506" s="106"/>
      <c r="Q506" s="218"/>
      <c r="R506" s="172"/>
      <c r="S506" s="172"/>
      <c r="T506" s="173"/>
      <c r="U506" s="219"/>
      <c r="V506" s="219"/>
      <c r="W506" s="219"/>
      <c r="X506" s="219"/>
      <c r="Y506" s="219"/>
      <c r="Z506" s="219"/>
      <c r="AA506" s="219"/>
      <c r="AB506" s="219"/>
      <c r="AC506" s="219"/>
      <c r="AD506" s="219"/>
      <c r="AE506" s="219"/>
      <c r="AF506" s="219"/>
      <c r="AG506" s="219"/>
      <c r="AH506" s="219"/>
      <c r="AI506" s="219"/>
      <c r="AJ506" s="219"/>
      <c r="AK506" s="219"/>
      <c r="AL506" s="219"/>
      <c r="AM506" s="219"/>
      <c r="AN506" s="219"/>
      <c r="AO506" s="219"/>
      <c r="AP506" s="219"/>
      <c r="AQ506" s="219"/>
      <c r="AR506" s="219"/>
      <c r="AS506" s="219"/>
      <c r="AT506" s="219"/>
      <c r="AU506" s="219"/>
      <c r="AV506" s="219"/>
      <c r="AW506" s="219"/>
      <c r="AX506" s="219"/>
      <c r="AY506" s="219"/>
      <c r="AZ506" s="219"/>
      <c r="BA506" s="219"/>
      <c r="BB506" s="219"/>
      <c r="BC506" s="219"/>
      <c r="BD506" s="219"/>
      <c r="BE506" s="219"/>
      <c r="BF506" s="219"/>
      <c r="BG506" s="219"/>
      <c r="BH506" s="219"/>
      <c r="BI506" s="219"/>
      <c r="BJ506" s="219"/>
      <c r="BK506" s="219"/>
      <c r="BL506" s="219"/>
      <c r="BM506" s="219"/>
      <c r="BN506" s="219"/>
    </row>
    <row r="507" ht="29.25" hidden="1" customHeight="1">
      <c r="A507" s="216"/>
      <c r="B507" s="217"/>
      <c r="C507" s="164"/>
      <c r="D507" s="164"/>
      <c r="E507" s="165"/>
      <c r="F507" s="173"/>
      <c r="G507" s="168"/>
      <c r="H507" s="168"/>
      <c r="I507" s="169"/>
      <c r="J507" s="170"/>
      <c r="K507" s="170"/>
      <c r="L507" s="170"/>
      <c r="M507" s="167"/>
      <c r="N507" s="169"/>
      <c r="O507" s="171"/>
      <c r="P507" s="106"/>
      <c r="Q507" s="218"/>
      <c r="R507" s="172"/>
      <c r="S507" s="172"/>
      <c r="T507" s="173"/>
      <c r="U507" s="219"/>
      <c r="V507" s="219"/>
      <c r="W507" s="219"/>
      <c r="X507" s="219"/>
      <c r="Y507" s="219"/>
      <c r="Z507" s="219"/>
      <c r="AA507" s="219"/>
      <c r="AB507" s="219"/>
      <c r="AC507" s="219"/>
      <c r="AD507" s="219"/>
      <c r="AE507" s="219"/>
      <c r="AF507" s="219"/>
      <c r="AG507" s="219"/>
      <c r="AH507" s="219"/>
      <c r="AI507" s="219"/>
      <c r="AJ507" s="219"/>
      <c r="AK507" s="219"/>
      <c r="AL507" s="219"/>
      <c r="AM507" s="219"/>
      <c r="AN507" s="219"/>
      <c r="AO507" s="219"/>
      <c r="AP507" s="219"/>
      <c r="AQ507" s="219"/>
      <c r="AR507" s="219"/>
      <c r="AS507" s="219"/>
      <c r="AT507" s="219"/>
      <c r="AU507" s="219"/>
      <c r="AV507" s="219"/>
      <c r="AW507" s="219"/>
      <c r="AX507" s="219"/>
      <c r="AY507" s="219"/>
      <c r="AZ507" s="219"/>
      <c r="BA507" s="219"/>
      <c r="BB507" s="219"/>
      <c r="BC507" s="219"/>
      <c r="BD507" s="219"/>
      <c r="BE507" s="219"/>
      <c r="BF507" s="219"/>
      <c r="BG507" s="219"/>
      <c r="BH507" s="219"/>
      <c r="BI507" s="219"/>
      <c r="BJ507" s="219"/>
      <c r="BK507" s="219"/>
      <c r="BL507" s="219"/>
      <c r="BM507" s="219"/>
      <c r="BN507" s="219"/>
    </row>
    <row r="508" ht="29.25" hidden="1" customHeight="1">
      <c r="A508" s="216"/>
      <c r="B508" s="217"/>
      <c r="C508" s="164"/>
      <c r="D508" s="164"/>
      <c r="E508" s="165"/>
      <c r="F508" s="173"/>
      <c r="G508" s="168"/>
      <c r="H508" s="168"/>
      <c r="I508" s="169"/>
      <c r="J508" s="170"/>
      <c r="K508" s="170"/>
      <c r="L508" s="170"/>
      <c r="M508" s="167"/>
      <c r="N508" s="169"/>
      <c r="O508" s="171"/>
      <c r="P508" s="106"/>
      <c r="Q508" s="218"/>
      <c r="R508" s="172"/>
      <c r="S508" s="172"/>
      <c r="T508" s="173"/>
      <c r="U508" s="219"/>
      <c r="V508" s="219"/>
      <c r="W508" s="219"/>
      <c r="X508" s="219"/>
      <c r="Y508" s="219"/>
      <c r="Z508" s="219"/>
      <c r="AA508" s="219"/>
      <c r="AB508" s="219"/>
      <c r="AC508" s="219"/>
      <c r="AD508" s="219"/>
      <c r="AE508" s="219"/>
      <c r="AF508" s="219"/>
      <c r="AG508" s="219"/>
      <c r="AH508" s="219"/>
      <c r="AI508" s="219"/>
      <c r="AJ508" s="219"/>
      <c r="AK508" s="219"/>
      <c r="AL508" s="219"/>
      <c r="AM508" s="219"/>
      <c r="AN508" s="219"/>
      <c r="AO508" s="219"/>
      <c r="AP508" s="219"/>
      <c r="AQ508" s="219"/>
      <c r="AR508" s="219"/>
      <c r="AS508" s="219"/>
      <c r="AT508" s="219"/>
      <c r="AU508" s="219"/>
      <c r="AV508" s="219"/>
      <c r="AW508" s="219"/>
      <c r="AX508" s="219"/>
      <c r="AY508" s="219"/>
      <c r="AZ508" s="219"/>
      <c r="BA508" s="219"/>
      <c r="BB508" s="219"/>
      <c r="BC508" s="219"/>
      <c r="BD508" s="219"/>
      <c r="BE508" s="219"/>
      <c r="BF508" s="219"/>
      <c r="BG508" s="219"/>
      <c r="BH508" s="219"/>
      <c r="BI508" s="219"/>
      <c r="BJ508" s="219"/>
      <c r="BK508" s="219"/>
      <c r="BL508" s="219"/>
      <c r="BM508" s="219"/>
      <c r="BN508" s="219"/>
    </row>
    <row r="509" ht="29.25" hidden="1" customHeight="1">
      <c r="A509" s="216"/>
      <c r="B509" s="217"/>
      <c r="C509" s="164"/>
      <c r="D509" s="164"/>
      <c r="E509" s="165"/>
      <c r="F509" s="173"/>
      <c r="G509" s="168"/>
      <c r="H509" s="168"/>
      <c r="I509" s="169"/>
      <c r="J509" s="170"/>
      <c r="K509" s="170"/>
      <c r="L509" s="170"/>
      <c r="M509" s="167"/>
      <c r="N509" s="169"/>
      <c r="O509" s="171"/>
      <c r="P509" s="106"/>
      <c r="Q509" s="218"/>
      <c r="R509" s="172"/>
      <c r="S509" s="172"/>
      <c r="T509" s="173"/>
      <c r="U509" s="219"/>
      <c r="V509" s="219"/>
      <c r="W509" s="219"/>
      <c r="X509" s="219"/>
      <c r="Y509" s="219"/>
      <c r="Z509" s="219"/>
      <c r="AA509" s="219"/>
      <c r="AB509" s="219"/>
      <c r="AC509" s="219"/>
      <c r="AD509" s="219"/>
      <c r="AE509" s="219"/>
      <c r="AF509" s="219"/>
      <c r="AG509" s="219"/>
      <c r="AH509" s="219"/>
      <c r="AI509" s="219"/>
      <c r="AJ509" s="219"/>
      <c r="AK509" s="219"/>
      <c r="AL509" s="219"/>
      <c r="AM509" s="219"/>
      <c r="AN509" s="219"/>
      <c r="AO509" s="219"/>
      <c r="AP509" s="219"/>
      <c r="AQ509" s="219"/>
      <c r="AR509" s="219"/>
      <c r="AS509" s="219"/>
      <c r="AT509" s="219"/>
      <c r="AU509" s="219"/>
      <c r="AV509" s="219"/>
      <c r="AW509" s="219"/>
      <c r="AX509" s="219"/>
      <c r="AY509" s="219"/>
      <c r="AZ509" s="219"/>
      <c r="BA509" s="219"/>
      <c r="BB509" s="219"/>
      <c r="BC509" s="219"/>
      <c r="BD509" s="219"/>
      <c r="BE509" s="219"/>
      <c r="BF509" s="219"/>
      <c r="BG509" s="219"/>
      <c r="BH509" s="219"/>
      <c r="BI509" s="219"/>
      <c r="BJ509" s="219"/>
      <c r="BK509" s="219"/>
      <c r="BL509" s="219"/>
      <c r="BM509" s="219"/>
      <c r="BN509" s="219"/>
    </row>
    <row r="510" ht="29.25" hidden="1" customHeight="1">
      <c r="A510" s="216"/>
      <c r="B510" s="217"/>
      <c r="C510" s="164"/>
      <c r="D510" s="164"/>
      <c r="E510" s="165"/>
      <c r="F510" s="173"/>
      <c r="G510" s="168"/>
      <c r="H510" s="168"/>
      <c r="I510" s="169"/>
      <c r="J510" s="170"/>
      <c r="K510" s="170"/>
      <c r="L510" s="170"/>
      <c r="M510" s="167"/>
      <c r="N510" s="169"/>
      <c r="O510" s="171"/>
      <c r="P510" s="106"/>
      <c r="Q510" s="218"/>
      <c r="R510" s="172"/>
      <c r="S510" s="172"/>
      <c r="T510" s="173"/>
      <c r="U510" s="219"/>
      <c r="V510" s="219"/>
      <c r="W510" s="219"/>
      <c r="X510" s="219"/>
      <c r="Y510" s="219"/>
      <c r="Z510" s="219"/>
      <c r="AA510" s="219"/>
      <c r="AB510" s="219"/>
      <c r="AC510" s="219"/>
      <c r="AD510" s="219"/>
      <c r="AE510" s="219"/>
      <c r="AF510" s="219"/>
      <c r="AG510" s="219"/>
      <c r="AH510" s="219"/>
      <c r="AI510" s="219"/>
      <c r="AJ510" s="219"/>
      <c r="AK510" s="219"/>
      <c r="AL510" s="219"/>
      <c r="AM510" s="219"/>
      <c r="AN510" s="219"/>
      <c r="AO510" s="219"/>
      <c r="AP510" s="219"/>
      <c r="AQ510" s="219"/>
      <c r="AR510" s="219"/>
      <c r="AS510" s="219"/>
      <c r="AT510" s="219"/>
      <c r="AU510" s="219"/>
      <c r="AV510" s="219"/>
      <c r="AW510" s="219"/>
      <c r="AX510" s="219"/>
      <c r="AY510" s="219"/>
      <c r="AZ510" s="219"/>
      <c r="BA510" s="219"/>
      <c r="BB510" s="219"/>
      <c r="BC510" s="219"/>
      <c r="BD510" s="219"/>
      <c r="BE510" s="219"/>
      <c r="BF510" s="219"/>
      <c r="BG510" s="219"/>
      <c r="BH510" s="219"/>
      <c r="BI510" s="219"/>
      <c r="BJ510" s="219"/>
      <c r="BK510" s="219"/>
      <c r="BL510" s="219"/>
      <c r="BM510" s="219"/>
      <c r="BN510" s="219"/>
    </row>
    <row r="511" ht="29.25" hidden="1" customHeight="1">
      <c r="A511" s="216"/>
      <c r="B511" s="217"/>
      <c r="C511" s="164"/>
      <c r="D511" s="164"/>
      <c r="E511" s="165"/>
      <c r="F511" s="173"/>
      <c r="G511" s="168"/>
      <c r="H511" s="168"/>
      <c r="I511" s="169"/>
      <c r="J511" s="170"/>
      <c r="K511" s="170"/>
      <c r="L511" s="170"/>
      <c r="M511" s="167"/>
      <c r="N511" s="169"/>
      <c r="O511" s="171"/>
      <c r="P511" s="106"/>
      <c r="Q511" s="218"/>
      <c r="R511" s="172"/>
      <c r="S511" s="172"/>
      <c r="T511" s="173"/>
      <c r="U511" s="219"/>
      <c r="V511" s="219"/>
      <c r="W511" s="219"/>
      <c r="X511" s="219"/>
      <c r="Y511" s="219"/>
      <c r="Z511" s="219"/>
      <c r="AA511" s="219"/>
      <c r="AB511" s="219"/>
      <c r="AC511" s="219"/>
      <c r="AD511" s="219"/>
      <c r="AE511" s="219"/>
      <c r="AF511" s="219"/>
      <c r="AG511" s="219"/>
      <c r="AH511" s="219"/>
      <c r="AI511" s="219"/>
      <c r="AJ511" s="219"/>
      <c r="AK511" s="219"/>
      <c r="AL511" s="219"/>
      <c r="AM511" s="219"/>
      <c r="AN511" s="219"/>
      <c r="AO511" s="219"/>
      <c r="AP511" s="219"/>
      <c r="AQ511" s="219"/>
      <c r="AR511" s="219"/>
      <c r="AS511" s="219"/>
      <c r="AT511" s="219"/>
      <c r="AU511" s="219"/>
      <c r="AV511" s="219"/>
      <c r="AW511" s="219"/>
      <c r="AX511" s="219"/>
      <c r="AY511" s="219"/>
      <c r="AZ511" s="219"/>
      <c r="BA511" s="219"/>
      <c r="BB511" s="219"/>
      <c r="BC511" s="219"/>
      <c r="BD511" s="219"/>
      <c r="BE511" s="219"/>
      <c r="BF511" s="219"/>
      <c r="BG511" s="219"/>
      <c r="BH511" s="219"/>
      <c r="BI511" s="219"/>
      <c r="BJ511" s="219"/>
      <c r="BK511" s="219"/>
      <c r="BL511" s="219"/>
      <c r="BM511" s="219"/>
      <c r="BN511" s="219"/>
    </row>
    <row r="512" ht="29.25" hidden="1" customHeight="1">
      <c r="A512" s="216"/>
      <c r="B512" s="217"/>
      <c r="C512" s="164"/>
      <c r="D512" s="164"/>
      <c r="E512" s="165"/>
      <c r="F512" s="173"/>
      <c r="G512" s="168"/>
      <c r="H512" s="168"/>
      <c r="I512" s="169"/>
      <c r="J512" s="170"/>
      <c r="K512" s="170"/>
      <c r="L512" s="170"/>
      <c r="M512" s="167"/>
      <c r="N512" s="169"/>
      <c r="O512" s="171"/>
      <c r="P512" s="106"/>
      <c r="Q512" s="218"/>
      <c r="R512" s="172"/>
      <c r="S512" s="172"/>
      <c r="T512" s="173"/>
      <c r="U512" s="219"/>
      <c r="V512" s="219"/>
      <c r="W512" s="219"/>
      <c r="X512" s="219"/>
      <c r="Y512" s="219"/>
      <c r="Z512" s="219"/>
      <c r="AA512" s="219"/>
      <c r="AB512" s="219"/>
      <c r="AC512" s="219"/>
      <c r="AD512" s="219"/>
      <c r="AE512" s="219"/>
      <c r="AF512" s="219"/>
      <c r="AG512" s="219"/>
      <c r="AH512" s="219"/>
      <c r="AI512" s="219"/>
      <c r="AJ512" s="219"/>
      <c r="AK512" s="219"/>
      <c r="AL512" s="219"/>
      <c r="AM512" s="219"/>
      <c r="AN512" s="219"/>
      <c r="AO512" s="219"/>
      <c r="AP512" s="219"/>
      <c r="AQ512" s="219"/>
      <c r="AR512" s="219"/>
      <c r="AS512" s="219"/>
      <c r="AT512" s="219"/>
      <c r="AU512" s="219"/>
      <c r="AV512" s="219"/>
      <c r="AW512" s="219"/>
      <c r="AX512" s="219"/>
      <c r="AY512" s="219"/>
      <c r="AZ512" s="219"/>
      <c r="BA512" s="219"/>
      <c r="BB512" s="219"/>
      <c r="BC512" s="219"/>
      <c r="BD512" s="219"/>
      <c r="BE512" s="219"/>
      <c r="BF512" s="219"/>
      <c r="BG512" s="219"/>
      <c r="BH512" s="219"/>
      <c r="BI512" s="219"/>
      <c r="BJ512" s="219"/>
      <c r="BK512" s="219"/>
      <c r="BL512" s="219"/>
      <c r="BM512" s="219"/>
      <c r="BN512" s="219"/>
    </row>
    <row r="513" ht="29.25" hidden="1" customHeight="1">
      <c r="A513" s="216"/>
      <c r="B513" s="217"/>
      <c r="C513" s="164"/>
      <c r="D513" s="164"/>
      <c r="E513" s="165"/>
      <c r="F513" s="173"/>
      <c r="G513" s="168"/>
      <c r="H513" s="168"/>
      <c r="I513" s="169"/>
      <c r="J513" s="170"/>
      <c r="K513" s="170"/>
      <c r="L513" s="170"/>
      <c r="M513" s="167"/>
      <c r="N513" s="169"/>
      <c r="O513" s="171"/>
      <c r="P513" s="106"/>
      <c r="Q513" s="218"/>
      <c r="R513" s="172"/>
      <c r="S513" s="172"/>
      <c r="T513" s="173"/>
      <c r="U513" s="219"/>
      <c r="V513" s="219"/>
      <c r="W513" s="219"/>
      <c r="X513" s="219"/>
      <c r="Y513" s="219"/>
      <c r="Z513" s="219"/>
      <c r="AA513" s="219"/>
      <c r="AB513" s="219"/>
      <c r="AC513" s="219"/>
      <c r="AD513" s="219"/>
      <c r="AE513" s="219"/>
      <c r="AF513" s="219"/>
      <c r="AG513" s="219"/>
      <c r="AH513" s="219"/>
      <c r="AI513" s="219"/>
      <c r="AJ513" s="219"/>
      <c r="AK513" s="219"/>
      <c r="AL513" s="219"/>
      <c r="AM513" s="219"/>
      <c r="AN513" s="219"/>
      <c r="AO513" s="219"/>
      <c r="AP513" s="219"/>
      <c r="AQ513" s="219"/>
      <c r="AR513" s="219"/>
      <c r="AS513" s="219"/>
      <c r="AT513" s="219"/>
      <c r="AU513" s="219"/>
      <c r="AV513" s="219"/>
      <c r="AW513" s="219"/>
      <c r="AX513" s="219"/>
      <c r="AY513" s="219"/>
      <c r="AZ513" s="219"/>
      <c r="BA513" s="219"/>
      <c r="BB513" s="219"/>
      <c r="BC513" s="219"/>
      <c r="BD513" s="219"/>
      <c r="BE513" s="219"/>
      <c r="BF513" s="219"/>
      <c r="BG513" s="219"/>
      <c r="BH513" s="219"/>
      <c r="BI513" s="219"/>
      <c r="BJ513" s="219"/>
      <c r="BK513" s="219"/>
      <c r="BL513" s="219"/>
      <c r="BM513" s="219"/>
      <c r="BN513" s="219"/>
    </row>
    <row r="514" ht="29.25" hidden="1" customHeight="1">
      <c r="A514" s="216"/>
      <c r="B514" s="217"/>
      <c r="C514" s="164"/>
      <c r="D514" s="164"/>
      <c r="E514" s="165"/>
      <c r="F514" s="173"/>
      <c r="G514" s="168"/>
      <c r="H514" s="168"/>
      <c r="I514" s="169"/>
      <c r="J514" s="170"/>
      <c r="K514" s="170"/>
      <c r="L514" s="170"/>
      <c r="M514" s="167"/>
      <c r="N514" s="169"/>
      <c r="O514" s="171"/>
      <c r="P514" s="106"/>
      <c r="Q514" s="218"/>
      <c r="R514" s="172"/>
      <c r="S514" s="172"/>
      <c r="T514" s="173"/>
      <c r="U514" s="219"/>
      <c r="V514" s="219"/>
      <c r="W514" s="219"/>
      <c r="X514" s="219"/>
      <c r="Y514" s="219"/>
      <c r="Z514" s="219"/>
      <c r="AA514" s="219"/>
      <c r="AB514" s="219"/>
      <c r="AC514" s="219"/>
      <c r="AD514" s="219"/>
      <c r="AE514" s="219"/>
      <c r="AF514" s="219"/>
      <c r="AG514" s="219"/>
      <c r="AH514" s="219"/>
      <c r="AI514" s="219"/>
      <c r="AJ514" s="219"/>
      <c r="AK514" s="219"/>
      <c r="AL514" s="219"/>
      <c r="AM514" s="219"/>
      <c r="AN514" s="219"/>
      <c r="AO514" s="219"/>
      <c r="AP514" s="219"/>
      <c r="AQ514" s="219"/>
      <c r="AR514" s="219"/>
      <c r="AS514" s="219"/>
      <c r="AT514" s="219"/>
      <c r="AU514" s="219"/>
      <c r="AV514" s="219"/>
      <c r="AW514" s="219"/>
      <c r="AX514" s="219"/>
      <c r="AY514" s="219"/>
      <c r="AZ514" s="219"/>
      <c r="BA514" s="219"/>
      <c r="BB514" s="219"/>
      <c r="BC514" s="219"/>
      <c r="BD514" s="219"/>
      <c r="BE514" s="219"/>
      <c r="BF514" s="219"/>
      <c r="BG514" s="219"/>
      <c r="BH514" s="219"/>
      <c r="BI514" s="219"/>
      <c r="BJ514" s="219"/>
      <c r="BK514" s="219"/>
      <c r="BL514" s="219"/>
      <c r="BM514" s="219"/>
      <c r="BN514" s="219"/>
    </row>
    <row r="515" ht="29.25" hidden="1" customHeight="1">
      <c r="A515" s="216"/>
      <c r="B515" s="217"/>
      <c r="C515" s="164"/>
      <c r="D515" s="164"/>
      <c r="E515" s="165"/>
      <c r="F515" s="173"/>
      <c r="G515" s="168"/>
      <c r="H515" s="168"/>
      <c r="I515" s="169"/>
      <c r="J515" s="170"/>
      <c r="K515" s="170"/>
      <c r="L515" s="170"/>
      <c r="M515" s="167"/>
      <c r="N515" s="169"/>
      <c r="O515" s="171"/>
      <c r="P515" s="106"/>
      <c r="Q515" s="218"/>
      <c r="R515" s="172"/>
      <c r="S515" s="172"/>
      <c r="T515" s="173"/>
      <c r="U515" s="219"/>
      <c r="V515" s="219"/>
      <c r="W515" s="219"/>
      <c r="X515" s="219"/>
      <c r="Y515" s="219"/>
      <c r="Z515" s="219"/>
      <c r="AA515" s="219"/>
      <c r="AB515" s="219"/>
      <c r="AC515" s="219"/>
      <c r="AD515" s="219"/>
      <c r="AE515" s="219"/>
      <c r="AF515" s="219"/>
      <c r="AG515" s="219"/>
      <c r="AH515" s="219"/>
      <c r="AI515" s="219"/>
      <c r="AJ515" s="219"/>
      <c r="AK515" s="219"/>
      <c r="AL515" s="219"/>
      <c r="AM515" s="219"/>
      <c r="AN515" s="219"/>
      <c r="AO515" s="219"/>
      <c r="AP515" s="219"/>
      <c r="AQ515" s="219"/>
      <c r="AR515" s="219"/>
      <c r="AS515" s="219"/>
      <c r="AT515" s="219"/>
      <c r="AU515" s="219"/>
      <c r="AV515" s="219"/>
      <c r="AW515" s="219"/>
      <c r="AX515" s="219"/>
      <c r="AY515" s="219"/>
      <c r="AZ515" s="219"/>
      <c r="BA515" s="219"/>
      <c r="BB515" s="219"/>
      <c r="BC515" s="219"/>
      <c r="BD515" s="219"/>
      <c r="BE515" s="219"/>
      <c r="BF515" s="219"/>
      <c r="BG515" s="219"/>
      <c r="BH515" s="219"/>
      <c r="BI515" s="219"/>
      <c r="BJ515" s="219"/>
      <c r="BK515" s="219"/>
      <c r="BL515" s="219"/>
      <c r="BM515" s="219"/>
      <c r="BN515" s="219"/>
    </row>
    <row r="516" ht="29.25" hidden="1" customHeight="1">
      <c r="A516" s="216"/>
      <c r="B516" s="217"/>
      <c r="C516" s="164"/>
      <c r="D516" s="164"/>
      <c r="E516" s="165"/>
      <c r="F516" s="173"/>
      <c r="G516" s="168"/>
      <c r="H516" s="168"/>
      <c r="I516" s="169"/>
      <c r="J516" s="170"/>
      <c r="K516" s="170"/>
      <c r="L516" s="170"/>
      <c r="M516" s="167"/>
      <c r="N516" s="169"/>
      <c r="O516" s="171"/>
      <c r="P516" s="106"/>
      <c r="Q516" s="218"/>
      <c r="R516" s="172"/>
      <c r="S516" s="172"/>
      <c r="T516" s="173"/>
      <c r="U516" s="219"/>
      <c r="V516" s="219"/>
      <c r="W516" s="219"/>
      <c r="X516" s="219"/>
      <c r="Y516" s="219"/>
      <c r="Z516" s="219"/>
      <c r="AA516" s="219"/>
      <c r="AB516" s="219"/>
      <c r="AC516" s="219"/>
      <c r="AD516" s="219"/>
      <c r="AE516" s="219"/>
      <c r="AF516" s="219"/>
      <c r="AG516" s="219"/>
      <c r="AH516" s="219"/>
      <c r="AI516" s="219"/>
      <c r="AJ516" s="219"/>
      <c r="AK516" s="219"/>
      <c r="AL516" s="219"/>
      <c r="AM516" s="219"/>
      <c r="AN516" s="219"/>
      <c r="AO516" s="219"/>
      <c r="AP516" s="219"/>
      <c r="AQ516" s="219"/>
      <c r="AR516" s="219"/>
      <c r="AS516" s="219"/>
      <c r="AT516" s="219"/>
      <c r="AU516" s="219"/>
      <c r="AV516" s="219"/>
      <c r="AW516" s="219"/>
      <c r="AX516" s="219"/>
      <c r="AY516" s="219"/>
      <c r="AZ516" s="219"/>
      <c r="BA516" s="219"/>
      <c r="BB516" s="219"/>
      <c r="BC516" s="219"/>
      <c r="BD516" s="219"/>
      <c r="BE516" s="219"/>
      <c r="BF516" s="219"/>
      <c r="BG516" s="219"/>
      <c r="BH516" s="219"/>
      <c r="BI516" s="219"/>
      <c r="BJ516" s="219"/>
      <c r="BK516" s="219"/>
      <c r="BL516" s="219"/>
      <c r="BM516" s="219"/>
      <c r="BN516" s="219"/>
    </row>
    <row r="517" ht="29.25" hidden="1" customHeight="1">
      <c r="A517" s="216"/>
      <c r="B517" s="217"/>
      <c r="C517" s="164"/>
      <c r="D517" s="164"/>
      <c r="E517" s="165"/>
      <c r="F517" s="173"/>
      <c r="G517" s="168"/>
      <c r="H517" s="168"/>
      <c r="I517" s="169"/>
      <c r="J517" s="170"/>
      <c r="K517" s="170"/>
      <c r="L517" s="170"/>
      <c r="M517" s="167"/>
      <c r="N517" s="169"/>
      <c r="O517" s="171"/>
      <c r="P517" s="106"/>
      <c r="Q517" s="218"/>
      <c r="R517" s="172"/>
      <c r="S517" s="172"/>
      <c r="T517" s="173"/>
      <c r="U517" s="219"/>
      <c r="V517" s="219"/>
      <c r="W517" s="219"/>
      <c r="X517" s="219"/>
      <c r="Y517" s="219"/>
      <c r="Z517" s="219"/>
      <c r="AA517" s="219"/>
      <c r="AB517" s="219"/>
      <c r="AC517" s="219"/>
      <c r="AD517" s="219"/>
      <c r="AE517" s="219"/>
      <c r="AF517" s="219"/>
      <c r="AG517" s="219"/>
      <c r="AH517" s="219"/>
      <c r="AI517" s="219"/>
      <c r="AJ517" s="219"/>
      <c r="AK517" s="219"/>
      <c r="AL517" s="219"/>
      <c r="AM517" s="219"/>
      <c r="AN517" s="219"/>
      <c r="AO517" s="219"/>
      <c r="AP517" s="219"/>
      <c r="AQ517" s="219"/>
      <c r="AR517" s="219"/>
      <c r="AS517" s="219"/>
      <c r="AT517" s="219"/>
      <c r="AU517" s="219"/>
      <c r="AV517" s="219"/>
      <c r="AW517" s="219"/>
      <c r="AX517" s="219"/>
      <c r="AY517" s="219"/>
      <c r="AZ517" s="219"/>
      <c r="BA517" s="219"/>
      <c r="BB517" s="219"/>
      <c r="BC517" s="219"/>
      <c r="BD517" s="219"/>
      <c r="BE517" s="219"/>
      <c r="BF517" s="219"/>
      <c r="BG517" s="219"/>
      <c r="BH517" s="219"/>
      <c r="BI517" s="219"/>
      <c r="BJ517" s="219"/>
      <c r="BK517" s="219"/>
      <c r="BL517" s="219"/>
      <c r="BM517" s="219"/>
      <c r="BN517" s="219"/>
    </row>
    <row r="518" ht="29.25" hidden="1" customHeight="1">
      <c r="A518" s="216"/>
      <c r="B518" s="217"/>
      <c r="C518" s="164"/>
      <c r="D518" s="164"/>
      <c r="E518" s="165"/>
      <c r="F518" s="173"/>
      <c r="G518" s="168"/>
      <c r="H518" s="168"/>
      <c r="I518" s="169"/>
      <c r="J518" s="170"/>
      <c r="K518" s="170"/>
      <c r="L518" s="170"/>
      <c r="M518" s="167"/>
      <c r="N518" s="169"/>
      <c r="O518" s="171"/>
      <c r="P518" s="106"/>
      <c r="Q518" s="218"/>
      <c r="R518" s="172"/>
      <c r="S518" s="172"/>
      <c r="T518" s="173"/>
      <c r="U518" s="219"/>
      <c r="V518" s="219"/>
      <c r="W518" s="219"/>
      <c r="X518" s="219"/>
      <c r="Y518" s="219"/>
      <c r="Z518" s="219"/>
      <c r="AA518" s="219"/>
      <c r="AB518" s="219"/>
      <c r="AC518" s="219"/>
      <c r="AD518" s="219"/>
      <c r="AE518" s="219"/>
      <c r="AF518" s="219"/>
      <c r="AG518" s="219"/>
      <c r="AH518" s="219"/>
      <c r="AI518" s="219"/>
      <c r="AJ518" s="219"/>
      <c r="AK518" s="219"/>
      <c r="AL518" s="219"/>
      <c r="AM518" s="219"/>
      <c r="AN518" s="219"/>
      <c r="AO518" s="219"/>
      <c r="AP518" s="219"/>
      <c r="AQ518" s="219"/>
      <c r="AR518" s="219"/>
      <c r="AS518" s="219"/>
      <c r="AT518" s="219"/>
      <c r="AU518" s="219"/>
      <c r="AV518" s="219"/>
      <c r="AW518" s="219"/>
      <c r="AX518" s="219"/>
      <c r="AY518" s="219"/>
      <c r="AZ518" s="219"/>
      <c r="BA518" s="219"/>
      <c r="BB518" s="219"/>
      <c r="BC518" s="219"/>
      <c r="BD518" s="219"/>
      <c r="BE518" s="219"/>
      <c r="BF518" s="219"/>
      <c r="BG518" s="219"/>
      <c r="BH518" s="219"/>
      <c r="BI518" s="219"/>
      <c r="BJ518" s="219"/>
      <c r="BK518" s="219"/>
      <c r="BL518" s="219"/>
      <c r="BM518" s="219"/>
      <c r="BN518" s="219"/>
    </row>
    <row r="519" ht="29.25" hidden="1" customHeight="1">
      <c r="A519" s="216"/>
      <c r="B519" s="217"/>
      <c r="C519" s="164"/>
      <c r="D519" s="164"/>
      <c r="E519" s="165"/>
      <c r="F519" s="173"/>
      <c r="G519" s="168"/>
      <c r="H519" s="168"/>
      <c r="I519" s="169"/>
      <c r="J519" s="170"/>
      <c r="K519" s="170"/>
      <c r="L519" s="170"/>
      <c r="M519" s="167"/>
      <c r="N519" s="169"/>
      <c r="O519" s="171"/>
      <c r="P519" s="106"/>
      <c r="Q519" s="218"/>
      <c r="R519" s="172"/>
      <c r="S519" s="172"/>
      <c r="T519" s="173"/>
      <c r="U519" s="219"/>
      <c r="V519" s="219"/>
      <c r="W519" s="219"/>
      <c r="X519" s="219"/>
      <c r="Y519" s="219"/>
      <c r="Z519" s="219"/>
      <c r="AA519" s="219"/>
      <c r="AB519" s="219"/>
      <c r="AC519" s="219"/>
      <c r="AD519" s="219"/>
      <c r="AE519" s="219"/>
      <c r="AF519" s="219"/>
      <c r="AG519" s="219"/>
      <c r="AH519" s="219"/>
      <c r="AI519" s="219"/>
      <c r="AJ519" s="219"/>
      <c r="AK519" s="219"/>
      <c r="AL519" s="219"/>
      <c r="AM519" s="219"/>
      <c r="AN519" s="219"/>
      <c r="AO519" s="219"/>
      <c r="AP519" s="219"/>
      <c r="AQ519" s="219"/>
      <c r="AR519" s="219"/>
      <c r="AS519" s="219"/>
      <c r="AT519" s="219"/>
      <c r="AU519" s="219"/>
      <c r="AV519" s="219"/>
      <c r="AW519" s="219"/>
      <c r="AX519" s="219"/>
      <c r="AY519" s="219"/>
      <c r="AZ519" s="219"/>
      <c r="BA519" s="219"/>
      <c r="BB519" s="219"/>
      <c r="BC519" s="219"/>
      <c r="BD519" s="219"/>
      <c r="BE519" s="219"/>
      <c r="BF519" s="219"/>
      <c r="BG519" s="219"/>
      <c r="BH519" s="219"/>
      <c r="BI519" s="219"/>
      <c r="BJ519" s="219"/>
      <c r="BK519" s="219"/>
      <c r="BL519" s="219"/>
      <c r="BM519" s="219"/>
      <c r="BN519" s="219"/>
    </row>
    <row r="520" ht="29.25" hidden="1" customHeight="1">
      <c r="A520" s="216"/>
      <c r="B520" s="217"/>
      <c r="C520" s="164"/>
      <c r="D520" s="164"/>
      <c r="E520" s="165"/>
      <c r="F520" s="173"/>
      <c r="G520" s="168"/>
      <c r="H520" s="168"/>
      <c r="I520" s="169"/>
      <c r="J520" s="170"/>
      <c r="K520" s="170"/>
      <c r="L520" s="170"/>
      <c r="M520" s="167"/>
      <c r="N520" s="169"/>
      <c r="O520" s="171"/>
      <c r="P520" s="106"/>
      <c r="Q520" s="218"/>
      <c r="R520" s="172"/>
      <c r="S520" s="172"/>
      <c r="T520" s="173"/>
      <c r="U520" s="219"/>
      <c r="V520" s="219"/>
      <c r="W520" s="219"/>
      <c r="X520" s="219"/>
      <c r="Y520" s="219"/>
      <c r="Z520" s="219"/>
      <c r="AA520" s="219"/>
      <c r="AB520" s="219"/>
      <c r="AC520" s="219"/>
      <c r="AD520" s="219"/>
      <c r="AE520" s="219"/>
      <c r="AF520" s="219"/>
      <c r="AG520" s="219"/>
      <c r="AH520" s="219"/>
      <c r="AI520" s="219"/>
      <c r="AJ520" s="219"/>
      <c r="AK520" s="219"/>
      <c r="AL520" s="219"/>
      <c r="AM520" s="219"/>
      <c r="AN520" s="219"/>
      <c r="AO520" s="219"/>
      <c r="AP520" s="219"/>
      <c r="AQ520" s="219"/>
      <c r="AR520" s="219"/>
      <c r="AS520" s="219"/>
      <c r="AT520" s="219"/>
      <c r="AU520" s="219"/>
      <c r="AV520" s="219"/>
      <c r="AW520" s="219"/>
      <c r="AX520" s="219"/>
      <c r="AY520" s="219"/>
      <c r="AZ520" s="219"/>
      <c r="BA520" s="219"/>
      <c r="BB520" s="219"/>
      <c r="BC520" s="219"/>
      <c r="BD520" s="219"/>
      <c r="BE520" s="219"/>
      <c r="BF520" s="219"/>
      <c r="BG520" s="219"/>
      <c r="BH520" s="219"/>
      <c r="BI520" s="219"/>
      <c r="BJ520" s="219"/>
      <c r="BK520" s="219"/>
      <c r="BL520" s="219"/>
      <c r="BM520" s="219"/>
      <c r="BN520" s="219"/>
    </row>
    <row r="521" ht="29.25" hidden="1" customHeight="1">
      <c r="A521" s="216"/>
      <c r="B521" s="217"/>
      <c r="C521" s="164"/>
      <c r="D521" s="164"/>
      <c r="E521" s="165"/>
      <c r="F521" s="173"/>
      <c r="G521" s="168"/>
      <c r="H521" s="168"/>
      <c r="I521" s="169"/>
      <c r="J521" s="170"/>
      <c r="K521" s="170"/>
      <c r="L521" s="170"/>
      <c r="M521" s="167"/>
      <c r="N521" s="169"/>
      <c r="O521" s="171"/>
      <c r="P521" s="106"/>
      <c r="Q521" s="218"/>
      <c r="R521" s="172"/>
      <c r="S521" s="172"/>
      <c r="T521" s="173"/>
      <c r="U521" s="219"/>
      <c r="V521" s="219"/>
      <c r="W521" s="219"/>
      <c r="X521" s="219"/>
      <c r="Y521" s="219"/>
      <c r="Z521" s="219"/>
      <c r="AA521" s="219"/>
      <c r="AB521" s="219"/>
      <c r="AC521" s="219"/>
      <c r="AD521" s="219"/>
      <c r="AE521" s="219"/>
      <c r="AF521" s="219"/>
      <c r="AG521" s="219"/>
      <c r="AH521" s="219"/>
      <c r="AI521" s="219"/>
      <c r="AJ521" s="219"/>
      <c r="AK521" s="219"/>
      <c r="AL521" s="219"/>
      <c r="AM521" s="219"/>
      <c r="AN521" s="219"/>
      <c r="AO521" s="219"/>
      <c r="AP521" s="219"/>
      <c r="AQ521" s="219"/>
      <c r="AR521" s="219"/>
      <c r="AS521" s="219"/>
      <c r="AT521" s="219"/>
      <c r="AU521" s="219"/>
      <c r="AV521" s="219"/>
      <c r="AW521" s="219"/>
      <c r="AX521" s="219"/>
      <c r="AY521" s="219"/>
      <c r="AZ521" s="219"/>
      <c r="BA521" s="219"/>
      <c r="BB521" s="219"/>
      <c r="BC521" s="219"/>
      <c r="BD521" s="219"/>
      <c r="BE521" s="219"/>
      <c r="BF521" s="219"/>
      <c r="BG521" s="219"/>
      <c r="BH521" s="219"/>
      <c r="BI521" s="219"/>
      <c r="BJ521" s="219"/>
      <c r="BK521" s="219"/>
      <c r="BL521" s="219"/>
      <c r="BM521" s="219"/>
      <c r="BN521" s="219"/>
    </row>
    <row r="522" ht="29.25" hidden="1" customHeight="1">
      <c r="A522" s="216"/>
      <c r="B522" s="217"/>
      <c r="C522" s="164"/>
      <c r="D522" s="164"/>
      <c r="E522" s="165"/>
      <c r="F522" s="173"/>
      <c r="G522" s="168"/>
      <c r="H522" s="168"/>
      <c r="I522" s="169"/>
      <c r="J522" s="170"/>
      <c r="K522" s="170"/>
      <c r="L522" s="170"/>
      <c r="M522" s="167"/>
      <c r="N522" s="169"/>
      <c r="O522" s="171"/>
      <c r="P522" s="106"/>
      <c r="Q522" s="218"/>
      <c r="R522" s="172"/>
      <c r="S522" s="172"/>
      <c r="T522" s="173"/>
      <c r="U522" s="219"/>
      <c r="V522" s="219"/>
      <c r="W522" s="219"/>
      <c r="X522" s="219"/>
      <c r="Y522" s="219"/>
      <c r="Z522" s="219"/>
      <c r="AA522" s="219"/>
      <c r="AB522" s="219"/>
      <c r="AC522" s="219"/>
      <c r="AD522" s="219"/>
      <c r="AE522" s="219"/>
      <c r="AF522" s="219"/>
      <c r="AG522" s="219"/>
      <c r="AH522" s="219"/>
      <c r="AI522" s="219"/>
      <c r="AJ522" s="219"/>
      <c r="AK522" s="219"/>
      <c r="AL522" s="219"/>
      <c r="AM522" s="219"/>
      <c r="AN522" s="219"/>
      <c r="AO522" s="219"/>
      <c r="AP522" s="219"/>
      <c r="AQ522" s="219"/>
      <c r="AR522" s="219"/>
      <c r="AS522" s="219"/>
      <c r="AT522" s="219"/>
      <c r="AU522" s="219"/>
      <c r="AV522" s="219"/>
      <c r="AW522" s="219"/>
      <c r="AX522" s="219"/>
      <c r="AY522" s="219"/>
      <c r="AZ522" s="219"/>
      <c r="BA522" s="219"/>
      <c r="BB522" s="219"/>
      <c r="BC522" s="219"/>
      <c r="BD522" s="219"/>
      <c r="BE522" s="219"/>
      <c r="BF522" s="219"/>
      <c r="BG522" s="219"/>
      <c r="BH522" s="219"/>
      <c r="BI522" s="219"/>
      <c r="BJ522" s="219"/>
      <c r="BK522" s="219"/>
      <c r="BL522" s="219"/>
      <c r="BM522" s="219"/>
      <c r="BN522" s="219"/>
    </row>
    <row r="523" ht="29.25" hidden="1" customHeight="1">
      <c r="A523" s="216"/>
      <c r="B523" s="217"/>
      <c r="C523" s="164"/>
      <c r="D523" s="164"/>
      <c r="E523" s="165"/>
      <c r="F523" s="173"/>
      <c r="G523" s="168"/>
      <c r="H523" s="168"/>
      <c r="I523" s="169"/>
      <c r="J523" s="170"/>
      <c r="K523" s="170"/>
      <c r="L523" s="170"/>
      <c r="M523" s="167"/>
      <c r="N523" s="169"/>
      <c r="O523" s="171"/>
      <c r="P523" s="106"/>
      <c r="Q523" s="218"/>
      <c r="R523" s="172"/>
      <c r="S523" s="172"/>
      <c r="T523" s="173"/>
      <c r="U523" s="219"/>
      <c r="V523" s="219"/>
      <c r="W523" s="219"/>
      <c r="X523" s="219"/>
      <c r="Y523" s="219"/>
      <c r="Z523" s="219"/>
      <c r="AA523" s="219"/>
      <c r="AB523" s="219"/>
      <c r="AC523" s="219"/>
      <c r="AD523" s="219"/>
      <c r="AE523" s="219"/>
      <c r="AF523" s="219"/>
      <c r="AG523" s="219"/>
      <c r="AH523" s="219"/>
      <c r="AI523" s="219"/>
      <c r="AJ523" s="219"/>
      <c r="AK523" s="219"/>
      <c r="AL523" s="219"/>
      <c r="AM523" s="219"/>
      <c r="AN523" s="219"/>
      <c r="AO523" s="219"/>
      <c r="AP523" s="219"/>
      <c r="AQ523" s="219"/>
      <c r="AR523" s="219"/>
      <c r="AS523" s="219"/>
      <c r="AT523" s="219"/>
      <c r="AU523" s="219"/>
      <c r="AV523" s="219"/>
      <c r="AW523" s="219"/>
      <c r="AX523" s="219"/>
      <c r="AY523" s="219"/>
      <c r="AZ523" s="219"/>
      <c r="BA523" s="219"/>
      <c r="BB523" s="219"/>
      <c r="BC523" s="219"/>
      <c r="BD523" s="219"/>
      <c r="BE523" s="219"/>
      <c r="BF523" s="219"/>
      <c r="BG523" s="219"/>
      <c r="BH523" s="219"/>
      <c r="BI523" s="219"/>
      <c r="BJ523" s="219"/>
      <c r="BK523" s="219"/>
      <c r="BL523" s="219"/>
      <c r="BM523" s="219"/>
      <c r="BN523" s="219"/>
    </row>
    <row r="524" ht="29.25" hidden="1" customHeight="1">
      <c r="A524" s="216"/>
      <c r="B524" s="217"/>
      <c r="C524" s="164"/>
      <c r="D524" s="164"/>
      <c r="E524" s="165"/>
      <c r="F524" s="173"/>
      <c r="G524" s="168"/>
      <c r="H524" s="168"/>
      <c r="I524" s="169"/>
      <c r="J524" s="170"/>
      <c r="K524" s="170"/>
      <c r="L524" s="170"/>
      <c r="M524" s="167"/>
      <c r="N524" s="169"/>
      <c r="O524" s="171"/>
      <c r="P524" s="106"/>
      <c r="Q524" s="218"/>
      <c r="R524" s="172"/>
      <c r="S524" s="172"/>
      <c r="T524" s="173"/>
      <c r="U524" s="219"/>
      <c r="V524" s="219"/>
      <c r="W524" s="219"/>
      <c r="X524" s="219"/>
      <c r="Y524" s="219"/>
      <c r="Z524" s="219"/>
      <c r="AA524" s="219"/>
      <c r="AB524" s="219"/>
      <c r="AC524" s="219"/>
      <c r="AD524" s="219"/>
      <c r="AE524" s="219"/>
      <c r="AF524" s="219"/>
      <c r="AG524" s="219"/>
      <c r="AH524" s="219"/>
      <c r="AI524" s="219"/>
      <c r="AJ524" s="219"/>
      <c r="AK524" s="219"/>
      <c r="AL524" s="219"/>
      <c r="AM524" s="219"/>
      <c r="AN524" s="219"/>
      <c r="AO524" s="219"/>
      <c r="AP524" s="219"/>
      <c r="AQ524" s="219"/>
      <c r="AR524" s="219"/>
      <c r="AS524" s="219"/>
      <c r="AT524" s="219"/>
      <c r="AU524" s="219"/>
      <c r="AV524" s="219"/>
      <c r="AW524" s="219"/>
      <c r="AX524" s="219"/>
      <c r="AY524" s="219"/>
      <c r="AZ524" s="219"/>
      <c r="BA524" s="219"/>
      <c r="BB524" s="219"/>
      <c r="BC524" s="219"/>
      <c r="BD524" s="219"/>
      <c r="BE524" s="219"/>
      <c r="BF524" s="219"/>
      <c r="BG524" s="219"/>
      <c r="BH524" s="219"/>
      <c r="BI524" s="219"/>
      <c r="BJ524" s="219"/>
      <c r="BK524" s="219"/>
      <c r="BL524" s="219"/>
      <c r="BM524" s="219"/>
      <c r="BN524" s="219"/>
    </row>
    <row r="525" ht="29.25" hidden="1" customHeight="1">
      <c r="A525" s="216"/>
      <c r="B525" s="217"/>
      <c r="C525" s="164"/>
      <c r="D525" s="164"/>
      <c r="E525" s="165"/>
      <c r="F525" s="173"/>
      <c r="G525" s="168"/>
      <c r="H525" s="168"/>
      <c r="I525" s="169"/>
      <c r="J525" s="170"/>
      <c r="K525" s="170"/>
      <c r="L525" s="170"/>
      <c r="M525" s="167"/>
      <c r="N525" s="169"/>
      <c r="O525" s="171"/>
      <c r="P525" s="106"/>
      <c r="Q525" s="218"/>
      <c r="R525" s="172"/>
      <c r="S525" s="172"/>
      <c r="T525" s="173"/>
      <c r="U525" s="219"/>
      <c r="V525" s="219"/>
      <c r="W525" s="219"/>
      <c r="X525" s="219"/>
      <c r="Y525" s="219"/>
      <c r="Z525" s="219"/>
      <c r="AA525" s="219"/>
      <c r="AB525" s="219"/>
      <c r="AC525" s="219"/>
      <c r="AD525" s="219"/>
      <c r="AE525" s="219"/>
      <c r="AF525" s="219"/>
      <c r="AG525" s="219"/>
      <c r="AH525" s="219"/>
      <c r="AI525" s="219"/>
      <c r="AJ525" s="219"/>
      <c r="AK525" s="219"/>
      <c r="AL525" s="219"/>
      <c r="AM525" s="219"/>
      <c r="AN525" s="219"/>
      <c r="AO525" s="219"/>
      <c r="AP525" s="219"/>
      <c r="AQ525" s="219"/>
      <c r="AR525" s="219"/>
      <c r="AS525" s="219"/>
      <c r="AT525" s="219"/>
      <c r="AU525" s="219"/>
      <c r="AV525" s="219"/>
      <c r="AW525" s="219"/>
      <c r="AX525" s="219"/>
      <c r="AY525" s="219"/>
      <c r="AZ525" s="219"/>
      <c r="BA525" s="219"/>
      <c r="BB525" s="219"/>
      <c r="BC525" s="219"/>
      <c r="BD525" s="219"/>
      <c r="BE525" s="219"/>
      <c r="BF525" s="219"/>
      <c r="BG525" s="219"/>
      <c r="BH525" s="219"/>
      <c r="BI525" s="219"/>
      <c r="BJ525" s="219"/>
      <c r="BK525" s="219"/>
      <c r="BL525" s="219"/>
      <c r="BM525" s="219"/>
      <c r="BN525" s="219"/>
    </row>
    <row r="526" ht="29.25" hidden="1" customHeight="1">
      <c r="A526" s="216"/>
      <c r="B526" s="217"/>
      <c r="C526" s="164"/>
      <c r="D526" s="164"/>
      <c r="E526" s="165"/>
      <c r="F526" s="173"/>
      <c r="G526" s="168"/>
      <c r="H526" s="168"/>
      <c r="I526" s="169"/>
      <c r="J526" s="170"/>
      <c r="K526" s="170"/>
      <c r="L526" s="170"/>
      <c r="M526" s="167"/>
      <c r="N526" s="169"/>
      <c r="O526" s="171"/>
      <c r="P526" s="106"/>
      <c r="Q526" s="218"/>
      <c r="R526" s="172"/>
      <c r="S526" s="172"/>
      <c r="T526" s="173"/>
      <c r="U526" s="219"/>
      <c r="V526" s="219"/>
      <c r="W526" s="219"/>
      <c r="X526" s="219"/>
      <c r="Y526" s="219"/>
      <c r="Z526" s="219"/>
      <c r="AA526" s="219"/>
      <c r="AB526" s="219"/>
      <c r="AC526" s="219"/>
      <c r="AD526" s="219"/>
      <c r="AE526" s="219"/>
      <c r="AF526" s="219"/>
      <c r="AG526" s="219"/>
      <c r="AH526" s="219"/>
      <c r="AI526" s="219"/>
      <c r="AJ526" s="219"/>
      <c r="AK526" s="219"/>
      <c r="AL526" s="219"/>
      <c r="AM526" s="219"/>
      <c r="AN526" s="219"/>
      <c r="AO526" s="219"/>
      <c r="AP526" s="219"/>
      <c r="AQ526" s="219"/>
      <c r="AR526" s="219"/>
      <c r="AS526" s="219"/>
      <c r="AT526" s="219"/>
      <c r="AU526" s="219"/>
      <c r="AV526" s="219"/>
      <c r="AW526" s="219"/>
      <c r="AX526" s="219"/>
      <c r="AY526" s="219"/>
      <c r="AZ526" s="219"/>
      <c r="BA526" s="219"/>
      <c r="BB526" s="219"/>
      <c r="BC526" s="219"/>
      <c r="BD526" s="219"/>
      <c r="BE526" s="219"/>
      <c r="BF526" s="219"/>
      <c r="BG526" s="219"/>
      <c r="BH526" s="219"/>
      <c r="BI526" s="219"/>
      <c r="BJ526" s="219"/>
      <c r="BK526" s="219"/>
      <c r="BL526" s="219"/>
      <c r="BM526" s="219"/>
      <c r="BN526" s="219"/>
    </row>
    <row r="527" ht="29.25" hidden="1" customHeight="1">
      <c r="A527" s="216"/>
      <c r="B527" s="217"/>
      <c r="C527" s="164"/>
      <c r="D527" s="164"/>
      <c r="E527" s="165"/>
      <c r="F527" s="173"/>
      <c r="G527" s="168"/>
      <c r="H527" s="168"/>
      <c r="I527" s="169"/>
      <c r="J527" s="170"/>
      <c r="K527" s="170"/>
      <c r="L527" s="170"/>
      <c r="M527" s="167"/>
      <c r="N527" s="169"/>
      <c r="O527" s="171"/>
      <c r="P527" s="106"/>
      <c r="Q527" s="218"/>
      <c r="R527" s="172"/>
      <c r="S527" s="172"/>
      <c r="T527" s="173"/>
      <c r="U527" s="219"/>
      <c r="V527" s="219"/>
      <c r="W527" s="219"/>
      <c r="X527" s="219"/>
      <c r="Y527" s="219"/>
      <c r="Z527" s="219"/>
      <c r="AA527" s="219"/>
      <c r="AB527" s="219"/>
      <c r="AC527" s="219"/>
      <c r="AD527" s="219"/>
      <c r="AE527" s="219"/>
      <c r="AF527" s="219"/>
      <c r="AG527" s="219"/>
      <c r="AH527" s="219"/>
      <c r="AI527" s="219"/>
      <c r="AJ527" s="219"/>
      <c r="AK527" s="219"/>
      <c r="AL527" s="219"/>
      <c r="AM527" s="219"/>
      <c r="AN527" s="219"/>
      <c r="AO527" s="219"/>
      <c r="AP527" s="219"/>
      <c r="AQ527" s="219"/>
      <c r="AR527" s="219"/>
      <c r="AS527" s="219"/>
      <c r="AT527" s="219"/>
      <c r="AU527" s="219"/>
      <c r="AV527" s="219"/>
      <c r="AW527" s="219"/>
      <c r="AX527" s="219"/>
      <c r="AY527" s="219"/>
      <c r="AZ527" s="219"/>
      <c r="BA527" s="219"/>
      <c r="BB527" s="219"/>
      <c r="BC527" s="219"/>
      <c r="BD527" s="219"/>
      <c r="BE527" s="219"/>
      <c r="BF527" s="219"/>
      <c r="BG527" s="219"/>
      <c r="BH527" s="219"/>
      <c r="BI527" s="219"/>
      <c r="BJ527" s="219"/>
      <c r="BK527" s="219"/>
      <c r="BL527" s="219"/>
      <c r="BM527" s="219"/>
      <c r="BN527" s="219"/>
    </row>
    <row r="528" ht="29.25" hidden="1" customHeight="1">
      <c r="A528" s="216"/>
      <c r="B528" s="217"/>
      <c r="C528" s="164"/>
      <c r="D528" s="164"/>
      <c r="E528" s="165"/>
      <c r="F528" s="173"/>
      <c r="G528" s="168"/>
      <c r="H528" s="168"/>
      <c r="I528" s="169"/>
      <c r="J528" s="170"/>
      <c r="K528" s="170"/>
      <c r="L528" s="170"/>
      <c r="M528" s="167"/>
      <c r="N528" s="169"/>
      <c r="O528" s="171"/>
      <c r="P528" s="106"/>
      <c r="Q528" s="218"/>
      <c r="R528" s="172"/>
      <c r="S528" s="172"/>
      <c r="T528" s="173"/>
      <c r="U528" s="219"/>
      <c r="V528" s="219"/>
      <c r="W528" s="219"/>
      <c r="X528" s="219"/>
      <c r="Y528" s="219"/>
      <c r="Z528" s="219"/>
      <c r="AA528" s="219"/>
      <c r="AB528" s="219"/>
      <c r="AC528" s="219"/>
      <c r="AD528" s="219"/>
      <c r="AE528" s="219"/>
      <c r="AF528" s="219"/>
      <c r="AG528" s="219"/>
      <c r="AH528" s="219"/>
      <c r="AI528" s="219"/>
      <c r="AJ528" s="219"/>
      <c r="AK528" s="219"/>
      <c r="AL528" s="219"/>
      <c r="AM528" s="219"/>
      <c r="AN528" s="219"/>
      <c r="AO528" s="219"/>
      <c r="AP528" s="219"/>
      <c r="AQ528" s="219"/>
      <c r="AR528" s="219"/>
      <c r="AS528" s="219"/>
      <c r="AT528" s="219"/>
      <c r="AU528" s="219"/>
      <c r="AV528" s="219"/>
      <c r="AW528" s="219"/>
      <c r="AX528" s="219"/>
      <c r="AY528" s="219"/>
      <c r="AZ528" s="219"/>
      <c r="BA528" s="219"/>
      <c r="BB528" s="219"/>
      <c r="BC528" s="219"/>
      <c r="BD528" s="219"/>
      <c r="BE528" s="219"/>
      <c r="BF528" s="219"/>
      <c r="BG528" s="219"/>
      <c r="BH528" s="219"/>
      <c r="BI528" s="219"/>
      <c r="BJ528" s="219"/>
      <c r="BK528" s="219"/>
      <c r="BL528" s="219"/>
      <c r="BM528" s="219"/>
      <c r="BN528" s="219"/>
    </row>
    <row r="529" ht="29.25" hidden="1" customHeight="1">
      <c r="A529" s="216"/>
      <c r="B529" s="217"/>
      <c r="C529" s="164"/>
      <c r="D529" s="164"/>
      <c r="E529" s="165"/>
      <c r="F529" s="173"/>
      <c r="G529" s="168"/>
      <c r="H529" s="168"/>
      <c r="I529" s="169"/>
      <c r="J529" s="170"/>
      <c r="K529" s="170"/>
      <c r="L529" s="170"/>
      <c r="M529" s="167"/>
      <c r="N529" s="169"/>
      <c r="O529" s="171"/>
      <c r="P529" s="106"/>
      <c r="Q529" s="218"/>
      <c r="R529" s="172"/>
      <c r="S529" s="172"/>
      <c r="T529" s="173"/>
      <c r="U529" s="219"/>
      <c r="V529" s="219"/>
      <c r="W529" s="219"/>
      <c r="X529" s="219"/>
      <c r="Y529" s="219"/>
      <c r="Z529" s="219"/>
      <c r="AA529" s="219"/>
      <c r="AB529" s="219"/>
      <c r="AC529" s="219"/>
      <c r="AD529" s="219"/>
      <c r="AE529" s="219"/>
      <c r="AF529" s="219"/>
      <c r="AG529" s="219"/>
      <c r="AH529" s="219"/>
      <c r="AI529" s="219"/>
      <c r="AJ529" s="219"/>
      <c r="AK529" s="219"/>
      <c r="AL529" s="219"/>
      <c r="AM529" s="219"/>
      <c r="AN529" s="219"/>
      <c r="AO529" s="219"/>
      <c r="AP529" s="219"/>
      <c r="AQ529" s="219"/>
      <c r="AR529" s="219"/>
      <c r="AS529" s="219"/>
      <c r="AT529" s="219"/>
      <c r="AU529" s="219"/>
      <c r="AV529" s="219"/>
      <c r="AW529" s="219"/>
      <c r="AX529" s="219"/>
      <c r="AY529" s="219"/>
      <c r="AZ529" s="219"/>
      <c r="BA529" s="219"/>
      <c r="BB529" s="219"/>
      <c r="BC529" s="219"/>
      <c r="BD529" s="219"/>
      <c r="BE529" s="219"/>
      <c r="BF529" s="219"/>
      <c r="BG529" s="219"/>
      <c r="BH529" s="219"/>
      <c r="BI529" s="219"/>
      <c r="BJ529" s="219"/>
      <c r="BK529" s="219"/>
      <c r="BL529" s="219"/>
      <c r="BM529" s="219"/>
      <c r="BN529" s="219"/>
    </row>
    <row r="530" ht="29.25" hidden="1" customHeight="1">
      <c r="A530" s="216"/>
      <c r="B530" s="217"/>
      <c r="C530" s="164"/>
      <c r="D530" s="164"/>
      <c r="E530" s="165"/>
      <c r="F530" s="173"/>
      <c r="G530" s="168"/>
      <c r="H530" s="168"/>
      <c r="I530" s="169"/>
      <c r="J530" s="170"/>
      <c r="K530" s="170"/>
      <c r="L530" s="170"/>
      <c r="M530" s="167"/>
      <c r="N530" s="169"/>
      <c r="O530" s="171"/>
      <c r="P530" s="106"/>
      <c r="Q530" s="218"/>
      <c r="R530" s="172"/>
      <c r="S530" s="172"/>
      <c r="T530" s="173"/>
      <c r="U530" s="219"/>
      <c r="V530" s="219"/>
      <c r="W530" s="219"/>
      <c r="X530" s="219"/>
      <c r="Y530" s="219"/>
      <c r="Z530" s="219"/>
      <c r="AA530" s="219"/>
      <c r="AB530" s="219"/>
      <c r="AC530" s="219"/>
      <c r="AD530" s="219"/>
      <c r="AE530" s="219"/>
      <c r="AF530" s="219"/>
      <c r="AG530" s="219"/>
      <c r="AH530" s="219"/>
      <c r="AI530" s="219"/>
      <c r="AJ530" s="219"/>
      <c r="AK530" s="219"/>
      <c r="AL530" s="219"/>
      <c r="AM530" s="219"/>
      <c r="AN530" s="219"/>
      <c r="AO530" s="219"/>
      <c r="AP530" s="219"/>
      <c r="AQ530" s="219"/>
      <c r="AR530" s="219"/>
      <c r="AS530" s="219"/>
      <c r="AT530" s="219"/>
      <c r="AU530" s="219"/>
      <c r="AV530" s="219"/>
      <c r="AW530" s="219"/>
      <c r="AX530" s="219"/>
      <c r="AY530" s="219"/>
      <c r="AZ530" s="219"/>
      <c r="BA530" s="219"/>
      <c r="BB530" s="219"/>
      <c r="BC530" s="219"/>
      <c r="BD530" s="219"/>
      <c r="BE530" s="219"/>
      <c r="BF530" s="219"/>
      <c r="BG530" s="219"/>
      <c r="BH530" s="219"/>
      <c r="BI530" s="219"/>
      <c r="BJ530" s="219"/>
      <c r="BK530" s="219"/>
      <c r="BL530" s="219"/>
      <c r="BM530" s="219"/>
      <c r="BN530" s="219"/>
    </row>
    <row r="531" ht="29.25" hidden="1" customHeight="1">
      <c r="A531" s="216"/>
      <c r="B531" s="217"/>
      <c r="C531" s="164"/>
      <c r="D531" s="164"/>
      <c r="E531" s="165"/>
      <c r="F531" s="173"/>
      <c r="G531" s="168"/>
      <c r="H531" s="168"/>
      <c r="I531" s="169"/>
      <c r="J531" s="170"/>
      <c r="K531" s="170"/>
      <c r="L531" s="170"/>
      <c r="M531" s="167"/>
      <c r="N531" s="169"/>
      <c r="O531" s="171"/>
      <c r="P531" s="106"/>
      <c r="Q531" s="218"/>
      <c r="R531" s="172"/>
      <c r="S531" s="172"/>
      <c r="T531" s="173"/>
      <c r="U531" s="219"/>
      <c r="V531" s="219"/>
      <c r="W531" s="219"/>
      <c r="X531" s="219"/>
      <c r="Y531" s="219"/>
      <c r="Z531" s="219"/>
      <c r="AA531" s="219"/>
      <c r="AB531" s="219"/>
      <c r="AC531" s="219"/>
      <c r="AD531" s="219"/>
      <c r="AE531" s="219"/>
      <c r="AF531" s="219"/>
      <c r="AG531" s="219"/>
      <c r="AH531" s="219"/>
      <c r="AI531" s="219"/>
      <c r="AJ531" s="219"/>
      <c r="AK531" s="219"/>
      <c r="AL531" s="219"/>
      <c r="AM531" s="219"/>
      <c r="AN531" s="219"/>
      <c r="AO531" s="219"/>
      <c r="AP531" s="219"/>
      <c r="AQ531" s="219"/>
      <c r="AR531" s="219"/>
      <c r="AS531" s="219"/>
      <c r="AT531" s="219"/>
      <c r="AU531" s="219"/>
      <c r="AV531" s="219"/>
      <c r="AW531" s="219"/>
      <c r="AX531" s="219"/>
      <c r="AY531" s="219"/>
      <c r="AZ531" s="219"/>
      <c r="BA531" s="219"/>
      <c r="BB531" s="219"/>
      <c r="BC531" s="219"/>
      <c r="BD531" s="219"/>
      <c r="BE531" s="219"/>
      <c r="BF531" s="219"/>
      <c r="BG531" s="219"/>
      <c r="BH531" s="219"/>
      <c r="BI531" s="219"/>
      <c r="BJ531" s="219"/>
      <c r="BK531" s="219"/>
      <c r="BL531" s="219"/>
      <c r="BM531" s="219"/>
      <c r="BN531" s="219"/>
    </row>
    <row r="532" ht="29.25" hidden="1" customHeight="1">
      <c r="A532" s="216"/>
      <c r="B532" s="217"/>
      <c r="C532" s="164"/>
      <c r="D532" s="164"/>
      <c r="E532" s="165"/>
      <c r="F532" s="173"/>
      <c r="G532" s="168"/>
      <c r="H532" s="168"/>
      <c r="I532" s="169"/>
      <c r="J532" s="170"/>
      <c r="K532" s="170"/>
      <c r="L532" s="170"/>
      <c r="M532" s="167"/>
      <c r="N532" s="169"/>
      <c r="O532" s="171"/>
      <c r="P532" s="106"/>
      <c r="Q532" s="218"/>
      <c r="R532" s="172"/>
      <c r="S532" s="172"/>
      <c r="T532" s="173"/>
      <c r="U532" s="219"/>
      <c r="V532" s="219"/>
      <c r="W532" s="219"/>
      <c r="X532" s="219"/>
      <c r="Y532" s="219"/>
      <c r="Z532" s="219"/>
      <c r="AA532" s="219"/>
      <c r="AB532" s="219"/>
      <c r="AC532" s="219"/>
      <c r="AD532" s="219"/>
      <c r="AE532" s="219"/>
      <c r="AF532" s="219"/>
      <c r="AG532" s="219"/>
      <c r="AH532" s="219"/>
      <c r="AI532" s="219"/>
      <c r="AJ532" s="219"/>
      <c r="AK532" s="219"/>
      <c r="AL532" s="219"/>
      <c r="AM532" s="219"/>
      <c r="AN532" s="219"/>
      <c r="AO532" s="219"/>
      <c r="AP532" s="219"/>
      <c r="AQ532" s="219"/>
      <c r="AR532" s="219"/>
      <c r="AS532" s="219"/>
      <c r="AT532" s="219"/>
      <c r="AU532" s="219"/>
      <c r="AV532" s="219"/>
      <c r="AW532" s="219"/>
      <c r="AX532" s="219"/>
      <c r="AY532" s="219"/>
      <c r="AZ532" s="219"/>
      <c r="BA532" s="219"/>
      <c r="BB532" s="219"/>
      <c r="BC532" s="219"/>
      <c r="BD532" s="219"/>
      <c r="BE532" s="219"/>
      <c r="BF532" s="219"/>
      <c r="BG532" s="219"/>
      <c r="BH532" s="219"/>
      <c r="BI532" s="219"/>
      <c r="BJ532" s="219"/>
      <c r="BK532" s="219"/>
      <c r="BL532" s="219"/>
      <c r="BM532" s="219"/>
      <c r="BN532" s="219"/>
    </row>
    <row r="533" ht="29.25" hidden="1" customHeight="1">
      <c r="A533" s="216"/>
      <c r="B533" s="217"/>
      <c r="C533" s="164"/>
      <c r="D533" s="164"/>
      <c r="E533" s="165"/>
      <c r="F533" s="173"/>
      <c r="G533" s="168"/>
      <c r="H533" s="168"/>
      <c r="I533" s="169"/>
      <c r="J533" s="170"/>
      <c r="K533" s="170"/>
      <c r="L533" s="170"/>
      <c r="M533" s="167"/>
      <c r="N533" s="169"/>
      <c r="O533" s="171"/>
      <c r="P533" s="106"/>
      <c r="Q533" s="218"/>
      <c r="R533" s="172"/>
      <c r="S533" s="172"/>
      <c r="T533" s="173"/>
      <c r="U533" s="219"/>
      <c r="V533" s="219"/>
      <c r="W533" s="219"/>
      <c r="X533" s="219"/>
      <c r="Y533" s="219"/>
      <c r="Z533" s="219"/>
      <c r="AA533" s="219"/>
      <c r="AB533" s="219"/>
      <c r="AC533" s="219"/>
      <c r="AD533" s="219"/>
      <c r="AE533" s="219"/>
      <c r="AF533" s="219"/>
      <c r="AG533" s="219"/>
      <c r="AH533" s="219"/>
      <c r="AI533" s="219"/>
      <c r="AJ533" s="219"/>
      <c r="AK533" s="219"/>
      <c r="AL533" s="219"/>
      <c r="AM533" s="219"/>
      <c r="AN533" s="219"/>
      <c r="AO533" s="219"/>
      <c r="AP533" s="219"/>
      <c r="AQ533" s="219"/>
      <c r="AR533" s="219"/>
      <c r="AS533" s="219"/>
      <c r="AT533" s="219"/>
      <c r="AU533" s="219"/>
      <c r="AV533" s="219"/>
      <c r="AW533" s="219"/>
      <c r="AX533" s="219"/>
      <c r="AY533" s="219"/>
      <c r="AZ533" s="219"/>
      <c r="BA533" s="219"/>
      <c r="BB533" s="219"/>
      <c r="BC533" s="219"/>
      <c r="BD533" s="219"/>
      <c r="BE533" s="219"/>
      <c r="BF533" s="219"/>
      <c r="BG533" s="219"/>
      <c r="BH533" s="219"/>
      <c r="BI533" s="219"/>
      <c r="BJ533" s="219"/>
      <c r="BK533" s="219"/>
      <c r="BL533" s="219"/>
      <c r="BM533" s="219"/>
      <c r="BN533" s="219"/>
    </row>
    <row r="534" ht="29.25" hidden="1" customHeight="1">
      <c r="A534" s="216"/>
      <c r="B534" s="217"/>
      <c r="C534" s="164"/>
      <c r="D534" s="164"/>
      <c r="E534" s="165"/>
      <c r="F534" s="173"/>
      <c r="G534" s="168"/>
      <c r="H534" s="168"/>
      <c r="I534" s="169"/>
      <c r="J534" s="170"/>
      <c r="K534" s="170"/>
      <c r="L534" s="170"/>
      <c r="M534" s="167"/>
      <c r="N534" s="169"/>
      <c r="O534" s="171"/>
      <c r="P534" s="106"/>
      <c r="Q534" s="218"/>
      <c r="R534" s="172"/>
      <c r="S534" s="172"/>
      <c r="T534" s="173"/>
      <c r="U534" s="219"/>
      <c r="V534" s="219"/>
      <c r="W534" s="219"/>
      <c r="X534" s="219"/>
      <c r="Y534" s="219"/>
      <c r="Z534" s="219"/>
      <c r="AA534" s="219"/>
      <c r="AB534" s="219"/>
      <c r="AC534" s="219"/>
      <c r="AD534" s="219"/>
      <c r="AE534" s="219"/>
      <c r="AF534" s="219"/>
      <c r="AG534" s="219"/>
      <c r="AH534" s="219"/>
      <c r="AI534" s="219"/>
      <c r="AJ534" s="219"/>
      <c r="AK534" s="219"/>
      <c r="AL534" s="219"/>
      <c r="AM534" s="219"/>
      <c r="AN534" s="219"/>
      <c r="AO534" s="219"/>
      <c r="AP534" s="219"/>
      <c r="AQ534" s="219"/>
      <c r="AR534" s="219"/>
      <c r="AS534" s="219"/>
      <c r="AT534" s="219"/>
      <c r="AU534" s="219"/>
      <c r="AV534" s="219"/>
      <c r="AW534" s="219"/>
      <c r="AX534" s="219"/>
      <c r="AY534" s="219"/>
      <c r="AZ534" s="219"/>
      <c r="BA534" s="219"/>
      <c r="BB534" s="219"/>
      <c r="BC534" s="219"/>
      <c r="BD534" s="219"/>
      <c r="BE534" s="219"/>
      <c r="BF534" s="219"/>
      <c r="BG534" s="219"/>
      <c r="BH534" s="219"/>
      <c r="BI534" s="219"/>
      <c r="BJ534" s="219"/>
      <c r="BK534" s="219"/>
      <c r="BL534" s="219"/>
      <c r="BM534" s="219"/>
      <c r="BN534" s="219"/>
    </row>
    <row r="535" ht="29.25" hidden="1" customHeight="1">
      <c r="A535" s="216"/>
      <c r="B535" s="217"/>
      <c r="C535" s="164"/>
      <c r="D535" s="164"/>
      <c r="E535" s="165"/>
      <c r="F535" s="173"/>
      <c r="G535" s="168"/>
      <c r="H535" s="168"/>
      <c r="I535" s="169"/>
      <c r="J535" s="170"/>
      <c r="K535" s="170"/>
      <c r="L535" s="170"/>
      <c r="M535" s="167"/>
      <c r="N535" s="169"/>
      <c r="O535" s="171"/>
      <c r="P535" s="106"/>
      <c r="Q535" s="218"/>
      <c r="R535" s="172"/>
      <c r="S535" s="172"/>
      <c r="T535" s="173"/>
      <c r="U535" s="219"/>
      <c r="V535" s="219"/>
      <c r="W535" s="219"/>
      <c r="X535" s="219"/>
      <c r="Y535" s="219"/>
      <c r="Z535" s="219"/>
      <c r="AA535" s="219"/>
      <c r="AB535" s="219"/>
      <c r="AC535" s="219"/>
      <c r="AD535" s="219"/>
      <c r="AE535" s="219"/>
      <c r="AF535" s="219"/>
      <c r="AG535" s="219"/>
      <c r="AH535" s="219"/>
      <c r="AI535" s="219"/>
      <c r="AJ535" s="219"/>
      <c r="AK535" s="219"/>
      <c r="AL535" s="219"/>
      <c r="AM535" s="219"/>
      <c r="AN535" s="219"/>
      <c r="AO535" s="219"/>
      <c r="AP535" s="219"/>
      <c r="AQ535" s="219"/>
      <c r="AR535" s="219"/>
      <c r="AS535" s="219"/>
      <c r="AT535" s="219"/>
      <c r="AU535" s="219"/>
      <c r="AV535" s="219"/>
      <c r="AW535" s="219"/>
      <c r="AX535" s="219"/>
      <c r="AY535" s="219"/>
      <c r="AZ535" s="219"/>
      <c r="BA535" s="219"/>
      <c r="BB535" s="219"/>
      <c r="BC535" s="219"/>
      <c r="BD535" s="219"/>
      <c r="BE535" s="219"/>
      <c r="BF535" s="219"/>
      <c r="BG535" s="219"/>
      <c r="BH535" s="219"/>
      <c r="BI535" s="219"/>
      <c r="BJ535" s="219"/>
      <c r="BK535" s="219"/>
      <c r="BL535" s="219"/>
      <c r="BM535" s="219"/>
      <c r="BN535" s="219"/>
    </row>
    <row r="536" ht="29.25" hidden="1" customHeight="1">
      <c r="A536" s="216"/>
      <c r="B536" s="217"/>
      <c r="C536" s="164"/>
      <c r="D536" s="164"/>
      <c r="E536" s="165"/>
      <c r="F536" s="173"/>
      <c r="G536" s="168"/>
      <c r="H536" s="168"/>
      <c r="I536" s="169"/>
      <c r="J536" s="170"/>
      <c r="K536" s="170"/>
      <c r="L536" s="170"/>
      <c r="M536" s="167"/>
      <c r="N536" s="169"/>
      <c r="O536" s="171"/>
      <c r="P536" s="106"/>
      <c r="Q536" s="218"/>
      <c r="R536" s="172"/>
      <c r="S536" s="172"/>
      <c r="T536" s="173"/>
      <c r="U536" s="219"/>
      <c r="V536" s="219"/>
      <c r="W536" s="219"/>
      <c r="X536" s="219"/>
      <c r="Y536" s="219"/>
      <c r="Z536" s="219"/>
      <c r="AA536" s="219"/>
      <c r="AB536" s="219"/>
      <c r="AC536" s="219"/>
      <c r="AD536" s="219"/>
      <c r="AE536" s="219"/>
      <c r="AF536" s="219"/>
      <c r="AG536" s="219"/>
      <c r="AH536" s="219"/>
      <c r="AI536" s="219"/>
      <c r="AJ536" s="219"/>
      <c r="AK536" s="219"/>
      <c r="AL536" s="219"/>
      <c r="AM536" s="219"/>
      <c r="AN536" s="219"/>
      <c r="AO536" s="219"/>
      <c r="AP536" s="219"/>
      <c r="AQ536" s="219"/>
      <c r="AR536" s="219"/>
      <c r="AS536" s="219"/>
      <c r="AT536" s="219"/>
      <c r="AU536" s="219"/>
      <c r="AV536" s="219"/>
      <c r="AW536" s="219"/>
      <c r="AX536" s="219"/>
      <c r="AY536" s="219"/>
      <c r="AZ536" s="219"/>
      <c r="BA536" s="219"/>
      <c r="BB536" s="219"/>
      <c r="BC536" s="219"/>
      <c r="BD536" s="219"/>
      <c r="BE536" s="219"/>
      <c r="BF536" s="219"/>
      <c r="BG536" s="219"/>
      <c r="BH536" s="219"/>
      <c r="BI536" s="219"/>
      <c r="BJ536" s="219"/>
      <c r="BK536" s="219"/>
      <c r="BL536" s="219"/>
      <c r="BM536" s="219"/>
      <c r="BN536" s="219"/>
    </row>
    <row r="537" ht="29.25" hidden="1" customHeight="1">
      <c r="A537" s="216"/>
      <c r="B537" s="217"/>
      <c r="C537" s="164"/>
      <c r="D537" s="164"/>
      <c r="E537" s="165"/>
      <c r="F537" s="173"/>
      <c r="G537" s="168"/>
      <c r="H537" s="168"/>
      <c r="I537" s="169"/>
      <c r="J537" s="170"/>
      <c r="K537" s="170"/>
      <c r="L537" s="170"/>
      <c r="M537" s="167"/>
      <c r="N537" s="169"/>
      <c r="O537" s="171"/>
      <c r="P537" s="106"/>
      <c r="Q537" s="218"/>
      <c r="R537" s="172"/>
      <c r="S537" s="172"/>
      <c r="T537" s="173"/>
      <c r="U537" s="219"/>
      <c r="V537" s="219"/>
      <c r="W537" s="219"/>
      <c r="X537" s="219"/>
      <c r="Y537" s="219"/>
      <c r="Z537" s="219"/>
      <c r="AA537" s="219"/>
      <c r="AB537" s="219"/>
      <c r="AC537" s="219"/>
      <c r="AD537" s="219"/>
      <c r="AE537" s="219"/>
      <c r="AF537" s="219"/>
      <c r="AG537" s="219"/>
      <c r="AH537" s="219"/>
      <c r="AI537" s="219"/>
      <c r="AJ537" s="219"/>
      <c r="AK537" s="219"/>
      <c r="AL537" s="219"/>
      <c r="AM537" s="219"/>
      <c r="AN537" s="219"/>
      <c r="AO537" s="219"/>
      <c r="AP537" s="219"/>
      <c r="AQ537" s="219"/>
      <c r="AR537" s="219"/>
      <c r="AS537" s="219"/>
      <c r="AT537" s="219"/>
      <c r="AU537" s="219"/>
      <c r="AV537" s="219"/>
      <c r="AW537" s="219"/>
      <c r="AX537" s="219"/>
      <c r="AY537" s="219"/>
      <c r="AZ537" s="219"/>
      <c r="BA537" s="219"/>
      <c r="BB537" s="219"/>
      <c r="BC537" s="219"/>
      <c r="BD537" s="219"/>
      <c r="BE537" s="219"/>
      <c r="BF537" s="219"/>
      <c r="BG537" s="219"/>
      <c r="BH537" s="219"/>
      <c r="BI537" s="219"/>
      <c r="BJ537" s="219"/>
      <c r="BK537" s="219"/>
      <c r="BL537" s="219"/>
      <c r="BM537" s="219"/>
      <c r="BN537" s="219"/>
    </row>
    <row r="538" ht="29.25" hidden="1" customHeight="1">
      <c r="A538" s="216"/>
      <c r="B538" s="217"/>
      <c r="C538" s="164"/>
      <c r="D538" s="164"/>
      <c r="E538" s="165"/>
      <c r="F538" s="173"/>
      <c r="G538" s="168"/>
      <c r="H538" s="168"/>
      <c r="I538" s="169"/>
      <c r="J538" s="170"/>
      <c r="K538" s="170"/>
      <c r="L538" s="170"/>
      <c r="M538" s="167"/>
      <c r="N538" s="169"/>
      <c r="O538" s="171"/>
      <c r="P538" s="106"/>
      <c r="Q538" s="218"/>
      <c r="R538" s="172"/>
      <c r="S538" s="172"/>
      <c r="T538" s="173"/>
      <c r="U538" s="219"/>
      <c r="V538" s="219"/>
      <c r="W538" s="219"/>
      <c r="X538" s="219"/>
      <c r="Y538" s="219"/>
      <c r="Z538" s="219"/>
      <c r="AA538" s="219"/>
      <c r="AB538" s="219"/>
      <c r="AC538" s="219"/>
      <c r="AD538" s="219"/>
      <c r="AE538" s="219"/>
      <c r="AF538" s="219"/>
      <c r="AG538" s="219"/>
      <c r="AH538" s="219"/>
      <c r="AI538" s="219"/>
      <c r="AJ538" s="219"/>
      <c r="AK538" s="219"/>
      <c r="AL538" s="219"/>
      <c r="AM538" s="219"/>
      <c r="AN538" s="219"/>
      <c r="AO538" s="219"/>
      <c r="AP538" s="219"/>
      <c r="AQ538" s="219"/>
      <c r="AR538" s="219"/>
      <c r="AS538" s="219"/>
      <c r="AT538" s="219"/>
      <c r="AU538" s="219"/>
      <c r="AV538" s="219"/>
      <c r="AW538" s="219"/>
      <c r="AX538" s="219"/>
      <c r="AY538" s="219"/>
      <c r="AZ538" s="219"/>
      <c r="BA538" s="219"/>
      <c r="BB538" s="219"/>
      <c r="BC538" s="219"/>
      <c r="BD538" s="219"/>
      <c r="BE538" s="219"/>
      <c r="BF538" s="219"/>
      <c r="BG538" s="219"/>
      <c r="BH538" s="219"/>
      <c r="BI538" s="219"/>
      <c r="BJ538" s="219"/>
      <c r="BK538" s="219"/>
      <c r="BL538" s="219"/>
      <c r="BM538" s="219"/>
      <c r="BN538" s="219"/>
    </row>
    <row r="539" ht="29.25" hidden="1" customHeight="1">
      <c r="A539" s="216"/>
      <c r="B539" s="217"/>
      <c r="C539" s="164"/>
      <c r="D539" s="164"/>
      <c r="E539" s="165"/>
      <c r="F539" s="173"/>
      <c r="G539" s="168"/>
      <c r="H539" s="168"/>
      <c r="I539" s="169"/>
      <c r="J539" s="170"/>
      <c r="K539" s="170"/>
      <c r="L539" s="170"/>
      <c r="M539" s="167"/>
      <c r="N539" s="169"/>
      <c r="O539" s="171"/>
      <c r="P539" s="106"/>
      <c r="Q539" s="218"/>
      <c r="R539" s="172"/>
      <c r="S539" s="172"/>
      <c r="T539" s="173"/>
      <c r="U539" s="219"/>
      <c r="V539" s="219"/>
      <c r="W539" s="219"/>
      <c r="X539" s="219"/>
      <c r="Y539" s="219"/>
      <c r="Z539" s="219"/>
      <c r="AA539" s="219"/>
      <c r="AB539" s="219"/>
      <c r="AC539" s="219"/>
      <c r="AD539" s="219"/>
      <c r="AE539" s="219"/>
      <c r="AF539" s="219"/>
      <c r="AG539" s="219"/>
      <c r="AH539" s="219"/>
      <c r="AI539" s="219"/>
      <c r="AJ539" s="219"/>
      <c r="AK539" s="219"/>
      <c r="AL539" s="219"/>
      <c r="AM539" s="219"/>
      <c r="AN539" s="219"/>
      <c r="AO539" s="219"/>
      <c r="AP539" s="219"/>
      <c r="AQ539" s="219"/>
      <c r="AR539" s="219"/>
      <c r="AS539" s="219"/>
      <c r="AT539" s="219"/>
      <c r="AU539" s="219"/>
      <c r="AV539" s="219"/>
      <c r="AW539" s="219"/>
      <c r="AX539" s="219"/>
      <c r="AY539" s="219"/>
      <c r="AZ539" s="219"/>
      <c r="BA539" s="219"/>
      <c r="BB539" s="219"/>
      <c r="BC539" s="219"/>
      <c r="BD539" s="219"/>
      <c r="BE539" s="219"/>
      <c r="BF539" s="219"/>
      <c r="BG539" s="219"/>
      <c r="BH539" s="219"/>
      <c r="BI539" s="219"/>
      <c r="BJ539" s="219"/>
      <c r="BK539" s="219"/>
      <c r="BL539" s="219"/>
      <c r="BM539" s="219"/>
      <c r="BN539" s="219"/>
    </row>
    <row r="540" ht="29.25" hidden="1" customHeight="1">
      <c r="A540" s="216"/>
      <c r="B540" s="217"/>
      <c r="C540" s="164"/>
      <c r="D540" s="164"/>
      <c r="E540" s="165"/>
      <c r="F540" s="173"/>
      <c r="G540" s="168"/>
      <c r="H540" s="168"/>
      <c r="I540" s="169"/>
      <c r="J540" s="170"/>
      <c r="K540" s="170"/>
      <c r="L540" s="170"/>
      <c r="M540" s="167"/>
      <c r="N540" s="169"/>
      <c r="O540" s="171"/>
      <c r="P540" s="106"/>
      <c r="Q540" s="218"/>
      <c r="R540" s="172"/>
      <c r="S540" s="172"/>
      <c r="T540" s="173"/>
      <c r="U540" s="219"/>
      <c r="V540" s="219"/>
      <c r="W540" s="219"/>
      <c r="X540" s="219"/>
      <c r="Y540" s="219"/>
      <c r="Z540" s="219"/>
      <c r="AA540" s="219"/>
      <c r="AB540" s="219"/>
      <c r="AC540" s="219"/>
      <c r="AD540" s="219"/>
      <c r="AE540" s="219"/>
      <c r="AF540" s="219"/>
      <c r="AG540" s="219"/>
      <c r="AH540" s="219"/>
      <c r="AI540" s="219"/>
      <c r="AJ540" s="219"/>
      <c r="AK540" s="219"/>
      <c r="AL540" s="219"/>
      <c r="AM540" s="219"/>
      <c r="AN540" s="219"/>
      <c r="AO540" s="219"/>
      <c r="AP540" s="219"/>
      <c r="AQ540" s="219"/>
      <c r="AR540" s="219"/>
      <c r="AS540" s="219"/>
      <c r="AT540" s="219"/>
      <c r="AU540" s="219"/>
      <c r="AV540" s="219"/>
      <c r="AW540" s="219"/>
      <c r="AX540" s="219"/>
      <c r="AY540" s="219"/>
      <c r="AZ540" s="219"/>
      <c r="BA540" s="219"/>
      <c r="BB540" s="219"/>
      <c r="BC540" s="219"/>
      <c r="BD540" s="219"/>
      <c r="BE540" s="219"/>
      <c r="BF540" s="219"/>
      <c r="BG540" s="219"/>
      <c r="BH540" s="219"/>
      <c r="BI540" s="219"/>
      <c r="BJ540" s="219"/>
      <c r="BK540" s="219"/>
      <c r="BL540" s="219"/>
      <c r="BM540" s="219"/>
      <c r="BN540" s="219"/>
    </row>
    <row r="541" ht="29.25" hidden="1" customHeight="1">
      <c r="A541" s="216"/>
      <c r="B541" s="217"/>
      <c r="C541" s="164"/>
      <c r="D541" s="164"/>
      <c r="E541" s="165"/>
      <c r="F541" s="173"/>
      <c r="G541" s="168"/>
      <c r="H541" s="168"/>
      <c r="I541" s="169"/>
      <c r="J541" s="170"/>
      <c r="K541" s="170"/>
      <c r="L541" s="170"/>
      <c r="M541" s="167"/>
      <c r="N541" s="169"/>
      <c r="O541" s="171"/>
      <c r="P541" s="106"/>
      <c r="Q541" s="218"/>
      <c r="R541" s="172"/>
      <c r="S541" s="172"/>
      <c r="T541" s="173"/>
      <c r="U541" s="219"/>
      <c r="V541" s="219"/>
      <c r="W541" s="219"/>
      <c r="X541" s="219"/>
      <c r="Y541" s="219"/>
      <c r="Z541" s="219"/>
      <c r="AA541" s="219"/>
      <c r="AB541" s="219"/>
      <c r="AC541" s="219"/>
      <c r="AD541" s="219"/>
      <c r="AE541" s="219"/>
      <c r="AF541" s="219"/>
      <c r="AG541" s="219"/>
      <c r="AH541" s="219"/>
      <c r="AI541" s="219"/>
      <c r="AJ541" s="219"/>
      <c r="AK541" s="219"/>
      <c r="AL541" s="219"/>
      <c r="AM541" s="219"/>
      <c r="AN541" s="219"/>
      <c r="AO541" s="219"/>
      <c r="AP541" s="219"/>
      <c r="AQ541" s="219"/>
      <c r="AR541" s="219"/>
      <c r="AS541" s="219"/>
      <c r="AT541" s="219"/>
      <c r="AU541" s="219"/>
      <c r="AV541" s="219"/>
      <c r="AW541" s="219"/>
      <c r="AX541" s="219"/>
      <c r="AY541" s="219"/>
      <c r="AZ541" s="219"/>
      <c r="BA541" s="219"/>
      <c r="BB541" s="219"/>
      <c r="BC541" s="219"/>
      <c r="BD541" s="219"/>
      <c r="BE541" s="219"/>
      <c r="BF541" s="219"/>
      <c r="BG541" s="219"/>
      <c r="BH541" s="219"/>
      <c r="BI541" s="219"/>
      <c r="BJ541" s="219"/>
      <c r="BK541" s="219"/>
      <c r="BL541" s="219"/>
      <c r="BM541" s="219"/>
      <c r="BN541" s="219"/>
    </row>
    <row r="542" ht="29.25" hidden="1" customHeight="1">
      <c r="A542" s="216"/>
      <c r="B542" s="217"/>
      <c r="C542" s="164"/>
      <c r="D542" s="164"/>
      <c r="E542" s="165"/>
      <c r="F542" s="173"/>
      <c r="G542" s="168"/>
      <c r="H542" s="168"/>
      <c r="I542" s="169"/>
      <c r="J542" s="170"/>
      <c r="K542" s="170"/>
      <c r="L542" s="170"/>
      <c r="M542" s="167"/>
      <c r="N542" s="169"/>
      <c r="O542" s="171"/>
      <c r="P542" s="106"/>
      <c r="Q542" s="218"/>
      <c r="R542" s="172"/>
      <c r="S542" s="172"/>
      <c r="T542" s="173"/>
      <c r="U542" s="219"/>
      <c r="V542" s="219"/>
      <c r="W542" s="219"/>
      <c r="X542" s="219"/>
      <c r="Y542" s="219"/>
      <c r="Z542" s="219"/>
      <c r="AA542" s="219"/>
      <c r="AB542" s="219"/>
      <c r="AC542" s="219"/>
      <c r="AD542" s="219"/>
      <c r="AE542" s="219"/>
      <c r="AF542" s="219"/>
      <c r="AG542" s="219"/>
      <c r="AH542" s="219"/>
      <c r="AI542" s="219"/>
      <c r="AJ542" s="219"/>
      <c r="AK542" s="219"/>
      <c r="AL542" s="219"/>
      <c r="AM542" s="219"/>
      <c r="AN542" s="219"/>
      <c r="AO542" s="219"/>
      <c r="AP542" s="219"/>
      <c r="AQ542" s="219"/>
      <c r="AR542" s="219"/>
      <c r="AS542" s="219"/>
      <c r="AT542" s="219"/>
      <c r="AU542" s="219"/>
      <c r="AV542" s="219"/>
      <c r="AW542" s="219"/>
      <c r="AX542" s="219"/>
      <c r="AY542" s="219"/>
      <c r="AZ542" s="219"/>
      <c r="BA542" s="219"/>
      <c r="BB542" s="219"/>
      <c r="BC542" s="219"/>
      <c r="BD542" s="219"/>
      <c r="BE542" s="219"/>
      <c r="BF542" s="219"/>
      <c r="BG542" s="219"/>
      <c r="BH542" s="219"/>
      <c r="BI542" s="219"/>
      <c r="BJ542" s="219"/>
      <c r="BK542" s="219"/>
      <c r="BL542" s="219"/>
      <c r="BM542" s="219"/>
      <c r="BN542" s="219"/>
    </row>
    <row r="543" ht="29.25" hidden="1" customHeight="1">
      <c r="A543" s="216"/>
      <c r="B543" s="217"/>
      <c r="C543" s="164"/>
      <c r="D543" s="164"/>
      <c r="E543" s="165"/>
      <c r="F543" s="173"/>
      <c r="G543" s="168"/>
      <c r="H543" s="168"/>
      <c r="I543" s="169"/>
      <c r="J543" s="170"/>
      <c r="K543" s="170"/>
      <c r="L543" s="170"/>
      <c r="M543" s="167"/>
      <c r="N543" s="169"/>
      <c r="O543" s="171"/>
      <c r="P543" s="106"/>
      <c r="Q543" s="218"/>
      <c r="R543" s="172"/>
      <c r="S543" s="172"/>
      <c r="T543" s="173"/>
      <c r="U543" s="219"/>
      <c r="V543" s="219"/>
      <c r="W543" s="219"/>
      <c r="X543" s="219"/>
      <c r="Y543" s="219"/>
      <c r="Z543" s="219"/>
      <c r="AA543" s="219"/>
      <c r="AB543" s="219"/>
      <c r="AC543" s="219"/>
      <c r="AD543" s="219"/>
      <c r="AE543" s="219"/>
      <c r="AF543" s="219"/>
      <c r="AG543" s="219"/>
      <c r="AH543" s="219"/>
      <c r="AI543" s="219"/>
      <c r="AJ543" s="219"/>
      <c r="AK543" s="219"/>
      <c r="AL543" s="219"/>
      <c r="AM543" s="219"/>
      <c r="AN543" s="219"/>
      <c r="AO543" s="219"/>
      <c r="AP543" s="219"/>
      <c r="AQ543" s="219"/>
      <c r="AR543" s="219"/>
      <c r="AS543" s="219"/>
      <c r="AT543" s="219"/>
      <c r="AU543" s="219"/>
      <c r="AV543" s="219"/>
      <c r="AW543" s="219"/>
      <c r="AX543" s="219"/>
      <c r="AY543" s="219"/>
      <c r="AZ543" s="219"/>
      <c r="BA543" s="219"/>
      <c r="BB543" s="219"/>
      <c r="BC543" s="219"/>
      <c r="BD543" s="219"/>
      <c r="BE543" s="219"/>
      <c r="BF543" s="219"/>
      <c r="BG543" s="219"/>
      <c r="BH543" s="219"/>
      <c r="BI543" s="219"/>
      <c r="BJ543" s="219"/>
      <c r="BK543" s="219"/>
      <c r="BL543" s="219"/>
      <c r="BM543" s="219"/>
      <c r="BN543" s="219"/>
    </row>
    <row r="544" ht="29.25" hidden="1" customHeight="1">
      <c r="A544" s="216"/>
      <c r="B544" s="217"/>
      <c r="C544" s="164"/>
      <c r="D544" s="164"/>
      <c r="E544" s="165"/>
      <c r="F544" s="173"/>
      <c r="G544" s="168"/>
      <c r="H544" s="168"/>
      <c r="I544" s="169"/>
      <c r="J544" s="170"/>
      <c r="K544" s="170"/>
      <c r="L544" s="170"/>
      <c r="M544" s="167"/>
      <c r="N544" s="169"/>
      <c r="O544" s="171"/>
      <c r="P544" s="106"/>
      <c r="Q544" s="218"/>
      <c r="R544" s="172"/>
      <c r="S544" s="172"/>
      <c r="T544" s="173"/>
      <c r="U544" s="219"/>
      <c r="V544" s="219"/>
      <c r="W544" s="219"/>
      <c r="X544" s="219"/>
      <c r="Y544" s="219"/>
      <c r="Z544" s="219"/>
      <c r="AA544" s="219"/>
      <c r="AB544" s="219"/>
      <c r="AC544" s="219"/>
      <c r="AD544" s="219"/>
      <c r="AE544" s="219"/>
      <c r="AF544" s="219"/>
      <c r="AG544" s="219"/>
      <c r="AH544" s="219"/>
      <c r="AI544" s="219"/>
      <c r="AJ544" s="219"/>
      <c r="AK544" s="219"/>
      <c r="AL544" s="219"/>
      <c r="AM544" s="219"/>
      <c r="AN544" s="219"/>
      <c r="AO544" s="219"/>
      <c r="AP544" s="219"/>
      <c r="AQ544" s="219"/>
      <c r="AR544" s="219"/>
      <c r="AS544" s="219"/>
      <c r="AT544" s="219"/>
      <c r="AU544" s="219"/>
      <c r="AV544" s="219"/>
      <c r="AW544" s="219"/>
      <c r="AX544" s="219"/>
      <c r="AY544" s="219"/>
      <c r="AZ544" s="219"/>
      <c r="BA544" s="219"/>
      <c r="BB544" s="219"/>
      <c r="BC544" s="219"/>
      <c r="BD544" s="219"/>
      <c r="BE544" s="219"/>
      <c r="BF544" s="219"/>
      <c r="BG544" s="219"/>
      <c r="BH544" s="219"/>
      <c r="BI544" s="219"/>
      <c r="BJ544" s="219"/>
      <c r="BK544" s="219"/>
      <c r="BL544" s="219"/>
      <c r="BM544" s="219"/>
      <c r="BN544" s="219"/>
    </row>
    <row r="545" ht="29.25" hidden="1" customHeight="1">
      <c r="A545" s="216"/>
      <c r="B545" s="217"/>
      <c r="C545" s="164"/>
      <c r="D545" s="164"/>
      <c r="E545" s="165"/>
      <c r="F545" s="173"/>
      <c r="G545" s="168"/>
      <c r="H545" s="168"/>
      <c r="I545" s="169"/>
      <c r="J545" s="170"/>
      <c r="K545" s="170"/>
      <c r="L545" s="170"/>
      <c r="M545" s="167"/>
      <c r="N545" s="169"/>
      <c r="O545" s="171"/>
      <c r="P545" s="106"/>
      <c r="Q545" s="218"/>
      <c r="R545" s="172"/>
      <c r="S545" s="172"/>
      <c r="T545" s="173"/>
      <c r="U545" s="219"/>
      <c r="V545" s="219"/>
      <c r="W545" s="219"/>
      <c r="X545" s="219"/>
      <c r="Y545" s="219"/>
      <c r="Z545" s="219"/>
      <c r="AA545" s="219"/>
      <c r="AB545" s="219"/>
      <c r="AC545" s="219"/>
      <c r="AD545" s="219"/>
      <c r="AE545" s="219"/>
      <c r="AF545" s="219"/>
      <c r="AG545" s="219"/>
      <c r="AH545" s="219"/>
      <c r="AI545" s="219"/>
      <c r="AJ545" s="219"/>
      <c r="AK545" s="219"/>
      <c r="AL545" s="219"/>
      <c r="AM545" s="219"/>
      <c r="AN545" s="219"/>
      <c r="AO545" s="219"/>
      <c r="AP545" s="219"/>
      <c r="AQ545" s="219"/>
      <c r="AR545" s="219"/>
      <c r="AS545" s="219"/>
      <c r="AT545" s="219"/>
      <c r="AU545" s="219"/>
      <c r="AV545" s="219"/>
      <c r="AW545" s="219"/>
      <c r="AX545" s="219"/>
      <c r="AY545" s="219"/>
      <c r="AZ545" s="219"/>
      <c r="BA545" s="219"/>
      <c r="BB545" s="219"/>
      <c r="BC545" s="219"/>
      <c r="BD545" s="219"/>
      <c r="BE545" s="219"/>
      <c r="BF545" s="219"/>
      <c r="BG545" s="219"/>
      <c r="BH545" s="219"/>
      <c r="BI545" s="219"/>
      <c r="BJ545" s="219"/>
      <c r="BK545" s="219"/>
      <c r="BL545" s="219"/>
      <c r="BM545" s="219"/>
      <c r="BN545" s="219"/>
    </row>
    <row r="546" ht="29.25" hidden="1" customHeight="1">
      <c r="A546" s="216"/>
      <c r="B546" s="217"/>
      <c r="C546" s="164"/>
      <c r="D546" s="164"/>
      <c r="E546" s="165"/>
      <c r="F546" s="173"/>
      <c r="G546" s="168"/>
      <c r="H546" s="168"/>
      <c r="I546" s="169"/>
      <c r="J546" s="170"/>
      <c r="K546" s="170"/>
      <c r="L546" s="170"/>
      <c r="M546" s="167"/>
      <c r="N546" s="169"/>
      <c r="O546" s="171"/>
      <c r="P546" s="106"/>
      <c r="Q546" s="218"/>
      <c r="R546" s="172"/>
      <c r="S546" s="172"/>
      <c r="T546" s="173"/>
      <c r="U546" s="219"/>
      <c r="V546" s="219"/>
      <c r="W546" s="219"/>
      <c r="X546" s="219"/>
      <c r="Y546" s="219"/>
      <c r="Z546" s="219"/>
      <c r="AA546" s="219"/>
      <c r="AB546" s="219"/>
      <c r="AC546" s="219"/>
      <c r="AD546" s="219"/>
      <c r="AE546" s="219"/>
      <c r="AF546" s="219"/>
      <c r="AG546" s="219"/>
      <c r="AH546" s="219"/>
      <c r="AI546" s="219"/>
      <c r="AJ546" s="219"/>
      <c r="AK546" s="219"/>
      <c r="AL546" s="219"/>
      <c r="AM546" s="219"/>
      <c r="AN546" s="219"/>
      <c r="AO546" s="219"/>
      <c r="AP546" s="219"/>
      <c r="AQ546" s="219"/>
      <c r="AR546" s="219"/>
      <c r="AS546" s="219"/>
      <c r="AT546" s="219"/>
      <c r="AU546" s="219"/>
      <c r="AV546" s="219"/>
      <c r="AW546" s="219"/>
      <c r="AX546" s="219"/>
      <c r="AY546" s="219"/>
      <c r="AZ546" s="219"/>
      <c r="BA546" s="219"/>
      <c r="BB546" s="219"/>
      <c r="BC546" s="219"/>
      <c r="BD546" s="219"/>
      <c r="BE546" s="219"/>
      <c r="BF546" s="219"/>
      <c r="BG546" s="219"/>
      <c r="BH546" s="219"/>
      <c r="BI546" s="219"/>
      <c r="BJ546" s="219"/>
      <c r="BK546" s="219"/>
      <c r="BL546" s="219"/>
      <c r="BM546" s="219"/>
      <c r="BN546" s="219"/>
    </row>
    <row r="547" ht="29.25" hidden="1" customHeight="1">
      <c r="A547" s="216"/>
      <c r="B547" s="217"/>
      <c r="C547" s="164"/>
      <c r="D547" s="164"/>
      <c r="E547" s="165"/>
      <c r="F547" s="173"/>
      <c r="G547" s="168"/>
      <c r="H547" s="168"/>
      <c r="I547" s="169"/>
      <c r="J547" s="170"/>
      <c r="K547" s="170"/>
      <c r="L547" s="170"/>
      <c r="M547" s="167"/>
      <c r="N547" s="169"/>
      <c r="O547" s="171"/>
      <c r="P547" s="106"/>
      <c r="Q547" s="218"/>
      <c r="R547" s="172"/>
      <c r="S547" s="172"/>
      <c r="T547" s="173"/>
      <c r="U547" s="219"/>
      <c r="V547" s="219"/>
      <c r="W547" s="219"/>
      <c r="X547" s="219"/>
      <c r="Y547" s="219"/>
      <c r="Z547" s="219"/>
      <c r="AA547" s="219"/>
      <c r="AB547" s="219"/>
      <c r="AC547" s="219"/>
      <c r="AD547" s="219"/>
      <c r="AE547" s="219"/>
      <c r="AF547" s="219"/>
      <c r="AG547" s="219"/>
      <c r="AH547" s="219"/>
      <c r="AI547" s="219"/>
      <c r="AJ547" s="219"/>
      <c r="AK547" s="219"/>
      <c r="AL547" s="219"/>
      <c r="AM547" s="219"/>
      <c r="AN547" s="219"/>
      <c r="AO547" s="219"/>
      <c r="AP547" s="219"/>
      <c r="AQ547" s="219"/>
      <c r="AR547" s="219"/>
      <c r="AS547" s="219"/>
      <c r="AT547" s="219"/>
      <c r="AU547" s="219"/>
      <c r="AV547" s="219"/>
      <c r="AW547" s="219"/>
      <c r="AX547" s="219"/>
      <c r="AY547" s="219"/>
      <c r="AZ547" s="219"/>
      <c r="BA547" s="219"/>
      <c r="BB547" s="219"/>
      <c r="BC547" s="219"/>
      <c r="BD547" s="219"/>
      <c r="BE547" s="219"/>
      <c r="BF547" s="219"/>
      <c r="BG547" s="219"/>
      <c r="BH547" s="219"/>
      <c r="BI547" s="219"/>
      <c r="BJ547" s="219"/>
      <c r="BK547" s="219"/>
      <c r="BL547" s="219"/>
      <c r="BM547" s="219"/>
      <c r="BN547" s="219"/>
    </row>
    <row r="548" ht="29.25" hidden="1" customHeight="1">
      <c r="A548" s="216"/>
      <c r="B548" s="217"/>
      <c r="C548" s="164"/>
      <c r="D548" s="164"/>
      <c r="E548" s="165"/>
      <c r="F548" s="173"/>
      <c r="G548" s="168"/>
      <c r="H548" s="168"/>
      <c r="I548" s="169"/>
      <c r="J548" s="170"/>
      <c r="K548" s="170"/>
      <c r="L548" s="170"/>
      <c r="M548" s="167"/>
      <c r="N548" s="169"/>
      <c r="O548" s="171"/>
      <c r="P548" s="106"/>
      <c r="Q548" s="218"/>
      <c r="R548" s="172"/>
      <c r="S548" s="172"/>
      <c r="T548" s="173"/>
      <c r="U548" s="219"/>
      <c r="V548" s="219"/>
      <c r="W548" s="219"/>
      <c r="X548" s="219"/>
      <c r="Y548" s="219"/>
      <c r="Z548" s="219"/>
      <c r="AA548" s="219"/>
      <c r="AB548" s="219"/>
      <c r="AC548" s="219"/>
      <c r="AD548" s="219"/>
      <c r="AE548" s="219"/>
      <c r="AF548" s="219"/>
      <c r="AG548" s="219"/>
      <c r="AH548" s="219"/>
      <c r="AI548" s="219"/>
      <c r="AJ548" s="219"/>
      <c r="AK548" s="219"/>
      <c r="AL548" s="219"/>
      <c r="AM548" s="219"/>
      <c r="AN548" s="219"/>
      <c r="AO548" s="219"/>
      <c r="AP548" s="219"/>
      <c r="AQ548" s="219"/>
      <c r="AR548" s="219"/>
      <c r="AS548" s="219"/>
      <c r="AT548" s="219"/>
      <c r="AU548" s="219"/>
      <c r="AV548" s="219"/>
      <c r="AW548" s="219"/>
      <c r="AX548" s="219"/>
      <c r="AY548" s="219"/>
      <c r="AZ548" s="219"/>
      <c r="BA548" s="219"/>
      <c r="BB548" s="219"/>
      <c r="BC548" s="219"/>
      <c r="BD548" s="219"/>
      <c r="BE548" s="219"/>
      <c r="BF548" s="219"/>
      <c r="BG548" s="219"/>
      <c r="BH548" s="219"/>
      <c r="BI548" s="219"/>
      <c r="BJ548" s="219"/>
      <c r="BK548" s="219"/>
      <c r="BL548" s="219"/>
      <c r="BM548" s="219"/>
      <c r="BN548" s="219"/>
    </row>
    <row r="549" ht="29.25" hidden="1" customHeight="1">
      <c r="A549" s="216"/>
      <c r="B549" s="217"/>
      <c r="C549" s="164"/>
      <c r="D549" s="164"/>
      <c r="E549" s="165"/>
      <c r="F549" s="173"/>
      <c r="G549" s="168"/>
      <c r="H549" s="168"/>
      <c r="I549" s="169"/>
      <c r="J549" s="170"/>
      <c r="K549" s="170"/>
      <c r="L549" s="170"/>
      <c r="M549" s="167"/>
      <c r="N549" s="169"/>
      <c r="O549" s="171"/>
      <c r="P549" s="106"/>
      <c r="Q549" s="218"/>
      <c r="R549" s="172"/>
      <c r="S549" s="172"/>
      <c r="T549" s="173"/>
      <c r="U549" s="219"/>
      <c r="V549" s="219"/>
      <c r="W549" s="219"/>
      <c r="X549" s="219"/>
      <c r="Y549" s="219"/>
      <c r="Z549" s="219"/>
      <c r="AA549" s="219"/>
      <c r="AB549" s="219"/>
      <c r="AC549" s="219"/>
      <c r="AD549" s="219"/>
      <c r="AE549" s="219"/>
      <c r="AF549" s="219"/>
      <c r="AG549" s="219"/>
      <c r="AH549" s="219"/>
      <c r="AI549" s="219"/>
      <c r="AJ549" s="219"/>
      <c r="AK549" s="219"/>
      <c r="AL549" s="219"/>
      <c r="AM549" s="219"/>
      <c r="AN549" s="219"/>
      <c r="AO549" s="219"/>
      <c r="AP549" s="219"/>
      <c r="AQ549" s="219"/>
      <c r="AR549" s="219"/>
      <c r="AS549" s="219"/>
      <c r="AT549" s="219"/>
      <c r="AU549" s="219"/>
      <c r="AV549" s="219"/>
      <c r="AW549" s="219"/>
      <c r="AX549" s="219"/>
      <c r="AY549" s="219"/>
      <c r="AZ549" s="219"/>
      <c r="BA549" s="219"/>
      <c r="BB549" s="219"/>
      <c r="BC549" s="219"/>
      <c r="BD549" s="219"/>
      <c r="BE549" s="219"/>
      <c r="BF549" s="219"/>
      <c r="BG549" s="219"/>
      <c r="BH549" s="219"/>
      <c r="BI549" s="219"/>
      <c r="BJ549" s="219"/>
      <c r="BK549" s="219"/>
      <c r="BL549" s="219"/>
      <c r="BM549" s="219"/>
      <c r="BN549" s="219"/>
    </row>
    <row r="550" ht="29.25" hidden="1" customHeight="1">
      <c r="A550" s="216"/>
      <c r="B550" s="217"/>
      <c r="C550" s="164"/>
      <c r="D550" s="164"/>
      <c r="E550" s="165"/>
      <c r="F550" s="173"/>
      <c r="G550" s="168"/>
      <c r="H550" s="168"/>
      <c r="I550" s="169"/>
      <c r="J550" s="170"/>
      <c r="K550" s="170"/>
      <c r="L550" s="170"/>
      <c r="M550" s="167"/>
      <c r="N550" s="169"/>
      <c r="O550" s="171"/>
      <c r="P550" s="106"/>
      <c r="Q550" s="218"/>
      <c r="R550" s="172"/>
      <c r="S550" s="172"/>
      <c r="T550" s="173"/>
      <c r="U550" s="219"/>
      <c r="V550" s="219"/>
      <c r="W550" s="219"/>
      <c r="X550" s="219"/>
      <c r="Y550" s="219"/>
      <c r="Z550" s="219"/>
      <c r="AA550" s="219"/>
      <c r="AB550" s="219"/>
      <c r="AC550" s="219"/>
      <c r="AD550" s="219"/>
      <c r="AE550" s="219"/>
      <c r="AF550" s="219"/>
      <c r="AG550" s="219"/>
      <c r="AH550" s="219"/>
      <c r="AI550" s="219"/>
      <c r="AJ550" s="219"/>
      <c r="AK550" s="219"/>
      <c r="AL550" s="219"/>
      <c r="AM550" s="219"/>
      <c r="AN550" s="219"/>
      <c r="AO550" s="219"/>
      <c r="AP550" s="219"/>
      <c r="AQ550" s="219"/>
      <c r="AR550" s="219"/>
      <c r="AS550" s="219"/>
      <c r="AT550" s="219"/>
      <c r="AU550" s="219"/>
      <c r="AV550" s="219"/>
      <c r="AW550" s="219"/>
      <c r="AX550" s="219"/>
      <c r="AY550" s="219"/>
      <c r="AZ550" s="219"/>
      <c r="BA550" s="219"/>
      <c r="BB550" s="219"/>
      <c r="BC550" s="219"/>
      <c r="BD550" s="219"/>
      <c r="BE550" s="219"/>
      <c r="BF550" s="219"/>
      <c r="BG550" s="219"/>
      <c r="BH550" s="219"/>
      <c r="BI550" s="219"/>
      <c r="BJ550" s="219"/>
      <c r="BK550" s="219"/>
      <c r="BL550" s="219"/>
      <c r="BM550" s="219"/>
      <c r="BN550" s="219"/>
    </row>
    <row r="551" ht="29.25" hidden="1" customHeight="1">
      <c r="A551" s="216"/>
      <c r="B551" s="217"/>
      <c r="C551" s="164"/>
      <c r="D551" s="164"/>
      <c r="E551" s="165"/>
      <c r="F551" s="173"/>
      <c r="G551" s="168"/>
      <c r="H551" s="168"/>
      <c r="I551" s="169"/>
      <c r="J551" s="170"/>
      <c r="K551" s="170"/>
      <c r="L551" s="170"/>
      <c r="M551" s="167"/>
      <c r="N551" s="169"/>
      <c r="O551" s="171"/>
      <c r="P551" s="106"/>
      <c r="Q551" s="218"/>
      <c r="R551" s="172"/>
      <c r="S551" s="172"/>
      <c r="T551" s="173"/>
      <c r="U551" s="219"/>
      <c r="V551" s="219"/>
      <c r="W551" s="219"/>
      <c r="X551" s="219"/>
      <c r="Y551" s="219"/>
      <c r="Z551" s="219"/>
      <c r="AA551" s="219"/>
      <c r="AB551" s="219"/>
      <c r="AC551" s="219"/>
      <c r="AD551" s="219"/>
      <c r="AE551" s="219"/>
      <c r="AF551" s="219"/>
      <c r="AG551" s="219"/>
      <c r="AH551" s="219"/>
      <c r="AI551" s="219"/>
      <c r="AJ551" s="219"/>
      <c r="AK551" s="219"/>
      <c r="AL551" s="219"/>
      <c r="AM551" s="219"/>
      <c r="AN551" s="219"/>
      <c r="AO551" s="219"/>
      <c r="AP551" s="219"/>
      <c r="AQ551" s="219"/>
      <c r="AR551" s="219"/>
      <c r="AS551" s="219"/>
      <c r="AT551" s="219"/>
      <c r="AU551" s="219"/>
      <c r="AV551" s="219"/>
      <c r="AW551" s="219"/>
      <c r="AX551" s="219"/>
      <c r="AY551" s="219"/>
      <c r="AZ551" s="219"/>
      <c r="BA551" s="219"/>
      <c r="BB551" s="219"/>
      <c r="BC551" s="219"/>
      <c r="BD551" s="219"/>
      <c r="BE551" s="219"/>
      <c r="BF551" s="219"/>
      <c r="BG551" s="219"/>
      <c r="BH551" s="219"/>
      <c r="BI551" s="219"/>
      <c r="BJ551" s="219"/>
      <c r="BK551" s="219"/>
      <c r="BL551" s="219"/>
      <c r="BM551" s="219"/>
      <c r="BN551" s="219"/>
    </row>
    <row r="552" ht="29.25" hidden="1" customHeight="1">
      <c r="A552" s="216"/>
      <c r="B552" s="217"/>
      <c r="C552" s="164"/>
      <c r="D552" s="164"/>
      <c r="E552" s="165"/>
      <c r="F552" s="173"/>
      <c r="G552" s="168"/>
      <c r="H552" s="168"/>
      <c r="I552" s="169"/>
      <c r="J552" s="170"/>
      <c r="K552" s="170"/>
      <c r="L552" s="170"/>
      <c r="M552" s="167"/>
      <c r="N552" s="169"/>
      <c r="O552" s="171"/>
      <c r="P552" s="106"/>
      <c r="Q552" s="218"/>
      <c r="R552" s="172"/>
      <c r="S552" s="172"/>
      <c r="T552" s="173"/>
      <c r="U552" s="219"/>
      <c r="V552" s="219"/>
      <c r="W552" s="219"/>
      <c r="X552" s="219"/>
      <c r="Y552" s="219"/>
      <c r="Z552" s="219"/>
      <c r="AA552" s="219"/>
      <c r="AB552" s="219"/>
      <c r="AC552" s="219"/>
      <c r="AD552" s="219"/>
      <c r="AE552" s="219"/>
      <c r="AF552" s="219"/>
      <c r="AG552" s="219"/>
      <c r="AH552" s="219"/>
      <c r="AI552" s="219"/>
      <c r="AJ552" s="219"/>
      <c r="AK552" s="219"/>
      <c r="AL552" s="219"/>
      <c r="AM552" s="219"/>
      <c r="AN552" s="219"/>
      <c r="AO552" s="219"/>
      <c r="AP552" s="219"/>
      <c r="AQ552" s="219"/>
      <c r="AR552" s="219"/>
      <c r="AS552" s="219"/>
      <c r="AT552" s="219"/>
      <c r="AU552" s="219"/>
      <c r="AV552" s="219"/>
      <c r="AW552" s="219"/>
      <c r="AX552" s="219"/>
      <c r="AY552" s="219"/>
      <c r="AZ552" s="219"/>
      <c r="BA552" s="219"/>
      <c r="BB552" s="219"/>
      <c r="BC552" s="219"/>
      <c r="BD552" s="219"/>
      <c r="BE552" s="219"/>
      <c r="BF552" s="219"/>
      <c r="BG552" s="219"/>
      <c r="BH552" s="219"/>
      <c r="BI552" s="219"/>
      <c r="BJ552" s="219"/>
      <c r="BK552" s="219"/>
      <c r="BL552" s="219"/>
      <c r="BM552" s="219"/>
      <c r="BN552" s="219"/>
    </row>
    <row r="553" ht="29.25" hidden="1" customHeight="1">
      <c r="A553" s="216"/>
      <c r="B553" s="217"/>
      <c r="C553" s="164"/>
      <c r="D553" s="164"/>
      <c r="E553" s="165"/>
      <c r="F553" s="173"/>
      <c r="G553" s="168"/>
      <c r="H553" s="168"/>
      <c r="I553" s="169"/>
      <c r="J553" s="170"/>
      <c r="K553" s="170"/>
      <c r="L553" s="170"/>
      <c r="M553" s="167"/>
      <c r="N553" s="169"/>
      <c r="O553" s="171"/>
      <c r="P553" s="106"/>
      <c r="Q553" s="218"/>
      <c r="R553" s="172"/>
      <c r="S553" s="172"/>
      <c r="T553" s="173"/>
      <c r="U553" s="219"/>
      <c r="V553" s="219"/>
      <c r="W553" s="219"/>
      <c r="X553" s="219"/>
      <c r="Y553" s="219"/>
      <c r="Z553" s="219"/>
      <c r="AA553" s="219"/>
      <c r="AB553" s="219"/>
      <c r="AC553" s="219"/>
      <c r="AD553" s="219"/>
      <c r="AE553" s="219"/>
      <c r="AF553" s="219"/>
      <c r="AG553" s="219"/>
      <c r="AH553" s="219"/>
      <c r="AI553" s="219"/>
      <c r="AJ553" s="219"/>
      <c r="AK553" s="219"/>
      <c r="AL553" s="219"/>
      <c r="AM553" s="219"/>
      <c r="AN553" s="219"/>
      <c r="AO553" s="219"/>
      <c r="AP553" s="219"/>
      <c r="AQ553" s="219"/>
      <c r="AR553" s="219"/>
      <c r="AS553" s="219"/>
      <c r="AT553" s="219"/>
      <c r="AU553" s="219"/>
      <c r="AV553" s="219"/>
      <c r="AW553" s="219"/>
      <c r="AX553" s="219"/>
      <c r="AY553" s="219"/>
      <c r="AZ553" s="219"/>
      <c r="BA553" s="219"/>
      <c r="BB553" s="219"/>
      <c r="BC553" s="219"/>
      <c r="BD553" s="219"/>
      <c r="BE553" s="219"/>
      <c r="BF553" s="219"/>
      <c r="BG553" s="219"/>
      <c r="BH553" s="219"/>
      <c r="BI553" s="219"/>
      <c r="BJ553" s="219"/>
      <c r="BK553" s="219"/>
      <c r="BL553" s="219"/>
      <c r="BM553" s="219"/>
      <c r="BN553" s="219"/>
    </row>
    <row r="554" ht="29.25" hidden="1" customHeight="1">
      <c r="A554" s="216"/>
      <c r="B554" s="217"/>
      <c r="C554" s="164"/>
      <c r="D554" s="164"/>
      <c r="E554" s="165"/>
      <c r="F554" s="173"/>
      <c r="G554" s="168"/>
      <c r="H554" s="168"/>
      <c r="I554" s="169"/>
      <c r="J554" s="170"/>
      <c r="K554" s="170"/>
      <c r="L554" s="170"/>
      <c r="M554" s="167"/>
      <c r="N554" s="169"/>
      <c r="O554" s="171"/>
      <c r="P554" s="106"/>
      <c r="Q554" s="218"/>
      <c r="R554" s="172"/>
      <c r="S554" s="172"/>
      <c r="T554" s="173"/>
      <c r="U554" s="219"/>
      <c r="V554" s="219"/>
      <c r="W554" s="219"/>
      <c r="X554" s="219"/>
      <c r="Y554" s="219"/>
      <c r="Z554" s="219"/>
      <c r="AA554" s="219"/>
      <c r="AB554" s="219"/>
      <c r="AC554" s="219"/>
      <c r="AD554" s="219"/>
      <c r="AE554" s="219"/>
      <c r="AF554" s="219"/>
      <c r="AG554" s="219"/>
      <c r="AH554" s="219"/>
      <c r="AI554" s="219"/>
      <c r="AJ554" s="219"/>
      <c r="AK554" s="219"/>
      <c r="AL554" s="219"/>
      <c r="AM554" s="219"/>
      <c r="AN554" s="219"/>
      <c r="AO554" s="219"/>
      <c r="AP554" s="219"/>
      <c r="AQ554" s="219"/>
      <c r="AR554" s="219"/>
      <c r="AS554" s="219"/>
      <c r="AT554" s="219"/>
      <c r="AU554" s="219"/>
      <c r="AV554" s="219"/>
      <c r="AW554" s="219"/>
      <c r="AX554" s="219"/>
      <c r="AY554" s="219"/>
      <c r="AZ554" s="219"/>
      <c r="BA554" s="219"/>
      <c r="BB554" s="219"/>
      <c r="BC554" s="219"/>
      <c r="BD554" s="219"/>
      <c r="BE554" s="219"/>
      <c r="BF554" s="219"/>
      <c r="BG554" s="219"/>
      <c r="BH554" s="219"/>
      <c r="BI554" s="219"/>
      <c r="BJ554" s="219"/>
      <c r="BK554" s="219"/>
      <c r="BL554" s="219"/>
      <c r="BM554" s="219"/>
      <c r="BN554" s="219"/>
    </row>
    <row r="555" ht="29.25" hidden="1" customHeight="1">
      <c r="A555" s="216"/>
      <c r="B555" s="217"/>
      <c r="C555" s="164"/>
      <c r="D555" s="164"/>
      <c r="E555" s="165"/>
      <c r="F555" s="173"/>
      <c r="G555" s="168"/>
      <c r="H555" s="168"/>
      <c r="I555" s="169"/>
      <c r="J555" s="170"/>
      <c r="K555" s="170"/>
      <c r="L555" s="170"/>
      <c r="M555" s="167"/>
      <c r="N555" s="169"/>
      <c r="O555" s="171"/>
      <c r="P555" s="106"/>
      <c r="Q555" s="218"/>
      <c r="R555" s="172"/>
      <c r="S555" s="172"/>
      <c r="T555" s="173"/>
      <c r="U555" s="219"/>
      <c r="V555" s="219"/>
      <c r="W555" s="219"/>
      <c r="X555" s="219"/>
      <c r="Y555" s="219"/>
      <c r="Z555" s="219"/>
      <c r="AA555" s="219"/>
      <c r="AB555" s="219"/>
      <c r="AC555" s="219"/>
      <c r="AD555" s="219"/>
      <c r="AE555" s="219"/>
      <c r="AF555" s="219"/>
      <c r="AG555" s="219"/>
      <c r="AH555" s="219"/>
      <c r="AI555" s="219"/>
      <c r="AJ555" s="219"/>
      <c r="AK555" s="219"/>
      <c r="AL555" s="219"/>
      <c r="AM555" s="219"/>
      <c r="AN555" s="219"/>
      <c r="AO555" s="219"/>
      <c r="AP555" s="219"/>
      <c r="AQ555" s="219"/>
      <c r="AR555" s="219"/>
      <c r="AS555" s="219"/>
      <c r="AT555" s="219"/>
      <c r="AU555" s="219"/>
      <c r="AV555" s="219"/>
      <c r="AW555" s="219"/>
      <c r="AX555" s="219"/>
      <c r="AY555" s="219"/>
      <c r="AZ555" s="219"/>
      <c r="BA555" s="219"/>
      <c r="BB555" s="219"/>
      <c r="BC555" s="219"/>
      <c r="BD555" s="219"/>
      <c r="BE555" s="219"/>
      <c r="BF555" s="219"/>
      <c r="BG555" s="219"/>
      <c r="BH555" s="219"/>
      <c r="BI555" s="219"/>
      <c r="BJ555" s="219"/>
      <c r="BK555" s="219"/>
      <c r="BL555" s="219"/>
      <c r="BM555" s="219"/>
      <c r="BN555" s="219"/>
    </row>
    <row r="556" ht="29.25" hidden="1" customHeight="1">
      <c r="A556" s="216"/>
      <c r="B556" s="217"/>
      <c r="C556" s="164"/>
      <c r="D556" s="164"/>
      <c r="E556" s="165"/>
      <c r="F556" s="173"/>
      <c r="G556" s="168"/>
      <c r="H556" s="168"/>
      <c r="I556" s="169"/>
      <c r="J556" s="170"/>
      <c r="K556" s="170"/>
      <c r="L556" s="170"/>
      <c r="M556" s="167"/>
      <c r="N556" s="169"/>
      <c r="O556" s="171"/>
      <c r="P556" s="106"/>
      <c r="Q556" s="218"/>
      <c r="R556" s="172"/>
      <c r="S556" s="172"/>
      <c r="T556" s="173"/>
      <c r="U556" s="219"/>
      <c r="V556" s="219"/>
      <c r="W556" s="219"/>
      <c r="X556" s="219"/>
      <c r="Y556" s="219"/>
      <c r="Z556" s="219"/>
      <c r="AA556" s="219"/>
      <c r="AB556" s="219"/>
      <c r="AC556" s="219"/>
      <c r="AD556" s="219"/>
      <c r="AE556" s="219"/>
      <c r="AF556" s="219"/>
      <c r="AG556" s="219"/>
      <c r="AH556" s="219"/>
      <c r="AI556" s="219"/>
      <c r="AJ556" s="219"/>
      <c r="AK556" s="219"/>
      <c r="AL556" s="219"/>
      <c r="AM556" s="219"/>
      <c r="AN556" s="219"/>
      <c r="AO556" s="219"/>
      <c r="AP556" s="219"/>
      <c r="AQ556" s="219"/>
      <c r="AR556" s="219"/>
      <c r="AS556" s="219"/>
      <c r="AT556" s="219"/>
      <c r="AU556" s="219"/>
      <c r="AV556" s="219"/>
      <c r="AW556" s="219"/>
      <c r="AX556" s="219"/>
      <c r="AY556" s="219"/>
      <c r="AZ556" s="219"/>
      <c r="BA556" s="219"/>
      <c r="BB556" s="219"/>
      <c r="BC556" s="219"/>
      <c r="BD556" s="219"/>
      <c r="BE556" s="219"/>
      <c r="BF556" s="219"/>
      <c r="BG556" s="219"/>
      <c r="BH556" s="219"/>
      <c r="BI556" s="219"/>
      <c r="BJ556" s="219"/>
      <c r="BK556" s="219"/>
      <c r="BL556" s="219"/>
      <c r="BM556" s="219"/>
      <c r="BN556" s="219"/>
    </row>
    <row r="557" ht="29.25" hidden="1" customHeight="1">
      <c r="A557" s="216"/>
      <c r="B557" s="217"/>
      <c r="C557" s="164"/>
      <c r="D557" s="164"/>
      <c r="E557" s="165"/>
      <c r="F557" s="173"/>
      <c r="G557" s="168"/>
      <c r="H557" s="168"/>
      <c r="I557" s="169"/>
      <c r="J557" s="170"/>
      <c r="K557" s="170"/>
      <c r="L557" s="170"/>
      <c r="M557" s="167"/>
      <c r="N557" s="169"/>
      <c r="O557" s="171"/>
      <c r="P557" s="106"/>
      <c r="Q557" s="218"/>
      <c r="R557" s="172"/>
      <c r="S557" s="172"/>
      <c r="T557" s="173"/>
      <c r="U557" s="219"/>
      <c r="V557" s="219"/>
      <c r="W557" s="219"/>
      <c r="X557" s="219"/>
      <c r="Y557" s="219"/>
      <c r="Z557" s="219"/>
      <c r="AA557" s="219"/>
      <c r="AB557" s="219"/>
      <c r="AC557" s="219"/>
      <c r="AD557" s="219"/>
      <c r="AE557" s="219"/>
      <c r="AF557" s="219"/>
      <c r="AG557" s="219"/>
      <c r="AH557" s="219"/>
      <c r="AI557" s="219"/>
      <c r="AJ557" s="219"/>
      <c r="AK557" s="219"/>
      <c r="AL557" s="219"/>
      <c r="AM557" s="219"/>
      <c r="AN557" s="219"/>
      <c r="AO557" s="219"/>
      <c r="AP557" s="219"/>
      <c r="AQ557" s="219"/>
      <c r="AR557" s="219"/>
      <c r="AS557" s="219"/>
      <c r="AT557" s="219"/>
      <c r="AU557" s="219"/>
      <c r="AV557" s="219"/>
      <c r="AW557" s="219"/>
      <c r="AX557" s="219"/>
      <c r="AY557" s="219"/>
      <c r="AZ557" s="219"/>
      <c r="BA557" s="219"/>
      <c r="BB557" s="219"/>
      <c r="BC557" s="219"/>
      <c r="BD557" s="219"/>
      <c r="BE557" s="219"/>
      <c r="BF557" s="219"/>
      <c r="BG557" s="219"/>
      <c r="BH557" s="219"/>
      <c r="BI557" s="219"/>
      <c r="BJ557" s="219"/>
      <c r="BK557" s="219"/>
      <c r="BL557" s="219"/>
      <c r="BM557" s="219"/>
      <c r="BN557" s="219"/>
    </row>
    <row r="558" ht="29.25" hidden="1" customHeight="1">
      <c r="A558" s="216"/>
      <c r="B558" s="217"/>
      <c r="C558" s="164"/>
      <c r="D558" s="164"/>
      <c r="E558" s="165"/>
      <c r="F558" s="173"/>
      <c r="G558" s="168"/>
      <c r="H558" s="168"/>
      <c r="I558" s="169"/>
      <c r="J558" s="170"/>
      <c r="K558" s="170"/>
      <c r="L558" s="170"/>
      <c r="M558" s="167"/>
      <c r="N558" s="169"/>
      <c r="O558" s="171"/>
      <c r="P558" s="106"/>
      <c r="Q558" s="218"/>
      <c r="R558" s="172"/>
      <c r="S558" s="172"/>
      <c r="T558" s="173"/>
      <c r="U558" s="219"/>
      <c r="V558" s="219"/>
      <c r="W558" s="219"/>
      <c r="X558" s="219"/>
      <c r="Y558" s="219"/>
      <c r="Z558" s="219"/>
      <c r="AA558" s="219"/>
      <c r="AB558" s="219"/>
      <c r="AC558" s="219"/>
      <c r="AD558" s="219"/>
      <c r="AE558" s="219"/>
      <c r="AF558" s="219"/>
      <c r="AG558" s="219"/>
      <c r="AH558" s="219"/>
      <c r="AI558" s="219"/>
      <c r="AJ558" s="219"/>
      <c r="AK558" s="219"/>
      <c r="AL558" s="219"/>
      <c r="AM558" s="219"/>
      <c r="AN558" s="219"/>
      <c r="AO558" s="219"/>
      <c r="AP558" s="219"/>
      <c r="AQ558" s="219"/>
      <c r="AR558" s="219"/>
      <c r="AS558" s="219"/>
      <c r="AT558" s="219"/>
      <c r="AU558" s="219"/>
      <c r="AV558" s="219"/>
      <c r="AW558" s="219"/>
      <c r="AX558" s="219"/>
      <c r="AY558" s="219"/>
      <c r="AZ558" s="219"/>
      <c r="BA558" s="219"/>
      <c r="BB558" s="219"/>
      <c r="BC558" s="219"/>
      <c r="BD558" s="219"/>
      <c r="BE558" s="219"/>
      <c r="BF558" s="219"/>
      <c r="BG558" s="219"/>
      <c r="BH558" s="219"/>
      <c r="BI558" s="219"/>
      <c r="BJ558" s="219"/>
      <c r="BK558" s="219"/>
      <c r="BL558" s="219"/>
      <c r="BM558" s="219"/>
      <c r="BN558" s="219"/>
    </row>
    <row r="559" ht="29.25" hidden="1" customHeight="1">
      <c r="A559" s="216"/>
      <c r="B559" s="217"/>
      <c r="C559" s="164"/>
      <c r="D559" s="164"/>
      <c r="E559" s="165"/>
      <c r="F559" s="173"/>
      <c r="G559" s="168"/>
      <c r="H559" s="168"/>
      <c r="I559" s="169"/>
      <c r="J559" s="170"/>
      <c r="K559" s="170"/>
      <c r="L559" s="170"/>
      <c r="M559" s="167"/>
      <c r="N559" s="169"/>
      <c r="O559" s="171"/>
      <c r="P559" s="106"/>
      <c r="Q559" s="218"/>
      <c r="R559" s="172"/>
      <c r="S559" s="172"/>
      <c r="T559" s="173"/>
      <c r="U559" s="219"/>
      <c r="V559" s="219"/>
      <c r="W559" s="219"/>
      <c r="X559" s="219"/>
      <c r="Y559" s="219"/>
      <c r="Z559" s="219"/>
      <c r="AA559" s="219"/>
      <c r="AB559" s="219"/>
      <c r="AC559" s="219"/>
      <c r="AD559" s="219"/>
      <c r="AE559" s="219"/>
      <c r="AF559" s="219"/>
      <c r="AG559" s="219"/>
      <c r="AH559" s="219"/>
      <c r="AI559" s="219"/>
      <c r="AJ559" s="219"/>
      <c r="AK559" s="219"/>
      <c r="AL559" s="219"/>
      <c r="AM559" s="219"/>
      <c r="AN559" s="219"/>
      <c r="AO559" s="219"/>
      <c r="AP559" s="219"/>
      <c r="AQ559" s="219"/>
      <c r="AR559" s="219"/>
      <c r="AS559" s="219"/>
      <c r="AT559" s="219"/>
      <c r="AU559" s="219"/>
      <c r="AV559" s="219"/>
      <c r="AW559" s="219"/>
      <c r="AX559" s="219"/>
      <c r="AY559" s="219"/>
      <c r="AZ559" s="219"/>
      <c r="BA559" s="219"/>
      <c r="BB559" s="219"/>
      <c r="BC559" s="219"/>
      <c r="BD559" s="219"/>
      <c r="BE559" s="219"/>
      <c r="BF559" s="219"/>
      <c r="BG559" s="219"/>
      <c r="BH559" s="219"/>
      <c r="BI559" s="219"/>
      <c r="BJ559" s="219"/>
      <c r="BK559" s="219"/>
      <c r="BL559" s="219"/>
      <c r="BM559" s="219"/>
      <c r="BN559" s="219"/>
    </row>
    <row r="560" ht="29.25" hidden="1" customHeight="1">
      <c r="A560" s="216"/>
      <c r="B560" s="217"/>
      <c r="C560" s="164"/>
      <c r="D560" s="164"/>
      <c r="E560" s="165"/>
      <c r="F560" s="173"/>
      <c r="G560" s="168"/>
      <c r="H560" s="168"/>
      <c r="I560" s="169"/>
      <c r="J560" s="170"/>
      <c r="K560" s="170"/>
      <c r="L560" s="170"/>
      <c r="M560" s="167"/>
      <c r="N560" s="169"/>
      <c r="O560" s="171"/>
      <c r="P560" s="106"/>
      <c r="Q560" s="218"/>
      <c r="R560" s="172"/>
      <c r="S560" s="172"/>
      <c r="T560" s="173"/>
      <c r="U560" s="219"/>
      <c r="V560" s="219"/>
      <c r="W560" s="219"/>
      <c r="X560" s="219"/>
      <c r="Y560" s="219"/>
      <c r="Z560" s="219"/>
      <c r="AA560" s="219"/>
      <c r="AB560" s="219"/>
      <c r="AC560" s="219"/>
      <c r="AD560" s="219"/>
      <c r="AE560" s="219"/>
      <c r="AF560" s="219"/>
      <c r="AG560" s="219"/>
      <c r="AH560" s="219"/>
      <c r="AI560" s="219"/>
      <c r="AJ560" s="219"/>
      <c r="AK560" s="219"/>
      <c r="AL560" s="219"/>
      <c r="AM560" s="219"/>
      <c r="AN560" s="219"/>
      <c r="AO560" s="219"/>
      <c r="AP560" s="219"/>
      <c r="AQ560" s="219"/>
      <c r="AR560" s="219"/>
      <c r="AS560" s="219"/>
      <c r="AT560" s="219"/>
      <c r="AU560" s="219"/>
      <c r="AV560" s="219"/>
      <c r="AW560" s="219"/>
      <c r="AX560" s="219"/>
      <c r="AY560" s="219"/>
      <c r="AZ560" s="219"/>
      <c r="BA560" s="219"/>
      <c r="BB560" s="219"/>
      <c r="BC560" s="219"/>
      <c r="BD560" s="219"/>
      <c r="BE560" s="219"/>
      <c r="BF560" s="219"/>
      <c r="BG560" s="219"/>
      <c r="BH560" s="219"/>
      <c r="BI560" s="219"/>
      <c r="BJ560" s="219"/>
      <c r="BK560" s="219"/>
      <c r="BL560" s="219"/>
      <c r="BM560" s="219"/>
      <c r="BN560" s="219"/>
    </row>
    <row r="561" ht="29.25" hidden="1" customHeight="1">
      <c r="A561" s="216"/>
      <c r="B561" s="217"/>
      <c r="C561" s="164"/>
      <c r="D561" s="164"/>
      <c r="E561" s="165"/>
      <c r="F561" s="173"/>
      <c r="G561" s="168"/>
      <c r="H561" s="168"/>
      <c r="I561" s="169"/>
      <c r="J561" s="170"/>
      <c r="K561" s="170"/>
      <c r="L561" s="170"/>
      <c r="M561" s="167"/>
      <c r="N561" s="169"/>
      <c r="O561" s="171"/>
      <c r="P561" s="106"/>
      <c r="Q561" s="218"/>
      <c r="R561" s="172"/>
      <c r="S561" s="172"/>
      <c r="T561" s="173"/>
      <c r="U561" s="219"/>
      <c r="V561" s="219"/>
      <c r="W561" s="219"/>
      <c r="X561" s="219"/>
      <c r="Y561" s="219"/>
      <c r="Z561" s="219"/>
      <c r="AA561" s="219"/>
      <c r="AB561" s="219"/>
      <c r="AC561" s="219"/>
      <c r="AD561" s="219"/>
      <c r="AE561" s="219"/>
      <c r="AF561" s="219"/>
      <c r="AG561" s="219"/>
      <c r="AH561" s="219"/>
      <c r="AI561" s="219"/>
      <c r="AJ561" s="219"/>
      <c r="AK561" s="219"/>
      <c r="AL561" s="219"/>
      <c r="AM561" s="219"/>
      <c r="AN561" s="219"/>
      <c r="AO561" s="219"/>
      <c r="AP561" s="219"/>
      <c r="AQ561" s="219"/>
      <c r="AR561" s="219"/>
      <c r="AS561" s="219"/>
      <c r="AT561" s="219"/>
      <c r="AU561" s="219"/>
      <c r="AV561" s="219"/>
      <c r="AW561" s="219"/>
      <c r="AX561" s="219"/>
      <c r="AY561" s="219"/>
      <c r="AZ561" s="219"/>
      <c r="BA561" s="219"/>
      <c r="BB561" s="219"/>
      <c r="BC561" s="219"/>
      <c r="BD561" s="219"/>
      <c r="BE561" s="219"/>
      <c r="BF561" s="219"/>
      <c r="BG561" s="219"/>
      <c r="BH561" s="219"/>
      <c r="BI561" s="219"/>
      <c r="BJ561" s="219"/>
      <c r="BK561" s="219"/>
      <c r="BL561" s="219"/>
      <c r="BM561" s="219"/>
      <c r="BN561" s="219"/>
    </row>
    <row r="562" ht="29.25" hidden="1" customHeight="1">
      <c r="A562" s="216"/>
      <c r="B562" s="217"/>
      <c r="C562" s="164"/>
      <c r="D562" s="164"/>
      <c r="E562" s="165"/>
      <c r="F562" s="173"/>
      <c r="G562" s="168"/>
      <c r="H562" s="168"/>
      <c r="I562" s="169"/>
      <c r="J562" s="170"/>
      <c r="K562" s="170"/>
      <c r="L562" s="170"/>
      <c r="M562" s="167"/>
      <c r="N562" s="169"/>
      <c r="O562" s="171"/>
      <c r="P562" s="106"/>
      <c r="Q562" s="218"/>
      <c r="R562" s="172"/>
      <c r="S562" s="172"/>
      <c r="T562" s="173"/>
      <c r="U562" s="219"/>
      <c r="V562" s="219"/>
      <c r="W562" s="219"/>
      <c r="X562" s="219"/>
      <c r="Y562" s="219"/>
      <c r="Z562" s="219"/>
      <c r="AA562" s="219"/>
      <c r="AB562" s="219"/>
      <c r="AC562" s="219"/>
      <c r="AD562" s="219"/>
      <c r="AE562" s="219"/>
      <c r="AF562" s="219"/>
      <c r="AG562" s="219"/>
      <c r="AH562" s="219"/>
      <c r="AI562" s="219"/>
      <c r="AJ562" s="219"/>
      <c r="AK562" s="219"/>
      <c r="AL562" s="219"/>
      <c r="AM562" s="219"/>
      <c r="AN562" s="219"/>
      <c r="AO562" s="219"/>
      <c r="AP562" s="219"/>
      <c r="AQ562" s="219"/>
      <c r="AR562" s="219"/>
      <c r="AS562" s="219"/>
      <c r="AT562" s="219"/>
      <c r="AU562" s="219"/>
      <c r="AV562" s="219"/>
      <c r="AW562" s="219"/>
      <c r="AX562" s="219"/>
      <c r="AY562" s="219"/>
      <c r="AZ562" s="219"/>
      <c r="BA562" s="219"/>
      <c r="BB562" s="219"/>
      <c r="BC562" s="219"/>
      <c r="BD562" s="219"/>
      <c r="BE562" s="219"/>
      <c r="BF562" s="219"/>
      <c r="BG562" s="219"/>
      <c r="BH562" s="219"/>
      <c r="BI562" s="219"/>
      <c r="BJ562" s="219"/>
      <c r="BK562" s="219"/>
      <c r="BL562" s="219"/>
      <c r="BM562" s="219"/>
      <c r="BN562" s="219"/>
    </row>
    <row r="563" ht="29.25" hidden="1" customHeight="1">
      <c r="A563" s="216"/>
      <c r="B563" s="217"/>
      <c r="C563" s="164"/>
      <c r="D563" s="164"/>
      <c r="E563" s="165"/>
      <c r="F563" s="173"/>
      <c r="G563" s="168"/>
      <c r="H563" s="168"/>
      <c r="I563" s="169"/>
      <c r="J563" s="170"/>
      <c r="K563" s="170"/>
      <c r="L563" s="170"/>
      <c r="M563" s="167"/>
      <c r="N563" s="169"/>
      <c r="O563" s="171"/>
      <c r="P563" s="106"/>
      <c r="Q563" s="218"/>
      <c r="R563" s="172"/>
      <c r="S563" s="172"/>
      <c r="T563" s="173"/>
      <c r="U563" s="219"/>
      <c r="V563" s="219"/>
      <c r="W563" s="219"/>
      <c r="X563" s="219"/>
      <c r="Y563" s="219"/>
      <c r="Z563" s="219"/>
      <c r="AA563" s="219"/>
      <c r="AB563" s="219"/>
      <c r="AC563" s="219"/>
      <c r="AD563" s="219"/>
      <c r="AE563" s="219"/>
      <c r="AF563" s="219"/>
      <c r="AG563" s="219"/>
      <c r="AH563" s="219"/>
      <c r="AI563" s="219"/>
      <c r="AJ563" s="219"/>
      <c r="AK563" s="219"/>
      <c r="AL563" s="219"/>
      <c r="AM563" s="219"/>
      <c r="AN563" s="219"/>
      <c r="AO563" s="219"/>
      <c r="AP563" s="219"/>
      <c r="AQ563" s="219"/>
      <c r="AR563" s="219"/>
      <c r="AS563" s="219"/>
      <c r="AT563" s="219"/>
      <c r="AU563" s="219"/>
      <c r="AV563" s="219"/>
      <c r="AW563" s="219"/>
      <c r="AX563" s="219"/>
      <c r="AY563" s="219"/>
      <c r="AZ563" s="219"/>
      <c r="BA563" s="219"/>
      <c r="BB563" s="219"/>
      <c r="BC563" s="219"/>
      <c r="BD563" s="219"/>
      <c r="BE563" s="219"/>
      <c r="BF563" s="219"/>
      <c r="BG563" s="219"/>
      <c r="BH563" s="219"/>
      <c r="BI563" s="219"/>
      <c r="BJ563" s="219"/>
      <c r="BK563" s="219"/>
      <c r="BL563" s="219"/>
      <c r="BM563" s="219"/>
      <c r="BN563" s="219"/>
    </row>
    <row r="564" ht="29.25" hidden="1" customHeight="1">
      <c r="A564" s="216"/>
      <c r="B564" s="217"/>
      <c r="C564" s="164"/>
      <c r="D564" s="164"/>
      <c r="E564" s="165"/>
      <c r="F564" s="173"/>
      <c r="G564" s="168"/>
      <c r="H564" s="168"/>
      <c r="I564" s="169"/>
      <c r="J564" s="170"/>
      <c r="K564" s="170"/>
      <c r="L564" s="170"/>
      <c r="M564" s="167"/>
      <c r="N564" s="169"/>
      <c r="O564" s="171"/>
      <c r="P564" s="106"/>
      <c r="Q564" s="218"/>
      <c r="R564" s="172"/>
      <c r="S564" s="172"/>
      <c r="T564" s="173"/>
      <c r="U564" s="219"/>
      <c r="V564" s="219"/>
      <c r="W564" s="219"/>
      <c r="X564" s="219"/>
      <c r="Y564" s="219"/>
      <c r="Z564" s="219"/>
      <c r="AA564" s="219"/>
      <c r="AB564" s="219"/>
      <c r="AC564" s="219"/>
      <c r="AD564" s="219"/>
      <c r="AE564" s="219"/>
      <c r="AF564" s="219"/>
      <c r="AG564" s="219"/>
      <c r="AH564" s="219"/>
      <c r="AI564" s="219"/>
      <c r="AJ564" s="219"/>
      <c r="AK564" s="219"/>
      <c r="AL564" s="219"/>
      <c r="AM564" s="219"/>
      <c r="AN564" s="219"/>
      <c r="AO564" s="219"/>
      <c r="AP564" s="219"/>
      <c r="AQ564" s="219"/>
      <c r="AR564" s="219"/>
      <c r="AS564" s="219"/>
      <c r="AT564" s="219"/>
      <c r="AU564" s="219"/>
      <c r="AV564" s="219"/>
      <c r="AW564" s="219"/>
      <c r="AX564" s="219"/>
      <c r="AY564" s="219"/>
      <c r="AZ564" s="219"/>
      <c r="BA564" s="219"/>
      <c r="BB564" s="219"/>
      <c r="BC564" s="219"/>
      <c r="BD564" s="219"/>
      <c r="BE564" s="219"/>
      <c r="BF564" s="219"/>
      <c r="BG564" s="219"/>
      <c r="BH564" s="219"/>
      <c r="BI564" s="219"/>
      <c r="BJ564" s="219"/>
      <c r="BK564" s="219"/>
      <c r="BL564" s="219"/>
      <c r="BM564" s="219"/>
      <c r="BN564" s="219"/>
    </row>
    <row r="565" ht="29.25" hidden="1" customHeight="1">
      <c r="A565" s="216"/>
      <c r="B565" s="217"/>
      <c r="C565" s="164"/>
      <c r="D565" s="164"/>
      <c r="E565" s="165"/>
      <c r="F565" s="173"/>
      <c r="G565" s="168"/>
      <c r="H565" s="168"/>
      <c r="I565" s="169"/>
      <c r="J565" s="170"/>
      <c r="K565" s="170"/>
      <c r="L565" s="170"/>
      <c r="M565" s="167"/>
      <c r="N565" s="169"/>
      <c r="O565" s="171"/>
      <c r="P565" s="106"/>
      <c r="Q565" s="218"/>
      <c r="R565" s="172"/>
      <c r="S565" s="172"/>
      <c r="T565" s="173"/>
      <c r="U565" s="219"/>
      <c r="V565" s="219"/>
      <c r="W565" s="219"/>
      <c r="X565" s="219"/>
      <c r="Y565" s="219"/>
      <c r="Z565" s="219"/>
      <c r="AA565" s="219"/>
      <c r="AB565" s="219"/>
      <c r="AC565" s="219"/>
      <c r="AD565" s="219"/>
      <c r="AE565" s="219"/>
      <c r="AF565" s="219"/>
      <c r="AG565" s="219"/>
      <c r="AH565" s="219"/>
      <c r="AI565" s="219"/>
      <c r="AJ565" s="219"/>
      <c r="AK565" s="219"/>
      <c r="AL565" s="219"/>
      <c r="AM565" s="219"/>
      <c r="AN565" s="219"/>
      <c r="AO565" s="219"/>
      <c r="AP565" s="219"/>
      <c r="AQ565" s="219"/>
      <c r="AR565" s="219"/>
      <c r="AS565" s="219"/>
      <c r="AT565" s="219"/>
      <c r="AU565" s="219"/>
      <c r="AV565" s="219"/>
      <c r="AW565" s="219"/>
      <c r="AX565" s="219"/>
      <c r="AY565" s="219"/>
      <c r="AZ565" s="219"/>
      <c r="BA565" s="219"/>
      <c r="BB565" s="219"/>
      <c r="BC565" s="219"/>
      <c r="BD565" s="219"/>
      <c r="BE565" s="219"/>
      <c r="BF565" s="219"/>
      <c r="BG565" s="219"/>
      <c r="BH565" s="219"/>
      <c r="BI565" s="219"/>
      <c r="BJ565" s="219"/>
      <c r="BK565" s="219"/>
      <c r="BL565" s="219"/>
      <c r="BM565" s="219"/>
      <c r="BN565" s="219"/>
    </row>
    <row r="566" ht="29.25" hidden="1" customHeight="1">
      <c r="A566" s="216"/>
      <c r="B566" s="217"/>
      <c r="C566" s="164"/>
      <c r="D566" s="164"/>
      <c r="E566" s="165"/>
      <c r="F566" s="173"/>
      <c r="G566" s="168"/>
      <c r="H566" s="168"/>
      <c r="I566" s="169"/>
      <c r="J566" s="170"/>
      <c r="K566" s="170"/>
      <c r="L566" s="170"/>
      <c r="M566" s="167"/>
      <c r="N566" s="169"/>
      <c r="O566" s="171"/>
      <c r="P566" s="106"/>
      <c r="Q566" s="218"/>
      <c r="R566" s="172"/>
      <c r="S566" s="172"/>
      <c r="T566" s="173"/>
      <c r="U566" s="219"/>
      <c r="V566" s="219"/>
      <c r="W566" s="219"/>
      <c r="X566" s="219"/>
      <c r="Y566" s="219"/>
      <c r="Z566" s="219"/>
      <c r="AA566" s="219"/>
      <c r="AB566" s="219"/>
      <c r="AC566" s="219"/>
      <c r="AD566" s="219"/>
      <c r="AE566" s="219"/>
      <c r="AF566" s="219"/>
      <c r="AG566" s="219"/>
      <c r="AH566" s="219"/>
      <c r="AI566" s="219"/>
      <c r="AJ566" s="219"/>
      <c r="AK566" s="219"/>
      <c r="AL566" s="219"/>
      <c r="AM566" s="219"/>
      <c r="AN566" s="219"/>
      <c r="AO566" s="219"/>
      <c r="AP566" s="219"/>
      <c r="AQ566" s="219"/>
      <c r="AR566" s="219"/>
      <c r="AS566" s="219"/>
      <c r="AT566" s="219"/>
      <c r="AU566" s="219"/>
      <c r="AV566" s="219"/>
      <c r="AW566" s="219"/>
      <c r="AX566" s="219"/>
      <c r="AY566" s="219"/>
      <c r="AZ566" s="219"/>
      <c r="BA566" s="219"/>
      <c r="BB566" s="219"/>
      <c r="BC566" s="219"/>
      <c r="BD566" s="219"/>
      <c r="BE566" s="219"/>
      <c r="BF566" s="219"/>
      <c r="BG566" s="219"/>
      <c r="BH566" s="219"/>
      <c r="BI566" s="219"/>
      <c r="BJ566" s="219"/>
      <c r="BK566" s="219"/>
      <c r="BL566" s="219"/>
      <c r="BM566" s="219"/>
      <c r="BN566" s="219"/>
    </row>
    <row r="567" ht="29.25" hidden="1" customHeight="1">
      <c r="A567" s="216"/>
      <c r="B567" s="217"/>
      <c r="C567" s="164"/>
      <c r="D567" s="164"/>
      <c r="E567" s="165"/>
      <c r="F567" s="173"/>
      <c r="G567" s="168"/>
      <c r="H567" s="168"/>
      <c r="I567" s="169"/>
      <c r="J567" s="170"/>
      <c r="K567" s="170"/>
      <c r="L567" s="170"/>
      <c r="M567" s="167"/>
      <c r="N567" s="169"/>
      <c r="O567" s="171"/>
      <c r="P567" s="106"/>
      <c r="Q567" s="218"/>
      <c r="R567" s="172"/>
      <c r="S567" s="172"/>
      <c r="T567" s="173"/>
      <c r="U567" s="219"/>
      <c r="V567" s="219"/>
      <c r="W567" s="219"/>
      <c r="X567" s="219"/>
      <c r="Y567" s="219"/>
      <c r="Z567" s="219"/>
      <c r="AA567" s="219"/>
      <c r="AB567" s="219"/>
      <c r="AC567" s="219"/>
      <c r="AD567" s="219"/>
      <c r="AE567" s="219"/>
      <c r="AF567" s="219"/>
      <c r="AG567" s="219"/>
      <c r="AH567" s="219"/>
      <c r="AI567" s="219"/>
      <c r="AJ567" s="219"/>
      <c r="AK567" s="219"/>
      <c r="AL567" s="219"/>
      <c r="AM567" s="219"/>
      <c r="AN567" s="219"/>
      <c r="AO567" s="219"/>
      <c r="AP567" s="219"/>
      <c r="AQ567" s="219"/>
      <c r="AR567" s="219"/>
      <c r="AS567" s="219"/>
      <c r="AT567" s="219"/>
      <c r="AU567" s="219"/>
      <c r="AV567" s="219"/>
      <c r="AW567" s="219"/>
      <c r="AX567" s="219"/>
      <c r="AY567" s="219"/>
      <c r="AZ567" s="219"/>
      <c r="BA567" s="219"/>
      <c r="BB567" s="219"/>
      <c r="BC567" s="219"/>
      <c r="BD567" s="219"/>
      <c r="BE567" s="219"/>
      <c r="BF567" s="219"/>
      <c r="BG567" s="219"/>
      <c r="BH567" s="219"/>
      <c r="BI567" s="219"/>
      <c r="BJ567" s="219"/>
      <c r="BK567" s="219"/>
      <c r="BL567" s="219"/>
      <c r="BM567" s="219"/>
      <c r="BN567" s="219"/>
    </row>
    <row r="568" ht="29.25" hidden="1" customHeight="1">
      <c r="A568" s="216"/>
      <c r="B568" s="217"/>
      <c r="C568" s="164"/>
      <c r="D568" s="164"/>
      <c r="E568" s="165"/>
      <c r="F568" s="173"/>
      <c r="G568" s="168"/>
      <c r="H568" s="168"/>
      <c r="I568" s="169"/>
      <c r="J568" s="170"/>
      <c r="K568" s="170"/>
      <c r="L568" s="170"/>
      <c r="M568" s="167"/>
      <c r="N568" s="169"/>
      <c r="O568" s="171"/>
      <c r="P568" s="106"/>
      <c r="Q568" s="218"/>
      <c r="R568" s="172"/>
      <c r="S568" s="172"/>
      <c r="T568" s="173"/>
      <c r="U568" s="219"/>
      <c r="V568" s="219"/>
      <c r="W568" s="219"/>
      <c r="X568" s="219"/>
      <c r="Y568" s="219"/>
      <c r="Z568" s="219"/>
      <c r="AA568" s="219"/>
      <c r="AB568" s="219"/>
      <c r="AC568" s="219"/>
      <c r="AD568" s="219"/>
      <c r="AE568" s="219"/>
      <c r="AF568" s="219"/>
      <c r="AG568" s="219"/>
      <c r="AH568" s="219"/>
      <c r="AI568" s="219"/>
      <c r="AJ568" s="219"/>
      <c r="AK568" s="219"/>
      <c r="AL568" s="219"/>
      <c r="AM568" s="219"/>
      <c r="AN568" s="219"/>
      <c r="AO568" s="219"/>
      <c r="AP568" s="219"/>
      <c r="AQ568" s="219"/>
      <c r="AR568" s="219"/>
      <c r="AS568" s="219"/>
      <c r="AT568" s="219"/>
      <c r="AU568" s="219"/>
      <c r="AV568" s="219"/>
      <c r="AW568" s="219"/>
      <c r="AX568" s="219"/>
      <c r="AY568" s="219"/>
      <c r="AZ568" s="219"/>
      <c r="BA568" s="219"/>
      <c r="BB568" s="219"/>
      <c r="BC568" s="219"/>
      <c r="BD568" s="219"/>
      <c r="BE568" s="219"/>
      <c r="BF568" s="219"/>
      <c r="BG568" s="219"/>
      <c r="BH568" s="219"/>
      <c r="BI568" s="219"/>
      <c r="BJ568" s="219"/>
      <c r="BK568" s="219"/>
      <c r="BL568" s="219"/>
      <c r="BM568" s="219"/>
      <c r="BN568" s="219"/>
    </row>
    <row r="569" ht="29.25" hidden="1" customHeight="1">
      <c r="A569" s="216"/>
      <c r="B569" s="217"/>
      <c r="C569" s="164"/>
      <c r="D569" s="164"/>
      <c r="E569" s="165"/>
      <c r="F569" s="173"/>
      <c r="G569" s="168"/>
      <c r="H569" s="168"/>
      <c r="I569" s="169"/>
      <c r="J569" s="170"/>
      <c r="K569" s="170"/>
      <c r="L569" s="170"/>
      <c r="M569" s="167"/>
      <c r="N569" s="169"/>
      <c r="O569" s="171"/>
      <c r="P569" s="106"/>
      <c r="Q569" s="218"/>
      <c r="R569" s="172"/>
      <c r="S569" s="172"/>
      <c r="T569" s="173"/>
      <c r="U569" s="219"/>
      <c r="V569" s="219"/>
      <c r="W569" s="219"/>
      <c r="X569" s="219"/>
      <c r="Y569" s="219"/>
      <c r="Z569" s="219"/>
      <c r="AA569" s="219"/>
      <c r="AB569" s="219"/>
      <c r="AC569" s="219"/>
      <c r="AD569" s="219"/>
      <c r="AE569" s="219"/>
      <c r="AF569" s="219"/>
      <c r="AG569" s="219"/>
      <c r="AH569" s="219"/>
      <c r="AI569" s="219"/>
      <c r="AJ569" s="219"/>
      <c r="AK569" s="219"/>
      <c r="AL569" s="219"/>
      <c r="AM569" s="219"/>
      <c r="AN569" s="219"/>
      <c r="AO569" s="219"/>
      <c r="AP569" s="219"/>
      <c r="AQ569" s="219"/>
      <c r="AR569" s="219"/>
      <c r="AS569" s="219"/>
      <c r="AT569" s="219"/>
      <c r="AU569" s="219"/>
      <c r="AV569" s="219"/>
      <c r="AW569" s="219"/>
      <c r="AX569" s="219"/>
      <c r="AY569" s="219"/>
      <c r="AZ569" s="219"/>
      <c r="BA569" s="219"/>
      <c r="BB569" s="219"/>
      <c r="BC569" s="219"/>
      <c r="BD569" s="219"/>
      <c r="BE569" s="219"/>
      <c r="BF569" s="219"/>
      <c r="BG569" s="219"/>
      <c r="BH569" s="219"/>
      <c r="BI569" s="219"/>
      <c r="BJ569" s="219"/>
      <c r="BK569" s="219"/>
      <c r="BL569" s="219"/>
      <c r="BM569" s="219"/>
      <c r="BN569" s="219"/>
    </row>
    <row r="570" ht="29.25" hidden="1" customHeight="1">
      <c r="A570" s="216"/>
      <c r="B570" s="217"/>
      <c r="C570" s="164"/>
      <c r="D570" s="164"/>
      <c r="E570" s="165"/>
      <c r="F570" s="173"/>
      <c r="G570" s="168"/>
      <c r="H570" s="168"/>
      <c r="I570" s="169"/>
      <c r="J570" s="170"/>
      <c r="K570" s="170"/>
      <c r="L570" s="170"/>
      <c r="M570" s="167"/>
      <c r="N570" s="169"/>
      <c r="O570" s="171"/>
      <c r="P570" s="106"/>
      <c r="Q570" s="218"/>
      <c r="R570" s="172"/>
      <c r="S570" s="172"/>
      <c r="T570" s="173"/>
      <c r="U570" s="219"/>
      <c r="V570" s="219"/>
      <c r="W570" s="219"/>
      <c r="X570" s="219"/>
      <c r="Y570" s="219"/>
      <c r="Z570" s="219"/>
      <c r="AA570" s="219"/>
      <c r="AB570" s="219"/>
      <c r="AC570" s="219"/>
      <c r="AD570" s="219"/>
      <c r="AE570" s="219"/>
      <c r="AF570" s="219"/>
      <c r="AG570" s="219"/>
      <c r="AH570" s="219"/>
      <c r="AI570" s="219"/>
      <c r="AJ570" s="219"/>
      <c r="AK570" s="219"/>
      <c r="AL570" s="219"/>
      <c r="AM570" s="219"/>
      <c r="AN570" s="219"/>
      <c r="AO570" s="219"/>
      <c r="AP570" s="219"/>
      <c r="AQ570" s="219"/>
      <c r="AR570" s="219"/>
      <c r="AS570" s="219"/>
      <c r="AT570" s="219"/>
      <c r="AU570" s="219"/>
      <c r="AV570" s="219"/>
      <c r="AW570" s="219"/>
      <c r="AX570" s="219"/>
      <c r="AY570" s="219"/>
      <c r="AZ570" s="219"/>
      <c r="BA570" s="219"/>
      <c r="BB570" s="219"/>
      <c r="BC570" s="219"/>
      <c r="BD570" s="219"/>
      <c r="BE570" s="219"/>
      <c r="BF570" s="219"/>
      <c r="BG570" s="219"/>
      <c r="BH570" s="219"/>
      <c r="BI570" s="219"/>
      <c r="BJ570" s="219"/>
      <c r="BK570" s="219"/>
      <c r="BL570" s="219"/>
      <c r="BM570" s="219"/>
      <c r="BN570" s="219"/>
    </row>
    <row r="571" ht="29.25" hidden="1" customHeight="1">
      <c r="A571" s="216"/>
      <c r="B571" s="217"/>
      <c r="C571" s="164"/>
      <c r="D571" s="164"/>
      <c r="E571" s="165"/>
      <c r="F571" s="173"/>
      <c r="G571" s="168"/>
      <c r="H571" s="168"/>
      <c r="I571" s="169"/>
      <c r="J571" s="170"/>
      <c r="K571" s="170"/>
      <c r="L571" s="170"/>
      <c r="M571" s="167"/>
      <c r="N571" s="169"/>
      <c r="O571" s="171"/>
      <c r="P571" s="106"/>
      <c r="Q571" s="218"/>
      <c r="R571" s="172"/>
      <c r="S571" s="172"/>
      <c r="T571" s="173"/>
      <c r="U571" s="219"/>
      <c r="V571" s="219"/>
      <c r="W571" s="219"/>
      <c r="X571" s="219"/>
      <c r="Y571" s="219"/>
      <c r="Z571" s="219"/>
      <c r="AA571" s="219"/>
      <c r="AB571" s="219"/>
      <c r="AC571" s="219"/>
      <c r="AD571" s="219"/>
      <c r="AE571" s="219"/>
      <c r="AF571" s="219"/>
      <c r="AG571" s="219"/>
      <c r="AH571" s="219"/>
      <c r="AI571" s="219"/>
      <c r="AJ571" s="219"/>
      <c r="AK571" s="219"/>
      <c r="AL571" s="219"/>
      <c r="AM571" s="219"/>
      <c r="AN571" s="219"/>
      <c r="AO571" s="219"/>
      <c r="AP571" s="219"/>
      <c r="AQ571" s="219"/>
      <c r="AR571" s="219"/>
      <c r="AS571" s="219"/>
      <c r="AT571" s="219"/>
      <c r="AU571" s="219"/>
      <c r="AV571" s="219"/>
      <c r="AW571" s="219"/>
      <c r="AX571" s="219"/>
      <c r="AY571" s="219"/>
      <c r="AZ571" s="219"/>
      <c r="BA571" s="219"/>
      <c r="BB571" s="219"/>
      <c r="BC571" s="219"/>
      <c r="BD571" s="219"/>
      <c r="BE571" s="219"/>
      <c r="BF571" s="219"/>
      <c r="BG571" s="219"/>
      <c r="BH571" s="219"/>
      <c r="BI571" s="219"/>
      <c r="BJ571" s="219"/>
      <c r="BK571" s="219"/>
      <c r="BL571" s="219"/>
      <c r="BM571" s="219"/>
      <c r="BN571" s="219"/>
    </row>
    <row r="572" ht="29.25" hidden="1" customHeight="1">
      <c r="A572" s="216"/>
      <c r="B572" s="217"/>
      <c r="C572" s="164"/>
      <c r="D572" s="164"/>
      <c r="E572" s="165"/>
      <c r="F572" s="173"/>
      <c r="G572" s="168"/>
      <c r="H572" s="168"/>
      <c r="I572" s="169"/>
      <c r="J572" s="170"/>
      <c r="K572" s="170"/>
      <c r="L572" s="170"/>
      <c r="M572" s="167"/>
      <c r="N572" s="169"/>
      <c r="O572" s="171"/>
      <c r="P572" s="106"/>
      <c r="Q572" s="218"/>
      <c r="R572" s="172"/>
      <c r="S572" s="172"/>
      <c r="T572" s="173"/>
      <c r="U572" s="219"/>
      <c r="V572" s="219"/>
      <c r="W572" s="219"/>
      <c r="X572" s="219"/>
      <c r="Y572" s="219"/>
      <c r="Z572" s="219"/>
      <c r="AA572" s="219"/>
      <c r="AB572" s="219"/>
      <c r="AC572" s="219"/>
      <c r="AD572" s="219"/>
      <c r="AE572" s="219"/>
      <c r="AF572" s="219"/>
      <c r="AG572" s="219"/>
      <c r="AH572" s="219"/>
      <c r="AI572" s="219"/>
      <c r="AJ572" s="219"/>
      <c r="AK572" s="219"/>
      <c r="AL572" s="219"/>
      <c r="AM572" s="219"/>
      <c r="AN572" s="219"/>
      <c r="AO572" s="219"/>
      <c r="AP572" s="219"/>
      <c r="AQ572" s="219"/>
      <c r="AR572" s="219"/>
      <c r="AS572" s="219"/>
      <c r="AT572" s="219"/>
      <c r="AU572" s="219"/>
      <c r="AV572" s="219"/>
      <c r="AW572" s="219"/>
      <c r="AX572" s="219"/>
      <c r="AY572" s="219"/>
      <c r="AZ572" s="219"/>
      <c r="BA572" s="219"/>
      <c r="BB572" s="219"/>
      <c r="BC572" s="219"/>
      <c r="BD572" s="219"/>
      <c r="BE572" s="219"/>
      <c r="BF572" s="219"/>
      <c r="BG572" s="219"/>
      <c r="BH572" s="219"/>
      <c r="BI572" s="219"/>
      <c r="BJ572" s="219"/>
      <c r="BK572" s="219"/>
      <c r="BL572" s="219"/>
      <c r="BM572" s="219"/>
      <c r="BN572" s="219"/>
    </row>
    <row r="573" ht="29.25" hidden="1" customHeight="1">
      <c r="A573" s="216"/>
      <c r="B573" s="217"/>
      <c r="C573" s="164"/>
      <c r="D573" s="164"/>
      <c r="E573" s="165"/>
      <c r="F573" s="173"/>
      <c r="G573" s="168"/>
      <c r="H573" s="168"/>
      <c r="I573" s="169"/>
      <c r="J573" s="170"/>
      <c r="K573" s="170"/>
      <c r="L573" s="170"/>
      <c r="M573" s="167"/>
      <c r="N573" s="169"/>
      <c r="O573" s="171"/>
      <c r="P573" s="106"/>
      <c r="Q573" s="218"/>
      <c r="R573" s="172"/>
      <c r="S573" s="172"/>
      <c r="T573" s="173"/>
      <c r="U573" s="219"/>
      <c r="V573" s="219"/>
      <c r="W573" s="219"/>
      <c r="X573" s="219"/>
      <c r="Y573" s="219"/>
      <c r="Z573" s="219"/>
      <c r="AA573" s="219"/>
      <c r="AB573" s="219"/>
      <c r="AC573" s="219"/>
      <c r="AD573" s="219"/>
      <c r="AE573" s="219"/>
      <c r="AF573" s="219"/>
      <c r="AG573" s="219"/>
      <c r="AH573" s="219"/>
      <c r="AI573" s="219"/>
      <c r="AJ573" s="219"/>
      <c r="AK573" s="219"/>
      <c r="AL573" s="219"/>
      <c r="AM573" s="219"/>
      <c r="AN573" s="219"/>
      <c r="AO573" s="219"/>
      <c r="AP573" s="219"/>
      <c r="AQ573" s="219"/>
      <c r="AR573" s="219"/>
      <c r="AS573" s="219"/>
      <c r="AT573" s="219"/>
      <c r="AU573" s="219"/>
      <c r="AV573" s="219"/>
      <c r="AW573" s="219"/>
      <c r="AX573" s="219"/>
      <c r="AY573" s="219"/>
      <c r="AZ573" s="219"/>
      <c r="BA573" s="219"/>
      <c r="BB573" s="219"/>
      <c r="BC573" s="219"/>
      <c r="BD573" s="219"/>
      <c r="BE573" s="219"/>
      <c r="BF573" s="219"/>
      <c r="BG573" s="219"/>
      <c r="BH573" s="219"/>
      <c r="BI573" s="219"/>
      <c r="BJ573" s="219"/>
      <c r="BK573" s="219"/>
      <c r="BL573" s="219"/>
      <c r="BM573" s="219"/>
      <c r="BN573" s="219"/>
    </row>
    <row r="574" ht="29.25" hidden="1" customHeight="1">
      <c r="A574" s="216"/>
      <c r="B574" s="217"/>
      <c r="C574" s="164"/>
      <c r="D574" s="164"/>
      <c r="E574" s="165"/>
      <c r="F574" s="173"/>
      <c r="G574" s="168"/>
      <c r="H574" s="168"/>
      <c r="I574" s="169"/>
      <c r="J574" s="170"/>
      <c r="K574" s="170"/>
      <c r="L574" s="170"/>
      <c r="M574" s="167"/>
      <c r="N574" s="169"/>
      <c r="O574" s="171"/>
      <c r="P574" s="106"/>
      <c r="Q574" s="218"/>
      <c r="R574" s="172"/>
      <c r="S574" s="172"/>
      <c r="T574" s="173"/>
      <c r="U574" s="219"/>
      <c r="V574" s="219"/>
      <c r="W574" s="219"/>
      <c r="X574" s="219"/>
      <c r="Y574" s="219"/>
      <c r="Z574" s="219"/>
      <c r="AA574" s="219"/>
      <c r="AB574" s="219"/>
      <c r="AC574" s="219"/>
      <c r="AD574" s="219"/>
      <c r="AE574" s="219"/>
      <c r="AF574" s="219"/>
      <c r="AG574" s="219"/>
      <c r="AH574" s="219"/>
      <c r="AI574" s="219"/>
      <c r="AJ574" s="219"/>
      <c r="AK574" s="219"/>
      <c r="AL574" s="219"/>
      <c r="AM574" s="219"/>
      <c r="AN574" s="219"/>
      <c r="AO574" s="219"/>
      <c r="AP574" s="219"/>
      <c r="AQ574" s="219"/>
      <c r="AR574" s="219"/>
      <c r="AS574" s="219"/>
      <c r="AT574" s="219"/>
      <c r="AU574" s="219"/>
      <c r="AV574" s="219"/>
      <c r="AW574" s="219"/>
      <c r="AX574" s="219"/>
      <c r="AY574" s="219"/>
      <c r="AZ574" s="219"/>
      <c r="BA574" s="219"/>
      <c r="BB574" s="219"/>
      <c r="BC574" s="219"/>
      <c r="BD574" s="219"/>
      <c r="BE574" s="219"/>
      <c r="BF574" s="219"/>
      <c r="BG574" s="219"/>
      <c r="BH574" s="219"/>
      <c r="BI574" s="219"/>
      <c r="BJ574" s="219"/>
      <c r="BK574" s="219"/>
      <c r="BL574" s="219"/>
      <c r="BM574" s="219"/>
      <c r="BN574" s="219"/>
    </row>
    <row r="575" ht="29.25" hidden="1" customHeight="1">
      <c r="A575" s="216"/>
      <c r="B575" s="217"/>
      <c r="C575" s="164"/>
      <c r="D575" s="164"/>
      <c r="E575" s="165"/>
      <c r="F575" s="173"/>
      <c r="G575" s="168"/>
      <c r="H575" s="168"/>
      <c r="I575" s="169"/>
      <c r="J575" s="170"/>
      <c r="K575" s="170"/>
      <c r="L575" s="170"/>
      <c r="M575" s="167"/>
      <c r="N575" s="169"/>
      <c r="O575" s="171"/>
      <c r="P575" s="106"/>
      <c r="Q575" s="218"/>
      <c r="R575" s="172"/>
      <c r="S575" s="172"/>
      <c r="T575" s="173"/>
      <c r="U575" s="219"/>
      <c r="V575" s="219"/>
      <c r="W575" s="219"/>
      <c r="X575" s="219"/>
      <c r="Y575" s="219"/>
      <c r="Z575" s="219"/>
      <c r="AA575" s="219"/>
      <c r="AB575" s="219"/>
      <c r="AC575" s="219"/>
      <c r="AD575" s="219"/>
      <c r="AE575" s="219"/>
      <c r="AF575" s="219"/>
      <c r="AG575" s="219"/>
      <c r="AH575" s="219"/>
      <c r="AI575" s="219"/>
      <c r="AJ575" s="219"/>
      <c r="AK575" s="219"/>
      <c r="AL575" s="219"/>
      <c r="AM575" s="219"/>
      <c r="AN575" s="219"/>
      <c r="AO575" s="219"/>
      <c r="AP575" s="219"/>
      <c r="AQ575" s="219"/>
      <c r="AR575" s="219"/>
      <c r="AS575" s="219"/>
      <c r="AT575" s="219"/>
      <c r="AU575" s="219"/>
      <c r="AV575" s="219"/>
      <c r="AW575" s="219"/>
      <c r="AX575" s="219"/>
      <c r="AY575" s="219"/>
      <c r="AZ575" s="219"/>
      <c r="BA575" s="219"/>
      <c r="BB575" s="219"/>
      <c r="BC575" s="219"/>
      <c r="BD575" s="219"/>
      <c r="BE575" s="219"/>
      <c r="BF575" s="219"/>
      <c r="BG575" s="219"/>
      <c r="BH575" s="219"/>
      <c r="BI575" s="219"/>
      <c r="BJ575" s="219"/>
      <c r="BK575" s="219"/>
      <c r="BL575" s="219"/>
      <c r="BM575" s="219"/>
      <c r="BN575" s="219"/>
    </row>
    <row r="576" ht="29.25" hidden="1" customHeight="1">
      <c r="A576" s="216"/>
      <c r="B576" s="217"/>
      <c r="C576" s="164"/>
      <c r="D576" s="164"/>
      <c r="E576" s="165"/>
      <c r="F576" s="173"/>
      <c r="G576" s="168"/>
      <c r="H576" s="168"/>
      <c r="I576" s="169"/>
      <c r="J576" s="170"/>
      <c r="K576" s="170"/>
      <c r="L576" s="170"/>
      <c r="M576" s="167"/>
      <c r="N576" s="169"/>
      <c r="O576" s="171"/>
      <c r="P576" s="106"/>
      <c r="Q576" s="218"/>
      <c r="R576" s="172"/>
      <c r="S576" s="172"/>
      <c r="T576" s="173"/>
      <c r="U576" s="219"/>
      <c r="V576" s="219"/>
      <c r="W576" s="219"/>
      <c r="X576" s="219"/>
      <c r="Y576" s="219"/>
      <c r="Z576" s="219"/>
      <c r="AA576" s="219"/>
      <c r="AB576" s="219"/>
      <c r="AC576" s="219"/>
      <c r="AD576" s="219"/>
      <c r="AE576" s="219"/>
      <c r="AF576" s="219"/>
      <c r="AG576" s="219"/>
      <c r="AH576" s="219"/>
      <c r="AI576" s="219"/>
      <c r="AJ576" s="219"/>
      <c r="AK576" s="219"/>
      <c r="AL576" s="219"/>
      <c r="AM576" s="219"/>
      <c r="AN576" s="219"/>
      <c r="AO576" s="219"/>
      <c r="AP576" s="219"/>
      <c r="AQ576" s="219"/>
      <c r="AR576" s="219"/>
      <c r="AS576" s="219"/>
      <c r="AT576" s="219"/>
      <c r="AU576" s="219"/>
      <c r="AV576" s="219"/>
      <c r="AW576" s="219"/>
      <c r="AX576" s="219"/>
      <c r="AY576" s="219"/>
      <c r="AZ576" s="219"/>
      <c r="BA576" s="219"/>
      <c r="BB576" s="219"/>
      <c r="BC576" s="219"/>
      <c r="BD576" s="219"/>
      <c r="BE576" s="219"/>
      <c r="BF576" s="219"/>
      <c r="BG576" s="219"/>
      <c r="BH576" s="219"/>
      <c r="BI576" s="219"/>
      <c r="BJ576" s="219"/>
      <c r="BK576" s="219"/>
      <c r="BL576" s="219"/>
      <c r="BM576" s="219"/>
      <c r="BN576" s="219"/>
    </row>
    <row r="577" ht="29.25" hidden="1" customHeight="1">
      <c r="A577" s="216"/>
      <c r="B577" s="217"/>
      <c r="C577" s="164"/>
      <c r="D577" s="164"/>
      <c r="E577" s="165"/>
      <c r="F577" s="173"/>
      <c r="G577" s="168"/>
      <c r="H577" s="168"/>
      <c r="I577" s="169"/>
      <c r="J577" s="170"/>
      <c r="K577" s="170"/>
      <c r="L577" s="170"/>
      <c r="M577" s="167"/>
      <c r="N577" s="169"/>
      <c r="O577" s="171"/>
      <c r="P577" s="106"/>
      <c r="Q577" s="218"/>
      <c r="R577" s="172"/>
      <c r="S577" s="172"/>
      <c r="T577" s="173"/>
      <c r="U577" s="219"/>
      <c r="V577" s="219"/>
      <c r="W577" s="219"/>
      <c r="X577" s="219"/>
      <c r="Y577" s="219"/>
      <c r="Z577" s="219"/>
      <c r="AA577" s="219"/>
      <c r="AB577" s="219"/>
      <c r="AC577" s="219"/>
      <c r="AD577" s="219"/>
      <c r="AE577" s="219"/>
      <c r="AF577" s="219"/>
      <c r="AG577" s="219"/>
      <c r="AH577" s="219"/>
      <c r="AI577" s="219"/>
      <c r="AJ577" s="219"/>
      <c r="AK577" s="219"/>
      <c r="AL577" s="219"/>
      <c r="AM577" s="219"/>
      <c r="AN577" s="219"/>
      <c r="AO577" s="219"/>
      <c r="AP577" s="219"/>
      <c r="AQ577" s="219"/>
      <c r="AR577" s="219"/>
      <c r="AS577" s="219"/>
      <c r="AT577" s="219"/>
      <c r="AU577" s="219"/>
      <c r="AV577" s="219"/>
      <c r="AW577" s="219"/>
      <c r="AX577" s="219"/>
      <c r="AY577" s="219"/>
      <c r="AZ577" s="219"/>
      <c r="BA577" s="219"/>
      <c r="BB577" s="219"/>
      <c r="BC577" s="219"/>
      <c r="BD577" s="219"/>
      <c r="BE577" s="219"/>
      <c r="BF577" s="219"/>
      <c r="BG577" s="219"/>
      <c r="BH577" s="219"/>
      <c r="BI577" s="219"/>
      <c r="BJ577" s="219"/>
      <c r="BK577" s="219"/>
      <c r="BL577" s="219"/>
      <c r="BM577" s="219"/>
      <c r="BN577" s="219"/>
    </row>
    <row r="578" ht="29.25" hidden="1" customHeight="1">
      <c r="A578" s="216"/>
      <c r="B578" s="217"/>
      <c r="C578" s="164"/>
      <c r="D578" s="164"/>
      <c r="E578" s="165"/>
      <c r="F578" s="173"/>
      <c r="G578" s="168"/>
      <c r="H578" s="168"/>
      <c r="I578" s="169"/>
      <c r="J578" s="170"/>
      <c r="K578" s="170"/>
      <c r="L578" s="170"/>
      <c r="M578" s="167"/>
      <c r="N578" s="169"/>
      <c r="O578" s="171"/>
      <c r="P578" s="106"/>
      <c r="Q578" s="218"/>
      <c r="R578" s="172"/>
      <c r="S578" s="172"/>
      <c r="T578" s="173"/>
      <c r="U578" s="219"/>
      <c r="V578" s="219"/>
      <c r="W578" s="219"/>
      <c r="X578" s="219"/>
      <c r="Y578" s="219"/>
      <c r="Z578" s="219"/>
      <c r="AA578" s="219"/>
      <c r="AB578" s="219"/>
      <c r="AC578" s="219"/>
      <c r="AD578" s="219"/>
      <c r="AE578" s="219"/>
      <c r="AF578" s="219"/>
      <c r="AG578" s="219"/>
      <c r="AH578" s="219"/>
      <c r="AI578" s="219"/>
      <c r="AJ578" s="219"/>
      <c r="AK578" s="219"/>
      <c r="AL578" s="219"/>
      <c r="AM578" s="219"/>
      <c r="AN578" s="219"/>
      <c r="AO578" s="219"/>
      <c r="AP578" s="219"/>
      <c r="AQ578" s="219"/>
      <c r="AR578" s="219"/>
      <c r="AS578" s="219"/>
      <c r="AT578" s="219"/>
      <c r="AU578" s="219"/>
      <c r="AV578" s="219"/>
      <c r="AW578" s="219"/>
      <c r="AX578" s="219"/>
      <c r="AY578" s="219"/>
      <c r="AZ578" s="219"/>
      <c r="BA578" s="219"/>
      <c r="BB578" s="219"/>
      <c r="BC578" s="219"/>
      <c r="BD578" s="219"/>
      <c r="BE578" s="219"/>
      <c r="BF578" s="219"/>
      <c r="BG578" s="219"/>
      <c r="BH578" s="219"/>
      <c r="BI578" s="219"/>
      <c r="BJ578" s="219"/>
      <c r="BK578" s="219"/>
      <c r="BL578" s="219"/>
      <c r="BM578" s="219"/>
      <c r="BN578" s="219"/>
    </row>
    <row r="579" ht="29.25" hidden="1" customHeight="1">
      <c r="A579" s="216"/>
      <c r="B579" s="217"/>
      <c r="C579" s="164"/>
      <c r="D579" s="164"/>
      <c r="E579" s="165"/>
      <c r="F579" s="173"/>
      <c r="G579" s="168"/>
      <c r="H579" s="168"/>
      <c r="I579" s="169"/>
      <c r="J579" s="170"/>
      <c r="K579" s="170"/>
      <c r="L579" s="170"/>
      <c r="M579" s="167"/>
      <c r="N579" s="169"/>
      <c r="O579" s="171"/>
      <c r="P579" s="106"/>
      <c r="Q579" s="218"/>
      <c r="R579" s="172"/>
      <c r="S579" s="172"/>
      <c r="T579" s="173"/>
      <c r="U579" s="219"/>
      <c r="V579" s="219"/>
      <c r="W579" s="219"/>
      <c r="X579" s="219"/>
      <c r="Y579" s="219"/>
      <c r="Z579" s="219"/>
      <c r="AA579" s="219"/>
      <c r="AB579" s="219"/>
      <c r="AC579" s="219"/>
      <c r="AD579" s="219"/>
      <c r="AE579" s="219"/>
      <c r="AF579" s="219"/>
      <c r="AG579" s="219"/>
      <c r="AH579" s="219"/>
      <c r="AI579" s="219"/>
      <c r="AJ579" s="219"/>
      <c r="AK579" s="219"/>
      <c r="AL579" s="219"/>
      <c r="AM579" s="219"/>
      <c r="AN579" s="219"/>
      <c r="AO579" s="219"/>
      <c r="AP579" s="219"/>
      <c r="AQ579" s="219"/>
      <c r="AR579" s="219"/>
      <c r="AS579" s="219"/>
      <c r="AT579" s="219"/>
      <c r="AU579" s="219"/>
      <c r="AV579" s="219"/>
      <c r="AW579" s="219"/>
      <c r="AX579" s="219"/>
      <c r="AY579" s="219"/>
      <c r="AZ579" s="219"/>
      <c r="BA579" s="219"/>
      <c r="BB579" s="219"/>
      <c r="BC579" s="219"/>
      <c r="BD579" s="219"/>
      <c r="BE579" s="219"/>
      <c r="BF579" s="219"/>
      <c r="BG579" s="219"/>
      <c r="BH579" s="219"/>
      <c r="BI579" s="219"/>
      <c r="BJ579" s="219"/>
      <c r="BK579" s="219"/>
      <c r="BL579" s="219"/>
      <c r="BM579" s="219"/>
      <c r="BN579" s="219"/>
    </row>
    <row r="580" ht="29.25" hidden="1" customHeight="1">
      <c r="A580" s="216"/>
      <c r="B580" s="217"/>
      <c r="C580" s="164"/>
      <c r="D580" s="164"/>
      <c r="E580" s="165"/>
      <c r="F580" s="173"/>
      <c r="G580" s="168"/>
      <c r="H580" s="168"/>
      <c r="I580" s="169"/>
      <c r="J580" s="170"/>
      <c r="K580" s="170"/>
      <c r="L580" s="170"/>
      <c r="M580" s="167"/>
      <c r="N580" s="169"/>
      <c r="O580" s="171"/>
      <c r="P580" s="106"/>
      <c r="Q580" s="218"/>
      <c r="R580" s="172"/>
      <c r="S580" s="172"/>
      <c r="T580" s="173"/>
      <c r="U580" s="219"/>
      <c r="V580" s="219"/>
      <c r="W580" s="219"/>
      <c r="X580" s="219"/>
      <c r="Y580" s="219"/>
      <c r="Z580" s="219"/>
      <c r="AA580" s="219"/>
      <c r="AB580" s="219"/>
      <c r="AC580" s="219"/>
      <c r="AD580" s="219"/>
      <c r="AE580" s="219"/>
      <c r="AF580" s="219"/>
      <c r="AG580" s="219"/>
      <c r="AH580" s="219"/>
      <c r="AI580" s="219"/>
      <c r="AJ580" s="219"/>
      <c r="AK580" s="219"/>
      <c r="AL580" s="219"/>
      <c r="AM580" s="219"/>
      <c r="AN580" s="219"/>
      <c r="AO580" s="219"/>
      <c r="AP580" s="219"/>
      <c r="AQ580" s="219"/>
      <c r="AR580" s="219"/>
      <c r="AS580" s="219"/>
      <c r="AT580" s="219"/>
      <c r="AU580" s="219"/>
      <c r="AV580" s="219"/>
      <c r="AW580" s="219"/>
      <c r="AX580" s="219"/>
      <c r="AY580" s="219"/>
      <c r="AZ580" s="219"/>
      <c r="BA580" s="219"/>
      <c r="BB580" s="219"/>
      <c r="BC580" s="219"/>
      <c r="BD580" s="219"/>
      <c r="BE580" s="219"/>
      <c r="BF580" s="219"/>
      <c r="BG580" s="219"/>
      <c r="BH580" s="219"/>
      <c r="BI580" s="219"/>
      <c r="BJ580" s="219"/>
      <c r="BK580" s="219"/>
      <c r="BL580" s="219"/>
      <c r="BM580" s="219"/>
      <c r="BN580" s="219"/>
    </row>
    <row r="581" ht="29.25" hidden="1" customHeight="1">
      <c r="A581" s="216"/>
      <c r="B581" s="217"/>
      <c r="C581" s="164"/>
      <c r="D581" s="164"/>
      <c r="E581" s="165"/>
      <c r="F581" s="173"/>
      <c r="G581" s="168"/>
      <c r="H581" s="168"/>
      <c r="I581" s="169"/>
      <c r="J581" s="170"/>
      <c r="K581" s="170"/>
      <c r="L581" s="170"/>
      <c r="M581" s="167"/>
      <c r="N581" s="169"/>
      <c r="O581" s="171"/>
      <c r="P581" s="106"/>
      <c r="Q581" s="218"/>
      <c r="R581" s="172"/>
      <c r="S581" s="172"/>
      <c r="T581" s="173"/>
      <c r="U581" s="219"/>
      <c r="V581" s="219"/>
      <c r="W581" s="219"/>
      <c r="X581" s="219"/>
      <c r="Y581" s="219"/>
      <c r="Z581" s="219"/>
      <c r="AA581" s="219"/>
      <c r="AB581" s="219"/>
      <c r="AC581" s="219"/>
      <c r="AD581" s="219"/>
      <c r="AE581" s="219"/>
      <c r="AF581" s="219"/>
      <c r="AG581" s="219"/>
      <c r="AH581" s="219"/>
      <c r="AI581" s="219"/>
      <c r="AJ581" s="219"/>
      <c r="AK581" s="219"/>
      <c r="AL581" s="219"/>
      <c r="AM581" s="219"/>
      <c r="AN581" s="219"/>
      <c r="AO581" s="219"/>
      <c r="AP581" s="219"/>
      <c r="AQ581" s="219"/>
      <c r="AR581" s="219"/>
      <c r="AS581" s="219"/>
      <c r="AT581" s="219"/>
      <c r="AU581" s="219"/>
      <c r="AV581" s="219"/>
      <c r="AW581" s="219"/>
      <c r="AX581" s="219"/>
      <c r="AY581" s="219"/>
      <c r="AZ581" s="219"/>
      <c r="BA581" s="219"/>
      <c r="BB581" s="219"/>
      <c r="BC581" s="219"/>
      <c r="BD581" s="219"/>
      <c r="BE581" s="219"/>
      <c r="BF581" s="219"/>
      <c r="BG581" s="219"/>
      <c r="BH581" s="219"/>
      <c r="BI581" s="219"/>
      <c r="BJ581" s="219"/>
      <c r="BK581" s="219"/>
      <c r="BL581" s="219"/>
      <c r="BM581" s="219"/>
      <c r="BN581" s="219"/>
    </row>
    <row r="582" ht="29.25" hidden="1" customHeight="1">
      <c r="A582" s="216"/>
      <c r="B582" s="217"/>
      <c r="C582" s="164"/>
      <c r="D582" s="164"/>
      <c r="E582" s="165"/>
      <c r="F582" s="173"/>
      <c r="G582" s="168"/>
      <c r="H582" s="168"/>
      <c r="I582" s="169"/>
      <c r="J582" s="170"/>
      <c r="K582" s="170"/>
      <c r="L582" s="170"/>
      <c r="M582" s="167"/>
      <c r="N582" s="169"/>
      <c r="O582" s="171"/>
      <c r="P582" s="106"/>
      <c r="Q582" s="218"/>
      <c r="R582" s="172"/>
      <c r="S582" s="172"/>
      <c r="T582" s="173"/>
      <c r="U582" s="219"/>
      <c r="V582" s="219"/>
      <c r="W582" s="219"/>
      <c r="X582" s="219"/>
      <c r="Y582" s="219"/>
      <c r="Z582" s="219"/>
      <c r="AA582" s="219"/>
      <c r="AB582" s="219"/>
      <c r="AC582" s="219"/>
      <c r="AD582" s="219"/>
      <c r="AE582" s="219"/>
      <c r="AF582" s="219"/>
      <c r="AG582" s="219"/>
      <c r="AH582" s="219"/>
      <c r="AI582" s="219"/>
      <c r="AJ582" s="219"/>
      <c r="AK582" s="219"/>
      <c r="AL582" s="219"/>
      <c r="AM582" s="219"/>
      <c r="AN582" s="219"/>
      <c r="AO582" s="219"/>
      <c r="AP582" s="219"/>
      <c r="AQ582" s="219"/>
      <c r="AR582" s="219"/>
      <c r="AS582" s="219"/>
      <c r="AT582" s="219"/>
      <c r="AU582" s="219"/>
      <c r="AV582" s="219"/>
      <c r="AW582" s="219"/>
      <c r="AX582" s="219"/>
      <c r="AY582" s="219"/>
      <c r="AZ582" s="219"/>
      <c r="BA582" s="219"/>
      <c r="BB582" s="219"/>
      <c r="BC582" s="219"/>
      <c r="BD582" s="219"/>
      <c r="BE582" s="219"/>
      <c r="BF582" s="219"/>
      <c r="BG582" s="219"/>
      <c r="BH582" s="219"/>
      <c r="BI582" s="219"/>
      <c r="BJ582" s="219"/>
      <c r="BK582" s="219"/>
      <c r="BL582" s="219"/>
      <c r="BM582" s="219"/>
      <c r="BN582" s="219"/>
    </row>
    <row r="583" ht="29.25" hidden="1" customHeight="1">
      <c r="A583" s="216"/>
      <c r="B583" s="217"/>
      <c r="C583" s="164"/>
      <c r="D583" s="164"/>
      <c r="E583" s="165"/>
      <c r="F583" s="173"/>
      <c r="G583" s="168"/>
      <c r="H583" s="168"/>
      <c r="I583" s="169"/>
      <c r="J583" s="170"/>
      <c r="K583" s="170"/>
      <c r="L583" s="170"/>
      <c r="M583" s="167"/>
      <c r="N583" s="169"/>
      <c r="O583" s="171"/>
      <c r="P583" s="106"/>
      <c r="Q583" s="218"/>
      <c r="R583" s="172"/>
      <c r="S583" s="172"/>
      <c r="T583" s="173"/>
      <c r="U583" s="219"/>
      <c r="V583" s="219"/>
      <c r="W583" s="219"/>
      <c r="X583" s="219"/>
      <c r="Y583" s="219"/>
      <c r="Z583" s="219"/>
      <c r="AA583" s="219"/>
      <c r="AB583" s="219"/>
      <c r="AC583" s="219"/>
      <c r="AD583" s="219"/>
      <c r="AE583" s="219"/>
      <c r="AF583" s="219"/>
      <c r="AG583" s="219"/>
      <c r="AH583" s="219"/>
      <c r="AI583" s="219"/>
      <c r="AJ583" s="219"/>
      <c r="AK583" s="219"/>
      <c r="AL583" s="219"/>
      <c r="AM583" s="219"/>
      <c r="AN583" s="219"/>
      <c r="AO583" s="219"/>
      <c r="AP583" s="219"/>
      <c r="AQ583" s="219"/>
      <c r="AR583" s="219"/>
      <c r="AS583" s="219"/>
      <c r="AT583" s="219"/>
      <c r="AU583" s="219"/>
      <c r="AV583" s="219"/>
      <c r="AW583" s="219"/>
      <c r="AX583" s="219"/>
      <c r="AY583" s="219"/>
      <c r="AZ583" s="219"/>
      <c r="BA583" s="219"/>
      <c r="BB583" s="219"/>
      <c r="BC583" s="219"/>
      <c r="BD583" s="219"/>
      <c r="BE583" s="219"/>
      <c r="BF583" s="219"/>
      <c r="BG583" s="219"/>
      <c r="BH583" s="219"/>
      <c r="BI583" s="219"/>
      <c r="BJ583" s="219"/>
      <c r="BK583" s="219"/>
      <c r="BL583" s="219"/>
      <c r="BM583" s="219"/>
      <c r="BN583" s="219"/>
    </row>
    <row r="584" ht="29.25" hidden="1" customHeight="1">
      <c r="A584" s="216"/>
      <c r="B584" s="217"/>
      <c r="C584" s="164"/>
      <c r="D584" s="164"/>
      <c r="E584" s="165"/>
      <c r="F584" s="173"/>
      <c r="G584" s="168"/>
      <c r="H584" s="168"/>
      <c r="I584" s="169"/>
      <c r="J584" s="170"/>
      <c r="K584" s="170"/>
      <c r="L584" s="170"/>
      <c r="M584" s="167"/>
      <c r="N584" s="169"/>
      <c r="O584" s="171"/>
      <c r="P584" s="106"/>
      <c r="Q584" s="218"/>
      <c r="R584" s="172"/>
      <c r="S584" s="172"/>
      <c r="T584" s="173"/>
      <c r="U584" s="219"/>
      <c r="V584" s="219"/>
      <c r="W584" s="219"/>
      <c r="X584" s="219"/>
      <c r="Y584" s="219"/>
      <c r="Z584" s="219"/>
      <c r="AA584" s="219"/>
      <c r="AB584" s="219"/>
      <c r="AC584" s="219"/>
      <c r="AD584" s="219"/>
      <c r="AE584" s="219"/>
      <c r="AF584" s="219"/>
      <c r="AG584" s="219"/>
      <c r="AH584" s="219"/>
      <c r="AI584" s="219"/>
      <c r="AJ584" s="219"/>
      <c r="AK584" s="219"/>
      <c r="AL584" s="219"/>
      <c r="AM584" s="219"/>
      <c r="AN584" s="219"/>
      <c r="AO584" s="219"/>
      <c r="AP584" s="219"/>
      <c r="AQ584" s="219"/>
      <c r="AR584" s="219"/>
      <c r="AS584" s="219"/>
      <c r="AT584" s="219"/>
      <c r="AU584" s="219"/>
      <c r="AV584" s="219"/>
      <c r="AW584" s="219"/>
      <c r="AX584" s="219"/>
      <c r="AY584" s="219"/>
      <c r="AZ584" s="219"/>
      <c r="BA584" s="219"/>
      <c r="BB584" s="219"/>
      <c r="BC584" s="219"/>
      <c r="BD584" s="219"/>
      <c r="BE584" s="219"/>
      <c r="BF584" s="219"/>
      <c r="BG584" s="219"/>
      <c r="BH584" s="219"/>
      <c r="BI584" s="219"/>
      <c r="BJ584" s="219"/>
      <c r="BK584" s="219"/>
      <c r="BL584" s="219"/>
      <c r="BM584" s="219"/>
      <c r="BN584" s="219"/>
    </row>
    <row r="585" ht="29.25" hidden="1" customHeight="1">
      <c r="A585" s="216"/>
      <c r="B585" s="217"/>
      <c r="C585" s="164"/>
      <c r="D585" s="164"/>
      <c r="E585" s="165"/>
      <c r="F585" s="173"/>
      <c r="G585" s="168"/>
      <c r="H585" s="168"/>
      <c r="I585" s="169"/>
      <c r="J585" s="170"/>
      <c r="K585" s="170"/>
      <c r="L585" s="170"/>
      <c r="M585" s="167"/>
      <c r="N585" s="169"/>
      <c r="O585" s="171"/>
      <c r="P585" s="106"/>
      <c r="Q585" s="218"/>
      <c r="R585" s="172"/>
      <c r="S585" s="172"/>
      <c r="T585" s="173"/>
      <c r="U585" s="219"/>
      <c r="V585" s="219"/>
      <c r="W585" s="219"/>
      <c r="X585" s="219"/>
      <c r="Y585" s="219"/>
      <c r="Z585" s="219"/>
      <c r="AA585" s="219"/>
      <c r="AB585" s="219"/>
      <c r="AC585" s="219"/>
      <c r="AD585" s="219"/>
      <c r="AE585" s="219"/>
      <c r="AF585" s="219"/>
      <c r="AG585" s="219"/>
      <c r="AH585" s="219"/>
      <c r="AI585" s="219"/>
      <c r="AJ585" s="219"/>
      <c r="AK585" s="219"/>
      <c r="AL585" s="219"/>
      <c r="AM585" s="219"/>
      <c r="AN585" s="219"/>
      <c r="AO585" s="219"/>
      <c r="AP585" s="219"/>
      <c r="AQ585" s="219"/>
      <c r="AR585" s="219"/>
      <c r="AS585" s="219"/>
      <c r="AT585" s="219"/>
      <c r="AU585" s="219"/>
      <c r="AV585" s="219"/>
      <c r="AW585" s="219"/>
      <c r="AX585" s="219"/>
      <c r="AY585" s="219"/>
      <c r="AZ585" s="219"/>
      <c r="BA585" s="219"/>
      <c r="BB585" s="219"/>
      <c r="BC585" s="219"/>
      <c r="BD585" s="219"/>
      <c r="BE585" s="219"/>
      <c r="BF585" s="219"/>
      <c r="BG585" s="219"/>
      <c r="BH585" s="219"/>
      <c r="BI585" s="219"/>
      <c r="BJ585" s="219"/>
      <c r="BK585" s="219"/>
      <c r="BL585" s="219"/>
      <c r="BM585" s="219"/>
      <c r="BN585" s="219"/>
    </row>
    <row r="586" ht="29.25" hidden="1" customHeight="1">
      <c r="A586" s="216"/>
      <c r="B586" s="217"/>
      <c r="C586" s="164"/>
      <c r="D586" s="164"/>
      <c r="E586" s="165"/>
      <c r="F586" s="173"/>
      <c r="G586" s="168"/>
      <c r="H586" s="168"/>
      <c r="I586" s="169"/>
      <c r="J586" s="170"/>
      <c r="K586" s="170"/>
      <c r="L586" s="170"/>
      <c r="M586" s="167"/>
      <c r="N586" s="169"/>
      <c r="O586" s="171"/>
      <c r="P586" s="106"/>
      <c r="Q586" s="218"/>
      <c r="R586" s="172"/>
      <c r="S586" s="172"/>
      <c r="T586" s="173"/>
      <c r="U586" s="219"/>
      <c r="V586" s="219"/>
      <c r="W586" s="219"/>
      <c r="X586" s="219"/>
      <c r="Y586" s="219"/>
      <c r="Z586" s="219"/>
      <c r="AA586" s="219"/>
      <c r="AB586" s="219"/>
      <c r="AC586" s="219"/>
      <c r="AD586" s="219"/>
      <c r="AE586" s="219"/>
      <c r="AF586" s="219"/>
      <c r="AG586" s="219"/>
      <c r="AH586" s="219"/>
      <c r="AI586" s="219"/>
      <c r="AJ586" s="219"/>
      <c r="AK586" s="219"/>
      <c r="AL586" s="219"/>
      <c r="AM586" s="219"/>
      <c r="AN586" s="219"/>
      <c r="AO586" s="219"/>
      <c r="AP586" s="219"/>
      <c r="AQ586" s="219"/>
      <c r="AR586" s="219"/>
      <c r="AS586" s="219"/>
      <c r="AT586" s="219"/>
      <c r="AU586" s="219"/>
      <c r="AV586" s="219"/>
      <c r="AW586" s="219"/>
      <c r="AX586" s="219"/>
      <c r="AY586" s="219"/>
      <c r="AZ586" s="219"/>
      <c r="BA586" s="219"/>
      <c r="BB586" s="219"/>
      <c r="BC586" s="219"/>
      <c r="BD586" s="219"/>
      <c r="BE586" s="219"/>
      <c r="BF586" s="219"/>
      <c r="BG586" s="219"/>
      <c r="BH586" s="219"/>
      <c r="BI586" s="219"/>
      <c r="BJ586" s="219"/>
      <c r="BK586" s="219"/>
      <c r="BL586" s="219"/>
      <c r="BM586" s="219"/>
      <c r="BN586" s="219"/>
    </row>
    <row r="587" ht="29.25" hidden="1" customHeight="1">
      <c r="A587" s="216"/>
      <c r="B587" s="217"/>
      <c r="C587" s="164"/>
      <c r="D587" s="164"/>
      <c r="E587" s="165"/>
      <c r="F587" s="173"/>
      <c r="G587" s="168"/>
      <c r="H587" s="168"/>
      <c r="I587" s="169"/>
      <c r="J587" s="170"/>
      <c r="K587" s="170"/>
      <c r="L587" s="170"/>
      <c r="M587" s="167"/>
      <c r="N587" s="169"/>
      <c r="O587" s="171"/>
      <c r="P587" s="106"/>
      <c r="Q587" s="218"/>
      <c r="R587" s="172"/>
      <c r="S587" s="172"/>
      <c r="T587" s="173"/>
      <c r="U587" s="219"/>
      <c r="V587" s="219"/>
      <c r="W587" s="219"/>
      <c r="X587" s="219"/>
      <c r="Y587" s="219"/>
      <c r="Z587" s="219"/>
      <c r="AA587" s="219"/>
      <c r="AB587" s="219"/>
      <c r="AC587" s="219"/>
      <c r="AD587" s="219"/>
      <c r="AE587" s="219"/>
      <c r="AF587" s="219"/>
      <c r="AG587" s="219"/>
      <c r="AH587" s="219"/>
      <c r="AI587" s="219"/>
      <c r="AJ587" s="219"/>
      <c r="AK587" s="219"/>
      <c r="AL587" s="219"/>
      <c r="AM587" s="219"/>
      <c r="AN587" s="219"/>
      <c r="AO587" s="219"/>
      <c r="AP587" s="219"/>
      <c r="AQ587" s="219"/>
      <c r="AR587" s="219"/>
      <c r="AS587" s="219"/>
      <c r="AT587" s="219"/>
      <c r="AU587" s="219"/>
      <c r="AV587" s="219"/>
      <c r="AW587" s="219"/>
      <c r="AX587" s="219"/>
      <c r="AY587" s="219"/>
      <c r="AZ587" s="219"/>
      <c r="BA587" s="219"/>
      <c r="BB587" s="219"/>
      <c r="BC587" s="219"/>
      <c r="BD587" s="219"/>
      <c r="BE587" s="219"/>
      <c r="BF587" s="219"/>
      <c r="BG587" s="219"/>
      <c r="BH587" s="219"/>
      <c r="BI587" s="219"/>
      <c r="BJ587" s="219"/>
      <c r="BK587" s="219"/>
      <c r="BL587" s="219"/>
      <c r="BM587" s="219"/>
      <c r="BN587" s="219"/>
    </row>
    <row r="588" ht="29.25" hidden="1" customHeight="1">
      <c r="A588" s="216"/>
      <c r="B588" s="217"/>
      <c r="C588" s="164"/>
      <c r="D588" s="164"/>
      <c r="E588" s="165"/>
      <c r="F588" s="173"/>
      <c r="G588" s="168"/>
      <c r="H588" s="168"/>
      <c r="I588" s="169"/>
      <c r="J588" s="170"/>
      <c r="K588" s="170"/>
      <c r="L588" s="170"/>
      <c r="M588" s="167"/>
      <c r="N588" s="169"/>
      <c r="O588" s="171"/>
      <c r="P588" s="106"/>
      <c r="Q588" s="218"/>
      <c r="R588" s="172"/>
      <c r="S588" s="172"/>
      <c r="T588" s="173"/>
      <c r="U588" s="219"/>
      <c r="V588" s="219"/>
      <c r="W588" s="219"/>
      <c r="X588" s="219"/>
      <c r="Y588" s="219"/>
      <c r="Z588" s="219"/>
      <c r="AA588" s="219"/>
      <c r="AB588" s="219"/>
      <c r="AC588" s="219"/>
      <c r="AD588" s="219"/>
      <c r="AE588" s="219"/>
      <c r="AF588" s="219"/>
      <c r="AG588" s="219"/>
      <c r="AH588" s="219"/>
      <c r="AI588" s="219"/>
      <c r="AJ588" s="219"/>
      <c r="AK588" s="219"/>
      <c r="AL588" s="219"/>
      <c r="AM588" s="219"/>
      <c r="AN588" s="219"/>
      <c r="AO588" s="219"/>
      <c r="AP588" s="219"/>
      <c r="AQ588" s="219"/>
      <c r="AR588" s="219"/>
      <c r="AS588" s="219"/>
      <c r="AT588" s="219"/>
      <c r="AU588" s="219"/>
      <c r="AV588" s="219"/>
      <c r="AW588" s="219"/>
      <c r="AX588" s="219"/>
      <c r="AY588" s="219"/>
      <c r="AZ588" s="219"/>
      <c r="BA588" s="219"/>
      <c r="BB588" s="219"/>
      <c r="BC588" s="219"/>
      <c r="BD588" s="219"/>
      <c r="BE588" s="219"/>
      <c r="BF588" s="219"/>
      <c r="BG588" s="219"/>
      <c r="BH588" s="219"/>
      <c r="BI588" s="219"/>
      <c r="BJ588" s="219"/>
      <c r="BK588" s="219"/>
      <c r="BL588" s="219"/>
      <c r="BM588" s="219"/>
      <c r="BN588" s="219"/>
    </row>
    <row r="589" ht="29.25" hidden="1" customHeight="1">
      <c r="A589" s="216"/>
      <c r="B589" s="217"/>
      <c r="C589" s="164"/>
      <c r="D589" s="164"/>
      <c r="E589" s="165"/>
      <c r="F589" s="173"/>
      <c r="G589" s="168"/>
      <c r="H589" s="168"/>
      <c r="I589" s="169"/>
      <c r="J589" s="170"/>
      <c r="K589" s="170"/>
      <c r="L589" s="170"/>
      <c r="M589" s="167"/>
      <c r="N589" s="169"/>
      <c r="O589" s="171"/>
      <c r="P589" s="106"/>
      <c r="Q589" s="218"/>
      <c r="R589" s="172"/>
      <c r="S589" s="172"/>
      <c r="T589" s="173"/>
      <c r="U589" s="219"/>
      <c r="V589" s="219"/>
      <c r="W589" s="219"/>
      <c r="X589" s="219"/>
      <c r="Y589" s="219"/>
      <c r="Z589" s="219"/>
      <c r="AA589" s="219"/>
      <c r="AB589" s="219"/>
      <c r="AC589" s="219"/>
      <c r="AD589" s="219"/>
      <c r="AE589" s="219"/>
      <c r="AF589" s="219"/>
      <c r="AG589" s="219"/>
      <c r="AH589" s="219"/>
      <c r="AI589" s="219"/>
      <c r="AJ589" s="219"/>
      <c r="AK589" s="219"/>
      <c r="AL589" s="219"/>
      <c r="AM589" s="219"/>
      <c r="AN589" s="219"/>
      <c r="AO589" s="219"/>
      <c r="AP589" s="219"/>
      <c r="AQ589" s="219"/>
      <c r="AR589" s="219"/>
      <c r="AS589" s="219"/>
      <c r="AT589" s="219"/>
      <c r="AU589" s="219"/>
      <c r="AV589" s="219"/>
      <c r="AW589" s="219"/>
      <c r="AX589" s="219"/>
      <c r="AY589" s="219"/>
      <c r="AZ589" s="219"/>
      <c r="BA589" s="219"/>
      <c r="BB589" s="219"/>
      <c r="BC589" s="219"/>
      <c r="BD589" s="219"/>
      <c r="BE589" s="219"/>
      <c r="BF589" s="219"/>
      <c r="BG589" s="219"/>
      <c r="BH589" s="219"/>
      <c r="BI589" s="219"/>
      <c r="BJ589" s="219"/>
      <c r="BK589" s="219"/>
      <c r="BL589" s="219"/>
      <c r="BM589" s="219"/>
      <c r="BN589" s="219"/>
    </row>
    <row r="590" ht="29.25" hidden="1" customHeight="1">
      <c r="A590" s="216"/>
      <c r="B590" s="217"/>
      <c r="C590" s="164"/>
      <c r="D590" s="164"/>
      <c r="E590" s="165"/>
      <c r="F590" s="173"/>
      <c r="G590" s="168"/>
      <c r="H590" s="168"/>
      <c r="I590" s="169"/>
      <c r="J590" s="170"/>
      <c r="K590" s="170"/>
      <c r="L590" s="170"/>
      <c r="M590" s="167"/>
      <c r="N590" s="169"/>
      <c r="O590" s="171"/>
      <c r="P590" s="106"/>
      <c r="Q590" s="218"/>
      <c r="R590" s="172"/>
      <c r="S590" s="172"/>
      <c r="T590" s="173"/>
      <c r="U590" s="219"/>
      <c r="V590" s="219"/>
      <c r="W590" s="219"/>
      <c r="X590" s="219"/>
      <c r="Y590" s="219"/>
      <c r="Z590" s="219"/>
      <c r="AA590" s="219"/>
      <c r="AB590" s="219"/>
      <c r="AC590" s="219"/>
      <c r="AD590" s="219"/>
      <c r="AE590" s="219"/>
      <c r="AF590" s="219"/>
      <c r="AG590" s="219"/>
      <c r="AH590" s="219"/>
      <c r="AI590" s="219"/>
      <c r="AJ590" s="219"/>
      <c r="AK590" s="219"/>
      <c r="AL590" s="219"/>
      <c r="AM590" s="219"/>
      <c r="AN590" s="219"/>
      <c r="AO590" s="219"/>
      <c r="AP590" s="219"/>
      <c r="AQ590" s="219"/>
      <c r="AR590" s="219"/>
      <c r="AS590" s="219"/>
      <c r="AT590" s="219"/>
      <c r="AU590" s="219"/>
      <c r="AV590" s="219"/>
      <c r="AW590" s="219"/>
      <c r="AX590" s="219"/>
      <c r="AY590" s="219"/>
      <c r="AZ590" s="219"/>
      <c r="BA590" s="219"/>
      <c r="BB590" s="219"/>
      <c r="BC590" s="219"/>
      <c r="BD590" s="219"/>
      <c r="BE590" s="219"/>
      <c r="BF590" s="219"/>
      <c r="BG590" s="219"/>
      <c r="BH590" s="219"/>
      <c r="BI590" s="219"/>
      <c r="BJ590" s="219"/>
      <c r="BK590" s="219"/>
      <c r="BL590" s="219"/>
      <c r="BM590" s="219"/>
      <c r="BN590" s="219"/>
    </row>
    <row r="591" ht="29.25" hidden="1" customHeight="1">
      <c r="A591" s="216"/>
      <c r="B591" s="217"/>
      <c r="C591" s="164"/>
      <c r="D591" s="164"/>
      <c r="E591" s="165"/>
      <c r="F591" s="173"/>
      <c r="G591" s="168"/>
      <c r="H591" s="168"/>
      <c r="I591" s="169"/>
      <c r="J591" s="170"/>
      <c r="K591" s="170"/>
      <c r="L591" s="170"/>
      <c r="M591" s="167"/>
      <c r="N591" s="169"/>
      <c r="O591" s="171"/>
      <c r="P591" s="106"/>
      <c r="Q591" s="218"/>
      <c r="R591" s="172"/>
      <c r="S591" s="172"/>
      <c r="T591" s="173"/>
      <c r="U591" s="219"/>
      <c r="V591" s="219"/>
      <c r="W591" s="219"/>
      <c r="X591" s="219"/>
      <c r="Y591" s="219"/>
      <c r="Z591" s="219"/>
      <c r="AA591" s="219"/>
      <c r="AB591" s="219"/>
      <c r="AC591" s="219"/>
      <c r="AD591" s="219"/>
      <c r="AE591" s="219"/>
      <c r="AF591" s="219"/>
      <c r="AG591" s="219"/>
      <c r="AH591" s="219"/>
      <c r="AI591" s="219"/>
      <c r="AJ591" s="219"/>
      <c r="AK591" s="219"/>
      <c r="AL591" s="219"/>
      <c r="AM591" s="219"/>
      <c r="AN591" s="219"/>
      <c r="AO591" s="219"/>
      <c r="AP591" s="219"/>
      <c r="AQ591" s="219"/>
      <c r="AR591" s="219"/>
      <c r="AS591" s="219"/>
      <c r="AT591" s="219"/>
      <c r="AU591" s="219"/>
      <c r="AV591" s="219"/>
      <c r="AW591" s="219"/>
      <c r="AX591" s="219"/>
      <c r="AY591" s="219"/>
      <c r="AZ591" s="219"/>
      <c r="BA591" s="219"/>
      <c r="BB591" s="219"/>
      <c r="BC591" s="219"/>
      <c r="BD591" s="219"/>
      <c r="BE591" s="219"/>
      <c r="BF591" s="219"/>
      <c r="BG591" s="219"/>
      <c r="BH591" s="219"/>
      <c r="BI591" s="219"/>
      <c r="BJ591" s="219"/>
      <c r="BK591" s="219"/>
      <c r="BL591" s="219"/>
      <c r="BM591" s="219"/>
      <c r="BN591" s="219"/>
    </row>
    <row r="592" ht="29.25" hidden="1" customHeight="1">
      <c r="A592" s="216"/>
      <c r="B592" s="217"/>
      <c r="C592" s="164"/>
      <c r="D592" s="164"/>
      <c r="E592" s="165"/>
      <c r="F592" s="173"/>
      <c r="G592" s="168"/>
      <c r="H592" s="168"/>
      <c r="I592" s="169"/>
      <c r="J592" s="170"/>
      <c r="K592" s="170"/>
      <c r="L592" s="170"/>
      <c r="M592" s="167"/>
      <c r="N592" s="169"/>
      <c r="O592" s="171"/>
      <c r="P592" s="106"/>
      <c r="Q592" s="218"/>
      <c r="R592" s="172"/>
      <c r="S592" s="172"/>
      <c r="T592" s="173"/>
      <c r="U592" s="219"/>
      <c r="V592" s="219"/>
      <c r="W592" s="219"/>
      <c r="X592" s="219"/>
      <c r="Y592" s="219"/>
      <c r="Z592" s="219"/>
      <c r="AA592" s="219"/>
      <c r="AB592" s="219"/>
      <c r="AC592" s="219"/>
      <c r="AD592" s="219"/>
      <c r="AE592" s="219"/>
      <c r="AF592" s="219"/>
      <c r="AG592" s="219"/>
      <c r="AH592" s="219"/>
      <c r="AI592" s="219"/>
      <c r="AJ592" s="219"/>
      <c r="AK592" s="219"/>
      <c r="AL592" s="219"/>
      <c r="AM592" s="219"/>
      <c r="AN592" s="219"/>
      <c r="AO592" s="219"/>
      <c r="AP592" s="219"/>
      <c r="AQ592" s="219"/>
      <c r="AR592" s="219"/>
      <c r="AS592" s="219"/>
      <c r="AT592" s="219"/>
      <c r="AU592" s="219"/>
      <c r="AV592" s="219"/>
      <c r="AW592" s="219"/>
      <c r="AX592" s="219"/>
      <c r="AY592" s="219"/>
      <c r="AZ592" s="219"/>
      <c r="BA592" s="219"/>
      <c r="BB592" s="219"/>
      <c r="BC592" s="219"/>
      <c r="BD592" s="219"/>
      <c r="BE592" s="219"/>
      <c r="BF592" s="219"/>
      <c r="BG592" s="219"/>
      <c r="BH592" s="219"/>
      <c r="BI592" s="219"/>
      <c r="BJ592" s="219"/>
      <c r="BK592" s="219"/>
      <c r="BL592" s="219"/>
      <c r="BM592" s="219"/>
      <c r="BN592" s="219"/>
    </row>
    <row r="593" ht="29.25" hidden="1" customHeight="1">
      <c r="A593" s="216"/>
      <c r="B593" s="217"/>
      <c r="C593" s="164"/>
      <c r="D593" s="164"/>
      <c r="E593" s="165"/>
      <c r="F593" s="173"/>
      <c r="G593" s="168"/>
      <c r="H593" s="168"/>
      <c r="I593" s="169"/>
      <c r="J593" s="170"/>
      <c r="K593" s="170"/>
      <c r="L593" s="170"/>
      <c r="M593" s="167"/>
      <c r="N593" s="169"/>
      <c r="O593" s="171"/>
      <c r="P593" s="106"/>
      <c r="Q593" s="218"/>
      <c r="R593" s="172"/>
      <c r="S593" s="172"/>
      <c r="T593" s="173"/>
      <c r="U593" s="219"/>
      <c r="V593" s="219"/>
      <c r="W593" s="219"/>
      <c r="X593" s="219"/>
      <c r="Y593" s="219"/>
      <c r="Z593" s="219"/>
      <c r="AA593" s="219"/>
      <c r="AB593" s="219"/>
      <c r="AC593" s="219"/>
      <c r="AD593" s="219"/>
      <c r="AE593" s="219"/>
      <c r="AF593" s="219"/>
      <c r="AG593" s="219"/>
      <c r="AH593" s="219"/>
      <c r="AI593" s="219"/>
      <c r="AJ593" s="219"/>
      <c r="AK593" s="219"/>
      <c r="AL593" s="219"/>
      <c r="AM593" s="219"/>
      <c r="AN593" s="219"/>
      <c r="AO593" s="219"/>
      <c r="AP593" s="219"/>
      <c r="AQ593" s="219"/>
      <c r="AR593" s="219"/>
      <c r="AS593" s="219"/>
      <c r="AT593" s="219"/>
      <c r="AU593" s="219"/>
      <c r="AV593" s="219"/>
      <c r="AW593" s="219"/>
      <c r="AX593" s="219"/>
      <c r="AY593" s="219"/>
      <c r="AZ593" s="219"/>
      <c r="BA593" s="219"/>
      <c r="BB593" s="219"/>
      <c r="BC593" s="219"/>
      <c r="BD593" s="219"/>
      <c r="BE593" s="219"/>
      <c r="BF593" s="219"/>
      <c r="BG593" s="219"/>
      <c r="BH593" s="219"/>
      <c r="BI593" s="219"/>
      <c r="BJ593" s="219"/>
      <c r="BK593" s="219"/>
      <c r="BL593" s="219"/>
      <c r="BM593" s="219"/>
      <c r="BN593" s="219"/>
    </row>
    <row r="594" ht="29.25" hidden="1" customHeight="1">
      <c r="A594" s="216"/>
      <c r="B594" s="217"/>
      <c r="C594" s="164"/>
      <c r="D594" s="164"/>
      <c r="E594" s="165"/>
      <c r="F594" s="173"/>
      <c r="G594" s="168"/>
      <c r="H594" s="168"/>
      <c r="I594" s="169"/>
      <c r="J594" s="170"/>
      <c r="K594" s="170"/>
      <c r="L594" s="170"/>
      <c r="M594" s="167"/>
      <c r="N594" s="169"/>
      <c r="O594" s="171"/>
      <c r="P594" s="106"/>
      <c r="Q594" s="218"/>
      <c r="R594" s="172"/>
      <c r="S594" s="172"/>
      <c r="T594" s="173"/>
      <c r="U594" s="219"/>
      <c r="V594" s="219"/>
      <c r="W594" s="219"/>
      <c r="X594" s="219"/>
      <c r="Y594" s="219"/>
      <c r="Z594" s="219"/>
      <c r="AA594" s="219"/>
      <c r="AB594" s="219"/>
      <c r="AC594" s="219"/>
      <c r="AD594" s="219"/>
      <c r="AE594" s="219"/>
      <c r="AF594" s="219"/>
      <c r="AG594" s="219"/>
      <c r="AH594" s="219"/>
      <c r="AI594" s="219"/>
      <c r="AJ594" s="219"/>
      <c r="AK594" s="219"/>
      <c r="AL594" s="219"/>
      <c r="AM594" s="219"/>
      <c r="AN594" s="219"/>
      <c r="AO594" s="219"/>
      <c r="AP594" s="219"/>
      <c r="AQ594" s="219"/>
      <c r="AR594" s="219"/>
      <c r="AS594" s="219"/>
      <c r="AT594" s="219"/>
      <c r="AU594" s="219"/>
      <c r="AV594" s="219"/>
      <c r="AW594" s="219"/>
      <c r="AX594" s="219"/>
      <c r="AY594" s="219"/>
      <c r="AZ594" s="219"/>
      <c r="BA594" s="219"/>
      <c r="BB594" s="219"/>
      <c r="BC594" s="219"/>
      <c r="BD594" s="219"/>
      <c r="BE594" s="219"/>
      <c r="BF594" s="219"/>
      <c r="BG594" s="219"/>
      <c r="BH594" s="219"/>
      <c r="BI594" s="219"/>
      <c r="BJ594" s="219"/>
      <c r="BK594" s="219"/>
      <c r="BL594" s="219"/>
      <c r="BM594" s="219"/>
      <c r="BN594" s="219"/>
    </row>
    <row r="595" ht="29.25" hidden="1" customHeight="1">
      <c r="A595" s="216"/>
      <c r="B595" s="217"/>
      <c r="C595" s="164"/>
      <c r="D595" s="164"/>
      <c r="E595" s="165"/>
      <c r="F595" s="173"/>
      <c r="G595" s="168"/>
      <c r="H595" s="168"/>
      <c r="I595" s="169"/>
      <c r="J595" s="170"/>
      <c r="K595" s="170"/>
      <c r="L595" s="170"/>
      <c r="M595" s="167"/>
      <c r="N595" s="169"/>
      <c r="O595" s="171"/>
      <c r="P595" s="106"/>
      <c r="Q595" s="218"/>
      <c r="R595" s="172"/>
      <c r="S595" s="172"/>
      <c r="T595" s="173"/>
      <c r="U595" s="219"/>
      <c r="V595" s="219"/>
      <c r="W595" s="219"/>
      <c r="X595" s="219"/>
      <c r="Y595" s="219"/>
      <c r="Z595" s="219"/>
      <c r="AA595" s="219"/>
      <c r="AB595" s="219"/>
      <c r="AC595" s="219"/>
      <c r="AD595" s="219"/>
      <c r="AE595" s="219"/>
      <c r="AF595" s="219"/>
      <c r="AG595" s="219"/>
      <c r="AH595" s="219"/>
      <c r="AI595" s="219"/>
      <c r="AJ595" s="219"/>
      <c r="AK595" s="219"/>
      <c r="AL595" s="219"/>
      <c r="AM595" s="219"/>
      <c r="AN595" s="219"/>
      <c r="AO595" s="219"/>
      <c r="AP595" s="219"/>
      <c r="AQ595" s="219"/>
      <c r="AR595" s="219"/>
      <c r="AS595" s="219"/>
      <c r="AT595" s="219"/>
      <c r="AU595" s="219"/>
      <c r="AV595" s="219"/>
      <c r="AW595" s="219"/>
      <c r="AX595" s="219"/>
      <c r="AY595" s="219"/>
      <c r="AZ595" s="219"/>
      <c r="BA595" s="219"/>
      <c r="BB595" s="219"/>
      <c r="BC595" s="219"/>
      <c r="BD595" s="219"/>
      <c r="BE595" s="219"/>
      <c r="BF595" s="219"/>
      <c r="BG595" s="219"/>
      <c r="BH595" s="219"/>
      <c r="BI595" s="219"/>
      <c r="BJ595" s="219"/>
      <c r="BK595" s="219"/>
      <c r="BL595" s="219"/>
      <c r="BM595" s="219"/>
      <c r="BN595" s="219"/>
    </row>
    <row r="596" ht="29.25" hidden="1" customHeight="1">
      <c r="A596" s="216"/>
      <c r="B596" s="217"/>
      <c r="C596" s="164"/>
      <c r="D596" s="164"/>
      <c r="E596" s="165"/>
      <c r="F596" s="173"/>
      <c r="G596" s="168"/>
      <c r="H596" s="168"/>
      <c r="I596" s="169"/>
      <c r="J596" s="170"/>
      <c r="K596" s="170"/>
      <c r="L596" s="170"/>
      <c r="M596" s="167"/>
      <c r="N596" s="169"/>
      <c r="O596" s="171"/>
      <c r="P596" s="106"/>
      <c r="Q596" s="218"/>
      <c r="R596" s="172"/>
      <c r="S596" s="172"/>
      <c r="T596" s="173"/>
      <c r="U596" s="219"/>
      <c r="V596" s="219"/>
      <c r="W596" s="219"/>
      <c r="X596" s="219"/>
      <c r="Y596" s="219"/>
      <c r="Z596" s="219"/>
      <c r="AA596" s="219"/>
      <c r="AB596" s="219"/>
      <c r="AC596" s="219"/>
      <c r="AD596" s="219"/>
      <c r="AE596" s="219"/>
      <c r="AF596" s="219"/>
      <c r="AG596" s="219"/>
      <c r="AH596" s="219"/>
      <c r="AI596" s="219"/>
      <c r="AJ596" s="219"/>
      <c r="AK596" s="219"/>
      <c r="AL596" s="219"/>
      <c r="AM596" s="219"/>
      <c r="AN596" s="219"/>
      <c r="AO596" s="219"/>
      <c r="AP596" s="219"/>
      <c r="AQ596" s="219"/>
      <c r="AR596" s="219"/>
      <c r="AS596" s="219"/>
      <c r="AT596" s="219"/>
      <c r="AU596" s="219"/>
      <c r="AV596" s="219"/>
      <c r="AW596" s="219"/>
      <c r="AX596" s="219"/>
      <c r="AY596" s="219"/>
      <c r="AZ596" s="219"/>
      <c r="BA596" s="219"/>
      <c r="BB596" s="219"/>
      <c r="BC596" s="219"/>
      <c r="BD596" s="219"/>
      <c r="BE596" s="219"/>
      <c r="BF596" s="219"/>
      <c r="BG596" s="219"/>
      <c r="BH596" s="219"/>
      <c r="BI596" s="219"/>
      <c r="BJ596" s="219"/>
      <c r="BK596" s="219"/>
      <c r="BL596" s="219"/>
      <c r="BM596" s="219"/>
      <c r="BN596" s="219"/>
    </row>
    <row r="597" ht="29.25" hidden="1" customHeight="1">
      <c r="A597" s="216"/>
      <c r="B597" s="217"/>
      <c r="C597" s="164"/>
      <c r="D597" s="164"/>
      <c r="E597" s="165"/>
      <c r="F597" s="173"/>
      <c r="G597" s="168"/>
      <c r="H597" s="168"/>
      <c r="I597" s="169"/>
      <c r="J597" s="170"/>
      <c r="K597" s="170"/>
      <c r="L597" s="170"/>
      <c r="M597" s="167"/>
      <c r="N597" s="169"/>
      <c r="O597" s="171"/>
      <c r="P597" s="106"/>
      <c r="Q597" s="218"/>
      <c r="R597" s="172"/>
      <c r="S597" s="172"/>
      <c r="T597" s="173"/>
      <c r="U597" s="219"/>
      <c r="V597" s="219"/>
      <c r="W597" s="219"/>
      <c r="X597" s="219"/>
      <c r="Y597" s="219"/>
      <c r="Z597" s="219"/>
      <c r="AA597" s="219"/>
      <c r="AB597" s="219"/>
      <c r="AC597" s="219"/>
      <c r="AD597" s="219"/>
      <c r="AE597" s="219"/>
      <c r="AF597" s="219"/>
      <c r="AG597" s="219"/>
      <c r="AH597" s="219"/>
      <c r="AI597" s="219"/>
      <c r="AJ597" s="219"/>
      <c r="AK597" s="219"/>
      <c r="AL597" s="219"/>
      <c r="AM597" s="219"/>
      <c r="AN597" s="219"/>
      <c r="AO597" s="219"/>
      <c r="AP597" s="219"/>
      <c r="AQ597" s="219"/>
      <c r="AR597" s="219"/>
      <c r="AS597" s="219"/>
      <c r="AT597" s="219"/>
      <c r="AU597" s="219"/>
      <c r="AV597" s="219"/>
      <c r="AW597" s="219"/>
      <c r="AX597" s="219"/>
      <c r="AY597" s="219"/>
      <c r="AZ597" s="219"/>
      <c r="BA597" s="219"/>
      <c r="BB597" s="219"/>
      <c r="BC597" s="219"/>
      <c r="BD597" s="219"/>
      <c r="BE597" s="219"/>
      <c r="BF597" s="219"/>
      <c r="BG597" s="219"/>
      <c r="BH597" s="219"/>
      <c r="BI597" s="219"/>
      <c r="BJ597" s="219"/>
      <c r="BK597" s="219"/>
      <c r="BL597" s="219"/>
      <c r="BM597" s="219"/>
      <c r="BN597" s="219"/>
    </row>
    <row r="598" ht="29.25" hidden="1" customHeight="1">
      <c r="A598" s="216"/>
      <c r="B598" s="217"/>
      <c r="C598" s="164"/>
      <c r="D598" s="164"/>
      <c r="E598" s="165"/>
      <c r="F598" s="173"/>
      <c r="G598" s="168"/>
      <c r="H598" s="168"/>
      <c r="I598" s="169"/>
      <c r="J598" s="170"/>
      <c r="K598" s="170"/>
      <c r="L598" s="170"/>
      <c r="M598" s="167"/>
      <c r="N598" s="169"/>
      <c r="O598" s="171"/>
      <c r="P598" s="106"/>
      <c r="Q598" s="218"/>
      <c r="R598" s="172"/>
      <c r="S598" s="172"/>
      <c r="T598" s="173"/>
      <c r="U598" s="219"/>
      <c r="V598" s="219"/>
      <c r="W598" s="219"/>
      <c r="X598" s="219"/>
      <c r="Y598" s="219"/>
      <c r="Z598" s="219"/>
      <c r="AA598" s="219"/>
      <c r="AB598" s="219"/>
      <c r="AC598" s="219"/>
      <c r="AD598" s="219"/>
      <c r="AE598" s="219"/>
      <c r="AF598" s="219"/>
      <c r="AG598" s="219"/>
      <c r="AH598" s="219"/>
      <c r="AI598" s="219"/>
      <c r="AJ598" s="219"/>
      <c r="AK598" s="219"/>
      <c r="AL598" s="219"/>
      <c r="AM598" s="219"/>
      <c r="AN598" s="219"/>
      <c r="AO598" s="219"/>
      <c r="AP598" s="219"/>
      <c r="AQ598" s="219"/>
      <c r="AR598" s="219"/>
      <c r="AS598" s="219"/>
      <c r="AT598" s="219"/>
      <c r="AU598" s="219"/>
      <c r="AV598" s="219"/>
      <c r="AW598" s="219"/>
      <c r="AX598" s="219"/>
      <c r="AY598" s="219"/>
      <c r="AZ598" s="219"/>
      <c r="BA598" s="219"/>
      <c r="BB598" s="219"/>
      <c r="BC598" s="219"/>
      <c r="BD598" s="219"/>
      <c r="BE598" s="219"/>
      <c r="BF598" s="219"/>
      <c r="BG598" s="219"/>
      <c r="BH598" s="219"/>
      <c r="BI598" s="219"/>
      <c r="BJ598" s="219"/>
      <c r="BK598" s="219"/>
      <c r="BL598" s="219"/>
      <c r="BM598" s="219"/>
      <c r="BN598" s="219"/>
    </row>
    <row r="599" ht="29.25" hidden="1" customHeight="1">
      <c r="A599" s="216"/>
      <c r="B599" s="217"/>
      <c r="C599" s="164"/>
      <c r="D599" s="164"/>
      <c r="E599" s="165"/>
      <c r="F599" s="173"/>
      <c r="G599" s="168"/>
      <c r="H599" s="168"/>
      <c r="I599" s="169"/>
      <c r="J599" s="170"/>
      <c r="K599" s="170"/>
      <c r="L599" s="170"/>
      <c r="M599" s="167"/>
      <c r="N599" s="169"/>
      <c r="O599" s="171"/>
      <c r="P599" s="106"/>
      <c r="Q599" s="218"/>
      <c r="R599" s="172"/>
      <c r="S599" s="172"/>
      <c r="T599" s="173"/>
      <c r="U599" s="219"/>
      <c r="V599" s="219"/>
      <c r="W599" s="219"/>
      <c r="X599" s="219"/>
      <c r="Y599" s="219"/>
      <c r="Z599" s="219"/>
      <c r="AA599" s="219"/>
      <c r="AB599" s="219"/>
      <c r="AC599" s="219"/>
      <c r="AD599" s="219"/>
      <c r="AE599" s="219"/>
      <c r="AF599" s="219"/>
      <c r="AG599" s="219"/>
      <c r="AH599" s="219"/>
      <c r="AI599" s="219"/>
      <c r="AJ599" s="219"/>
      <c r="AK599" s="219"/>
      <c r="AL599" s="219"/>
      <c r="AM599" s="219"/>
      <c r="AN599" s="219"/>
      <c r="AO599" s="219"/>
      <c r="AP599" s="219"/>
      <c r="AQ599" s="219"/>
      <c r="AR599" s="219"/>
      <c r="AS599" s="219"/>
      <c r="AT599" s="219"/>
      <c r="AU599" s="219"/>
      <c r="AV599" s="219"/>
      <c r="AW599" s="219"/>
      <c r="AX599" s="219"/>
      <c r="AY599" s="219"/>
      <c r="AZ599" s="219"/>
      <c r="BA599" s="219"/>
      <c r="BB599" s="219"/>
      <c r="BC599" s="219"/>
      <c r="BD599" s="219"/>
      <c r="BE599" s="219"/>
      <c r="BF599" s="219"/>
      <c r="BG599" s="219"/>
      <c r="BH599" s="219"/>
      <c r="BI599" s="219"/>
      <c r="BJ599" s="219"/>
      <c r="BK599" s="219"/>
      <c r="BL599" s="219"/>
      <c r="BM599" s="219"/>
      <c r="BN599" s="219"/>
    </row>
    <row r="600" ht="29.25" hidden="1" customHeight="1">
      <c r="A600" s="216"/>
      <c r="B600" s="217"/>
      <c r="C600" s="164"/>
      <c r="D600" s="164"/>
      <c r="E600" s="165"/>
      <c r="F600" s="173"/>
      <c r="G600" s="168"/>
      <c r="H600" s="168"/>
      <c r="I600" s="169"/>
      <c r="J600" s="170"/>
      <c r="K600" s="170"/>
      <c r="L600" s="170"/>
      <c r="M600" s="167"/>
      <c r="N600" s="169"/>
      <c r="O600" s="171"/>
      <c r="P600" s="106"/>
      <c r="Q600" s="218"/>
      <c r="R600" s="172"/>
      <c r="S600" s="172"/>
      <c r="T600" s="173"/>
      <c r="U600" s="219"/>
      <c r="V600" s="219"/>
      <c r="W600" s="219"/>
      <c r="X600" s="219"/>
      <c r="Y600" s="219"/>
      <c r="Z600" s="219"/>
      <c r="AA600" s="219"/>
      <c r="AB600" s="219"/>
      <c r="AC600" s="219"/>
      <c r="AD600" s="219"/>
      <c r="AE600" s="219"/>
      <c r="AF600" s="219"/>
      <c r="AG600" s="219"/>
      <c r="AH600" s="219"/>
      <c r="AI600" s="219"/>
      <c r="AJ600" s="219"/>
      <c r="AK600" s="219"/>
      <c r="AL600" s="219"/>
      <c r="AM600" s="219"/>
      <c r="AN600" s="219"/>
      <c r="AO600" s="219"/>
      <c r="AP600" s="219"/>
      <c r="AQ600" s="219"/>
      <c r="AR600" s="219"/>
      <c r="AS600" s="219"/>
      <c r="AT600" s="219"/>
      <c r="AU600" s="219"/>
      <c r="AV600" s="219"/>
      <c r="AW600" s="219"/>
      <c r="AX600" s="219"/>
      <c r="AY600" s="219"/>
      <c r="AZ600" s="219"/>
      <c r="BA600" s="219"/>
      <c r="BB600" s="219"/>
      <c r="BC600" s="219"/>
      <c r="BD600" s="219"/>
      <c r="BE600" s="219"/>
      <c r="BF600" s="219"/>
      <c r="BG600" s="219"/>
      <c r="BH600" s="219"/>
      <c r="BI600" s="219"/>
      <c r="BJ600" s="219"/>
      <c r="BK600" s="219"/>
      <c r="BL600" s="219"/>
      <c r="BM600" s="219"/>
      <c r="BN600" s="219"/>
    </row>
    <row r="601" ht="29.25" hidden="1" customHeight="1">
      <c r="A601" s="216"/>
      <c r="B601" s="217"/>
      <c r="C601" s="164"/>
      <c r="D601" s="164"/>
      <c r="E601" s="165"/>
      <c r="F601" s="173"/>
      <c r="G601" s="168"/>
      <c r="H601" s="168"/>
      <c r="I601" s="169"/>
      <c r="J601" s="170"/>
      <c r="K601" s="170"/>
      <c r="L601" s="170"/>
      <c r="M601" s="167"/>
      <c r="N601" s="169"/>
      <c r="O601" s="171"/>
      <c r="P601" s="106"/>
      <c r="Q601" s="218"/>
      <c r="R601" s="172"/>
      <c r="S601" s="172"/>
      <c r="T601" s="173"/>
      <c r="U601" s="219"/>
      <c r="V601" s="219"/>
      <c r="W601" s="219"/>
      <c r="X601" s="219"/>
      <c r="Y601" s="219"/>
      <c r="Z601" s="219"/>
      <c r="AA601" s="219"/>
      <c r="AB601" s="219"/>
      <c r="AC601" s="219"/>
      <c r="AD601" s="219"/>
      <c r="AE601" s="219"/>
      <c r="AF601" s="219"/>
      <c r="AG601" s="219"/>
      <c r="AH601" s="219"/>
      <c r="AI601" s="219"/>
      <c r="AJ601" s="219"/>
      <c r="AK601" s="219"/>
      <c r="AL601" s="219"/>
      <c r="AM601" s="219"/>
      <c r="AN601" s="219"/>
      <c r="AO601" s="219"/>
      <c r="AP601" s="219"/>
      <c r="AQ601" s="219"/>
      <c r="AR601" s="219"/>
      <c r="AS601" s="219"/>
      <c r="AT601" s="219"/>
      <c r="AU601" s="219"/>
      <c r="AV601" s="219"/>
      <c r="AW601" s="219"/>
      <c r="AX601" s="219"/>
      <c r="AY601" s="219"/>
      <c r="AZ601" s="219"/>
      <c r="BA601" s="219"/>
      <c r="BB601" s="219"/>
      <c r="BC601" s="219"/>
      <c r="BD601" s="219"/>
      <c r="BE601" s="219"/>
      <c r="BF601" s="219"/>
      <c r="BG601" s="219"/>
      <c r="BH601" s="219"/>
      <c r="BI601" s="219"/>
      <c r="BJ601" s="219"/>
      <c r="BK601" s="219"/>
      <c r="BL601" s="219"/>
      <c r="BM601" s="219"/>
      <c r="BN601" s="219"/>
    </row>
    <row r="602" ht="29.25" hidden="1" customHeight="1">
      <c r="A602" s="216"/>
      <c r="B602" s="217"/>
      <c r="C602" s="164"/>
      <c r="D602" s="164"/>
      <c r="E602" s="165"/>
      <c r="F602" s="173"/>
      <c r="G602" s="168"/>
      <c r="H602" s="168"/>
      <c r="I602" s="169"/>
      <c r="J602" s="170"/>
      <c r="K602" s="170"/>
      <c r="L602" s="170"/>
      <c r="M602" s="167"/>
      <c r="N602" s="169"/>
      <c r="O602" s="171"/>
      <c r="P602" s="106"/>
      <c r="Q602" s="218"/>
      <c r="R602" s="172"/>
      <c r="S602" s="172"/>
      <c r="T602" s="173"/>
      <c r="U602" s="219"/>
      <c r="V602" s="219"/>
      <c r="W602" s="219"/>
      <c r="X602" s="219"/>
      <c r="Y602" s="219"/>
      <c r="Z602" s="219"/>
      <c r="AA602" s="219"/>
      <c r="AB602" s="219"/>
      <c r="AC602" s="219"/>
      <c r="AD602" s="219"/>
      <c r="AE602" s="219"/>
      <c r="AF602" s="219"/>
      <c r="AG602" s="219"/>
      <c r="AH602" s="219"/>
      <c r="AI602" s="219"/>
      <c r="AJ602" s="219"/>
      <c r="AK602" s="219"/>
      <c r="AL602" s="219"/>
      <c r="AM602" s="219"/>
      <c r="AN602" s="219"/>
      <c r="AO602" s="219"/>
      <c r="AP602" s="219"/>
      <c r="AQ602" s="219"/>
      <c r="AR602" s="219"/>
      <c r="AS602" s="219"/>
      <c r="AT602" s="219"/>
      <c r="AU602" s="219"/>
      <c r="AV602" s="219"/>
      <c r="AW602" s="219"/>
      <c r="AX602" s="219"/>
      <c r="AY602" s="219"/>
      <c r="AZ602" s="219"/>
      <c r="BA602" s="219"/>
      <c r="BB602" s="219"/>
      <c r="BC602" s="219"/>
      <c r="BD602" s="219"/>
      <c r="BE602" s="219"/>
      <c r="BF602" s="219"/>
      <c r="BG602" s="219"/>
      <c r="BH602" s="219"/>
      <c r="BI602" s="219"/>
      <c r="BJ602" s="219"/>
      <c r="BK602" s="219"/>
      <c r="BL602" s="219"/>
      <c r="BM602" s="219"/>
      <c r="BN602" s="219"/>
    </row>
    <row r="603" ht="29.25" hidden="1" customHeight="1">
      <c r="A603" s="216"/>
      <c r="B603" s="217"/>
      <c r="C603" s="164"/>
      <c r="D603" s="164"/>
      <c r="E603" s="165"/>
      <c r="F603" s="173"/>
      <c r="G603" s="168"/>
      <c r="H603" s="168"/>
      <c r="I603" s="169"/>
      <c r="J603" s="170"/>
      <c r="K603" s="170"/>
      <c r="L603" s="170"/>
      <c r="M603" s="167"/>
      <c r="N603" s="169"/>
      <c r="O603" s="171"/>
      <c r="P603" s="106"/>
      <c r="Q603" s="218"/>
      <c r="R603" s="172"/>
      <c r="S603" s="172"/>
      <c r="T603" s="173"/>
      <c r="U603" s="219"/>
      <c r="V603" s="219"/>
      <c r="W603" s="219"/>
      <c r="X603" s="219"/>
      <c r="Y603" s="219"/>
      <c r="Z603" s="219"/>
      <c r="AA603" s="219"/>
      <c r="AB603" s="219"/>
      <c r="AC603" s="219"/>
      <c r="AD603" s="219"/>
      <c r="AE603" s="219"/>
      <c r="AF603" s="219"/>
      <c r="AG603" s="219"/>
      <c r="AH603" s="219"/>
      <c r="AI603" s="219"/>
      <c r="AJ603" s="219"/>
      <c r="AK603" s="219"/>
      <c r="AL603" s="219"/>
      <c r="AM603" s="219"/>
      <c r="AN603" s="219"/>
      <c r="AO603" s="219"/>
      <c r="AP603" s="219"/>
      <c r="AQ603" s="219"/>
      <c r="AR603" s="219"/>
      <c r="AS603" s="219"/>
      <c r="AT603" s="219"/>
      <c r="AU603" s="219"/>
      <c r="AV603" s="219"/>
      <c r="AW603" s="219"/>
      <c r="AX603" s="219"/>
      <c r="AY603" s="219"/>
      <c r="AZ603" s="219"/>
      <c r="BA603" s="219"/>
      <c r="BB603" s="219"/>
      <c r="BC603" s="219"/>
      <c r="BD603" s="219"/>
      <c r="BE603" s="219"/>
      <c r="BF603" s="219"/>
      <c r="BG603" s="219"/>
      <c r="BH603" s="219"/>
      <c r="BI603" s="219"/>
      <c r="BJ603" s="219"/>
      <c r="BK603" s="219"/>
      <c r="BL603" s="219"/>
      <c r="BM603" s="219"/>
      <c r="BN603" s="219"/>
    </row>
    <row r="604" ht="29.25" hidden="1" customHeight="1">
      <c r="A604" s="216"/>
      <c r="B604" s="217"/>
      <c r="C604" s="164"/>
      <c r="D604" s="164"/>
      <c r="E604" s="165"/>
      <c r="F604" s="173"/>
      <c r="G604" s="168"/>
      <c r="H604" s="168"/>
      <c r="I604" s="169"/>
      <c r="J604" s="170"/>
      <c r="K604" s="170"/>
      <c r="L604" s="170"/>
      <c r="M604" s="167"/>
      <c r="N604" s="169"/>
      <c r="O604" s="171"/>
      <c r="P604" s="106"/>
      <c r="Q604" s="218"/>
      <c r="R604" s="172"/>
      <c r="S604" s="172"/>
      <c r="T604" s="173"/>
      <c r="U604" s="219"/>
      <c r="V604" s="219"/>
      <c r="W604" s="219"/>
      <c r="X604" s="219"/>
      <c r="Y604" s="219"/>
      <c r="Z604" s="219"/>
      <c r="AA604" s="219"/>
      <c r="AB604" s="219"/>
      <c r="AC604" s="219"/>
      <c r="AD604" s="219"/>
      <c r="AE604" s="219"/>
      <c r="AF604" s="219"/>
      <c r="AG604" s="219"/>
      <c r="AH604" s="219"/>
      <c r="AI604" s="219"/>
      <c r="AJ604" s="219"/>
      <c r="AK604" s="219"/>
      <c r="AL604" s="219"/>
      <c r="AM604" s="219"/>
      <c r="AN604" s="219"/>
      <c r="AO604" s="219"/>
      <c r="AP604" s="219"/>
      <c r="AQ604" s="219"/>
      <c r="AR604" s="219"/>
      <c r="AS604" s="219"/>
      <c r="AT604" s="219"/>
      <c r="AU604" s="219"/>
      <c r="AV604" s="219"/>
      <c r="AW604" s="219"/>
      <c r="AX604" s="219"/>
      <c r="AY604" s="219"/>
      <c r="AZ604" s="219"/>
      <c r="BA604" s="219"/>
      <c r="BB604" s="219"/>
      <c r="BC604" s="219"/>
      <c r="BD604" s="219"/>
      <c r="BE604" s="219"/>
      <c r="BF604" s="219"/>
      <c r="BG604" s="219"/>
      <c r="BH604" s="219"/>
      <c r="BI604" s="219"/>
      <c r="BJ604" s="219"/>
      <c r="BK604" s="219"/>
      <c r="BL604" s="219"/>
      <c r="BM604" s="219"/>
      <c r="BN604" s="219"/>
    </row>
    <row r="605" ht="29.25" hidden="1" customHeight="1">
      <c r="A605" s="216"/>
      <c r="B605" s="217"/>
      <c r="C605" s="164"/>
      <c r="D605" s="164"/>
      <c r="E605" s="165"/>
      <c r="F605" s="173"/>
      <c r="G605" s="168"/>
      <c r="H605" s="168"/>
      <c r="I605" s="169"/>
      <c r="J605" s="170"/>
      <c r="K605" s="170"/>
      <c r="L605" s="170"/>
      <c r="M605" s="167"/>
      <c r="N605" s="169"/>
      <c r="O605" s="171"/>
      <c r="P605" s="106"/>
      <c r="Q605" s="218"/>
      <c r="R605" s="172"/>
      <c r="S605" s="172"/>
      <c r="T605" s="173"/>
      <c r="U605" s="219"/>
      <c r="V605" s="219"/>
      <c r="W605" s="219"/>
      <c r="X605" s="219"/>
      <c r="Y605" s="219"/>
      <c r="Z605" s="219"/>
      <c r="AA605" s="219"/>
      <c r="AB605" s="219"/>
      <c r="AC605" s="219"/>
      <c r="AD605" s="219"/>
      <c r="AE605" s="219"/>
      <c r="AF605" s="219"/>
      <c r="AG605" s="219"/>
      <c r="AH605" s="219"/>
      <c r="AI605" s="219"/>
      <c r="AJ605" s="219"/>
      <c r="AK605" s="219"/>
      <c r="AL605" s="219"/>
      <c r="AM605" s="219"/>
      <c r="AN605" s="219"/>
      <c r="AO605" s="219"/>
      <c r="AP605" s="219"/>
      <c r="AQ605" s="219"/>
      <c r="AR605" s="219"/>
      <c r="AS605" s="219"/>
      <c r="AT605" s="219"/>
      <c r="AU605" s="219"/>
      <c r="AV605" s="219"/>
      <c r="AW605" s="219"/>
      <c r="AX605" s="219"/>
      <c r="AY605" s="219"/>
      <c r="AZ605" s="219"/>
      <c r="BA605" s="219"/>
      <c r="BB605" s="219"/>
      <c r="BC605" s="219"/>
      <c r="BD605" s="219"/>
      <c r="BE605" s="219"/>
      <c r="BF605" s="219"/>
      <c r="BG605" s="219"/>
      <c r="BH605" s="219"/>
      <c r="BI605" s="219"/>
      <c r="BJ605" s="219"/>
      <c r="BK605" s="219"/>
      <c r="BL605" s="219"/>
      <c r="BM605" s="219"/>
      <c r="BN605" s="219"/>
    </row>
    <row r="606" ht="29.25" hidden="1" customHeight="1">
      <c r="A606" s="216"/>
      <c r="B606" s="217"/>
      <c r="C606" s="164"/>
      <c r="D606" s="164"/>
      <c r="E606" s="165"/>
      <c r="F606" s="173"/>
      <c r="G606" s="168"/>
      <c r="H606" s="168"/>
      <c r="I606" s="169"/>
      <c r="J606" s="170"/>
      <c r="K606" s="170"/>
      <c r="L606" s="170"/>
      <c r="M606" s="167"/>
      <c r="N606" s="169"/>
      <c r="O606" s="171"/>
      <c r="P606" s="106"/>
      <c r="Q606" s="218"/>
      <c r="R606" s="172"/>
      <c r="S606" s="172"/>
      <c r="T606" s="173"/>
      <c r="U606" s="219"/>
      <c r="V606" s="219"/>
      <c r="W606" s="219"/>
      <c r="X606" s="219"/>
      <c r="Y606" s="219"/>
      <c r="Z606" s="219"/>
      <c r="AA606" s="219"/>
      <c r="AB606" s="219"/>
      <c r="AC606" s="219"/>
      <c r="AD606" s="219"/>
      <c r="AE606" s="219"/>
      <c r="AF606" s="219"/>
      <c r="AG606" s="219"/>
      <c r="AH606" s="219"/>
      <c r="AI606" s="219"/>
      <c r="AJ606" s="219"/>
      <c r="AK606" s="219"/>
      <c r="AL606" s="219"/>
      <c r="AM606" s="219"/>
      <c r="AN606" s="219"/>
      <c r="AO606" s="219"/>
      <c r="AP606" s="219"/>
      <c r="AQ606" s="219"/>
      <c r="AR606" s="219"/>
      <c r="AS606" s="219"/>
      <c r="AT606" s="219"/>
      <c r="AU606" s="219"/>
      <c r="AV606" s="219"/>
      <c r="AW606" s="219"/>
      <c r="AX606" s="219"/>
      <c r="AY606" s="219"/>
      <c r="AZ606" s="219"/>
      <c r="BA606" s="219"/>
      <c r="BB606" s="219"/>
      <c r="BC606" s="219"/>
      <c r="BD606" s="219"/>
      <c r="BE606" s="219"/>
      <c r="BF606" s="219"/>
      <c r="BG606" s="219"/>
      <c r="BH606" s="219"/>
      <c r="BI606" s="219"/>
      <c r="BJ606" s="219"/>
      <c r="BK606" s="219"/>
      <c r="BL606" s="219"/>
      <c r="BM606" s="219"/>
      <c r="BN606" s="219"/>
    </row>
    <row r="607" ht="29.25" hidden="1" customHeight="1">
      <c r="A607" s="216"/>
      <c r="B607" s="217"/>
      <c r="C607" s="164"/>
      <c r="D607" s="164"/>
      <c r="E607" s="165"/>
      <c r="F607" s="173"/>
      <c r="G607" s="168"/>
      <c r="H607" s="168"/>
      <c r="I607" s="169"/>
      <c r="J607" s="170"/>
      <c r="K607" s="170"/>
      <c r="L607" s="170"/>
      <c r="M607" s="167"/>
      <c r="N607" s="169"/>
      <c r="O607" s="171"/>
      <c r="P607" s="106"/>
      <c r="Q607" s="218"/>
      <c r="R607" s="172"/>
      <c r="S607" s="172"/>
      <c r="T607" s="173"/>
      <c r="U607" s="219"/>
      <c r="V607" s="219"/>
      <c r="W607" s="219"/>
      <c r="X607" s="219"/>
      <c r="Y607" s="219"/>
      <c r="Z607" s="219"/>
      <c r="AA607" s="219"/>
      <c r="AB607" s="219"/>
      <c r="AC607" s="219"/>
      <c r="AD607" s="219"/>
      <c r="AE607" s="219"/>
      <c r="AF607" s="219"/>
      <c r="AG607" s="219"/>
      <c r="AH607" s="219"/>
      <c r="AI607" s="219"/>
      <c r="AJ607" s="219"/>
      <c r="AK607" s="219"/>
      <c r="AL607" s="219"/>
      <c r="AM607" s="219"/>
      <c r="AN607" s="219"/>
      <c r="AO607" s="219"/>
      <c r="AP607" s="219"/>
      <c r="AQ607" s="219"/>
      <c r="AR607" s="219"/>
      <c r="AS607" s="219"/>
      <c r="AT607" s="219"/>
      <c r="AU607" s="219"/>
      <c r="AV607" s="219"/>
      <c r="AW607" s="219"/>
      <c r="AX607" s="219"/>
      <c r="AY607" s="219"/>
      <c r="AZ607" s="219"/>
      <c r="BA607" s="219"/>
      <c r="BB607" s="219"/>
      <c r="BC607" s="219"/>
      <c r="BD607" s="219"/>
      <c r="BE607" s="219"/>
      <c r="BF607" s="219"/>
      <c r="BG607" s="219"/>
      <c r="BH607" s="219"/>
      <c r="BI607" s="219"/>
      <c r="BJ607" s="219"/>
      <c r="BK607" s="219"/>
      <c r="BL607" s="219"/>
      <c r="BM607" s="219"/>
      <c r="BN607" s="219"/>
    </row>
    <row r="608" ht="29.25" hidden="1" customHeight="1">
      <c r="A608" s="216"/>
      <c r="B608" s="217"/>
      <c r="C608" s="164"/>
      <c r="D608" s="164"/>
      <c r="E608" s="165"/>
      <c r="F608" s="173"/>
      <c r="G608" s="168"/>
      <c r="H608" s="168"/>
      <c r="I608" s="169"/>
      <c r="J608" s="170"/>
      <c r="K608" s="170"/>
      <c r="L608" s="170"/>
      <c r="M608" s="167"/>
      <c r="N608" s="169"/>
      <c r="O608" s="171"/>
      <c r="P608" s="106"/>
      <c r="Q608" s="218"/>
      <c r="R608" s="172"/>
      <c r="S608" s="172"/>
      <c r="T608" s="173"/>
      <c r="U608" s="219"/>
      <c r="V608" s="219"/>
      <c r="W608" s="219"/>
      <c r="X608" s="219"/>
      <c r="Y608" s="219"/>
      <c r="Z608" s="219"/>
      <c r="AA608" s="219"/>
      <c r="AB608" s="219"/>
      <c r="AC608" s="219"/>
      <c r="AD608" s="219"/>
      <c r="AE608" s="219"/>
      <c r="AF608" s="219"/>
      <c r="AG608" s="219"/>
      <c r="AH608" s="219"/>
      <c r="AI608" s="219"/>
      <c r="AJ608" s="219"/>
      <c r="AK608" s="219"/>
      <c r="AL608" s="219"/>
      <c r="AM608" s="219"/>
      <c r="AN608" s="219"/>
      <c r="AO608" s="219"/>
      <c r="AP608" s="219"/>
      <c r="AQ608" s="219"/>
      <c r="AR608" s="219"/>
      <c r="AS608" s="219"/>
      <c r="AT608" s="219"/>
      <c r="AU608" s="219"/>
      <c r="AV608" s="219"/>
      <c r="AW608" s="219"/>
      <c r="AX608" s="219"/>
      <c r="AY608" s="219"/>
      <c r="AZ608" s="219"/>
      <c r="BA608" s="219"/>
      <c r="BB608" s="219"/>
      <c r="BC608" s="219"/>
      <c r="BD608" s="219"/>
      <c r="BE608" s="219"/>
      <c r="BF608" s="219"/>
      <c r="BG608" s="219"/>
      <c r="BH608" s="219"/>
      <c r="BI608" s="219"/>
      <c r="BJ608" s="219"/>
      <c r="BK608" s="219"/>
      <c r="BL608" s="219"/>
      <c r="BM608" s="219"/>
      <c r="BN608" s="219"/>
    </row>
    <row r="609" ht="29.25" hidden="1" customHeight="1">
      <c r="A609" s="216"/>
      <c r="B609" s="217"/>
      <c r="C609" s="164"/>
      <c r="D609" s="164"/>
      <c r="E609" s="165"/>
      <c r="F609" s="173"/>
      <c r="G609" s="168"/>
      <c r="H609" s="168"/>
      <c r="I609" s="169"/>
      <c r="J609" s="170"/>
      <c r="K609" s="170"/>
      <c r="L609" s="170"/>
      <c r="M609" s="167"/>
      <c r="N609" s="169"/>
      <c r="O609" s="171"/>
      <c r="P609" s="106"/>
      <c r="Q609" s="218"/>
      <c r="R609" s="172"/>
      <c r="S609" s="172"/>
      <c r="T609" s="173"/>
      <c r="U609" s="219"/>
      <c r="V609" s="219"/>
      <c r="W609" s="219"/>
      <c r="X609" s="219"/>
      <c r="Y609" s="219"/>
      <c r="Z609" s="219"/>
      <c r="AA609" s="219"/>
      <c r="AB609" s="219"/>
      <c r="AC609" s="219"/>
      <c r="AD609" s="219"/>
      <c r="AE609" s="219"/>
      <c r="AF609" s="219"/>
      <c r="AG609" s="219"/>
      <c r="AH609" s="219"/>
      <c r="AI609" s="219"/>
      <c r="AJ609" s="219"/>
      <c r="AK609" s="219"/>
      <c r="AL609" s="219"/>
      <c r="AM609" s="219"/>
      <c r="AN609" s="219"/>
      <c r="AO609" s="219"/>
      <c r="AP609" s="219"/>
      <c r="AQ609" s="219"/>
      <c r="AR609" s="219"/>
      <c r="AS609" s="219"/>
      <c r="AT609" s="219"/>
      <c r="AU609" s="219"/>
      <c r="AV609" s="219"/>
      <c r="AW609" s="219"/>
      <c r="AX609" s="219"/>
      <c r="AY609" s="219"/>
      <c r="AZ609" s="219"/>
      <c r="BA609" s="219"/>
      <c r="BB609" s="219"/>
      <c r="BC609" s="219"/>
      <c r="BD609" s="219"/>
      <c r="BE609" s="219"/>
      <c r="BF609" s="219"/>
      <c r="BG609" s="219"/>
      <c r="BH609" s="219"/>
      <c r="BI609" s="219"/>
      <c r="BJ609" s="219"/>
      <c r="BK609" s="219"/>
      <c r="BL609" s="219"/>
      <c r="BM609" s="219"/>
      <c r="BN609" s="219"/>
    </row>
    <row r="610" ht="29.25" hidden="1" customHeight="1">
      <c r="A610" s="216"/>
      <c r="B610" s="217"/>
      <c r="C610" s="164"/>
      <c r="D610" s="164"/>
      <c r="E610" s="165"/>
      <c r="F610" s="173"/>
      <c r="G610" s="168"/>
      <c r="H610" s="168"/>
      <c r="I610" s="169"/>
      <c r="J610" s="170"/>
      <c r="K610" s="170"/>
      <c r="L610" s="170"/>
      <c r="M610" s="167"/>
      <c r="N610" s="169"/>
      <c r="O610" s="171"/>
      <c r="P610" s="106"/>
      <c r="Q610" s="218"/>
      <c r="R610" s="172"/>
      <c r="S610" s="172"/>
      <c r="T610" s="173"/>
      <c r="U610" s="219"/>
      <c r="V610" s="219"/>
      <c r="W610" s="219"/>
      <c r="X610" s="219"/>
      <c r="Y610" s="219"/>
      <c r="Z610" s="219"/>
      <c r="AA610" s="219"/>
      <c r="AB610" s="219"/>
      <c r="AC610" s="219"/>
      <c r="AD610" s="219"/>
      <c r="AE610" s="219"/>
      <c r="AF610" s="219"/>
      <c r="AG610" s="219"/>
      <c r="AH610" s="219"/>
      <c r="AI610" s="219"/>
      <c r="AJ610" s="219"/>
      <c r="AK610" s="219"/>
      <c r="AL610" s="219"/>
      <c r="AM610" s="219"/>
      <c r="AN610" s="219"/>
      <c r="AO610" s="219"/>
      <c r="AP610" s="219"/>
      <c r="AQ610" s="219"/>
      <c r="AR610" s="219"/>
      <c r="AS610" s="219"/>
      <c r="AT610" s="219"/>
      <c r="AU610" s="219"/>
      <c r="AV610" s="219"/>
      <c r="AW610" s="219"/>
      <c r="AX610" s="219"/>
      <c r="AY610" s="219"/>
      <c r="AZ610" s="219"/>
      <c r="BA610" s="219"/>
      <c r="BB610" s="219"/>
      <c r="BC610" s="219"/>
      <c r="BD610" s="219"/>
      <c r="BE610" s="219"/>
      <c r="BF610" s="219"/>
      <c r="BG610" s="219"/>
      <c r="BH610" s="219"/>
      <c r="BI610" s="219"/>
      <c r="BJ610" s="219"/>
      <c r="BK610" s="219"/>
      <c r="BL610" s="219"/>
      <c r="BM610" s="219"/>
      <c r="BN610" s="219"/>
    </row>
    <row r="611" ht="29.25" hidden="1" customHeight="1">
      <c r="A611" s="216"/>
      <c r="B611" s="217"/>
      <c r="C611" s="164"/>
      <c r="D611" s="164"/>
      <c r="E611" s="165"/>
      <c r="F611" s="173"/>
      <c r="G611" s="168"/>
      <c r="H611" s="168"/>
      <c r="I611" s="169"/>
      <c r="J611" s="170"/>
      <c r="K611" s="170"/>
      <c r="L611" s="170"/>
      <c r="M611" s="167"/>
      <c r="N611" s="169"/>
      <c r="O611" s="171"/>
      <c r="P611" s="106"/>
      <c r="Q611" s="218"/>
      <c r="R611" s="172"/>
      <c r="S611" s="172"/>
      <c r="T611" s="173"/>
      <c r="U611" s="219"/>
      <c r="V611" s="219"/>
      <c r="W611" s="219"/>
      <c r="X611" s="219"/>
      <c r="Y611" s="219"/>
      <c r="Z611" s="219"/>
      <c r="AA611" s="219"/>
      <c r="AB611" s="219"/>
      <c r="AC611" s="219"/>
      <c r="AD611" s="219"/>
      <c r="AE611" s="219"/>
      <c r="AF611" s="219"/>
      <c r="AG611" s="219"/>
      <c r="AH611" s="219"/>
      <c r="AI611" s="219"/>
      <c r="AJ611" s="219"/>
      <c r="AK611" s="219"/>
      <c r="AL611" s="219"/>
      <c r="AM611" s="219"/>
      <c r="AN611" s="219"/>
      <c r="AO611" s="219"/>
      <c r="AP611" s="219"/>
      <c r="AQ611" s="219"/>
      <c r="AR611" s="219"/>
      <c r="AS611" s="219"/>
      <c r="AT611" s="219"/>
      <c r="AU611" s="219"/>
      <c r="AV611" s="219"/>
      <c r="AW611" s="219"/>
      <c r="AX611" s="219"/>
      <c r="AY611" s="219"/>
      <c r="AZ611" s="219"/>
      <c r="BA611" s="219"/>
      <c r="BB611" s="219"/>
      <c r="BC611" s="219"/>
      <c r="BD611" s="219"/>
      <c r="BE611" s="219"/>
      <c r="BF611" s="219"/>
      <c r="BG611" s="219"/>
      <c r="BH611" s="219"/>
      <c r="BI611" s="219"/>
      <c r="BJ611" s="219"/>
      <c r="BK611" s="219"/>
      <c r="BL611" s="219"/>
      <c r="BM611" s="219"/>
      <c r="BN611" s="219"/>
    </row>
    <row r="612" ht="29.25" hidden="1" customHeight="1">
      <c r="A612" s="216"/>
      <c r="B612" s="217"/>
      <c r="C612" s="164"/>
      <c r="D612" s="164"/>
      <c r="E612" s="165"/>
      <c r="F612" s="173"/>
      <c r="G612" s="168"/>
      <c r="H612" s="168"/>
      <c r="I612" s="169"/>
      <c r="J612" s="170"/>
      <c r="K612" s="170"/>
      <c r="L612" s="170"/>
      <c r="M612" s="167"/>
      <c r="N612" s="169"/>
      <c r="O612" s="171"/>
      <c r="P612" s="106"/>
      <c r="Q612" s="218"/>
      <c r="R612" s="172"/>
      <c r="S612" s="172"/>
      <c r="T612" s="173"/>
      <c r="U612" s="219"/>
      <c r="V612" s="219"/>
      <c r="W612" s="219"/>
      <c r="X612" s="219"/>
      <c r="Y612" s="219"/>
      <c r="Z612" s="219"/>
      <c r="AA612" s="219"/>
      <c r="AB612" s="219"/>
      <c r="AC612" s="219"/>
      <c r="AD612" s="219"/>
      <c r="AE612" s="219"/>
      <c r="AF612" s="219"/>
      <c r="AG612" s="219"/>
      <c r="AH612" s="219"/>
      <c r="AI612" s="219"/>
      <c r="AJ612" s="219"/>
      <c r="AK612" s="219"/>
      <c r="AL612" s="219"/>
      <c r="AM612" s="219"/>
      <c r="AN612" s="219"/>
      <c r="AO612" s="219"/>
      <c r="AP612" s="219"/>
      <c r="AQ612" s="219"/>
      <c r="AR612" s="219"/>
      <c r="AS612" s="219"/>
      <c r="AT612" s="219"/>
      <c r="AU612" s="219"/>
      <c r="AV612" s="219"/>
      <c r="AW612" s="219"/>
      <c r="AX612" s="219"/>
      <c r="AY612" s="219"/>
      <c r="AZ612" s="219"/>
      <c r="BA612" s="219"/>
      <c r="BB612" s="219"/>
      <c r="BC612" s="219"/>
      <c r="BD612" s="219"/>
      <c r="BE612" s="219"/>
      <c r="BF612" s="219"/>
      <c r="BG612" s="219"/>
      <c r="BH612" s="219"/>
      <c r="BI612" s="219"/>
      <c r="BJ612" s="219"/>
      <c r="BK612" s="219"/>
      <c r="BL612" s="219"/>
      <c r="BM612" s="219"/>
      <c r="BN612" s="219"/>
    </row>
    <row r="613" ht="29.25" hidden="1" customHeight="1">
      <c r="A613" s="216"/>
      <c r="B613" s="217"/>
      <c r="C613" s="164"/>
      <c r="D613" s="164"/>
      <c r="E613" s="165"/>
      <c r="F613" s="173"/>
      <c r="G613" s="168"/>
      <c r="H613" s="168"/>
      <c r="I613" s="169"/>
      <c r="J613" s="170"/>
      <c r="K613" s="170"/>
      <c r="L613" s="170"/>
      <c r="M613" s="167"/>
      <c r="N613" s="169"/>
      <c r="O613" s="171"/>
      <c r="P613" s="106"/>
      <c r="Q613" s="218"/>
      <c r="R613" s="172"/>
      <c r="S613" s="172"/>
      <c r="T613" s="173"/>
      <c r="U613" s="219"/>
      <c r="V613" s="219"/>
      <c r="W613" s="219"/>
      <c r="X613" s="219"/>
      <c r="Y613" s="219"/>
      <c r="Z613" s="219"/>
      <c r="AA613" s="219"/>
      <c r="AB613" s="219"/>
      <c r="AC613" s="219"/>
      <c r="AD613" s="219"/>
      <c r="AE613" s="219"/>
      <c r="AF613" s="219"/>
      <c r="AG613" s="219"/>
      <c r="AH613" s="219"/>
      <c r="AI613" s="219"/>
      <c r="AJ613" s="219"/>
      <c r="AK613" s="219"/>
      <c r="AL613" s="219"/>
      <c r="AM613" s="219"/>
      <c r="AN613" s="219"/>
      <c r="AO613" s="219"/>
      <c r="AP613" s="219"/>
      <c r="AQ613" s="219"/>
      <c r="AR613" s="219"/>
      <c r="AS613" s="219"/>
      <c r="AT613" s="219"/>
      <c r="AU613" s="219"/>
      <c r="AV613" s="219"/>
      <c r="AW613" s="219"/>
      <c r="AX613" s="219"/>
      <c r="AY613" s="219"/>
      <c r="AZ613" s="219"/>
      <c r="BA613" s="219"/>
      <c r="BB613" s="219"/>
      <c r="BC613" s="219"/>
      <c r="BD613" s="219"/>
      <c r="BE613" s="219"/>
      <c r="BF613" s="219"/>
      <c r="BG613" s="219"/>
      <c r="BH613" s="219"/>
      <c r="BI613" s="219"/>
      <c r="BJ613" s="219"/>
      <c r="BK613" s="219"/>
      <c r="BL613" s="219"/>
      <c r="BM613" s="219"/>
      <c r="BN613" s="219"/>
    </row>
    <row r="614" ht="29.25" hidden="1" customHeight="1">
      <c r="A614" s="216"/>
      <c r="B614" s="217"/>
      <c r="C614" s="164"/>
      <c r="D614" s="164"/>
      <c r="E614" s="165"/>
      <c r="F614" s="173"/>
      <c r="G614" s="168"/>
      <c r="H614" s="168"/>
      <c r="I614" s="169"/>
      <c r="J614" s="170"/>
      <c r="K614" s="170"/>
      <c r="L614" s="170"/>
      <c r="M614" s="167"/>
      <c r="N614" s="169"/>
      <c r="O614" s="171"/>
      <c r="P614" s="106"/>
      <c r="Q614" s="218"/>
      <c r="R614" s="172"/>
      <c r="S614" s="172"/>
      <c r="T614" s="173"/>
      <c r="U614" s="219"/>
      <c r="V614" s="219"/>
      <c r="W614" s="219"/>
      <c r="X614" s="219"/>
      <c r="Y614" s="219"/>
      <c r="Z614" s="219"/>
      <c r="AA614" s="219"/>
      <c r="AB614" s="219"/>
      <c r="AC614" s="219"/>
      <c r="AD614" s="219"/>
      <c r="AE614" s="219"/>
      <c r="AF614" s="219"/>
      <c r="AG614" s="219"/>
      <c r="AH614" s="219"/>
      <c r="AI614" s="219"/>
      <c r="AJ614" s="219"/>
      <c r="AK614" s="219"/>
      <c r="AL614" s="219"/>
      <c r="AM614" s="219"/>
      <c r="AN614" s="219"/>
      <c r="AO614" s="219"/>
      <c r="AP614" s="219"/>
      <c r="AQ614" s="219"/>
      <c r="AR614" s="219"/>
      <c r="AS614" s="219"/>
      <c r="AT614" s="219"/>
      <c r="AU614" s="219"/>
      <c r="AV614" s="219"/>
      <c r="AW614" s="219"/>
      <c r="AX614" s="219"/>
      <c r="AY614" s="219"/>
      <c r="AZ614" s="219"/>
      <c r="BA614" s="219"/>
      <c r="BB614" s="219"/>
      <c r="BC614" s="219"/>
      <c r="BD614" s="219"/>
      <c r="BE614" s="219"/>
      <c r="BF614" s="219"/>
      <c r="BG614" s="219"/>
      <c r="BH614" s="219"/>
      <c r="BI614" s="219"/>
      <c r="BJ614" s="219"/>
      <c r="BK614" s="219"/>
      <c r="BL614" s="219"/>
      <c r="BM614" s="219"/>
      <c r="BN614" s="219"/>
    </row>
    <row r="615" ht="29.25" hidden="1" customHeight="1">
      <c r="A615" s="216"/>
      <c r="B615" s="217"/>
      <c r="C615" s="164"/>
      <c r="D615" s="164"/>
      <c r="E615" s="165"/>
      <c r="F615" s="173"/>
      <c r="G615" s="168"/>
      <c r="H615" s="168"/>
      <c r="I615" s="169"/>
      <c r="J615" s="170"/>
      <c r="K615" s="170"/>
      <c r="L615" s="170"/>
      <c r="M615" s="167"/>
      <c r="N615" s="169"/>
      <c r="O615" s="171"/>
      <c r="P615" s="106"/>
      <c r="Q615" s="218"/>
      <c r="R615" s="172"/>
      <c r="S615" s="172"/>
      <c r="T615" s="173"/>
      <c r="U615" s="219"/>
      <c r="V615" s="219"/>
      <c r="W615" s="219"/>
      <c r="X615" s="219"/>
      <c r="Y615" s="219"/>
      <c r="Z615" s="219"/>
      <c r="AA615" s="219"/>
      <c r="AB615" s="219"/>
      <c r="AC615" s="219"/>
      <c r="AD615" s="219"/>
      <c r="AE615" s="219"/>
      <c r="AF615" s="219"/>
      <c r="AG615" s="219"/>
      <c r="AH615" s="219"/>
      <c r="AI615" s="219"/>
      <c r="AJ615" s="219"/>
      <c r="AK615" s="219"/>
      <c r="AL615" s="219"/>
      <c r="AM615" s="219"/>
      <c r="AN615" s="219"/>
      <c r="AO615" s="219"/>
      <c r="AP615" s="219"/>
      <c r="AQ615" s="219"/>
      <c r="AR615" s="219"/>
      <c r="AS615" s="219"/>
      <c r="AT615" s="219"/>
      <c r="AU615" s="219"/>
      <c r="AV615" s="219"/>
      <c r="AW615" s="219"/>
      <c r="AX615" s="219"/>
      <c r="AY615" s="219"/>
      <c r="AZ615" s="219"/>
      <c r="BA615" s="219"/>
      <c r="BB615" s="219"/>
      <c r="BC615" s="219"/>
      <c r="BD615" s="219"/>
      <c r="BE615" s="219"/>
      <c r="BF615" s="219"/>
      <c r="BG615" s="219"/>
      <c r="BH615" s="219"/>
      <c r="BI615" s="219"/>
      <c r="BJ615" s="219"/>
      <c r="BK615" s="219"/>
      <c r="BL615" s="219"/>
      <c r="BM615" s="219"/>
      <c r="BN615" s="219"/>
    </row>
    <row r="616" ht="29.25" hidden="1" customHeight="1">
      <c r="A616" s="216"/>
      <c r="B616" s="217"/>
      <c r="C616" s="164"/>
      <c r="D616" s="164"/>
      <c r="E616" s="165"/>
      <c r="F616" s="173"/>
      <c r="G616" s="168"/>
      <c r="H616" s="168"/>
      <c r="I616" s="169"/>
      <c r="J616" s="170"/>
      <c r="K616" s="170"/>
      <c r="L616" s="170"/>
      <c r="M616" s="167"/>
      <c r="N616" s="169"/>
      <c r="O616" s="171"/>
      <c r="P616" s="106"/>
      <c r="Q616" s="218"/>
      <c r="R616" s="172"/>
      <c r="S616" s="172"/>
      <c r="T616" s="173"/>
      <c r="U616" s="219"/>
      <c r="V616" s="219"/>
      <c r="W616" s="219"/>
      <c r="X616" s="219"/>
      <c r="Y616" s="219"/>
      <c r="Z616" s="219"/>
      <c r="AA616" s="219"/>
      <c r="AB616" s="219"/>
      <c r="AC616" s="219"/>
      <c r="AD616" s="219"/>
      <c r="AE616" s="219"/>
      <c r="AF616" s="219"/>
      <c r="AG616" s="219"/>
      <c r="AH616" s="219"/>
      <c r="AI616" s="219"/>
      <c r="AJ616" s="219"/>
      <c r="AK616" s="219"/>
      <c r="AL616" s="219"/>
      <c r="AM616" s="219"/>
      <c r="AN616" s="219"/>
      <c r="AO616" s="219"/>
      <c r="AP616" s="219"/>
      <c r="AQ616" s="219"/>
      <c r="AR616" s="219"/>
      <c r="AS616" s="219"/>
      <c r="AT616" s="219"/>
      <c r="AU616" s="219"/>
      <c r="AV616" s="219"/>
      <c r="AW616" s="219"/>
      <c r="AX616" s="219"/>
      <c r="AY616" s="219"/>
      <c r="AZ616" s="219"/>
      <c r="BA616" s="219"/>
      <c r="BB616" s="219"/>
      <c r="BC616" s="219"/>
      <c r="BD616" s="219"/>
      <c r="BE616" s="219"/>
      <c r="BF616" s="219"/>
      <c r="BG616" s="219"/>
      <c r="BH616" s="219"/>
      <c r="BI616" s="219"/>
      <c r="BJ616" s="219"/>
      <c r="BK616" s="219"/>
      <c r="BL616" s="219"/>
      <c r="BM616" s="219"/>
      <c r="BN616" s="219"/>
    </row>
    <row r="617" ht="29.25" hidden="1" customHeight="1">
      <c r="A617" s="216"/>
      <c r="B617" s="217"/>
      <c r="C617" s="164"/>
      <c r="D617" s="164"/>
      <c r="E617" s="165"/>
      <c r="F617" s="173"/>
      <c r="G617" s="168"/>
      <c r="H617" s="168"/>
      <c r="I617" s="169"/>
      <c r="J617" s="170"/>
      <c r="K617" s="170"/>
      <c r="L617" s="170"/>
      <c r="M617" s="167"/>
      <c r="N617" s="169"/>
      <c r="O617" s="171"/>
      <c r="P617" s="106"/>
      <c r="Q617" s="218"/>
      <c r="R617" s="172"/>
      <c r="S617" s="172"/>
      <c r="T617" s="173"/>
      <c r="U617" s="219"/>
      <c r="V617" s="219"/>
      <c r="W617" s="219"/>
      <c r="X617" s="219"/>
      <c r="Y617" s="219"/>
      <c r="Z617" s="219"/>
      <c r="AA617" s="219"/>
      <c r="AB617" s="219"/>
      <c r="AC617" s="219"/>
      <c r="AD617" s="219"/>
      <c r="AE617" s="219"/>
      <c r="AF617" s="219"/>
      <c r="AG617" s="219"/>
      <c r="AH617" s="219"/>
      <c r="AI617" s="219"/>
      <c r="AJ617" s="219"/>
      <c r="AK617" s="219"/>
      <c r="AL617" s="219"/>
      <c r="AM617" s="219"/>
      <c r="AN617" s="219"/>
      <c r="AO617" s="219"/>
      <c r="AP617" s="219"/>
      <c r="AQ617" s="219"/>
      <c r="AR617" s="219"/>
      <c r="AS617" s="219"/>
      <c r="AT617" s="219"/>
      <c r="AU617" s="219"/>
      <c r="AV617" s="219"/>
      <c r="AW617" s="219"/>
      <c r="AX617" s="219"/>
      <c r="AY617" s="219"/>
      <c r="AZ617" s="219"/>
      <c r="BA617" s="219"/>
      <c r="BB617" s="219"/>
      <c r="BC617" s="219"/>
      <c r="BD617" s="219"/>
      <c r="BE617" s="219"/>
      <c r="BF617" s="219"/>
      <c r="BG617" s="219"/>
      <c r="BH617" s="219"/>
      <c r="BI617" s="219"/>
      <c r="BJ617" s="219"/>
      <c r="BK617" s="219"/>
      <c r="BL617" s="219"/>
      <c r="BM617" s="219"/>
      <c r="BN617" s="219"/>
    </row>
    <row r="618" ht="29.25" hidden="1" customHeight="1">
      <c r="A618" s="216"/>
      <c r="B618" s="217"/>
      <c r="C618" s="164"/>
      <c r="D618" s="164"/>
      <c r="E618" s="165"/>
      <c r="F618" s="173"/>
      <c r="G618" s="168"/>
      <c r="H618" s="168"/>
      <c r="I618" s="169"/>
      <c r="J618" s="170"/>
      <c r="K618" s="170"/>
      <c r="L618" s="170"/>
      <c r="M618" s="167"/>
      <c r="N618" s="169"/>
      <c r="O618" s="171"/>
      <c r="P618" s="106"/>
      <c r="Q618" s="218"/>
      <c r="R618" s="172"/>
      <c r="S618" s="172"/>
      <c r="T618" s="173"/>
      <c r="U618" s="219"/>
      <c r="V618" s="219"/>
      <c r="W618" s="219"/>
      <c r="X618" s="219"/>
      <c r="Y618" s="219"/>
      <c r="Z618" s="219"/>
      <c r="AA618" s="219"/>
      <c r="AB618" s="219"/>
      <c r="AC618" s="219"/>
      <c r="AD618" s="219"/>
      <c r="AE618" s="219"/>
      <c r="AF618" s="219"/>
      <c r="AG618" s="219"/>
      <c r="AH618" s="219"/>
      <c r="AI618" s="219"/>
      <c r="AJ618" s="219"/>
      <c r="AK618" s="219"/>
      <c r="AL618" s="219"/>
      <c r="AM618" s="219"/>
      <c r="AN618" s="219"/>
      <c r="AO618" s="219"/>
      <c r="AP618" s="219"/>
      <c r="AQ618" s="219"/>
      <c r="AR618" s="219"/>
      <c r="AS618" s="219"/>
      <c r="AT618" s="219"/>
      <c r="AU618" s="219"/>
      <c r="AV618" s="219"/>
      <c r="AW618" s="219"/>
      <c r="AX618" s="219"/>
      <c r="AY618" s="219"/>
      <c r="AZ618" s="219"/>
      <c r="BA618" s="219"/>
      <c r="BB618" s="219"/>
      <c r="BC618" s="219"/>
      <c r="BD618" s="219"/>
      <c r="BE618" s="219"/>
      <c r="BF618" s="219"/>
      <c r="BG618" s="219"/>
      <c r="BH618" s="219"/>
      <c r="BI618" s="219"/>
      <c r="BJ618" s="219"/>
      <c r="BK618" s="219"/>
      <c r="BL618" s="219"/>
      <c r="BM618" s="219"/>
      <c r="BN618" s="219"/>
    </row>
    <row r="619" ht="29.25" hidden="1" customHeight="1">
      <c r="A619" s="216"/>
      <c r="B619" s="217"/>
      <c r="C619" s="164"/>
      <c r="D619" s="164"/>
      <c r="E619" s="165"/>
      <c r="F619" s="173"/>
      <c r="G619" s="168"/>
      <c r="H619" s="168"/>
      <c r="I619" s="169"/>
      <c r="J619" s="170"/>
      <c r="K619" s="170"/>
      <c r="L619" s="170"/>
      <c r="M619" s="167"/>
      <c r="N619" s="169"/>
      <c r="O619" s="171"/>
      <c r="P619" s="106"/>
      <c r="Q619" s="218"/>
      <c r="R619" s="172"/>
      <c r="S619" s="172"/>
      <c r="T619" s="173"/>
      <c r="U619" s="219"/>
      <c r="V619" s="219"/>
      <c r="W619" s="219"/>
      <c r="X619" s="219"/>
      <c r="Y619" s="219"/>
      <c r="Z619" s="219"/>
      <c r="AA619" s="219"/>
      <c r="AB619" s="219"/>
      <c r="AC619" s="219"/>
      <c r="AD619" s="219"/>
      <c r="AE619" s="219"/>
      <c r="AF619" s="219"/>
      <c r="AG619" s="219"/>
      <c r="AH619" s="219"/>
      <c r="AI619" s="219"/>
      <c r="AJ619" s="219"/>
      <c r="AK619" s="219"/>
      <c r="AL619" s="219"/>
      <c r="AM619" s="219"/>
      <c r="AN619" s="219"/>
      <c r="AO619" s="219"/>
      <c r="AP619" s="219"/>
      <c r="AQ619" s="219"/>
      <c r="AR619" s="219"/>
      <c r="AS619" s="219"/>
      <c r="AT619" s="219"/>
      <c r="AU619" s="219"/>
      <c r="AV619" s="219"/>
      <c r="AW619" s="219"/>
      <c r="AX619" s="219"/>
      <c r="AY619" s="219"/>
      <c r="AZ619" s="219"/>
      <c r="BA619" s="219"/>
      <c r="BB619" s="219"/>
      <c r="BC619" s="219"/>
      <c r="BD619" s="219"/>
      <c r="BE619" s="219"/>
      <c r="BF619" s="219"/>
      <c r="BG619" s="219"/>
      <c r="BH619" s="219"/>
      <c r="BI619" s="219"/>
      <c r="BJ619" s="219"/>
      <c r="BK619" s="219"/>
      <c r="BL619" s="219"/>
      <c r="BM619" s="219"/>
      <c r="BN619" s="219"/>
    </row>
    <row r="620" ht="29.25" hidden="1" customHeight="1">
      <c r="A620" s="216"/>
      <c r="B620" s="217"/>
      <c r="C620" s="164"/>
      <c r="D620" s="164"/>
      <c r="E620" s="165"/>
      <c r="F620" s="173"/>
      <c r="G620" s="168"/>
      <c r="H620" s="168"/>
      <c r="I620" s="169"/>
      <c r="J620" s="170"/>
      <c r="K620" s="170"/>
      <c r="L620" s="170"/>
      <c r="M620" s="167"/>
      <c r="N620" s="169"/>
      <c r="O620" s="171"/>
      <c r="P620" s="106"/>
      <c r="Q620" s="218"/>
      <c r="R620" s="172"/>
      <c r="S620" s="172"/>
      <c r="T620" s="173"/>
      <c r="U620" s="219"/>
      <c r="V620" s="219"/>
      <c r="W620" s="219"/>
      <c r="X620" s="219"/>
      <c r="Y620" s="219"/>
      <c r="Z620" s="219"/>
      <c r="AA620" s="219"/>
      <c r="AB620" s="219"/>
      <c r="AC620" s="219"/>
      <c r="AD620" s="219"/>
      <c r="AE620" s="219"/>
      <c r="AF620" s="219"/>
      <c r="AG620" s="219"/>
      <c r="AH620" s="219"/>
      <c r="AI620" s="219"/>
      <c r="AJ620" s="219"/>
      <c r="AK620" s="219"/>
      <c r="AL620" s="219"/>
      <c r="AM620" s="219"/>
      <c r="AN620" s="219"/>
      <c r="AO620" s="219"/>
      <c r="AP620" s="219"/>
      <c r="AQ620" s="219"/>
      <c r="AR620" s="219"/>
      <c r="AS620" s="219"/>
      <c r="AT620" s="219"/>
      <c r="AU620" s="219"/>
      <c r="AV620" s="219"/>
      <c r="AW620" s="219"/>
      <c r="AX620" s="219"/>
      <c r="AY620" s="219"/>
      <c r="AZ620" s="219"/>
      <c r="BA620" s="219"/>
      <c r="BB620" s="219"/>
      <c r="BC620" s="219"/>
      <c r="BD620" s="219"/>
      <c r="BE620" s="219"/>
      <c r="BF620" s="219"/>
      <c r="BG620" s="219"/>
      <c r="BH620" s="219"/>
      <c r="BI620" s="219"/>
      <c r="BJ620" s="219"/>
      <c r="BK620" s="219"/>
      <c r="BL620" s="219"/>
      <c r="BM620" s="219"/>
      <c r="BN620" s="219"/>
    </row>
    <row r="621" ht="29.25" hidden="1" customHeight="1">
      <c r="A621" s="216"/>
      <c r="B621" s="217"/>
      <c r="C621" s="164"/>
      <c r="D621" s="164"/>
      <c r="E621" s="165"/>
      <c r="F621" s="173"/>
      <c r="G621" s="168"/>
      <c r="H621" s="168"/>
      <c r="I621" s="169"/>
      <c r="J621" s="170"/>
      <c r="K621" s="170"/>
      <c r="L621" s="170"/>
      <c r="M621" s="167"/>
      <c r="N621" s="169"/>
      <c r="O621" s="171"/>
      <c r="P621" s="106"/>
      <c r="Q621" s="218"/>
      <c r="R621" s="172"/>
      <c r="S621" s="172"/>
      <c r="T621" s="173"/>
      <c r="U621" s="219"/>
      <c r="V621" s="219"/>
      <c r="W621" s="219"/>
      <c r="X621" s="219"/>
      <c r="Y621" s="219"/>
      <c r="Z621" s="219"/>
      <c r="AA621" s="219"/>
      <c r="AB621" s="219"/>
      <c r="AC621" s="219"/>
      <c r="AD621" s="219"/>
      <c r="AE621" s="219"/>
      <c r="AF621" s="219"/>
      <c r="AG621" s="219"/>
      <c r="AH621" s="219"/>
      <c r="AI621" s="219"/>
      <c r="AJ621" s="219"/>
      <c r="AK621" s="219"/>
      <c r="AL621" s="219"/>
      <c r="AM621" s="219"/>
      <c r="AN621" s="219"/>
      <c r="AO621" s="219"/>
      <c r="AP621" s="219"/>
      <c r="AQ621" s="219"/>
      <c r="AR621" s="219"/>
      <c r="AS621" s="219"/>
      <c r="AT621" s="219"/>
      <c r="AU621" s="219"/>
      <c r="AV621" s="219"/>
      <c r="AW621" s="219"/>
      <c r="AX621" s="219"/>
      <c r="AY621" s="219"/>
      <c r="AZ621" s="219"/>
      <c r="BA621" s="219"/>
      <c r="BB621" s="219"/>
      <c r="BC621" s="219"/>
      <c r="BD621" s="219"/>
      <c r="BE621" s="219"/>
      <c r="BF621" s="219"/>
      <c r="BG621" s="219"/>
      <c r="BH621" s="219"/>
      <c r="BI621" s="219"/>
      <c r="BJ621" s="219"/>
      <c r="BK621" s="219"/>
      <c r="BL621" s="219"/>
      <c r="BM621" s="219"/>
      <c r="BN621" s="219"/>
    </row>
    <row r="622" ht="29.25" hidden="1" customHeight="1">
      <c r="A622" s="216"/>
      <c r="B622" s="217"/>
      <c r="C622" s="164"/>
      <c r="D622" s="164"/>
      <c r="E622" s="165"/>
      <c r="F622" s="173"/>
      <c r="G622" s="168"/>
      <c r="H622" s="168"/>
      <c r="I622" s="169"/>
      <c r="J622" s="170"/>
      <c r="K622" s="170"/>
      <c r="L622" s="170"/>
      <c r="M622" s="167"/>
      <c r="N622" s="169"/>
      <c r="O622" s="171"/>
      <c r="P622" s="106"/>
      <c r="Q622" s="218"/>
      <c r="R622" s="172"/>
      <c r="S622" s="172"/>
      <c r="T622" s="173"/>
      <c r="U622" s="219"/>
      <c r="V622" s="219"/>
      <c r="W622" s="219"/>
      <c r="X622" s="219"/>
      <c r="Y622" s="219"/>
      <c r="Z622" s="219"/>
      <c r="AA622" s="219"/>
      <c r="AB622" s="219"/>
      <c r="AC622" s="219"/>
      <c r="AD622" s="219"/>
      <c r="AE622" s="219"/>
      <c r="AF622" s="219"/>
      <c r="AG622" s="219"/>
      <c r="AH622" s="219"/>
      <c r="AI622" s="219"/>
      <c r="AJ622" s="219"/>
      <c r="AK622" s="219"/>
      <c r="AL622" s="219"/>
      <c r="AM622" s="219"/>
      <c r="AN622" s="219"/>
      <c r="AO622" s="219"/>
      <c r="AP622" s="219"/>
      <c r="AQ622" s="219"/>
      <c r="AR622" s="219"/>
      <c r="AS622" s="219"/>
      <c r="AT622" s="219"/>
      <c r="AU622" s="219"/>
      <c r="AV622" s="219"/>
      <c r="AW622" s="219"/>
      <c r="AX622" s="219"/>
      <c r="AY622" s="219"/>
      <c r="AZ622" s="219"/>
      <c r="BA622" s="219"/>
      <c r="BB622" s="219"/>
      <c r="BC622" s="219"/>
      <c r="BD622" s="219"/>
      <c r="BE622" s="219"/>
      <c r="BF622" s="219"/>
      <c r="BG622" s="219"/>
      <c r="BH622" s="219"/>
      <c r="BI622" s="219"/>
      <c r="BJ622" s="219"/>
      <c r="BK622" s="219"/>
      <c r="BL622" s="219"/>
      <c r="BM622" s="219"/>
      <c r="BN622" s="219"/>
    </row>
    <row r="623" ht="29.25" hidden="1" customHeight="1">
      <c r="A623" s="216"/>
      <c r="B623" s="217"/>
      <c r="C623" s="164"/>
      <c r="D623" s="164"/>
      <c r="E623" s="165"/>
      <c r="F623" s="173"/>
      <c r="G623" s="168"/>
      <c r="H623" s="168"/>
      <c r="I623" s="169"/>
      <c r="J623" s="170"/>
      <c r="K623" s="170"/>
      <c r="L623" s="170"/>
      <c r="M623" s="167"/>
      <c r="N623" s="169"/>
      <c r="O623" s="171"/>
      <c r="P623" s="106"/>
      <c r="Q623" s="218"/>
      <c r="R623" s="172"/>
      <c r="S623" s="172"/>
      <c r="T623" s="173"/>
      <c r="U623" s="219"/>
      <c r="V623" s="219"/>
      <c r="W623" s="219"/>
      <c r="X623" s="219"/>
      <c r="Y623" s="219"/>
      <c r="Z623" s="219"/>
      <c r="AA623" s="219"/>
      <c r="AB623" s="219"/>
      <c r="AC623" s="219"/>
      <c r="AD623" s="219"/>
      <c r="AE623" s="219"/>
      <c r="AF623" s="219"/>
      <c r="AG623" s="219"/>
      <c r="AH623" s="219"/>
      <c r="AI623" s="219"/>
      <c r="AJ623" s="219"/>
      <c r="AK623" s="219"/>
      <c r="AL623" s="219"/>
      <c r="AM623" s="219"/>
      <c r="AN623" s="219"/>
      <c r="AO623" s="219"/>
      <c r="AP623" s="219"/>
      <c r="AQ623" s="219"/>
      <c r="AR623" s="219"/>
      <c r="AS623" s="219"/>
      <c r="AT623" s="219"/>
      <c r="AU623" s="219"/>
      <c r="AV623" s="219"/>
      <c r="AW623" s="219"/>
      <c r="AX623" s="219"/>
      <c r="AY623" s="219"/>
      <c r="AZ623" s="219"/>
      <c r="BA623" s="219"/>
      <c r="BB623" s="219"/>
      <c r="BC623" s="219"/>
      <c r="BD623" s="219"/>
      <c r="BE623" s="219"/>
      <c r="BF623" s="219"/>
      <c r="BG623" s="219"/>
      <c r="BH623" s="219"/>
      <c r="BI623" s="219"/>
      <c r="BJ623" s="219"/>
      <c r="BK623" s="219"/>
      <c r="BL623" s="219"/>
      <c r="BM623" s="219"/>
      <c r="BN623" s="219"/>
    </row>
    <row r="624" ht="29.25" hidden="1" customHeight="1">
      <c r="A624" s="216"/>
      <c r="B624" s="217"/>
      <c r="C624" s="164"/>
      <c r="D624" s="164"/>
      <c r="E624" s="165"/>
      <c r="F624" s="173"/>
      <c r="G624" s="168"/>
      <c r="H624" s="168"/>
      <c r="I624" s="169"/>
      <c r="J624" s="170"/>
      <c r="K624" s="170"/>
      <c r="L624" s="170"/>
      <c r="M624" s="167"/>
      <c r="N624" s="169"/>
      <c r="O624" s="171"/>
      <c r="P624" s="106"/>
      <c r="Q624" s="218"/>
      <c r="R624" s="172"/>
      <c r="S624" s="172"/>
      <c r="T624" s="173"/>
      <c r="U624" s="219"/>
      <c r="V624" s="219"/>
      <c r="W624" s="219"/>
      <c r="X624" s="219"/>
      <c r="Y624" s="219"/>
      <c r="Z624" s="219"/>
      <c r="AA624" s="219"/>
      <c r="AB624" s="219"/>
      <c r="AC624" s="219"/>
      <c r="AD624" s="219"/>
      <c r="AE624" s="219"/>
      <c r="AF624" s="219"/>
      <c r="AG624" s="219"/>
      <c r="AH624" s="219"/>
      <c r="AI624" s="219"/>
      <c r="AJ624" s="219"/>
      <c r="AK624" s="219"/>
      <c r="AL624" s="219"/>
      <c r="AM624" s="219"/>
      <c r="AN624" s="219"/>
      <c r="AO624" s="219"/>
      <c r="AP624" s="219"/>
      <c r="AQ624" s="219"/>
      <c r="AR624" s="219"/>
      <c r="AS624" s="219"/>
      <c r="AT624" s="219"/>
      <c r="AU624" s="219"/>
      <c r="AV624" s="219"/>
      <c r="AW624" s="219"/>
      <c r="AX624" s="219"/>
      <c r="AY624" s="219"/>
      <c r="AZ624" s="219"/>
      <c r="BA624" s="219"/>
      <c r="BB624" s="219"/>
      <c r="BC624" s="219"/>
      <c r="BD624" s="219"/>
      <c r="BE624" s="219"/>
      <c r="BF624" s="219"/>
      <c r="BG624" s="219"/>
      <c r="BH624" s="219"/>
      <c r="BI624" s="219"/>
      <c r="BJ624" s="219"/>
      <c r="BK624" s="219"/>
      <c r="BL624" s="219"/>
      <c r="BM624" s="219"/>
      <c r="BN624" s="219"/>
    </row>
    <row r="625" ht="29.25" hidden="1" customHeight="1">
      <c r="A625" s="216"/>
      <c r="B625" s="217"/>
      <c r="C625" s="164"/>
      <c r="D625" s="164"/>
      <c r="E625" s="165"/>
      <c r="F625" s="173"/>
      <c r="G625" s="168"/>
      <c r="H625" s="168"/>
      <c r="I625" s="169"/>
      <c r="J625" s="170"/>
      <c r="K625" s="170"/>
      <c r="L625" s="170"/>
      <c r="M625" s="167"/>
      <c r="N625" s="169"/>
      <c r="O625" s="171"/>
      <c r="P625" s="106"/>
      <c r="Q625" s="218"/>
      <c r="R625" s="172"/>
      <c r="S625" s="172"/>
      <c r="T625" s="173"/>
      <c r="U625" s="219"/>
      <c r="V625" s="219"/>
      <c r="W625" s="219"/>
      <c r="X625" s="219"/>
      <c r="Y625" s="219"/>
      <c r="Z625" s="219"/>
      <c r="AA625" s="219"/>
      <c r="AB625" s="219"/>
      <c r="AC625" s="219"/>
      <c r="AD625" s="219"/>
      <c r="AE625" s="219"/>
      <c r="AF625" s="219"/>
      <c r="AG625" s="219"/>
      <c r="AH625" s="219"/>
      <c r="AI625" s="219"/>
      <c r="AJ625" s="219"/>
      <c r="AK625" s="219"/>
      <c r="AL625" s="219"/>
      <c r="AM625" s="219"/>
      <c r="AN625" s="219"/>
      <c r="AO625" s="219"/>
      <c r="AP625" s="219"/>
      <c r="AQ625" s="219"/>
      <c r="AR625" s="219"/>
      <c r="AS625" s="219"/>
      <c r="AT625" s="219"/>
      <c r="AU625" s="219"/>
      <c r="AV625" s="219"/>
      <c r="AW625" s="219"/>
      <c r="AX625" s="219"/>
      <c r="AY625" s="219"/>
      <c r="AZ625" s="219"/>
      <c r="BA625" s="219"/>
      <c r="BB625" s="219"/>
      <c r="BC625" s="219"/>
      <c r="BD625" s="219"/>
      <c r="BE625" s="219"/>
      <c r="BF625" s="219"/>
      <c r="BG625" s="219"/>
      <c r="BH625" s="219"/>
      <c r="BI625" s="219"/>
      <c r="BJ625" s="219"/>
      <c r="BK625" s="219"/>
      <c r="BL625" s="219"/>
      <c r="BM625" s="219"/>
      <c r="BN625" s="219"/>
    </row>
    <row r="626" ht="29.25" hidden="1" customHeight="1">
      <c r="A626" s="216"/>
      <c r="B626" s="217"/>
      <c r="C626" s="164"/>
      <c r="D626" s="164"/>
      <c r="E626" s="165"/>
      <c r="F626" s="173"/>
      <c r="G626" s="168"/>
      <c r="H626" s="168"/>
      <c r="I626" s="169"/>
      <c r="J626" s="170"/>
      <c r="K626" s="170"/>
      <c r="L626" s="170"/>
      <c r="M626" s="167"/>
      <c r="N626" s="169"/>
      <c r="O626" s="171"/>
      <c r="P626" s="106"/>
      <c r="Q626" s="218"/>
      <c r="R626" s="172"/>
      <c r="S626" s="172"/>
      <c r="T626" s="173"/>
      <c r="U626" s="219"/>
      <c r="V626" s="219"/>
      <c r="W626" s="219"/>
      <c r="X626" s="219"/>
      <c r="Y626" s="219"/>
      <c r="Z626" s="219"/>
      <c r="AA626" s="219"/>
      <c r="AB626" s="219"/>
      <c r="AC626" s="219"/>
      <c r="AD626" s="219"/>
      <c r="AE626" s="219"/>
      <c r="AF626" s="219"/>
      <c r="AG626" s="219"/>
      <c r="AH626" s="219"/>
      <c r="AI626" s="219"/>
      <c r="AJ626" s="219"/>
      <c r="AK626" s="219"/>
      <c r="AL626" s="219"/>
      <c r="AM626" s="219"/>
      <c r="AN626" s="219"/>
      <c r="AO626" s="219"/>
      <c r="AP626" s="219"/>
      <c r="AQ626" s="219"/>
      <c r="AR626" s="219"/>
      <c r="AS626" s="219"/>
      <c r="AT626" s="219"/>
      <c r="AU626" s="219"/>
      <c r="AV626" s="219"/>
      <c r="AW626" s="219"/>
      <c r="AX626" s="219"/>
      <c r="AY626" s="219"/>
      <c r="AZ626" s="219"/>
      <c r="BA626" s="219"/>
      <c r="BB626" s="219"/>
      <c r="BC626" s="219"/>
      <c r="BD626" s="219"/>
      <c r="BE626" s="219"/>
      <c r="BF626" s="219"/>
      <c r="BG626" s="219"/>
      <c r="BH626" s="219"/>
      <c r="BI626" s="219"/>
      <c r="BJ626" s="219"/>
      <c r="BK626" s="219"/>
      <c r="BL626" s="219"/>
      <c r="BM626" s="219"/>
      <c r="BN626" s="219"/>
    </row>
    <row r="627" ht="29.25" hidden="1" customHeight="1">
      <c r="A627" s="216"/>
      <c r="B627" s="217"/>
      <c r="C627" s="164"/>
      <c r="D627" s="164"/>
      <c r="E627" s="165"/>
      <c r="F627" s="173"/>
      <c r="G627" s="168"/>
      <c r="H627" s="168"/>
      <c r="I627" s="169"/>
      <c r="J627" s="170"/>
      <c r="K627" s="170"/>
      <c r="L627" s="170"/>
      <c r="M627" s="167"/>
      <c r="N627" s="169"/>
      <c r="O627" s="171"/>
      <c r="P627" s="106"/>
      <c r="Q627" s="218"/>
      <c r="R627" s="172"/>
      <c r="S627" s="172"/>
      <c r="T627" s="173"/>
      <c r="U627" s="219"/>
      <c r="V627" s="219"/>
      <c r="W627" s="219"/>
      <c r="X627" s="219"/>
      <c r="Y627" s="219"/>
      <c r="Z627" s="219"/>
      <c r="AA627" s="219"/>
      <c r="AB627" s="219"/>
      <c r="AC627" s="219"/>
      <c r="AD627" s="219"/>
      <c r="AE627" s="219"/>
      <c r="AF627" s="219"/>
      <c r="AG627" s="219"/>
      <c r="AH627" s="219"/>
      <c r="AI627" s="219"/>
      <c r="AJ627" s="219"/>
      <c r="AK627" s="219"/>
      <c r="AL627" s="219"/>
      <c r="AM627" s="219"/>
      <c r="AN627" s="219"/>
      <c r="AO627" s="219"/>
      <c r="AP627" s="219"/>
      <c r="AQ627" s="219"/>
      <c r="AR627" s="219"/>
      <c r="AS627" s="219"/>
      <c r="AT627" s="219"/>
      <c r="AU627" s="219"/>
      <c r="AV627" s="219"/>
      <c r="AW627" s="219"/>
      <c r="AX627" s="219"/>
      <c r="AY627" s="219"/>
      <c r="AZ627" s="219"/>
      <c r="BA627" s="219"/>
      <c r="BB627" s="219"/>
      <c r="BC627" s="219"/>
      <c r="BD627" s="219"/>
      <c r="BE627" s="219"/>
      <c r="BF627" s="219"/>
      <c r="BG627" s="219"/>
      <c r="BH627" s="219"/>
      <c r="BI627" s="219"/>
      <c r="BJ627" s="219"/>
      <c r="BK627" s="219"/>
      <c r="BL627" s="219"/>
      <c r="BM627" s="219"/>
      <c r="BN627" s="219"/>
    </row>
    <row r="628" ht="29.25" hidden="1" customHeight="1">
      <c r="A628" s="216"/>
      <c r="B628" s="217"/>
      <c r="C628" s="164"/>
      <c r="D628" s="164"/>
      <c r="E628" s="165"/>
      <c r="F628" s="173"/>
      <c r="G628" s="168"/>
      <c r="H628" s="168"/>
      <c r="I628" s="169"/>
      <c r="J628" s="170"/>
      <c r="K628" s="170"/>
      <c r="L628" s="170"/>
      <c r="M628" s="167"/>
      <c r="N628" s="169"/>
      <c r="O628" s="171"/>
      <c r="P628" s="106"/>
      <c r="Q628" s="218"/>
      <c r="R628" s="172"/>
      <c r="S628" s="172"/>
      <c r="T628" s="173"/>
      <c r="U628" s="219"/>
      <c r="V628" s="219"/>
      <c r="W628" s="219"/>
      <c r="X628" s="219"/>
      <c r="Y628" s="219"/>
      <c r="Z628" s="219"/>
      <c r="AA628" s="219"/>
      <c r="AB628" s="219"/>
      <c r="AC628" s="219"/>
      <c r="AD628" s="219"/>
      <c r="AE628" s="219"/>
      <c r="AF628" s="219"/>
      <c r="AG628" s="219"/>
      <c r="AH628" s="219"/>
      <c r="AI628" s="219"/>
      <c r="AJ628" s="219"/>
      <c r="AK628" s="219"/>
      <c r="AL628" s="219"/>
      <c r="AM628" s="219"/>
      <c r="AN628" s="219"/>
      <c r="AO628" s="219"/>
      <c r="AP628" s="219"/>
      <c r="AQ628" s="219"/>
      <c r="AR628" s="219"/>
      <c r="AS628" s="219"/>
      <c r="AT628" s="219"/>
      <c r="AU628" s="219"/>
      <c r="AV628" s="219"/>
      <c r="AW628" s="219"/>
      <c r="AX628" s="219"/>
      <c r="AY628" s="219"/>
      <c r="AZ628" s="219"/>
      <c r="BA628" s="219"/>
      <c r="BB628" s="219"/>
      <c r="BC628" s="219"/>
      <c r="BD628" s="219"/>
      <c r="BE628" s="219"/>
      <c r="BF628" s="219"/>
      <c r="BG628" s="219"/>
      <c r="BH628" s="219"/>
      <c r="BI628" s="219"/>
      <c r="BJ628" s="219"/>
      <c r="BK628" s="219"/>
      <c r="BL628" s="219"/>
      <c r="BM628" s="219"/>
      <c r="BN628" s="219"/>
    </row>
    <row r="629" ht="29.25" hidden="1" customHeight="1">
      <c r="A629" s="216"/>
      <c r="B629" s="217"/>
      <c r="C629" s="164"/>
      <c r="D629" s="164"/>
      <c r="E629" s="165"/>
      <c r="F629" s="173"/>
      <c r="G629" s="168"/>
      <c r="H629" s="168"/>
      <c r="I629" s="169"/>
      <c r="J629" s="170"/>
      <c r="K629" s="170"/>
      <c r="L629" s="170"/>
      <c r="M629" s="167"/>
      <c r="N629" s="169"/>
      <c r="O629" s="171"/>
      <c r="P629" s="106"/>
      <c r="Q629" s="218"/>
      <c r="R629" s="172"/>
      <c r="S629" s="172"/>
      <c r="T629" s="173"/>
      <c r="U629" s="219"/>
      <c r="V629" s="219"/>
      <c r="W629" s="219"/>
      <c r="X629" s="219"/>
      <c r="Y629" s="219"/>
      <c r="Z629" s="219"/>
      <c r="AA629" s="219"/>
      <c r="AB629" s="219"/>
      <c r="AC629" s="219"/>
      <c r="AD629" s="219"/>
      <c r="AE629" s="219"/>
      <c r="AF629" s="219"/>
      <c r="AG629" s="219"/>
      <c r="AH629" s="219"/>
      <c r="AI629" s="219"/>
      <c r="AJ629" s="219"/>
      <c r="AK629" s="219"/>
      <c r="AL629" s="219"/>
      <c r="AM629" s="219"/>
      <c r="AN629" s="219"/>
      <c r="AO629" s="219"/>
      <c r="AP629" s="219"/>
      <c r="AQ629" s="219"/>
      <c r="AR629" s="219"/>
      <c r="AS629" s="219"/>
      <c r="AT629" s="219"/>
      <c r="AU629" s="219"/>
      <c r="AV629" s="219"/>
      <c r="AW629" s="219"/>
      <c r="AX629" s="219"/>
      <c r="AY629" s="219"/>
      <c r="AZ629" s="219"/>
      <c r="BA629" s="219"/>
      <c r="BB629" s="219"/>
      <c r="BC629" s="219"/>
      <c r="BD629" s="219"/>
      <c r="BE629" s="219"/>
      <c r="BF629" s="219"/>
      <c r="BG629" s="219"/>
      <c r="BH629" s="219"/>
      <c r="BI629" s="219"/>
      <c r="BJ629" s="219"/>
      <c r="BK629" s="219"/>
      <c r="BL629" s="219"/>
      <c r="BM629" s="219"/>
      <c r="BN629" s="219"/>
    </row>
    <row r="630" ht="29.25" hidden="1" customHeight="1">
      <c r="A630" s="216"/>
      <c r="B630" s="217"/>
      <c r="C630" s="164"/>
      <c r="D630" s="164"/>
      <c r="E630" s="165"/>
      <c r="F630" s="173"/>
      <c r="G630" s="168"/>
      <c r="H630" s="168"/>
      <c r="I630" s="169"/>
      <c r="J630" s="170"/>
      <c r="K630" s="170"/>
      <c r="L630" s="170"/>
      <c r="M630" s="167"/>
      <c r="N630" s="169"/>
      <c r="O630" s="171"/>
      <c r="P630" s="106"/>
      <c r="Q630" s="218"/>
      <c r="R630" s="172"/>
      <c r="S630" s="172"/>
      <c r="T630" s="173"/>
      <c r="U630" s="219"/>
      <c r="V630" s="219"/>
      <c r="W630" s="219"/>
      <c r="X630" s="219"/>
      <c r="Y630" s="219"/>
      <c r="Z630" s="219"/>
      <c r="AA630" s="219"/>
      <c r="AB630" s="219"/>
      <c r="AC630" s="219"/>
      <c r="AD630" s="219"/>
      <c r="AE630" s="219"/>
      <c r="AF630" s="219"/>
      <c r="AG630" s="219"/>
      <c r="AH630" s="219"/>
      <c r="AI630" s="219"/>
      <c r="AJ630" s="219"/>
      <c r="AK630" s="219"/>
      <c r="AL630" s="219"/>
      <c r="AM630" s="219"/>
      <c r="AN630" s="219"/>
      <c r="AO630" s="219"/>
      <c r="AP630" s="219"/>
      <c r="AQ630" s="219"/>
      <c r="AR630" s="219"/>
      <c r="AS630" s="219"/>
      <c r="AT630" s="219"/>
      <c r="AU630" s="219"/>
      <c r="AV630" s="219"/>
      <c r="AW630" s="219"/>
      <c r="AX630" s="219"/>
      <c r="AY630" s="219"/>
      <c r="AZ630" s="219"/>
      <c r="BA630" s="219"/>
      <c r="BB630" s="219"/>
      <c r="BC630" s="219"/>
      <c r="BD630" s="219"/>
      <c r="BE630" s="219"/>
      <c r="BF630" s="219"/>
      <c r="BG630" s="219"/>
      <c r="BH630" s="219"/>
      <c r="BI630" s="219"/>
      <c r="BJ630" s="219"/>
      <c r="BK630" s="219"/>
      <c r="BL630" s="219"/>
      <c r="BM630" s="219"/>
      <c r="BN630" s="219"/>
    </row>
    <row r="631" ht="29.25" hidden="1" customHeight="1">
      <c r="A631" s="216"/>
      <c r="B631" s="217"/>
      <c r="C631" s="164"/>
      <c r="D631" s="164"/>
      <c r="E631" s="165"/>
      <c r="F631" s="173"/>
      <c r="G631" s="168"/>
      <c r="H631" s="168"/>
      <c r="I631" s="169"/>
      <c r="J631" s="170"/>
      <c r="K631" s="170"/>
      <c r="L631" s="170"/>
      <c r="M631" s="167"/>
      <c r="N631" s="169"/>
      <c r="O631" s="171"/>
      <c r="P631" s="106"/>
      <c r="Q631" s="218"/>
      <c r="R631" s="172"/>
      <c r="S631" s="172"/>
      <c r="T631" s="173"/>
      <c r="U631" s="219"/>
      <c r="V631" s="219"/>
      <c r="W631" s="219"/>
      <c r="X631" s="219"/>
      <c r="Y631" s="219"/>
      <c r="Z631" s="219"/>
      <c r="AA631" s="219"/>
      <c r="AB631" s="219"/>
      <c r="AC631" s="219"/>
      <c r="AD631" s="219"/>
      <c r="AE631" s="219"/>
      <c r="AF631" s="219"/>
      <c r="AG631" s="219"/>
      <c r="AH631" s="219"/>
      <c r="AI631" s="219"/>
      <c r="AJ631" s="219"/>
      <c r="AK631" s="219"/>
      <c r="AL631" s="219"/>
      <c r="AM631" s="219"/>
      <c r="AN631" s="219"/>
      <c r="AO631" s="219"/>
      <c r="AP631" s="219"/>
      <c r="AQ631" s="219"/>
      <c r="AR631" s="219"/>
      <c r="AS631" s="219"/>
      <c r="AT631" s="219"/>
      <c r="AU631" s="219"/>
      <c r="AV631" s="219"/>
      <c r="AW631" s="219"/>
      <c r="AX631" s="219"/>
      <c r="AY631" s="219"/>
      <c r="AZ631" s="219"/>
      <c r="BA631" s="219"/>
      <c r="BB631" s="219"/>
      <c r="BC631" s="219"/>
      <c r="BD631" s="219"/>
      <c r="BE631" s="219"/>
      <c r="BF631" s="219"/>
      <c r="BG631" s="219"/>
      <c r="BH631" s="219"/>
      <c r="BI631" s="219"/>
      <c r="BJ631" s="219"/>
      <c r="BK631" s="219"/>
      <c r="BL631" s="219"/>
      <c r="BM631" s="219"/>
      <c r="BN631" s="219"/>
    </row>
    <row r="632" ht="29.25" hidden="1" customHeight="1">
      <c r="A632" s="216"/>
      <c r="B632" s="217"/>
      <c r="C632" s="164"/>
      <c r="D632" s="164"/>
      <c r="E632" s="165"/>
      <c r="F632" s="173"/>
      <c r="G632" s="168"/>
      <c r="H632" s="168"/>
      <c r="I632" s="169"/>
      <c r="J632" s="170"/>
      <c r="K632" s="170"/>
      <c r="L632" s="170"/>
      <c r="M632" s="167"/>
      <c r="N632" s="169"/>
      <c r="O632" s="171"/>
      <c r="P632" s="106"/>
      <c r="Q632" s="218"/>
      <c r="R632" s="172"/>
      <c r="S632" s="172"/>
      <c r="T632" s="173"/>
      <c r="U632" s="219"/>
      <c r="V632" s="219"/>
      <c r="W632" s="219"/>
      <c r="X632" s="219"/>
      <c r="Y632" s="219"/>
      <c r="Z632" s="219"/>
      <c r="AA632" s="219"/>
      <c r="AB632" s="219"/>
      <c r="AC632" s="219"/>
      <c r="AD632" s="219"/>
      <c r="AE632" s="219"/>
      <c r="AF632" s="219"/>
      <c r="AG632" s="219"/>
      <c r="AH632" s="219"/>
      <c r="AI632" s="219"/>
      <c r="AJ632" s="219"/>
      <c r="AK632" s="219"/>
      <c r="AL632" s="219"/>
      <c r="AM632" s="219"/>
      <c r="AN632" s="219"/>
      <c r="AO632" s="219"/>
      <c r="AP632" s="219"/>
      <c r="AQ632" s="219"/>
      <c r="AR632" s="219"/>
      <c r="AS632" s="219"/>
      <c r="AT632" s="219"/>
      <c r="AU632" s="219"/>
      <c r="AV632" s="219"/>
      <c r="AW632" s="219"/>
      <c r="AX632" s="219"/>
      <c r="AY632" s="219"/>
      <c r="AZ632" s="219"/>
      <c r="BA632" s="219"/>
      <c r="BB632" s="219"/>
      <c r="BC632" s="219"/>
      <c r="BD632" s="219"/>
      <c r="BE632" s="219"/>
      <c r="BF632" s="219"/>
      <c r="BG632" s="219"/>
      <c r="BH632" s="219"/>
      <c r="BI632" s="219"/>
      <c r="BJ632" s="219"/>
      <c r="BK632" s="219"/>
      <c r="BL632" s="219"/>
      <c r="BM632" s="219"/>
      <c r="BN632" s="219"/>
    </row>
    <row r="633" ht="29.25" hidden="1" customHeight="1">
      <c r="A633" s="216"/>
      <c r="B633" s="217"/>
      <c r="C633" s="164"/>
      <c r="D633" s="164"/>
      <c r="E633" s="165"/>
      <c r="F633" s="173"/>
      <c r="G633" s="168"/>
      <c r="H633" s="168"/>
      <c r="I633" s="169"/>
      <c r="J633" s="170"/>
      <c r="K633" s="170"/>
      <c r="L633" s="170"/>
      <c r="M633" s="167"/>
      <c r="N633" s="169"/>
      <c r="O633" s="171"/>
      <c r="P633" s="106"/>
      <c r="Q633" s="218"/>
      <c r="R633" s="172"/>
      <c r="S633" s="172"/>
      <c r="T633" s="173"/>
      <c r="U633" s="219"/>
      <c r="V633" s="219"/>
      <c r="W633" s="219"/>
      <c r="X633" s="219"/>
      <c r="Y633" s="219"/>
      <c r="Z633" s="219"/>
      <c r="AA633" s="219"/>
      <c r="AB633" s="219"/>
      <c r="AC633" s="219"/>
      <c r="AD633" s="219"/>
      <c r="AE633" s="219"/>
      <c r="AF633" s="219"/>
      <c r="AG633" s="219"/>
      <c r="AH633" s="219"/>
      <c r="AI633" s="219"/>
      <c r="AJ633" s="219"/>
      <c r="AK633" s="219"/>
      <c r="AL633" s="219"/>
      <c r="AM633" s="219"/>
      <c r="AN633" s="219"/>
      <c r="AO633" s="219"/>
      <c r="AP633" s="219"/>
      <c r="AQ633" s="219"/>
      <c r="AR633" s="219"/>
      <c r="AS633" s="219"/>
      <c r="AT633" s="219"/>
      <c r="AU633" s="219"/>
      <c r="AV633" s="219"/>
      <c r="AW633" s="219"/>
      <c r="AX633" s="219"/>
      <c r="AY633" s="219"/>
      <c r="AZ633" s="219"/>
      <c r="BA633" s="219"/>
      <c r="BB633" s="219"/>
      <c r="BC633" s="219"/>
      <c r="BD633" s="219"/>
      <c r="BE633" s="219"/>
      <c r="BF633" s="219"/>
      <c r="BG633" s="219"/>
      <c r="BH633" s="219"/>
      <c r="BI633" s="219"/>
      <c r="BJ633" s="219"/>
      <c r="BK633" s="219"/>
      <c r="BL633" s="219"/>
      <c r="BM633" s="219"/>
      <c r="BN633" s="219"/>
    </row>
    <row r="634" ht="29.25" hidden="1" customHeight="1">
      <c r="A634" s="216"/>
      <c r="B634" s="217"/>
      <c r="C634" s="164"/>
      <c r="D634" s="164"/>
      <c r="E634" s="165"/>
      <c r="F634" s="173"/>
      <c r="G634" s="168"/>
      <c r="H634" s="168"/>
      <c r="I634" s="169"/>
      <c r="J634" s="170"/>
      <c r="K634" s="170"/>
      <c r="L634" s="170"/>
      <c r="M634" s="167"/>
      <c r="N634" s="169"/>
      <c r="O634" s="171"/>
      <c r="P634" s="106"/>
      <c r="Q634" s="218"/>
      <c r="R634" s="172"/>
      <c r="S634" s="172"/>
      <c r="T634" s="173"/>
      <c r="U634" s="219"/>
      <c r="V634" s="219"/>
      <c r="W634" s="219"/>
      <c r="X634" s="219"/>
      <c r="Y634" s="219"/>
      <c r="Z634" s="219"/>
      <c r="AA634" s="219"/>
      <c r="AB634" s="219"/>
      <c r="AC634" s="219"/>
      <c r="AD634" s="219"/>
      <c r="AE634" s="219"/>
      <c r="AF634" s="219"/>
      <c r="AG634" s="219"/>
      <c r="AH634" s="219"/>
      <c r="AI634" s="219"/>
      <c r="AJ634" s="219"/>
      <c r="AK634" s="219"/>
      <c r="AL634" s="219"/>
      <c r="AM634" s="219"/>
      <c r="AN634" s="219"/>
      <c r="AO634" s="219"/>
      <c r="AP634" s="219"/>
      <c r="AQ634" s="219"/>
      <c r="AR634" s="219"/>
      <c r="AS634" s="219"/>
      <c r="AT634" s="219"/>
      <c r="AU634" s="219"/>
      <c r="AV634" s="219"/>
      <c r="AW634" s="219"/>
      <c r="AX634" s="219"/>
      <c r="AY634" s="219"/>
      <c r="AZ634" s="219"/>
      <c r="BA634" s="219"/>
      <c r="BB634" s="219"/>
      <c r="BC634" s="219"/>
      <c r="BD634" s="219"/>
      <c r="BE634" s="219"/>
      <c r="BF634" s="219"/>
      <c r="BG634" s="219"/>
      <c r="BH634" s="219"/>
      <c r="BI634" s="219"/>
      <c r="BJ634" s="219"/>
      <c r="BK634" s="219"/>
      <c r="BL634" s="219"/>
      <c r="BM634" s="219"/>
      <c r="BN634" s="219"/>
    </row>
    <row r="635" ht="29.25" hidden="1" customHeight="1">
      <c r="A635" s="216"/>
      <c r="B635" s="217"/>
      <c r="C635" s="164"/>
      <c r="D635" s="164"/>
      <c r="E635" s="165"/>
      <c r="F635" s="173"/>
      <c r="G635" s="168"/>
      <c r="H635" s="168"/>
      <c r="I635" s="169"/>
      <c r="J635" s="170"/>
      <c r="K635" s="170"/>
      <c r="L635" s="170"/>
      <c r="M635" s="167"/>
      <c r="N635" s="169"/>
      <c r="O635" s="171"/>
      <c r="P635" s="106"/>
      <c r="Q635" s="218"/>
      <c r="R635" s="172"/>
      <c r="S635" s="172"/>
      <c r="T635" s="173"/>
      <c r="U635" s="219"/>
      <c r="V635" s="219"/>
      <c r="W635" s="219"/>
      <c r="X635" s="219"/>
      <c r="Y635" s="219"/>
      <c r="Z635" s="219"/>
      <c r="AA635" s="219"/>
      <c r="AB635" s="219"/>
      <c r="AC635" s="219"/>
      <c r="AD635" s="219"/>
      <c r="AE635" s="219"/>
      <c r="AF635" s="219"/>
      <c r="AG635" s="219"/>
      <c r="AH635" s="219"/>
      <c r="AI635" s="219"/>
      <c r="AJ635" s="219"/>
      <c r="AK635" s="219"/>
      <c r="AL635" s="219"/>
      <c r="AM635" s="219"/>
      <c r="AN635" s="219"/>
      <c r="AO635" s="219"/>
      <c r="AP635" s="219"/>
      <c r="AQ635" s="219"/>
      <c r="AR635" s="219"/>
      <c r="AS635" s="219"/>
      <c r="AT635" s="219"/>
      <c r="AU635" s="219"/>
      <c r="AV635" s="219"/>
      <c r="AW635" s="219"/>
      <c r="AX635" s="219"/>
      <c r="AY635" s="219"/>
      <c r="AZ635" s="219"/>
      <c r="BA635" s="219"/>
      <c r="BB635" s="219"/>
      <c r="BC635" s="219"/>
      <c r="BD635" s="219"/>
      <c r="BE635" s="219"/>
      <c r="BF635" s="219"/>
      <c r="BG635" s="219"/>
      <c r="BH635" s="219"/>
      <c r="BI635" s="219"/>
      <c r="BJ635" s="219"/>
      <c r="BK635" s="219"/>
      <c r="BL635" s="219"/>
      <c r="BM635" s="219"/>
      <c r="BN635" s="219"/>
    </row>
    <row r="636" ht="29.25" hidden="1" customHeight="1">
      <c r="A636" s="216"/>
      <c r="B636" s="217"/>
      <c r="C636" s="164"/>
      <c r="D636" s="164"/>
      <c r="E636" s="165"/>
      <c r="F636" s="173"/>
      <c r="G636" s="168"/>
      <c r="H636" s="168"/>
      <c r="I636" s="169"/>
      <c r="J636" s="170"/>
      <c r="K636" s="170"/>
      <c r="L636" s="170"/>
      <c r="M636" s="167"/>
      <c r="N636" s="169"/>
      <c r="O636" s="171"/>
      <c r="P636" s="106"/>
      <c r="Q636" s="218"/>
      <c r="R636" s="172"/>
      <c r="S636" s="172"/>
      <c r="T636" s="173"/>
      <c r="U636" s="219"/>
      <c r="V636" s="219"/>
      <c r="W636" s="219"/>
      <c r="X636" s="219"/>
      <c r="Y636" s="219"/>
      <c r="Z636" s="219"/>
      <c r="AA636" s="219"/>
      <c r="AB636" s="219"/>
      <c r="AC636" s="219"/>
      <c r="AD636" s="219"/>
      <c r="AE636" s="219"/>
      <c r="AF636" s="219"/>
      <c r="AG636" s="219"/>
      <c r="AH636" s="219"/>
      <c r="AI636" s="219"/>
      <c r="AJ636" s="219"/>
      <c r="AK636" s="219"/>
      <c r="AL636" s="219"/>
      <c r="AM636" s="219"/>
      <c r="AN636" s="219"/>
      <c r="AO636" s="219"/>
      <c r="AP636" s="219"/>
      <c r="AQ636" s="219"/>
      <c r="AR636" s="219"/>
      <c r="AS636" s="219"/>
      <c r="AT636" s="219"/>
      <c r="AU636" s="219"/>
      <c r="AV636" s="219"/>
      <c r="AW636" s="219"/>
      <c r="AX636" s="219"/>
      <c r="AY636" s="219"/>
      <c r="AZ636" s="219"/>
      <c r="BA636" s="219"/>
      <c r="BB636" s="219"/>
      <c r="BC636" s="219"/>
      <c r="BD636" s="219"/>
      <c r="BE636" s="219"/>
      <c r="BF636" s="219"/>
      <c r="BG636" s="219"/>
      <c r="BH636" s="219"/>
      <c r="BI636" s="219"/>
      <c r="BJ636" s="219"/>
      <c r="BK636" s="219"/>
      <c r="BL636" s="219"/>
      <c r="BM636" s="219"/>
      <c r="BN636" s="219"/>
    </row>
    <row r="637" ht="29.25" hidden="1" customHeight="1">
      <c r="A637" s="216"/>
      <c r="B637" s="217"/>
      <c r="C637" s="164"/>
      <c r="D637" s="164"/>
      <c r="E637" s="165"/>
      <c r="F637" s="173"/>
      <c r="G637" s="168"/>
      <c r="H637" s="168"/>
      <c r="I637" s="169"/>
      <c r="J637" s="170"/>
      <c r="K637" s="170"/>
      <c r="L637" s="170"/>
      <c r="M637" s="167"/>
      <c r="N637" s="169"/>
      <c r="O637" s="171"/>
      <c r="P637" s="106"/>
      <c r="Q637" s="218"/>
      <c r="R637" s="172"/>
      <c r="S637" s="172"/>
      <c r="T637" s="173"/>
      <c r="U637" s="219"/>
      <c r="V637" s="219"/>
      <c r="W637" s="219"/>
      <c r="X637" s="219"/>
      <c r="Y637" s="219"/>
      <c r="Z637" s="219"/>
      <c r="AA637" s="219"/>
      <c r="AB637" s="219"/>
      <c r="AC637" s="219"/>
      <c r="AD637" s="219"/>
      <c r="AE637" s="219"/>
      <c r="AF637" s="219"/>
      <c r="AG637" s="219"/>
      <c r="AH637" s="219"/>
      <c r="AI637" s="219"/>
      <c r="AJ637" s="219"/>
      <c r="AK637" s="219"/>
      <c r="AL637" s="219"/>
      <c r="AM637" s="219"/>
      <c r="AN637" s="219"/>
      <c r="AO637" s="219"/>
      <c r="AP637" s="219"/>
      <c r="AQ637" s="219"/>
      <c r="AR637" s="219"/>
      <c r="AS637" s="219"/>
      <c r="AT637" s="219"/>
      <c r="AU637" s="219"/>
      <c r="AV637" s="219"/>
      <c r="AW637" s="219"/>
      <c r="AX637" s="219"/>
      <c r="AY637" s="219"/>
      <c r="AZ637" s="219"/>
      <c r="BA637" s="219"/>
      <c r="BB637" s="219"/>
      <c r="BC637" s="219"/>
      <c r="BD637" s="219"/>
      <c r="BE637" s="219"/>
      <c r="BF637" s="219"/>
      <c r="BG637" s="219"/>
      <c r="BH637" s="219"/>
      <c r="BI637" s="219"/>
      <c r="BJ637" s="219"/>
      <c r="BK637" s="219"/>
      <c r="BL637" s="219"/>
      <c r="BM637" s="219"/>
      <c r="BN637" s="219"/>
    </row>
    <row r="638" ht="29.25" hidden="1" customHeight="1">
      <c r="A638" s="216"/>
      <c r="B638" s="217"/>
      <c r="C638" s="164"/>
      <c r="D638" s="164"/>
      <c r="E638" s="165"/>
      <c r="F638" s="173"/>
      <c r="G638" s="168"/>
      <c r="H638" s="168"/>
      <c r="I638" s="169"/>
      <c r="J638" s="170"/>
      <c r="K638" s="170"/>
      <c r="L638" s="170"/>
      <c r="M638" s="167"/>
      <c r="N638" s="169"/>
      <c r="O638" s="171"/>
      <c r="P638" s="106"/>
      <c r="Q638" s="218"/>
      <c r="R638" s="172"/>
      <c r="S638" s="172"/>
      <c r="T638" s="173"/>
      <c r="U638" s="219"/>
      <c r="V638" s="219"/>
      <c r="W638" s="219"/>
      <c r="X638" s="219"/>
      <c r="Y638" s="219"/>
      <c r="Z638" s="219"/>
      <c r="AA638" s="219"/>
      <c r="AB638" s="219"/>
      <c r="AC638" s="219"/>
      <c r="AD638" s="219"/>
      <c r="AE638" s="219"/>
      <c r="AF638" s="219"/>
      <c r="AG638" s="219"/>
      <c r="AH638" s="219"/>
      <c r="AI638" s="219"/>
      <c r="AJ638" s="219"/>
      <c r="AK638" s="219"/>
      <c r="AL638" s="219"/>
      <c r="AM638" s="219"/>
      <c r="AN638" s="219"/>
      <c r="AO638" s="219"/>
      <c r="AP638" s="219"/>
      <c r="AQ638" s="219"/>
      <c r="AR638" s="219"/>
      <c r="AS638" s="219"/>
      <c r="AT638" s="219"/>
      <c r="AU638" s="219"/>
      <c r="AV638" s="219"/>
      <c r="AW638" s="219"/>
      <c r="AX638" s="219"/>
      <c r="AY638" s="219"/>
      <c r="AZ638" s="219"/>
      <c r="BA638" s="219"/>
      <c r="BB638" s="219"/>
      <c r="BC638" s="219"/>
      <c r="BD638" s="219"/>
      <c r="BE638" s="219"/>
      <c r="BF638" s="219"/>
      <c r="BG638" s="219"/>
      <c r="BH638" s="219"/>
      <c r="BI638" s="219"/>
      <c r="BJ638" s="219"/>
      <c r="BK638" s="219"/>
      <c r="BL638" s="219"/>
      <c r="BM638" s="219"/>
      <c r="BN638" s="219"/>
    </row>
    <row r="639" ht="29.25" hidden="1" customHeight="1">
      <c r="A639" s="216"/>
      <c r="B639" s="217"/>
      <c r="C639" s="164"/>
      <c r="D639" s="164"/>
      <c r="E639" s="165"/>
      <c r="F639" s="173"/>
      <c r="G639" s="168"/>
      <c r="H639" s="168"/>
      <c r="I639" s="169"/>
      <c r="J639" s="170"/>
      <c r="K639" s="170"/>
      <c r="L639" s="170"/>
      <c r="M639" s="167"/>
      <c r="N639" s="169"/>
      <c r="O639" s="171"/>
      <c r="P639" s="106"/>
      <c r="Q639" s="218"/>
      <c r="R639" s="172"/>
      <c r="S639" s="172"/>
      <c r="T639" s="173"/>
      <c r="U639" s="219"/>
      <c r="V639" s="219"/>
      <c r="W639" s="219"/>
      <c r="X639" s="219"/>
      <c r="Y639" s="219"/>
      <c r="Z639" s="219"/>
      <c r="AA639" s="219"/>
      <c r="AB639" s="219"/>
      <c r="AC639" s="219"/>
      <c r="AD639" s="219"/>
      <c r="AE639" s="219"/>
      <c r="AF639" s="219"/>
      <c r="AG639" s="219"/>
      <c r="AH639" s="219"/>
      <c r="AI639" s="219"/>
      <c r="AJ639" s="219"/>
      <c r="AK639" s="219"/>
      <c r="AL639" s="219"/>
      <c r="AM639" s="219"/>
      <c r="AN639" s="219"/>
      <c r="AO639" s="219"/>
      <c r="AP639" s="219"/>
      <c r="AQ639" s="219"/>
      <c r="AR639" s="219"/>
      <c r="AS639" s="219"/>
      <c r="AT639" s="219"/>
      <c r="AU639" s="219"/>
      <c r="AV639" s="219"/>
      <c r="AW639" s="219"/>
      <c r="AX639" s="219"/>
      <c r="AY639" s="219"/>
      <c r="AZ639" s="219"/>
      <c r="BA639" s="219"/>
      <c r="BB639" s="219"/>
      <c r="BC639" s="219"/>
      <c r="BD639" s="219"/>
      <c r="BE639" s="219"/>
      <c r="BF639" s="219"/>
      <c r="BG639" s="219"/>
      <c r="BH639" s="219"/>
      <c r="BI639" s="219"/>
      <c r="BJ639" s="219"/>
      <c r="BK639" s="219"/>
      <c r="BL639" s="219"/>
      <c r="BM639" s="219"/>
      <c r="BN639" s="219"/>
    </row>
    <row r="640" ht="29.25" hidden="1" customHeight="1">
      <c r="A640" s="216"/>
      <c r="B640" s="217"/>
      <c r="C640" s="164"/>
      <c r="D640" s="164"/>
      <c r="E640" s="165"/>
      <c r="F640" s="173"/>
      <c r="G640" s="168"/>
      <c r="H640" s="168"/>
      <c r="I640" s="169"/>
      <c r="J640" s="170"/>
      <c r="K640" s="170"/>
      <c r="L640" s="170"/>
      <c r="M640" s="167"/>
      <c r="N640" s="169"/>
      <c r="O640" s="171"/>
      <c r="P640" s="106"/>
      <c r="Q640" s="218"/>
      <c r="R640" s="172"/>
      <c r="S640" s="172"/>
      <c r="T640" s="173"/>
      <c r="U640" s="219"/>
      <c r="V640" s="219"/>
      <c r="W640" s="219"/>
      <c r="X640" s="219"/>
      <c r="Y640" s="219"/>
      <c r="Z640" s="219"/>
      <c r="AA640" s="219"/>
      <c r="AB640" s="219"/>
      <c r="AC640" s="219"/>
      <c r="AD640" s="219"/>
      <c r="AE640" s="219"/>
      <c r="AF640" s="219"/>
      <c r="AG640" s="219"/>
      <c r="AH640" s="219"/>
      <c r="AI640" s="219"/>
      <c r="AJ640" s="219"/>
      <c r="AK640" s="219"/>
      <c r="AL640" s="219"/>
      <c r="AM640" s="219"/>
      <c r="AN640" s="219"/>
      <c r="AO640" s="219"/>
      <c r="AP640" s="219"/>
      <c r="AQ640" s="219"/>
      <c r="AR640" s="219"/>
      <c r="AS640" s="219"/>
      <c r="AT640" s="219"/>
      <c r="AU640" s="219"/>
      <c r="AV640" s="219"/>
      <c r="AW640" s="219"/>
      <c r="AX640" s="219"/>
      <c r="AY640" s="219"/>
      <c r="AZ640" s="219"/>
      <c r="BA640" s="219"/>
      <c r="BB640" s="219"/>
      <c r="BC640" s="219"/>
      <c r="BD640" s="219"/>
      <c r="BE640" s="219"/>
      <c r="BF640" s="219"/>
      <c r="BG640" s="219"/>
      <c r="BH640" s="219"/>
      <c r="BI640" s="219"/>
      <c r="BJ640" s="219"/>
      <c r="BK640" s="219"/>
      <c r="BL640" s="219"/>
      <c r="BM640" s="219"/>
      <c r="BN640" s="219"/>
    </row>
    <row r="641" ht="29.25" hidden="1" customHeight="1">
      <c r="A641" s="216"/>
      <c r="B641" s="217"/>
      <c r="C641" s="164"/>
      <c r="D641" s="164"/>
      <c r="E641" s="165"/>
      <c r="F641" s="173"/>
      <c r="G641" s="168"/>
      <c r="H641" s="168"/>
      <c r="I641" s="169"/>
      <c r="J641" s="170"/>
      <c r="K641" s="170"/>
      <c r="L641" s="170"/>
      <c r="M641" s="167"/>
      <c r="N641" s="169"/>
      <c r="O641" s="171"/>
      <c r="P641" s="106"/>
      <c r="Q641" s="218"/>
      <c r="R641" s="172"/>
      <c r="S641" s="172"/>
      <c r="T641" s="173"/>
      <c r="U641" s="219"/>
      <c r="V641" s="219"/>
      <c r="W641" s="219"/>
      <c r="X641" s="219"/>
      <c r="Y641" s="219"/>
      <c r="Z641" s="219"/>
      <c r="AA641" s="219"/>
      <c r="AB641" s="219"/>
      <c r="AC641" s="219"/>
      <c r="AD641" s="219"/>
      <c r="AE641" s="219"/>
      <c r="AF641" s="219"/>
      <c r="AG641" s="219"/>
      <c r="AH641" s="219"/>
      <c r="AI641" s="219"/>
      <c r="AJ641" s="219"/>
      <c r="AK641" s="219"/>
      <c r="AL641" s="219"/>
      <c r="AM641" s="219"/>
      <c r="AN641" s="219"/>
      <c r="AO641" s="219"/>
      <c r="AP641" s="219"/>
      <c r="AQ641" s="219"/>
      <c r="AR641" s="219"/>
      <c r="AS641" s="219"/>
      <c r="AT641" s="219"/>
      <c r="AU641" s="219"/>
      <c r="AV641" s="219"/>
      <c r="AW641" s="219"/>
      <c r="AX641" s="219"/>
      <c r="AY641" s="219"/>
      <c r="AZ641" s="219"/>
      <c r="BA641" s="219"/>
      <c r="BB641" s="219"/>
      <c r="BC641" s="219"/>
      <c r="BD641" s="219"/>
      <c r="BE641" s="219"/>
      <c r="BF641" s="219"/>
      <c r="BG641" s="219"/>
      <c r="BH641" s="219"/>
      <c r="BI641" s="219"/>
      <c r="BJ641" s="219"/>
      <c r="BK641" s="219"/>
      <c r="BL641" s="219"/>
      <c r="BM641" s="219"/>
      <c r="BN641" s="219"/>
    </row>
    <row r="642" ht="29.25" hidden="1" customHeight="1">
      <c r="A642" s="216"/>
      <c r="B642" s="217"/>
      <c r="C642" s="164"/>
      <c r="D642" s="164"/>
      <c r="E642" s="165"/>
      <c r="F642" s="173"/>
      <c r="G642" s="168"/>
      <c r="H642" s="168"/>
      <c r="I642" s="169"/>
      <c r="J642" s="170"/>
      <c r="K642" s="170"/>
      <c r="L642" s="170"/>
      <c r="M642" s="167"/>
      <c r="N642" s="169"/>
      <c r="O642" s="171"/>
      <c r="P642" s="106"/>
      <c r="Q642" s="218"/>
      <c r="R642" s="172"/>
      <c r="S642" s="172"/>
      <c r="T642" s="173"/>
      <c r="U642" s="219"/>
      <c r="V642" s="219"/>
      <c r="W642" s="219"/>
      <c r="X642" s="219"/>
      <c r="Y642" s="219"/>
      <c r="Z642" s="219"/>
      <c r="AA642" s="219"/>
      <c r="AB642" s="219"/>
      <c r="AC642" s="219"/>
      <c r="AD642" s="219"/>
      <c r="AE642" s="219"/>
      <c r="AF642" s="219"/>
      <c r="AG642" s="219"/>
      <c r="AH642" s="219"/>
      <c r="AI642" s="219"/>
      <c r="AJ642" s="219"/>
      <c r="AK642" s="219"/>
      <c r="AL642" s="219"/>
      <c r="AM642" s="219"/>
      <c r="AN642" s="219"/>
      <c r="AO642" s="219"/>
      <c r="AP642" s="219"/>
      <c r="AQ642" s="219"/>
      <c r="AR642" s="219"/>
      <c r="AS642" s="219"/>
      <c r="AT642" s="219"/>
      <c r="AU642" s="219"/>
      <c r="AV642" s="219"/>
      <c r="AW642" s="219"/>
      <c r="AX642" s="219"/>
      <c r="AY642" s="219"/>
      <c r="AZ642" s="219"/>
      <c r="BA642" s="219"/>
      <c r="BB642" s="219"/>
      <c r="BC642" s="219"/>
      <c r="BD642" s="219"/>
      <c r="BE642" s="219"/>
      <c r="BF642" s="219"/>
      <c r="BG642" s="219"/>
      <c r="BH642" s="219"/>
      <c r="BI642" s="219"/>
      <c r="BJ642" s="219"/>
      <c r="BK642" s="219"/>
      <c r="BL642" s="219"/>
      <c r="BM642" s="219"/>
      <c r="BN642" s="219"/>
    </row>
    <row r="643" ht="29.25" hidden="1" customHeight="1">
      <c r="A643" s="216"/>
      <c r="B643" s="217"/>
      <c r="C643" s="164"/>
      <c r="D643" s="164"/>
      <c r="E643" s="165"/>
      <c r="F643" s="173"/>
      <c r="G643" s="168"/>
      <c r="H643" s="168"/>
      <c r="I643" s="169"/>
      <c r="J643" s="170"/>
      <c r="K643" s="170"/>
      <c r="L643" s="170"/>
      <c r="M643" s="167"/>
      <c r="N643" s="169"/>
      <c r="O643" s="171"/>
      <c r="P643" s="106"/>
      <c r="Q643" s="218"/>
      <c r="R643" s="172"/>
      <c r="S643" s="172"/>
      <c r="T643" s="173"/>
      <c r="U643" s="219"/>
      <c r="V643" s="219"/>
      <c r="W643" s="219"/>
      <c r="X643" s="219"/>
      <c r="Y643" s="219"/>
      <c r="Z643" s="219"/>
      <c r="AA643" s="219"/>
      <c r="AB643" s="219"/>
      <c r="AC643" s="219"/>
      <c r="AD643" s="219"/>
      <c r="AE643" s="219"/>
      <c r="AF643" s="219"/>
      <c r="AG643" s="219"/>
      <c r="AH643" s="219"/>
      <c r="AI643" s="219"/>
      <c r="AJ643" s="219"/>
      <c r="AK643" s="219"/>
      <c r="AL643" s="219"/>
      <c r="AM643" s="219"/>
      <c r="AN643" s="219"/>
      <c r="AO643" s="219"/>
      <c r="AP643" s="219"/>
      <c r="AQ643" s="219"/>
      <c r="AR643" s="219"/>
      <c r="AS643" s="219"/>
      <c r="AT643" s="219"/>
      <c r="AU643" s="219"/>
      <c r="AV643" s="219"/>
      <c r="AW643" s="219"/>
      <c r="AX643" s="219"/>
      <c r="AY643" s="219"/>
      <c r="AZ643" s="219"/>
      <c r="BA643" s="219"/>
      <c r="BB643" s="219"/>
      <c r="BC643" s="219"/>
      <c r="BD643" s="219"/>
      <c r="BE643" s="219"/>
      <c r="BF643" s="219"/>
      <c r="BG643" s="219"/>
      <c r="BH643" s="219"/>
      <c r="BI643" s="219"/>
      <c r="BJ643" s="219"/>
      <c r="BK643" s="219"/>
      <c r="BL643" s="219"/>
      <c r="BM643" s="219"/>
      <c r="BN643" s="219"/>
    </row>
    <row r="644" ht="29.25" hidden="1" customHeight="1">
      <c r="A644" s="216"/>
      <c r="B644" s="217"/>
      <c r="C644" s="164"/>
      <c r="D644" s="164"/>
      <c r="E644" s="165"/>
      <c r="F644" s="173"/>
      <c r="G644" s="168"/>
      <c r="H644" s="168"/>
      <c r="I644" s="169"/>
      <c r="J644" s="170"/>
      <c r="K644" s="170"/>
      <c r="L644" s="170"/>
      <c r="M644" s="167"/>
      <c r="N644" s="169"/>
      <c r="O644" s="171"/>
      <c r="P644" s="106"/>
      <c r="Q644" s="218"/>
      <c r="R644" s="172"/>
      <c r="S644" s="172"/>
      <c r="T644" s="173"/>
      <c r="U644" s="219"/>
      <c r="V644" s="219"/>
      <c r="W644" s="219"/>
      <c r="X644" s="219"/>
      <c r="Y644" s="219"/>
      <c r="Z644" s="219"/>
      <c r="AA644" s="219"/>
      <c r="AB644" s="219"/>
      <c r="AC644" s="219"/>
      <c r="AD644" s="219"/>
      <c r="AE644" s="219"/>
      <c r="AF644" s="219"/>
      <c r="AG644" s="219"/>
      <c r="AH644" s="219"/>
      <c r="AI644" s="219"/>
      <c r="AJ644" s="219"/>
      <c r="AK644" s="219"/>
      <c r="AL644" s="219"/>
      <c r="AM644" s="219"/>
      <c r="AN644" s="219"/>
      <c r="AO644" s="219"/>
      <c r="AP644" s="219"/>
      <c r="AQ644" s="219"/>
      <c r="AR644" s="219"/>
      <c r="AS644" s="219"/>
      <c r="AT644" s="219"/>
      <c r="AU644" s="219"/>
      <c r="AV644" s="219"/>
      <c r="AW644" s="219"/>
      <c r="AX644" s="219"/>
      <c r="AY644" s="219"/>
      <c r="AZ644" s="219"/>
      <c r="BA644" s="219"/>
      <c r="BB644" s="219"/>
      <c r="BC644" s="219"/>
      <c r="BD644" s="219"/>
      <c r="BE644" s="219"/>
      <c r="BF644" s="219"/>
      <c r="BG644" s="219"/>
      <c r="BH644" s="219"/>
      <c r="BI644" s="219"/>
      <c r="BJ644" s="219"/>
      <c r="BK644" s="219"/>
      <c r="BL644" s="219"/>
      <c r="BM644" s="219"/>
      <c r="BN644" s="219"/>
    </row>
    <row r="645" ht="29.25" hidden="1" customHeight="1">
      <c r="A645" s="216"/>
      <c r="B645" s="217"/>
      <c r="C645" s="164"/>
      <c r="D645" s="164"/>
      <c r="E645" s="165"/>
      <c r="F645" s="173"/>
      <c r="G645" s="168"/>
      <c r="H645" s="168"/>
      <c r="I645" s="169"/>
      <c r="J645" s="170"/>
      <c r="K645" s="170"/>
      <c r="L645" s="170"/>
      <c r="M645" s="167"/>
      <c r="N645" s="169"/>
      <c r="O645" s="171"/>
      <c r="P645" s="106"/>
      <c r="Q645" s="218"/>
      <c r="R645" s="172"/>
      <c r="S645" s="172"/>
      <c r="T645" s="173"/>
      <c r="U645" s="219"/>
      <c r="V645" s="219"/>
      <c r="W645" s="219"/>
      <c r="X645" s="219"/>
      <c r="Y645" s="219"/>
      <c r="Z645" s="219"/>
      <c r="AA645" s="219"/>
      <c r="AB645" s="219"/>
      <c r="AC645" s="219"/>
      <c r="AD645" s="219"/>
      <c r="AE645" s="219"/>
      <c r="AF645" s="219"/>
      <c r="AG645" s="219"/>
      <c r="AH645" s="219"/>
      <c r="AI645" s="219"/>
      <c r="AJ645" s="219"/>
      <c r="AK645" s="219"/>
      <c r="AL645" s="219"/>
      <c r="AM645" s="219"/>
      <c r="AN645" s="219"/>
      <c r="AO645" s="219"/>
      <c r="AP645" s="219"/>
      <c r="AQ645" s="219"/>
      <c r="AR645" s="219"/>
      <c r="AS645" s="219"/>
      <c r="AT645" s="219"/>
      <c r="AU645" s="219"/>
      <c r="AV645" s="219"/>
      <c r="AW645" s="219"/>
      <c r="AX645" s="219"/>
      <c r="AY645" s="219"/>
      <c r="AZ645" s="219"/>
      <c r="BA645" s="219"/>
      <c r="BB645" s="219"/>
      <c r="BC645" s="219"/>
      <c r="BD645" s="219"/>
      <c r="BE645" s="219"/>
      <c r="BF645" s="219"/>
      <c r="BG645" s="219"/>
      <c r="BH645" s="219"/>
      <c r="BI645" s="219"/>
      <c r="BJ645" s="219"/>
      <c r="BK645" s="219"/>
      <c r="BL645" s="219"/>
      <c r="BM645" s="219"/>
      <c r="BN645" s="219"/>
    </row>
    <row r="646" ht="29.25" hidden="1" customHeight="1">
      <c r="A646" s="216"/>
      <c r="B646" s="217"/>
      <c r="C646" s="164"/>
      <c r="D646" s="164"/>
      <c r="E646" s="165"/>
      <c r="F646" s="173"/>
      <c r="G646" s="168"/>
      <c r="H646" s="168"/>
      <c r="I646" s="169"/>
      <c r="J646" s="170"/>
      <c r="K646" s="170"/>
      <c r="L646" s="170"/>
      <c r="M646" s="167"/>
      <c r="N646" s="169"/>
      <c r="O646" s="171"/>
      <c r="P646" s="106"/>
      <c r="Q646" s="218"/>
      <c r="R646" s="172"/>
      <c r="S646" s="172"/>
      <c r="T646" s="173"/>
      <c r="U646" s="219"/>
      <c r="V646" s="219"/>
      <c r="W646" s="219"/>
      <c r="X646" s="219"/>
      <c r="Y646" s="219"/>
      <c r="Z646" s="219"/>
      <c r="AA646" s="219"/>
      <c r="AB646" s="219"/>
      <c r="AC646" s="219"/>
      <c r="AD646" s="219"/>
      <c r="AE646" s="219"/>
      <c r="AF646" s="219"/>
      <c r="AG646" s="219"/>
      <c r="AH646" s="219"/>
      <c r="AI646" s="219"/>
      <c r="AJ646" s="219"/>
      <c r="AK646" s="219"/>
      <c r="AL646" s="219"/>
      <c r="AM646" s="219"/>
      <c r="AN646" s="219"/>
      <c r="AO646" s="219"/>
      <c r="AP646" s="219"/>
      <c r="AQ646" s="219"/>
      <c r="AR646" s="219"/>
      <c r="AS646" s="219"/>
      <c r="AT646" s="219"/>
      <c r="AU646" s="219"/>
      <c r="AV646" s="219"/>
      <c r="AW646" s="219"/>
      <c r="AX646" s="219"/>
      <c r="AY646" s="219"/>
      <c r="AZ646" s="219"/>
      <c r="BA646" s="219"/>
      <c r="BB646" s="219"/>
      <c r="BC646" s="219"/>
      <c r="BD646" s="219"/>
      <c r="BE646" s="219"/>
      <c r="BF646" s="219"/>
      <c r="BG646" s="219"/>
      <c r="BH646" s="219"/>
      <c r="BI646" s="219"/>
      <c r="BJ646" s="219"/>
      <c r="BK646" s="219"/>
      <c r="BL646" s="219"/>
      <c r="BM646" s="219"/>
      <c r="BN646" s="219"/>
    </row>
    <row r="647" ht="29.25" hidden="1" customHeight="1">
      <c r="A647" s="216"/>
      <c r="B647" s="217"/>
      <c r="C647" s="164"/>
      <c r="D647" s="164"/>
      <c r="E647" s="165"/>
      <c r="F647" s="173"/>
      <c r="G647" s="168"/>
      <c r="H647" s="168"/>
      <c r="I647" s="169"/>
      <c r="J647" s="170"/>
      <c r="K647" s="170"/>
      <c r="L647" s="170"/>
      <c r="M647" s="167"/>
      <c r="N647" s="169"/>
      <c r="O647" s="171"/>
      <c r="P647" s="106"/>
      <c r="Q647" s="218"/>
      <c r="R647" s="172"/>
      <c r="S647" s="172"/>
      <c r="T647" s="173"/>
      <c r="U647" s="219"/>
      <c r="V647" s="219"/>
      <c r="W647" s="219"/>
      <c r="X647" s="219"/>
      <c r="Y647" s="219"/>
      <c r="Z647" s="219"/>
      <c r="AA647" s="219"/>
      <c r="AB647" s="219"/>
      <c r="AC647" s="219"/>
      <c r="AD647" s="219"/>
      <c r="AE647" s="219"/>
      <c r="AF647" s="219"/>
      <c r="AG647" s="219"/>
      <c r="AH647" s="219"/>
      <c r="AI647" s="219"/>
      <c r="AJ647" s="219"/>
      <c r="AK647" s="219"/>
      <c r="AL647" s="219"/>
      <c r="AM647" s="219"/>
      <c r="AN647" s="219"/>
      <c r="AO647" s="219"/>
      <c r="AP647" s="219"/>
      <c r="AQ647" s="219"/>
      <c r="AR647" s="219"/>
      <c r="AS647" s="219"/>
      <c r="AT647" s="219"/>
      <c r="AU647" s="219"/>
      <c r="AV647" s="219"/>
      <c r="AW647" s="219"/>
      <c r="AX647" s="219"/>
      <c r="AY647" s="219"/>
      <c r="AZ647" s="219"/>
      <c r="BA647" s="219"/>
      <c r="BB647" s="219"/>
      <c r="BC647" s="219"/>
      <c r="BD647" s="219"/>
      <c r="BE647" s="219"/>
      <c r="BF647" s="219"/>
      <c r="BG647" s="219"/>
      <c r="BH647" s="219"/>
      <c r="BI647" s="219"/>
      <c r="BJ647" s="219"/>
      <c r="BK647" s="219"/>
      <c r="BL647" s="219"/>
      <c r="BM647" s="219"/>
      <c r="BN647" s="219"/>
    </row>
    <row r="648" ht="29.25" hidden="1" customHeight="1">
      <c r="A648" s="216"/>
      <c r="B648" s="217"/>
      <c r="C648" s="164"/>
      <c r="D648" s="164"/>
      <c r="E648" s="165"/>
      <c r="F648" s="173"/>
      <c r="G648" s="168"/>
      <c r="H648" s="168"/>
      <c r="I648" s="169"/>
      <c r="J648" s="170"/>
      <c r="K648" s="170"/>
      <c r="L648" s="170"/>
      <c r="M648" s="167"/>
      <c r="N648" s="169"/>
      <c r="O648" s="171"/>
      <c r="P648" s="106"/>
      <c r="Q648" s="218"/>
      <c r="R648" s="172"/>
      <c r="S648" s="172"/>
      <c r="T648" s="173"/>
      <c r="U648" s="219"/>
      <c r="V648" s="219"/>
      <c r="W648" s="219"/>
      <c r="X648" s="219"/>
      <c r="Y648" s="219"/>
      <c r="Z648" s="219"/>
      <c r="AA648" s="219"/>
      <c r="AB648" s="219"/>
      <c r="AC648" s="219"/>
      <c r="AD648" s="219"/>
      <c r="AE648" s="219"/>
      <c r="AF648" s="219"/>
      <c r="AG648" s="219"/>
      <c r="AH648" s="219"/>
      <c r="AI648" s="219"/>
      <c r="AJ648" s="219"/>
      <c r="AK648" s="219"/>
      <c r="AL648" s="219"/>
      <c r="AM648" s="219"/>
      <c r="AN648" s="219"/>
      <c r="AO648" s="219"/>
      <c r="AP648" s="219"/>
      <c r="AQ648" s="219"/>
      <c r="AR648" s="219"/>
      <c r="AS648" s="219"/>
      <c r="AT648" s="219"/>
      <c r="AU648" s="219"/>
      <c r="AV648" s="219"/>
      <c r="AW648" s="219"/>
      <c r="AX648" s="219"/>
      <c r="AY648" s="219"/>
      <c r="AZ648" s="219"/>
      <c r="BA648" s="219"/>
      <c r="BB648" s="219"/>
      <c r="BC648" s="219"/>
      <c r="BD648" s="219"/>
      <c r="BE648" s="219"/>
      <c r="BF648" s="219"/>
      <c r="BG648" s="219"/>
      <c r="BH648" s="219"/>
      <c r="BI648" s="219"/>
      <c r="BJ648" s="219"/>
      <c r="BK648" s="219"/>
      <c r="BL648" s="219"/>
      <c r="BM648" s="219"/>
      <c r="BN648" s="219"/>
    </row>
    <row r="649" ht="29.25" hidden="1" customHeight="1">
      <c r="A649" s="216"/>
      <c r="B649" s="217"/>
      <c r="C649" s="164"/>
      <c r="D649" s="164"/>
      <c r="E649" s="165"/>
      <c r="F649" s="173"/>
      <c r="G649" s="168"/>
      <c r="H649" s="168"/>
      <c r="I649" s="169"/>
      <c r="J649" s="170"/>
      <c r="K649" s="170"/>
      <c r="L649" s="170"/>
      <c r="M649" s="167"/>
      <c r="N649" s="169"/>
      <c r="O649" s="171"/>
      <c r="P649" s="106"/>
      <c r="Q649" s="218"/>
      <c r="R649" s="172"/>
      <c r="S649" s="172"/>
      <c r="T649" s="173"/>
      <c r="U649" s="219"/>
      <c r="V649" s="219"/>
      <c r="W649" s="219"/>
      <c r="X649" s="219"/>
      <c r="Y649" s="219"/>
      <c r="Z649" s="219"/>
      <c r="AA649" s="219"/>
      <c r="AB649" s="219"/>
      <c r="AC649" s="219"/>
      <c r="AD649" s="219"/>
      <c r="AE649" s="219"/>
      <c r="AF649" s="219"/>
      <c r="AG649" s="219"/>
      <c r="AH649" s="219"/>
      <c r="AI649" s="219"/>
      <c r="AJ649" s="219"/>
      <c r="AK649" s="219"/>
      <c r="AL649" s="219"/>
      <c r="AM649" s="219"/>
      <c r="AN649" s="219"/>
      <c r="AO649" s="219"/>
      <c r="AP649" s="219"/>
      <c r="AQ649" s="219"/>
      <c r="AR649" s="219"/>
      <c r="AS649" s="219"/>
      <c r="AT649" s="219"/>
      <c r="AU649" s="219"/>
      <c r="AV649" s="219"/>
      <c r="AW649" s="219"/>
      <c r="AX649" s="219"/>
      <c r="AY649" s="219"/>
      <c r="AZ649" s="219"/>
      <c r="BA649" s="219"/>
      <c r="BB649" s="219"/>
      <c r="BC649" s="219"/>
      <c r="BD649" s="219"/>
      <c r="BE649" s="219"/>
      <c r="BF649" s="219"/>
      <c r="BG649" s="219"/>
      <c r="BH649" s="219"/>
      <c r="BI649" s="219"/>
      <c r="BJ649" s="219"/>
      <c r="BK649" s="219"/>
      <c r="BL649" s="219"/>
      <c r="BM649" s="219"/>
      <c r="BN649" s="219"/>
    </row>
    <row r="650" ht="29.25" hidden="1" customHeight="1">
      <c r="A650" s="216"/>
      <c r="B650" s="217"/>
      <c r="C650" s="164"/>
      <c r="D650" s="164"/>
      <c r="E650" s="165"/>
      <c r="F650" s="173"/>
      <c r="G650" s="168"/>
      <c r="H650" s="168"/>
      <c r="I650" s="169"/>
      <c r="J650" s="170"/>
      <c r="K650" s="170"/>
      <c r="L650" s="170"/>
      <c r="M650" s="167"/>
      <c r="N650" s="169"/>
      <c r="O650" s="171"/>
      <c r="P650" s="106"/>
      <c r="Q650" s="218"/>
      <c r="R650" s="172"/>
      <c r="S650" s="172"/>
      <c r="T650" s="173"/>
      <c r="U650" s="219"/>
      <c r="V650" s="219"/>
      <c r="W650" s="219"/>
      <c r="X650" s="219"/>
      <c r="Y650" s="219"/>
      <c r="Z650" s="219"/>
      <c r="AA650" s="219"/>
      <c r="AB650" s="219"/>
      <c r="AC650" s="219"/>
      <c r="AD650" s="219"/>
      <c r="AE650" s="219"/>
      <c r="AF650" s="219"/>
      <c r="AG650" s="219"/>
      <c r="AH650" s="219"/>
      <c r="AI650" s="219"/>
      <c r="AJ650" s="219"/>
      <c r="AK650" s="219"/>
      <c r="AL650" s="219"/>
      <c r="AM650" s="219"/>
      <c r="AN650" s="219"/>
      <c r="AO650" s="219"/>
      <c r="AP650" s="219"/>
      <c r="AQ650" s="219"/>
      <c r="AR650" s="219"/>
      <c r="AS650" s="219"/>
      <c r="AT650" s="219"/>
      <c r="AU650" s="219"/>
      <c r="AV650" s="219"/>
      <c r="AW650" s="219"/>
      <c r="AX650" s="219"/>
      <c r="AY650" s="219"/>
      <c r="AZ650" s="219"/>
      <c r="BA650" s="219"/>
      <c r="BB650" s="219"/>
      <c r="BC650" s="219"/>
      <c r="BD650" s="219"/>
      <c r="BE650" s="219"/>
      <c r="BF650" s="219"/>
      <c r="BG650" s="219"/>
      <c r="BH650" s="219"/>
      <c r="BI650" s="219"/>
      <c r="BJ650" s="219"/>
      <c r="BK650" s="219"/>
      <c r="BL650" s="219"/>
      <c r="BM650" s="219"/>
      <c r="BN650" s="219"/>
    </row>
    <row r="651" ht="29.25" hidden="1" customHeight="1">
      <c r="A651" s="216"/>
      <c r="B651" s="217"/>
      <c r="C651" s="164"/>
      <c r="D651" s="164"/>
      <c r="E651" s="165"/>
      <c r="F651" s="173"/>
      <c r="G651" s="168"/>
      <c r="H651" s="168"/>
      <c r="I651" s="169"/>
      <c r="J651" s="170"/>
      <c r="K651" s="170"/>
      <c r="L651" s="170"/>
      <c r="M651" s="167"/>
      <c r="N651" s="169"/>
      <c r="O651" s="171"/>
      <c r="P651" s="106"/>
      <c r="Q651" s="218"/>
      <c r="R651" s="172"/>
      <c r="S651" s="172"/>
      <c r="T651" s="173"/>
      <c r="U651" s="219"/>
      <c r="V651" s="219"/>
      <c r="W651" s="219"/>
      <c r="X651" s="219"/>
      <c r="Y651" s="219"/>
      <c r="Z651" s="219"/>
      <c r="AA651" s="219"/>
      <c r="AB651" s="219"/>
      <c r="AC651" s="219"/>
      <c r="AD651" s="219"/>
      <c r="AE651" s="219"/>
      <c r="AF651" s="219"/>
      <c r="AG651" s="219"/>
      <c r="AH651" s="219"/>
      <c r="AI651" s="219"/>
      <c r="AJ651" s="219"/>
      <c r="AK651" s="219"/>
      <c r="AL651" s="219"/>
      <c r="AM651" s="219"/>
      <c r="AN651" s="219"/>
      <c r="AO651" s="219"/>
      <c r="AP651" s="219"/>
      <c r="AQ651" s="219"/>
      <c r="AR651" s="219"/>
      <c r="AS651" s="219"/>
      <c r="AT651" s="219"/>
      <c r="AU651" s="219"/>
      <c r="AV651" s="219"/>
      <c r="AW651" s="219"/>
      <c r="AX651" s="219"/>
      <c r="AY651" s="219"/>
      <c r="AZ651" s="219"/>
      <c r="BA651" s="219"/>
      <c r="BB651" s="219"/>
      <c r="BC651" s="219"/>
      <c r="BD651" s="219"/>
      <c r="BE651" s="219"/>
      <c r="BF651" s="219"/>
      <c r="BG651" s="219"/>
      <c r="BH651" s="219"/>
      <c r="BI651" s="219"/>
      <c r="BJ651" s="219"/>
      <c r="BK651" s="219"/>
      <c r="BL651" s="219"/>
      <c r="BM651" s="219"/>
      <c r="BN651" s="219"/>
    </row>
    <row r="652" ht="29.25" hidden="1" customHeight="1">
      <c r="A652" s="216"/>
      <c r="B652" s="217"/>
      <c r="C652" s="164"/>
      <c r="D652" s="164"/>
      <c r="E652" s="165"/>
      <c r="F652" s="173"/>
      <c r="G652" s="168"/>
      <c r="H652" s="168"/>
      <c r="I652" s="169"/>
      <c r="J652" s="170"/>
      <c r="K652" s="170"/>
      <c r="L652" s="170"/>
      <c r="M652" s="167"/>
      <c r="N652" s="169"/>
      <c r="O652" s="171"/>
      <c r="P652" s="106"/>
      <c r="Q652" s="218"/>
      <c r="R652" s="172"/>
      <c r="S652" s="172"/>
      <c r="T652" s="173"/>
      <c r="U652" s="219"/>
      <c r="V652" s="219"/>
      <c r="W652" s="219"/>
      <c r="X652" s="219"/>
      <c r="Y652" s="219"/>
      <c r="Z652" s="219"/>
      <c r="AA652" s="219"/>
      <c r="AB652" s="219"/>
      <c r="AC652" s="219"/>
      <c r="AD652" s="219"/>
      <c r="AE652" s="219"/>
      <c r="AF652" s="219"/>
      <c r="AG652" s="219"/>
      <c r="AH652" s="219"/>
      <c r="AI652" s="219"/>
      <c r="AJ652" s="219"/>
      <c r="AK652" s="219"/>
      <c r="AL652" s="219"/>
      <c r="AM652" s="219"/>
      <c r="AN652" s="219"/>
      <c r="AO652" s="219"/>
      <c r="AP652" s="219"/>
      <c r="AQ652" s="219"/>
      <c r="AR652" s="219"/>
      <c r="AS652" s="219"/>
      <c r="AT652" s="219"/>
      <c r="AU652" s="219"/>
      <c r="AV652" s="219"/>
      <c r="AW652" s="219"/>
      <c r="AX652" s="219"/>
      <c r="AY652" s="219"/>
      <c r="AZ652" s="219"/>
      <c r="BA652" s="219"/>
      <c r="BB652" s="219"/>
      <c r="BC652" s="219"/>
      <c r="BD652" s="219"/>
      <c r="BE652" s="219"/>
      <c r="BF652" s="219"/>
      <c r="BG652" s="219"/>
      <c r="BH652" s="219"/>
      <c r="BI652" s="219"/>
      <c r="BJ652" s="219"/>
      <c r="BK652" s="219"/>
      <c r="BL652" s="219"/>
      <c r="BM652" s="219"/>
      <c r="BN652" s="219"/>
    </row>
    <row r="653" ht="29.25" hidden="1" customHeight="1">
      <c r="A653" s="216"/>
      <c r="B653" s="217"/>
      <c r="C653" s="164"/>
      <c r="D653" s="164"/>
      <c r="E653" s="165"/>
      <c r="F653" s="173"/>
      <c r="G653" s="168"/>
      <c r="H653" s="168"/>
      <c r="I653" s="169"/>
      <c r="J653" s="170"/>
      <c r="K653" s="170"/>
      <c r="L653" s="170"/>
      <c r="M653" s="167"/>
      <c r="N653" s="169"/>
      <c r="O653" s="171"/>
      <c r="P653" s="106"/>
      <c r="Q653" s="218"/>
      <c r="R653" s="172"/>
      <c r="S653" s="172"/>
      <c r="T653" s="173"/>
      <c r="U653" s="219"/>
      <c r="V653" s="219"/>
      <c r="W653" s="219"/>
      <c r="X653" s="219"/>
      <c r="Y653" s="219"/>
      <c r="Z653" s="219"/>
      <c r="AA653" s="219"/>
      <c r="AB653" s="219"/>
      <c r="AC653" s="219"/>
      <c r="AD653" s="219"/>
      <c r="AE653" s="219"/>
      <c r="AF653" s="219"/>
      <c r="AG653" s="219"/>
      <c r="AH653" s="219"/>
      <c r="AI653" s="219"/>
      <c r="AJ653" s="219"/>
      <c r="AK653" s="219"/>
      <c r="AL653" s="219"/>
      <c r="AM653" s="219"/>
      <c r="AN653" s="219"/>
      <c r="AO653" s="219"/>
      <c r="AP653" s="219"/>
      <c r="AQ653" s="219"/>
      <c r="AR653" s="219"/>
      <c r="AS653" s="219"/>
      <c r="AT653" s="219"/>
      <c r="AU653" s="219"/>
      <c r="AV653" s="219"/>
      <c r="AW653" s="219"/>
      <c r="AX653" s="219"/>
      <c r="AY653" s="219"/>
      <c r="AZ653" s="219"/>
      <c r="BA653" s="219"/>
      <c r="BB653" s="219"/>
      <c r="BC653" s="219"/>
      <c r="BD653" s="219"/>
      <c r="BE653" s="219"/>
      <c r="BF653" s="219"/>
      <c r="BG653" s="219"/>
      <c r="BH653" s="219"/>
      <c r="BI653" s="219"/>
      <c r="BJ653" s="219"/>
      <c r="BK653" s="219"/>
      <c r="BL653" s="219"/>
      <c r="BM653" s="219"/>
      <c r="BN653" s="219"/>
    </row>
    <row r="654" ht="29.25" hidden="1" customHeight="1">
      <c r="A654" s="216"/>
      <c r="B654" s="217"/>
      <c r="C654" s="164"/>
      <c r="D654" s="164"/>
      <c r="E654" s="165"/>
      <c r="F654" s="173"/>
      <c r="G654" s="168"/>
      <c r="H654" s="168"/>
      <c r="I654" s="169"/>
      <c r="J654" s="170"/>
      <c r="K654" s="170"/>
      <c r="L654" s="170"/>
      <c r="M654" s="167"/>
      <c r="N654" s="169"/>
      <c r="O654" s="171"/>
      <c r="P654" s="106"/>
      <c r="Q654" s="218"/>
      <c r="R654" s="172"/>
      <c r="S654" s="172"/>
      <c r="T654" s="173"/>
      <c r="U654" s="219"/>
      <c r="V654" s="219"/>
      <c r="W654" s="219"/>
      <c r="X654" s="219"/>
      <c r="Y654" s="219"/>
      <c r="Z654" s="219"/>
      <c r="AA654" s="219"/>
      <c r="AB654" s="219"/>
      <c r="AC654" s="219"/>
      <c r="AD654" s="219"/>
      <c r="AE654" s="219"/>
      <c r="AF654" s="219"/>
      <c r="AG654" s="219"/>
      <c r="AH654" s="219"/>
      <c r="AI654" s="219"/>
      <c r="AJ654" s="219"/>
      <c r="AK654" s="219"/>
      <c r="AL654" s="219"/>
      <c r="AM654" s="219"/>
      <c r="AN654" s="219"/>
      <c r="AO654" s="219"/>
      <c r="AP654" s="219"/>
      <c r="AQ654" s="219"/>
      <c r="AR654" s="219"/>
      <c r="AS654" s="219"/>
      <c r="AT654" s="219"/>
      <c r="AU654" s="219"/>
      <c r="AV654" s="219"/>
      <c r="AW654" s="219"/>
      <c r="AX654" s="219"/>
      <c r="AY654" s="219"/>
      <c r="AZ654" s="219"/>
      <c r="BA654" s="219"/>
      <c r="BB654" s="219"/>
      <c r="BC654" s="219"/>
      <c r="BD654" s="219"/>
      <c r="BE654" s="219"/>
      <c r="BF654" s="219"/>
      <c r="BG654" s="219"/>
      <c r="BH654" s="219"/>
      <c r="BI654" s="219"/>
      <c r="BJ654" s="219"/>
      <c r="BK654" s="219"/>
      <c r="BL654" s="219"/>
      <c r="BM654" s="219"/>
      <c r="BN654" s="219"/>
    </row>
    <row r="655" ht="29.25" hidden="1" customHeight="1">
      <c r="A655" s="216"/>
      <c r="B655" s="217"/>
      <c r="C655" s="164"/>
      <c r="D655" s="164"/>
      <c r="E655" s="165"/>
      <c r="F655" s="173"/>
      <c r="G655" s="168"/>
      <c r="H655" s="168"/>
      <c r="I655" s="169"/>
      <c r="J655" s="170"/>
      <c r="K655" s="170"/>
      <c r="L655" s="170"/>
      <c r="M655" s="167"/>
      <c r="N655" s="169"/>
      <c r="O655" s="171"/>
      <c r="P655" s="106"/>
      <c r="Q655" s="218"/>
      <c r="R655" s="172"/>
      <c r="S655" s="172"/>
      <c r="T655" s="173"/>
      <c r="U655" s="219"/>
      <c r="V655" s="219"/>
      <c r="W655" s="219"/>
      <c r="X655" s="219"/>
      <c r="Y655" s="219"/>
      <c r="Z655" s="219"/>
      <c r="AA655" s="219"/>
      <c r="AB655" s="219"/>
      <c r="AC655" s="219"/>
      <c r="AD655" s="219"/>
      <c r="AE655" s="219"/>
      <c r="AF655" s="219"/>
      <c r="AG655" s="219"/>
      <c r="AH655" s="219"/>
      <c r="AI655" s="219"/>
      <c r="AJ655" s="219"/>
      <c r="AK655" s="219"/>
      <c r="AL655" s="219"/>
      <c r="AM655" s="219"/>
      <c r="AN655" s="219"/>
      <c r="AO655" s="219"/>
      <c r="AP655" s="219"/>
      <c r="AQ655" s="219"/>
      <c r="AR655" s="219"/>
      <c r="AS655" s="219"/>
      <c r="AT655" s="219"/>
      <c r="AU655" s="219"/>
      <c r="AV655" s="219"/>
      <c r="AW655" s="219"/>
      <c r="AX655" s="219"/>
      <c r="AY655" s="219"/>
      <c r="AZ655" s="219"/>
      <c r="BA655" s="219"/>
      <c r="BB655" s="219"/>
      <c r="BC655" s="219"/>
      <c r="BD655" s="219"/>
      <c r="BE655" s="219"/>
      <c r="BF655" s="219"/>
      <c r="BG655" s="219"/>
      <c r="BH655" s="219"/>
      <c r="BI655" s="219"/>
      <c r="BJ655" s="219"/>
      <c r="BK655" s="219"/>
      <c r="BL655" s="219"/>
      <c r="BM655" s="219"/>
      <c r="BN655" s="219"/>
    </row>
    <row r="656" ht="29.25" hidden="1" customHeight="1">
      <c r="A656" s="216"/>
      <c r="B656" s="217"/>
      <c r="C656" s="164"/>
      <c r="D656" s="164"/>
      <c r="E656" s="165"/>
      <c r="F656" s="173"/>
      <c r="G656" s="168"/>
      <c r="H656" s="168"/>
      <c r="I656" s="169"/>
      <c r="J656" s="170"/>
      <c r="K656" s="170"/>
      <c r="L656" s="170"/>
      <c r="M656" s="167"/>
      <c r="N656" s="169"/>
      <c r="O656" s="171"/>
      <c r="P656" s="106"/>
      <c r="Q656" s="218"/>
      <c r="R656" s="172"/>
      <c r="S656" s="172"/>
      <c r="T656" s="173"/>
      <c r="U656" s="219"/>
      <c r="V656" s="219"/>
      <c r="W656" s="219"/>
      <c r="X656" s="219"/>
      <c r="Y656" s="219"/>
      <c r="Z656" s="219"/>
      <c r="AA656" s="219"/>
      <c r="AB656" s="219"/>
      <c r="AC656" s="219"/>
      <c r="AD656" s="219"/>
      <c r="AE656" s="219"/>
      <c r="AF656" s="219"/>
      <c r="AG656" s="219"/>
      <c r="AH656" s="219"/>
      <c r="AI656" s="219"/>
      <c r="AJ656" s="219"/>
      <c r="AK656" s="219"/>
      <c r="AL656" s="219"/>
      <c r="AM656" s="219"/>
      <c r="AN656" s="219"/>
      <c r="AO656" s="219"/>
      <c r="AP656" s="219"/>
      <c r="AQ656" s="219"/>
      <c r="AR656" s="219"/>
      <c r="AS656" s="219"/>
      <c r="AT656" s="219"/>
      <c r="AU656" s="219"/>
      <c r="AV656" s="219"/>
      <c r="AW656" s="219"/>
      <c r="AX656" s="219"/>
      <c r="AY656" s="219"/>
      <c r="AZ656" s="219"/>
      <c r="BA656" s="219"/>
      <c r="BB656" s="219"/>
      <c r="BC656" s="219"/>
      <c r="BD656" s="219"/>
      <c r="BE656" s="219"/>
      <c r="BF656" s="219"/>
      <c r="BG656" s="219"/>
      <c r="BH656" s="219"/>
      <c r="BI656" s="219"/>
      <c r="BJ656" s="219"/>
      <c r="BK656" s="219"/>
      <c r="BL656" s="219"/>
      <c r="BM656" s="219"/>
      <c r="BN656" s="219"/>
    </row>
    <row r="657" ht="29.25" hidden="1" customHeight="1">
      <c r="A657" s="216"/>
      <c r="B657" s="217"/>
      <c r="C657" s="164"/>
      <c r="D657" s="164"/>
      <c r="E657" s="165"/>
      <c r="F657" s="173"/>
      <c r="G657" s="168"/>
      <c r="H657" s="168"/>
      <c r="I657" s="169"/>
      <c r="J657" s="170"/>
      <c r="K657" s="170"/>
      <c r="L657" s="170"/>
      <c r="M657" s="167"/>
      <c r="N657" s="169"/>
      <c r="O657" s="171"/>
      <c r="P657" s="106"/>
      <c r="Q657" s="218"/>
      <c r="R657" s="172"/>
      <c r="S657" s="172"/>
      <c r="T657" s="173"/>
      <c r="U657" s="219"/>
      <c r="V657" s="219"/>
      <c r="W657" s="219"/>
      <c r="X657" s="219"/>
      <c r="Y657" s="219"/>
      <c r="Z657" s="219"/>
      <c r="AA657" s="219"/>
      <c r="AB657" s="219"/>
      <c r="AC657" s="219"/>
      <c r="AD657" s="219"/>
      <c r="AE657" s="219"/>
      <c r="AF657" s="219"/>
      <c r="AG657" s="219"/>
      <c r="AH657" s="219"/>
      <c r="AI657" s="219"/>
      <c r="AJ657" s="219"/>
      <c r="AK657" s="219"/>
      <c r="AL657" s="219"/>
      <c r="AM657" s="219"/>
      <c r="AN657" s="219"/>
      <c r="AO657" s="219"/>
      <c r="AP657" s="219"/>
      <c r="AQ657" s="219"/>
      <c r="AR657" s="219"/>
      <c r="AS657" s="219"/>
      <c r="AT657" s="219"/>
      <c r="AU657" s="219"/>
      <c r="AV657" s="219"/>
      <c r="AW657" s="219"/>
      <c r="AX657" s="219"/>
      <c r="AY657" s="219"/>
      <c r="AZ657" s="219"/>
      <c r="BA657" s="219"/>
      <c r="BB657" s="219"/>
      <c r="BC657" s="219"/>
      <c r="BD657" s="219"/>
      <c r="BE657" s="219"/>
      <c r="BF657" s="219"/>
      <c r="BG657" s="219"/>
      <c r="BH657" s="219"/>
      <c r="BI657" s="219"/>
      <c r="BJ657" s="219"/>
      <c r="BK657" s="219"/>
      <c r="BL657" s="219"/>
      <c r="BM657" s="219"/>
      <c r="BN657" s="219"/>
    </row>
    <row r="658" ht="29.25" hidden="1" customHeight="1">
      <c r="A658" s="216"/>
      <c r="B658" s="217"/>
      <c r="C658" s="164"/>
      <c r="D658" s="164"/>
      <c r="E658" s="165"/>
      <c r="F658" s="173"/>
      <c r="G658" s="168"/>
      <c r="H658" s="168"/>
      <c r="I658" s="169"/>
      <c r="J658" s="170"/>
      <c r="K658" s="170"/>
      <c r="L658" s="170"/>
      <c r="M658" s="167"/>
      <c r="N658" s="169"/>
      <c r="O658" s="171"/>
      <c r="P658" s="106"/>
      <c r="Q658" s="218"/>
      <c r="R658" s="172"/>
      <c r="S658" s="172"/>
      <c r="T658" s="173"/>
      <c r="U658" s="219"/>
      <c r="V658" s="219"/>
      <c r="W658" s="219"/>
      <c r="X658" s="219"/>
      <c r="Y658" s="219"/>
      <c r="Z658" s="219"/>
      <c r="AA658" s="219"/>
      <c r="AB658" s="219"/>
      <c r="AC658" s="219"/>
      <c r="AD658" s="219"/>
      <c r="AE658" s="219"/>
      <c r="AF658" s="219"/>
      <c r="AG658" s="219"/>
      <c r="AH658" s="219"/>
      <c r="AI658" s="219"/>
      <c r="AJ658" s="219"/>
      <c r="AK658" s="219"/>
      <c r="AL658" s="219"/>
      <c r="AM658" s="219"/>
      <c r="AN658" s="219"/>
      <c r="AO658" s="219"/>
      <c r="AP658" s="219"/>
      <c r="AQ658" s="219"/>
      <c r="AR658" s="219"/>
      <c r="AS658" s="219"/>
      <c r="AT658" s="219"/>
      <c r="AU658" s="219"/>
      <c r="AV658" s="219"/>
      <c r="AW658" s="219"/>
      <c r="AX658" s="219"/>
      <c r="AY658" s="219"/>
      <c r="AZ658" s="219"/>
      <c r="BA658" s="219"/>
      <c r="BB658" s="219"/>
      <c r="BC658" s="219"/>
      <c r="BD658" s="219"/>
      <c r="BE658" s="219"/>
      <c r="BF658" s="219"/>
      <c r="BG658" s="219"/>
      <c r="BH658" s="219"/>
      <c r="BI658" s="219"/>
      <c r="BJ658" s="219"/>
      <c r="BK658" s="219"/>
      <c r="BL658" s="219"/>
      <c r="BM658" s="219"/>
      <c r="BN658" s="219"/>
    </row>
    <row r="659" ht="29.25" hidden="1" customHeight="1">
      <c r="A659" s="216"/>
      <c r="B659" s="217"/>
      <c r="C659" s="164"/>
      <c r="D659" s="164"/>
      <c r="E659" s="165"/>
      <c r="F659" s="173"/>
      <c r="G659" s="168"/>
      <c r="H659" s="168"/>
      <c r="I659" s="169"/>
      <c r="J659" s="170"/>
      <c r="K659" s="170"/>
      <c r="L659" s="170"/>
      <c r="M659" s="167"/>
      <c r="N659" s="169"/>
      <c r="O659" s="171"/>
      <c r="P659" s="106"/>
      <c r="Q659" s="218"/>
      <c r="R659" s="172"/>
      <c r="S659" s="172"/>
      <c r="T659" s="173"/>
      <c r="U659" s="219"/>
      <c r="V659" s="219"/>
      <c r="W659" s="219"/>
      <c r="X659" s="219"/>
      <c r="Y659" s="219"/>
      <c r="Z659" s="219"/>
      <c r="AA659" s="219"/>
      <c r="AB659" s="219"/>
      <c r="AC659" s="219"/>
      <c r="AD659" s="219"/>
      <c r="AE659" s="219"/>
      <c r="AF659" s="219"/>
      <c r="AG659" s="219"/>
      <c r="AH659" s="219"/>
      <c r="AI659" s="219"/>
      <c r="AJ659" s="219"/>
      <c r="AK659" s="219"/>
      <c r="AL659" s="219"/>
      <c r="AM659" s="219"/>
      <c r="AN659" s="219"/>
      <c r="AO659" s="219"/>
      <c r="AP659" s="219"/>
      <c r="AQ659" s="219"/>
      <c r="AR659" s="219"/>
      <c r="AS659" s="219"/>
      <c r="AT659" s="219"/>
      <c r="AU659" s="219"/>
      <c r="AV659" s="219"/>
      <c r="AW659" s="219"/>
      <c r="AX659" s="219"/>
      <c r="AY659" s="219"/>
      <c r="AZ659" s="219"/>
      <c r="BA659" s="219"/>
      <c r="BB659" s="219"/>
      <c r="BC659" s="219"/>
      <c r="BD659" s="219"/>
      <c r="BE659" s="219"/>
      <c r="BF659" s="219"/>
      <c r="BG659" s="219"/>
      <c r="BH659" s="219"/>
      <c r="BI659" s="219"/>
      <c r="BJ659" s="219"/>
      <c r="BK659" s="219"/>
      <c r="BL659" s="219"/>
      <c r="BM659" s="219"/>
      <c r="BN659" s="219"/>
    </row>
    <row r="660" ht="29.25" hidden="1" customHeight="1">
      <c r="A660" s="216"/>
      <c r="B660" s="217"/>
      <c r="C660" s="164"/>
      <c r="D660" s="164"/>
      <c r="E660" s="165"/>
      <c r="F660" s="173"/>
      <c r="G660" s="168"/>
      <c r="H660" s="168"/>
      <c r="I660" s="169"/>
      <c r="J660" s="170"/>
      <c r="K660" s="170"/>
      <c r="L660" s="170"/>
      <c r="M660" s="167"/>
      <c r="N660" s="169"/>
      <c r="O660" s="171"/>
      <c r="P660" s="106"/>
      <c r="Q660" s="218"/>
      <c r="R660" s="172"/>
      <c r="S660" s="172"/>
      <c r="T660" s="173"/>
      <c r="U660" s="219"/>
      <c r="V660" s="219"/>
      <c r="W660" s="219"/>
      <c r="X660" s="219"/>
      <c r="Y660" s="219"/>
      <c r="Z660" s="219"/>
      <c r="AA660" s="219"/>
      <c r="AB660" s="219"/>
      <c r="AC660" s="219"/>
      <c r="AD660" s="219"/>
      <c r="AE660" s="219"/>
      <c r="AF660" s="219"/>
      <c r="AG660" s="219"/>
      <c r="AH660" s="219"/>
      <c r="AI660" s="219"/>
      <c r="AJ660" s="219"/>
      <c r="AK660" s="219"/>
      <c r="AL660" s="219"/>
      <c r="AM660" s="219"/>
      <c r="AN660" s="219"/>
      <c r="AO660" s="219"/>
      <c r="AP660" s="219"/>
      <c r="AQ660" s="219"/>
      <c r="AR660" s="219"/>
      <c r="AS660" s="219"/>
      <c r="AT660" s="219"/>
      <c r="AU660" s="219"/>
      <c r="AV660" s="219"/>
      <c r="AW660" s="219"/>
      <c r="AX660" s="219"/>
      <c r="AY660" s="219"/>
      <c r="AZ660" s="219"/>
      <c r="BA660" s="219"/>
      <c r="BB660" s="219"/>
      <c r="BC660" s="219"/>
      <c r="BD660" s="219"/>
      <c r="BE660" s="219"/>
      <c r="BF660" s="219"/>
      <c r="BG660" s="219"/>
      <c r="BH660" s="219"/>
      <c r="BI660" s="219"/>
      <c r="BJ660" s="219"/>
      <c r="BK660" s="219"/>
      <c r="BL660" s="219"/>
      <c r="BM660" s="219"/>
      <c r="BN660" s="219"/>
    </row>
    <row r="661" ht="29.25" hidden="1" customHeight="1">
      <c r="A661" s="216"/>
      <c r="B661" s="217"/>
      <c r="C661" s="164"/>
      <c r="D661" s="164"/>
      <c r="E661" s="165"/>
      <c r="F661" s="173"/>
      <c r="G661" s="168"/>
      <c r="H661" s="168"/>
      <c r="I661" s="169"/>
      <c r="J661" s="170"/>
      <c r="K661" s="170"/>
      <c r="L661" s="170"/>
      <c r="M661" s="167"/>
      <c r="N661" s="169"/>
      <c r="O661" s="171"/>
      <c r="P661" s="106"/>
      <c r="Q661" s="218"/>
      <c r="R661" s="172"/>
      <c r="S661" s="172"/>
      <c r="T661" s="173"/>
      <c r="U661" s="219"/>
      <c r="V661" s="219"/>
      <c r="W661" s="219"/>
      <c r="X661" s="219"/>
      <c r="Y661" s="219"/>
      <c r="Z661" s="219"/>
      <c r="AA661" s="219"/>
      <c r="AB661" s="219"/>
      <c r="AC661" s="219"/>
      <c r="AD661" s="219"/>
      <c r="AE661" s="219"/>
      <c r="AF661" s="219"/>
      <c r="AG661" s="219"/>
      <c r="AH661" s="219"/>
      <c r="AI661" s="219"/>
      <c r="AJ661" s="219"/>
      <c r="AK661" s="219"/>
      <c r="AL661" s="219"/>
      <c r="AM661" s="219"/>
      <c r="AN661" s="219"/>
      <c r="AO661" s="219"/>
      <c r="AP661" s="219"/>
      <c r="AQ661" s="219"/>
      <c r="AR661" s="219"/>
      <c r="AS661" s="219"/>
      <c r="AT661" s="219"/>
      <c r="AU661" s="219"/>
      <c r="AV661" s="219"/>
      <c r="AW661" s="219"/>
      <c r="AX661" s="219"/>
      <c r="AY661" s="219"/>
      <c r="AZ661" s="219"/>
      <c r="BA661" s="219"/>
      <c r="BB661" s="219"/>
      <c r="BC661" s="219"/>
      <c r="BD661" s="219"/>
      <c r="BE661" s="219"/>
      <c r="BF661" s="219"/>
      <c r="BG661" s="219"/>
      <c r="BH661" s="219"/>
      <c r="BI661" s="219"/>
      <c r="BJ661" s="219"/>
      <c r="BK661" s="219"/>
      <c r="BL661" s="219"/>
      <c r="BM661" s="219"/>
      <c r="BN661" s="219"/>
    </row>
    <row r="662" ht="29.25" hidden="1" customHeight="1">
      <c r="A662" s="216"/>
      <c r="B662" s="217"/>
      <c r="C662" s="164"/>
      <c r="D662" s="164"/>
      <c r="E662" s="165"/>
      <c r="F662" s="173"/>
      <c r="G662" s="168"/>
      <c r="H662" s="168"/>
      <c r="I662" s="169"/>
      <c r="J662" s="170"/>
      <c r="K662" s="170"/>
      <c r="L662" s="170"/>
      <c r="M662" s="167"/>
      <c r="N662" s="169"/>
      <c r="O662" s="171"/>
      <c r="P662" s="106"/>
      <c r="Q662" s="218"/>
      <c r="R662" s="172"/>
      <c r="S662" s="172"/>
      <c r="T662" s="173"/>
      <c r="U662" s="219"/>
      <c r="V662" s="219"/>
      <c r="W662" s="219"/>
      <c r="X662" s="219"/>
      <c r="Y662" s="219"/>
      <c r="Z662" s="219"/>
      <c r="AA662" s="219"/>
      <c r="AB662" s="219"/>
      <c r="AC662" s="219"/>
      <c r="AD662" s="219"/>
      <c r="AE662" s="219"/>
      <c r="AF662" s="219"/>
      <c r="AG662" s="219"/>
      <c r="AH662" s="219"/>
      <c r="AI662" s="219"/>
      <c r="AJ662" s="219"/>
      <c r="AK662" s="219"/>
      <c r="AL662" s="219"/>
      <c r="AM662" s="219"/>
      <c r="AN662" s="219"/>
      <c r="AO662" s="219"/>
      <c r="AP662" s="219"/>
      <c r="AQ662" s="219"/>
      <c r="AR662" s="219"/>
      <c r="AS662" s="219"/>
      <c r="AT662" s="219"/>
      <c r="AU662" s="219"/>
      <c r="AV662" s="219"/>
      <c r="AW662" s="219"/>
      <c r="AX662" s="219"/>
      <c r="AY662" s="219"/>
      <c r="AZ662" s="219"/>
      <c r="BA662" s="219"/>
      <c r="BB662" s="219"/>
      <c r="BC662" s="219"/>
      <c r="BD662" s="219"/>
      <c r="BE662" s="219"/>
      <c r="BF662" s="219"/>
      <c r="BG662" s="219"/>
      <c r="BH662" s="219"/>
      <c r="BI662" s="219"/>
      <c r="BJ662" s="219"/>
      <c r="BK662" s="219"/>
      <c r="BL662" s="219"/>
      <c r="BM662" s="219"/>
      <c r="BN662" s="219"/>
    </row>
    <row r="663" ht="29.25" hidden="1" customHeight="1">
      <c r="A663" s="216"/>
      <c r="B663" s="217"/>
      <c r="C663" s="164"/>
      <c r="D663" s="164"/>
      <c r="E663" s="165"/>
      <c r="F663" s="173"/>
      <c r="G663" s="168"/>
      <c r="H663" s="168"/>
      <c r="I663" s="169"/>
      <c r="J663" s="170"/>
      <c r="K663" s="170"/>
      <c r="L663" s="170"/>
      <c r="M663" s="167"/>
      <c r="N663" s="169"/>
      <c r="O663" s="171"/>
      <c r="P663" s="106"/>
      <c r="Q663" s="218"/>
      <c r="R663" s="172"/>
      <c r="S663" s="172"/>
      <c r="T663" s="173"/>
      <c r="U663" s="219"/>
      <c r="V663" s="219"/>
      <c r="W663" s="219"/>
      <c r="X663" s="219"/>
      <c r="Y663" s="219"/>
      <c r="Z663" s="219"/>
      <c r="AA663" s="219"/>
      <c r="AB663" s="219"/>
      <c r="AC663" s="219"/>
      <c r="AD663" s="219"/>
      <c r="AE663" s="219"/>
      <c r="AF663" s="219"/>
      <c r="AG663" s="219"/>
      <c r="AH663" s="219"/>
      <c r="AI663" s="219"/>
      <c r="AJ663" s="219"/>
      <c r="AK663" s="219"/>
      <c r="AL663" s="219"/>
      <c r="AM663" s="219"/>
      <c r="AN663" s="219"/>
      <c r="AO663" s="219"/>
      <c r="AP663" s="219"/>
      <c r="AQ663" s="219"/>
      <c r="AR663" s="219"/>
      <c r="AS663" s="219"/>
      <c r="AT663" s="219"/>
      <c r="AU663" s="219"/>
      <c r="AV663" s="219"/>
      <c r="AW663" s="219"/>
      <c r="AX663" s="219"/>
      <c r="AY663" s="219"/>
      <c r="AZ663" s="219"/>
      <c r="BA663" s="219"/>
      <c r="BB663" s="219"/>
      <c r="BC663" s="219"/>
      <c r="BD663" s="219"/>
      <c r="BE663" s="219"/>
      <c r="BF663" s="219"/>
      <c r="BG663" s="219"/>
      <c r="BH663" s="219"/>
      <c r="BI663" s="219"/>
      <c r="BJ663" s="219"/>
      <c r="BK663" s="219"/>
      <c r="BL663" s="219"/>
      <c r="BM663" s="219"/>
      <c r="BN663" s="219"/>
    </row>
    <row r="664" ht="29.25" hidden="1" customHeight="1">
      <c r="A664" s="216"/>
      <c r="B664" s="217"/>
      <c r="C664" s="164"/>
      <c r="D664" s="164"/>
      <c r="E664" s="165"/>
      <c r="F664" s="173"/>
      <c r="G664" s="168"/>
      <c r="H664" s="168"/>
      <c r="I664" s="169"/>
      <c r="J664" s="170"/>
      <c r="K664" s="170"/>
      <c r="L664" s="170"/>
      <c r="M664" s="167"/>
      <c r="N664" s="169"/>
      <c r="O664" s="171"/>
      <c r="P664" s="106"/>
      <c r="Q664" s="218"/>
      <c r="R664" s="172"/>
      <c r="S664" s="172"/>
      <c r="T664" s="173"/>
      <c r="U664" s="219"/>
      <c r="V664" s="219"/>
      <c r="W664" s="219"/>
      <c r="X664" s="219"/>
      <c r="Y664" s="219"/>
      <c r="Z664" s="219"/>
      <c r="AA664" s="219"/>
      <c r="AB664" s="219"/>
      <c r="AC664" s="219"/>
      <c r="AD664" s="219"/>
      <c r="AE664" s="219"/>
      <c r="AF664" s="219"/>
      <c r="AG664" s="219"/>
      <c r="AH664" s="219"/>
      <c r="AI664" s="219"/>
      <c r="AJ664" s="219"/>
      <c r="AK664" s="219"/>
      <c r="AL664" s="219"/>
      <c r="AM664" s="219"/>
      <c r="AN664" s="219"/>
      <c r="AO664" s="219"/>
      <c r="AP664" s="219"/>
      <c r="AQ664" s="219"/>
      <c r="AR664" s="219"/>
      <c r="AS664" s="219"/>
      <c r="AT664" s="219"/>
      <c r="AU664" s="219"/>
      <c r="AV664" s="219"/>
      <c r="AW664" s="219"/>
      <c r="AX664" s="219"/>
      <c r="AY664" s="219"/>
      <c r="AZ664" s="219"/>
      <c r="BA664" s="219"/>
      <c r="BB664" s="219"/>
      <c r="BC664" s="219"/>
      <c r="BD664" s="219"/>
      <c r="BE664" s="219"/>
      <c r="BF664" s="219"/>
      <c r="BG664" s="219"/>
      <c r="BH664" s="219"/>
      <c r="BI664" s="219"/>
      <c r="BJ664" s="219"/>
      <c r="BK664" s="219"/>
      <c r="BL664" s="219"/>
      <c r="BM664" s="219"/>
      <c r="BN664" s="219"/>
    </row>
    <row r="665" ht="29.25" hidden="1" customHeight="1">
      <c r="A665" s="216"/>
      <c r="B665" s="217"/>
      <c r="C665" s="164"/>
      <c r="D665" s="164"/>
      <c r="E665" s="165"/>
      <c r="F665" s="173"/>
      <c r="G665" s="168"/>
      <c r="H665" s="168"/>
      <c r="I665" s="169"/>
      <c r="J665" s="170"/>
      <c r="K665" s="170"/>
      <c r="L665" s="170"/>
      <c r="M665" s="167"/>
      <c r="N665" s="169"/>
      <c r="O665" s="171"/>
      <c r="P665" s="106"/>
      <c r="Q665" s="218"/>
      <c r="R665" s="172"/>
      <c r="S665" s="172"/>
      <c r="T665" s="173"/>
      <c r="U665" s="219"/>
      <c r="V665" s="219"/>
      <c r="W665" s="219"/>
      <c r="X665" s="219"/>
      <c r="Y665" s="219"/>
      <c r="Z665" s="219"/>
      <c r="AA665" s="219"/>
      <c r="AB665" s="219"/>
      <c r="AC665" s="219"/>
      <c r="AD665" s="219"/>
      <c r="AE665" s="219"/>
      <c r="AF665" s="219"/>
      <c r="AG665" s="219"/>
      <c r="AH665" s="219"/>
      <c r="AI665" s="219"/>
      <c r="AJ665" s="219"/>
      <c r="AK665" s="219"/>
      <c r="AL665" s="219"/>
      <c r="AM665" s="219"/>
      <c r="AN665" s="219"/>
      <c r="AO665" s="219"/>
      <c r="AP665" s="219"/>
      <c r="AQ665" s="219"/>
      <c r="AR665" s="219"/>
      <c r="AS665" s="219"/>
      <c r="AT665" s="219"/>
      <c r="AU665" s="219"/>
      <c r="AV665" s="219"/>
      <c r="AW665" s="219"/>
      <c r="AX665" s="219"/>
      <c r="AY665" s="219"/>
      <c r="AZ665" s="219"/>
      <c r="BA665" s="219"/>
      <c r="BB665" s="219"/>
      <c r="BC665" s="219"/>
      <c r="BD665" s="219"/>
      <c r="BE665" s="219"/>
      <c r="BF665" s="219"/>
      <c r="BG665" s="219"/>
      <c r="BH665" s="219"/>
      <c r="BI665" s="219"/>
      <c r="BJ665" s="219"/>
      <c r="BK665" s="219"/>
      <c r="BL665" s="219"/>
      <c r="BM665" s="219"/>
      <c r="BN665" s="219"/>
    </row>
    <row r="666" ht="29.25" hidden="1" customHeight="1">
      <c r="A666" s="216"/>
      <c r="B666" s="217"/>
      <c r="C666" s="164"/>
      <c r="D666" s="164"/>
      <c r="E666" s="165"/>
      <c r="F666" s="173"/>
      <c r="G666" s="168"/>
      <c r="H666" s="168"/>
      <c r="I666" s="169"/>
      <c r="J666" s="170"/>
      <c r="K666" s="170"/>
      <c r="L666" s="170"/>
      <c r="M666" s="167"/>
      <c r="N666" s="169"/>
      <c r="O666" s="171"/>
      <c r="P666" s="106"/>
      <c r="Q666" s="218"/>
      <c r="R666" s="172"/>
      <c r="S666" s="172"/>
      <c r="T666" s="173"/>
      <c r="U666" s="219"/>
      <c r="V666" s="219"/>
      <c r="W666" s="219"/>
      <c r="X666" s="219"/>
      <c r="Y666" s="219"/>
      <c r="Z666" s="219"/>
      <c r="AA666" s="219"/>
      <c r="AB666" s="219"/>
      <c r="AC666" s="219"/>
      <c r="AD666" s="219"/>
      <c r="AE666" s="219"/>
      <c r="AF666" s="219"/>
      <c r="AG666" s="219"/>
      <c r="AH666" s="219"/>
      <c r="AI666" s="219"/>
      <c r="AJ666" s="219"/>
      <c r="AK666" s="219"/>
      <c r="AL666" s="219"/>
      <c r="AM666" s="219"/>
      <c r="AN666" s="219"/>
      <c r="AO666" s="219"/>
      <c r="AP666" s="219"/>
      <c r="AQ666" s="219"/>
      <c r="AR666" s="219"/>
      <c r="AS666" s="219"/>
      <c r="AT666" s="219"/>
      <c r="AU666" s="219"/>
      <c r="AV666" s="219"/>
      <c r="AW666" s="219"/>
      <c r="AX666" s="219"/>
      <c r="AY666" s="219"/>
      <c r="AZ666" s="219"/>
      <c r="BA666" s="219"/>
      <c r="BB666" s="219"/>
      <c r="BC666" s="219"/>
      <c r="BD666" s="219"/>
      <c r="BE666" s="219"/>
      <c r="BF666" s="219"/>
      <c r="BG666" s="219"/>
      <c r="BH666" s="219"/>
      <c r="BI666" s="219"/>
      <c r="BJ666" s="219"/>
      <c r="BK666" s="219"/>
      <c r="BL666" s="219"/>
      <c r="BM666" s="219"/>
      <c r="BN666" s="219"/>
    </row>
    <row r="667" ht="29.25" hidden="1" customHeight="1">
      <c r="A667" s="216"/>
      <c r="B667" s="217"/>
      <c r="C667" s="164"/>
      <c r="D667" s="164"/>
      <c r="E667" s="165"/>
      <c r="F667" s="173"/>
      <c r="G667" s="168"/>
      <c r="H667" s="168"/>
      <c r="I667" s="169"/>
      <c r="J667" s="170"/>
      <c r="K667" s="170"/>
      <c r="L667" s="170"/>
      <c r="M667" s="167"/>
      <c r="N667" s="169"/>
      <c r="O667" s="171"/>
      <c r="P667" s="106"/>
      <c r="Q667" s="218"/>
      <c r="R667" s="172"/>
      <c r="S667" s="172"/>
      <c r="T667" s="173"/>
      <c r="U667" s="219"/>
      <c r="V667" s="219"/>
      <c r="W667" s="219"/>
      <c r="X667" s="219"/>
      <c r="Y667" s="219"/>
      <c r="Z667" s="219"/>
      <c r="AA667" s="219"/>
      <c r="AB667" s="219"/>
      <c r="AC667" s="219"/>
      <c r="AD667" s="219"/>
      <c r="AE667" s="219"/>
      <c r="AF667" s="219"/>
      <c r="AG667" s="219"/>
      <c r="AH667" s="219"/>
      <c r="AI667" s="219"/>
      <c r="AJ667" s="219"/>
      <c r="AK667" s="219"/>
      <c r="AL667" s="219"/>
      <c r="AM667" s="219"/>
      <c r="AN667" s="219"/>
      <c r="AO667" s="219"/>
      <c r="AP667" s="219"/>
      <c r="AQ667" s="219"/>
      <c r="AR667" s="219"/>
      <c r="AS667" s="219"/>
      <c r="AT667" s="219"/>
      <c r="AU667" s="219"/>
      <c r="AV667" s="219"/>
      <c r="AW667" s="219"/>
      <c r="AX667" s="219"/>
      <c r="AY667" s="219"/>
      <c r="AZ667" s="219"/>
      <c r="BA667" s="219"/>
      <c r="BB667" s="219"/>
      <c r="BC667" s="219"/>
      <c r="BD667" s="219"/>
      <c r="BE667" s="219"/>
      <c r="BF667" s="219"/>
      <c r="BG667" s="219"/>
      <c r="BH667" s="219"/>
      <c r="BI667" s="219"/>
      <c r="BJ667" s="219"/>
      <c r="BK667" s="219"/>
      <c r="BL667" s="219"/>
      <c r="BM667" s="219"/>
      <c r="BN667" s="219"/>
    </row>
    <row r="668" ht="29.25" hidden="1" customHeight="1">
      <c r="A668" s="216"/>
      <c r="B668" s="217"/>
      <c r="C668" s="164"/>
      <c r="D668" s="164"/>
      <c r="E668" s="165"/>
      <c r="F668" s="173"/>
      <c r="G668" s="168"/>
      <c r="H668" s="168"/>
      <c r="I668" s="169"/>
      <c r="J668" s="170"/>
      <c r="K668" s="170"/>
      <c r="L668" s="170"/>
      <c r="M668" s="167"/>
      <c r="N668" s="169"/>
      <c r="O668" s="171"/>
      <c r="P668" s="106"/>
      <c r="Q668" s="218"/>
      <c r="R668" s="172"/>
      <c r="S668" s="172"/>
      <c r="T668" s="173"/>
      <c r="U668" s="219"/>
      <c r="V668" s="219"/>
      <c r="W668" s="219"/>
      <c r="X668" s="219"/>
      <c r="Y668" s="219"/>
      <c r="Z668" s="219"/>
      <c r="AA668" s="219"/>
      <c r="AB668" s="219"/>
      <c r="AC668" s="219"/>
      <c r="AD668" s="219"/>
      <c r="AE668" s="219"/>
      <c r="AF668" s="219"/>
      <c r="AG668" s="219"/>
      <c r="AH668" s="219"/>
      <c r="AI668" s="219"/>
      <c r="AJ668" s="219"/>
      <c r="AK668" s="219"/>
      <c r="AL668" s="219"/>
      <c r="AM668" s="219"/>
      <c r="AN668" s="219"/>
      <c r="AO668" s="219"/>
      <c r="AP668" s="219"/>
      <c r="AQ668" s="219"/>
      <c r="AR668" s="219"/>
      <c r="AS668" s="219"/>
      <c r="AT668" s="219"/>
      <c r="AU668" s="219"/>
      <c r="AV668" s="219"/>
      <c r="AW668" s="219"/>
      <c r="AX668" s="219"/>
      <c r="AY668" s="219"/>
      <c r="AZ668" s="219"/>
      <c r="BA668" s="219"/>
      <c r="BB668" s="219"/>
      <c r="BC668" s="219"/>
      <c r="BD668" s="219"/>
      <c r="BE668" s="219"/>
      <c r="BF668" s="219"/>
      <c r="BG668" s="219"/>
      <c r="BH668" s="219"/>
      <c r="BI668" s="219"/>
      <c r="BJ668" s="219"/>
      <c r="BK668" s="219"/>
      <c r="BL668" s="219"/>
      <c r="BM668" s="219"/>
      <c r="BN668" s="219"/>
    </row>
    <row r="669" ht="29.25" hidden="1" customHeight="1">
      <c r="A669" s="216"/>
      <c r="B669" s="217"/>
      <c r="C669" s="164"/>
      <c r="D669" s="164"/>
      <c r="E669" s="165"/>
      <c r="F669" s="173"/>
      <c r="G669" s="168"/>
      <c r="H669" s="168"/>
      <c r="I669" s="169"/>
      <c r="J669" s="170"/>
      <c r="K669" s="170"/>
      <c r="L669" s="170"/>
      <c r="M669" s="167"/>
      <c r="N669" s="169"/>
      <c r="O669" s="171"/>
      <c r="P669" s="106"/>
      <c r="Q669" s="218"/>
      <c r="R669" s="172"/>
      <c r="S669" s="172"/>
      <c r="T669" s="173"/>
      <c r="U669" s="219"/>
      <c r="V669" s="219"/>
      <c r="W669" s="219"/>
      <c r="X669" s="219"/>
      <c r="Y669" s="219"/>
      <c r="Z669" s="219"/>
      <c r="AA669" s="219"/>
      <c r="AB669" s="219"/>
      <c r="AC669" s="219"/>
      <c r="AD669" s="219"/>
      <c r="AE669" s="219"/>
      <c r="AF669" s="219"/>
      <c r="AG669" s="219"/>
      <c r="AH669" s="219"/>
      <c r="AI669" s="219"/>
      <c r="AJ669" s="219"/>
      <c r="AK669" s="219"/>
      <c r="AL669" s="219"/>
      <c r="AM669" s="219"/>
      <c r="AN669" s="219"/>
      <c r="AO669" s="219"/>
      <c r="AP669" s="219"/>
      <c r="AQ669" s="219"/>
      <c r="AR669" s="219"/>
      <c r="AS669" s="219"/>
      <c r="AT669" s="219"/>
      <c r="AU669" s="219"/>
      <c r="AV669" s="219"/>
      <c r="AW669" s="219"/>
      <c r="AX669" s="219"/>
      <c r="AY669" s="219"/>
      <c r="AZ669" s="219"/>
      <c r="BA669" s="219"/>
      <c r="BB669" s="219"/>
      <c r="BC669" s="219"/>
      <c r="BD669" s="219"/>
      <c r="BE669" s="219"/>
      <c r="BF669" s="219"/>
      <c r="BG669" s="219"/>
      <c r="BH669" s="219"/>
      <c r="BI669" s="219"/>
      <c r="BJ669" s="219"/>
      <c r="BK669" s="219"/>
      <c r="BL669" s="219"/>
      <c r="BM669" s="219"/>
      <c r="BN669" s="219"/>
    </row>
    <row r="670" ht="29.25" hidden="1" customHeight="1">
      <c r="A670" s="216"/>
      <c r="B670" s="217"/>
      <c r="C670" s="164"/>
      <c r="D670" s="164"/>
      <c r="E670" s="165"/>
      <c r="F670" s="173"/>
      <c r="G670" s="168"/>
      <c r="H670" s="168"/>
      <c r="I670" s="169"/>
      <c r="J670" s="170"/>
      <c r="K670" s="170"/>
      <c r="L670" s="170"/>
      <c r="M670" s="167"/>
      <c r="N670" s="169"/>
      <c r="O670" s="171"/>
      <c r="P670" s="106"/>
      <c r="Q670" s="218"/>
      <c r="R670" s="172"/>
      <c r="S670" s="172"/>
      <c r="T670" s="173"/>
      <c r="U670" s="219"/>
      <c r="V670" s="219"/>
      <c r="W670" s="219"/>
      <c r="X670" s="219"/>
      <c r="Y670" s="219"/>
      <c r="Z670" s="219"/>
      <c r="AA670" s="219"/>
      <c r="AB670" s="219"/>
      <c r="AC670" s="219"/>
      <c r="AD670" s="219"/>
      <c r="AE670" s="219"/>
      <c r="AF670" s="219"/>
      <c r="AG670" s="219"/>
      <c r="AH670" s="219"/>
      <c r="AI670" s="219"/>
      <c r="AJ670" s="219"/>
      <c r="AK670" s="219"/>
      <c r="AL670" s="219"/>
      <c r="AM670" s="219"/>
      <c r="AN670" s="219"/>
      <c r="AO670" s="219"/>
      <c r="AP670" s="219"/>
      <c r="AQ670" s="219"/>
      <c r="AR670" s="219"/>
      <c r="AS670" s="219"/>
      <c r="AT670" s="219"/>
      <c r="AU670" s="219"/>
      <c r="AV670" s="219"/>
      <c r="AW670" s="219"/>
      <c r="AX670" s="219"/>
      <c r="AY670" s="219"/>
      <c r="AZ670" s="219"/>
      <c r="BA670" s="219"/>
      <c r="BB670" s="219"/>
      <c r="BC670" s="219"/>
      <c r="BD670" s="219"/>
      <c r="BE670" s="219"/>
      <c r="BF670" s="219"/>
      <c r="BG670" s="219"/>
      <c r="BH670" s="219"/>
      <c r="BI670" s="219"/>
      <c r="BJ670" s="219"/>
      <c r="BK670" s="219"/>
      <c r="BL670" s="219"/>
      <c r="BM670" s="219"/>
      <c r="BN670" s="219"/>
    </row>
    <row r="671" ht="29.25" hidden="1" customHeight="1">
      <c r="A671" s="216"/>
      <c r="B671" s="217"/>
      <c r="C671" s="164"/>
      <c r="D671" s="164"/>
      <c r="E671" s="165"/>
      <c r="F671" s="173"/>
      <c r="G671" s="168"/>
      <c r="H671" s="168"/>
      <c r="I671" s="169"/>
      <c r="J671" s="170"/>
      <c r="K671" s="170"/>
      <c r="L671" s="170"/>
      <c r="M671" s="167"/>
      <c r="N671" s="169"/>
      <c r="O671" s="171"/>
      <c r="P671" s="106"/>
      <c r="Q671" s="218"/>
      <c r="R671" s="172"/>
      <c r="S671" s="172"/>
      <c r="T671" s="173"/>
      <c r="U671" s="219"/>
      <c r="V671" s="219"/>
      <c r="W671" s="219"/>
      <c r="X671" s="219"/>
      <c r="Y671" s="219"/>
      <c r="Z671" s="219"/>
      <c r="AA671" s="219"/>
      <c r="AB671" s="219"/>
      <c r="AC671" s="219"/>
      <c r="AD671" s="219"/>
      <c r="AE671" s="219"/>
      <c r="AF671" s="219"/>
      <c r="AG671" s="219"/>
      <c r="AH671" s="219"/>
      <c r="AI671" s="219"/>
      <c r="AJ671" s="219"/>
      <c r="AK671" s="219"/>
      <c r="AL671" s="219"/>
      <c r="AM671" s="219"/>
      <c r="AN671" s="219"/>
      <c r="AO671" s="219"/>
      <c r="AP671" s="219"/>
      <c r="AQ671" s="219"/>
      <c r="AR671" s="219"/>
      <c r="AS671" s="219"/>
      <c r="AT671" s="219"/>
      <c r="AU671" s="219"/>
      <c r="AV671" s="219"/>
      <c r="AW671" s="219"/>
      <c r="AX671" s="219"/>
      <c r="AY671" s="219"/>
      <c r="AZ671" s="219"/>
      <c r="BA671" s="219"/>
      <c r="BB671" s="219"/>
      <c r="BC671" s="219"/>
      <c r="BD671" s="219"/>
      <c r="BE671" s="219"/>
      <c r="BF671" s="219"/>
      <c r="BG671" s="219"/>
      <c r="BH671" s="219"/>
      <c r="BI671" s="219"/>
      <c r="BJ671" s="219"/>
      <c r="BK671" s="219"/>
      <c r="BL671" s="219"/>
      <c r="BM671" s="219"/>
      <c r="BN671" s="219"/>
    </row>
    <row r="672" ht="29.25" hidden="1" customHeight="1">
      <c r="A672" s="216"/>
      <c r="B672" s="217"/>
      <c r="C672" s="164"/>
      <c r="D672" s="164"/>
      <c r="E672" s="165"/>
      <c r="F672" s="173"/>
      <c r="G672" s="168"/>
      <c r="H672" s="168"/>
      <c r="I672" s="169"/>
      <c r="J672" s="170"/>
      <c r="K672" s="170"/>
      <c r="L672" s="170"/>
      <c r="M672" s="167"/>
      <c r="N672" s="169"/>
      <c r="O672" s="171"/>
      <c r="P672" s="106"/>
      <c r="Q672" s="218"/>
      <c r="R672" s="172"/>
      <c r="S672" s="172"/>
      <c r="T672" s="173"/>
      <c r="U672" s="219"/>
      <c r="V672" s="219"/>
      <c r="W672" s="219"/>
      <c r="X672" s="219"/>
      <c r="Y672" s="219"/>
      <c r="Z672" s="219"/>
      <c r="AA672" s="219"/>
      <c r="AB672" s="219"/>
      <c r="AC672" s="219"/>
      <c r="AD672" s="219"/>
      <c r="AE672" s="219"/>
      <c r="AF672" s="219"/>
      <c r="AG672" s="219"/>
      <c r="AH672" s="219"/>
      <c r="AI672" s="219"/>
      <c r="AJ672" s="219"/>
      <c r="AK672" s="219"/>
      <c r="AL672" s="219"/>
      <c r="AM672" s="219"/>
      <c r="AN672" s="219"/>
      <c r="AO672" s="219"/>
      <c r="AP672" s="219"/>
      <c r="AQ672" s="219"/>
      <c r="AR672" s="219"/>
      <c r="AS672" s="219"/>
      <c r="AT672" s="219"/>
      <c r="AU672" s="219"/>
      <c r="AV672" s="219"/>
      <c r="AW672" s="219"/>
      <c r="AX672" s="219"/>
      <c r="AY672" s="219"/>
      <c r="AZ672" s="219"/>
      <c r="BA672" s="219"/>
      <c r="BB672" s="219"/>
      <c r="BC672" s="219"/>
      <c r="BD672" s="219"/>
      <c r="BE672" s="219"/>
      <c r="BF672" s="219"/>
      <c r="BG672" s="219"/>
      <c r="BH672" s="219"/>
      <c r="BI672" s="219"/>
      <c r="BJ672" s="219"/>
      <c r="BK672" s="219"/>
      <c r="BL672" s="219"/>
      <c r="BM672" s="219"/>
      <c r="BN672" s="219"/>
    </row>
    <row r="673" ht="29.25" hidden="1" customHeight="1">
      <c r="A673" s="216"/>
      <c r="B673" s="217"/>
      <c r="C673" s="164"/>
      <c r="D673" s="164"/>
      <c r="E673" s="165"/>
      <c r="F673" s="173"/>
      <c r="G673" s="168"/>
      <c r="H673" s="168"/>
      <c r="I673" s="169"/>
      <c r="J673" s="170"/>
      <c r="K673" s="170"/>
      <c r="L673" s="170"/>
      <c r="M673" s="167"/>
      <c r="N673" s="169"/>
      <c r="O673" s="171"/>
      <c r="P673" s="106"/>
      <c r="Q673" s="218"/>
      <c r="R673" s="172"/>
      <c r="S673" s="172"/>
      <c r="T673" s="173"/>
      <c r="U673" s="219"/>
      <c r="V673" s="219"/>
      <c r="W673" s="219"/>
      <c r="X673" s="219"/>
      <c r="Y673" s="219"/>
      <c r="Z673" s="219"/>
      <c r="AA673" s="219"/>
      <c r="AB673" s="219"/>
      <c r="AC673" s="219"/>
      <c r="AD673" s="219"/>
      <c r="AE673" s="219"/>
      <c r="AF673" s="219"/>
      <c r="AG673" s="219"/>
      <c r="AH673" s="219"/>
      <c r="AI673" s="219"/>
      <c r="AJ673" s="219"/>
      <c r="AK673" s="219"/>
      <c r="AL673" s="219"/>
      <c r="AM673" s="219"/>
      <c r="AN673" s="219"/>
      <c r="AO673" s="219"/>
      <c r="AP673" s="219"/>
      <c r="AQ673" s="219"/>
      <c r="AR673" s="219"/>
      <c r="AS673" s="219"/>
      <c r="AT673" s="219"/>
      <c r="AU673" s="219"/>
      <c r="AV673" s="219"/>
      <c r="AW673" s="219"/>
      <c r="AX673" s="219"/>
      <c r="AY673" s="219"/>
      <c r="AZ673" s="219"/>
      <c r="BA673" s="219"/>
      <c r="BB673" s="219"/>
      <c r="BC673" s="219"/>
      <c r="BD673" s="219"/>
      <c r="BE673" s="219"/>
      <c r="BF673" s="219"/>
      <c r="BG673" s="219"/>
      <c r="BH673" s="219"/>
      <c r="BI673" s="219"/>
      <c r="BJ673" s="219"/>
      <c r="BK673" s="219"/>
      <c r="BL673" s="219"/>
      <c r="BM673" s="219"/>
      <c r="BN673" s="219"/>
    </row>
    <row r="674" ht="29.25" hidden="1" customHeight="1">
      <c r="A674" s="216"/>
      <c r="B674" s="217"/>
      <c r="C674" s="164"/>
      <c r="D674" s="164"/>
      <c r="E674" s="165"/>
      <c r="F674" s="173"/>
      <c r="G674" s="168"/>
      <c r="H674" s="168"/>
      <c r="I674" s="169"/>
      <c r="J674" s="170"/>
      <c r="K674" s="170"/>
      <c r="L674" s="170"/>
      <c r="M674" s="167"/>
      <c r="N674" s="169"/>
      <c r="O674" s="171"/>
      <c r="P674" s="106"/>
      <c r="Q674" s="218"/>
      <c r="R674" s="172"/>
      <c r="S674" s="172"/>
      <c r="T674" s="173"/>
      <c r="U674" s="219"/>
      <c r="V674" s="219"/>
      <c r="W674" s="219"/>
      <c r="X674" s="219"/>
      <c r="Y674" s="219"/>
      <c r="Z674" s="219"/>
      <c r="AA674" s="219"/>
      <c r="AB674" s="219"/>
      <c r="AC674" s="219"/>
      <c r="AD674" s="219"/>
      <c r="AE674" s="219"/>
      <c r="AF674" s="219"/>
      <c r="AG674" s="219"/>
      <c r="AH674" s="219"/>
      <c r="AI674" s="219"/>
      <c r="AJ674" s="219"/>
      <c r="AK674" s="219"/>
      <c r="AL674" s="219"/>
      <c r="AM674" s="219"/>
      <c r="AN674" s="219"/>
      <c r="AO674" s="219"/>
      <c r="AP674" s="219"/>
      <c r="AQ674" s="219"/>
      <c r="AR674" s="219"/>
      <c r="AS674" s="219"/>
      <c r="AT674" s="219"/>
      <c r="AU674" s="219"/>
      <c r="AV674" s="219"/>
      <c r="AW674" s="219"/>
      <c r="AX674" s="219"/>
      <c r="AY674" s="219"/>
      <c r="AZ674" s="219"/>
      <c r="BA674" s="219"/>
      <c r="BB674" s="219"/>
      <c r="BC674" s="219"/>
      <c r="BD674" s="219"/>
      <c r="BE674" s="219"/>
      <c r="BF674" s="219"/>
      <c r="BG674" s="219"/>
      <c r="BH674" s="219"/>
      <c r="BI674" s="219"/>
      <c r="BJ674" s="219"/>
      <c r="BK674" s="219"/>
      <c r="BL674" s="219"/>
      <c r="BM674" s="219"/>
      <c r="BN674" s="219"/>
    </row>
    <row r="675" ht="29.25" hidden="1" customHeight="1">
      <c r="A675" s="216"/>
      <c r="B675" s="217"/>
      <c r="C675" s="164"/>
      <c r="D675" s="164"/>
      <c r="E675" s="165"/>
      <c r="F675" s="173"/>
      <c r="G675" s="168"/>
      <c r="H675" s="168"/>
      <c r="I675" s="169"/>
      <c r="J675" s="170"/>
      <c r="K675" s="170"/>
      <c r="L675" s="170"/>
      <c r="M675" s="167"/>
      <c r="N675" s="169"/>
      <c r="O675" s="171"/>
      <c r="P675" s="106"/>
      <c r="Q675" s="218"/>
      <c r="R675" s="172"/>
      <c r="S675" s="172"/>
      <c r="T675" s="173"/>
      <c r="U675" s="219"/>
      <c r="V675" s="219"/>
      <c r="W675" s="219"/>
      <c r="X675" s="219"/>
      <c r="Y675" s="219"/>
      <c r="Z675" s="219"/>
      <c r="AA675" s="219"/>
      <c r="AB675" s="219"/>
      <c r="AC675" s="219"/>
      <c r="AD675" s="219"/>
      <c r="AE675" s="219"/>
      <c r="AF675" s="219"/>
      <c r="AG675" s="219"/>
      <c r="AH675" s="219"/>
      <c r="AI675" s="219"/>
      <c r="AJ675" s="219"/>
      <c r="AK675" s="219"/>
      <c r="AL675" s="219"/>
      <c r="AM675" s="219"/>
      <c r="AN675" s="219"/>
      <c r="AO675" s="219"/>
      <c r="AP675" s="219"/>
      <c r="AQ675" s="219"/>
      <c r="AR675" s="219"/>
      <c r="AS675" s="219"/>
      <c r="AT675" s="219"/>
      <c r="AU675" s="219"/>
      <c r="AV675" s="219"/>
      <c r="AW675" s="219"/>
      <c r="AX675" s="219"/>
      <c r="AY675" s="219"/>
      <c r="AZ675" s="219"/>
      <c r="BA675" s="219"/>
      <c r="BB675" s="219"/>
      <c r="BC675" s="219"/>
      <c r="BD675" s="219"/>
      <c r="BE675" s="219"/>
      <c r="BF675" s="219"/>
      <c r="BG675" s="219"/>
      <c r="BH675" s="219"/>
      <c r="BI675" s="219"/>
      <c r="BJ675" s="219"/>
      <c r="BK675" s="219"/>
      <c r="BL675" s="219"/>
      <c r="BM675" s="219"/>
      <c r="BN675" s="219"/>
    </row>
    <row r="676" ht="29.25" hidden="1" customHeight="1">
      <c r="A676" s="216"/>
      <c r="B676" s="217"/>
      <c r="C676" s="164"/>
      <c r="D676" s="164"/>
      <c r="E676" s="165"/>
      <c r="F676" s="173"/>
      <c r="G676" s="168"/>
      <c r="H676" s="168"/>
      <c r="I676" s="169"/>
      <c r="J676" s="170"/>
      <c r="K676" s="170"/>
      <c r="L676" s="170"/>
      <c r="M676" s="167"/>
      <c r="N676" s="169"/>
      <c r="O676" s="171"/>
      <c r="P676" s="106"/>
      <c r="Q676" s="218"/>
      <c r="R676" s="172"/>
      <c r="S676" s="172"/>
      <c r="T676" s="173"/>
      <c r="U676" s="219"/>
      <c r="V676" s="219"/>
      <c r="W676" s="219"/>
      <c r="X676" s="219"/>
      <c r="Y676" s="219"/>
      <c r="Z676" s="219"/>
      <c r="AA676" s="219"/>
      <c r="AB676" s="219"/>
      <c r="AC676" s="219"/>
      <c r="AD676" s="219"/>
      <c r="AE676" s="219"/>
      <c r="AF676" s="219"/>
      <c r="AG676" s="219"/>
      <c r="AH676" s="219"/>
      <c r="AI676" s="219"/>
      <c r="AJ676" s="219"/>
      <c r="AK676" s="219"/>
      <c r="AL676" s="219"/>
      <c r="AM676" s="219"/>
      <c r="AN676" s="219"/>
      <c r="AO676" s="219"/>
      <c r="AP676" s="219"/>
      <c r="AQ676" s="219"/>
      <c r="AR676" s="219"/>
      <c r="AS676" s="219"/>
      <c r="AT676" s="219"/>
      <c r="AU676" s="219"/>
      <c r="AV676" s="219"/>
      <c r="AW676" s="219"/>
      <c r="AX676" s="219"/>
      <c r="AY676" s="219"/>
      <c r="AZ676" s="219"/>
      <c r="BA676" s="219"/>
      <c r="BB676" s="219"/>
      <c r="BC676" s="219"/>
      <c r="BD676" s="219"/>
      <c r="BE676" s="219"/>
      <c r="BF676" s="219"/>
      <c r="BG676" s="219"/>
      <c r="BH676" s="219"/>
      <c r="BI676" s="219"/>
      <c r="BJ676" s="219"/>
      <c r="BK676" s="219"/>
      <c r="BL676" s="219"/>
      <c r="BM676" s="219"/>
      <c r="BN676" s="219"/>
    </row>
    <row r="677" ht="29.25" hidden="1" customHeight="1">
      <c r="A677" s="216"/>
      <c r="B677" s="217"/>
      <c r="C677" s="164"/>
      <c r="D677" s="164"/>
      <c r="E677" s="165"/>
      <c r="F677" s="173"/>
      <c r="G677" s="168"/>
      <c r="H677" s="168"/>
      <c r="I677" s="169"/>
      <c r="J677" s="170"/>
      <c r="K677" s="170"/>
      <c r="L677" s="170"/>
      <c r="M677" s="167"/>
      <c r="N677" s="169"/>
      <c r="O677" s="171"/>
      <c r="P677" s="106"/>
      <c r="Q677" s="218"/>
      <c r="R677" s="172"/>
      <c r="S677" s="172"/>
      <c r="T677" s="173"/>
      <c r="U677" s="219"/>
      <c r="V677" s="219"/>
      <c r="W677" s="219"/>
      <c r="X677" s="219"/>
      <c r="Y677" s="219"/>
      <c r="Z677" s="219"/>
      <c r="AA677" s="219"/>
      <c r="AB677" s="219"/>
      <c r="AC677" s="219"/>
      <c r="AD677" s="219"/>
      <c r="AE677" s="219"/>
      <c r="AF677" s="219"/>
      <c r="AG677" s="219"/>
      <c r="AH677" s="219"/>
      <c r="AI677" s="219"/>
      <c r="AJ677" s="219"/>
      <c r="AK677" s="219"/>
      <c r="AL677" s="219"/>
      <c r="AM677" s="219"/>
      <c r="AN677" s="219"/>
      <c r="AO677" s="219"/>
      <c r="AP677" s="219"/>
      <c r="AQ677" s="219"/>
      <c r="AR677" s="219"/>
      <c r="AS677" s="219"/>
      <c r="AT677" s="219"/>
      <c r="AU677" s="219"/>
      <c r="AV677" s="219"/>
      <c r="AW677" s="219"/>
      <c r="AX677" s="219"/>
      <c r="AY677" s="219"/>
      <c r="AZ677" s="219"/>
      <c r="BA677" s="219"/>
      <c r="BB677" s="219"/>
      <c r="BC677" s="219"/>
      <c r="BD677" s="219"/>
      <c r="BE677" s="219"/>
      <c r="BF677" s="219"/>
      <c r="BG677" s="219"/>
      <c r="BH677" s="219"/>
      <c r="BI677" s="219"/>
      <c r="BJ677" s="219"/>
      <c r="BK677" s="219"/>
      <c r="BL677" s="219"/>
      <c r="BM677" s="219"/>
      <c r="BN677" s="219"/>
    </row>
    <row r="678" ht="29.25" hidden="1" customHeight="1">
      <c r="A678" s="216"/>
      <c r="B678" s="217"/>
      <c r="C678" s="164"/>
      <c r="D678" s="164"/>
      <c r="E678" s="165"/>
      <c r="F678" s="173"/>
      <c r="G678" s="168"/>
      <c r="H678" s="168"/>
      <c r="I678" s="169"/>
      <c r="J678" s="170"/>
      <c r="K678" s="170"/>
      <c r="L678" s="170"/>
      <c r="M678" s="167"/>
      <c r="N678" s="169"/>
      <c r="O678" s="171"/>
      <c r="P678" s="106"/>
      <c r="Q678" s="218"/>
      <c r="R678" s="172"/>
      <c r="S678" s="172"/>
      <c r="T678" s="173"/>
      <c r="U678" s="219"/>
      <c r="V678" s="219"/>
      <c r="W678" s="219"/>
      <c r="X678" s="219"/>
      <c r="Y678" s="219"/>
      <c r="Z678" s="219"/>
      <c r="AA678" s="219"/>
      <c r="AB678" s="219"/>
      <c r="AC678" s="219"/>
      <c r="AD678" s="219"/>
      <c r="AE678" s="219"/>
      <c r="AF678" s="219"/>
      <c r="AG678" s="219"/>
      <c r="AH678" s="219"/>
      <c r="AI678" s="219"/>
      <c r="AJ678" s="219"/>
      <c r="AK678" s="219"/>
      <c r="AL678" s="219"/>
      <c r="AM678" s="219"/>
      <c r="AN678" s="219"/>
      <c r="AO678" s="219"/>
      <c r="AP678" s="219"/>
      <c r="AQ678" s="219"/>
      <c r="AR678" s="219"/>
      <c r="AS678" s="219"/>
      <c r="AT678" s="219"/>
      <c r="AU678" s="219"/>
      <c r="AV678" s="219"/>
      <c r="AW678" s="219"/>
      <c r="AX678" s="219"/>
      <c r="AY678" s="219"/>
      <c r="AZ678" s="219"/>
      <c r="BA678" s="219"/>
      <c r="BB678" s="219"/>
      <c r="BC678" s="219"/>
      <c r="BD678" s="219"/>
      <c r="BE678" s="219"/>
      <c r="BF678" s="219"/>
      <c r="BG678" s="219"/>
      <c r="BH678" s="219"/>
      <c r="BI678" s="219"/>
      <c r="BJ678" s="219"/>
      <c r="BK678" s="219"/>
      <c r="BL678" s="219"/>
      <c r="BM678" s="219"/>
      <c r="BN678" s="219"/>
    </row>
    <row r="679" ht="29.25" hidden="1" customHeight="1">
      <c r="A679" s="216"/>
      <c r="B679" s="217"/>
      <c r="C679" s="164"/>
      <c r="D679" s="164"/>
      <c r="E679" s="165"/>
      <c r="F679" s="173"/>
      <c r="G679" s="168"/>
      <c r="H679" s="168"/>
      <c r="I679" s="169"/>
      <c r="J679" s="170"/>
      <c r="K679" s="170"/>
      <c r="L679" s="170"/>
      <c r="M679" s="167"/>
      <c r="N679" s="169"/>
      <c r="O679" s="171"/>
      <c r="P679" s="106"/>
      <c r="Q679" s="218"/>
      <c r="R679" s="172"/>
      <c r="S679" s="172"/>
      <c r="T679" s="173"/>
      <c r="U679" s="219"/>
      <c r="V679" s="219"/>
      <c r="W679" s="219"/>
      <c r="X679" s="219"/>
      <c r="Y679" s="219"/>
      <c r="Z679" s="219"/>
      <c r="AA679" s="219"/>
      <c r="AB679" s="219"/>
      <c r="AC679" s="219"/>
      <c r="AD679" s="219"/>
      <c r="AE679" s="219"/>
      <c r="AF679" s="219"/>
      <c r="AG679" s="219"/>
      <c r="AH679" s="219"/>
      <c r="AI679" s="219"/>
      <c r="AJ679" s="219"/>
      <c r="AK679" s="219"/>
      <c r="AL679" s="219"/>
      <c r="AM679" s="219"/>
      <c r="AN679" s="219"/>
      <c r="AO679" s="219"/>
      <c r="AP679" s="219"/>
      <c r="AQ679" s="219"/>
      <c r="AR679" s="219"/>
      <c r="AS679" s="219"/>
      <c r="AT679" s="219"/>
      <c r="AU679" s="219"/>
      <c r="AV679" s="219"/>
      <c r="AW679" s="219"/>
      <c r="AX679" s="219"/>
      <c r="AY679" s="219"/>
      <c r="AZ679" s="219"/>
      <c r="BA679" s="219"/>
      <c r="BB679" s="219"/>
      <c r="BC679" s="219"/>
      <c r="BD679" s="219"/>
      <c r="BE679" s="219"/>
      <c r="BF679" s="219"/>
      <c r="BG679" s="219"/>
      <c r="BH679" s="219"/>
      <c r="BI679" s="219"/>
      <c r="BJ679" s="219"/>
      <c r="BK679" s="219"/>
      <c r="BL679" s="219"/>
      <c r="BM679" s="219"/>
      <c r="BN679" s="219"/>
    </row>
    <row r="680" ht="29.25" hidden="1" customHeight="1">
      <c r="A680" s="216"/>
      <c r="B680" s="217"/>
      <c r="C680" s="164"/>
      <c r="D680" s="164"/>
      <c r="E680" s="165"/>
      <c r="F680" s="173"/>
      <c r="G680" s="168"/>
      <c r="H680" s="168"/>
      <c r="I680" s="169"/>
      <c r="J680" s="170"/>
      <c r="K680" s="170"/>
      <c r="L680" s="170"/>
      <c r="M680" s="167"/>
      <c r="N680" s="169"/>
      <c r="O680" s="171"/>
      <c r="P680" s="106"/>
      <c r="Q680" s="218"/>
      <c r="R680" s="172"/>
      <c r="S680" s="172"/>
      <c r="T680" s="173"/>
      <c r="U680" s="219"/>
      <c r="V680" s="219"/>
      <c r="W680" s="219"/>
      <c r="X680" s="219"/>
      <c r="Y680" s="219"/>
      <c r="Z680" s="219"/>
      <c r="AA680" s="219"/>
      <c r="AB680" s="219"/>
      <c r="AC680" s="219"/>
      <c r="AD680" s="219"/>
      <c r="AE680" s="219"/>
      <c r="AF680" s="219"/>
      <c r="AG680" s="219"/>
      <c r="AH680" s="219"/>
      <c r="AI680" s="219"/>
      <c r="AJ680" s="219"/>
      <c r="AK680" s="219"/>
      <c r="AL680" s="219"/>
      <c r="AM680" s="219"/>
      <c r="AN680" s="219"/>
      <c r="AO680" s="219"/>
      <c r="AP680" s="219"/>
      <c r="AQ680" s="219"/>
      <c r="AR680" s="219"/>
      <c r="AS680" s="219"/>
      <c r="AT680" s="219"/>
      <c r="AU680" s="219"/>
      <c r="AV680" s="219"/>
      <c r="AW680" s="219"/>
      <c r="AX680" s="219"/>
      <c r="AY680" s="219"/>
      <c r="AZ680" s="219"/>
      <c r="BA680" s="219"/>
      <c r="BB680" s="219"/>
      <c r="BC680" s="219"/>
      <c r="BD680" s="219"/>
      <c r="BE680" s="219"/>
      <c r="BF680" s="219"/>
      <c r="BG680" s="219"/>
      <c r="BH680" s="219"/>
      <c r="BI680" s="219"/>
      <c r="BJ680" s="219"/>
      <c r="BK680" s="219"/>
      <c r="BL680" s="219"/>
      <c r="BM680" s="219"/>
      <c r="BN680" s="219"/>
    </row>
    <row r="681" ht="29.25" hidden="1" customHeight="1">
      <c r="A681" s="216"/>
      <c r="B681" s="217"/>
      <c r="C681" s="164"/>
      <c r="D681" s="164"/>
      <c r="E681" s="165"/>
      <c r="F681" s="173"/>
      <c r="G681" s="168"/>
      <c r="H681" s="168"/>
      <c r="I681" s="169"/>
      <c r="J681" s="170"/>
      <c r="K681" s="170"/>
      <c r="L681" s="170"/>
      <c r="M681" s="167"/>
      <c r="N681" s="169"/>
      <c r="O681" s="171"/>
      <c r="P681" s="106"/>
      <c r="Q681" s="218"/>
      <c r="R681" s="172"/>
      <c r="S681" s="172"/>
      <c r="T681" s="173"/>
      <c r="U681" s="219"/>
      <c r="V681" s="219"/>
      <c r="W681" s="219"/>
      <c r="X681" s="219"/>
      <c r="Y681" s="219"/>
      <c r="Z681" s="219"/>
      <c r="AA681" s="219"/>
      <c r="AB681" s="219"/>
      <c r="AC681" s="219"/>
      <c r="AD681" s="219"/>
      <c r="AE681" s="219"/>
      <c r="AF681" s="219"/>
      <c r="AG681" s="219"/>
      <c r="AH681" s="219"/>
      <c r="AI681" s="219"/>
      <c r="AJ681" s="219"/>
      <c r="AK681" s="219"/>
      <c r="AL681" s="219"/>
      <c r="AM681" s="219"/>
      <c r="AN681" s="219"/>
      <c r="AO681" s="219"/>
      <c r="AP681" s="219"/>
      <c r="AQ681" s="219"/>
      <c r="AR681" s="219"/>
      <c r="AS681" s="219"/>
      <c r="AT681" s="219"/>
      <c r="AU681" s="219"/>
      <c r="AV681" s="219"/>
      <c r="AW681" s="219"/>
      <c r="AX681" s="219"/>
      <c r="AY681" s="219"/>
      <c r="AZ681" s="219"/>
      <c r="BA681" s="219"/>
      <c r="BB681" s="219"/>
      <c r="BC681" s="219"/>
      <c r="BD681" s="219"/>
      <c r="BE681" s="219"/>
      <c r="BF681" s="219"/>
      <c r="BG681" s="219"/>
      <c r="BH681" s="219"/>
      <c r="BI681" s="219"/>
      <c r="BJ681" s="219"/>
      <c r="BK681" s="219"/>
      <c r="BL681" s="219"/>
      <c r="BM681" s="219"/>
      <c r="BN681" s="219"/>
    </row>
    <row r="682" ht="29.25" hidden="1" customHeight="1">
      <c r="A682" s="216"/>
      <c r="B682" s="217"/>
      <c r="C682" s="164"/>
      <c r="D682" s="164"/>
      <c r="E682" s="165"/>
      <c r="F682" s="173"/>
      <c r="G682" s="168"/>
      <c r="H682" s="168"/>
      <c r="I682" s="169"/>
      <c r="J682" s="170"/>
      <c r="K682" s="170"/>
      <c r="L682" s="170"/>
      <c r="M682" s="167"/>
      <c r="N682" s="169"/>
      <c r="O682" s="171"/>
      <c r="P682" s="106"/>
      <c r="Q682" s="218"/>
      <c r="R682" s="172"/>
      <c r="S682" s="172"/>
      <c r="T682" s="173"/>
      <c r="U682" s="219"/>
      <c r="V682" s="219"/>
      <c r="W682" s="219"/>
      <c r="X682" s="219"/>
      <c r="Y682" s="219"/>
      <c r="Z682" s="219"/>
      <c r="AA682" s="219"/>
      <c r="AB682" s="219"/>
      <c r="AC682" s="219"/>
      <c r="AD682" s="219"/>
      <c r="AE682" s="219"/>
      <c r="AF682" s="219"/>
      <c r="AG682" s="219"/>
      <c r="AH682" s="219"/>
      <c r="AI682" s="219"/>
      <c r="AJ682" s="219"/>
      <c r="AK682" s="219"/>
      <c r="AL682" s="219"/>
      <c r="AM682" s="219"/>
      <c r="AN682" s="219"/>
      <c r="AO682" s="219"/>
      <c r="AP682" s="219"/>
      <c r="AQ682" s="219"/>
      <c r="AR682" s="219"/>
      <c r="AS682" s="219"/>
      <c r="AT682" s="219"/>
      <c r="AU682" s="219"/>
      <c r="AV682" s="219"/>
      <c r="AW682" s="219"/>
      <c r="AX682" s="219"/>
      <c r="AY682" s="219"/>
      <c r="AZ682" s="219"/>
      <c r="BA682" s="219"/>
      <c r="BB682" s="219"/>
      <c r="BC682" s="219"/>
      <c r="BD682" s="219"/>
      <c r="BE682" s="219"/>
      <c r="BF682" s="219"/>
      <c r="BG682" s="219"/>
      <c r="BH682" s="219"/>
      <c r="BI682" s="219"/>
      <c r="BJ682" s="219"/>
      <c r="BK682" s="219"/>
      <c r="BL682" s="219"/>
      <c r="BM682" s="219"/>
      <c r="BN682" s="219"/>
    </row>
    <row r="683" ht="29.25" hidden="1" customHeight="1">
      <c r="A683" s="216"/>
      <c r="B683" s="217"/>
      <c r="C683" s="164"/>
      <c r="D683" s="164"/>
      <c r="E683" s="165"/>
      <c r="F683" s="173"/>
      <c r="G683" s="168"/>
      <c r="H683" s="168"/>
      <c r="I683" s="169"/>
      <c r="J683" s="170"/>
      <c r="K683" s="170"/>
      <c r="L683" s="170"/>
      <c r="M683" s="167"/>
      <c r="N683" s="169"/>
      <c r="O683" s="171"/>
      <c r="P683" s="106"/>
      <c r="Q683" s="218"/>
      <c r="R683" s="172"/>
      <c r="S683" s="172"/>
      <c r="T683" s="173"/>
      <c r="U683" s="219"/>
      <c r="V683" s="219"/>
      <c r="W683" s="219"/>
      <c r="X683" s="219"/>
      <c r="Y683" s="219"/>
      <c r="Z683" s="219"/>
      <c r="AA683" s="219"/>
      <c r="AB683" s="219"/>
      <c r="AC683" s="219"/>
      <c r="AD683" s="219"/>
      <c r="AE683" s="219"/>
      <c r="AF683" s="219"/>
      <c r="AG683" s="219"/>
      <c r="AH683" s="219"/>
      <c r="AI683" s="219"/>
      <c r="AJ683" s="219"/>
      <c r="AK683" s="219"/>
      <c r="AL683" s="219"/>
      <c r="AM683" s="219"/>
      <c r="AN683" s="219"/>
      <c r="AO683" s="219"/>
      <c r="AP683" s="219"/>
      <c r="AQ683" s="219"/>
      <c r="AR683" s="219"/>
      <c r="AS683" s="219"/>
      <c r="AT683" s="219"/>
      <c r="AU683" s="219"/>
      <c r="AV683" s="219"/>
      <c r="AW683" s="219"/>
      <c r="AX683" s="219"/>
      <c r="AY683" s="219"/>
      <c r="AZ683" s="219"/>
      <c r="BA683" s="219"/>
      <c r="BB683" s="219"/>
      <c r="BC683" s="219"/>
      <c r="BD683" s="219"/>
      <c r="BE683" s="219"/>
      <c r="BF683" s="219"/>
      <c r="BG683" s="219"/>
      <c r="BH683" s="219"/>
      <c r="BI683" s="219"/>
      <c r="BJ683" s="219"/>
      <c r="BK683" s="219"/>
      <c r="BL683" s="219"/>
      <c r="BM683" s="219"/>
      <c r="BN683" s="219"/>
    </row>
    <row r="684" ht="29.25" hidden="1" customHeight="1">
      <c r="A684" s="216"/>
      <c r="B684" s="217"/>
      <c r="C684" s="164"/>
      <c r="D684" s="164"/>
      <c r="E684" s="165"/>
      <c r="F684" s="173"/>
      <c r="G684" s="168"/>
      <c r="H684" s="168"/>
      <c r="I684" s="169"/>
      <c r="J684" s="170"/>
      <c r="K684" s="170"/>
      <c r="L684" s="170"/>
      <c r="M684" s="167"/>
      <c r="N684" s="169"/>
      <c r="O684" s="171"/>
      <c r="P684" s="106"/>
      <c r="Q684" s="218"/>
      <c r="R684" s="172"/>
      <c r="S684" s="172"/>
      <c r="T684" s="173"/>
      <c r="U684" s="219"/>
      <c r="V684" s="219"/>
      <c r="W684" s="219"/>
      <c r="X684" s="219"/>
      <c r="Y684" s="219"/>
      <c r="Z684" s="219"/>
      <c r="AA684" s="219"/>
      <c r="AB684" s="219"/>
      <c r="AC684" s="219"/>
      <c r="AD684" s="219"/>
      <c r="AE684" s="219"/>
      <c r="AF684" s="219"/>
      <c r="AG684" s="219"/>
      <c r="AH684" s="219"/>
      <c r="AI684" s="219"/>
      <c r="AJ684" s="219"/>
      <c r="AK684" s="219"/>
      <c r="AL684" s="219"/>
      <c r="AM684" s="219"/>
      <c r="AN684" s="219"/>
      <c r="AO684" s="219"/>
      <c r="AP684" s="219"/>
      <c r="AQ684" s="219"/>
      <c r="AR684" s="219"/>
      <c r="AS684" s="219"/>
      <c r="AT684" s="219"/>
      <c r="AU684" s="219"/>
      <c r="AV684" s="219"/>
      <c r="AW684" s="219"/>
      <c r="AX684" s="219"/>
      <c r="AY684" s="219"/>
      <c r="AZ684" s="219"/>
      <c r="BA684" s="219"/>
      <c r="BB684" s="219"/>
      <c r="BC684" s="219"/>
      <c r="BD684" s="219"/>
      <c r="BE684" s="219"/>
      <c r="BF684" s="219"/>
      <c r="BG684" s="219"/>
      <c r="BH684" s="219"/>
      <c r="BI684" s="219"/>
      <c r="BJ684" s="219"/>
      <c r="BK684" s="219"/>
      <c r="BL684" s="219"/>
      <c r="BM684" s="219"/>
      <c r="BN684" s="219"/>
    </row>
    <row r="685" ht="29.25" hidden="1" customHeight="1">
      <c r="A685" s="216"/>
      <c r="B685" s="217"/>
      <c r="C685" s="164"/>
      <c r="D685" s="164"/>
      <c r="E685" s="165"/>
      <c r="F685" s="173"/>
      <c r="G685" s="168"/>
      <c r="H685" s="168"/>
      <c r="I685" s="169"/>
      <c r="J685" s="170"/>
      <c r="K685" s="170"/>
      <c r="L685" s="170"/>
      <c r="M685" s="167"/>
      <c r="N685" s="169"/>
      <c r="O685" s="171"/>
      <c r="P685" s="106"/>
      <c r="Q685" s="218"/>
      <c r="R685" s="172"/>
      <c r="S685" s="172"/>
      <c r="T685" s="173"/>
      <c r="U685" s="219"/>
      <c r="V685" s="219"/>
      <c r="W685" s="219"/>
      <c r="X685" s="219"/>
      <c r="Y685" s="219"/>
      <c r="Z685" s="219"/>
      <c r="AA685" s="219"/>
      <c r="AB685" s="219"/>
      <c r="AC685" s="219"/>
      <c r="AD685" s="219"/>
      <c r="AE685" s="219"/>
      <c r="AF685" s="219"/>
      <c r="AG685" s="219"/>
      <c r="AH685" s="219"/>
      <c r="AI685" s="219"/>
      <c r="AJ685" s="219"/>
      <c r="AK685" s="219"/>
      <c r="AL685" s="219"/>
      <c r="AM685" s="219"/>
      <c r="AN685" s="219"/>
      <c r="AO685" s="219"/>
      <c r="AP685" s="219"/>
      <c r="AQ685" s="219"/>
      <c r="AR685" s="219"/>
      <c r="AS685" s="219"/>
      <c r="AT685" s="219"/>
      <c r="AU685" s="219"/>
      <c r="AV685" s="219"/>
      <c r="AW685" s="219"/>
      <c r="AX685" s="219"/>
      <c r="AY685" s="219"/>
      <c r="AZ685" s="219"/>
      <c r="BA685" s="219"/>
      <c r="BB685" s="219"/>
      <c r="BC685" s="219"/>
      <c r="BD685" s="219"/>
      <c r="BE685" s="219"/>
      <c r="BF685" s="219"/>
      <c r="BG685" s="219"/>
      <c r="BH685" s="219"/>
      <c r="BI685" s="219"/>
      <c r="BJ685" s="219"/>
      <c r="BK685" s="219"/>
      <c r="BL685" s="219"/>
      <c r="BM685" s="219"/>
      <c r="BN685" s="219"/>
    </row>
    <row r="686" ht="29.25" hidden="1" customHeight="1">
      <c r="A686" s="216"/>
      <c r="B686" s="217"/>
      <c r="C686" s="164"/>
      <c r="D686" s="164"/>
      <c r="E686" s="165"/>
      <c r="F686" s="173"/>
      <c r="G686" s="168"/>
      <c r="H686" s="168"/>
      <c r="I686" s="169"/>
      <c r="J686" s="170"/>
      <c r="K686" s="170"/>
      <c r="L686" s="170"/>
      <c r="M686" s="167"/>
      <c r="N686" s="169"/>
      <c r="O686" s="171"/>
      <c r="P686" s="106"/>
      <c r="Q686" s="218"/>
      <c r="R686" s="172"/>
      <c r="S686" s="172"/>
      <c r="T686" s="173"/>
      <c r="U686" s="219"/>
      <c r="V686" s="219"/>
      <c r="W686" s="219"/>
      <c r="X686" s="219"/>
      <c r="Y686" s="219"/>
      <c r="Z686" s="219"/>
      <c r="AA686" s="219"/>
      <c r="AB686" s="219"/>
      <c r="AC686" s="219"/>
      <c r="AD686" s="219"/>
      <c r="AE686" s="219"/>
      <c r="AF686" s="219"/>
      <c r="AG686" s="219"/>
      <c r="AH686" s="219"/>
      <c r="AI686" s="219"/>
      <c r="AJ686" s="219"/>
      <c r="AK686" s="219"/>
      <c r="AL686" s="219"/>
      <c r="AM686" s="219"/>
      <c r="AN686" s="219"/>
      <c r="AO686" s="219"/>
      <c r="AP686" s="219"/>
      <c r="AQ686" s="219"/>
      <c r="AR686" s="219"/>
      <c r="AS686" s="219"/>
      <c r="AT686" s="219"/>
      <c r="AU686" s="219"/>
      <c r="AV686" s="219"/>
      <c r="AW686" s="219"/>
      <c r="AX686" s="219"/>
      <c r="AY686" s="219"/>
      <c r="AZ686" s="219"/>
      <c r="BA686" s="219"/>
      <c r="BB686" s="219"/>
      <c r="BC686" s="219"/>
      <c r="BD686" s="219"/>
      <c r="BE686" s="219"/>
      <c r="BF686" s="219"/>
      <c r="BG686" s="219"/>
      <c r="BH686" s="219"/>
      <c r="BI686" s="219"/>
      <c r="BJ686" s="219"/>
      <c r="BK686" s="219"/>
      <c r="BL686" s="219"/>
      <c r="BM686" s="219"/>
      <c r="BN686" s="219"/>
    </row>
    <row r="687" ht="29.25" hidden="1" customHeight="1">
      <c r="A687" s="216"/>
      <c r="B687" s="217"/>
      <c r="C687" s="164"/>
      <c r="D687" s="164"/>
      <c r="E687" s="165"/>
      <c r="F687" s="173"/>
      <c r="G687" s="168"/>
      <c r="H687" s="168"/>
      <c r="I687" s="169"/>
      <c r="J687" s="170"/>
      <c r="K687" s="170"/>
      <c r="L687" s="170"/>
      <c r="M687" s="167"/>
      <c r="N687" s="169"/>
      <c r="O687" s="171"/>
      <c r="P687" s="106"/>
      <c r="Q687" s="218"/>
      <c r="R687" s="172"/>
      <c r="S687" s="172"/>
      <c r="T687" s="173"/>
      <c r="U687" s="219"/>
      <c r="V687" s="219"/>
      <c r="W687" s="219"/>
      <c r="X687" s="219"/>
      <c r="Y687" s="219"/>
      <c r="Z687" s="219"/>
      <c r="AA687" s="219"/>
      <c r="AB687" s="219"/>
      <c r="AC687" s="219"/>
      <c r="AD687" s="219"/>
      <c r="AE687" s="219"/>
      <c r="AF687" s="219"/>
      <c r="AG687" s="219"/>
      <c r="AH687" s="219"/>
      <c r="AI687" s="219"/>
      <c r="AJ687" s="219"/>
      <c r="AK687" s="219"/>
      <c r="AL687" s="219"/>
      <c r="AM687" s="219"/>
      <c r="AN687" s="219"/>
      <c r="AO687" s="219"/>
      <c r="AP687" s="219"/>
      <c r="AQ687" s="219"/>
      <c r="AR687" s="219"/>
      <c r="AS687" s="219"/>
      <c r="AT687" s="219"/>
      <c r="AU687" s="219"/>
      <c r="AV687" s="219"/>
      <c r="AW687" s="219"/>
      <c r="AX687" s="219"/>
      <c r="AY687" s="219"/>
      <c r="AZ687" s="219"/>
      <c r="BA687" s="219"/>
      <c r="BB687" s="219"/>
      <c r="BC687" s="219"/>
      <c r="BD687" s="219"/>
      <c r="BE687" s="219"/>
      <c r="BF687" s="219"/>
      <c r="BG687" s="219"/>
      <c r="BH687" s="219"/>
      <c r="BI687" s="219"/>
      <c r="BJ687" s="219"/>
      <c r="BK687" s="219"/>
      <c r="BL687" s="219"/>
      <c r="BM687" s="219"/>
      <c r="BN687" s="219"/>
    </row>
    <row r="688" ht="29.25" hidden="1" customHeight="1">
      <c r="A688" s="216"/>
      <c r="B688" s="217"/>
      <c r="C688" s="164"/>
      <c r="D688" s="164"/>
      <c r="E688" s="165"/>
      <c r="F688" s="173"/>
      <c r="G688" s="168"/>
      <c r="H688" s="168"/>
      <c r="I688" s="169"/>
      <c r="J688" s="170"/>
      <c r="K688" s="170"/>
      <c r="L688" s="170"/>
      <c r="M688" s="167"/>
      <c r="N688" s="169"/>
      <c r="O688" s="171"/>
      <c r="P688" s="106"/>
      <c r="Q688" s="218"/>
      <c r="R688" s="172"/>
      <c r="S688" s="172"/>
      <c r="T688" s="173"/>
      <c r="U688" s="219"/>
      <c r="V688" s="219"/>
      <c r="W688" s="219"/>
      <c r="X688" s="219"/>
      <c r="Y688" s="219"/>
      <c r="Z688" s="219"/>
      <c r="AA688" s="219"/>
      <c r="AB688" s="219"/>
      <c r="AC688" s="219"/>
      <c r="AD688" s="219"/>
      <c r="AE688" s="219"/>
      <c r="AF688" s="219"/>
      <c r="AG688" s="219"/>
      <c r="AH688" s="219"/>
      <c r="AI688" s="219"/>
      <c r="AJ688" s="219"/>
      <c r="AK688" s="219"/>
      <c r="AL688" s="219"/>
      <c r="AM688" s="219"/>
      <c r="AN688" s="219"/>
      <c r="AO688" s="219"/>
      <c r="AP688" s="219"/>
      <c r="AQ688" s="219"/>
      <c r="AR688" s="219"/>
      <c r="AS688" s="219"/>
      <c r="AT688" s="219"/>
      <c r="AU688" s="219"/>
      <c r="AV688" s="219"/>
      <c r="AW688" s="219"/>
      <c r="AX688" s="219"/>
      <c r="AY688" s="219"/>
      <c r="AZ688" s="219"/>
      <c r="BA688" s="219"/>
      <c r="BB688" s="219"/>
      <c r="BC688" s="219"/>
      <c r="BD688" s="219"/>
      <c r="BE688" s="219"/>
      <c r="BF688" s="219"/>
      <c r="BG688" s="219"/>
      <c r="BH688" s="219"/>
      <c r="BI688" s="219"/>
      <c r="BJ688" s="219"/>
      <c r="BK688" s="219"/>
      <c r="BL688" s="219"/>
      <c r="BM688" s="219"/>
      <c r="BN688" s="219"/>
    </row>
    <row r="689" ht="29.25" hidden="1" customHeight="1">
      <c r="A689" s="216"/>
      <c r="B689" s="217"/>
      <c r="C689" s="164"/>
      <c r="D689" s="164"/>
      <c r="E689" s="165"/>
      <c r="F689" s="173"/>
      <c r="G689" s="168"/>
      <c r="H689" s="168"/>
      <c r="I689" s="169"/>
      <c r="J689" s="170"/>
      <c r="K689" s="170"/>
      <c r="L689" s="170"/>
      <c r="M689" s="167"/>
      <c r="N689" s="169"/>
      <c r="O689" s="171"/>
      <c r="P689" s="106"/>
      <c r="Q689" s="218"/>
      <c r="R689" s="172"/>
      <c r="S689" s="172"/>
      <c r="T689" s="173"/>
      <c r="U689" s="219"/>
      <c r="V689" s="219"/>
      <c r="W689" s="219"/>
      <c r="X689" s="219"/>
      <c r="Y689" s="219"/>
      <c r="Z689" s="219"/>
      <c r="AA689" s="219"/>
      <c r="AB689" s="219"/>
      <c r="AC689" s="219"/>
      <c r="AD689" s="219"/>
      <c r="AE689" s="219"/>
      <c r="AF689" s="219"/>
      <c r="AG689" s="219"/>
      <c r="AH689" s="219"/>
      <c r="AI689" s="219"/>
      <c r="AJ689" s="219"/>
      <c r="AK689" s="219"/>
      <c r="AL689" s="219"/>
      <c r="AM689" s="219"/>
      <c r="AN689" s="219"/>
      <c r="AO689" s="219"/>
      <c r="AP689" s="219"/>
      <c r="AQ689" s="219"/>
      <c r="AR689" s="219"/>
      <c r="AS689" s="219"/>
      <c r="AT689" s="219"/>
      <c r="AU689" s="219"/>
      <c r="AV689" s="219"/>
      <c r="AW689" s="219"/>
      <c r="AX689" s="219"/>
      <c r="AY689" s="219"/>
      <c r="AZ689" s="219"/>
      <c r="BA689" s="219"/>
      <c r="BB689" s="219"/>
      <c r="BC689" s="219"/>
      <c r="BD689" s="219"/>
      <c r="BE689" s="219"/>
      <c r="BF689" s="219"/>
      <c r="BG689" s="219"/>
      <c r="BH689" s="219"/>
      <c r="BI689" s="219"/>
      <c r="BJ689" s="219"/>
      <c r="BK689" s="219"/>
      <c r="BL689" s="219"/>
      <c r="BM689" s="219"/>
      <c r="BN689" s="219"/>
    </row>
    <row r="690" ht="29.25" hidden="1" customHeight="1">
      <c r="A690" s="216"/>
      <c r="B690" s="217"/>
      <c r="C690" s="164"/>
      <c r="D690" s="164"/>
      <c r="E690" s="165"/>
      <c r="F690" s="173"/>
      <c r="G690" s="168"/>
      <c r="H690" s="168"/>
      <c r="I690" s="169"/>
      <c r="J690" s="170"/>
      <c r="K690" s="170"/>
      <c r="L690" s="170"/>
      <c r="M690" s="167"/>
      <c r="N690" s="169"/>
      <c r="O690" s="171"/>
      <c r="P690" s="106"/>
      <c r="Q690" s="218"/>
      <c r="R690" s="172"/>
      <c r="S690" s="172"/>
      <c r="T690" s="173"/>
      <c r="U690" s="219"/>
      <c r="V690" s="219"/>
      <c r="W690" s="219"/>
      <c r="X690" s="219"/>
      <c r="Y690" s="219"/>
      <c r="Z690" s="219"/>
      <c r="AA690" s="219"/>
      <c r="AB690" s="219"/>
      <c r="AC690" s="219"/>
      <c r="AD690" s="219"/>
      <c r="AE690" s="219"/>
      <c r="AF690" s="219"/>
      <c r="AG690" s="219"/>
      <c r="AH690" s="219"/>
      <c r="AI690" s="219"/>
      <c r="AJ690" s="219"/>
      <c r="AK690" s="219"/>
      <c r="AL690" s="219"/>
      <c r="AM690" s="219"/>
      <c r="AN690" s="219"/>
      <c r="AO690" s="219"/>
      <c r="AP690" s="219"/>
      <c r="AQ690" s="219"/>
      <c r="AR690" s="219"/>
      <c r="AS690" s="219"/>
      <c r="AT690" s="219"/>
      <c r="AU690" s="219"/>
      <c r="AV690" s="219"/>
      <c r="AW690" s="219"/>
      <c r="AX690" s="219"/>
      <c r="AY690" s="219"/>
      <c r="AZ690" s="219"/>
      <c r="BA690" s="219"/>
      <c r="BB690" s="219"/>
      <c r="BC690" s="219"/>
      <c r="BD690" s="219"/>
      <c r="BE690" s="219"/>
      <c r="BF690" s="219"/>
      <c r="BG690" s="219"/>
      <c r="BH690" s="219"/>
      <c r="BI690" s="219"/>
      <c r="BJ690" s="219"/>
      <c r="BK690" s="219"/>
      <c r="BL690" s="219"/>
      <c r="BM690" s="219"/>
      <c r="BN690" s="219"/>
    </row>
    <row r="691" ht="29.25" hidden="1" customHeight="1">
      <c r="A691" s="216"/>
      <c r="B691" s="217"/>
      <c r="C691" s="164"/>
      <c r="D691" s="164"/>
      <c r="E691" s="165"/>
      <c r="F691" s="173"/>
      <c r="G691" s="168"/>
      <c r="H691" s="168"/>
      <c r="I691" s="169"/>
      <c r="J691" s="170"/>
      <c r="K691" s="170"/>
      <c r="L691" s="170"/>
      <c r="M691" s="167"/>
      <c r="N691" s="169"/>
      <c r="O691" s="171"/>
      <c r="P691" s="106"/>
      <c r="Q691" s="218"/>
      <c r="R691" s="172"/>
      <c r="S691" s="172"/>
      <c r="T691" s="173"/>
      <c r="U691" s="219"/>
      <c r="V691" s="219"/>
      <c r="W691" s="219"/>
      <c r="X691" s="219"/>
      <c r="Y691" s="219"/>
      <c r="Z691" s="219"/>
      <c r="AA691" s="219"/>
      <c r="AB691" s="219"/>
      <c r="AC691" s="219"/>
      <c r="AD691" s="219"/>
      <c r="AE691" s="219"/>
      <c r="AF691" s="219"/>
      <c r="AG691" s="219"/>
      <c r="AH691" s="219"/>
      <c r="AI691" s="219"/>
      <c r="AJ691" s="219"/>
      <c r="AK691" s="219"/>
      <c r="AL691" s="219"/>
      <c r="AM691" s="219"/>
      <c r="AN691" s="219"/>
      <c r="AO691" s="219"/>
      <c r="AP691" s="219"/>
      <c r="AQ691" s="219"/>
      <c r="AR691" s="219"/>
      <c r="AS691" s="219"/>
      <c r="AT691" s="219"/>
      <c r="AU691" s="219"/>
      <c r="AV691" s="219"/>
      <c r="AW691" s="219"/>
      <c r="AX691" s="219"/>
      <c r="AY691" s="219"/>
      <c r="AZ691" s="219"/>
      <c r="BA691" s="219"/>
      <c r="BB691" s="219"/>
      <c r="BC691" s="219"/>
      <c r="BD691" s="219"/>
      <c r="BE691" s="219"/>
      <c r="BF691" s="219"/>
      <c r="BG691" s="219"/>
      <c r="BH691" s="219"/>
      <c r="BI691" s="219"/>
      <c r="BJ691" s="219"/>
      <c r="BK691" s="219"/>
      <c r="BL691" s="219"/>
      <c r="BM691" s="219"/>
      <c r="BN691" s="219"/>
    </row>
    <row r="692" ht="29.25" hidden="1" customHeight="1">
      <c r="A692" s="216"/>
      <c r="B692" s="217"/>
      <c r="C692" s="164"/>
      <c r="D692" s="164"/>
      <c r="E692" s="165"/>
      <c r="F692" s="173"/>
      <c r="G692" s="168"/>
      <c r="H692" s="168"/>
      <c r="I692" s="169"/>
      <c r="J692" s="170"/>
      <c r="K692" s="170"/>
      <c r="L692" s="170"/>
      <c r="M692" s="167"/>
      <c r="N692" s="169"/>
      <c r="O692" s="171"/>
      <c r="P692" s="106"/>
      <c r="Q692" s="218"/>
      <c r="R692" s="172"/>
      <c r="S692" s="172"/>
      <c r="T692" s="173"/>
      <c r="U692" s="219"/>
      <c r="V692" s="219"/>
      <c r="W692" s="219"/>
      <c r="X692" s="219"/>
      <c r="Y692" s="219"/>
      <c r="Z692" s="219"/>
      <c r="AA692" s="219"/>
      <c r="AB692" s="219"/>
      <c r="AC692" s="219"/>
      <c r="AD692" s="219"/>
      <c r="AE692" s="219"/>
      <c r="AF692" s="219"/>
      <c r="AG692" s="219"/>
      <c r="AH692" s="219"/>
      <c r="AI692" s="219"/>
      <c r="AJ692" s="219"/>
      <c r="AK692" s="219"/>
      <c r="AL692" s="219"/>
      <c r="AM692" s="219"/>
      <c r="AN692" s="219"/>
      <c r="AO692" s="219"/>
      <c r="AP692" s="219"/>
      <c r="AQ692" s="219"/>
      <c r="AR692" s="219"/>
      <c r="AS692" s="219"/>
      <c r="AT692" s="219"/>
      <c r="AU692" s="219"/>
      <c r="AV692" s="219"/>
      <c r="AW692" s="219"/>
      <c r="AX692" s="219"/>
      <c r="AY692" s="219"/>
      <c r="AZ692" s="219"/>
      <c r="BA692" s="219"/>
      <c r="BB692" s="219"/>
      <c r="BC692" s="219"/>
      <c r="BD692" s="219"/>
      <c r="BE692" s="219"/>
      <c r="BF692" s="219"/>
      <c r="BG692" s="219"/>
      <c r="BH692" s="219"/>
      <c r="BI692" s="219"/>
      <c r="BJ692" s="219"/>
      <c r="BK692" s="219"/>
      <c r="BL692" s="219"/>
      <c r="BM692" s="219"/>
      <c r="BN692" s="219"/>
    </row>
    <row r="693" ht="29.25" hidden="1" customHeight="1">
      <c r="A693" s="216"/>
      <c r="B693" s="217"/>
      <c r="C693" s="164"/>
      <c r="D693" s="164"/>
      <c r="E693" s="165"/>
      <c r="F693" s="173"/>
      <c r="G693" s="168"/>
      <c r="H693" s="168"/>
      <c r="I693" s="169"/>
      <c r="J693" s="170"/>
      <c r="K693" s="170"/>
      <c r="L693" s="170"/>
      <c r="M693" s="167"/>
      <c r="N693" s="169"/>
      <c r="O693" s="171"/>
      <c r="P693" s="106"/>
      <c r="Q693" s="218"/>
      <c r="R693" s="172"/>
      <c r="S693" s="172"/>
      <c r="T693" s="173"/>
      <c r="U693" s="219"/>
      <c r="V693" s="219"/>
      <c r="W693" s="219"/>
      <c r="X693" s="219"/>
      <c r="Y693" s="219"/>
      <c r="Z693" s="219"/>
      <c r="AA693" s="219"/>
      <c r="AB693" s="219"/>
      <c r="AC693" s="219"/>
      <c r="AD693" s="219"/>
      <c r="AE693" s="219"/>
      <c r="AF693" s="219"/>
      <c r="AG693" s="219"/>
      <c r="AH693" s="219"/>
      <c r="AI693" s="219"/>
      <c r="AJ693" s="219"/>
      <c r="AK693" s="219"/>
      <c r="AL693" s="219"/>
      <c r="AM693" s="219"/>
      <c r="AN693" s="219"/>
      <c r="AO693" s="219"/>
      <c r="AP693" s="219"/>
      <c r="AQ693" s="219"/>
      <c r="AR693" s="219"/>
      <c r="AS693" s="219"/>
      <c r="AT693" s="219"/>
      <c r="AU693" s="219"/>
      <c r="AV693" s="219"/>
      <c r="AW693" s="219"/>
      <c r="AX693" s="219"/>
      <c r="AY693" s="219"/>
      <c r="AZ693" s="219"/>
      <c r="BA693" s="219"/>
      <c r="BB693" s="219"/>
      <c r="BC693" s="219"/>
      <c r="BD693" s="219"/>
      <c r="BE693" s="219"/>
      <c r="BF693" s="219"/>
      <c r="BG693" s="219"/>
      <c r="BH693" s="219"/>
      <c r="BI693" s="219"/>
      <c r="BJ693" s="219"/>
      <c r="BK693" s="219"/>
      <c r="BL693" s="219"/>
      <c r="BM693" s="219"/>
      <c r="BN693" s="219"/>
    </row>
    <row r="694" ht="29.25" hidden="1" customHeight="1">
      <c r="A694" s="216"/>
      <c r="B694" s="217"/>
      <c r="C694" s="164"/>
      <c r="D694" s="164"/>
      <c r="E694" s="165"/>
      <c r="F694" s="173"/>
      <c r="G694" s="168"/>
      <c r="H694" s="168"/>
      <c r="I694" s="169"/>
      <c r="J694" s="170"/>
      <c r="K694" s="170"/>
      <c r="L694" s="170"/>
      <c r="M694" s="167"/>
      <c r="N694" s="169"/>
      <c r="O694" s="171"/>
      <c r="P694" s="106"/>
      <c r="Q694" s="218"/>
      <c r="R694" s="172"/>
      <c r="S694" s="172"/>
      <c r="T694" s="173"/>
      <c r="U694" s="219"/>
      <c r="V694" s="219"/>
      <c r="W694" s="219"/>
      <c r="X694" s="219"/>
      <c r="Y694" s="219"/>
      <c r="Z694" s="219"/>
      <c r="AA694" s="219"/>
      <c r="AB694" s="219"/>
      <c r="AC694" s="219"/>
      <c r="AD694" s="219"/>
      <c r="AE694" s="219"/>
      <c r="AF694" s="219"/>
      <c r="AG694" s="219"/>
      <c r="AH694" s="219"/>
      <c r="AI694" s="219"/>
      <c r="AJ694" s="219"/>
      <c r="AK694" s="219"/>
      <c r="AL694" s="219"/>
      <c r="AM694" s="219"/>
      <c r="AN694" s="219"/>
      <c r="AO694" s="219"/>
      <c r="AP694" s="219"/>
      <c r="AQ694" s="219"/>
      <c r="AR694" s="219"/>
      <c r="AS694" s="219"/>
      <c r="AT694" s="219"/>
      <c r="AU694" s="219"/>
      <c r="AV694" s="219"/>
      <c r="AW694" s="219"/>
      <c r="AX694" s="219"/>
      <c r="AY694" s="219"/>
      <c r="AZ694" s="219"/>
      <c r="BA694" s="219"/>
      <c r="BB694" s="219"/>
      <c r="BC694" s="219"/>
      <c r="BD694" s="219"/>
      <c r="BE694" s="219"/>
      <c r="BF694" s="219"/>
      <c r="BG694" s="219"/>
      <c r="BH694" s="219"/>
      <c r="BI694" s="219"/>
      <c r="BJ694" s="219"/>
      <c r="BK694" s="219"/>
      <c r="BL694" s="219"/>
      <c r="BM694" s="219"/>
      <c r="BN694" s="219"/>
    </row>
    <row r="695" ht="29.25" hidden="1" customHeight="1">
      <c r="A695" s="216"/>
      <c r="B695" s="217"/>
      <c r="C695" s="164"/>
      <c r="D695" s="164"/>
      <c r="E695" s="165"/>
      <c r="F695" s="173"/>
      <c r="G695" s="168"/>
      <c r="H695" s="168"/>
      <c r="I695" s="169"/>
      <c r="J695" s="170"/>
      <c r="K695" s="170"/>
      <c r="L695" s="170"/>
      <c r="M695" s="167"/>
      <c r="N695" s="169"/>
      <c r="O695" s="171"/>
      <c r="P695" s="106"/>
      <c r="Q695" s="218"/>
      <c r="R695" s="172"/>
      <c r="S695" s="172"/>
      <c r="T695" s="173"/>
      <c r="U695" s="219"/>
      <c r="V695" s="219"/>
      <c r="W695" s="219"/>
      <c r="X695" s="219"/>
      <c r="Y695" s="219"/>
      <c r="Z695" s="219"/>
      <c r="AA695" s="219"/>
      <c r="AB695" s="219"/>
      <c r="AC695" s="219"/>
      <c r="AD695" s="219"/>
      <c r="AE695" s="219"/>
      <c r="AF695" s="219"/>
      <c r="AG695" s="219"/>
      <c r="AH695" s="219"/>
      <c r="AI695" s="219"/>
      <c r="AJ695" s="219"/>
      <c r="AK695" s="219"/>
      <c r="AL695" s="219"/>
      <c r="AM695" s="219"/>
      <c r="AN695" s="219"/>
      <c r="AO695" s="219"/>
      <c r="AP695" s="219"/>
      <c r="AQ695" s="219"/>
      <c r="AR695" s="219"/>
      <c r="AS695" s="219"/>
      <c r="AT695" s="219"/>
      <c r="AU695" s="219"/>
      <c r="AV695" s="219"/>
      <c r="AW695" s="219"/>
      <c r="AX695" s="219"/>
      <c r="AY695" s="219"/>
      <c r="AZ695" s="219"/>
      <c r="BA695" s="219"/>
      <c r="BB695" s="219"/>
      <c r="BC695" s="219"/>
      <c r="BD695" s="219"/>
      <c r="BE695" s="219"/>
      <c r="BF695" s="219"/>
      <c r="BG695" s="219"/>
      <c r="BH695" s="219"/>
      <c r="BI695" s="219"/>
      <c r="BJ695" s="219"/>
      <c r="BK695" s="219"/>
      <c r="BL695" s="219"/>
      <c r="BM695" s="219"/>
      <c r="BN695" s="219"/>
    </row>
    <row r="696" ht="29.25" hidden="1" customHeight="1">
      <c r="A696" s="216"/>
      <c r="B696" s="217"/>
      <c r="C696" s="164"/>
      <c r="D696" s="164"/>
      <c r="E696" s="165"/>
      <c r="F696" s="173"/>
      <c r="G696" s="168"/>
      <c r="H696" s="168"/>
      <c r="I696" s="169"/>
      <c r="J696" s="170"/>
      <c r="K696" s="170"/>
      <c r="L696" s="170"/>
      <c r="M696" s="167"/>
      <c r="N696" s="169"/>
      <c r="O696" s="171"/>
      <c r="P696" s="106"/>
      <c r="Q696" s="218"/>
      <c r="R696" s="172"/>
      <c r="S696" s="172"/>
      <c r="T696" s="173"/>
      <c r="U696" s="219"/>
      <c r="V696" s="219"/>
      <c r="W696" s="219"/>
      <c r="X696" s="219"/>
      <c r="Y696" s="219"/>
      <c r="Z696" s="219"/>
      <c r="AA696" s="219"/>
      <c r="AB696" s="219"/>
      <c r="AC696" s="219"/>
      <c r="AD696" s="219"/>
      <c r="AE696" s="219"/>
      <c r="AF696" s="219"/>
      <c r="AG696" s="219"/>
      <c r="AH696" s="219"/>
      <c r="AI696" s="219"/>
      <c r="AJ696" s="219"/>
      <c r="AK696" s="219"/>
      <c r="AL696" s="219"/>
      <c r="AM696" s="219"/>
      <c r="AN696" s="219"/>
      <c r="AO696" s="219"/>
      <c r="AP696" s="219"/>
      <c r="AQ696" s="219"/>
      <c r="AR696" s="219"/>
      <c r="AS696" s="219"/>
      <c r="AT696" s="219"/>
      <c r="AU696" s="219"/>
      <c r="AV696" s="219"/>
      <c r="AW696" s="219"/>
      <c r="AX696" s="219"/>
      <c r="AY696" s="219"/>
      <c r="AZ696" s="219"/>
      <c r="BA696" s="219"/>
      <c r="BB696" s="219"/>
      <c r="BC696" s="219"/>
      <c r="BD696" s="219"/>
      <c r="BE696" s="219"/>
      <c r="BF696" s="219"/>
      <c r="BG696" s="219"/>
      <c r="BH696" s="219"/>
      <c r="BI696" s="219"/>
      <c r="BJ696" s="219"/>
      <c r="BK696" s="219"/>
      <c r="BL696" s="219"/>
      <c r="BM696" s="219"/>
      <c r="BN696" s="219"/>
    </row>
    <row r="697" ht="29.25" hidden="1" customHeight="1">
      <c r="A697" s="216"/>
      <c r="B697" s="217"/>
      <c r="C697" s="164"/>
      <c r="D697" s="164"/>
      <c r="E697" s="165"/>
      <c r="F697" s="173"/>
      <c r="G697" s="168"/>
      <c r="H697" s="168"/>
      <c r="I697" s="169"/>
      <c r="J697" s="170"/>
      <c r="K697" s="170"/>
      <c r="L697" s="170"/>
      <c r="M697" s="167"/>
      <c r="N697" s="169"/>
      <c r="O697" s="171"/>
      <c r="P697" s="106"/>
      <c r="Q697" s="218"/>
      <c r="R697" s="172"/>
      <c r="S697" s="172"/>
      <c r="T697" s="173"/>
      <c r="U697" s="219"/>
      <c r="V697" s="219"/>
      <c r="W697" s="219"/>
      <c r="X697" s="219"/>
      <c r="Y697" s="219"/>
      <c r="Z697" s="219"/>
      <c r="AA697" s="219"/>
      <c r="AB697" s="219"/>
      <c r="AC697" s="219"/>
      <c r="AD697" s="219"/>
      <c r="AE697" s="219"/>
      <c r="AF697" s="219"/>
      <c r="AG697" s="219"/>
      <c r="AH697" s="219"/>
      <c r="AI697" s="219"/>
      <c r="AJ697" s="219"/>
      <c r="AK697" s="219"/>
      <c r="AL697" s="219"/>
      <c r="AM697" s="219"/>
      <c r="AN697" s="219"/>
      <c r="AO697" s="219"/>
      <c r="AP697" s="219"/>
      <c r="AQ697" s="219"/>
      <c r="AR697" s="219"/>
      <c r="AS697" s="219"/>
      <c r="AT697" s="219"/>
      <c r="AU697" s="219"/>
      <c r="AV697" s="219"/>
      <c r="AW697" s="219"/>
      <c r="AX697" s="219"/>
      <c r="AY697" s="219"/>
      <c r="AZ697" s="219"/>
      <c r="BA697" s="219"/>
      <c r="BB697" s="219"/>
      <c r="BC697" s="219"/>
      <c r="BD697" s="219"/>
      <c r="BE697" s="219"/>
      <c r="BF697" s="219"/>
      <c r="BG697" s="219"/>
      <c r="BH697" s="219"/>
      <c r="BI697" s="219"/>
      <c r="BJ697" s="219"/>
      <c r="BK697" s="219"/>
      <c r="BL697" s="219"/>
      <c r="BM697" s="219"/>
      <c r="BN697" s="219"/>
    </row>
    <row r="698" ht="29.25" hidden="1" customHeight="1">
      <c r="A698" s="216"/>
      <c r="B698" s="217"/>
      <c r="C698" s="164"/>
      <c r="D698" s="164"/>
      <c r="E698" s="165"/>
      <c r="F698" s="173"/>
      <c r="G698" s="168"/>
      <c r="H698" s="168"/>
      <c r="I698" s="169"/>
      <c r="J698" s="170"/>
      <c r="K698" s="170"/>
      <c r="L698" s="170"/>
      <c r="M698" s="167"/>
      <c r="N698" s="169"/>
      <c r="O698" s="171"/>
      <c r="P698" s="106"/>
      <c r="Q698" s="218"/>
      <c r="R698" s="172"/>
      <c r="S698" s="172"/>
      <c r="T698" s="173"/>
      <c r="U698" s="219"/>
      <c r="V698" s="219"/>
      <c r="W698" s="219"/>
      <c r="X698" s="219"/>
      <c r="Y698" s="219"/>
      <c r="Z698" s="219"/>
      <c r="AA698" s="219"/>
      <c r="AB698" s="219"/>
      <c r="AC698" s="219"/>
      <c r="AD698" s="219"/>
      <c r="AE698" s="219"/>
      <c r="AF698" s="219"/>
      <c r="AG698" s="219"/>
      <c r="AH698" s="219"/>
      <c r="AI698" s="219"/>
      <c r="AJ698" s="219"/>
      <c r="AK698" s="219"/>
      <c r="AL698" s="219"/>
      <c r="AM698" s="219"/>
      <c r="AN698" s="219"/>
      <c r="AO698" s="219"/>
      <c r="AP698" s="219"/>
      <c r="AQ698" s="219"/>
      <c r="AR698" s="219"/>
      <c r="AS698" s="219"/>
      <c r="AT698" s="219"/>
      <c r="AU698" s="219"/>
      <c r="AV698" s="219"/>
      <c r="AW698" s="219"/>
      <c r="AX698" s="219"/>
      <c r="AY698" s="219"/>
      <c r="AZ698" s="219"/>
      <c r="BA698" s="219"/>
      <c r="BB698" s="219"/>
      <c r="BC698" s="219"/>
      <c r="BD698" s="219"/>
      <c r="BE698" s="219"/>
      <c r="BF698" s="219"/>
      <c r="BG698" s="219"/>
      <c r="BH698" s="219"/>
      <c r="BI698" s="219"/>
      <c r="BJ698" s="219"/>
      <c r="BK698" s="219"/>
      <c r="BL698" s="219"/>
      <c r="BM698" s="219"/>
      <c r="BN698" s="219"/>
    </row>
    <row r="699" ht="29.25" hidden="1" customHeight="1">
      <c r="A699" s="216"/>
      <c r="B699" s="217"/>
      <c r="C699" s="164"/>
      <c r="D699" s="164"/>
      <c r="E699" s="165"/>
      <c r="F699" s="173"/>
      <c r="G699" s="168"/>
      <c r="H699" s="168"/>
      <c r="I699" s="169"/>
      <c r="J699" s="170"/>
      <c r="K699" s="170"/>
      <c r="L699" s="170"/>
      <c r="M699" s="167"/>
      <c r="N699" s="169"/>
      <c r="O699" s="171"/>
      <c r="P699" s="106"/>
      <c r="Q699" s="218"/>
      <c r="R699" s="172"/>
      <c r="S699" s="172"/>
      <c r="T699" s="173"/>
      <c r="U699" s="219"/>
      <c r="V699" s="219"/>
      <c r="W699" s="219"/>
      <c r="X699" s="219"/>
      <c r="Y699" s="219"/>
      <c r="Z699" s="219"/>
      <c r="AA699" s="219"/>
      <c r="AB699" s="219"/>
      <c r="AC699" s="219"/>
      <c r="AD699" s="219"/>
      <c r="AE699" s="219"/>
      <c r="AF699" s="219"/>
      <c r="AG699" s="219"/>
      <c r="AH699" s="219"/>
      <c r="AI699" s="219"/>
      <c r="AJ699" s="219"/>
      <c r="AK699" s="219"/>
      <c r="AL699" s="219"/>
      <c r="AM699" s="219"/>
      <c r="AN699" s="219"/>
      <c r="AO699" s="219"/>
      <c r="AP699" s="219"/>
      <c r="AQ699" s="219"/>
      <c r="AR699" s="219"/>
      <c r="AS699" s="219"/>
      <c r="AT699" s="219"/>
      <c r="AU699" s="219"/>
      <c r="AV699" s="219"/>
      <c r="AW699" s="219"/>
      <c r="AX699" s="219"/>
      <c r="AY699" s="219"/>
      <c r="AZ699" s="219"/>
      <c r="BA699" s="219"/>
      <c r="BB699" s="219"/>
      <c r="BC699" s="219"/>
      <c r="BD699" s="219"/>
      <c r="BE699" s="219"/>
      <c r="BF699" s="219"/>
      <c r="BG699" s="219"/>
      <c r="BH699" s="219"/>
      <c r="BI699" s="219"/>
      <c r="BJ699" s="219"/>
      <c r="BK699" s="219"/>
      <c r="BL699" s="219"/>
      <c r="BM699" s="219"/>
      <c r="BN699" s="219"/>
    </row>
    <row r="700" ht="29.25" hidden="1" customHeight="1">
      <c r="A700" s="216"/>
      <c r="B700" s="217"/>
      <c r="C700" s="164"/>
      <c r="D700" s="164"/>
      <c r="E700" s="165"/>
      <c r="F700" s="173"/>
      <c r="G700" s="168"/>
      <c r="H700" s="168"/>
      <c r="I700" s="169"/>
      <c r="J700" s="170"/>
      <c r="K700" s="170"/>
      <c r="L700" s="170"/>
      <c r="M700" s="167"/>
      <c r="N700" s="169"/>
      <c r="O700" s="171"/>
      <c r="P700" s="106"/>
      <c r="Q700" s="218"/>
      <c r="R700" s="172"/>
      <c r="S700" s="172"/>
      <c r="T700" s="173"/>
      <c r="U700" s="219"/>
      <c r="V700" s="219"/>
      <c r="W700" s="219"/>
      <c r="X700" s="219"/>
      <c r="Y700" s="219"/>
      <c r="Z700" s="219"/>
      <c r="AA700" s="219"/>
      <c r="AB700" s="219"/>
      <c r="AC700" s="219"/>
      <c r="AD700" s="219"/>
      <c r="AE700" s="219"/>
      <c r="AF700" s="219"/>
      <c r="AG700" s="219"/>
      <c r="AH700" s="219"/>
      <c r="AI700" s="219"/>
      <c r="AJ700" s="219"/>
      <c r="AK700" s="219"/>
      <c r="AL700" s="219"/>
      <c r="AM700" s="219"/>
      <c r="AN700" s="219"/>
      <c r="AO700" s="219"/>
      <c r="AP700" s="219"/>
      <c r="AQ700" s="219"/>
      <c r="AR700" s="219"/>
      <c r="AS700" s="219"/>
      <c r="AT700" s="219"/>
      <c r="AU700" s="219"/>
      <c r="AV700" s="219"/>
      <c r="AW700" s="219"/>
      <c r="AX700" s="219"/>
      <c r="AY700" s="219"/>
      <c r="AZ700" s="219"/>
      <c r="BA700" s="219"/>
      <c r="BB700" s="219"/>
      <c r="BC700" s="219"/>
      <c r="BD700" s="219"/>
      <c r="BE700" s="219"/>
      <c r="BF700" s="219"/>
      <c r="BG700" s="219"/>
      <c r="BH700" s="219"/>
      <c r="BI700" s="219"/>
      <c r="BJ700" s="219"/>
      <c r="BK700" s="219"/>
      <c r="BL700" s="219"/>
      <c r="BM700" s="219"/>
      <c r="BN700" s="219"/>
    </row>
    <row r="701" ht="29.25" hidden="1" customHeight="1">
      <c r="A701" s="216"/>
      <c r="B701" s="217"/>
      <c r="C701" s="164"/>
      <c r="D701" s="164"/>
      <c r="E701" s="165"/>
      <c r="F701" s="173"/>
      <c r="G701" s="168"/>
      <c r="H701" s="168"/>
      <c r="I701" s="169"/>
      <c r="J701" s="170"/>
      <c r="K701" s="170"/>
      <c r="L701" s="170"/>
      <c r="M701" s="167"/>
      <c r="N701" s="169"/>
      <c r="O701" s="171"/>
      <c r="P701" s="106"/>
      <c r="Q701" s="218"/>
      <c r="R701" s="172"/>
      <c r="S701" s="172"/>
      <c r="T701" s="173"/>
      <c r="U701" s="219"/>
      <c r="V701" s="219"/>
      <c r="W701" s="219"/>
      <c r="X701" s="219"/>
      <c r="Y701" s="219"/>
      <c r="Z701" s="219"/>
      <c r="AA701" s="219"/>
      <c r="AB701" s="219"/>
      <c r="AC701" s="219"/>
      <c r="AD701" s="219"/>
      <c r="AE701" s="219"/>
      <c r="AF701" s="219"/>
      <c r="AG701" s="219"/>
      <c r="AH701" s="219"/>
      <c r="AI701" s="219"/>
      <c r="AJ701" s="219"/>
      <c r="AK701" s="219"/>
      <c r="AL701" s="219"/>
      <c r="AM701" s="219"/>
      <c r="AN701" s="219"/>
      <c r="AO701" s="219"/>
      <c r="AP701" s="219"/>
      <c r="AQ701" s="219"/>
      <c r="AR701" s="219"/>
      <c r="AS701" s="219"/>
      <c r="AT701" s="219"/>
      <c r="AU701" s="219"/>
      <c r="AV701" s="219"/>
      <c r="AW701" s="219"/>
      <c r="AX701" s="219"/>
      <c r="AY701" s="219"/>
      <c r="AZ701" s="219"/>
      <c r="BA701" s="219"/>
      <c r="BB701" s="219"/>
      <c r="BC701" s="219"/>
      <c r="BD701" s="219"/>
      <c r="BE701" s="219"/>
      <c r="BF701" s="219"/>
      <c r="BG701" s="219"/>
      <c r="BH701" s="219"/>
      <c r="BI701" s="219"/>
      <c r="BJ701" s="219"/>
      <c r="BK701" s="219"/>
      <c r="BL701" s="219"/>
      <c r="BM701" s="219"/>
      <c r="BN701" s="219"/>
    </row>
    <row r="702" ht="29.25" hidden="1" customHeight="1">
      <c r="A702" s="216"/>
      <c r="B702" s="217"/>
      <c r="C702" s="164"/>
      <c r="D702" s="164"/>
      <c r="E702" s="165"/>
      <c r="F702" s="173"/>
      <c r="G702" s="168"/>
      <c r="H702" s="168"/>
      <c r="I702" s="169"/>
      <c r="J702" s="170"/>
      <c r="K702" s="170"/>
      <c r="L702" s="170"/>
      <c r="M702" s="167"/>
      <c r="N702" s="169"/>
      <c r="O702" s="171"/>
      <c r="P702" s="106"/>
      <c r="Q702" s="218"/>
      <c r="R702" s="172"/>
      <c r="S702" s="172"/>
      <c r="T702" s="173"/>
      <c r="U702" s="219"/>
      <c r="V702" s="219"/>
      <c r="W702" s="219"/>
      <c r="X702" s="219"/>
      <c r="Y702" s="219"/>
      <c r="Z702" s="219"/>
      <c r="AA702" s="219"/>
      <c r="AB702" s="219"/>
      <c r="AC702" s="219"/>
      <c r="AD702" s="219"/>
      <c r="AE702" s="219"/>
      <c r="AF702" s="219"/>
      <c r="AG702" s="219"/>
      <c r="AH702" s="219"/>
      <c r="AI702" s="219"/>
      <c r="AJ702" s="219"/>
      <c r="AK702" s="219"/>
      <c r="AL702" s="219"/>
      <c r="AM702" s="219"/>
      <c r="AN702" s="219"/>
      <c r="AO702" s="219"/>
      <c r="AP702" s="219"/>
      <c r="AQ702" s="219"/>
      <c r="AR702" s="219"/>
      <c r="AS702" s="219"/>
      <c r="AT702" s="219"/>
      <c r="AU702" s="219"/>
      <c r="AV702" s="219"/>
      <c r="AW702" s="219"/>
      <c r="AX702" s="219"/>
      <c r="AY702" s="219"/>
      <c r="AZ702" s="219"/>
      <c r="BA702" s="219"/>
      <c r="BB702" s="219"/>
      <c r="BC702" s="219"/>
      <c r="BD702" s="219"/>
      <c r="BE702" s="219"/>
      <c r="BF702" s="219"/>
      <c r="BG702" s="219"/>
      <c r="BH702" s="219"/>
      <c r="BI702" s="219"/>
      <c r="BJ702" s="219"/>
      <c r="BK702" s="219"/>
      <c r="BL702" s="219"/>
      <c r="BM702" s="219"/>
      <c r="BN702" s="219"/>
    </row>
    <row r="703" ht="29.25" hidden="1" customHeight="1">
      <c r="A703" s="216"/>
      <c r="B703" s="217"/>
      <c r="C703" s="164"/>
      <c r="D703" s="164"/>
      <c r="E703" s="165"/>
      <c r="F703" s="173"/>
      <c r="G703" s="168"/>
      <c r="H703" s="168"/>
      <c r="I703" s="169"/>
      <c r="J703" s="170"/>
      <c r="K703" s="170"/>
      <c r="L703" s="170"/>
      <c r="M703" s="167"/>
      <c r="N703" s="169"/>
      <c r="O703" s="171"/>
      <c r="P703" s="106"/>
      <c r="Q703" s="218"/>
      <c r="R703" s="172"/>
      <c r="S703" s="172"/>
      <c r="T703" s="173"/>
      <c r="U703" s="219"/>
      <c r="V703" s="219"/>
      <c r="W703" s="219"/>
      <c r="X703" s="219"/>
      <c r="Y703" s="219"/>
      <c r="Z703" s="219"/>
      <c r="AA703" s="219"/>
      <c r="AB703" s="219"/>
      <c r="AC703" s="219"/>
      <c r="AD703" s="219"/>
      <c r="AE703" s="219"/>
      <c r="AF703" s="219"/>
      <c r="AG703" s="219"/>
      <c r="AH703" s="219"/>
      <c r="AI703" s="219"/>
      <c r="AJ703" s="219"/>
      <c r="AK703" s="219"/>
      <c r="AL703" s="219"/>
      <c r="AM703" s="219"/>
      <c r="AN703" s="219"/>
      <c r="AO703" s="219"/>
      <c r="AP703" s="219"/>
      <c r="AQ703" s="219"/>
      <c r="AR703" s="219"/>
      <c r="AS703" s="219"/>
      <c r="AT703" s="219"/>
      <c r="AU703" s="219"/>
      <c r="AV703" s="219"/>
      <c r="AW703" s="219"/>
      <c r="AX703" s="219"/>
      <c r="AY703" s="219"/>
      <c r="AZ703" s="219"/>
      <c r="BA703" s="219"/>
      <c r="BB703" s="219"/>
      <c r="BC703" s="219"/>
      <c r="BD703" s="219"/>
      <c r="BE703" s="219"/>
      <c r="BF703" s="219"/>
      <c r="BG703" s="219"/>
      <c r="BH703" s="219"/>
      <c r="BI703" s="219"/>
      <c r="BJ703" s="219"/>
      <c r="BK703" s="219"/>
      <c r="BL703" s="219"/>
      <c r="BM703" s="219"/>
      <c r="BN703" s="219"/>
    </row>
    <row r="704" ht="29.25" hidden="1" customHeight="1">
      <c r="A704" s="216"/>
      <c r="B704" s="217"/>
      <c r="C704" s="164"/>
      <c r="D704" s="164"/>
      <c r="E704" s="165"/>
      <c r="F704" s="173"/>
      <c r="G704" s="168"/>
      <c r="H704" s="168"/>
      <c r="I704" s="169"/>
      <c r="J704" s="170"/>
      <c r="K704" s="170"/>
      <c r="L704" s="170"/>
      <c r="M704" s="167"/>
      <c r="N704" s="169"/>
      <c r="O704" s="171"/>
      <c r="P704" s="106"/>
      <c r="Q704" s="218"/>
      <c r="R704" s="172"/>
      <c r="S704" s="172"/>
      <c r="T704" s="173"/>
      <c r="U704" s="219"/>
      <c r="V704" s="219"/>
      <c r="W704" s="219"/>
      <c r="X704" s="219"/>
      <c r="Y704" s="219"/>
      <c r="Z704" s="219"/>
      <c r="AA704" s="219"/>
      <c r="AB704" s="219"/>
      <c r="AC704" s="219"/>
      <c r="AD704" s="219"/>
      <c r="AE704" s="219"/>
      <c r="AF704" s="219"/>
      <c r="AG704" s="219"/>
      <c r="AH704" s="219"/>
      <c r="AI704" s="219"/>
      <c r="AJ704" s="219"/>
      <c r="AK704" s="219"/>
      <c r="AL704" s="219"/>
      <c r="AM704" s="219"/>
      <c r="AN704" s="219"/>
      <c r="AO704" s="219"/>
      <c r="AP704" s="219"/>
      <c r="AQ704" s="219"/>
      <c r="AR704" s="219"/>
      <c r="AS704" s="219"/>
      <c r="AT704" s="219"/>
      <c r="AU704" s="219"/>
      <c r="AV704" s="219"/>
      <c r="AW704" s="219"/>
      <c r="AX704" s="219"/>
      <c r="AY704" s="219"/>
      <c r="AZ704" s="219"/>
      <c r="BA704" s="219"/>
      <c r="BB704" s="219"/>
      <c r="BC704" s="219"/>
      <c r="BD704" s="219"/>
      <c r="BE704" s="219"/>
      <c r="BF704" s="219"/>
      <c r="BG704" s="219"/>
      <c r="BH704" s="219"/>
      <c r="BI704" s="219"/>
      <c r="BJ704" s="219"/>
      <c r="BK704" s="219"/>
      <c r="BL704" s="219"/>
      <c r="BM704" s="219"/>
      <c r="BN704" s="219"/>
    </row>
    <row r="705" ht="29.25" hidden="1" customHeight="1">
      <c r="A705" s="216"/>
      <c r="B705" s="217"/>
      <c r="C705" s="164"/>
      <c r="D705" s="164"/>
      <c r="E705" s="165"/>
      <c r="F705" s="173"/>
      <c r="G705" s="168"/>
      <c r="H705" s="168"/>
      <c r="I705" s="169"/>
      <c r="J705" s="170"/>
      <c r="K705" s="170"/>
      <c r="L705" s="170"/>
      <c r="M705" s="167"/>
      <c r="N705" s="169"/>
      <c r="O705" s="171"/>
      <c r="P705" s="106"/>
      <c r="Q705" s="218"/>
      <c r="R705" s="172"/>
      <c r="S705" s="172"/>
      <c r="T705" s="173"/>
      <c r="U705" s="219"/>
      <c r="V705" s="219"/>
      <c r="W705" s="219"/>
      <c r="X705" s="219"/>
      <c r="Y705" s="219"/>
      <c r="Z705" s="219"/>
      <c r="AA705" s="219"/>
      <c r="AB705" s="219"/>
      <c r="AC705" s="219"/>
      <c r="AD705" s="219"/>
      <c r="AE705" s="219"/>
      <c r="AF705" s="219"/>
      <c r="AG705" s="219"/>
      <c r="AH705" s="219"/>
      <c r="AI705" s="219"/>
      <c r="AJ705" s="219"/>
      <c r="AK705" s="219"/>
      <c r="AL705" s="219"/>
      <c r="AM705" s="219"/>
      <c r="AN705" s="219"/>
      <c r="AO705" s="219"/>
      <c r="AP705" s="219"/>
      <c r="AQ705" s="219"/>
      <c r="AR705" s="219"/>
      <c r="AS705" s="219"/>
      <c r="AT705" s="219"/>
      <c r="AU705" s="219"/>
      <c r="AV705" s="219"/>
      <c r="AW705" s="219"/>
      <c r="AX705" s="219"/>
      <c r="AY705" s="219"/>
      <c r="AZ705" s="219"/>
      <c r="BA705" s="219"/>
      <c r="BB705" s="219"/>
      <c r="BC705" s="219"/>
      <c r="BD705" s="219"/>
      <c r="BE705" s="219"/>
      <c r="BF705" s="219"/>
      <c r="BG705" s="219"/>
      <c r="BH705" s="219"/>
      <c r="BI705" s="219"/>
      <c r="BJ705" s="219"/>
      <c r="BK705" s="219"/>
      <c r="BL705" s="219"/>
      <c r="BM705" s="219"/>
      <c r="BN705" s="219"/>
    </row>
    <row r="706" ht="29.25" hidden="1" customHeight="1">
      <c r="A706" s="216"/>
      <c r="B706" s="217"/>
      <c r="C706" s="164"/>
      <c r="D706" s="164"/>
      <c r="E706" s="165"/>
      <c r="F706" s="173"/>
      <c r="G706" s="168"/>
      <c r="H706" s="168"/>
      <c r="I706" s="169"/>
      <c r="J706" s="170"/>
      <c r="K706" s="170"/>
      <c r="L706" s="170"/>
      <c r="M706" s="167"/>
      <c r="N706" s="169"/>
      <c r="O706" s="171"/>
      <c r="P706" s="106"/>
      <c r="Q706" s="218"/>
      <c r="R706" s="172"/>
      <c r="S706" s="172"/>
      <c r="T706" s="173"/>
      <c r="U706" s="219"/>
      <c r="V706" s="219"/>
      <c r="W706" s="219"/>
      <c r="X706" s="219"/>
      <c r="Y706" s="219"/>
      <c r="Z706" s="219"/>
      <c r="AA706" s="219"/>
      <c r="AB706" s="219"/>
      <c r="AC706" s="219"/>
      <c r="AD706" s="219"/>
      <c r="AE706" s="219"/>
      <c r="AF706" s="219"/>
      <c r="AG706" s="219"/>
      <c r="AH706" s="219"/>
      <c r="AI706" s="219"/>
      <c r="AJ706" s="219"/>
      <c r="AK706" s="219"/>
      <c r="AL706" s="219"/>
      <c r="AM706" s="219"/>
      <c r="AN706" s="219"/>
      <c r="AO706" s="219"/>
      <c r="AP706" s="219"/>
      <c r="AQ706" s="219"/>
      <c r="AR706" s="219"/>
      <c r="AS706" s="219"/>
      <c r="AT706" s="219"/>
      <c r="AU706" s="219"/>
      <c r="AV706" s="219"/>
      <c r="AW706" s="219"/>
      <c r="AX706" s="219"/>
      <c r="AY706" s="219"/>
      <c r="AZ706" s="219"/>
      <c r="BA706" s="219"/>
      <c r="BB706" s="219"/>
      <c r="BC706" s="219"/>
      <c r="BD706" s="219"/>
      <c r="BE706" s="219"/>
      <c r="BF706" s="219"/>
      <c r="BG706" s="219"/>
      <c r="BH706" s="219"/>
      <c r="BI706" s="219"/>
      <c r="BJ706" s="219"/>
      <c r="BK706" s="219"/>
      <c r="BL706" s="219"/>
      <c r="BM706" s="219"/>
      <c r="BN706" s="219"/>
    </row>
    <row r="707" ht="29.25" hidden="1" customHeight="1">
      <c r="A707" s="216"/>
      <c r="B707" s="217"/>
      <c r="C707" s="164"/>
      <c r="D707" s="164"/>
      <c r="E707" s="165"/>
      <c r="F707" s="173"/>
      <c r="G707" s="168"/>
      <c r="H707" s="168"/>
      <c r="I707" s="169"/>
      <c r="J707" s="170"/>
      <c r="K707" s="170"/>
      <c r="L707" s="170"/>
      <c r="M707" s="167"/>
      <c r="N707" s="169"/>
      <c r="O707" s="171"/>
      <c r="P707" s="106"/>
      <c r="Q707" s="218"/>
      <c r="R707" s="172"/>
      <c r="S707" s="172"/>
      <c r="T707" s="173"/>
      <c r="U707" s="219"/>
      <c r="V707" s="219"/>
      <c r="W707" s="219"/>
      <c r="X707" s="219"/>
      <c r="Y707" s="219"/>
      <c r="Z707" s="219"/>
      <c r="AA707" s="219"/>
      <c r="AB707" s="219"/>
      <c r="AC707" s="219"/>
      <c r="AD707" s="219"/>
      <c r="AE707" s="219"/>
      <c r="AF707" s="219"/>
      <c r="AG707" s="219"/>
      <c r="AH707" s="219"/>
      <c r="AI707" s="219"/>
      <c r="AJ707" s="219"/>
      <c r="AK707" s="219"/>
      <c r="AL707" s="219"/>
      <c r="AM707" s="219"/>
      <c r="AN707" s="219"/>
      <c r="AO707" s="219"/>
      <c r="AP707" s="219"/>
      <c r="AQ707" s="219"/>
      <c r="AR707" s="219"/>
      <c r="AS707" s="219"/>
      <c r="AT707" s="219"/>
      <c r="AU707" s="219"/>
      <c r="AV707" s="219"/>
      <c r="AW707" s="219"/>
      <c r="AX707" s="219"/>
      <c r="AY707" s="219"/>
      <c r="AZ707" s="219"/>
      <c r="BA707" s="219"/>
      <c r="BB707" s="219"/>
      <c r="BC707" s="219"/>
      <c r="BD707" s="219"/>
      <c r="BE707" s="219"/>
      <c r="BF707" s="219"/>
      <c r="BG707" s="219"/>
      <c r="BH707" s="219"/>
      <c r="BI707" s="219"/>
      <c r="BJ707" s="219"/>
      <c r="BK707" s="219"/>
      <c r="BL707" s="219"/>
      <c r="BM707" s="219"/>
      <c r="BN707" s="219"/>
    </row>
    <row r="708" ht="29.25" hidden="1" customHeight="1">
      <c r="A708" s="216"/>
      <c r="B708" s="217"/>
      <c r="C708" s="164"/>
      <c r="D708" s="164"/>
      <c r="E708" s="165"/>
      <c r="F708" s="173"/>
      <c r="G708" s="168"/>
      <c r="H708" s="168"/>
      <c r="I708" s="169"/>
      <c r="J708" s="170"/>
      <c r="K708" s="170"/>
      <c r="L708" s="170"/>
      <c r="M708" s="167"/>
      <c r="N708" s="169"/>
      <c r="O708" s="171"/>
      <c r="P708" s="106"/>
      <c r="Q708" s="218"/>
      <c r="R708" s="172"/>
      <c r="S708" s="172"/>
      <c r="T708" s="173"/>
      <c r="U708" s="219"/>
      <c r="V708" s="219"/>
      <c r="W708" s="219"/>
      <c r="X708" s="219"/>
      <c r="Y708" s="219"/>
      <c r="Z708" s="219"/>
      <c r="AA708" s="219"/>
      <c r="AB708" s="219"/>
      <c r="AC708" s="219"/>
      <c r="AD708" s="219"/>
      <c r="AE708" s="219"/>
      <c r="AF708" s="219"/>
      <c r="AG708" s="219"/>
      <c r="AH708" s="219"/>
      <c r="AI708" s="219"/>
      <c r="AJ708" s="219"/>
      <c r="AK708" s="219"/>
      <c r="AL708" s="219"/>
      <c r="AM708" s="219"/>
      <c r="AN708" s="219"/>
      <c r="AO708" s="219"/>
      <c r="AP708" s="219"/>
      <c r="AQ708" s="219"/>
      <c r="AR708" s="219"/>
      <c r="AS708" s="219"/>
      <c r="AT708" s="219"/>
      <c r="AU708" s="219"/>
      <c r="AV708" s="219"/>
      <c r="AW708" s="219"/>
      <c r="AX708" s="219"/>
      <c r="AY708" s="219"/>
      <c r="AZ708" s="219"/>
      <c r="BA708" s="219"/>
      <c r="BB708" s="219"/>
      <c r="BC708" s="219"/>
      <c r="BD708" s="219"/>
      <c r="BE708" s="219"/>
      <c r="BF708" s="219"/>
      <c r="BG708" s="219"/>
      <c r="BH708" s="219"/>
      <c r="BI708" s="219"/>
      <c r="BJ708" s="219"/>
      <c r="BK708" s="219"/>
      <c r="BL708" s="219"/>
      <c r="BM708" s="219"/>
      <c r="BN708" s="219"/>
    </row>
    <row r="709" ht="29.25" hidden="1" customHeight="1">
      <c r="A709" s="216"/>
      <c r="B709" s="217"/>
      <c r="C709" s="164"/>
      <c r="D709" s="164"/>
      <c r="E709" s="165"/>
      <c r="F709" s="173"/>
      <c r="G709" s="168"/>
      <c r="H709" s="168"/>
      <c r="I709" s="169"/>
      <c r="J709" s="170"/>
      <c r="K709" s="170"/>
      <c r="L709" s="170"/>
      <c r="M709" s="167"/>
      <c r="N709" s="169"/>
      <c r="O709" s="171"/>
      <c r="P709" s="106"/>
      <c r="Q709" s="218"/>
      <c r="R709" s="172"/>
      <c r="S709" s="172"/>
      <c r="T709" s="173"/>
      <c r="U709" s="219"/>
      <c r="V709" s="219"/>
      <c r="W709" s="219"/>
      <c r="X709" s="219"/>
      <c r="Y709" s="219"/>
      <c r="Z709" s="219"/>
      <c r="AA709" s="219"/>
      <c r="AB709" s="219"/>
      <c r="AC709" s="219"/>
      <c r="AD709" s="219"/>
      <c r="AE709" s="219"/>
      <c r="AF709" s="219"/>
      <c r="AG709" s="219"/>
      <c r="AH709" s="219"/>
      <c r="AI709" s="219"/>
      <c r="AJ709" s="219"/>
      <c r="AK709" s="219"/>
      <c r="AL709" s="219"/>
      <c r="AM709" s="219"/>
      <c r="AN709" s="219"/>
      <c r="AO709" s="219"/>
      <c r="AP709" s="219"/>
      <c r="AQ709" s="219"/>
      <c r="AR709" s="219"/>
      <c r="AS709" s="219"/>
      <c r="AT709" s="219"/>
      <c r="AU709" s="219"/>
      <c r="AV709" s="219"/>
      <c r="AW709" s="219"/>
      <c r="AX709" s="219"/>
      <c r="AY709" s="219"/>
      <c r="AZ709" s="219"/>
      <c r="BA709" s="219"/>
      <c r="BB709" s="219"/>
      <c r="BC709" s="219"/>
      <c r="BD709" s="219"/>
      <c r="BE709" s="219"/>
      <c r="BF709" s="219"/>
      <c r="BG709" s="219"/>
      <c r="BH709" s="219"/>
      <c r="BI709" s="219"/>
      <c r="BJ709" s="219"/>
      <c r="BK709" s="219"/>
      <c r="BL709" s="219"/>
      <c r="BM709" s="219"/>
      <c r="BN709" s="219"/>
    </row>
    <row r="710" ht="29.25" hidden="1" customHeight="1">
      <c r="A710" s="216"/>
      <c r="B710" s="217"/>
      <c r="C710" s="164"/>
      <c r="D710" s="164"/>
      <c r="E710" s="165"/>
      <c r="F710" s="173"/>
      <c r="G710" s="168"/>
      <c r="H710" s="168"/>
      <c r="I710" s="169"/>
      <c r="J710" s="170"/>
      <c r="K710" s="170"/>
      <c r="L710" s="170"/>
      <c r="M710" s="167"/>
      <c r="N710" s="169"/>
      <c r="O710" s="171"/>
      <c r="P710" s="106"/>
      <c r="Q710" s="218"/>
      <c r="R710" s="172"/>
      <c r="S710" s="172"/>
      <c r="T710" s="173"/>
      <c r="U710" s="219"/>
      <c r="V710" s="219"/>
      <c r="W710" s="219"/>
      <c r="X710" s="219"/>
      <c r="Y710" s="219"/>
      <c r="Z710" s="219"/>
      <c r="AA710" s="219"/>
      <c r="AB710" s="219"/>
      <c r="AC710" s="219"/>
      <c r="AD710" s="219"/>
      <c r="AE710" s="219"/>
      <c r="AF710" s="219"/>
      <c r="AG710" s="219"/>
      <c r="AH710" s="219"/>
      <c r="AI710" s="219"/>
      <c r="AJ710" s="219"/>
      <c r="AK710" s="219"/>
      <c r="AL710" s="219"/>
      <c r="AM710" s="219"/>
      <c r="AN710" s="219"/>
      <c r="AO710" s="219"/>
      <c r="AP710" s="219"/>
      <c r="AQ710" s="219"/>
      <c r="AR710" s="219"/>
      <c r="AS710" s="219"/>
      <c r="AT710" s="219"/>
      <c r="AU710" s="219"/>
      <c r="AV710" s="219"/>
      <c r="AW710" s="219"/>
      <c r="AX710" s="219"/>
      <c r="AY710" s="219"/>
      <c r="AZ710" s="219"/>
      <c r="BA710" s="219"/>
      <c r="BB710" s="219"/>
      <c r="BC710" s="219"/>
      <c r="BD710" s="219"/>
      <c r="BE710" s="219"/>
      <c r="BF710" s="219"/>
      <c r="BG710" s="219"/>
      <c r="BH710" s="219"/>
      <c r="BI710" s="219"/>
      <c r="BJ710" s="219"/>
      <c r="BK710" s="219"/>
      <c r="BL710" s="219"/>
      <c r="BM710" s="219"/>
      <c r="BN710" s="219"/>
    </row>
    <row r="711" ht="29.25" hidden="1" customHeight="1">
      <c r="A711" s="216"/>
      <c r="B711" s="217"/>
      <c r="C711" s="164"/>
      <c r="D711" s="164"/>
      <c r="E711" s="165"/>
      <c r="F711" s="173"/>
      <c r="G711" s="168"/>
      <c r="H711" s="168"/>
      <c r="I711" s="169"/>
      <c r="J711" s="170"/>
      <c r="K711" s="170"/>
      <c r="L711" s="170"/>
      <c r="M711" s="167"/>
      <c r="N711" s="169"/>
      <c r="O711" s="171"/>
      <c r="P711" s="106"/>
      <c r="Q711" s="218"/>
      <c r="R711" s="172"/>
      <c r="S711" s="172"/>
      <c r="T711" s="173"/>
      <c r="U711" s="219"/>
      <c r="V711" s="219"/>
      <c r="W711" s="219"/>
      <c r="X711" s="219"/>
      <c r="Y711" s="219"/>
      <c r="Z711" s="219"/>
      <c r="AA711" s="219"/>
      <c r="AB711" s="219"/>
      <c r="AC711" s="219"/>
      <c r="AD711" s="219"/>
      <c r="AE711" s="219"/>
      <c r="AF711" s="219"/>
      <c r="AG711" s="219"/>
      <c r="AH711" s="219"/>
      <c r="AI711" s="219"/>
      <c r="AJ711" s="219"/>
      <c r="AK711" s="219"/>
      <c r="AL711" s="219"/>
      <c r="AM711" s="219"/>
      <c r="AN711" s="219"/>
      <c r="AO711" s="219"/>
      <c r="AP711" s="219"/>
      <c r="AQ711" s="219"/>
      <c r="AR711" s="219"/>
      <c r="AS711" s="219"/>
      <c r="AT711" s="219"/>
      <c r="AU711" s="219"/>
      <c r="AV711" s="219"/>
      <c r="AW711" s="219"/>
      <c r="AX711" s="219"/>
      <c r="AY711" s="219"/>
      <c r="AZ711" s="219"/>
      <c r="BA711" s="219"/>
      <c r="BB711" s="219"/>
      <c r="BC711" s="219"/>
      <c r="BD711" s="219"/>
      <c r="BE711" s="219"/>
      <c r="BF711" s="219"/>
      <c r="BG711" s="219"/>
      <c r="BH711" s="219"/>
      <c r="BI711" s="219"/>
      <c r="BJ711" s="219"/>
      <c r="BK711" s="219"/>
      <c r="BL711" s="219"/>
      <c r="BM711" s="219"/>
      <c r="BN711" s="219"/>
    </row>
    <row r="712" ht="29.25" hidden="1" customHeight="1">
      <c r="A712" s="216"/>
      <c r="B712" s="217"/>
      <c r="C712" s="164"/>
      <c r="D712" s="164"/>
      <c r="E712" s="165"/>
      <c r="F712" s="173"/>
      <c r="G712" s="168"/>
      <c r="H712" s="168"/>
      <c r="I712" s="169"/>
      <c r="J712" s="170"/>
      <c r="K712" s="170"/>
      <c r="L712" s="170"/>
      <c r="M712" s="167"/>
      <c r="N712" s="169"/>
      <c r="O712" s="171"/>
      <c r="P712" s="106"/>
      <c r="Q712" s="218"/>
      <c r="R712" s="172"/>
      <c r="S712" s="172"/>
      <c r="T712" s="173"/>
      <c r="U712" s="219"/>
      <c r="V712" s="219"/>
      <c r="W712" s="219"/>
      <c r="X712" s="219"/>
      <c r="Y712" s="219"/>
      <c r="Z712" s="219"/>
      <c r="AA712" s="219"/>
      <c r="AB712" s="219"/>
      <c r="AC712" s="219"/>
      <c r="AD712" s="219"/>
      <c r="AE712" s="219"/>
      <c r="AF712" s="219"/>
      <c r="AG712" s="219"/>
      <c r="AH712" s="219"/>
      <c r="AI712" s="219"/>
      <c r="AJ712" s="219"/>
      <c r="AK712" s="219"/>
      <c r="AL712" s="219"/>
      <c r="AM712" s="219"/>
      <c r="AN712" s="219"/>
      <c r="AO712" s="219"/>
      <c r="AP712" s="219"/>
      <c r="AQ712" s="219"/>
      <c r="AR712" s="219"/>
      <c r="AS712" s="219"/>
      <c r="AT712" s="219"/>
      <c r="AU712" s="219"/>
      <c r="AV712" s="219"/>
      <c r="AW712" s="219"/>
      <c r="AX712" s="219"/>
      <c r="AY712" s="219"/>
      <c r="AZ712" s="219"/>
      <c r="BA712" s="219"/>
      <c r="BB712" s="219"/>
      <c r="BC712" s="219"/>
      <c r="BD712" s="219"/>
      <c r="BE712" s="219"/>
      <c r="BF712" s="219"/>
      <c r="BG712" s="219"/>
      <c r="BH712" s="219"/>
      <c r="BI712" s="219"/>
      <c r="BJ712" s="219"/>
      <c r="BK712" s="219"/>
      <c r="BL712" s="219"/>
      <c r="BM712" s="219"/>
      <c r="BN712" s="219"/>
    </row>
    <row r="713" ht="29.25" hidden="1" customHeight="1">
      <c r="A713" s="216"/>
      <c r="B713" s="217"/>
      <c r="C713" s="164"/>
      <c r="D713" s="164"/>
      <c r="E713" s="165"/>
      <c r="F713" s="173"/>
      <c r="G713" s="168"/>
      <c r="H713" s="168"/>
      <c r="I713" s="169"/>
      <c r="J713" s="170"/>
      <c r="K713" s="170"/>
      <c r="L713" s="170"/>
      <c r="M713" s="167"/>
      <c r="N713" s="169"/>
      <c r="O713" s="171"/>
      <c r="P713" s="106"/>
      <c r="Q713" s="218"/>
      <c r="R713" s="172"/>
      <c r="S713" s="172"/>
      <c r="T713" s="173"/>
      <c r="U713" s="219"/>
      <c r="V713" s="219"/>
      <c r="W713" s="219"/>
      <c r="X713" s="219"/>
      <c r="Y713" s="219"/>
      <c r="Z713" s="219"/>
      <c r="AA713" s="219"/>
      <c r="AB713" s="219"/>
      <c r="AC713" s="219"/>
      <c r="AD713" s="219"/>
      <c r="AE713" s="219"/>
      <c r="AF713" s="219"/>
      <c r="AG713" s="219"/>
      <c r="AH713" s="219"/>
      <c r="AI713" s="219"/>
      <c r="AJ713" s="219"/>
      <c r="AK713" s="219"/>
      <c r="AL713" s="219"/>
      <c r="AM713" s="219"/>
      <c r="AN713" s="219"/>
      <c r="AO713" s="219"/>
      <c r="AP713" s="219"/>
      <c r="AQ713" s="219"/>
      <c r="AR713" s="219"/>
      <c r="AS713" s="219"/>
      <c r="AT713" s="219"/>
      <c r="AU713" s="219"/>
      <c r="AV713" s="219"/>
      <c r="AW713" s="219"/>
      <c r="AX713" s="219"/>
      <c r="AY713" s="219"/>
      <c r="AZ713" s="219"/>
      <c r="BA713" s="219"/>
      <c r="BB713" s="219"/>
      <c r="BC713" s="219"/>
      <c r="BD713" s="219"/>
      <c r="BE713" s="219"/>
      <c r="BF713" s="219"/>
      <c r="BG713" s="219"/>
      <c r="BH713" s="219"/>
      <c r="BI713" s="219"/>
      <c r="BJ713" s="219"/>
      <c r="BK713" s="219"/>
      <c r="BL713" s="219"/>
      <c r="BM713" s="219"/>
      <c r="BN713" s="219"/>
    </row>
    <row r="714" ht="29.25" hidden="1" customHeight="1">
      <c r="A714" s="216"/>
      <c r="B714" s="217"/>
      <c r="C714" s="164"/>
      <c r="D714" s="164"/>
      <c r="E714" s="165"/>
      <c r="F714" s="173"/>
      <c r="G714" s="168"/>
      <c r="H714" s="168"/>
      <c r="I714" s="169"/>
      <c r="J714" s="170"/>
      <c r="K714" s="170"/>
      <c r="L714" s="170"/>
      <c r="M714" s="167"/>
      <c r="N714" s="169"/>
      <c r="O714" s="171"/>
      <c r="P714" s="106"/>
      <c r="Q714" s="218"/>
      <c r="R714" s="172"/>
      <c r="S714" s="172"/>
      <c r="T714" s="173"/>
      <c r="U714" s="219"/>
      <c r="V714" s="219"/>
      <c r="W714" s="219"/>
      <c r="X714" s="219"/>
      <c r="Y714" s="219"/>
      <c r="Z714" s="219"/>
      <c r="AA714" s="219"/>
      <c r="AB714" s="219"/>
      <c r="AC714" s="219"/>
      <c r="AD714" s="219"/>
      <c r="AE714" s="219"/>
      <c r="AF714" s="219"/>
      <c r="AG714" s="219"/>
      <c r="AH714" s="219"/>
      <c r="AI714" s="219"/>
      <c r="AJ714" s="219"/>
      <c r="AK714" s="219"/>
      <c r="AL714" s="219"/>
      <c r="AM714" s="219"/>
      <c r="AN714" s="219"/>
      <c r="AO714" s="219"/>
      <c r="AP714" s="219"/>
      <c r="AQ714" s="219"/>
      <c r="AR714" s="219"/>
      <c r="AS714" s="219"/>
      <c r="AT714" s="219"/>
      <c r="AU714" s="219"/>
      <c r="AV714" s="219"/>
      <c r="AW714" s="219"/>
      <c r="AX714" s="219"/>
      <c r="AY714" s="219"/>
      <c r="AZ714" s="219"/>
      <c r="BA714" s="219"/>
      <c r="BB714" s="219"/>
      <c r="BC714" s="219"/>
      <c r="BD714" s="219"/>
      <c r="BE714" s="219"/>
      <c r="BF714" s="219"/>
      <c r="BG714" s="219"/>
      <c r="BH714" s="219"/>
      <c r="BI714" s="219"/>
      <c r="BJ714" s="219"/>
      <c r="BK714" s="219"/>
      <c r="BL714" s="219"/>
      <c r="BM714" s="219"/>
      <c r="BN714" s="219"/>
    </row>
    <row r="715" ht="29.25" hidden="1" customHeight="1">
      <c r="A715" s="216"/>
      <c r="B715" s="217"/>
      <c r="C715" s="164"/>
      <c r="D715" s="164"/>
      <c r="E715" s="165"/>
      <c r="F715" s="173"/>
      <c r="G715" s="168"/>
      <c r="H715" s="168"/>
      <c r="I715" s="169"/>
      <c r="J715" s="170"/>
      <c r="K715" s="170"/>
      <c r="L715" s="170"/>
      <c r="M715" s="167"/>
      <c r="N715" s="169"/>
      <c r="O715" s="171"/>
      <c r="P715" s="106"/>
      <c r="Q715" s="218"/>
      <c r="R715" s="172"/>
      <c r="S715" s="172"/>
      <c r="T715" s="173"/>
      <c r="U715" s="219"/>
      <c r="V715" s="219"/>
      <c r="W715" s="219"/>
      <c r="X715" s="219"/>
      <c r="Y715" s="219"/>
      <c r="Z715" s="219"/>
      <c r="AA715" s="219"/>
      <c r="AB715" s="219"/>
      <c r="AC715" s="219"/>
      <c r="AD715" s="219"/>
      <c r="AE715" s="219"/>
      <c r="AF715" s="219"/>
      <c r="AG715" s="219"/>
      <c r="AH715" s="219"/>
      <c r="AI715" s="219"/>
      <c r="AJ715" s="219"/>
      <c r="AK715" s="219"/>
      <c r="AL715" s="219"/>
      <c r="AM715" s="219"/>
      <c r="AN715" s="219"/>
      <c r="AO715" s="219"/>
      <c r="AP715" s="219"/>
      <c r="AQ715" s="219"/>
      <c r="AR715" s="219"/>
      <c r="AS715" s="219"/>
      <c r="AT715" s="219"/>
      <c r="AU715" s="219"/>
      <c r="AV715" s="219"/>
      <c r="AW715" s="219"/>
      <c r="AX715" s="219"/>
      <c r="AY715" s="219"/>
      <c r="AZ715" s="219"/>
      <c r="BA715" s="219"/>
      <c r="BB715" s="219"/>
      <c r="BC715" s="219"/>
      <c r="BD715" s="219"/>
      <c r="BE715" s="219"/>
      <c r="BF715" s="219"/>
      <c r="BG715" s="219"/>
      <c r="BH715" s="219"/>
      <c r="BI715" s="219"/>
      <c r="BJ715" s="219"/>
      <c r="BK715" s="219"/>
      <c r="BL715" s="219"/>
      <c r="BM715" s="219"/>
      <c r="BN715" s="219"/>
    </row>
    <row r="716" ht="29.25" hidden="1" customHeight="1">
      <c r="A716" s="216"/>
      <c r="B716" s="217"/>
      <c r="C716" s="164"/>
      <c r="D716" s="164"/>
      <c r="E716" s="165"/>
      <c r="F716" s="173"/>
      <c r="G716" s="168"/>
      <c r="H716" s="168"/>
      <c r="I716" s="169"/>
      <c r="J716" s="170"/>
      <c r="K716" s="170"/>
      <c r="L716" s="170"/>
      <c r="M716" s="167"/>
      <c r="N716" s="169"/>
      <c r="O716" s="171"/>
      <c r="P716" s="106"/>
      <c r="Q716" s="218"/>
      <c r="R716" s="172"/>
      <c r="S716" s="172"/>
      <c r="T716" s="173"/>
      <c r="U716" s="219"/>
      <c r="V716" s="219"/>
      <c r="W716" s="219"/>
      <c r="X716" s="219"/>
      <c r="Y716" s="219"/>
      <c r="Z716" s="219"/>
      <c r="AA716" s="219"/>
      <c r="AB716" s="219"/>
      <c r="AC716" s="219"/>
      <c r="AD716" s="219"/>
      <c r="AE716" s="219"/>
      <c r="AF716" s="219"/>
      <c r="AG716" s="219"/>
      <c r="AH716" s="219"/>
      <c r="AI716" s="219"/>
      <c r="AJ716" s="219"/>
      <c r="AK716" s="219"/>
      <c r="AL716" s="219"/>
      <c r="AM716" s="219"/>
      <c r="AN716" s="219"/>
      <c r="AO716" s="219"/>
      <c r="AP716" s="219"/>
      <c r="AQ716" s="219"/>
      <c r="AR716" s="219"/>
      <c r="AS716" s="219"/>
      <c r="AT716" s="219"/>
      <c r="AU716" s="219"/>
      <c r="AV716" s="219"/>
      <c r="AW716" s="219"/>
      <c r="AX716" s="219"/>
      <c r="AY716" s="219"/>
      <c r="AZ716" s="219"/>
      <c r="BA716" s="219"/>
      <c r="BB716" s="219"/>
      <c r="BC716" s="219"/>
      <c r="BD716" s="219"/>
      <c r="BE716" s="219"/>
      <c r="BF716" s="219"/>
      <c r="BG716" s="219"/>
      <c r="BH716" s="219"/>
      <c r="BI716" s="219"/>
      <c r="BJ716" s="219"/>
      <c r="BK716" s="219"/>
      <c r="BL716" s="219"/>
      <c r="BM716" s="219"/>
      <c r="BN716" s="219"/>
    </row>
    <row r="717" ht="29.25" hidden="1" customHeight="1">
      <c r="A717" s="216"/>
      <c r="B717" s="217"/>
      <c r="C717" s="164"/>
      <c r="D717" s="164"/>
      <c r="E717" s="165"/>
      <c r="F717" s="173"/>
      <c r="G717" s="168"/>
      <c r="H717" s="168"/>
      <c r="I717" s="169"/>
      <c r="J717" s="170"/>
      <c r="K717" s="170"/>
      <c r="L717" s="170"/>
      <c r="M717" s="167"/>
      <c r="N717" s="169"/>
      <c r="O717" s="171"/>
      <c r="P717" s="106"/>
      <c r="Q717" s="218"/>
      <c r="R717" s="172"/>
      <c r="S717" s="172"/>
      <c r="T717" s="173"/>
      <c r="U717" s="219"/>
      <c r="V717" s="219"/>
      <c r="W717" s="219"/>
      <c r="X717" s="219"/>
      <c r="Y717" s="219"/>
      <c r="Z717" s="219"/>
      <c r="AA717" s="219"/>
      <c r="AB717" s="219"/>
      <c r="AC717" s="219"/>
      <c r="AD717" s="219"/>
      <c r="AE717" s="219"/>
      <c r="AF717" s="219"/>
      <c r="AG717" s="219"/>
      <c r="AH717" s="219"/>
      <c r="AI717" s="219"/>
      <c r="AJ717" s="219"/>
      <c r="AK717" s="219"/>
      <c r="AL717" s="219"/>
      <c r="AM717" s="219"/>
      <c r="AN717" s="219"/>
      <c r="AO717" s="219"/>
      <c r="AP717" s="219"/>
      <c r="AQ717" s="219"/>
      <c r="AR717" s="219"/>
      <c r="AS717" s="219"/>
      <c r="AT717" s="219"/>
      <c r="AU717" s="219"/>
      <c r="AV717" s="219"/>
      <c r="AW717" s="219"/>
      <c r="AX717" s="219"/>
      <c r="AY717" s="219"/>
      <c r="AZ717" s="219"/>
      <c r="BA717" s="219"/>
      <c r="BB717" s="219"/>
      <c r="BC717" s="219"/>
      <c r="BD717" s="219"/>
      <c r="BE717" s="219"/>
      <c r="BF717" s="219"/>
      <c r="BG717" s="219"/>
      <c r="BH717" s="219"/>
      <c r="BI717" s="219"/>
      <c r="BJ717" s="219"/>
      <c r="BK717" s="219"/>
      <c r="BL717" s="219"/>
      <c r="BM717" s="219"/>
      <c r="BN717" s="219"/>
    </row>
    <row r="718" ht="29.25" hidden="1" customHeight="1">
      <c r="A718" s="216"/>
      <c r="B718" s="217"/>
      <c r="C718" s="164"/>
      <c r="D718" s="164"/>
      <c r="E718" s="165"/>
      <c r="F718" s="173"/>
      <c r="G718" s="168"/>
      <c r="H718" s="168"/>
      <c r="I718" s="169"/>
      <c r="J718" s="170"/>
      <c r="K718" s="170"/>
      <c r="L718" s="170"/>
      <c r="M718" s="167"/>
      <c r="N718" s="169"/>
      <c r="O718" s="171"/>
      <c r="P718" s="106"/>
      <c r="Q718" s="218"/>
      <c r="R718" s="172"/>
      <c r="S718" s="172"/>
      <c r="T718" s="173"/>
      <c r="U718" s="219"/>
      <c r="V718" s="219"/>
      <c r="W718" s="219"/>
      <c r="X718" s="219"/>
      <c r="Y718" s="219"/>
      <c r="Z718" s="219"/>
      <c r="AA718" s="219"/>
      <c r="AB718" s="219"/>
      <c r="AC718" s="219"/>
      <c r="AD718" s="219"/>
      <c r="AE718" s="219"/>
      <c r="AF718" s="219"/>
      <c r="AG718" s="219"/>
      <c r="AH718" s="219"/>
      <c r="AI718" s="219"/>
      <c r="AJ718" s="219"/>
      <c r="AK718" s="219"/>
      <c r="AL718" s="219"/>
      <c r="AM718" s="219"/>
      <c r="AN718" s="219"/>
      <c r="AO718" s="219"/>
      <c r="AP718" s="219"/>
      <c r="AQ718" s="219"/>
      <c r="AR718" s="219"/>
      <c r="AS718" s="219"/>
      <c r="AT718" s="219"/>
      <c r="AU718" s="219"/>
      <c r="AV718" s="219"/>
      <c r="AW718" s="219"/>
      <c r="AX718" s="219"/>
      <c r="AY718" s="219"/>
      <c r="AZ718" s="219"/>
      <c r="BA718" s="219"/>
      <c r="BB718" s="219"/>
      <c r="BC718" s="219"/>
      <c r="BD718" s="219"/>
      <c r="BE718" s="219"/>
      <c r="BF718" s="219"/>
      <c r="BG718" s="219"/>
      <c r="BH718" s="219"/>
      <c r="BI718" s="219"/>
      <c r="BJ718" s="219"/>
      <c r="BK718" s="219"/>
      <c r="BL718" s="219"/>
      <c r="BM718" s="219"/>
      <c r="BN718" s="219"/>
    </row>
    <row r="719" ht="29.25" hidden="1" customHeight="1">
      <c r="A719" s="216"/>
      <c r="B719" s="217"/>
      <c r="C719" s="164"/>
      <c r="D719" s="164"/>
      <c r="E719" s="165"/>
      <c r="F719" s="173"/>
      <c r="G719" s="168"/>
      <c r="H719" s="168"/>
      <c r="I719" s="169"/>
      <c r="J719" s="170"/>
      <c r="K719" s="170"/>
      <c r="L719" s="170"/>
      <c r="M719" s="167"/>
      <c r="N719" s="169"/>
      <c r="O719" s="171"/>
      <c r="P719" s="106"/>
      <c r="Q719" s="218"/>
      <c r="R719" s="172"/>
      <c r="S719" s="172"/>
      <c r="T719" s="173"/>
      <c r="U719" s="219"/>
      <c r="V719" s="219"/>
      <c r="W719" s="219"/>
      <c r="X719" s="219"/>
      <c r="Y719" s="219"/>
      <c r="Z719" s="219"/>
      <c r="AA719" s="219"/>
      <c r="AB719" s="219"/>
      <c r="AC719" s="219"/>
      <c r="AD719" s="219"/>
      <c r="AE719" s="219"/>
      <c r="AF719" s="219"/>
      <c r="AG719" s="219"/>
      <c r="AH719" s="219"/>
      <c r="AI719" s="219"/>
      <c r="AJ719" s="219"/>
      <c r="AK719" s="219"/>
      <c r="AL719" s="219"/>
      <c r="AM719" s="219"/>
      <c r="AN719" s="219"/>
      <c r="AO719" s="219"/>
      <c r="AP719" s="219"/>
      <c r="AQ719" s="219"/>
      <c r="AR719" s="219"/>
      <c r="AS719" s="219"/>
      <c r="AT719" s="219"/>
      <c r="AU719" s="219"/>
      <c r="AV719" s="219"/>
      <c r="AW719" s="219"/>
      <c r="AX719" s="219"/>
      <c r="AY719" s="219"/>
      <c r="AZ719" s="219"/>
      <c r="BA719" s="219"/>
      <c r="BB719" s="219"/>
      <c r="BC719" s="219"/>
      <c r="BD719" s="219"/>
      <c r="BE719" s="219"/>
      <c r="BF719" s="219"/>
      <c r="BG719" s="219"/>
      <c r="BH719" s="219"/>
      <c r="BI719" s="219"/>
      <c r="BJ719" s="219"/>
      <c r="BK719" s="219"/>
      <c r="BL719" s="219"/>
      <c r="BM719" s="219"/>
      <c r="BN719" s="219"/>
    </row>
    <row r="720" ht="29.25" hidden="1" customHeight="1">
      <c r="A720" s="216"/>
      <c r="B720" s="217"/>
      <c r="C720" s="164"/>
      <c r="D720" s="164"/>
      <c r="E720" s="165"/>
      <c r="F720" s="173"/>
      <c r="G720" s="168"/>
      <c r="H720" s="168"/>
      <c r="I720" s="169"/>
      <c r="J720" s="170"/>
      <c r="K720" s="170"/>
      <c r="L720" s="170"/>
      <c r="M720" s="167"/>
      <c r="N720" s="169"/>
      <c r="O720" s="171"/>
      <c r="P720" s="106"/>
      <c r="Q720" s="218"/>
      <c r="R720" s="172"/>
      <c r="S720" s="172"/>
      <c r="T720" s="173"/>
      <c r="U720" s="219"/>
      <c r="V720" s="219"/>
      <c r="W720" s="219"/>
      <c r="X720" s="219"/>
      <c r="Y720" s="219"/>
      <c r="Z720" s="219"/>
      <c r="AA720" s="219"/>
      <c r="AB720" s="219"/>
      <c r="AC720" s="219"/>
      <c r="AD720" s="219"/>
      <c r="AE720" s="219"/>
      <c r="AF720" s="219"/>
      <c r="AG720" s="219"/>
      <c r="AH720" s="219"/>
      <c r="AI720" s="219"/>
      <c r="AJ720" s="219"/>
      <c r="AK720" s="219"/>
      <c r="AL720" s="219"/>
      <c r="AM720" s="219"/>
      <c r="AN720" s="219"/>
      <c r="AO720" s="219"/>
      <c r="AP720" s="219"/>
      <c r="AQ720" s="219"/>
      <c r="AR720" s="219"/>
      <c r="AS720" s="219"/>
      <c r="AT720" s="219"/>
      <c r="AU720" s="219"/>
      <c r="AV720" s="219"/>
      <c r="AW720" s="219"/>
      <c r="AX720" s="219"/>
      <c r="AY720" s="219"/>
      <c r="AZ720" s="219"/>
      <c r="BA720" s="219"/>
      <c r="BB720" s="219"/>
      <c r="BC720" s="219"/>
      <c r="BD720" s="219"/>
      <c r="BE720" s="219"/>
      <c r="BF720" s="219"/>
      <c r="BG720" s="219"/>
      <c r="BH720" s="219"/>
      <c r="BI720" s="219"/>
      <c r="BJ720" s="219"/>
      <c r="BK720" s="219"/>
      <c r="BL720" s="219"/>
      <c r="BM720" s="219"/>
      <c r="BN720" s="219"/>
    </row>
    <row r="721" ht="29.25" hidden="1" customHeight="1">
      <c r="A721" s="216"/>
      <c r="B721" s="217"/>
      <c r="C721" s="164"/>
      <c r="D721" s="164"/>
      <c r="E721" s="165"/>
      <c r="F721" s="173"/>
      <c r="G721" s="168"/>
      <c r="H721" s="168"/>
      <c r="I721" s="169"/>
      <c r="J721" s="170"/>
      <c r="K721" s="170"/>
      <c r="L721" s="170"/>
      <c r="M721" s="167"/>
      <c r="N721" s="169"/>
      <c r="O721" s="171"/>
      <c r="P721" s="106"/>
      <c r="Q721" s="218"/>
      <c r="R721" s="172"/>
      <c r="S721" s="172"/>
      <c r="T721" s="173"/>
      <c r="U721" s="219"/>
      <c r="V721" s="219"/>
      <c r="W721" s="219"/>
      <c r="X721" s="219"/>
      <c r="Y721" s="219"/>
      <c r="Z721" s="219"/>
      <c r="AA721" s="219"/>
      <c r="AB721" s="219"/>
      <c r="AC721" s="219"/>
      <c r="AD721" s="219"/>
      <c r="AE721" s="219"/>
      <c r="AF721" s="219"/>
      <c r="AG721" s="219"/>
      <c r="AH721" s="219"/>
      <c r="AI721" s="219"/>
      <c r="AJ721" s="219"/>
      <c r="AK721" s="219"/>
      <c r="AL721" s="219"/>
      <c r="AM721" s="219"/>
      <c r="AN721" s="219"/>
      <c r="AO721" s="219"/>
      <c r="AP721" s="219"/>
      <c r="AQ721" s="219"/>
      <c r="AR721" s="219"/>
      <c r="AS721" s="219"/>
      <c r="AT721" s="219"/>
      <c r="AU721" s="219"/>
      <c r="AV721" s="219"/>
      <c r="AW721" s="219"/>
      <c r="AX721" s="219"/>
      <c r="AY721" s="219"/>
      <c r="AZ721" s="219"/>
      <c r="BA721" s="219"/>
      <c r="BB721" s="219"/>
      <c r="BC721" s="219"/>
      <c r="BD721" s="219"/>
      <c r="BE721" s="219"/>
      <c r="BF721" s="219"/>
      <c r="BG721" s="219"/>
      <c r="BH721" s="219"/>
      <c r="BI721" s="219"/>
      <c r="BJ721" s="219"/>
      <c r="BK721" s="219"/>
      <c r="BL721" s="219"/>
      <c r="BM721" s="219"/>
      <c r="BN721" s="219"/>
    </row>
    <row r="722" ht="29.25" hidden="1" customHeight="1">
      <c r="A722" s="216"/>
      <c r="B722" s="217"/>
      <c r="C722" s="164"/>
      <c r="D722" s="164"/>
      <c r="E722" s="165"/>
      <c r="F722" s="173"/>
      <c r="G722" s="168"/>
      <c r="H722" s="168"/>
      <c r="I722" s="169"/>
      <c r="J722" s="170"/>
      <c r="K722" s="170"/>
      <c r="L722" s="170"/>
      <c r="M722" s="167"/>
      <c r="N722" s="169"/>
      <c r="O722" s="171"/>
      <c r="P722" s="106"/>
      <c r="Q722" s="218"/>
      <c r="R722" s="172"/>
      <c r="S722" s="172"/>
      <c r="T722" s="173"/>
      <c r="U722" s="219"/>
      <c r="V722" s="219"/>
      <c r="W722" s="219"/>
      <c r="X722" s="219"/>
      <c r="Y722" s="219"/>
      <c r="Z722" s="219"/>
      <c r="AA722" s="219"/>
      <c r="AB722" s="219"/>
      <c r="AC722" s="219"/>
      <c r="AD722" s="219"/>
      <c r="AE722" s="219"/>
      <c r="AF722" s="219"/>
      <c r="AG722" s="219"/>
      <c r="AH722" s="219"/>
      <c r="AI722" s="219"/>
      <c r="AJ722" s="219"/>
      <c r="AK722" s="219"/>
      <c r="AL722" s="219"/>
      <c r="AM722" s="219"/>
      <c r="AN722" s="219"/>
      <c r="AO722" s="219"/>
      <c r="AP722" s="219"/>
      <c r="AQ722" s="219"/>
      <c r="AR722" s="219"/>
      <c r="AS722" s="219"/>
      <c r="AT722" s="219"/>
      <c r="AU722" s="219"/>
      <c r="AV722" s="219"/>
      <c r="AW722" s="219"/>
      <c r="AX722" s="219"/>
      <c r="AY722" s="219"/>
      <c r="AZ722" s="219"/>
      <c r="BA722" s="219"/>
      <c r="BB722" s="219"/>
      <c r="BC722" s="219"/>
      <c r="BD722" s="219"/>
      <c r="BE722" s="219"/>
      <c r="BF722" s="219"/>
      <c r="BG722" s="219"/>
      <c r="BH722" s="219"/>
      <c r="BI722" s="219"/>
      <c r="BJ722" s="219"/>
      <c r="BK722" s="219"/>
      <c r="BL722" s="219"/>
      <c r="BM722" s="219"/>
      <c r="BN722" s="219"/>
    </row>
    <row r="723" ht="29.25" hidden="1" customHeight="1">
      <c r="A723" s="216"/>
      <c r="B723" s="217"/>
      <c r="C723" s="164"/>
      <c r="D723" s="164"/>
      <c r="E723" s="165"/>
      <c r="F723" s="173"/>
      <c r="G723" s="168"/>
      <c r="H723" s="168"/>
      <c r="I723" s="169"/>
      <c r="J723" s="170"/>
      <c r="K723" s="170"/>
      <c r="L723" s="170"/>
      <c r="M723" s="167"/>
      <c r="N723" s="169"/>
      <c r="O723" s="171"/>
      <c r="P723" s="106"/>
      <c r="Q723" s="218"/>
      <c r="R723" s="172"/>
      <c r="S723" s="172"/>
      <c r="T723" s="173"/>
      <c r="U723" s="219"/>
      <c r="V723" s="219"/>
      <c r="W723" s="219"/>
      <c r="X723" s="219"/>
      <c r="Y723" s="219"/>
      <c r="Z723" s="219"/>
      <c r="AA723" s="219"/>
      <c r="AB723" s="219"/>
      <c r="AC723" s="219"/>
      <c r="AD723" s="219"/>
      <c r="AE723" s="219"/>
      <c r="AF723" s="219"/>
      <c r="AG723" s="219"/>
      <c r="AH723" s="219"/>
      <c r="AI723" s="219"/>
      <c r="AJ723" s="219"/>
      <c r="AK723" s="219"/>
      <c r="AL723" s="219"/>
      <c r="AM723" s="219"/>
      <c r="AN723" s="219"/>
      <c r="AO723" s="219"/>
      <c r="AP723" s="219"/>
      <c r="AQ723" s="219"/>
      <c r="AR723" s="219"/>
      <c r="AS723" s="219"/>
      <c r="AT723" s="219"/>
      <c r="AU723" s="219"/>
      <c r="AV723" s="219"/>
      <c r="AW723" s="219"/>
      <c r="AX723" s="219"/>
      <c r="AY723" s="219"/>
      <c r="AZ723" s="219"/>
      <c r="BA723" s="219"/>
      <c r="BB723" s="219"/>
      <c r="BC723" s="219"/>
      <c r="BD723" s="219"/>
      <c r="BE723" s="219"/>
      <c r="BF723" s="219"/>
      <c r="BG723" s="219"/>
      <c r="BH723" s="219"/>
      <c r="BI723" s="219"/>
      <c r="BJ723" s="219"/>
      <c r="BK723" s="219"/>
      <c r="BL723" s="219"/>
      <c r="BM723" s="219"/>
      <c r="BN723" s="219"/>
    </row>
    <row r="724" ht="29.25" hidden="1" customHeight="1">
      <c r="A724" s="216"/>
      <c r="B724" s="217"/>
      <c r="C724" s="164"/>
      <c r="D724" s="164"/>
      <c r="E724" s="165"/>
      <c r="F724" s="173"/>
      <c r="G724" s="168"/>
      <c r="H724" s="168"/>
      <c r="I724" s="169"/>
      <c r="J724" s="170"/>
      <c r="K724" s="170"/>
      <c r="L724" s="170"/>
      <c r="M724" s="167"/>
      <c r="N724" s="169"/>
      <c r="O724" s="171"/>
      <c r="P724" s="106"/>
      <c r="Q724" s="218"/>
      <c r="R724" s="172"/>
      <c r="S724" s="172"/>
      <c r="T724" s="173"/>
      <c r="U724" s="219"/>
      <c r="V724" s="219"/>
      <c r="W724" s="219"/>
      <c r="X724" s="219"/>
      <c r="Y724" s="219"/>
      <c r="Z724" s="219"/>
      <c r="AA724" s="219"/>
      <c r="AB724" s="219"/>
      <c r="AC724" s="219"/>
      <c r="AD724" s="219"/>
      <c r="AE724" s="219"/>
      <c r="AF724" s="219"/>
      <c r="AG724" s="219"/>
      <c r="AH724" s="219"/>
      <c r="AI724" s="219"/>
      <c r="AJ724" s="219"/>
      <c r="AK724" s="219"/>
      <c r="AL724" s="219"/>
      <c r="AM724" s="219"/>
      <c r="AN724" s="219"/>
      <c r="AO724" s="219"/>
      <c r="AP724" s="219"/>
      <c r="AQ724" s="219"/>
      <c r="AR724" s="219"/>
      <c r="AS724" s="219"/>
      <c r="AT724" s="219"/>
      <c r="AU724" s="219"/>
      <c r="AV724" s="219"/>
      <c r="AW724" s="219"/>
      <c r="AX724" s="219"/>
      <c r="AY724" s="219"/>
      <c r="AZ724" s="219"/>
      <c r="BA724" s="219"/>
      <c r="BB724" s="219"/>
      <c r="BC724" s="219"/>
      <c r="BD724" s="219"/>
      <c r="BE724" s="219"/>
      <c r="BF724" s="219"/>
      <c r="BG724" s="219"/>
      <c r="BH724" s="219"/>
      <c r="BI724" s="219"/>
      <c r="BJ724" s="219"/>
      <c r="BK724" s="219"/>
      <c r="BL724" s="219"/>
      <c r="BM724" s="219"/>
      <c r="BN724" s="219"/>
    </row>
    <row r="725" ht="29.25" hidden="1" customHeight="1">
      <c r="A725" s="216"/>
      <c r="B725" s="217"/>
      <c r="C725" s="164"/>
      <c r="D725" s="164"/>
      <c r="E725" s="165"/>
      <c r="F725" s="173"/>
      <c r="G725" s="168"/>
      <c r="H725" s="168"/>
      <c r="I725" s="169"/>
      <c r="J725" s="170"/>
      <c r="K725" s="170"/>
      <c r="L725" s="170"/>
      <c r="M725" s="167"/>
      <c r="N725" s="169"/>
      <c r="O725" s="171"/>
      <c r="P725" s="106"/>
      <c r="Q725" s="218"/>
      <c r="R725" s="172"/>
      <c r="S725" s="172"/>
      <c r="T725" s="173"/>
      <c r="U725" s="219"/>
      <c r="V725" s="219"/>
      <c r="W725" s="219"/>
      <c r="X725" s="219"/>
      <c r="Y725" s="219"/>
      <c r="Z725" s="219"/>
      <c r="AA725" s="219"/>
      <c r="AB725" s="219"/>
      <c r="AC725" s="219"/>
      <c r="AD725" s="219"/>
      <c r="AE725" s="219"/>
      <c r="AF725" s="219"/>
      <c r="AG725" s="219"/>
      <c r="AH725" s="219"/>
      <c r="AI725" s="219"/>
      <c r="AJ725" s="219"/>
      <c r="AK725" s="219"/>
      <c r="AL725" s="219"/>
      <c r="AM725" s="219"/>
      <c r="AN725" s="219"/>
      <c r="AO725" s="219"/>
      <c r="AP725" s="219"/>
      <c r="AQ725" s="219"/>
      <c r="AR725" s="219"/>
      <c r="AS725" s="219"/>
      <c r="AT725" s="219"/>
      <c r="AU725" s="219"/>
      <c r="AV725" s="219"/>
      <c r="AW725" s="219"/>
      <c r="AX725" s="219"/>
      <c r="AY725" s="219"/>
      <c r="AZ725" s="219"/>
      <c r="BA725" s="219"/>
      <c r="BB725" s="219"/>
      <c r="BC725" s="219"/>
      <c r="BD725" s="219"/>
      <c r="BE725" s="219"/>
      <c r="BF725" s="219"/>
      <c r="BG725" s="219"/>
      <c r="BH725" s="219"/>
      <c r="BI725" s="219"/>
      <c r="BJ725" s="219"/>
      <c r="BK725" s="219"/>
      <c r="BL725" s="219"/>
      <c r="BM725" s="219"/>
      <c r="BN725" s="219"/>
    </row>
    <row r="726" ht="29.25" hidden="1" customHeight="1">
      <c r="A726" s="216"/>
      <c r="B726" s="217"/>
      <c r="C726" s="164"/>
      <c r="D726" s="164"/>
      <c r="E726" s="165"/>
      <c r="F726" s="173"/>
      <c r="G726" s="168"/>
      <c r="H726" s="168"/>
      <c r="I726" s="169"/>
      <c r="J726" s="170"/>
      <c r="K726" s="170"/>
      <c r="L726" s="170"/>
      <c r="M726" s="167"/>
      <c r="N726" s="169"/>
      <c r="O726" s="171"/>
      <c r="P726" s="106"/>
      <c r="Q726" s="218"/>
      <c r="R726" s="172"/>
      <c r="S726" s="172"/>
      <c r="T726" s="173"/>
      <c r="U726" s="219"/>
      <c r="V726" s="219"/>
      <c r="W726" s="219"/>
      <c r="X726" s="219"/>
      <c r="Y726" s="219"/>
      <c r="Z726" s="219"/>
      <c r="AA726" s="219"/>
      <c r="AB726" s="219"/>
      <c r="AC726" s="219"/>
      <c r="AD726" s="219"/>
      <c r="AE726" s="219"/>
      <c r="AF726" s="219"/>
      <c r="AG726" s="219"/>
      <c r="AH726" s="219"/>
      <c r="AI726" s="219"/>
      <c r="AJ726" s="219"/>
      <c r="AK726" s="219"/>
      <c r="AL726" s="219"/>
      <c r="AM726" s="219"/>
      <c r="AN726" s="219"/>
      <c r="AO726" s="219"/>
      <c r="AP726" s="219"/>
      <c r="AQ726" s="219"/>
      <c r="AR726" s="219"/>
      <c r="AS726" s="219"/>
      <c r="AT726" s="219"/>
      <c r="AU726" s="219"/>
      <c r="AV726" s="219"/>
      <c r="AW726" s="219"/>
      <c r="AX726" s="219"/>
      <c r="AY726" s="219"/>
      <c r="AZ726" s="219"/>
      <c r="BA726" s="219"/>
      <c r="BB726" s="219"/>
      <c r="BC726" s="219"/>
      <c r="BD726" s="219"/>
      <c r="BE726" s="219"/>
      <c r="BF726" s="219"/>
      <c r="BG726" s="219"/>
      <c r="BH726" s="219"/>
      <c r="BI726" s="219"/>
      <c r="BJ726" s="219"/>
      <c r="BK726" s="219"/>
      <c r="BL726" s="219"/>
      <c r="BM726" s="219"/>
      <c r="BN726" s="219"/>
    </row>
    <row r="727" ht="29.25" hidden="1" customHeight="1">
      <c r="A727" s="216"/>
      <c r="B727" s="217"/>
      <c r="C727" s="164"/>
      <c r="D727" s="164"/>
      <c r="E727" s="165"/>
      <c r="F727" s="173"/>
      <c r="G727" s="168"/>
      <c r="H727" s="168"/>
      <c r="I727" s="169"/>
      <c r="J727" s="170"/>
      <c r="K727" s="170"/>
      <c r="L727" s="170"/>
      <c r="M727" s="167"/>
      <c r="N727" s="169"/>
      <c r="O727" s="171"/>
      <c r="P727" s="106"/>
      <c r="Q727" s="218"/>
      <c r="R727" s="172"/>
      <c r="S727" s="172"/>
      <c r="T727" s="173"/>
      <c r="U727" s="219"/>
      <c r="V727" s="219"/>
      <c r="W727" s="219"/>
      <c r="X727" s="219"/>
      <c r="Y727" s="219"/>
      <c r="Z727" s="219"/>
      <c r="AA727" s="219"/>
      <c r="AB727" s="219"/>
      <c r="AC727" s="219"/>
      <c r="AD727" s="219"/>
      <c r="AE727" s="219"/>
      <c r="AF727" s="219"/>
      <c r="AG727" s="219"/>
      <c r="AH727" s="219"/>
      <c r="AI727" s="219"/>
      <c r="AJ727" s="219"/>
      <c r="AK727" s="219"/>
      <c r="AL727" s="219"/>
      <c r="AM727" s="219"/>
      <c r="AN727" s="219"/>
      <c r="AO727" s="219"/>
      <c r="AP727" s="219"/>
      <c r="AQ727" s="219"/>
      <c r="AR727" s="219"/>
      <c r="AS727" s="219"/>
      <c r="AT727" s="219"/>
      <c r="AU727" s="219"/>
      <c r="AV727" s="219"/>
      <c r="AW727" s="219"/>
      <c r="AX727" s="219"/>
      <c r="AY727" s="219"/>
      <c r="AZ727" s="219"/>
      <c r="BA727" s="219"/>
      <c r="BB727" s="219"/>
      <c r="BC727" s="219"/>
      <c r="BD727" s="219"/>
      <c r="BE727" s="219"/>
      <c r="BF727" s="219"/>
      <c r="BG727" s="219"/>
      <c r="BH727" s="219"/>
      <c r="BI727" s="219"/>
      <c r="BJ727" s="219"/>
      <c r="BK727" s="219"/>
      <c r="BL727" s="219"/>
      <c r="BM727" s="219"/>
      <c r="BN727" s="219"/>
    </row>
    <row r="728" ht="29.25" hidden="1" customHeight="1">
      <c r="A728" s="216"/>
      <c r="B728" s="217"/>
      <c r="C728" s="164"/>
      <c r="D728" s="164"/>
      <c r="E728" s="165"/>
      <c r="F728" s="173"/>
      <c r="G728" s="168"/>
      <c r="H728" s="168"/>
      <c r="I728" s="169"/>
      <c r="J728" s="170"/>
      <c r="K728" s="170"/>
      <c r="L728" s="170"/>
      <c r="M728" s="167"/>
      <c r="N728" s="169"/>
      <c r="O728" s="171"/>
      <c r="P728" s="106"/>
      <c r="Q728" s="218"/>
      <c r="R728" s="172"/>
      <c r="S728" s="172"/>
      <c r="T728" s="173"/>
      <c r="U728" s="219"/>
      <c r="V728" s="219"/>
      <c r="W728" s="219"/>
      <c r="X728" s="219"/>
      <c r="Y728" s="219"/>
      <c r="Z728" s="219"/>
      <c r="AA728" s="219"/>
      <c r="AB728" s="219"/>
      <c r="AC728" s="219"/>
      <c r="AD728" s="219"/>
      <c r="AE728" s="219"/>
      <c r="AF728" s="219"/>
      <c r="AG728" s="219"/>
      <c r="AH728" s="219"/>
      <c r="AI728" s="219"/>
      <c r="AJ728" s="219"/>
      <c r="AK728" s="219"/>
      <c r="AL728" s="219"/>
      <c r="AM728" s="219"/>
      <c r="AN728" s="219"/>
      <c r="AO728" s="219"/>
      <c r="AP728" s="219"/>
      <c r="AQ728" s="219"/>
      <c r="AR728" s="219"/>
      <c r="AS728" s="219"/>
      <c r="AT728" s="219"/>
      <c r="AU728" s="219"/>
      <c r="AV728" s="219"/>
      <c r="AW728" s="219"/>
      <c r="AX728" s="219"/>
      <c r="AY728" s="219"/>
      <c r="AZ728" s="219"/>
      <c r="BA728" s="219"/>
      <c r="BB728" s="219"/>
      <c r="BC728" s="219"/>
      <c r="BD728" s="219"/>
      <c r="BE728" s="219"/>
      <c r="BF728" s="219"/>
      <c r="BG728" s="219"/>
      <c r="BH728" s="219"/>
      <c r="BI728" s="219"/>
      <c r="BJ728" s="219"/>
      <c r="BK728" s="219"/>
      <c r="BL728" s="219"/>
      <c r="BM728" s="219"/>
      <c r="BN728" s="219"/>
    </row>
    <row r="729" ht="29.25" hidden="1" customHeight="1">
      <c r="A729" s="216"/>
      <c r="B729" s="217"/>
      <c r="C729" s="164"/>
      <c r="D729" s="164"/>
      <c r="E729" s="165"/>
      <c r="F729" s="173"/>
      <c r="G729" s="168"/>
      <c r="H729" s="168"/>
      <c r="I729" s="169"/>
      <c r="J729" s="170"/>
      <c r="K729" s="170"/>
      <c r="L729" s="170"/>
      <c r="M729" s="167"/>
      <c r="N729" s="169"/>
      <c r="O729" s="171"/>
      <c r="P729" s="106"/>
      <c r="Q729" s="218"/>
      <c r="R729" s="172"/>
      <c r="S729" s="172"/>
      <c r="T729" s="173"/>
      <c r="U729" s="219"/>
      <c r="V729" s="219"/>
      <c r="W729" s="219"/>
      <c r="X729" s="219"/>
      <c r="Y729" s="219"/>
      <c r="Z729" s="219"/>
      <c r="AA729" s="219"/>
      <c r="AB729" s="219"/>
      <c r="AC729" s="219"/>
      <c r="AD729" s="219"/>
      <c r="AE729" s="219"/>
      <c r="AF729" s="219"/>
      <c r="AG729" s="219"/>
      <c r="AH729" s="219"/>
      <c r="AI729" s="219"/>
      <c r="AJ729" s="219"/>
      <c r="AK729" s="219"/>
      <c r="AL729" s="219"/>
      <c r="AM729" s="219"/>
      <c r="AN729" s="219"/>
      <c r="AO729" s="219"/>
      <c r="AP729" s="219"/>
      <c r="AQ729" s="219"/>
      <c r="AR729" s="219"/>
      <c r="AS729" s="219"/>
      <c r="AT729" s="219"/>
      <c r="AU729" s="219"/>
      <c r="AV729" s="219"/>
      <c r="AW729" s="219"/>
      <c r="AX729" s="219"/>
      <c r="AY729" s="219"/>
      <c r="AZ729" s="219"/>
      <c r="BA729" s="219"/>
      <c r="BB729" s="219"/>
      <c r="BC729" s="219"/>
      <c r="BD729" s="219"/>
      <c r="BE729" s="219"/>
      <c r="BF729" s="219"/>
      <c r="BG729" s="219"/>
      <c r="BH729" s="219"/>
      <c r="BI729" s="219"/>
      <c r="BJ729" s="219"/>
      <c r="BK729" s="219"/>
      <c r="BL729" s="219"/>
      <c r="BM729" s="219"/>
      <c r="BN729" s="219"/>
    </row>
    <row r="730" ht="29.25" hidden="1" customHeight="1">
      <c r="A730" s="216"/>
      <c r="B730" s="217"/>
      <c r="C730" s="164"/>
      <c r="D730" s="164"/>
      <c r="E730" s="165"/>
      <c r="F730" s="173"/>
      <c r="G730" s="168"/>
      <c r="H730" s="168"/>
      <c r="I730" s="169"/>
      <c r="J730" s="170"/>
      <c r="K730" s="170"/>
      <c r="L730" s="170"/>
      <c r="M730" s="167"/>
      <c r="N730" s="169"/>
      <c r="O730" s="171"/>
      <c r="P730" s="106"/>
      <c r="Q730" s="218"/>
      <c r="R730" s="172"/>
      <c r="S730" s="172"/>
      <c r="T730" s="173"/>
      <c r="U730" s="219"/>
      <c r="V730" s="219"/>
      <c r="W730" s="219"/>
      <c r="X730" s="219"/>
      <c r="Y730" s="219"/>
      <c r="Z730" s="219"/>
      <c r="AA730" s="219"/>
      <c r="AB730" s="219"/>
      <c r="AC730" s="219"/>
      <c r="AD730" s="219"/>
      <c r="AE730" s="219"/>
      <c r="AF730" s="219"/>
      <c r="AG730" s="219"/>
      <c r="AH730" s="219"/>
      <c r="AI730" s="219"/>
      <c r="AJ730" s="219"/>
      <c r="AK730" s="219"/>
      <c r="AL730" s="219"/>
      <c r="AM730" s="219"/>
      <c r="AN730" s="219"/>
      <c r="AO730" s="219"/>
      <c r="AP730" s="219"/>
      <c r="AQ730" s="219"/>
      <c r="AR730" s="219"/>
      <c r="AS730" s="219"/>
      <c r="AT730" s="219"/>
      <c r="AU730" s="219"/>
      <c r="AV730" s="219"/>
      <c r="AW730" s="219"/>
      <c r="AX730" s="219"/>
      <c r="AY730" s="219"/>
      <c r="AZ730" s="219"/>
      <c r="BA730" s="219"/>
      <c r="BB730" s="219"/>
      <c r="BC730" s="219"/>
      <c r="BD730" s="219"/>
      <c r="BE730" s="219"/>
      <c r="BF730" s="219"/>
      <c r="BG730" s="219"/>
      <c r="BH730" s="219"/>
      <c r="BI730" s="219"/>
      <c r="BJ730" s="219"/>
      <c r="BK730" s="219"/>
      <c r="BL730" s="219"/>
      <c r="BM730" s="219"/>
      <c r="BN730" s="219"/>
    </row>
    <row r="731" ht="29.25" hidden="1" customHeight="1">
      <c r="A731" s="216"/>
      <c r="B731" s="217"/>
      <c r="C731" s="164"/>
      <c r="D731" s="164"/>
      <c r="E731" s="165"/>
      <c r="F731" s="173"/>
      <c r="G731" s="168"/>
      <c r="H731" s="168"/>
      <c r="I731" s="169"/>
      <c r="J731" s="170"/>
      <c r="K731" s="170"/>
      <c r="L731" s="170"/>
      <c r="M731" s="167"/>
      <c r="N731" s="169"/>
      <c r="O731" s="171"/>
      <c r="P731" s="106"/>
      <c r="Q731" s="218"/>
      <c r="R731" s="172"/>
      <c r="S731" s="172"/>
      <c r="T731" s="173"/>
      <c r="U731" s="219"/>
      <c r="V731" s="219"/>
      <c r="W731" s="219"/>
      <c r="X731" s="219"/>
      <c r="Y731" s="219"/>
      <c r="Z731" s="219"/>
      <c r="AA731" s="219"/>
      <c r="AB731" s="219"/>
      <c r="AC731" s="219"/>
      <c r="AD731" s="219"/>
      <c r="AE731" s="219"/>
      <c r="AF731" s="219"/>
      <c r="AG731" s="219"/>
      <c r="AH731" s="219"/>
      <c r="AI731" s="219"/>
      <c r="AJ731" s="219"/>
      <c r="AK731" s="219"/>
      <c r="AL731" s="219"/>
      <c r="AM731" s="219"/>
      <c r="AN731" s="219"/>
      <c r="AO731" s="219"/>
      <c r="AP731" s="219"/>
      <c r="AQ731" s="219"/>
      <c r="AR731" s="219"/>
      <c r="AS731" s="219"/>
      <c r="AT731" s="219"/>
      <c r="AU731" s="219"/>
      <c r="AV731" s="219"/>
      <c r="AW731" s="219"/>
      <c r="AX731" s="219"/>
      <c r="AY731" s="219"/>
      <c r="AZ731" s="219"/>
      <c r="BA731" s="219"/>
      <c r="BB731" s="219"/>
      <c r="BC731" s="219"/>
      <c r="BD731" s="219"/>
      <c r="BE731" s="219"/>
      <c r="BF731" s="219"/>
      <c r="BG731" s="219"/>
      <c r="BH731" s="219"/>
      <c r="BI731" s="219"/>
      <c r="BJ731" s="219"/>
      <c r="BK731" s="219"/>
      <c r="BL731" s="219"/>
      <c r="BM731" s="219"/>
      <c r="BN731" s="219"/>
    </row>
    <row r="732" ht="29.25" hidden="1" customHeight="1">
      <c r="A732" s="216"/>
      <c r="B732" s="217"/>
      <c r="C732" s="164"/>
      <c r="D732" s="164"/>
      <c r="E732" s="165"/>
      <c r="F732" s="173"/>
      <c r="G732" s="168"/>
      <c r="H732" s="168"/>
      <c r="I732" s="169"/>
      <c r="J732" s="170"/>
      <c r="K732" s="170"/>
      <c r="L732" s="170"/>
      <c r="M732" s="167"/>
      <c r="N732" s="169"/>
      <c r="O732" s="171"/>
      <c r="P732" s="106"/>
      <c r="Q732" s="218"/>
      <c r="R732" s="172"/>
      <c r="S732" s="172"/>
      <c r="T732" s="173"/>
      <c r="U732" s="219"/>
      <c r="V732" s="219"/>
      <c r="W732" s="219"/>
      <c r="X732" s="219"/>
      <c r="Y732" s="219"/>
      <c r="Z732" s="219"/>
      <c r="AA732" s="219"/>
      <c r="AB732" s="219"/>
      <c r="AC732" s="219"/>
      <c r="AD732" s="219"/>
      <c r="AE732" s="219"/>
      <c r="AF732" s="219"/>
      <c r="AG732" s="219"/>
      <c r="AH732" s="219"/>
      <c r="AI732" s="219"/>
      <c r="AJ732" s="219"/>
      <c r="AK732" s="219"/>
      <c r="AL732" s="219"/>
      <c r="AM732" s="219"/>
      <c r="AN732" s="219"/>
      <c r="AO732" s="219"/>
      <c r="AP732" s="219"/>
      <c r="AQ732" s="219"/>
      <c r="AR732" s="219"/>
      <c r="AS732" s="219"/>
      <c r="AT732" s="219"/>
      <c r="AU732" s="219"/>
      <c r="AV732" s="219"/>
      <c r="AW732" s="219"/>
      <c r="AX732" s="219"/>
      <c r="AY732" s="219"/>
      <c r="AZ732" s="219"/>
      <c r="BA732" s="219"/>
      <c r="BB732" s="219"/>
      <c r="BC732" s="219"/>
      <c r="BD732" s="219"/>
      <c r="BE732" s="219"/>
      <c r="BF732" s="219"/>
      <c r="BG732" s="219"/>
      <c r="BH732" s="219"/>
      <c r="BI732" s="219"/>
      <c r="BJ732" s="219"/>
      <c r="BK732" s="219"/>
      <c r="BL732" s="219"/>
      <c r="BM732" s="219"/>
      <c r="BN732" s="219"/>
    </row>
    <row r="733" ht="29.25" hidden="1" customHeight="1">
      <c r="A733" s="216"/>
      <c r="B733" s="217"/>
      <c r="C733" s="164"/>
      <c r="D733" s="164"/>
      <c r="E733" s="165"/>
      <c r="F733" s="173"/>
      <c r="G733" s="168"/>
      <c r="H733" s="168"/>
      <c r="I733" s="169"/>
      <c r="J733" s="170"/>
      <c r="K733" s="170"/>
      <c r="L733" s="170"/>
      <c r="M733" s="167"/>
      <c r="N733" s="169"/>
      <c r="O733" s="171"/>
      <c r="P733" s="106"/>
      <c r="Q733" s="218"/>
      <c r="R733" s="172"/>
      <c r="S733" s="172"/>
      <c r="T733" s="173"/>
      <c r="U733" s="219"/>
      <c r="V733" s="219"/>
      <c r="W733" s="219"/>
      <c r="X733" s="219"/>
      <c r="Y733" s="219"/>
      <c r="Z733" s="219"/>
      <c r="AA733" s="219"/>
      <c r="AB733" s="219"/>
      <c r="AC733" s="219"/>
      <c r="AD733" s="219"/>
      <c r="AE733" s="219"/>
      <c r="AF733" s="219"/>
      <c r="AG733" s="219"/>
      <c r="AH733" s="219"/>
      <c r="AI733" s="219"/>
      <c r="AJ733" s="219"/>
      <c r="AK733" s="219"/>
      <c r="AL733" s="219"/>
      <c r="AM733" s="219"/>
      <c r="AN733" s="219"/>
      <c r="AO733" s="219"/>
      <c r="AP733" s="219"/>
      <c r="AQ733" s="219"/>
      <c r="AR733" s="219"/>
      <c r="AS733" s="219"/>
      <c r="AT733" s="219"/>
      <c r="AU733" s="219"/>
      <c r="AV733" s="219"/>
      <c r="AW733" s="219"/>
      <c r="AX733" s="219"/>
      <c r="AY733" s="219"/>
      <c r="AZ733" s="219"/>
      <c r="BA733" s="219"/>
      <c r="BB733" s="219"/>
      <c r="BC733" s="219"/>
      <c r="BD733" s="219"/>
      <c r="BE733" s="219"/>
      <c r="BF733" s="219"/>
      <c r="BG733" s="219"/>
      <c r="BH733" s="219"/>
      <c r="BI733" s="219"/>
      <c r="BJ733" s="219"/>
      <c r="BK733" s="219"/>
      <c r="BL733" s="219"/>
      <c r="BM733" s="219"/>
      <c r="BN733" s="219"/>
    </row>
    <row r="734" ht="29.25" hidden="1" customHeight="1">
      <c r="A734" s="216"/>
      <c r="B734" s="217"/>
      <c r="C734" s="164"/>
      <c r="D734" s="164"/>
      <c r="E734" s="165"/>
      <c r="F734" s="173"/>
      <c r="G734" s="168"/>
      <c r="H734" s="168"/>
      <c r="I734" s="169"/>
      <c r="J734" s="170"/>
      <c r="K734" s="170"/>
      <c r="L734" s="170"/>
      <c r="M734" s="167"/>
      <c r="N734" s="169"/>
      <c r="O734" s="171"/>
      <c r="P734" s="106"/>
      <c r="Q734" s="218"/>
      <c r="R734" s="172"/>
      <c r="S734" s="172"/>
      <c r="T734" s="173"/>
      <c r="U734" s="219"/>
      <c r="V734" s="219"/>
      <c r="W734" s="219"/>
      <c r="X734" s="219"/>
      <c r="Y734" s="219"/>
      <c r="Z734" s="219"/>
      <c r="AA734" s="219"/>
      <c r="AB734" s="219"/>
      <c r="AC734" s="219"/>
      <c r="AD734" s="219"/>
      <c r="AE734" s="219"/>
      <c r="AF734" s="219"/>
      <c r="AG734" s="219"/>
      <c r="AH734" s="219"/>
      <c r="AI734" s="219"/>
      <c r="AJ734" s="219"/>
      <c r="AK734" s="219"/>
      <c r="AL734" s="219"/>
      <c r="AM734" s="219"/>
      <c r="AN734" s="219"/>
      <c r="AO734" s="219"/>
      <c r="AP734" s="219"/>
      <c r="AQ734" s="219"/>
      <c r="AR734" s="219"/>
      <c r="AS734" s="219"/>
      <c r="AT734" s="219"/>
      <c r="AU734" s="219"/>
      <c r="AV734" s="219"/>
      <c r="AW734" s="219"/>
      <c r="AX734" s="219"/>
      <c r="AY734" s="219"/>
      <c r="AZ734" s="219"/>
      <c r="BA734" s="219"/>
      <c r="BB734" s="219"/>
      <c r="BC734" s="219"/>
      <c r="BD734" s="219"/>
      <c r="BE734" s="219"/>
      <c r="BF734" s="219"/>
      <c r="BG734" s="219"/>
      <c r="BH734" s="219"/>
      <c r="BI734" s="219"/>
      <c r="BJ734" s="219"/>
      <c r="BK734" s="219"/>
      <c r="BL734" s="219"/>
      <c r="BM734" s="219"/>
      <c r="BN734" s="219"/>
    </row>
    <row r="735" ht="29.25" hidden="1" customHeight="1">
      <c r="A735" s="216"/>
      <c r="B735" s="217"/>
      <c r="C735" s="164"/>
      <c r="D735" s="164"/>
      <c r="E735" s="165"/>
      <c r="F735" s="173"/>
      <c r="G735" s="168"/>
      <c r="H735" s="168"/>
      <c r="I735" s="169"/>
      <c r="J735" s="170"/>
      <c r="K735" s="170"/>
      <c r="L735" s="170"/>
      <c r="M735" s="167"/>
      <c r="N735" s="169"/>
      <c r="O735" s="171"/>
      <c r="P735" s="106"/>
      <c r="Q735" s="218"/>
      <c r="R735" s="172"/>
      <c r="S735" s="172"/>
      <c r="T735" s="173"/>
      <c r="U735" s="219"/>
      <c r="V735" s="219"/>
      <c r="W735" s="219"/>
      <c r="X735" s="219"/>
      <c r="Y735" s="219"/>
      <c r="Z735" s="219"/>
      <c r="AA735" s="219"/>
      <c r="AB735" s="219"/>
      <c r="AC735" s="219"/>
      <c r="AD735" s="219"/>
      <c r="AE735" s="219"/>
      <c r="AF735" s="219"/>
      <c r="AG735" s="219"/>
      <c r="AH735" s="219"/>
      <c r="AI735" s="219"/>
      <c r="AJ735" s="219"/>
      <c r="AK735" s="219"/>
      <c r="AL735" s="219"/>
      <c r="AM735" s="219"/>
      <c r="AN735" s="219"/>
      <c r="AO735" s="219"/>
      <c r="AP735" s="219"/>
      <c r="AQ735" s="219"/>
      <c r="AR735" s="219"/>
      <c r="AS735" s="219"/>
      <c r="AT735" s="219"/>
      <c r="AU735" s="219"/>
      <c r="AV735" s="219"/>
      <c r="AW735" s="219"/>
      <c r="AX735" s="219"/>
      <c r="AY735" s="219"/>
      <c r="AZ735" s="219"/>
      <c r="BA735" s="219"/>
      <c r="BB735" s="219"/>
      <c r="BC735" s="219"/>
      <c r="BD735" s="219"/>
      <c r="BE735" s="219"/>
      <c r="BF735" s="219"/>
      <c r="BG735" s="219"/>
      <c r="BH735" s="219"/>
      <c r="BI735" s="219"/>
      <c r="BJ735" s="219"/>
      <c r="BK735" s="219"/>
      <c r="BL735" s="219"/>
      <c r="BM735" s="219"/>
      <c r="BN735" s="219"/>
    </row>
    <row r="736" ht="29.25" hidden="1" customHeight="1">
      <c r="A736" s="216"/>
      <c r="B736" s="217"/>
      <c r="C736" s="164"/>
      <c r="D736" s="164"/>
      <c r="E736" s="165"/>
      <c r="F736" s="173"/>
      <c r="G736" s="168"/>
      <c r="H736" s="168"/>
      <c r="I736" s="169"/>
      <c r="J736" s="170"/>
      <c r="K736" s="170"/>
      <c r="L736" s="170"/>
      <c r="M736" s="167"/>
      <c r="N736" s="169"/>
      <c r="O736" s="171"/>
      <c r="P736" s="106"/>
      <c r="Q736" s="218"/>
      <c r="R736" s="172"/>
      <c r="S736" s="172"/>
      <c r="T736" s="173"/>
      <c r="U736" s="219"/>
      <c r="V736" s="219"/>
      <c r="W736" s="219"/>
      <c r="X736" s="219"/>
      <c r="Y736" s="219"/>
      <c r="Z736" s="219"/>
      <c r="AA736" s="219"/>
      <c r="AB736" s="219"/>
      <c r="AC736" s="219"/>
      <c r="AD736" s="219"/>
      <c r="AE736" s="219"/>
      <c r="AF736" s="219"/>
      <c r="AG736" s="219"/>
      <c r="AH736" s="219"/>
      <c r="AI736" s="219"/>
      <c r="AJ736" s="219"/>
      <c r="AK736" s="219"/>
      <c r="AL736" s="219"/>
      <c r="AM736" s="219"/>
      <c r="AN736" s="219"/>
      <c r="AO736" s="219"/>
      <c r="AP736" s="219"/>
      <c r="AQ736" s="219"/>
      <c r="AR736" s="219"/>
      <c r="AS736" s="219"/>
      <c r="AT736" s="219"/>
      <c r="AU736" s="219"/>
      <c r="AV736" s="219"/>
      <c r="AW736" s="219"/>
      <c r="AX736" s="219"/>
      <c r="AY736" s="219"/>
      <c r="AZ736" s="219"/>
      <c r="BA736" s="219"/>
      <c r="BB736" s="219"/>
      <c r="BC736" s="219"/>
      <c r="BD736" s="219"/>
      <c r="BE736" s="219"/>
      <c r="BF736" s="219"/>
      <c r="BG736" s="219"/>
      <c r="BH736" s="219"/>
      <c r="BI736" s="219"/>
      <c r="BJ736" s="219"/>
      <c r="BK736" s="219"/>
      <c r="BL736" s="219"/>
      <c r="BM736" s="219"/>
      <c r="BN736" s="219"/>
    </row>
    <row r="737" ht="29.25" hidden="1" customHeight="1">
      <c r="A737" s="216"/>
      <c r="B737" s="217"/>
      <c r="C737" s="164"/>
      <c r="D737" s="164"/>
      <c r="E737" s="165"/>
      <c r="F737" s="173"/>
      <c r="G737" s="168"/>
      <c r="H737" s="168"/>
      <c r="I737" s="169"/>
      <c r="J737" s="170"/>
      <c r="K737" s="170"/>
      <c r="L737" s="170"/>
      <c r="M737" s="167"/>
      <c r="N737" s="169"/>
      <c r="O737" s="171"/>
      <c r="P737" s="106"/>
      <c r="Q737" s="218"/>
      <c r="R737" s="172"/>
      <c r="S737" s="172"/>
      <c r="T737" s="173"/>
      <c r="U737" s="219"/>
      <c r="V737" s="219"/>
      <c r="W737" s="219"/>
      <c r="X737" s="219"/>
      <c r="Y737" s="219"/>
      <c r="Z737" s="219"/>
      <c r="AA737" s="219"/>
      <c r="AB737" s="219"/>
      <c r="AC737" s="219"/>
      <c r="AD737" s="219"/>
      <c r="AE737" s="219"/>
      <c r="AF737" s="219"/>
      <c r="AG737" s="219"/>
      <c r="AH737" s="219"/>
      <c r="AI737" s="219"/>
      <c r="AJ737" s="219"/>
      <c r="AK737" s="219"/>
      <c r="AL737" s="219"/>
      <c r="AM737" s="219"/>
      <c r="AN737" s="219"/>
      <c r="AO737" s="219"/>
      <c r="AP737" s="219"/>
      <c r="AQ737" s="219"/>
      <c r="AR737" s="219"/>
      <c r="AS737" s="219"/>
      <c r="AT737" s="219"/>
      <c r="AU737" s="219"/>
      <c r="AV737" s="219"/>
      <c r="AW737" s="219"/>
      <c r="AX737" s="219"/>
      <c r="AY737" s="219"/>
      <c r="AZ737" s="219"/>
      <c r="BA737" s="219"/>
      <c r="BB737" s="219"/>
      <c r="BC737" s="219"/>
      <c r="BD737" s="219"/>
      <c r="BE737" s="219"/>
      <c r="BF737" s="219"/>
      <c r="BG737" s="219"/>
      <c r="BH737" s="219"/>
      <c r="BI737" s="219"/>
      <c r="BJ737" s="219"/>
      <c r="BK737" s="219"/>
      <c r="BL737" s="219"/>
      <c r="BM737" s="219"/>
      <c r="BN737" s="219"/>
    </row>
    <row r="738" ht="29.25" hidden="1" customHeight="1">
      <c r="A738" s="216"/>
      <c r="B738" s="217"/>
      <c r="C738" s="164"/>
      <c r="D738" s="164"/>
      <c r="E738" s="165"/>
      <c r="F738" s="173"/>
      <c r="G738" s="168"/>
      <c r="H738" s="168"/>
      <c r="I738" s="169"/>
      <c r="J738" s="170"/>
      <c r="K738" s="170"/>
      <c r="L738" s="170"/>
      <c r="M738" s="167"/>
      <c r="N738" s="169"/>
      <c r="O738" s="171"/>
      <c r="P738" s="106"/>
      <c r="Q738" s="218"/>
      <c r="R738" s="172"/>
      <c r="S738" s="172"/>
      <c r="T738" s="173"/>
      <c r="U738" s="219"/>
      <c r="V738" s="219"/>
      <c r="W738" s="219"/>
      <c r="X738" s="219"/>
      <c r="Y738" s="219"/>
      <c r="Z738" s="219"/>
      <c r="AA738" s="219"/>
      <c r="AB738" s="219"/>
      <c r="AC738" s="219"/>
      <c r="AD738" s="219"/>
      <c r="AE738" s="219"/>
      <c r="AF738" s="219"/>
      <c r="AG738" s="219"/>
      <c r="AH738" s="219"/>
      <c r="AI738" s="219"/>
      <c r="AJ738" s="219"/>
      <c r="AK738" s="219"/>
      <c r="AL738" s="219"/>
      <c r="AM738" s="219"/>
      <c r="AN738" s="219"/>
      <c r="AO738" s="219"/>
      <c r="AP738" s="219"/>
      <c r="AQ738" s="219"/>
      <c r="AR738" s="219"/>
      <c r="AS738" s="219"/>
      <c r="AT738" s="219"/>
      <c r="AU738" s="219"/>
      <c r="AV738" s="219"/>
      <c r="AW738" s="219"/>
      <c r="AX738" s="219"/>
      <c r="AY738" s="219"/>
      <c r="AZ738" s="219"/>
      <c r="BA738" s="219"/>
      <c r="BB738" s="219"/>
      <c r="BC738" s="219"/>
      <c r="BD738" s="219"/>
      <c r="BE738" s="219"/>
      <c r="BF738" s="219"/>
      <c r="BG738" s="219"/>
      <c r="BH738" s="219"/>
      <c r="BI738" s="219"/>
      <c r="BJ738" s="219"/>
      <c r="BK738" s="219"/>
      <c r="BL738" s="219"/>
      <c r="BM738" s="219"/>
      <c r="BN738" s="219"/>
    </row>
    <row r="739" ht="29.25" hidden="1" customHeight="1">
      <c r="A739" s="216"/>
      <c r="B739" s="217"/>
      <c r="C739" s="164"/>
      <c r="D739" s="164"/>
      <c r="E739" s="165"/>
      <c r="F739" s="173"/>
      <c r="G739" s="168"/>
      <c r="H739" s="168"/>
      <c r="I739" s="169"/>
      <c r="J739" s="170"/>
      <c r="K739" s="170"/>
      <c r="L739" s="170"/>
      <c r="M739" s="167"/>
      <c r="N739" s="169"/>
      <c r="O739" s="171"/>
      <c r="P739" s="106"/>
      <c r="Q739" s="218"/>
      <c r="R739" s="172"/>
      <c r="S739" s="172"/>
      <c r="T739" s="173"/>
      <c r="U739" s="219"/>
      <c r="V739" s="219"/>
      <c r="W739" s="219"/>
      <c r="X739" s="219"/>
      <c r="Y739" s="219"/>
      <c r="Z739" s="219"/>
      <c r="AA739" s="219"/>
      <c r="AB739" s="219"/>
      <c r="AC739" s="219"/>
      <c r="AD739" s="219"/>
      <c r="AE739" s="219"/>
      <c r="AF739" s="219"/>
      <c r="AG739" s="219"/>
      <c r="AH739" s="219"/>
      <c r="AI739" s="219"/>
      <c r="AJ739" s="219"/>
      <c r="AK739" s="219"/>
      <c r="AL739" s="219"/>
      <c r="AM739" s="219"/>
      <c r="AN739" s="219"/>
      <c r="AO739" s="219"/>
      <c r="AP739" s="219"/>
      <c r="AQ739" s="219"/>
      <c r="AR739" s="219"/>
      <c r="AS739" s="219"/>
      <c r="AT739" s="219"/>
      <c r="AU739" s="219"/>
      <c r="AV739" s="219"/>
      <c r="AW739" s="219"/>
      <c r="AX739" s="219"/>
      <c r="AY739" s="219"/>
      <c r="AZ739" s="219"/>
      <c r="BA739" s="219"/>
      <c r="BB739" s="219"/>
      <c r="BC739" s="219"/>
      <c r="BD739" s="219"/>
      <c r="BE739" s="219"/>
      <c r="BF739" s="219"/>
      <c r="BG739" s="219"/>
      <c r="BH739" s="219"/>
      <c r="BI739" s="219"/>
      <c r="BJ739" s="219"/>
      <c r="BK739" s="219"/>
      <c r="BL739" s="219"/>
      <c r="BM739" s="219"/>
      <c r="BN739" s="219"/>
    </row>
    <row r="740" ht="29.25" hidden="1" customHeight="1">
      <c r="A740" s="216"/>
      <c r="B740" s="217"/>
      <c r="C740" s="164"/>
      <c r="D740" s="164"/>
      <c r="E740" s="165"/>
      <c r="F740" s="173"/>
      <c r="G740" s="168"/>
      <c r="H740" s="168"/>
      <c r="I740" s="169"/>
      <c r="J740" s="170"/>
      <c r="K740" s="170"/>
      <c r="L740" s="170"/>
      <c r="M740" s="167"/>
      <c r="N740" s="169"/>
      <c r="O740" s="171"/>
      <c r="P740" s="106"/>
      <c r="Q740" s="218"/>
      <c r="R740" s="172"/>
      <c r="S740" s="172"/>
      <c r="T740" s="173"/>
      <c r="U740" s="219"/>
      <c r="V740" s="219"/>
      <c r="W740" s="219"/>
      <c r="X740" s="219"/>
      <c r="Y740" s="219"/>
      <c r="Z740" s="219"/>
      <c r="AA740" s="219"/>
      <c r="AB740" s="219"/>
      <c r="AC740" s="219"/>
      <c r="AD740" s="219"/>
      <c r="AE740" s="219"/>
      <c r="AF740" s="219"/>
      <c r="AG740" s="219"/>
      <c r="AH740" s="219"/>
      <c r="AI740" s="219"/>
      <c r="AJ740" s="219"/>
      <c r="AK740" s="219"/>
      <c r="AL740" s="219"/>
      <c r="AM740" s="219"/>
      <c r="AN740" s="219"/>
      <c r="AO740" s="219"/>
      <c r="AP740" s="219"/>
      <c r="AQ740" s="219"/>
      <c r="AR740" s="219"/>
      <c r="AS740" s="219"/>
      <c r="AT740" s="219"/>
      <c r="AU740" s="219"/>
      <c r="AV740" s="219"/>
      <c r="AW740" s="219"/>
      <c r="AX740" s="219"/>
      <c r="AY740" s="219"/>
      <c r="AZ740" s="219"/>
      <c r="BA740" s="219"/>
      <c r="BB740" s="219"/>
      <c r="BC740" s="219"/>
      <c r="BD740" s="219"/>
      <c r="BE740" s="219"/>
      <c r="BF740" s="219"/>
      <c r="BG740" s="219"/>
      <c r="BH740" s="219"/>
      <c r="BI740" s="219"/>
      <c r="BJ740" s="219"/>
      <c r="BK740" s="219"/>
      <c r="BL740" s="219"/>
      <c r="BM740" s="219"/>
      <c r="BN740" s="219"/>
    </row>
    <row r="741" ht="29.25" hidden="1" customHeight="1">
      <c r="A741" s="216"/>
      <c r="B741" s="217"/>
      <c r="C741" s="164"/>
      <c r="D741" s="164"/>
      <c r="E741" s="165"/>
      <c r="F741" s="173"/>
      <c r="G741" s="168"/>
      <c r="H741" s="168"/>
      <c r="I741" s="169"/>
      <c r="J741" s="170"/>
      <c r="K741" s="170"/>
      <c r="L741" s="170"/>
      <c r="M741" s="167"/>
      <c r="N741" s="169"/>
      <c r="O741" s="171"/>
      <c r="P741" s="106"/>
      <c r="Q741" s="218"/>
      <c r="R741" s="172"/>
      <c r="S741" s="172"/>
      <c r="T741" s="173"/>
      <c r="U741" s="219"/>
      <c r="V741" s="219"/>
      <c r="W741" s="219"/>
      <c r="X741" s="219"/>
      <c r="Y741" s="219"/>
      <c r="Z741" s="219"/>
      <c r="AA741" s="219"/>
      <c r="AB741" s="219"/>
      <c r="AC741" s="219"/>
      <c r="AD741" s="219"/>
      <c r="AE741" s="219"/>
      <c r="AF741" s="219"/>
      <c r="AG741" s="219"/>
      <c r="AH741" s="219"/>
      <c r="AI741" s="219"/>
      <c r="AJ741" s="219"/>
      <c r="AK741" s="219"/>
      <c r="AL741" s="219"/>
      <c r="AM741" s="219"/>
      <c r="AN741" s="219"/>
      <c r="AO741" s="219"/>
      <c r="AP741" s="219"/>
      <c r="AQ741" s="219"/>
      <c r="AR741" s="219"/>
      <c r="AS741" s="219"/>
      <c r="AT741" s="219"/>
      <c r="AU741" s="219"/>
      <c r="AV741" s="219"/>
      <c r="AW741" s="219"/>
      <c r="AX741" s="219"/>
      <c r="AY741" s="219"/>
      <c r="AZ741" s="219"/>
      <c r="BA741" s="219"/>
      <c r="BB741" s="219"/>
      <c r="BC741" s="219"/>
      <c r="BD741" s="219"/>
      <c r="BE741" s="219"/>
      <c r="BF741" s="219"/>
      <c r="BG741" s="219"/>
      <c r="BH741" s="219"/>
      <c r="BI741" s="219"/>
      <c r="BJ741" s="219"/>
      <c r="BK741" s="219"/>
      <c r="BL741" s="219"/>
      <c r="BM741" s="219"/>
      <c r="BN741" s="219"/>
    </row>
    <row r="742" ht="29.25" hidden="1" customHeight="1">
      <c r="A742" s="216"/>
      <c r="B742" s="217"/>
      <c r="C742" s="164"/>
      <c r="D742" s="164"/>
      <c r="E742" s="165"/>
      <c r="F742" s="173"/>
      <c r="G742" s="168"/>
      <c r="H742" s="168"/>
      <c r="I742" s="169"/>
      <c r="J742" s="170"/>
      <c r="K742" s="170"/>
      <c r="L742" s="170"/>
      <c r="M742" s="167"/>
      <c r="N742" s="169"/>
      <c r="O742" s="171"/>
      <c r="P742" s="106"/>
      <c r="Q742" s="218"/>
      <c r="R742" s="172"/>
      <c r="S742" s="172"/>
      <c r="T742" s="173"/>
      <c r="U742" s="219"/>
      <c r="V742" s="219"/>
      <c r="W742" s="219"/>
      <c r="X742" s="219"/>
      <c r="Y742" s="219"/>
      <c r="Z742" s="219"/>
      <c r="AA742" s="219"/>
      <c r="AB742" s="219"/>
      <c r="AC742" s="219"/>
      <c r="AD742" s="219"/>
      <c r="AE742" s="219"/>
      <c r="AF742" s="219"/>
      <c r="AG742" s="219"/>
      <c r="AH742" s="219"/>
      <c r="AI742" s="219"/>
      <c r="AJ742" s="219"/>
      <c r="AK742" s="219"/>
      <c r="AL742" s="219"/>
      <c r="AM742" s="219"/>
      <c r="AN742" s="219"/>
      <c r="AO742" s="219"/>
      <c r="AP742" s="219"/>
      <c r="AQ742" s="219"/>
      <c r="AR742" s="219"/>
      <c r="AS742" s="219"/>
      <c r="AT742" s="219"/>
      <c r="AU742" s="219"/>
      <c r="AV742" s="219"/>
      <c r="AW742" s="219"/>
      <c r="AX742" s="219"/>
      <c r="AY742" s="219"/>
      <c r="AZ742" s="219"/>
      <c r="BA742" s="219"/>
      <c r="BB742" s="219"/>
      <c r="BC742" s="219"/>
      <c r="BD742" s="219"/>
      <c r="BE742" s="219"/>
      <c r="BF742" s="219"/>
      <c r="BG742" s="219"/>
      <c r="BH742" s="219"/>
      <c r="BI742" s="219"/>
      <c r="BJ742" s="219"/>
      <c r="BK742" s="219"/>
      <c r="BL742" s="219"/>
      <c r="BM742" s="219"/>
      <c r="BN742" s="219"/>
    </row>
    <row r="743" ht="29.25" hidden="1" customHeight="1">
      <c r="A743" s="216"/>
      <c r="B743" s="217"/>
      <c r="C743" s="164"/>
      <c r="D743" s="164"/>
      <c r="E743" s="165"/>
      <c r="F743" s="173"/>
      <c r="G743" s="168"/>
      <c r="H743" s="168"/>
      <c r="I743" s="169"/>
      <c r="J743" s="170"/>
      <c r="K743" s="170"/>
      <c r="L743" s="170"/>
      <c r="M743" s="167"/>
      <c r="N743" s="169"/>
      <c r="O743" s="171"/>
      <c r="P743" s="106"/>
      <c r="Q743" s="218"/>
      <c r="R743" s="172"/>
      <c r="S743" s="172"/>
      <c r="T743" s="173"/>
      <c r="U743" s="219"/>
      <c r="V743" s="219"/>
      <c r="W743" s="219"/>
      <c r="X743" s="219"/>
      <c r="Y743" s="219"/>
      <c r="Z743" s="219"/>
      <c r="AA743" s="219"/>
      <c r="AB743" s="219"/>
      <c r="AC743" s="219"/>
      <c r="AD743" s="219"/>
      <c r="AE743" s="219"/>
      <c r="AF743" s="219"/>
      <c r="AG743" s="219"/>
      <c r="AH743" s="219"/>
      <c r="AI743" s="219"/>
      <c r="AJ743" s="219"/>
      <c r="AK743" s="219"/>
      <c r="AL743" s="219"/>
      <c r="AM743" s="219"/>
      <c r="AN743" s="219"/>
      <c r="AO743" s="219"/>
      <c r="AP743" s="219"/>
      <c r="AQ743" s="219"/>
      <c r="AR743" s="219"/>
      <c r="AS743" s="219"/>
      <c r="AT743" s="219"/>
      <c r="AU743" s="219"/>
      <c r="AV743" s="219"/>
      <c r="AW743" s="219"/>
      <c r="AX743" s="219"/>
      <c r="AY743" s="219"/>
      <c r="AZ743" s="219"/>
      <c r="BA743" s="219"/>
      <c r="BB743" s="219"/>
      <c r="BC743" s="219"/>
      <c r="BD743" s="219"/>
      <c r="BE743" s="219"/>
      <c r="BF743" s="219"/>
      <c r="BG743" s="219"/>
      <c r="BH743" s="219"/>
      <c r="BI743" s="219"/>
      <c r="BJ743" s="219"/>
      <c r="BK743" s="219"/>
      <c r="BL743" s="219"/>
      <c r="BM743" s="219"/>
      <c r="BN743" s="219"/>
    </row>
    <row r="744" ht="29.25" hidden="1" customHeight="1">
      <c r="A744" s="216"/>
      <c r="B744" s="217"/>
      <c r="C744" s="164"/>
      <c r="D744" s="164"/>
      <c r="E744" s="165"/>
      <c r="F744" s="173"/>
      <c r="G744" s="168"/>
      <c r="H744" s="168"/>
      <c r="I744" s="169"/>
      <c r="J744" s="170"/>
      <c r="K744" s="170"/>
      <c r="L744" s="170"/>
      <c r="M744" s="167"/>
      <c r="N744" s="169"/>
      <c r="O744" s="171"/>
      <c r="P744" s="106"/>
      <c r="Q744" s="218"/>
      <c r="R744" s="172"/>
      <c r="S744" s="172"/>
      <c r="T744" s="173"/>
      <c r="U744" s="219"/>
      <c r="V744" s="219"/>
      <c r="W744" s="219"/>
      <c r="X744" s="219"/>
      <c r="Y744" s="219"/>
      <c r="Z744" s="219"/>
      <c r="AA744" s="219"/>
      <c r="AB744" s="219"/>
      <c r="AC744" s="219"/>
      <c r="AD744" s="219"/>
      <c r="AE744" s="219"/>
      <c r="AF744" s="219"/>
      <c r="AG744" s="219"/>
      <c r="AH744" s="219"/>
      <c r="AI744" s="219"/>
      <c r="AJ744" s="219"/>
      <c r="AK744" s="219"/>
      <c r="AL744" s="219"/>
      <c r="AM744" s="219"/>
      <c r="AN744" s="219"/>
      <c r="AO744" s="219"/>
      <c r="AP744" s="219"/>
      <c r="AQ744" s="219"/>
      <c r="AR744" s="219"/>
      <c r="AS744" s="219"/>
      <c r="AT744" s="219"/>
      <c r="AU744" s="219"/>
      <c r="AV744" s="219"/>
      <c r="AW744" s="219"/>
      <c r="AX744" s="219"/>
      <c r="AY744" s="219"/>
      <c r="AZ744" s="219"/>
      <c r="BA744" s="219"/>
      <c r="BB744" s="219"/>
      <c r="BC744" s="219"/>
      <c r="BD744" s="219"/>
      <c r="BE744" s="219"/>
      <c r="BF744" s="219"/>
      <c r="BG744" s="219"/>
      <c r="BH744" s="219"/>
      <c r="BI744" s="219"/>
      <c r="BJ744" s="219"/>
      <c r="BK744" s="219"/>
      <c r="BL744" s="219"/>
      <c r="BM744" s="219"/>
      <c r="BN744" s="219"/>
    </row>
    <row r="745" ht="29.25" hidden="1" customHeight="1">
      <c r="A745" s="216"/>
      <c r="B745" s="217"/>
      <c r="C745" s="164"/>
      <c r="D745" s="164"/>
      <c r="E745" s="165"/>
      <c r="F745" s="173"/>
      <c r="G745" s="168"/>
      <c r="H745" s="168"/>
      <c r="I745" s="169"/>
      <c r="J745" s="170"/>
      <c r="K745" s="170"/>
      <c r="L745" s="170"/>
      <c r="M745" s="167"/>
      <c r="N745" s="169"/>
      <c r="O745" s="171"/>
      <c r="P745" s="106"/>
      <c r="Q745" s="218"/>
      <c r="R745" s="172"/>
      <c r="S745" s="172"/>
      <c r="T745" s="173"/>
      <c r="U745" s="219"/>
      <c r="V745" s="219"/>
      <c r="W745" s="219"/>
      <c r="X745" s="219"/>
      <c r="Y745" s="219"/>
      <c r="Z745" s="219"/>
      <c r="AA745" s="219"/>
      <c r="AB745" s="219"/>
      <c r="AC745" s="219"/>
      <c r="AD745" s="219"/>
      <c r="AE745" s="219"/>
      <c r="AF745" s="219"/>
      <c r="AG745" s="219"/>
      <c r="AH745" s="219"/>
      <c r="AI745" s="219"/>
      <c r="AJ745" s="219"/>
      <c r="AK745" s="219"/>
      <c r="AL745" s="219"/>
      <c r="AM745" s="219"/>
      <c r="AN745" s="219"/>
      <c r="AO745" s="219"/>
      <c r="AP745" s="219"/>
      <c r="AQ745" s="219"/>
      <c r="AR745" s="219"/>
      <c r="AS745" s="219"/>
      <c r="AT745" s="219"/>
      <c r="AU745" s="219"/>
      <c r="AV745" s="219"/>
      <c r="AW745" s="219"/>
      <c r="AX745" s="219"/>
      <c r="AY745" s="219"/>
      <c r="AZ745" s="219"/>
      <c r="BA745" s="219"/>
      <c r="BB745" s="219"/>
      <c r="BC745" s="219"/>
      <c r="BD745" s="219"/>
      <c r="BE745" s="219"/>
      <c r="BF745" s="219"/>
      <c r="BG745" s="219"/>
      <c r="BH745" s="219"/>
      <c r="BI745" s="219"/>
      <c r="BJ745" s="219"/>
      <c r="BK745" s="219"/>
      <c r="BL745" s="219"/>
      <c r="BM745" s="219"/>
      <c r="BN745" s="219"/>
    </row>
    <row r="746" ht="29.25" hidden="1" customHeight="1">
      <c r="A746" s="216"/>
      <c r="B746" s="217"/>
      <c r="C746" s="164"/>
      <c r="D746" s="164"/>
      <c r="E746" s="165"/>
      <c r="F746" s="173"/>
      <c r="G746" s="168"/>
      <c r="H746" s="168"/>
      <c r="I746" s="169"/>
      <c r="J746" s="170"/>
      <c r="K746" s="170"/>
      <c r="L746" s="170"/>
      <c r="M746" s="167"/>
      <c r="N746" s="169"/>
      <c r="O746" s="171"/>
      <c r="P746" s="106"/>
      <c r="Q746" s="218"/>
      <c r="R746" s="172"/>
      <c r="S746" s="172"/>
      <c r="T746" s="173"/>
      <c r="U746" s="219"/>
      <c r="V746" s="219"/>
      <c r="W746" s="219"/>
      <c r="X746" s="219"/>
      <c r="Y746" s="219"/>
      <c r="Z746" s="219"/>
      <c r="AA746" s="219"/>
      <c r="AB746" s="219"/>
      <c r="AC746" s="219"/>
      <c r="AD746" s="219"/>
      <c r="AE746" s="219"/>
      <c r="AF746" s="219"/>
      <c r="AG746" s="219"/>
      <c r="AH746" s="219"/>
      <c r="AI746" s="219"/>
      <c r="AJ746" s="219"/>
      <c r="AK746" s="219"/>
      <c r="AL746" s="219"/>
      <c r="AM746" s="219"/>
      <c r="AN746" s="219"/>
      <c r="AO746" s="219"/>
      <c r="AP746" s="219"/>
      <c r="AQ746" s="219"/>
      <c r="AR746" s="219"/>
      <c r="AS746" s="219"/>
      <c r="AT746" s="219"/>
      <c r="AU746" s="219"/>
      <c r="AV746" s="219"/>
      <c r="AW746" s="219"/>
      <c r="AX746" s="219"/>
      <c r="AY746" s="219"/>
      <c r="AZ746" s="219"/>
      <c r="BA746" s="219"/>
      <c r="BB746" s="219"/>
      <c r="BC746" s="219"/>
      <c r="BD746" s="219"/>
      <c r="BE746" s="219"/>
      <c r="BF746" s="219"/>
      <c r="BG746" s="219"/>
      <c r="BH746" s="219"/>
      <c r="BI746" s="219"/>
      <c r="BJ746" s="219"/>
      <c r="BK746" s="219"/>
      <c r="BL746" s="219"/>
      <c r="BM746" s="219"/>
      <c r="BN746" s="219"/>
    </row>
    <row r="747" ht="29.25" hidden="1" customHeight="1">
      <c r="A747" s="216"/>
      <c r="B747" s="217"/>
      <c r="C747" s="164"/>
      <c r="D747" s="164"/>
      <c r="E747" s="165"/>
      <c r="F747" s="173"/>
      <c r="G747" s="168"/>
      <c r="H747" s="168"/>
      <c r="I747" s="169"/>
      <c r="J747" s="170"/>
      <c r="K747" s="170"/>
      <c r="L747" s="170"/>
      <c r="M747" s="167"/>
      <c r="N747" s="169"/>
      <c r="O747" s="171"/>
      <c r="P747" s="106"/>
      <c r="Q747" s="218"/>
      <c r="R747" s="172"/>
      <c r="S747" s="172"/>
      <c r="T747" s="173"/>
      <c r="U747" s="219"/>
      <c r="V747" s="219"/>
      <c r="W747" s="219"/>
      <c r="X747" s="219"/>
      <c r="Y747" s="219"/>
      <c r="Z747" s="219"/>
      <c r="AA747" s="219"/>
      <c r="AB747" s="219"/>
      <c r="AC747" s="219"/>
      <c r="AD747" s="219"/>
      <c r="AE747" s="219"/>
      <c r="AF747" s="219"/>
      <c r="AG747" s="219"/>
      <c r="AH747" s="219"/>
      <c r="AI747" s="219"/>
      <c r="AJ747" s="219"/>
      <c r="AK747" s="219"/>
      <c r="AL747" s="219"/>
      <c r="AM747" s="219"/>
      <c r="AN747" s="219"/>
      <c r="AO747" s="219"/>
      <c r="AP747" s="219"/>
      <c r="AQ747" s="219"/>
      <c r="AR747" s="219"/>
      <c r="AS747" s="219"/>
      <c r="AT747" s="219"/>
      <c r="AU747" s="219"/>
      <c r="AV747" s="219"/>
      <c r="AW747" s="219"/>
      <c r="AX747" s="219"/>
      <c r="AY747" s="219"/>
      <c r="AZ747" s="219"/>
      <c r="BA747" s="219"/>
      <c r="BB747" s="219"/>
      <c r="BC747" s="219"/>
      <c r="BD747" s="219"/>
      <c r="BE747" s="219"/>
      <c r="BF747" s="219"/>
      <c r="BG747" s="219"/>
      <c r="BH747" s="219"/>
      <c r="BI747" s="219"/>
      <c r="BJ747" s="219"/>
      <c r="BK747" s="219"/>
      <c r="BL747" s="219"/>
      <c r="BM747" s="219"/>
      <c r="BN747" s="219"/>
    </row>
    <row r="748" ht="29.25" hidden="1" customHeight="1">
      <c r="A748" s="216"/>
      <c r="B748" s="217"/>
      <c r="C748" s="164"/>
      <c r="D748" s="164"/>
      <c r="E748" s="165"/>
      <c r="F748" s="173"/>
      <c r="G748" s="168"/>
      <c r="H748" s="168"/>
      <c r="I748" s="169"/>
      <c r="J748" s="170"/>
      <c r="K748" s="170"/>
      <c r="L748" s="170"/>
      <c r="M748" s="167"/>
      <c r="N748" s="169"/>
      <c r="O748" s="171"/>
      <c r="P748" s="106"/>
      <c r="Q748" s="218"/>
      <c r="R748" s="172"/>
      <c r="S748" s="172"/>
      <c r="T748" s="173"/>
      <c r="U748" s="219"/>
      <c r="V748" s="219"/>
      <c r="W748" s="219"/>
      <c r="X748" s="219"/>
      <c r="Y748" s="219"/>
      <c r="Z748" s="219"/>
      <c r="AA748" s="219"/>
      <c r="AB748" s="219"/>
      <c r="AC748" s="219"/>
      <c r="AD748" s="219"/>
      <c r="AE748" s="219"/>
      <c r="AF748" s="219"/>
      <c r="AG748" s="219"/>
      <c r="AH748" s="219"/>
      <c r="AI748" s="219"/>
      <c r="AJ748" s="219"/>
      <c r="AK748" s="219"/>
      <c r="AL748" s="219"/>
      <c r="AM748" s="219"/>
      <c r="AN748" s="219"/>
      <c r="AO748" s="219"/>
      <c r="AP748" s="219"/>
      <c r="AQ748" s="219"/>
      <c r="AR748" s="219"/>
      <c r="AS748" s="219"/>
      <c r="AT748" s="219"/>
      <c r="AU748" s="219"/>
      <c r="AV748" s="219"/>
      <c r="AW748" s="219"/>
      <c r="AX748" s="219"/>
      <c r="AY748" s="219"/>
      <c r="AZ748" s="219"/>
      <c r="BA748" s="219"/>
      <c r="BB748" s="219"/>
      <c r="BC748" s="219"/>
      <c r="BD748" s="219"/>
      <c r="BE748" s="219"/>
      <c r="BF748" s="219"/>
      <c r="BG748" s="219"/>
      <c r="BH748" s="219"/>
      <c r="BI748" s="219"/>
      <c r="BJ748" s="219"/>
      <c r="BK748" s="219"/>
      <c r="BL748" s="219"/>
      <c r="BM748" s="219"/>
      <c r="BN748" s="219"/>
    </row>
    <row r="749" ht="29.25" hidden="1" customHeight="1">
      <c r="A749" s="216"/>
      <c r="B749" s="217"/>
      <c r="C749" s="164"/>
      <c r="D749" s="164"/>
      <c r="E749" s="165"/>
      <c r="F749" s="173"/>
      <c r="G749" s="168"/>
      <c r="H749" s="168"/>
      <c r="I749" s="169"/>
      <c r="J749" s="170"/>
      <c r="K749" s="170"/>
      <c r="L749" s="170"/>
      <c r="M749" s="167"/>
      <c r="N749" s="169"/>
      <c r="O749" s="171"/>
      <c r="P749" s="106"/>
      <c r="Q749" s="218"/>
      <c r="R749" s="172"/>
      <c r="S749" s="172"/>
      <c r="T749" s="173"/>
      <c r="U749" s="219"/>
      <c r="V749" s="219"/>
      <c r="W749" s="219"/>
      <c r="X749" s="219"/>
      <c r="Y749" s="219"/>
      <c r="Z749" s="219"/>
      <c r="AA749" s="219"/>
      <c r="AB749" s="219"/>
      <c r="AC749" s="219"/>
      <c r="AD749" s="219"/>
      <c r="AE749" s="219"/>
      <c r="AF749" s="219"/>
      <c r="AG749" s="219"/>
      <c r="AH749" s="219"/>
      <c r="AI749" s="219"/>
      <c r="AJ749" s="219"/>
      <c r="AK749" s="219"/>
      <c r="AL749" s="219"/>
      <c r="AM749" s="219"/>
      <c r="AN749" s="219"/>
      <c r="AO749" s="219"/>
      <c r="AP749" s="219"/>
      <c r="AQ749" s="219"/>
      <c r="AR749" s="219"/>
      <c r="AS749" s="219"/>
      <c r="AT749" s="219"/>
      <c r="AU749" s="219"/>
      <c r="AV749" s="219"/>
      <c r="AW749" s="219"/>
      <c r="AX749" s="219"/>
      <c r="AY749" s="219"/>
      <c r="AZ749" s="219"/>
      <c r="BA749" s="219"/>
      <c r="BB749" s="219"/>
      <c r="BC749" s="219"/>
      <c r="BD749" s="219"/>
      <c r="BE749" s="219"/>
      <c r="BF749" s="219"/>
      <c r="BG749" s="219"/>
      <c r="BH749" s="219"/>
      <c r="BI749" s="219"/>
      <c r="BJ749" s="219"/>
      <c r="BK749" s="219"/>
      <c r="BL749" s="219"/>
      <c r="BM749" s="219"/>
      <c r="BN749" s="219"/>
    </row>
    <row r="750" ht="29.25" hidden="1" customHeight="1">
      <c r="A750" s="216"/>
      <c r="B750" s="217"/>
      <c r="C750" s="164"/>
      <c r="D750" s="164"/>
      <c r="E750" s="165"/>
      <c r="F750" s="173"/>
      <c r="G750" s="168"/>
      <c r="H750" s="168"/>
      <c r="I750" s="169"/>
      <c r="J750" s="170"/>
      <c r="K750" s="170"/>
      <c r="L750" s="170"/>
      <c r="M750" s="167"/>
      <c r="N750" s="169"/>
      <c r="O750" s="171"/>
      <c r="P750" s="106"/>
      <c r="Q750" s="218"/>
      <c r="R750" s="172"/>
      <c r="S750" s="172"/>
      <c r="T750" s="173"/>
      <c r="U750" s="219"/>
      <c r="V750" s="219"/>
      <c r="W750" s="219"/>
      <c r="X750" s="219"/>
      <c r="Y750" s="219"/>
      <c r="Z750" s="219"/>
      <c r="AA750" s="219"/>
      <c r="AB750" s="219"/>
      <c r="AC750" s="219"/>
      <c r="AD750" s="219"/>
      <c r="AE750" s="219"/>
      <c r="AF750" s="219"/>
      <c r="AG750" s="219"/>
      <c r="AH750" s="219"/>
      <c r="AI750" s="219"/>
      <c r="AJ750" s="219"/>
      <c r="AK750" s="219"/>
      <c r="AL750" s="219"/>
      <c r="AM750" s="219"/>
      <c r="AN750" s="219"/>
      <c r="AO750" s="219"/>
      <c r="AP750" s="219"/>
      <c r="AQ750" s="219"/>
      <c r="AR750" s="219"/>
      <c r="AS750" s="219"/>
      <c r="AT750" s="219"/>
      <c r="AU750" s="219"/>
      <c r="AV750" s="219"/>
      <c r="AW750" s="219"/>
      <c r="AX750" s="219"/>
      <c r="AY750" s="219"/>
      <c r="AZ750" s="219"/>
      <c r="BA750" s="219"/>
      <c r="BB750" s="219"/>
      <c r="BC750" s="219"/>
      <c r="BD750" s="219"/>
      <c r="BE750" s="219"/>
      <c r="BF750" s="219"/>
      <c r="BG750" s="219"/>
      <c r="BH750" s="219"/>
      <c r="BI750" s="219"/>
      <c r="BJ750" s="219"/>
      <c r="BK750" s="219"/>
      <c r="BL750" s="219"/>
      <c r="BM750" s="219"/>
      <c r="BN750" s="219"/>
    </row>
    <row r="751" ht="29.25" hidden="1" customHeight="1">
      <c r="A751" s="216"/>
      <c r="B751" s="217"/>
      <c r="C751" s="164"/>
      <c r="D751" s="164"/>
      <c r="E751" s="165"/>
      <c r="F751" s="173"/>
      <c r="G751" s="168"/>
      <c r="H751" s="168"/>
      <c r="I751" s="169"/>
      <c r="J751" s="170"/>
      <c r="K751" s="170"/>
      <c r="L751" s="170"/>
      <c r="M751" s="167"/>
      <c r="N751" s="169"/>
      <c r="O751" s="171"/>
      <c r="P751" s="106"/>
      <c r="Q751" s="218"/>
      <c r="R751" s="172"/>
      <c r="S751" s="172"/>
      <c r="T751" s="173"/>
      <c r="U751" s="219"/>
      <c r="V751" s="219"/>
      <c r="W751" s="219"/>
      <c r="X751" s="219"/>
      <c r="Y751" s="219"/>
      <c r="Z751" s="219"/>
      <c r="AA751" s="219"/>
      <c r="AB751" s="219"/>
      <c r="AC751" s="219"/>
      <c r="AD751" s="219"/>
      <c r="AE751" s="219"/>
      <c r="AF751" s="219"/>
      <c r="AG751" s="219"/>
      <c r="AH751" s="219"/>
      <c r="AI751" s="219"/>
      <c r="AJ751" s="219"/>
      <c r="AK751" s="219"/>
      <c r="AL751" s="219"/>
      <c r="AM751" s="219"/>
      <c r="AN751" s="219"/>
      <c r="AO751" s="219"/>
      <c r="AP751" s="219"/>
      <c r="AQ751" s="219"/>
      <c r="AR751" s="219"/>
      <c r="AS751" s="219"/>
      <c r="AT751" s="219"/>
      <c r="AU751" s="219"/>
      <c r="AV751" s="219"/>
      <c r="AW751" s="219"/>
      <c r="AX751" s="219"/>
      <c r="AY751" s="219"/>
      <c r="AZ751" s="219"/>
      <c r="BA751" s="219"/>
      <c r="BB751" s="219"/>
      <c r="BC751" s="219"/>
      <c r="BD751" s="219"/>
      <c r="BE751" s="219"/>
      <c r="BF751" s="219"/>
      <c r="BG751" s="219"/>
      <c r="BH751" s="219"/>
      <c r="BI751" s="219"/>
      <c r="BJ751" s="219"/>
      <c r="BK751" s="219"/>
      <c r="BL751" s="219"/>
      <c r="BM751" s="219"/>
      <c r="BN751" s="219"/>
    </row>
    <row r="752" ht="29.25" hidden="1" customHeight="1">
      <c r="A752" s="216"/>
      <c r="B752" s="217"/>
      <c r="C752" s="164"/>
      <c r="D752" s="164"/>
      <c r="E752" s="165"/>
      <c r="F752" s="173"/>
      <c r="G752" s="168"/>
      <c r="H752" s="168"/>
      <c r="I752" s="169"/>
      <c r="J752" s="170"/>
      <c r="K752" s="170"/>
      <c r="L752" s="170"/>
      <c r="M752" s="167"/>
      <c r="N752" s="169"/>
      <c r="O752" s="171"/>
      <c r="P752" s="106"/>
      <c r="Q752" s="218"/>
      <c r="R752" s="172"/>
      <c r="S752" s="172"/>
      <c r="T752" s="173"/>
      <c r="U752" s="219"/>
      <c r="V752" s="219"/>
      <c r="W752" s="219"/>
      <c r="X752" s="219"/>
      <c r="Y752" s="219"/>
      <c r="Z752" s="219"/>
      <c r="AA752" s="219"/>
      <c r="AB752" s="219"/>
      <c r="AC752" s="219"/>
      <c r="AD752" s="219"/>
      <c r="AE752" s="219"/>
      <c r="AF752" s="219"/>
      <c r="AG752" s="219"/>
      <c r="AH752" s="219"/>
      <c r="AI752" s="219"/>
      <c r="AJ752" s="219"/>
      <c r="AK752" s="219"/>
      <c r="AL752" s="219"/>
      <c r="AM752" s="219"/>
      <c r="AN752" s="219"/>
      <c r="AO752" s="219"/>
      <c r="AP752" s="219"/>
      <c r="AQ752" s="219"/>
      <c r="AR752" s="219"/>
      <c r="AS752" s="219"/>
      <c r="AT752" s="219"/>
      <c r="AU752" s="219"/>
      <c r="AV752" s="219"/>
      <c r="AW752" s="219"/>
      <c r="AX752" s="219"/>
      <c r="AY752" s="219"/>
      <c r="AZ752" s="219"/>
      <c r="BA752" s="219"/>
      <c r="BB752" s="219"/>
      <c r="BC752" s="219"/>
      <c r="BD752" s="219"/>
      <c r="BE752" s="219"/>
      <c r="BF752" s="219"/>
      <c r="BG752" s="219"/>
      <c r="BH752" s="219"/>
      <c r="BI752" s="219"/>
      <c r="BJ752" s="219"/>
      <c r="BK752" s="219"/>
      <c r="BL752" s="219"/>
      <c r="BM752" s="219"/>
      <c r="BN752" s="219"/>
    </row>
    <row r="753" ht="29.25" hidden="1" customHeight="1">
      <c r="A753" s="216"/>
      <c r="B753" s="217"/>
      <c r="C753" s="164"/>
      <c r="D753" s="164"/>
      <c r="E753" s="165"/>
      <c r="F753" s="173"/>
      <c r="G753" s="168"/>
      <c r="H753" s="168"/>
      <c r="I753" s="169"/>
      <c r="J753" s="170"/>
      <c r="K753" s="170"/>
      <c r="L753" s="170"/>
      <c r="M753" s="167"/>
      <c r="N753" s="169"/>
      <c r="O753" s="171"/>
      <c r="P753" s="106"/>
      <c r="Q753" s="218"/>
      <c r="R753" s="172"/>
      <c r="S753" s="172"/>
      <c r="T753" s="173"/>
      <c r="U753" s="219"/>
      <c r="V753" s="219"/>
      <c r="W753" s="219"/>
      <c r="X753" s="219"/>
      <c r="Y753" s="219"/>
      <c r="Z753" s="219"/>
      <c r="AA753" s="219"/>
      <c r="AB753" s="219"/>
      <c r="AC753" s="219"/>
      <c r="AD753" s="219"/>
      <c r="AE753" s="219"/>
      <c r="AF753" s="219"/>
      <c r="AG753" s="219"/>
      <c r="AH753" s="219"/>
      <c r="AI753" s="219"/>
      <c r="AJ753" s="219"/>
      <c r="AK753" s="219"/>
      <c r="AL753" s="219"/>
      <c r="AM753" s="219"/>
      <c r="AN753" s="219"/>
      <c r="AO753" s="219"/>
      <c r="AP753" s="219"/>
      <c r="AQ753" s="219"/>
      <c r="AR753" s="219"/>
      <c r="AS753" s="219"/>
      <c r="AT753" s="219"/>
      <c r="AU753" s="219"/>
      <c r="AV753" s="219"/>
      <c r="AW753" s="219"/>
      <c r="AX753" s="219"/>
      <c r="AY753" s="219"/>
      <c r="AZ753" s="219"/>
      <c r="BA753" s="219"/>
      <c r="BB753" s="219"/>
      <c r="BC753" s="219"/>
      <c r="BD753" s="219"/>
      <c r="BE753" s="219"/>
      <c r="BF753" s="219"/>
      <c r="BG753" s="219"/>
      <c r="BH753" s="219"/>
      <c r="BI753" s="219"/>
      <c r="BJ753" s="219"/>
      <c r="BK753" s="219"/>
      <c r="BL753" s="219"/>
      <c r="BM753" s="219"/>
      <c r="BN753" s="219"/>
    </row>
    <row r="754" ht="29.25" hidden="1" customHeight="1">
      <c r="A754" s="216"/>
      <c r="B754" s="217"/>
      <c r="C754" s="164"/>
      <c r="D754" s="164"/>
      <c r="E754" s="165"/>
      <c r="F754" s="173"/>
      <c r="G754" s="168"/>
      <c r="H754" s="168"/>
      <c r="I754" s="169"/>
      <c r="J754" s="170"/>
      <c r="K754" s="170"/>
      <c r="L754" s="170"/>
      <c r="M754" s="167"/>
      <c r="N754" s="169"/>
      <c r="O754" s="171"/>
      <c r="P754" s="106"/>
      <c r="Q754" s="218"/>
      <c r="R754" s="172"/>
      <c r="S754" s="172"/>
      <c r="T754" s="173"/>
      <c r="U754" s="219"/>
      <c r="V754" s="219"/>
      <c r="W754" s="219"/>
      <c r="X754" s="219"/>
      <c r="Y754" s="219"/>
      <c r="Z754" s="219"/>
      <c r="AA754" s="219"/>
      <c r="AB754" s="219"/>
      <c r="AC754" s="219"/>
      <c r="AD754" s="219"/>
      <c r="AE754" s="219"/>
      <c r="AF754" s="219"/>
      <c r="AG754" s="219"/>
      <c r="AH754" s="219"/>
      <c r="AI754" s="219"/>
      <c r="AJ754" s="219"/>
      <c r="AK754" s="219"/>
      <c r="AL754" s="219"/>
      <c r="AM754" s="219"/>
      <c r="AN754" s="219"/>
      <c r="AO754" s="219"/>
      <c r="AP754" s="219"/>
      <c r="AQ754" s="219"/>
      <c r="AR754" s="219"/>
      <c r="AS754" s="219"/>
      <c r="AT754" s="219"/>
      <c r="AU754" s="219"/>
      <c r="AV754" s="219"/>
      <c r="AW754" s="219"/>
      <c r="AX754" s="219"/>
      <c r="AY754" s="219"/>
      <c r="AZ754" s="219"/>
      <c r="BA754" s="219"/>
      <c r="BB754" s="219"/>
      <c r="BC754" s="219"/>
      <c r="BD754" s="219"/>
      <c r="BE754" s="219"/>
      <c r="BF754" s="219"/>
      <c r="BG754" s="219"/>
      <c r="BH754" s="219"/>
      <c r="BI754" s="219"/>
      <c r="BJ754" s="219"/>
      <c r="BK754" s="219"/>
      <c r="BL754" s="219"/>
      <c r="BM754" s="219"/>
      <c r="BN754" s="219"/>
    </row>
    <row r="755" ht="29.25" hidden="1" customHeight="1">
      <c r="A755" s="216"/>
      <c r="B755" s="217"/>
      <c r="C755" s="164"/>
      <c r="D755" s="164"/>
      <c r="E755" s="165"/>
      <c r="F755" s="173"/>
      <c r="G755" s="168"/>
      <c r="H755" s="168"/>
      <c r="I755" s="169"/>
      <c r="J755" s="170"/>
      <c r="K755" s="170"/>
      <c r="L755" s="170"/>
      <c r="M755" s="167"/>
      <c r="N755" s="169"/>
      <c r="O755" s="171"/>
      <c r="P755" s="106"/>
      <c r="Q755" s="218"/>
      <c r="R755" s="172"/>
      <c r="S755" s="172"/>
      <c r="T755" s="173"/>
      <c r="U755" s="219"/>
      <c r="V755" s="219"/>
      <c r="W755" s="219"/>
      <c r="X755" s="219"/>
      <c r="Y755" s="219"/>
      <c r="Z755" s="219"/>
      <c r="AA755" s="219"/>
      <c r="AB755" s="219"/>
      <c r="AC755" s="219"/>
      <c r="AD755" s="219"/>
      <c r="AE755" s="219"/>
      <c r="AF755" s="219"/>
      <c r="AG755" s="219"/>
      <c r="AH755" s="219"/>
      <c r="AI755" s="219"/>
      <c r="AJ755" s="219"/>
      <c r="AK755" s="219"/>
      <c r="AL755" s="219"/>
      <c r="AM755" s="219"/>
      <c r="AN755" s="219"/>
      <c r="AO755" s="219"/>
      <c r="AP755" s="219"/>
      <c r="AQ755" s="219"/>
      <c r="AR755" s="219"/>
      <c r="AS755" s="219"/>
      <c r="AT755" s="219"/>
      <c r="AU755" s="219"/>
      <c r="AV755" s="219"/>
      <c r="AW755" s="219"/>
      <c r="AX755" s="219"/>
      <c r="AY755" s="219"/>
      <c r="AZ755" s="219"/>
      <c r="BA755" s="219"/>
      <c r="BB755" s="219"/>
      <c r="BC755" s="219"/>
      <c r="BD755" s="219"/>
      <c r="BE755" s="219"/>
      <c r="BF755" s="219"/>
      <c r="BG755" s="219"/>
      <c r="BH755" s="219"/>
      <c r="BI755" s="219"/>
      <c r="BJ755" s="219"/>
      <c r="BK755" s="219"/>
      <c r="BL755" s="219"/>
      <c r="BM755" s="219"/>
      <c r="BN755" s="219"/>
    </row>
    <row r="756" ht="29.25" hidden="1" customHeight="1">
      <c r="A756" s="216"/>
      <c r="B756" s="217"/>
      <c r="C756" s="164"/>
      <c r="D756" s="164"/>
      <c r="E756" s="165"/>
      <c r="F756" s="173"/>
      <c r="G756" s="168"/>
      <c r="H756" s="168"/>
      <c r="I756" s="169"/>
      <c r="J756" s="170"/>
      <c r="K756" s="170"/>
      <c r="L756" s="170"/>
      <c r="M756" s="167"/>
      <c r="N756" s="169"/>
      <c r="O756" s="171"/>
      <c r="P756" s="106"/>
      <c r="Q756" s="218"/>
      <c r="R756" s="172"/>
      <c r="S756" s="172"/>
      <c r="T756" s="173"/>
      <c r="U756" s="219"/>
      <c r="V756" s="219"/>
      <c r="W756" s="219"/>
      <c r="X756" s="219"/>
      <c r="Y756" s="219"/>
      <c r="Z756" s="219"/>
      <c r="AA756" s="219"/>
      <c r="AB756" s="219"/>
      <c r="AC756" s="219"/>
      <c r="AD756" s="219"/>
      <c r="AE756" s="219"/>
      <c r="AF756" s="219"/>
      <c r="AG756" s="219"/>
      <c r="AH756" s="219"/>
      <c r="AI756" s="219"/>
      <c r="AJ756" s="219"/>
      <c r="AK756" s="219"/>
      <c r="AL756" s="219"/>
      <c r="AM756" s="219"/>
      <c r="AN756" s="219"/>
      <c r="AO756" s="219"/>
      <c r="AP756" s="219"/>
      <c r="AQ756" s="219"/>
      <c r="AR756" s="219"/>
      <c r="AS756" s="219"/>
      <c r="AT756" s="219"/>
      <c r="AU756" s="219"/>
      <c r="AV756" s="219"/>
      <c r="AW756" s="219"/>
      <c r="AX756" s="219"/>
      <c r="AY756" s="219"/>
      <c r="AZ756" s="219"/>
      <c r="BA756" s="219"/>
      <c r="BB756" s="219"/>
      <c r="BC756" s="219"/>
      <c r="BD756" s="219"/>
      <c r="BE756" s="219"/>
      <c r="BF756" s="219"/>
      <c r="BG756" s="219"/>
      <c r="BH756" s="219"/>
      <c r="BI756" s="219"/>
      <c r="BJ756" s="219"/>
      <c r="BK756" s="219"/>
      <c r="BL756" s="219"/>
      <c r="BM756" s="219"/>
      <c r="BN756" s="219"/>
    </row>
    <row r="757" ht="29.25" hidden="1" customHeight="1">
      <c r="A757" s="216"/>
      <c r="B757" s="217"/>
      <c r="C757" s="164"/>
      <c r="D757" s="164"/>
      <c r="E757" s="165"/>
      <c r="F757" s="173"/>
      <c r="G757" s="168"/>
      <c r="H757" s="168"/>
      <c r="I757" s="169"/>
      <c r="J757" s="170"/>
      <c r="K757" s="170"/>
      <c r="L757" s="170"/>
      <c r="M757" s="167"/>
      <c r="N757" s="169"/>
      <c r="O757" s="171"/>
      <c r="P757" s="106"/>
      <c r="Q757" s="218"/>
      <c r="R757" s="172"/>
      <c r="S757" s="172"/>
      <c r="T757" s="173"/>
      <c r="U757" s="219"/>
      <c r="V757" s="219"/>
      <c r="W757" s="219"/>
      <c r="X757" s="219"/>
      <c r="Y757" s="219"/>
      <c r="Z757" s="219"/>
      <c r="AA757" s="219"/>
      <c r="AB757" s="219"/>
      <c r="AC757" s="219"/>
      <c r="AD757" s="219"/>
      <c r="AE757" s="219"/>
      <c r="AF757" s="219"/>
      <c r="AG757" s="219"/>
      <c r="AH757" s="219"/>
      <c r="AI757" s="219"/>
      <c r="AJ757" s="219"/>
      <c r="AK757" s="219"/>
      <c r="AL757" s="219"/>
      <c r="AM757" s="219"/>
      <c r="AN757" s="219"/>
      <c r="AO757" s="219"/>
      <c r="AP757" s="219"/>
      <c r="AQ757" s="219"/>
      <c r="AR757" s="219"/>
      <c r="AS757" s="219"/>
      <c r="AT757" s="219"/>
      <c r="AU757" s="219"/>
      <c r="AV757" s="219"/>
      <c r="AW757" s="219"/>
      <c r="AX757" s="219"/>
      <c r="AY757" s="219"/>
      <c r="AZ757" s="219"/>
      <c r="BA757" s="219"/>
      <c r="BB757" s="219"/>
      <c r="BC757" s="219"/>
      <c r="BD757" s="219"/>
      <c r="BE757" s="219"/>
      <c r="BF757" s="219"/>
      <c r="BG757" s="219"/>
      <c r="BH757" s="219"/>
      <c r="BI757" s="219"/>
      <c r="BJ757" s="219"/>
      <c r="BK757" s="219"/>
      <c r="BL757" s="219"/>
      <c r="BM757" s="219"/>
      <c r="BN757" s="219"/>
    </row>
    <row r="758" ht="29.25" hidden="1" customHeight="1">
      <c r="A758" s="216"/>
      <c r="B758" s="217"/>
      <c r="C758" s="164"/>
      <c r="D758" s="164"/>
      <c r="E758" s="165"/>
      <c r="F758" s="173"/>
      <c r="G758" s="168"/>
      <c r="H758" s="168"/>
      <c r="I758" s="169"/>
      <c r="J758" s="170"/>
      <c r="K758" s="170"/>
      <c r="L758" s="170"/>
      <c r="M758" s="167"/>
      <c r="N758" s="169"/>
      <c r="O758" s="171"/>
      <c r="P758" s="106"/>
      <c r="Q758" s="218"/>
      <c r="R758" s="172"/>
      <c r="S758" s="172"/>
      <c r="T758" s="173"/>
      <c r="U758" s="219"/>
      <c r="V758" s="219"/>
      <c r="W758" s="219"/>
      <c r="X758" s="219"/>
      <c r="Y758" s="219"/>
      <c r="Z758" s="219"/>
      <c r="AA758" s="219"/>
      <c r="AB758" s="219"/>
      <c r="AC758" s="219"/>
      <c r="AD758" s="219"/>
      <c r="AE758" s="219"/>
      <c r="AF758" s="219"/>
      <c r="AG758" s="219"/>
      <c r="AH758" s="219"/>
      <c r="AI758" s="219"/>
      <c r="AJ758" s="219"/>
      <c r="AK758" s="219"/>
      <c r="AL758" s="219"/>
      <c r="AM758" s="219"/>
      <c r="AN758" s="219"/>
      <c r="AO758" s="219"/>
      <c r="AP758" s="219"/>
      <c r="AQ758" s="219"/>
      <c r="AR758" s="219"/>
      <c r="AS758" s="219"/>
      <c r="AT758" s="219"/>
      <c r="AU758" s="219"/>
      <c r="AV758" s="219"/>
      <c r="AW758" s="219"/>
      <c r="AX758" s="219"/>
      <c r="AY758" s="219"/>
      <c r="AZ758" s="219"/>
      <c r="BA758" s="219"/>
      <c r="BB758" s="219"/>
      <c r="BC758" s="219"/>
      <c r="BD758" s="219"/>
      <c r="BE758" s="219"/>
      <c r="BF758" s="219"/>
      <c r="BG758" s="219"/>
      <c r="BH758" s="219"/>
      <c r="BI758" s="219"/>
      <c r="BJ758" s="219"/>
      <c r="BK758" s="219"/>
      <c r="BL758" s="219"/>
      <c r="BM758" s="219"/>
      <c r="BN758" s="219"/>
    </row>
    <row r="759" ht="29.25" hidden="1" customHeight="1">
      <c r="A759" s="216"/>
      <c r="B759" s="217"/>
      <c r="C759" s="164"/>
      <c r="D759" s="164"/>
      <c r="E759" s="165"/>
      <c r="F759" s="173"/>
      <c r="G759" s="168"/>
      <c r="H759" s="168"/>
      <c r="I759" s="169"/>
      <c r="J759" s="170"/>
      <c r="K759" s="170"/>
      <c r="L759" s="170"/>
      <c r="M759" s="167"/>
      <c r="N759" s="169"/>
      <c r="O759" s="171"/>
      <c r="P759" s="106"/>
      <c r="Q759" s="218"/>
      <c r="R759" s="172"/>
      <c r="S759" s="172"/>
      <c r="T759" s="173"/>
      <c r="U759" s="219"/>
      <c r="V759" s="219"/>
      <c r="W759" s="219"/>
      <c r="X759" s="219"/>
      <c r="Y759" s="219"/>
      <c r="Z759" s="219"/>
      <c r="AA759" s="219"/>
      <c r="AB759" s="219"/>
      <c r="AC759" s="219"/>
      <c r="AD759" s="219"/>
      <c r="AE759" s="219"/>
      <c r="AF759" s="219"/>
      <c r="AG759" s="219"/>
      <c r="AH759" s="219"/>
      <c r="AI759" s="219"/>
      <c r="AJ759" s="219"/>
      <c r="AK759" s="219"/>
      <c r="AL759" s="219"/>
      <c r="AM759" s="219"/>
      <c r="AN759" s="219"/>
      <c r="AO759" s="219"/>
      <c r="AP759" s="219"/>
      <c r="AQ759" s="219"/>
      <c r="AR759" s="219"/>
      <c r="AS759" s="219"/>
      <c r="AT759" s="219"/>
      <c r="AU759" s="219"/>
      <c r="AV759" s="219"/>
      <c r="AW759" s="219"/>
      <c r="AX759" s="219"/>
      <c r="AY759" s="219"/>
      <c r="AZ759" s="219"/>
      <c r="BA759" s="219"/>
      <c r="BB759" s="219"/>
      <c r="BC759" s="219"/>
      <c r="BD759" s="219"/>
      <c r="BE759" s="219"/>
      <c r="BF759" s="219"/>
      <c r="BG759" s="219"/>
      <c r="BH759" s="219"/>
      <c r="BI759" s="219"/>
      <c r="BJ759" s="219"/>
      <c r="BK759" s="219"/>
      <c r="BL759" s="219"/>
      <c r="BM759" s="219"/>
      <c r="BN759" s="219"/>
    </row>
    <row r="760" ht="29.25" hidden="1" customHeight="1">
      <c r="A760" s="216"/>
      <c r="B760" s="217"/>
      <c r="C760" s="164"/>
      <c r="D760" s="164"/>
      <c r="E760" s="165"/>
      <c r="F760" s="173"/>
      <c r="G760" s="168"/>
      <c r="H760" s="168"/>
      <c r="I760" s="169"/>
      <c r="J760" s="170"/>
      <c r="K760" s="170"/>
      <c r="L760" s="170"/>
      <c r="M760" s="167"/>
      <c r="N760" s="169"/>
      <c r="O760" s="171"/>
      <c r="P760" s="106"/>
      <c r="Q760" s="218"/>
      <c r="R760" s="172"/>
      <c r="S760" s="172"/>
      <c r="T760" s="173"/>
      <c r="U760" s="219"/>
      <c r="V760" s="219"/>
      <c r="W760" s="219"/>
      <c r="X760" s="219"/>
      <c r="Y760" s="219"/>
      <c r="Z760" s="219"/>
      <c r="AA760" s="219"/>
      <c r="AB760" s="219"/>
      <c r="AC760" s="219"/>
      <c r="AD760" s="219"/>
      <c r="AE760" s="219"/>
      <c r="AF760" s="219"/>
      <c r="AG760" s="219"/>
      <c r="AH760" s="219"/>
      <c r="AI760" s="219"/>
      <c r="AJ760" s="219"/>
      <c r="AK760" s="219"/>
      <c r="AL760" s="219"/>
      <c r="AM760" s="219"/>
      <c r="AN760" s="219"/>
      <c r="AO760" s="219"/>
      <c r="AP760" s="219"/>
      <c r="AQ760" s="219"/>
      <c r="AR760" s="219"/>
      <c r="AS760" s="219"/>
      <c r="AT760" s="219"/>
      <c r="AU760" s="219"/>
      <c r="AV760" s="219"/>
      <c r="AW760" s="219"/>
      <c r="AX760" s="219"/>
      <c r="AY760" s="219"/>
      <c r="AZ760" s="219"/>
      <c r="BA760" s="219"/>
      <c r="BB760" s="219"/>
      <c r="BC760" s="219"/>
      <c r="BD760" s="219"/>
      <c r="BE760" s="219"/>
      <c r="BF760" s="219"/>
      <c r="BG760" s="219"/>
      <c r="BH760" s="219"/>
      <c r="BI760" s="219"/>
      <c r="BJ760" s="219"/>
      <c r="BK760" s="219"/>
      <c r="BL760" s="219"/>
      <c r="BM760" s="219"/>
      <c r="BN760" s="219"/>
    </row>
    <row r="761" ht="29.25" hidden="1" customHeight="1">
      <c r="A761" s="216"/>
      <c r="B761" s="217"/>
      <c r="C761" s="164"/>
      <c r="D761" s="164"/>
      <c r="E761" s="165"/>
      <c r="F761" s="173"/>
      <c r="G761" s="168"/>
      <c r="H761" s="168"/>
      <c r="I761" s="169"/>
      <c r="J761" s="170"/>
      <c r="K761" s="170"/>
      <c r="L761" s="170"/>
      <c r="M761" s="167"/>
      <c r="N761" s="169"/>
      <c r="O761" s="171"/>
      <c r="P761" s="106"/>
      <c r="Q761" s="218"/>
      <c r="R761" s="172"/>
      <c r="S761" s="172"/>
      <c r="T761" s="173"/>
      <c r="U761" s="219"/>
      <c r="V761" s="219"/>
      <c r="W761" s="219"/>
      <c r="X761" s="219"/>
      <c r="Y761" s="219"/>
      <c r="Z761" s="219"/>
      <c r="AA761" s="219"/>
      <c r="AB761" s="219"/>
      <c r="AC761" s="219"/>
      <c r="AD761" s="219"/>
      <c r="AE761" s="219"/>
      <c r="AF761" s="219"/>
      <c r="AG761" s="219"/>
      <c r="AH761" s="219"/>
      <c r="AI761" s="219"/>
      <c r="AJ761" s="219"/>
      <c r="AK761" s="219"/>
      <c r="AL761" s="219"/>
      <c r="AM761" s="219"/>
      <c r="AN761" s="219"/>
      <c r="AO761" s="219"/>
      <c r="AP761" s="219"/>
      <c r="AQ761" s="219"/>
      <c r="AR761" s="219"/>
      <c r="AS761" s="219"/>
      <c r="AT761" s="219"/>
      <c r="AU761" s="219"/>
      <c r="AV761" s="219"/>
      <c r="AW761" s="219"/>
      <c r="AX761" s="219"/>
      <c r="AY761" s="219"/>
      <c r="AZ761" s="219"/>
      <c r="BA761" s="219"/>
      <c r="BB761" s="219"/>
      <c r="BC761" s="219"/>
      <c r="BD761" s="219"/>
      <c r="BE761" s="219"/>
      <c r="BF761" s="219"/>
      <c r="BG761" s="219"/>
      <c r="BH761" s="219"/>
      <c r="BI761" s="219"/>
      <c r="BJ761" s="219"/>
      <c r="BK761" s="219"/>
      <c r="BL761" s="219"/>
      <c r="BM761" s="219"/>
      <c r="BN761" s="219"/>
    </row>
    <row r="762" ht="29.25" hidden="1" customHeight="1">
      <c r="A762" s="216"/>
      <c r="B762" s="217"/>
      <c r="C762" s="164"/>
      <c r="D762" s="164"/>
      <c r="E762" s="165"/>
      <c r="F762" s="173"/>
      <c r="G762" s="168"/>
      <c r="H762" s="168"/>
      <c r="I762" s="169"/>
      <c r="J762" s="170"/>
      <c r="K762" s="170"/>
      <c r="L762" s="170"/>
      <c r="M762" s="167"/>
      <c r="N762" s="169"/>
      <c r="O762" s="171"/>
      <c r="P762" s="106"/>
      <c r="Q762" s="218"/>
      <c r="R762" s="172"/>
      <c r="S762" s="172"/>
      <c r="T762" s="173"/>
      <c r="U762" s="219"/>
      <c r="V762" s="219"/>
      <c r="W762" s="219"/>
      <c r="X762" s="219"/>
      <c r="Y762" s="219"/>
      <c r="Z762" s="219"/>
      <c r="AA762" s="219"/>
      <c r="AB762" s="219"/>
      <c r="AC762" s="219"/>
      <c r="AD762" s="219"/>
      <c r="AE762" s="219"/>
      <c r="AF762" s="219"/>
      <c r="AG762" s="219"/>
      <c r="AH762" s="219"/>
      <c r="AI762" s="219"/>
      <c r="AJ762" s="219"/>
      <c r="AK762" s="219"/>
      <c r="AL762" s="219"/>
      <c r="AM762" s="219"/>
      <c r="AN762" s="219"/>
      <c r="AO762" s="219"/>
      <c r="AP762" s="219"/>
      <c r="AQ762" s="219"/>
      <c r="AR762" s="219"/>
      <c r="AS762" s="219"/>
      <c r="AT762" s="219"/>
      <c r="AU762" s="219"/>
      <c r="AV762" s="219"/>
      <c r="AW762" s="219"/>
      <c r="AX762" s="219"/>
      <c r="AY762" s="219"/>
      <c r="AZ762" s="219"/>
      <c r="BA762" s="219"/>
      <c r="BB762" s="219"/>
      <c r="BC762" s="219"/>
      <c r="BD762" s="219"/>
      <c r="BE762" s="219"/>
      <c r="BF762" s="219"/>
      <c r="BG762" s="219"/>
      <c r="BH762" s="219"/>
      <c r="BI762" s="219"/>
      <c r="BJ762" s="219"/>
      <c r="BK762" s="219"/>
      <c r="BL762" s="219"/>
      <c r="BM762" s="219"/>
      <c r="BN762" s="219"/>
    </row>
    <row r="763" ht="29.25" hidden="1" customHeight="1">
      <c r="A763" s="216"/>
      <c r="B763" s="217"/>
      <c r="C763" s="164"/>
      <c r="D763" s="164"/>
      <c r="E763" s="165"/>
      <c r="F763" s="173"/>
      <c r="G763" s="168"/>
      <c r="H763" s="168"/>
      <c r="I763" s="169"/>
      <c r="J763" s="170"/>
      <c r="K763" s="170"/>
      <c r="L763" s="170"/>
      <c r="M763" s="167"/>
      <c r="N763" s="169"/>
      <c r="O763" s="171"/>
      <c r="P763" s="106"/>
      <c r="Q763" s="218"/>
      <c r="R763" s="172"/>
      <c r="S763" s="172"/>
      <c r="T763" s="173"/>
      <c r="U763" s="219"/>
      <c r="V763" s="219"/>
      <c r="W763" s="219"/>
      <c r="X763" s="219"/>
      <c r="Y763" s="219"/>
      <c r="Z763" s="219"/>
      <c r="AA763" s="219"/>
      <c r="AB763" s="219"/>
      <c r="AC763" s="219"/>
      <c r="AD763" s="219"/>
      <c r="AE763" s="219"/>
      <c r="AF763" s="219"/>
      <c r="AG763" s="219"/>
      <c r="AH763" s="219"/>
      <c r="AI763" s="219"/>
      <c r="AJ763" s="219"/>
      <c r="AK763" s="219"/>
      <c r="AL763" s="219"/>
      <c r="AM763" s="219"/>
      <c r="AN763" s="219"/>
      <c r="AO763" s="219"/>
      <c r="AP763" s="219"/>
      <c r="AQ763" s="219"/>
      <c r="AR763" s="219"/>
      <c r="AS763" s="219"/>
      <c r="AT763" s="219"/>
      <c r="AU763" s="219"/>
      <c r="AV763" s="219"/>
      <c r="AW763" s="219"/>
      <c r="AX763" s="219"/>
      <c r="AY763" s="219"/>
      <c r="AZ763" s="219"/>
      <c r="BA763" s="219"/>
      <c r="BB763" s="219"/>
      <c r="BC763" s="219"/>
      <c r="BD763" s="219"/>
      <c r="BE763" s="219"/>
      <c r="BF763" s="219"/>
      <c r="BG763" s="219"/>
      <c r="BH763" s="219"/>
      <c r="BI763" s="219"/>
      <c r="BJ763" s="219"/>
      <c r="BK763" s="219"/>
      <c r="BL763" s="219"/>
      <c r="BM763" s="219"/>
      <c r="BN763" s="219"/>
    </row>
    <row r="764" ht="29.25" hidden="1" customHeight="1">
      <c r="A764" s="216"/>
      <c r="B764" s="217"/>
      <c r="C764" s="164"/>
      <c r="D764" s="164"/>
      <c r="E764" s="165"/>
      <c r="F764" s="173"/>
      <c r="G764" s="168"/>
      <c r="H764" s="168"/>
      <c r="I764" s="169"/>
      <c r="J764" s="170"/>
      <c r="K764" s="170"/>
      <c r="L764" s="170"/>
      <c r="M764" s="167"/>
      <c r="N764" s="169"/>
      <c r="O764" s="171"/>
      <c r="P764" s="106"/>
      <c r="Q764" s="218"/>
      <c r="R764" s="172"/>
      <c r="S764" s="172"/>
      <c r="T764" s="173"/>
      <c r="U764" s="219"/>
      <c r="V764" s="219"/>
      <c r="W764" s="219"/>
      <c r="X764" s="219"/>
      <c r="Y764" s="219"/>
      <c r="Z764" s="219"/>
      <c r="AA764" s="219"/>
      <c r="AB764" s="219"/>
      <c r="AC764" s="219"/>
      <c r="AD764" s="219"/>
      <c r="AE764" s="219"/>
      <c r="AF764" s="219"/>
      <c r="AG764" s="219"/>
      <c r="AH764" s="219"/>
      <c r="AI764" s="219"/>
      <c r="AJ764" s="219"/>
      <c r="AK764" s="219"/>
      <c r="AL764" s="219"/>
      <c r="AM764" s="219"/>
      <c r="AN764" s="219"/>
      <c r="AO764" s="219"/>
      <c r="AP764" s="219"/>
      <c r="AQ764" s="219"/>
      <c r="AR764" s="219"/>
      <c r="AS764" s="219"/>
      <c r="AT764" s="219"/>
      <c r="AU764" s="219"/>
      <c r="AV764" s="219"/>
      <c r="AW764" s="219"/>
      <c r="AX764" s="219"/>
      <c r="AY764" s="219"/>
      <c r="AZ764" s="219"/>
      <c r="BA764" s="219"/>
      <c r="BB764" s="219"/>
      <c r="BC764" s="219"/>
      <c r="BD764" s="219"/>
      <c r="BE764" s="219"/>
      <c r="BF764" s="219"/>
      <c r="BG764" s="219"/>
      <c r="BH764" s="219"/>
      <c r="BI764" s="219"/>
      <c r="BJ764" s="219"/>
      <c r="BK764" s="219"/>
      <c r="BL764" s="219"/>
      <c r="BM764" s="219"/>
      <c r="BN764" s="219"/>
    </row>
    <row r="765" ht="29.25" hidden="1" customHeight="1">
      <c r="A765" s="216"/>
      <c r="B765" s="217"/>
      <c r="C765" s="164"/>
      <c r="D765" s="164"/>
      <c r="E765" s="165"/>
      <c r="F765" s="173"/>
      <c r="G765" s="168"/>
      <c r="H765" s="168"/>
      <c r="I765" s="169"/>
      <c r="J765" s="170"/>
      <c r="K765" s="170"/>
      <c r="L765" s="170"/>
      <c r="M765" s="167"/>
      <c r="N765" s="169"/>
      <c r="O765" s="171"/>
      <c r="P765" s="106"/>
      <c r="Q765" s="218"/>
      <c r="R765" s="172"/>
      <c r="S765" s="172"/>
      <c r="T765" s="173"/>
      <c r="U765" s="219"/>
      <c r="V765" s="219"/>
      <c r="W765" s="219"/>
      <c r="X765" s="219"/>
      <c r="Y765" s="219"/>
      <c r="Z765" s="219"/>
      <c r="AA765" s="219"/>
      <c r="AB765" s="219"/>
      <c r="AC765" s="219"/>
      <c r="AD765" s="219"/>
      <c r="AE765" s="219"/>
      <c r="AF765" s="219"/>
      <c r="AG765" s="219"/>
      <c r="AH765" s="219"/>
      <c r="AI765" s="219"/>
      <c r="AJ765" s="219"/>
      <c r="AK765" s="219"/>
      <c r="AL765" s="219"/>
      <c r="AM765" s="219"/>
      <c r="AN765" s="219"/>
      <c r="AO765" s="219"/>
      <c r="AP765" s="219"/>
      <c r="AQ765" s="219"/>
      <c r="AR765" s="219"/>
      <c r="AS765" s="219"/>
      <c r="AT765" s="219"/>
      <c r="AU765" s="219"/>
      <c r="AV765" s="219"/>
      <c r="AW765" s="219"/>
      <c r="AX765" s="219"/>
      <c r="AY765" s="219"/>
      <c r="AZ765" s="219"/>
      <c r="BA765" s="219"/>
      <c r="BB765" s="219"/>
      <c r="BC765" s="219"/>
      <c r="BD765" s="219"/>
      <c r="BE765" s="219"/>
      <c r="BF765" s="219"/>
      <c r="BG765" s="219"/>
      <c r="BH765" s="219"/>
      <c r="BI765" s="219"/>
      <c r="BJ765" s="219"/>
      <c r="BK765" s="219"/>
      <c r="BL765" s="219"/>
      <c r="BM765" s="219"/>
      <c r="BN765" s="219"/>
    </row>
    <row r="766" ht="29.25" hidden="1" customHeight="1">
      <c r="A766" s="216"/>
      <c r="B766" s="217"/>
      <c r="C766" s="164"/>
      <c r="D766" s="164"/>
      <c r="E766" s="165"/>
      <c r="F766" s="173"/>
      <c r="G766" s="168"/>
      <c r="H766" s="168"/>
      <c r="I766" s="169"/>
      <c r="J766" s="170"/>
      <c r="K766" s="170"/>
      <c r="L766" s="170"/>
      <c r="M766" s="167"/>
      <c r="N766" s="169"/>
      <c r="O766" s="171"/>
      <c r="P766" s="106"/>
      <c r="Q766" s="218"/>
      <c r="R766" s="172"/>
      <c r="S766" s="172"/>
      <c r="T766" s="173"/>
      <c r="U766" s="219"/>
      <c r="V766" s="219"/>
      <c r="W766" s="219"/>
      <c r="X766" s="219"/>
      <c r="Y766" s="219"/>
      <c r="Z766" s="219"/>
      <c r="AA766" s="219"/>
      <c r="AB766" s="219"/>
      <c r="AC766" s="219"/>
      <c r="AD766" s="219"/>
      <c r="AE766" s="219"/>
      <c r="AF766" s="219"/>
      <c r="AG766" s="219"/>
      <c r="AH766" s="219"/>
      <c r="AI766" s="219"/>
      <c r="AJ766" s="219"/>
      <c r="AK766" s="219"/>
      <c r="AL766" s="219"/>
      <c r="AM766" s="219"/>
      <c r="AN766" s="219"/>
      <c r="AO766" s="219"/>
      <c r="AP766" s="219"/>
      <c r="AQ766" s="219"/>
      <c r="AR766" s="219"/>
      <c r="AS766" s="219"/>
      <c r="AT766" s="219"/>
      <c r="AU766" s="219"/>
      <c r="AV766" s="219"/>
      <c r="AW766" s="219"/>
      <c r="AX766" s="219"/>
      <c r="AY766" s="219"/>
      <c r="AZ766" s="219"/>
      <c r="BA766" s="219"/>
      <c r="BB766" s="219"/>
      <c r="BC766" s="219"/>
      <c r="BD766" s="219"/>
      <c r="BE766" s="219"/>
      <c r="BF766" s="219"/>
      <c r="BG766" s="219"/>
      <c r="BH766" s="219"/>
      <c r="BI766" s="219"/>
      <c r="BJ766" s="219"/>
      <c r="BK766" s="219"/>
      <c r="BL766" s="219"/>
      <c r="BM766" s="219"/>
      <c r="BN766" s="219"/>
    </row>
    <row r="767" ht="29.25" hidden="1" customHeight="1">
      <c r="A767" s="216"/>
      <c r="B767" s="217"/>
      <c r="C767" s="164"/>
      <c r="D767" s="164"/>
      <c r="E767" s="165"/>
      <c r="F767" s="173"/>
      <c r="G767" s="168"/>
      <c r="H767" s="168"/>
      <c r="I767" s="169"/>
      <c r="J767" s="170"/>
      <c r="K767" s="170"/>
      <c r="L767" s="170"/>
      <c r="M767" s="167"/>
      <c r="N767" s="169"/>
      <c r="O767" s="171"/>
      <c r="P767" s="106"/>
      <c r="Q767" s="218"/>
      <c r="R767" s="172"/>
      <c r="S767" s="172"/>
      <c r="T767" s="173"/>
      <c r="U767" s="219"/>
      <c r="V767" s="219"/>
      <c r="W767" s="219"/>
      <c r="X767" s="219"/>
      <c r="Y767" s="219"/>
      <c r="Z767" s="219"/>
      <c r="AA767" s="219"/>
      <c r="AB767" s="219"/>
      <c r="AC767" s="219"/>
      <c r="AD767" s="219"/>
      <c r="AE767" s="219"/>
      <c r="AF767" s="219"/>
      <c r="AG767" s="219"/>
      <c r="AH767" s="219"/>
      <c r="AI767" s="219"/>
      <c r="AJ767" s="219"/>
      <c r="AK767" s="219"/>
      <c r="AL767" s="219"/>
      <c r="AM767" s="219"/>
      <c r="AN767" s="219"/>
      <c r="AO767" s="219"/>
      <c r="AP767" s="219"/>
      <c r="AQ767" s="219"/>
      <c r="AR767" s="219"/>
      <c r="AS767" s="219"/>
      <c r="AT767" s="219"/>
      <c r="AU767" s="219"/>
      <c r="AV767" s="219"/>
      <c r="AW767" s="219"/>
      <c r="AX767" s="219"/>
      <c r="AY767" s="219"/>
      <c r="AZ767" s="219"/>
      <c r="BA767" s="219"/>
      <c r="BB767" s="219"/>
      <c r="BC767" s="219"/>
      <c r="BD767" s="219"/>
      <c r="BE767" s="219"/>
      <c r="BF767" s="219"/>
      <c r="BG767" s="219"/>
      <c r="BH767" s="219"/>
      <c r="BI767" s="219"/>
      <c r="BJ767" s="219"/>
      <c r="BK767" s="219"/>
      <c r="BL767" s="219"/>
      <c r="BM767" s="219"/>
      <c r="BN767" s="219"/>
    </row>
    <row r="768" ht="29.25" hidden="1" customHeight="1">
      <c r="A768" s="216"/>
      <c r="B768" s="217"/>
      <c r="C768" s="164"/>
      <c r="D768" s="164"/>
      <c r="E768" s="165"/>
      <c r="F768" s="173"/>
      <c r="G768" s="168"/>
      <c r="H768" s="168"/>
      <c r="I768" s="169"/>
      <c r="J768" s="170"/>
      <c r="K768" s="170"/>
      <c r="L768" s="170"/>
      <c r="M768" s="167"/>
      <c r="N768" s="169"/>
      <c r="O768" s="171"/>
      <c r="P768" s="106"/>
      <c r="Q768" s="218"/>
      <c r="R768" s="172"/>
      <c r="S768" s="172"/>
      <c r="T768" s="173"/>
      <c r="U768" s="219"/>
      <c r="V768" s="219"/>
      <c r="W768" s="219"/>
      <c r="X768" s="219"/>
      <c r="Y768" s="219"/>
      <c r="Z768" s="219"/>
      <c r="AA768" s="219"/>
      <c r="AB768" s="219"/>
      <c r="AC768" s="219"/>
      <c r="AD768" s="219"/>
      <c r="AE768" s="219"/>
      <c r="AF768" s="219"/>
      <c r="AG768" s="219"/>
      <c r="AH768" s="219"/>
      <c r="AI768" s="219"/>
      <c r="AJ768" s="219"/>
      <c r="AK768" s="219"/>
      <c r="AL768" s="219"/>
      <c r="AM768" s="219"/>
      <c r="AN768" s="219"/>
      <c r="AO768" s="219"/>
      <c r="AP768" s="219"/>
      <c r="AQ768" s="219"/>
      <c r="AR768" s="219"/>
      <c r="AS768" s="219"/>
      <c r="AT768" s="219"/>
      <c r="AU768" s="219"/>
      <c r="AV768" s="219"/>
      <c r="AW768" s="219"/>
      <c r="AX768" s="219"/>
      <c r="AY768" s="219"/>
      <c r="AZ768" s="219"/>
      <c r="BA768" s="219"/>
      <c r="BB768" s="219"/>
      <c r="BC768" s="219"/>
      <c r="BD768" s="219"/>
      <c r="BE768" s="219"/>
      <c r="BF768" s="219"/>
      <c r="BG768" s="219"/>
      <c r="BH768" s="219"/>
      <c r="BI768" s="219"/>
      <c r="BJ768" s="219"/>
      <c r="BK768" s="219"/>
      <c r="BL768" s="219"/>
      <c r="BM768" s="219"/>
      <c r="BN768" s="219"/>
    </row>
    <row r="769" ht="29.25" hidden="1" customHeight="1">
      <c r="A769" s="216"/>
      <c r="B769" s="217"/>
      <c r="C769" s="164"/>
      <c r="D769" s="164"/>
      <c r="E769" s="165"/>
      <c r="F769" s="173"/>
      <c r="G769" s="168"/>
      <c r="H769" s="168"/>
      <c r="I769" s="169"/>
      <c r="J769" s="170"/>
      <c r="K769" s="170"/>
      <c r="L769" s="170"/>
      <c r="M769" s="167"/>
      <c r="N769" s="169"/>
      <c r="O769" s="171"/>
      <c r="P769" s="106"/>
      <c r="Q769" s="218"/>
      <c r="R769" s="172"/>
      <c r="S769" s="172"/>
      <c r="T769" s="173"/>
      <c r="U769" s="219"/>
      <c r="V769" s="219"/>
      <c r="W769" s="219"/>
      <c r="X769" s="219"/>
      <c r="Y769" s="219"/>
      <c r="Z769" s="219"/>
      <c r="AA769" s="219"/>
      <c r="AB769" s="219"/>
      <c r="AC769" s="219"/>
      <c r="AD769" s="219"/>
      <c r="AE769" s="219"/>
      <c r="AF769" s="219"/>
      <c r="AG769" s="219"/>
      <c r="AH769" s="219"/>
      <c r="AI769" s="219"/>
      <c r="AJ769" s="219"/>
      <c r="AK769" s="219"/>
      <c r="AL769" s="219"/>
      <c r="AM769" s="219"/>
      <c r="AN769" s="219"/>
      <c r="AO769" s="219"/>
      <c r="AP769" s="219"/>
      <c r="AQ769" s="219"/>
      <c r="AR769" s="219"/>
      <c r="AS769" s="219"/>
      <c r="AT769" s="219"/>
      <c r="AU769" s="219"/>
      <c r="AV769" s="219"/>
      <c r="AW769" s="219"/>
      <c r="AX769" s="219"/>
      <c r="AY769" s="219"/>
      <c r="AZ769" s="219"/>
      <c r="BA769" s="219"/>
      <c r="BB769" s="219"/>
      <c r="BC769" s="219"/>
      <c r="BD769" s="219"/>
      <c r="BE769" s="219"/>
      <c r="BF769" s="219"/>
      <c r="BG769" s="219"/>
      <c r="BH769" s="219"/>
      <c r="BI769" s="219"/>
      <c r="BJ769" s="219"/>
      <c r="BK769" s="219"/>
      <c r="BL769" s="219"/>
      <c r="BM769" s="219"/>
      <c r="BN769" s="219"/>
    </row>
    <row r="770" ht="29.25" hidden="1" customHeight="1">
      <c r="A770" s="216"/>
      <c r="B770" s="217"/>
      <c r="C770" s="164"/>
      <c r="D770" s="164"/>
      <c r="E770" s="165"/>
      <c r="F770" s="173"/>
      <c r="G770" s="168"/>
      <c r="H770" s="168"/>
      <c r="I770" s="169"/>
      <c r="J770" s="170"/>
      <c r="K770" s="170"/>
      <c r="L770" s="170"/>
      <c r="M770" s="167"/>
      <c r="N770" s="169"/>
      <c r="O770" s="171"/>
      <c r="P770" s="106"/>
      <c r="Q770" s="218"/>
      <c r="R770" s="172"/>
      <c r="S770" s="172"/>
      <c r="T770" s="173"/>
      <c r="U770" s="219"/>
      <c r="V770" s="219"/>
      <c r="W770" s="219"/>
      <c r="X770" s="219"/>
      <c r="Y770" s="219"/>
      <c r="Z770" s="219"/>
      <c r="AA770" s="219"/>
      <c r="AB770" s="219"/>
      <c r="AC770" s="219"/>
      <c r="AD770" s="219"/>
      <c r="AE770" s="219"/>
      <c r="AF770" s="219"/>
      <c r="AG770" s="219"/>
      <c r="AH770" s="219"/>
      <c r="AI770" s="219"/>
      <c r="AJ770" s="219"/>
      <c r="AK770" s="219"/>
      <c r="AL770" s="219"/>
      <c r="AM770" s="219"/>
      <c r="AN770" s="219"/>
      <c r="AO770" s="219"/>
      <c r="AP770" s="219"/>
      <c r="AQ770" s="219"/>
      <c r="AR770" s="219"/>
      <c r="AS770" s="219"/>
      <c r="AT770" s="219"/>
      <c r="AU770" s="219"/>
      <c r="AV770" s="219"/>
      <c r="AW770" s="219"/>
      <c r="AX770" s="219"/>
      <c r="AY770" s="219"/>
      <c r="AZ770" s="219"/>
      <c r="BA770" s="219"/>
      <c r="BB770" s="219"/>
      <c r="BC770" s="219"/>
      <c r="BD770" s="219"/>
      <c r="BE770" s="219"/>
      <c r="BF770" s="219"/>
      <c r="BG770" s="219"/>
      <c r="BH770" s="219"/>
      <c r="BI770" s="219"/>
      <c r="BJ770" s="219"/>
      <c r="BK770" s="219"/>
      <c r="BL770" s="219"/>
      <c r="BM770" s="219"/>
      <c r="BN770" s="219"/>
    </row>
    <row r="771" ht="29.25" hidden="1" customHeight="1">
      <c r="A771" s="216"/>
      <c r="B771" s="217"/>
      <c r="C771" s="164"/>
      <c r="D771" s="164"/>
      <c r="E771" s="165"/>
      <c r="F771" s="173"/>
      <c r="G771" s="168"/>
      <c r="H771" s="168"/>
      <c r="I771" s="169"/>
      <c r="J771" s="170"/>
      <c r="K771" s="170"/>
      <c r="L771" s="170"/>
      <c r="M771" s="167"/>
      <c r="N771" s="169"/>
      <c r="O771" s="171"/>
      <c r="P771" s="106"/>
      <c r="Q771" s="218"/>
      <c r="R771" s="172"/>
      <c r="S771" s="172"/>
      <c r="T771" s="173"/>
      <c r="U771" s="219"/>
      <c r="V771" s="219"/>
      <c r="W771" s="219"/>
      <c r="X771" s="219"/>
      <c r="Y771" s="219"/>
      <c r="Z771" s="219"/>
      <c r="AA771" s="219"/>
      <c r="AB771" s="219"/>
      <c r="AC771" s="219"/>
      <c r="AD771" s="219"/>
      <c r="AE771" s="219"/>
      <c r="AF771" s="219"/>
      <c r="AG771" s="219"/>
      <c r="AH771" s="219"/>
      <c r="AI771" s="219"/>
      <c r="AJ771" s="219"/>
      <c r="AK771" s="219"/>
      <c r="AL771" s="219"/>
      <c r="AM771" s="219"/>
      <c r="AN771" s="219"/>
      <c r="AO771" s="219"/>
      <c r="AP771" s="219"/>
      <c r="AQ771" s="219"/>
      <c r="AR771" s="219"/>
      <c r="AS771" s="219"/>
      <c r="AT771" s="219"/>
      <c r="AU771" s="219"/>
      <c r="AV771" s="219"/>
      <c r="AW771" s="219"/>
      <c r="AX771" s="219"/>
      <c r="AY771" s="219"/>
      <c r="AZ771" s="219"/>
      <c r="BA771" s="219"/>
      <c r="BB771" s="219"/>
      <c r="BC771" s="219"/>
      <c r="BD771" s="219"/>
      <c r="BE771" s="219"/>
      <c r="BF771" s="219"/>
      <c r="BG771" s="219"/>
      <c r="BH771" s="219"/>
      <c r="BI771" s="219"/>
      <c r="BJ771" s="219"/>
      <c r="BK771" s="219"/>
      <c r="BL771" s="219"/>
      <c r="BM771" s="219"/>
      <c r="BN771" s="219"/>
    </row>
    <row r="772" ht="29.25" hidden="1" customHeight="1">
      <c r="A772" s="216"/>
      <c r="B772" s="217"/>
      <c r="C772" s="164"/>
      <c r="D772" s="164"/>
      <c r="E772" s="165"/>
      <c r="F772" s="173"/>
      <c r="G772" s="168"/>
      <c r="H772" s="168"/>
      <c r="I772" s="169"/>
      <c r="J772" s="170"/>
      <c r="K772" s="170"/>
      <c r="L772" s="170"/>
      <c r="M772" s="167"/>
      <c r="N772" s="169"/>
      <c r="O772" s="171"/>
      <c r="P772" s="106"/>
      <c r="Q772" s="218"/>
      <c r="R772" s="172"/>
      <c r="S772" s="172"/>
      <c r="T772" s="173"/>
      <c r="U772" s="219"/>
      <c r="V772" s="219"/>
      <c r="W772" s="219"/>
      <c r="X772" s="219"/>
      <c r="Y772" s="219"/>
      <c r="Z772" s="219"/>
      <c r="AA772" s="219"/>
      <c r="AB772" s="219"/>
      <c r="AC772" s="219"/>
      <c r="AD772" s="219"/>
      <c r="AE772" s="219"/>
      <c r="AF772" s="219"/>
      <c r="AG772" s="219"/>
      <c r="AH772" s="219"/>
      <c r="AI772" s="219"/>
      <c r="AJ772" s="219"/>
      <c r="AK772" s="219"/>
      <c r="AL772" s="219"/>
      <c r="AM772" s="219"/>
      <c r="AN772" s="219"/>
      <c r="AO772" s="219"/>
      <c r="AP772" s="219"/>
      <c r="AQ772" s="219"/>
      <c r="AR772" s="219"/>
      <c r="AS772" s="219"/>
      <c r="AT772" s="219"/>
      <c r="AU772" s="219"/>
      <c r="AV772" s="219"/>
      <c r="AW772" s="219"/>
      <c r="AX772" s="219"/>
      <c r="AY772" s="219"/>
      <c r="AZ772" s="219"/>
      <c r="BA772" s="219"/>
      <c r="BB772" s="219"/>
      <c r="BC772" s="219"/>
      <c r="BD772" s="219"/>
      <c r="BE772" s="219"/>
      <c r="BF772" s="219"/>
      <c r="BG772" s="219"/>
      <c r="BH772" s="219"/>
      <c r="BI772" s="219"/>
      <c r="BJ772" s="219"/>
      <c r="BK772" s="219"/>
      <c r="BL772" s="219"/>
      <c r="BM772" s="219"/>
      <c r="BN772" s="219"/>
    </row>
    <row r="773" ht="29.25" hidden="1" customHeight="1">
      <c r="A773" s="216"/>
      <c r="B773" s="217"/>
      <c r="C773" s="164"/>
      <c r="D773" s="164"/>
      <c r="E773" s="165"/>
      <c r="F773" s="173"/>
      <c r="G773" s="168"/>
      <c r="H773" s="168"/>
      <c r="I773" s="169"/>
      <c r="J773" s="170"/>
      <c r="K773" s="170"/>
      <c r="L773" s="170"/>
      <c r="M773" s="167"/>
      <c r="N773" s="169"/>
      <c r="O773" s="171"/>
      <c r="P773" s="106"/>
      <c r="Q773" s="218"/>
      <c r="R773" s="172"/>
      <c r="S773" s="172"/>
      <c r="T773" s="173"/>
      <c r="U773" s="219"/>
      <c r="V773" s="219"/>
      <c r="W773" s="219"/>
      <c r="X773" s="219"/>
      <c r="Y773" s="219"/>
      <c r="Z773" s="219"/>
      <c r="AA773" s="219"/>
      <c r="AB773" s="219"/>
      <c r="AC773" s="219"/>
      <c r="AD773" s="219"/>
      <c r="AE773" s="219"/>
      <c r="AF773" s="219"/>
      <c r="AG773" s="219"/>
      <c r="AH773" s="219"/>
      <c r="AI773" s="219"/>
      <c r="AJ773" s="219"/>
      <c r="AK773" s="219"/>
      <c r="AL773" s="219"/>
      <c r="AM773" s="219"/>
      <c r="AN773" s="219"/>
      <c r="AO773" s="219"/>
      <c r="AP773" s="219"/>
      <c r="AQ773" s="219"/>
      <c r="AR773" s="219"/>
      <c r="AS773" s="219"/>
      <c r="AT773" s="219"/>
      <c r="AU773" s="219"/>
      <c r="AV773" s="219"/>
      <c r="AW773" s="219"/>
      <c r="AX773" s="219"/>
      <c r="AY773" s="219"/>
      <c r="AZ773" s="219"/>
      <c r="BA773" s="219"/>
      <c r="BB773" s="219"/>
      <c r="BC773" s="219"/>
      <c r="BD773" s="219"/>
      <c r="BE773" s="219"/>
      <c r="BF773" s="219"/>
      <c r="BG773" s="219"/>
      <c r="BH773" s="219"/>
      <c r="BI773" s="219"/>
      <c r="BJ773" s="219"/>
      <c r="BK773" s="219"/>
      <c r="BL773" s="219"/>
      <c r="BM773" s="219"/>
      <c r="BN773" s="219"/>
    </row>
    <row r="774" ht="29.25" hidden="1" customHeight="1">
      <c r="A774" s="216"/>
      <c r="B774" s="217"/>
      <c r="C774" s="164"/>
      <c r="D774" s="164"/>
      <c r="E774" s="165"/>
      <c r="F774" s="173"/>
      <c r="G774" s="168"/>
      <c r="H774" s="168"/>
      <c r="I774" s="169"/>
      <c r="J774" s="170"/>
      <c r="K774" s="170"/>
      <c r="L774" s="170"/>
      <c r="M774" s="167"/>
      <c r="N774" s="169"/>
      <c r="O774" s="171"/>
      <c r="P774" s="106"/>
      <c r="Q774" s="218"/>
      <c r="R774" s="172"/>
      <c r="S774" s="172"/>
      <c r="T774" s="173"/>
      <c r="U774" s="219"/>
      <c r="V774" s="219"/>
      <c r="W774" s="219"/>
      <c r="X774" s="219"/>
      <c r="Y774" s="219"/>
      <c r="Z774" s="219"/>
      <c r="AA774" s="219"/>
      <c r="AB774" s="219"/>
      <c r="AC774" s="219"/>
      <c r="AD774" s="219"/>
      <c r="AE774" s="219"/>
      <c r="AF774" s="219"/>
      <c r="AG774" s="219"/>
      <c r="AH774" s="219"/>
      <c r="AI774" s="219"/>
      <c r="AJ774" s="219"/>
      <c r="AK774" s="219"/>
      <c r="AL774" s="219"/>
      <c r="AM774" s="219"/>
      <c r="AN774" s="219"/>
      <c r="AO774" s="219"/>
      <c r="AP774" s="219"/>
      <c r="AQ774" s="219"/>
      <c r="AR774" s="219"/>
      <c r="AS774" s="219"/>
      <c r="AT774" s="219"/>
      <c r="AU774" s="219"/>
      <c r="AV774" s="219"/>
      <c r="AW774" s="219"/>
      <c r="AX774" s="219"/>
      <c r="AY774" s="219"/>
      <c r="AZ774" s="219"/>
      <c r="BA774" s="219"/>
      <c r="BB774" s="219"/>
      <c r="BC774" s="219"/>
      <c r="BD774" s="219"/>
      <c r="BE774" s="219"/>
      <c r="BF774" s="219"/>
      <c r="BG774" s="219"/>
      <c r="BH774" s="219"/>
      <c r="BI774" s="219"/>
      <c r="BJ774" s="219"/>
      <c r="BK774" s="219"/>
      <c r="BL774" s="219"/>
      <c r="BM774" s="219"/>
      <c r="BN774" s="219"/>
    </row>
    <row r="775" ht="29.25" hidden="1" customHeight="1">
      <c r="A775" s="216"/>
      <c r="B775" s="217"/>
      <c r="C775" s="164"/>
      <c r="D775" s="164"/>
      <c r="E775" s="165"/>
      <c r="F775" s="173"/>
      <c r="G775" s="168"/>
      <c r="H775" s="168"/>
      <c r="I775" s="169"/>
      <c r="J775" s="170"/>
      <c r="K775" s="170"/>
      <c r="L775" s="170"/>
      <c r="M775" s="167"/>
      <c r="N775" s="169"/>
      <c r="O775" s="171"/>
      <c r="P775" s="106"/>
      <c r="Q775" s="218"/>
      <c r="R775" s="172"/>
      <c r="S775" s="172"/>
      <c r="T775" s="173"/>
      <c r="U775" s="219"/>
      <c r="V775" s="219"/>
      <c r="W775" s="219"/>
      <c r="X775" s="219"/>
      <c r="Y775" s="219"/>
      <c r="Z775" s="219"/>
      <c r="AA775" s="219"/>
      <c r="AB775" s="219"/>
      <c r="AC775" s="219"/>
      <c r="AD775" s="219"/>
      <c r="AE775" s="219"/>
      <c r="AF775" s="219"/>
      <c r="AG775" s="219"/>
      <c r="AH775" s="219"/>
      <c r="AI775" s="219"/>
      <c r="AJ775" s="219"/>
      <c r="AK775" s="219"/>
      <c r="AL775" s="219"/>
      <c r="AM775" s="219"/>
      <c r="AN775" s="219"/>
      <c r="AO775" s="219"/>
      <c r="AP775" s="219"/>
      <c r="AQ775" s="219"/>
      <c r="AR775" s="219"/>
      <c r="AS775" s="219"/>
      <c r="AT775" s="219"/>
      <c r="AU775" s="219"/>
      <c r="AV775" s="219"/>
      <c r="AW775" s="219"/>
      <c r="AX775" s="219"/>
      <c r="AY775" s="219"/>
      <c r="AZ775" s="219"/>
      <c r="BA775" s="219"/>
      <c r="BB775" s="219"/>
      <c r="BC775" s="219"/>
      <c r="BD775" s="219"/>
      <c r="BE775" s="219"/>
      <c r="BF775" s="219"/>
      <c r="BG775" s="219"/>
      <c r="BH775" s="219"/>
      <c r="BI775" s="219"/>
      <c r="BJ775" s="219"/>
      <c r="BK775" s="219"/>
      <c r="BL775" s="219"/>
      <c r="BM775" s="219"/>
      <c r="BN775" s="219"/>
    </row>
    <row r="776" ht="29.25" hidden="1" customHeight="1">
      <c r="A776" s="216"/>
      <c r="B776" s="217"/>
      <c r="C776" s="164"/>
      <c r="D776" s="164"/>
      <c r="E776" s="165"/>
      <c r="F776" s="173"/>
      <c r="G776" s="168"/>
      <c r="H776" s="168"/>
      <c r="I776" s="169"/>
      <c r="J776" s="170"/>
      <c r="K776" s="170"/>
      <c r="L776" s="170"/>
      <c r="M776" s="167"/>
      <c r="N776" s="169"/>
      <c r="O776" s="171"/>
      <c r="P776" s="106"/>
      <c r="Q776" s="218"/>
      <c r="R776" s="172"/>
      <c r="S776" s="172"/>
      <c r="T776" s="173"/>
      <c r="U776" s="219"/>
      <c r="V776" s="219"/>
      <c r="W776" s="219"/>
      <c r="X776" s="219"/>
      <c r="Y776" s="219"/>
      <c r="Z776" s="219"/>
      <c r="AA776" s="219"/>
      <c r="AB776" s="219"/>
      <c r="AC776" s="219"/>
      <c r="AD776" s="219"/>
      <c r="AE776" s="219"/>
      <c r="AF776" s="219"/>
      <c r="AG776" s="219"/>
      <c r="AH776" s="219"/>
      <c r="AI776" s="219"/>
      <c r="AJ776" s="219"/>
      <c r="AK776" s="219"/>
      <c r="AL776" s="219"/>
      <c r="AM776" s="219"/>
      <c r="AN776" s="219"/>
      <c r="AO776" s="219"/>
      <c r="AP776" s="219"/>
      <c r="AQ776" s="219"/>
      <c r="AR776" s="219"/>
      <c r="AS776" s="219"/>
      <c r="AT776" s="219"/>
      <c r="AU776" s="219"/>
      <c r="AV776" s="219"/>
      <c r="AW776" s="219"/>
      <c r="AX776" s="219"/>
      <c r="AY776" s="219"/>
      <c r="AZ776" s="219"/>
      <c r="BA776" s="219"/>
      <c r="BB776" s="219"/>
      <c r="BC776" s="219"/>
      <c r="BD776" s="219"/>
      <c r="BE776" s="219"/>
      <c r="BF776" s="219"/>
      <c r="BG776" s="219"/>
      <c r="BH776" s="219"/>
      <c r="BI776" s="219"/>
      <c r="BJ776" s="219"/>
      <c r="BK776" s="219"/>
      <c r="BL776" s="219"/>
      <c r="BM776" s="219"/>
      <c r="BN776" s="219"/>
    </row>
    <row r="777" ht="29.25" hidden="1" customHeight="1">
      <c r="A777" s="216"/>
      <c r="B777" s="217"/>
      <c r="C777" s="164"/>
      <c r="D777" s="164"/>
      <c r="E777" s="165"/>
      <c r="F777" s="173"/>
      <c r="G777" s="168"/>
      <c r="H777" s="168"/>
      <c r="I777" s="169"/>
      <c r="J777" s="170"/>
      <c r="K777" s="170"/>
      <c r="L777" s="170"/>
      <c r="M777" s="167"/>
      <c r="N777" s="169"/>
      <c r="O777" s="171"/>
      <c r="P777" s="106"/>
      <c r="Q777" s="218"/>
      <c r="R777" s="172"/>
      <c r="S777" s="172"/>
      <c r="T777" s="173"/>
      <c r="U777" s="219"/>
      <c r="V777" s="219"/>
      <c r="W777" s="219"/>
      <c r="X777" s="219"/>
      <c r="Y777" s="219"/>
      <c r="Z777" s="219"/>
      <c r="AA777" s="219"/>
      <c r="AB777" s="219"/>
      <c r="AC777" s="219"/>
      <c r="AD777" s="219"/>
      <c r="AE777" s="219"/>
      <c r="AF777" s="219"/>
      <c r="AG777" s="219"/>
      <c r="AH777" s="219"/>
      <c r="AI777" s="219"/>
      <c r="AJ777" s="219"/>
      <c r="AK777" s="219"/>
      <c r="AL777" s="219"/>
      <c r="AM777" s="219"/>
      <c r="AN777" s="219"/>
      <c r="AO777" s="219"/>
      <c r="AP777" s="219"/>
      <c r="AQ777" s="219"/>
      <c r="AR777" s="219"/>
      <c r="AS777" s="219"/>
      <c r="AT777" s="219"/>
      <c r="AU777" s="219"/>
      <c r="AV777" s="219"/>
      <c r="AW777" s="219"/>
      <c r="AX777" s="219"/>
      <c r="AY777" s="219"/>
      <c r="AZ777" s="219"/>
      <c r="BA777" s="219"/>
      <c r="BB777" s="219"/>
      <c r="BC777" s="219"/>
      <c r="BD777" s="219"/>
      <c r="BE777" s="219"/>
      <c r="BF777" s="219"/>
      <c r="BG777" s="219"/>
      <c r="BH777" s="219"/>
      <c r="BI777" s="219"/>
      <c r="BJ777" s="219"/>
      <c r="BK777" s="219"/>
      <c r="BL777" s="219"/>
      <c r="BM777" s="219"/>
      <c r="BN777" s="219"/>
    </row>
    <row r="778" ht="29.25" hidden="1" customHeight="1">
      <c r="A778" s="216"/>
      <c r="B778" s="217"/>
      <c r="C778" s="164"/>
      <c r="D778" s="164"/>
      <c r="E778" s="165"/>
      <c r="F778" s="173"/>
      <c r="G778" s="168"/>
      <c r="H778" s="168"/>
      <c r="I778" s="169"/>
      <c r="J778" s="170"/>
      <c r="K778" s="170"/>
      <c r="L778" s="170"/>
      <c r="M778" s="167"/>
      <c r="N778" s="169"/>
      <c r="O778" s="171"/>
      <c r="P778" s="106"/>
      <c r="Q778" s="218"/>
      <c r="R778" s="172"/>
      <c r="S778" s="172"/>
      <c r="T778" s="173"/>
      <c r="U778" s="219"/>
      <c r="V778" s="219"/>
      <c r="W778" s="219"/>
      <c r="X778" s="219"/>
      <c r="Y778" s="219"/>
      <c r="Z778" s="219"/>
      <c r="AA778" s="219"/>
      <c r="AB778" s="219"/>
      <c r="AC778" s="219"/>
      <c r="AD778" s="219"/>
      <c r="AE778" s="219"/>
      <c r="AF778" s="219"/>
      <c r="AG778" s="219"/>
      <c r="AH778" s="219"/>
      <c r="AI778" s="219"/>
      <c r="AJ778" s="219"/>
      <c r="AK778" s="219"/>
      <c r="AL778" s="219"/>
      <c r="AM778" s="219"/>
      <c r="AN778" s="219"/>
      <c r="AO778" s="219"/>
      <c r="AP778" s="219"/>
      <c r="AQ778" s="219"/>
      <c r="AR778" s="219"/>
      <c r="AS778" s="219"/>
      <c r="AT778" s="219"/>
      <c r="AU778" s="219"/>
      <c r="AV778" s="219"/>
      <c r="AW778" s="219"/>
      <c r="AX778" s="219"/>
      <c r="AY778" s="219"/>
      <c r="AZ778" s="219"/>
      <c r="BA778" s="219"/>
      <c r="BB778" s="219"/>
      <c r="BC778" s="219"/>
      <c r="BD778" s="219"/>
      <c r="BE778" s="219"/>
      <c r="BF778" s="219"/>
      <c r="BG778" s="219"/>
      <c r="BH778" s="219"/>
      <c r="BI778" s="219"/>
      <c r="BJ778" s="219"/>
      <c r="BK778" s="219"/>
      <c r="BL778" s="219"/>
      <c r="BM778" s="219"/>
      <c r="BN778" s="219"/>
    </row>
    <row r="779" ht="29.25" hidden="1" customHeight="1">
      <c r="A779" s="216"/>
      <c r="B779" s="217"/>
      <c r="C779" s="164"/>
      <c r="D779" s="164"/>
      <c r="E779" s="165"/>
      <c r="F779" s="173"/>
      <c r="G779" s="168"/>
      <c r="H779" s="168"/>
      <c r="I779" s="169"/>
      <c r="J779" s="170"/>
      <c r="K779" s="170"/>
      <c r="L779" s="170"/>
      <c r="M779" s="167"/>
      <c r="N779" s="169"/>
      <c r="O779" s="171"/>
      <c r="P779" s="106"/>
      <c r="Q779" s="218"/>
      <c r="R779" s="172"/>
      <c r="S779" s="172"/>
      <c r="T779" s="173"/>
      <c r="U779" s="219"/>
      <c r="V779" s="219"/>
      <c r="W779" s="219"/>
      <c r="X779" s="219"/>
      <c r="Y779" s="219"/>
      <c r="Z779" s="219"/>
      <c r="AA779" s="219"/>
      <c r="AB779" s="219"/>
      <c r="AC779" s="219"/>
      <c r="AD779" s="219"/>
      <c r="AE779" s="219"/>
      <c r="AF779" s="219"/>
      <c r="AG779" s="219"/>
      <c r="AH779" s="219"/>
      <c r="AI779" s="219"/>
      <c r="AJ779" s="219"/>
      <c r="AK779" s="219"/>
      <c r="AL779" s="219"/>
      <c r="AM779" s="219"/>
      <c r="AN779" s="219"/>
      <c r="AO779" s="219"/>
      <c r="AP779" s="219"/>
      <c r="AQ779" s="219"/>
      <c r="AR779" s="219"/>
      <c r="AS779" s="219"/>
      <c r="AT779" s="219"/>
      <c r="AU779" s="219"/>
      <c r="AV779" s="219"/>
      <c r="AW779" s="219"/>
      <c r="AX779" s="219"/>
      <c r="AY779" s="219"/>
      <c r="AZ779" s="219"/>
      <c r="BA779" s="219"/>
      <c r="BB779" s="219"/>
      <c r="BC779" s="219"/>
      <c r="BD779" s="219"/>
      <c r="BE779" s="219"/>
      <c r="BF779" s="219"/>
      <c r="BG779" s="219"/>
      <c r="BH779" s="219"/>
      <c r="BI779" s="219"/>
      <c r="BJ779" s="219"/>
      <c r="BK779" s="219"/>
      <c r="BL779" s="219"/>
      <c r="BM779" s="219"/>
      <c r="BN779" s="219"/>
    </row>
    <row r="780" ht="29.25" hidden="1" customHeight="1">
      <c r="A780" s="216"/>
      <c r="B780" s="217"/>
      <c r="C780" s="164"/>
      <c r="D780" s="164"/>
      <c r="E780" s="165"/>
      <c r="F780" s="173"/>
      <c r="G780" s="168"/>
      <c r="H780" s="168"/>
      <c r="I780" s="169"/>
      <c r="J780" s="170"/>
      <c r="K780" s="170"/>
      <c r="L780" s="170"/>
      <c r="M780" s="167"/>
      <c r="N780" s="169"/>
      <c r="O780" s="171"/>
      <c r="P780" s="106"/>
      <c r="Q780" s="218"/>
      <c r="R780" s="172"/>
      <c r="S780" s="172"/>
      <c r="T780" s="173"/>
      <c r="U780" s="219"/>
      <c r="V780" s="219"/>
      <c r="W780" s="219"/>
      <c r="X780" s="219"/>
      <c r="Y780" s="219"/>
      <c r="Z780" s="219"/>
      <c r="AA780" s="219"/>
      <c r="AB780" s="219"/>
      <c r="AC780" s="219"/>
      <c r="AD780" s="219"/>
      <c r="AE780" s="219"/>
      <c r="AF780" s="219"/>
      <c r="AG780" s="219"/>
      <c r="AH780" s="219"/>
      <c r="AI780" s="219"/>
      <c r="AJ780" s="219"/>
      <c r="AK780" s="219"/>
      <c r="AL780" s="219"/>
      <c r="AM780" s="219"/>
      <c r="AN780" s="219"/>
      <c r="AO780" s="219"/>
      <c r="AP780" s="219"/>
      <c r="AQ780" s="219"/>
      <c r="AR780" s="219"/>
      <c r="AS780" s="219"/>
      <c r="AT780" s="219"/>
      <c r="AU780" s="219"/>
      <c r="AV780" s="219"/>
      <c r="AW780" s="219"/>
      <c r="AX780" s="219"/>
      <c r="AY780" s="219"/>
      <c r="AZ780" s="219"/>
      <c r="BA780" s="219"/>
      <c r="BB780" s="219"/>
      <c r="BC780" s="219"/>
      <c r="BD780" s="219"/>
      <c r="BE780" s="219"/>
      <c r="BF780" s="219"/>
      <c r="BG780" s="219"/>
      <c r="BH780" s="219"/>
      <c r="BI780" s="219"/>
      <c r="BJ780" s="219"/>
      <c r="BK780" s="219"/>
      <c r="BL780" s="219"/>
      <c r="BM780" s="219"/>
      <c r="BN780" s="219"/>
    </row>
    <row r="781" ht="29.25" hidden="1" customHeight="1">
      <c r="A781" s="216"/>
      <c r="B781" s="217"/>
      <c r="C781" s="164"/>
      <c r="D781" s="164"/>
      <c r="E781" s="165"/>
      <c r="F781" s="173"/>
      <c r="G781" s="168"/>
      <c r="H781" s="168"/>
      <c r="I781" s="169"/>
      <c r="J781" s="170"/>
      <c r="K781" s="170"/>
      <c r="L781" s="170"/>
      <c r="M781" s="167"/>
      <c r="N781" s="169"/>
      <c r="O781" s="171"/>
      <c r="P781" s="106"/>
      <c r="Q781" s="218"/>
      <c r="R781" s="172"/>
      <c r="S781" s="172"/>
      <c r="T781" s="173"/>
      <c r="U781" s="219"/>
      <c r="V781" s="219"/>
      <c r="W781" s="219"/>
      <c r="X781" s="219"/>
      <c r="Y781" s="219"/>
      <c r="Z781" s="219"/>
      <c r="AA781" s="219"/>
      <c r="AB781" s="219"/>
      <c r="AC781" s="219"/>
      <c r="AD781" s="219"/>
      <c r="AE781" s="219"/>
      <c r="AF781" s="219"/>
      <c r="AG781" s="219"/>
      <c r="AH781" s="219"/>
      <c r="AI781" s="219"/>
      <c r="AJ781" s="219"/>
      <c r="AK781" s="219"/>
      <c r="AL781" s="219"/>
      <c r="AM781" s="219"/>
      <c r="AN781" s="219"/>
      <c r="AO781" s="219"/>
      <c r="AP781" s="219"/>
      <c r="AQ781" s="219"/>
      <c r="AR781" s="219"/>
      <c r="AS781" s="219"/>
      <c r="AT781" s="219"/>
      <c r="AU781" s="219"/>
      <c r="AV781" s="219"/>
      <c r="AW781" s="219"/>
      <c r="AX781" s="219"/>
      <c r="AY781" s="219"/>
      <c r="AZ781" s="219"/>
      <c r="BA781" s="219"/>
      <c r="BB781" s="219"/>
      <c r="BC781" s="219"/>
      <c r="BD781" s="219"/>
      <c r="BE781" s="219"/>
      <c r="BF781" s="219"/>
      <c r="BG781" s="219"/>
      <c r="BH781" s="219"/>
      <c r="BI781" s="219"/>
      <c r="BJ781" s="219"/>
      <c r="BK781" s="219"/>
      <c r="BL781" s="219"/>
      <c r="BM781" s="219"/>
      <c r="BN781" s="219"/>
    </row>
    <row r="782" ht="29.25" hidden="1" customHeight="1">
      <c r="A782" s="216"/>
      <c r="B782" s="217"/>
      <c r="C782" s="164"/>
      <c r="D782" s="164"/>
      <c r="E782" s="165"/>
      <c r="F782" s="173"/>
      <c r="G782" s="168"/>
      <c r="H782" s="168"/>
      <c r="I782" s="169"/>
      <c r="J782" s="170"/>
      <c r="K782" s="170"/>
      <c r="L782" s="170"/>
      <c r="M782" s="167"/>
      <c r="N782" s="169"/>
      <c r="O782" s="171"/>
      <c r="P782" s="106"/>
      <c r="Q782" s="218"/>
      <c r="R782" s="172"/>
      <c r="S782" s="172"/>
      <c r="T782" s="173"/>
      <c r="U782" s="219"/>
      <c r="V782" s="219"/>
      <c r="W782" s="219"/>
      <c r="X782" s="219"/>
      <c r="Y782" s="219"/>
      <c r="Z782" s="219"/>
      <c r="AA782" s="219"/>
      <c r="AB782" s="219"/>
      <c r="AC782" s="219"/>
      <c r="AD782" s="219"/>
      <c r="AE782" s="219"/>
      <c r="AF782" s="219"/>
      <c r="AG782" s="219"/>
      <c r="AH782" s="219"/>
      <c r="AI782" s="219"/>
      <c r="AJ782" s="219"/>
      <c r="AK782" s="219"/>
      <c r="AL782" s="219"/>
      <c r="AM782" s="219"/>
      <c r="AN782" s="219"/>
      <c r="AO782" s="219"/>
      <c r="AP782" s="219"/>
      <c r="AQ782" s="219"/>
      <c r="AR782" s="219"/>
      <c r="AS782" s="219"/>
      <c r="AT782" s="219"/>
      <c r="AU782" s="219"/>
      <c r="AV782" s="219"/>
      <c r="AW782" s="219"/>
      <c r="AX782" s="219"/>
      <c r="AY782" s="219"/>
      <c r="AZ782" s="219"/>
      <c r="BA782" s="219"/>
      <c r="BB782" s="219"/>
      <c r="BC782" s="219"/>
      <c r="BD782" s="219"/>
      <c r="BE782" s="219"/>
      <c r="BF782" s="219"/>
      <c r="BG782" s="219"/>
      <c r="BH782" s="219"/>
      <c r="BI782" s="219"/>
      <c r="BJ782" s="219"/>
      <c r="BK782" s="219"/>
      <c r="BL782" s="219"/>
      <c r="BM782" s="219"/>
      <c r="BN782" s="219"/>
    </row>
    <row r="783" ht="29.25" hidden="1" customHeight="1">
      <c r="A783" s="216"/>
      <c r="B783" s="217"/>
      <c r="C783" s="164"/>
      <c r="D783" s="164"/>
      <c r="E783" s="165"/>
      <c r="F783" s="173"/>
      <c r="G783" s="168"/>
      <c r="H783" s="168"/>
      <c r="I783" s="169"/>
      <c r="J783" s="170"/>
      <c r="K783" s="170"/>
      <c r="L783" s="170"/>
      <c r="M783" s="167"/>
      <c r="N783" s="169"/>
      <c r="O783" s="171"/>
      <c r="P783" s="106"/>
      <c r="Q783" s="218"/>
      <c r="R783" s="172"/>
      <c r="S783" s="172"/>
      <c r="T783" s="173"/>
      <c r="U783" s="219"/>
      <c r="V783" s="219"/>
      <c r="W783" s="219"/>
      <c r="X783" s="219"/>
      <c r="Y783" s="219"/>
      <c r="Z783" s="219"/>
      <c r="AA783" s="219"/>
      <c r="AB783" s="219"/>
      <c r="AC783" s="219"/>
      <c r="AD783" s="219"/>
      <c r="AE783" s="219"/>
      <c r="AF783" s="219"/>
      <c r="AG783" s="219"/>
      <c r="AH783" s="219"/>
      <c r="AI783" s="219"/>
      <c r="AJ783" s="219"/>
      <c r="AK783" s="219"/>
      <c r="AL783" s="219"/>
      <c r="AM783" s="219"/>
      <c r="AN783" s="219"/>
      <c r="AO783" s="219"/>
      <c r="AP783" s="219"/>
      <c r="AQ783" s="219"/>
      <c r="AR783" s="219"/>
      <c r="AS783" s="219"/>
      <c r="AT783" s="219"/>
      <c r="AU783" s="219"/>
      <c r="AV783" s="219"/>
      <c r="AW783" s="219"/>
      <c r="AX783" s="219"/>
      <c r="AY783" s="219"/>
      <c r="AZ783" s="219"/>
      <c r="BA783" s="219"/>
      <c r="BB783" s="219"/>
      <c r="BC783" s="219"/>
      <c r="BD783" s="219"/>
      <c r="BE783" s="219"/>
      <c r="BF783" s="219"/>
      <c r="BG783" s="219"/>
      <c r="BH783" s="219"/>
      <c r="BI783" s="219"/>
      <c r="BJ783" s="219"/>
      <c r="BK783" s="219"/>
      <c r="BL783" s="219"/>
      <c r="BM783" s="219"/>
      <c r="BN783" s="219"/>
    </row>
    <row r="784" ht="29.25" hidden="1" customHeight="1">
      <c r="A784" s="216"/>
      <c r="B784" s="217"/>
      <c r="C784" s="164"/>
      <c r="D784" s="164"/>
      <c r="E784" s="165"/>
      <c r="F784" s="173"/>
      <c r="G784" s="168"/>
      <c r="H784" s="168"/>
      <c r="I784" s="169"/>
      <c r="J784" s="170"/>
      <c r="K784" s="170"/>
      <c r="L784" s="170"/>
      <c r="M784" s="167"/>
      <c r="N784" s="169"/>
      <c r="O784" s="171"/>
      <c r="P784" s="106"/>
      <c r="Q784" s="218"/>
      <c r="R784" s="172"/>
      <c r="S784" s="172"/>
      <c r="T784" s="173"/>
      <c r="U784" s="219"/>
      <c r="V784" s="219"/>
      <c r="W784" s="219"/>
      <c r="X784" s="219"/>
      <c r="Y784" s="219"/>
      <c r="Z784" s="219"/>
      <c r="AA784" s="219"/>
      <c r="AB784" s="219"/>
      <c r="AC784" s="219"/>
      <c r="AD784" s="219"/>
      <c r="AE784" s="219"/>
      <c r="AF784" s="219"/>
      <c r="AG784" s="219"/>
      <c r="AH784" s="219"/>
      <c r="AI784" s="219"/>
      <c r="AJ784" s="219"/>
      <c r="AK784" s="219"/>
      <c r="AL784" s="219"/>
      <c r="AM784" s="219"/>
      <c r="AN784" s="219"/>
      <c r="AO784" s="219"/>
      <c r="AP784" s="219"/>
      <c r="AQ784" s="219"/>
      <c r="AR784" s="219"/>
      <c r="AS784" s="219"/>
      <c r="AT784" s="219"/>
      <c r="AU784" s="219"/>
      <c r="AV784" s="219"/>
      <c r="AW784" s="219"/>
      <c r="AX784" s="219"/>
      <c r="AY784" s="219"/>
      <c r="AZ784" s="219"/>
      <c r="BA784" s="219"/>
      <c r="BB784" s="219"/>
      <c r="BC784" s="219"/>
      <c r="BD784" s="219"/>
      <c r="BE784" s="219"/>
      <c r="BF784" s="219"/>
      <c r="BG784" s="219"/>
      <c r="BH784" s="219"/>
      <c r="BI784" s="219"/>
      <c r="BJ784" s="219"/>
      <c r="BK784" s="219"/>
      <c r="BL784" s="219"/>
      <c r="BM784" s="219"/>
      <c r="BN784" s="219"/>
    </row>
    <row r="785" ht="29.25" hidden="1" customHeight="1">
      <c r="A785" s="216"/>
      <c r="B785" s="217"/>
      <c r="C785" s="164"/>
      <c r="D785" s="164"/>
      <c r="E785" s="165"/>
      <c r="F785" s="173"/>
      <c r="G785" s="168"/>
      <c r="H785" s="168"/>
      <c r="I785" s="169"/>
      <c r="J785" s="170"/>
      <c r="K785" s="170"/>
      <c r="L785" s="170"/>
      <c r="M785" s="167"/>
      <c r="N785" s="169"/>
      <c r="O785" s="171"/>
      <c r="P785" s="106"/>
      <c r="Q785" s="218"/>
      <c r="R785" s="172"/>
      <c r="S785" s="172"/>
      <c r="T785" s="173"/>
      <c r="U785" s="219"/>
      <c r="V785" s="219"/>
      <c r="W785" s="219"/>
      <c r="X785" s="219"/>
      <c r="Y785" s="219"/>
      <c r="Z785" s="219"/>
      <c r="AA785" s="219"/>
      <c r="AB785" s="219"/>
      <c r="AC785" s="219"/>
      <c r="AD785" s="219"/>
      <c r="AE785" s="219"/>
      <c r="AF785" s="219"/>
      <c r="AG785" s="219"/>
      <c r="AH785" s="219"/>
      <c r="AI785" s="219"/>
      <c r="AJ785" s="219"/>
      <c r="AK785" s="219"/>
      <c r="AL785" s="219"/>
      <c r="AM785" s="219"/>
      <c r="AN785" s="219"/>
      <c r="AO785" s="219"/>
      <c r="AP785" s="219"/>
      <c r="AQ785" s="219"/>
      <c r="AR785" s="219"/>
      <c r="AS785" s="219"/>
      <c r="AT785" s="219"/>
      <c r="AU785" s="219"/>
      <c r="AV785" s="219"/>
      <c r="AW785" s="219"/>
      <c r="AX785" s="219"/>
      <c r="AY785" s="219"/>
      <c r="AZ785" s="219"/>
      <c r="BA785" s="219"/>
      <c r="BB785" s="219"/>
      <c r="BC785" s="219"/>
      <c r="BD785" s="219"/>
      <c r="BE785" s="219"/>
      <c r="BF785" s="219"/>
      <c r="BG785" s="219"/>
      <c r="BH785" s="219"/>
      <c r="BI785" s="219"/>
      <c r="BJ785" s="219"/>
      <c r="BK785" s="219"/>
      <c r="BL785" s="219"/>
      <c r="BM785" s="219"/>
      <c r="BN785" s="219"/>
    </row>
    <row r="786" ht="29.25" hidden="1" customHeight="1">
      <c r="A786" s="216"/>
      <c r="B786" s="217"/>
      <c r="C786" s="164"/>
      <c r="D786" s="164"/>
      <c r="E786" s="165"/>
      <c r="F786" s="173"/>
      <c r="G786" s="168"/>
      <c r="H786" s="168"/>
      <c r="I786" s="169"/>
      <c r="J786" s="170"/>
      <c r="K786" s="170"/>
      <c r="L786" s="170"/>
      <c r="M786" s="167"/>
      <c r="N786" s="169"/>
      <c r="O786" s="171"/>
      <c r="P786" s="106"/>
      <c r="Q786" s="218"/>
      <c r="R786" s="172"/>
      <c r="S786" s="172"/>
      <c r="T786" s="173"/>
      <c r="U786" s="219"/>
      <c r="V786" s="219"/>
      <c r="W786" s="219"/>
      <c r="X786" s="219"/>
      <c r="Y786" s="219"/>
      <c r="Z786" s="219"/>
      <c r="AA786" s="219"/>
      <c r="AB786" s="219"/>
      <c r="AC786" s="219"/>
      <c r="AD786" s="219"/>
      <c r="AE786" s="219"/>
      <c r="AF786" s="219"/>
      <c r="AG786" s="219"/>
      <c r="AH786" s="219"/>
      <c r="AI786" s="219"/>
      <c r="AJ786" s="219"/>
      <c r="AK786" s="219"/>
      <c r="AL786" s="219"/>
      <c r="AM786" s="219"/>
      <c r="AN786" s="219"/>
      <c r="AO786" s="219"/>
      <c r="AP786" s="219"/>
      <c r="AQ786" s="219"/>
      <c r="AR786" s="219"/>
      <c r="AS786" s="219"/>
      <c r="AT786" s="219"/>
      <c r="AU786" s="219"/>
      <c r="AV786" s="219"/>
      <c r="AW786" s="219"/>
      <c r="AX786" s="219"/>
      <c r="AY786" s="219"/>
      <c r="AZ786" s="219"/>
      <c r="BA786" s="219"/>
      <c r="BB786" s="219"/>
      <c r="BC786" s="219"/>
      <c r="BD786" s="219"/>
      <c r="BE786" s="219"/>
      <c r="BF786" s="219"/>
      <c r="BG786" s="219"/>
      <c r="BH786" s="219"/>
      <c r="BI786" s="219"/>
      <c r="BJ786" s="219"/>
      <c r="BK786" s="219"/>
      <c r="BL786" s="219"/>
      <c r="BM786" s="219"/>
      <c r="BN786" s="219"/>
    </row>
    <row r="787" ht="29.25" hidden="1" customHeight="1">
      <c r="A787" s="216"/>
      <c r="B787" s="217"/>
      <c r="C787" s="164"/>
      <c r="D787" s="164"/>
      <c r="E787" s="165"/>
      <c r="F787" s="173"/>
      <c r="G787" s="168"/>
      <c r="H787" s="168"/>
      <c r="I787" s="169"/>
      <c r="J787" s="170"/>
      <c r="K787" s="170"/>
      <c r="L787" s="170"/>
      <c r="M787" s="167"/>
      <c r="N787" s="169"/>
      <c r="O787" s="171"/>
      <c r="P787" s="106"/>
      <c r="Q787" s="218"/>
      <c r="R787" s="172"/>
      <c r="S787" s="172"/>
      <c r="T787" s="173"/>
      <c r="U787" s="219"/>
      <c r="V787" s="219"/>
      <c r="W787" s="219"/>
      <c r="X787" s="219"/>
      <c r="Y787" s="219"/>
      <c r="Z787" s="219"/>
      <c r="AA787" s="219"/>
      <c r="AB787" s="219"/>
      <c r="AC787" s="219"/>
      <c r="AD787" s="219"/>
      <c r="AE787" s="219"/>
      <c r="AF787" s="219"/>
      <c r="AG787" s="219"/>
      <c r="AH787" s="219"/>
      <c r="AI787" s="219"/>
      <c r="AJ787" s="219"/>
      <c r="AK787" s="219"/>
      <c r="AL787" s="219"/>
      <c r="AM787" s="219"/>
      <c r="AN787" s="219"/>
      <c r="AO787" s="219"/>
      <c r="AP787" s="219"/>
      <c r="AQ787" s="219"/>
      <c r="AR787" s="219"/>
      <c r="AS787" s="219"/>
      <c r="AT787" s="219"/>
      <c r="AU787" s="219"/>
      <c r="AV787" s="219"/>
      <c r="AW787" s="219"/>
      <c r="AX787" s="219"/>
      <c r="AY787" s="219"/>
      <c r="AZ787" s="219"/>
      <c r="BA787" s="219"/>
      <c r="BB787" s="219"/>
      <c r="BC787" s="219"/>
      <c r="BD787" s="219"/>
      <c r="BE787" s="219"/>
      <c r="BF787" s="219"/>
      <c r="BG787" s="219"/>
      <c r="BH787" s="219"/>
      <c r="BI787" s="219"/>
      <c r="BJ787" s="219"/>
      <c r="BK787" s="219"/>
      <c r="BL787" s="219"/>
      <c r="BM787" s="219"/>
      <c r="BN787" s="219"/>
    </row>
    <row r="788" ht="29.25" hidden="1" customHeight="1">
      <c r="A788" s="216"/>
      <c r="B788" s="217"/>
      <c r="C788" s="164"/>
      <c r="D788" s="164"/>
      <c r="E788" s="165"/>
      <c r="F788" s="173"/>
      <c r="G788" s="168"/>
      <c r="H788" s="168"/>
      <c r="I788" s="169"/>
      <c r="J788" s="170"/>
      <c r="K788" s="170"/>
      <c r="L788" s="170"/>
      <c r="M788" s="167"/>
      <c r="N788" s="169"/>
      <c r="O788" s="171"/>
      <c r="P788" s="106"/>
      <c r="Q788" s="218"/>
      <c r="R788" s="172"/>
      <c r="S788" s="172"/>
      <c r="T788" s="173"/>
      <c r="U788" s="219"/>
      <c r="V788" s="219"/>
      <c r="W788" s="219"/>
      <c r="X788" s="219"/>
      <c r="Y788" s="219"/>
      <c r="Z788" s="219"/>
      <c r="AA788" s="219"/>
      <c r="AB788" s="219"/>
      <c r="AC788" s="219"/>
      <c r="AD788" s="219"/>
      <c r="AE788" s="219"/>
      <c r="AF788" s="219"/>
      <c r="AG788" s="219"/>
      <c r="AH788" s="219"/>
      <c r="AI788" s="219"/>
      <c r="AJ788" s="219"/>
      <c r="AK788" s="219"/>
      <c r="AL788" s="219"/>
      <c r="AM788" s="219"/>
      <c r="AN788" s="219"/>
      <c r="AO788" s="219"/>
      <c r="AP788" s="219"/>
      <c r="AQ788" s="219"/>
      <c r="AR788" s="219"/>
      <c r="AS788" s="219"/>
      <c r="AT788" s="219"/>
      <c r="AU788" s="219"/>
      <c r="AV788" s="219"/>
      <c r="AW788" s="219"/>
      <c r="AX788" s="219"/>
      <c r="AY788" s="219"/>
      <c r="AZ788" s="219"/>
      <c r="BA788" s="219"/>
      <c r="BB788" s="219"/>
      <c r="BC788" s="219"/>
      <c r="BD788" s="219"/>
      <c r="BE788" s="219"/>
      <c r="BF788" s="219"/>
      <c r="BG788" s="219"/>
      <c r="BH788" s="219"/>
      <c r="BI788" s="219"/>
      <c r="BJ788" s="219"/>
      <c r="BK788" s="219"/>
      <c r="BL788" s="219"/>
      <c r="BM788" s="219"/>
      <c r="BN788" s="219"/>
    </row>
    <row r="789" ht="29.25" hidden="1" customHeight="1">
      <c r="A789" s="216"/>
      <c r="B789" s="217"/>
      <c r="C789" s="164"/>
      <c r="D789" s="164"/>
      <c r="E789" s="165"/>
      <c r="F789" s="173"/>
      <c r="G789" s="168"/>
      <c r="H789" s="168"/>
      <c r="I789" s="169"/>
      <c r="J789" s="170"/>
      <c r="K789" s="170"/>
      <c r="L789" s="170"/>
      <c r="M789" s="167"/>
      <c r="N789" s="169"/>
      <c r="O789" s="171"/>
      <c r="P789" s="106"/>
      <c r="Q789" s="218"/>
      <c r="R789" s="172"/>
      <c r="S789" s="172"/>
      <c r="T789" s="173"/>
      <c r="U789" s="219"/>
      <c r="V789" s="219"/>
      <c r="W789" s="219"/>
      <c r="X789" s="219"/>
      <c r="Y789" s="219"/>
      <c r="Z789" s="219"/>
      <c r="AA789" s="219"/>
      <c r="AB789" s="219"/>
      <c r="AC789" s="219"/>
      <c r="AD789" s="219"/>
      <c r="AE789" s="219"/>
      <c r="AF789" s="219"/>
      <c r="AG789" s="219"/>
      <c r="AH789" s="219"/>
      <c r="AI789" s="219"/>
      <c r="AJ789" s="219"/>
      <c r="AK789" s="219"/>
      <c r="AL789" s="219"/>
      <c r="AM789" s="219"/>
      <c r="AN789" s="219"/>
      <c r="AO789" s="219"/>
      <c r="AP789" s="219"/>
      <c r="AQ789" s="219"/>
      <c r="AR789" s="219"/>
      <c r="AS789" s="219"/>
      <c r="AT789" s="219"/>
      <c r="AU789" s="219"/>
      <c r="AV789" s="219"/>
      <c r="AW789" s="219"/>
      <c r="AX789" s="219"/>
      <c r="AY789" s="219"/>
      <c r="AZ789" s="219"/>
      <c r="BA789" s="219"/>
      <c r="BB789" s="219"/>
      <c r="BC789" s="219"/>
      <c r="BD789" s="219"/>
      <c r="BE789" s="219"/>
      <c r="BF789" s="219"/>
      <c r="BG789" s="219"/>
      <c r="BH789" s="219"/>
      <c r="BI789" s="219"/>
      <c r="BJ789" s="219"/>
      <c r="BK789" s="219"/>
      <c r="BL789" s="219"/>
      <c r="BM789" s="219"/>
      <c r="BN789" s="219"/>
    </row>
    <row r="790" ht="29.25" hidden="1" customHeight="1">
      <c r="A790" s="216"/>
      <c r="B790" s="217"/>
      <c r="C790" s="164"/>
      <c r="D790" s="164"/>
      <c r="E790" s="165"/>
      <c r="F790" s="173"/>
      <c r="G790" s="168"/>
      <c r="H790" s="168"/>
      <c r="I790" s="169"/>
      <c r="J790" s="170"/>
      <c r="K790" s="170"/>
      <c r="L790" s="170"/>
      <c r="M790" s="167"/>
      <c r="N790" s="169"/>
      <c r="O790" s="171"/>
      <c r="P790" s="106"/>
      <c r="Q790" s="218"/>
      <c r="R790" s="172"/>
      <c r="S790" s="172"/>
      <c r="T790" s="173"/>
      <c r="U790" s="219"/>
      <c r="V790" s="219"/>
      <c r="W790" s="219"/>
      <c r="X790" s="219"/>
      <c r="Y790" s="219"/>
      <c r="Z790" s="219"/>
      <c r="AA790" s="219"/>
      <c r="AB790" s="219"/>
      <c r="AC790" s="219"/>
      <c r="AD790" s="219"/>
      <c r="AE790" s="219"/>
      <c r="AF790" s="219"/>
      <c r="AG790" s="219"/>
      <c r="AH790" s="219"/>
      <c r="AI790" s="219"/>
      <c r="AJ790" s="219"/>
      <c r="AK790" s="219"/>
      <c r="AL790" s="219"/>
      <c r="AM790" s="219"/>
      <c r="AN790" s="219"/>
      <c r="AO790" s="219"/>
      <c r="AP790" s="219"/>
      <c r="AQ790" s="219"/>
      <c r="AR790" s="219"/>
      <c r="AS790" s="219"/>
      <c r="AT790" s="219"/>
      <c r="AU790" s="219"/>
      <c r="AV790" s="219"/>
      <c r="AW790" s="219"/>
      <c r="AX790" s="219"/>
      <c r="AY790" s="219"/>
      <c r="AZ790" s="219"/>
      <c r="BA790" s="219"/>
      <c r="BB790" s="219"/>
      <c r="BC790" s="219"/>
      <c r="BD790" s="219"/>
      <c r="BE790" s="219"/>
      <c r="BF790" s="219"/>
      <c r="BG790" s="219"/>
      <c r="BH790" s="219"/>
      <c r="BI790" s="219"/>
      <c r="BJ790" s="219"/>
      <c r="BK790" s="219"/>
      <c r="BL790" s="219"/>
      <c r="BM790" s="219"/>
      <c r="BN790" s="219"/>
    </row>
    <row r="791" ht="29.25" hidden="1" customHeight="1">
      <c r="A791" s="216"/>
      <c r="B791" s="217"/>
      <c r="C791" s="164"/>
      <c r="D791" s="164"/>
      <c r="E791" s="165"/>
      <c r="F791" s="173"/>
      <c r="G791" s="168"/>
      <c r="H791" s="168"/>
      <c r="I791" s="169"/>
      <c r="J791" s="170"/>
      <c r="K791" s="170"/>
      <c r="L791" s="170"/>
      <c r="M791" s="167"/>
      <c r="N791" s="169"/>
      <c r="O791" s="171"/>
      <c r="P791" s="106"/>
      <c r="Q791" s="218"/>
      <c r="R791" s="172"/>
      <c r="S791" s="172"/>
      <c r="T791" s="173"/>
      <c r="U791" s="219"/>
      <c r="V791" s="219"/>
      <c r="W791" s="219"/>
      <c r="X791" s="219"/>
      <c r="Y791" s="219"/>
      <c r="Z791" s="219"/>
      <c r="AA791" s="219"/>
      <c r="AB791" s="219"/>
      <c r="AC791" s="219"/>
      <c r="AD791" s="219"/>
      <c r="AE791" s="219"/>
      <c r="AF791" s="219"/>
      <c r="AG791" s="219"/>
      <c r="AH791" s="219"/>
      <c r="AI791" s="219"/>
      <c r="AJ791" s="219"/>
      <c r="AK791" s="219"/>
      <c r="AL791" s="219"/>
      <c r="AM791" s="219"/>
      <c r="AN791" s="219"/>
      <c r="AO791" s="219"/>
      <c r="AP791" s="219"/>
      <c r="AQ791" s="219"/>
      <c r="AR791" s="219"/>
      <c r="AS791" s="219"/>
      <c r="AT791" s="219"/>
      <c r="AU791" s="219"/>
      <c r="AV791" s="219"/>
      <c r="AW791" s="219"/>
      <c r="AX791" s="219"/>
      <c r="AY791" s="219"/>
      <c r="AZ791" s="219"/>
      <c r="BA791" s="219"/>
      <c r="BB791" s="219"/>
      <c r="BC791" s="219"/>
      <c r="BD791" s="219"/>
      <c r="BE791" s="219"/>
      <c r="BF791" s="219"/>
      <c r="BG791" s="219"/>
      <c r="BH791" s="219"/>
      <c r="BI791" s="219"/>
      <c r="BJ791" s="219"/>
      <c r="BK791" s="219"/>
      <c r="BL791" s="219"/>
      <c r="BM791" s="219"/>
      <c r="BN791" s="219"/>
    </row>
    <row r="792" ht="29.25" hidden="1" customHeight="1">
      <c r="A792" s="216"/>
      <c r="B792" s="217"/>
      <c r="C792" s="164"/>
      <c r="D792" s="164"/>
      <c r="E792" s="165"/>
      <c r="F792" s="173"/>
      <c r="G792" s="168"/>
      <c r="H792" s="168"/>
      <c r="I792" s="169"/>
      <c r="J792" s="170"/>
      <c r="K792" s="170"/>
      <c r="L792" s="170"/>
      <c r="M792" s="167"/>
      <c r="N792" s="169"/>
      <c r="O792" s="171"/>
      <c r="P792" s="106"/>
      <c r="Q792" s="218"/>
      <c r="R792" s="172"/>
      <c r="S792" s="172"/>
      <c r="T792" s="173"/>
      <c r="U792" s="219"/>
      <c r="V792" s="219"/>
      <c r="W792" s="219"/>
      <c r="X792" s="219"/>
      <c r="Y792" s="219"/>
      <c r="Z792" s="219"/>
      <c r="AA792" s="219"/>
      <c r="AB792" s="219"/>
      <c r="AC792" s="219"/>
      <c r="AD792" s="219"/>
      <c r="AE792" s="219"/>
      <c r="AF792" s="219"/>
      <c r="AG792" s="219"/>
      <c r="AH792" s="219"/>
      <c r="AI792" s="219"/>
      <c r="AJ792" s="219"/>
      <c r="AK792" s="219"/>
      <c r="AL792" s="219"/>
      <c r="AM792" s="219"/>
      <c r="AN792" s="219"/>
      <c r="AO792" s="219"/>
      <c r="AP792" s="219"/>
      <c r="AQ792" s="219"/>
      <c r="AR792" s="219"/>
      <c r="AS792" s="219"/>
      <c r="AT792" s="219"/>
      <c r="AU792" s="219"/>
      <c r="AV792" s="219"/>
      <c r="AW792" s="219"/>
      <c r="AX792" s="219"/>
      <c r="AY792" s="219"/>
      <c r="AZ792" s="219"/>
      <c r="BA792" s="219"/>
      <c r="BB792" s="219"/>
      <c r="BC792" s="219"/>
      <c r="BD792" s="219"/>
      <c r="BE792" s="219"/>
      <c r="BF792" s="219"/>
      <c r="BG792" s="219"/>
      <c r="BH792" s="219"/>
      <c r="BI792" s="219"/>
      <c r="BJ792" s="219"/>
      <c r="BK792" s="219"/>
      <c r="BL792" s="219"/>
      <c r="BM792" s="219"/>
      <c r="BN792" s="219"/>
    </row>
    <row r="793" ht="29.25" hidden="1" customHeight="1">
      <c r="A793" s="216"/>
      <c r="B793" s="217"/>
      <c r="C793" s="164"/>
      <c r="D793" s="164"/>
      <c r="E793" s="165"/>
      <c r="F793" s="173"/>
      <c r="G793" s="168"/>
      <c r="H793" s="168"/>
      <c r="I793" s="169"/>
      <c r="J793" s="170"/>
      <c r="K793" s="170"/>
      <c r="L793" s="170"/>
      <c r="M793" s="167"/>
      <c r="N793" s="169"/>
      <c r="O793" s="171"/>
      <c r="P793" s="106"/>
      <c r="Q793" s="218"/>
      <c r="R793" s="172"/>
      <c r="S793" s="172"/>
      <c r="T793" s="173"/>
      <c r="U793" s="219"/>
      <c r="V793" s="219"/>
      <c r="W793" s="219"/>
      <c r="X793" s="219"/>
      <c r="Y793" s="219"/>
      <c r="Z793" s="219"/>
      <c r="AA793" s="219"/>
      <c r="AB793" s="219"/>
      <c r="AC793" s="219"/>
      <c r="AD793" s="219"/>
      <c r="AE793" s="219"/>
      <c r="AF793" s="219"/>
      <c r="AG793" s="219"/>
      <c r="AH793" s="219"/>
      <c r="AI793" s="219"/>
      <c r="AJ793" s="219"/>
      <c r="AK793" s="219"/>
      <c r="AL793" s="219"/>
      <c r="AM793" s="219"/>
      <c r="AN793" s="219"/>
      <c r="AO793" s="219"/>
      <c r="AP793" s="219"/>
      <c r="AQ793" s="219"/>
      <c r="AR793" s="219"/>
      <c r="AS793" s="219"/>
      <c r="AT793" s="219"/>
      <c r="AU793" s="219"/>
      <c r="AV793" s="219"/>
      <c r="AW793" s="219"/>
      <c r="AX793" s="219"/>
      <c r="AY793" s="219"/>
      <c r="AZ793" s="219"/>
      <c r="BA793" s="219"/>
      <c r="BB793" s="219"/>
      <c r="BC793" s="219"/>
      <c r="BD793" s="219"/>
      <c r="BE793" s="219"/>
      <c r="BF793" s="219"/>
      <c r="BG793" s="219"/>
      <c r="BH793" s="219"/>
      <c r="BI793" s="219"/>
      <c r="BJ793" s="219"/>
      <c r="BK793" s="219"/>
      <c r="BL793" s="219"/>
      <c r="BM793" s="219"/>
      <c r="BN793" s="219"/>
    </row>
    <row r="794" ht="29.25" hidden="1" customHeight="1">
      <c r="A794" s="216"/>
      <c r="B794" s="217"/>
      <c r="C794" s="164"/>
      <c r="D794" s="164"/>
      <c r="E794" s="165"/>
      <c r="F794" s="173"/>
      <c r="G794" s="168"/>
      <c r="H794" s="168"/>
      <c r="I794" s="169"/>
      <c r="J794" s="170"/>
      <c r="K794" s="170"/>
      <c r="L794" s="170"/>
      <c r="M794" s="167"/>
      <c r="N794" s="169"/>
      <c r="O794" s="171"/>
      <c r="P794" s="106"/>
      <c r="Q794" s="218"/>
      <c r="R794" s="172"/>
      <c r="S794" s="172"/>
      <c r="T794" s="173"/>
      <c r="U794" s="219"/>
      <c r="V794" s="219"/>
      <c r="W794" s="219"/>
      <c r="X794" s="219"/>
      <c r="Y794" s="219"/>
      <c r="Z794" s="219"/>
      <c r="AA794" s="219"/>
      <c r="AB794" s="219"/>
      <c r="AC794" s="219"/>
      <c r="AD794" s="219"/>
      <c r="AE794" s="219"/>
      <c r="AF794" s="219"/>
      <c r="AG794" s="219"/>
      <c r="AH794" s="219"/>
      <c r="AI794" s="219"/>
      <c r="AJ794" s="219"/>
      <c r="AK794" s="219"/>
      <c r="AL794" s="219"/>
      <c r="AM794" s="219"/>
      <c r="AN794" s="219"/>
      <c r="AO794" s="219"/>
      <c r="AP794" s="219"/>
      <c r="AQ794" s="219"/>
      <c r="AR794" s="219"/>
      <c r="AS794" s="219"/>
      <c r="AT794" s="219"/>
      <c r="AU794" s="219"/>
      <c r="AV794" s="219"/>
      <c r="AW794" s="219"/>
      <c r="AX794" s="219"/>
      <c r="AY794" s="219"/>
      <c r="AZ794" s="219"/>
      <c r="BA794" s="219"/>
      <c r="BB794" s="219"/>
      <c r="BC794" s="219"/>
      <c r="BD794" s="219"/>
      <c r="BE794" s="219"/>
      <c r="BF794" s="219"/>
      <c r="BG794" s="219"/>
      <c r="BH794" s="219"/>
      <c r="BI794" s="219"/>
      <c r="BJ794" s="219"/>
      <c r="BK794" s="219"/>
      <c r="BL794" s="219"/>
      <c r="BM794" s="219"/>
      <c r="BN794" s="219"/>
    </row>
    <row r="795" ht="29.25" hidden="1" customHeight="1">
      <c r="A795" s="216"/>
      <c r="B795" s="217"/>
      <c r="C795" s="164"/>
      <c r="D795" s="164"/>
      <c r="E795" s="165"/>
      <c r="F795" s="173"/>
      <c r="G795" s="168"/>
      <c r="H795" s="168"/>
      <c r="I795" s="169"/>
      <c r="J795" s="170"/>
      <c r="K795" s="170"/>
      <c r="L795" s="170"/>
      <c r="M795" s="167"/>
      <c r="N795" s="169"/>
      <c r="O795" s="171"/>
      <c r="P795" s="106"/>
      <c r="Q795" s="218"/>
      <c r="R795" s="172"/>
      <c r="S795" s="172"/>
      <c r="T795" s="173"/>
      <c r="U795" s="219"/>
      <c r="V795" s="219"/>
      <c r="W795" s="219"/>
      <c r="X795" s="219"/>
      <c r="Y795" s="219"/>
      <c r="Z795" s="219"/>
      <c r="AA795" s="219"/>
      <c r="AB795" s="219"/>
      <c r="AC795" s="219"/>
      <c r="AD795" s="219"/>
      <c r="AE795" s="219"/>
      <c r="AF795" s="219"/>
      <c r="AG795" s="219"/>
      <c r="AH795" s="219"/>
      <c r="AI795" s="219"/>
      <c r="AJ795" s="219"/>
      <c r="AK795" s="219"/>
      <c r="AL795" s="219"/>
      <c r="AM795" s="219"/>
      <c r="AN795" s="219"/>
      <c r="AO795" s="219"/>
      <c r="AP795" s="219"/>
      <c r="AQ795" s="219"/>
      <c r="AR795" s="219"/>
      <c r="AS795" s="219"/>
      <c r="AT795" s="219"/>
      <c r="AU795" s="219"/>
      <c r="AV795" s="219"/>
      <c r="AW795" s="219"/>
      <c r="AX795" s="219"/>
      <c r="AY795" s="219"/>
      <c r="AZ795" s="219"/>
      <c r="BA795" s="219"/>
      <c r="BB795" s="219"/>
      <c r="BC795" s="219"/>
      <c r="BD795" s="219"/>
      <c r="BE795" s="219"/>
      <c r="BF795" s="219"/>
      <c r="BG795" s="219"/>
      <c r="BH795" s="219"/>
      <c r="BI795" s="219"/>
      <c r="BJ795" s="219"/>
      <c r="BK795" s="219"/>
      <c r="BL795" s="219"/>
      <c r="BM795" s="219"/>
      <c r="BN795" s="219"/>
    </row>
    <row r="796" ht="29.25" hidden="1" customHeight="1">
      <c r="A796" s="216"/>
      <c r="B796" s="217"/>
      <c r="C796" s="164"/>
      <c r="D796" s="164"/>
      <c r="E796" s="165"/>
      <c r="F796" s="173"/>
      <c r="G796" s="168"/>
      <c r="H796" s="168"/>
      <c r="I796" s="169"/>
      <c r="J796" s="170"/>
      <c r="K796" s="170"/>
      <c r="L796" s="170"/>
      <c r="M796" s="167"/>
      <c r="N796" s="169"/>
      <c r="O796" s="171"/>
      <c r="P796" s="106"/>
      <c r="Q796" s="218"/>
      <c r="R796" s="172"/>
      <c r="S796" s="172"/>
      <c r="T796" s="173"/>
      <c r="U796" s="219"/>
      <c r="V796" s="219"/>
      <c r="W796" s="219"/>
      <c r="X796" s="219"/>
      <c r="Y796" s="219"/>
      <c r="Z796" s="219"/>
      <c r="AA796" s="219"/>
      <c r="AB796" s="219"/>
      <c r="AC796" s="219"/>
      <c r="AD796" s="219"/>
      <c r="AE796" s="219"/>
      <c r="AF796" s="219"/>
      <c r="AG796" s="219"/>
      <c r="AH796" s="219"/>
      <c r="AI796" s="219"/>
      <c r="AJ796" s="219"/>
      <c r="AK796" s="219"/>
      <c r="AL796" s="219"/>
      <c r="AM796" s="219"/>
      <c r="AN796" s="219"/>
      <c r="AO796" s="219"/>
      <c r="AP796" s="219"/>
      <c r="AQ796" s="219"/>
      <c r="AR796" s="219"/>
      <c r="AS796" s="219"/>
      <c r="AT796" s="219"/>
      <c r="AU796" s="219"/>
      <c r="AV796" s="219"/>
      <c r="AW796" s="219"/>
      <c r="AX796" s="219"/>
      <c r="AY796" s="219"/>
      <c r="AZ796" s="219"/>
      <c r="BA796" s="219"/>
      <c r="BB796" s="219"/>
      <c r="BC796" s="219"/>
      <c r="BD796" s="219"/>
      <c r="BE796" s="219"/>
      <c r="BF796" s="219"/>
      <c r="BG796" s="219"/>
      <c r="BH796" s="219"/>
      <c r="BI796" s="219"/>
      <c r="BJ796" s="219"/>
      <c r="BK796" s="219"/>
      <c r="BL796" s="219"/>
      <c r="BM796" s="219"/>
      <c r="BN796" s="219"/>
    </row>
    <row r="797" ht="29.25" hidden="1" customHeight="1">
      <c r="A797" s="216"/>
      <c r="B797" s="217"/>
      <c r="C797" s="164"/>
      <c r="D797" s="164"/>
      <c r="E797" s="165"/>
      <c r="F797" s="173"/>
      <c r="G797" s="168"/>
      <c r="H797" s="168"/>
      <c r="I797" s="169"/>
      <c r="J797" s="170"/>
      <c r="K797" s="170"/>
      <c r="L797" s="170"/>
      <c r="M797" s="167"/>
      <c r="N797" s="169"/>
      <c r="O797" s="171"/>
      <c r="P797" s="106"/>
      <c r="Q797" s="218"/>
      <c r="R797" s="172"/>
      <c r="S797" s="172"/>
      <c r="T797" s="173"/>
      <c r="U797" s="219"/>
      <c r="V797" s="219"/>
      <c r="W797" s="219"/>
      <c r="X797" s="219"/>
      <c r="Y797" s="219"/>
      <c r="Z797" s="219"/>
      <c r="AA797" s="219"/>
      <c r="AB797" s="219"/>
      <c r="AC797" s="219"/>
      <c r="AD797" s="219"/>
      <c r="AE797" s="219"/>
      <c r="AF797" s="219"/>
      <c r="AG797" s="219"/>
      <c r="AH797" s="219"/>
      <c r="AI797" s="219"/>
      <c r="AJ797" s="219"/>
      <c r="AK797" s="219"/>
      <c r="AL797" s="219"/>
      <c r="AM797" s="219"/>
      <c r="AN797" s="219"/>
      <c r="AO797" s="219"/>
      <c r="AP797" s="219"/>
      <c r="AQ797" s="219"/>
      <c r="AR797" s="219"/>
      <c r="AS797" s="219"/>
      <c r="AT797" s="219"/>
      <c r="AU797" s="219"/>
      <c r="AV797" s="219"/>
      <c r="AW797" s="219"/>
      <c r="AX797" s="219"/>
      <c r="AY797" s="219"/>
      <c r="AZ797" s="219"/>
      <c r="BA797" s="219"/>
      <c r="BB797" s="219"/>
      <c r="BC797" s="219"/>
      <c r="BD797" s="219"/>
      <c r="BE797" s="219"/>
      <c r="BF797" s="219"/>
      <c r="BG797" s="219"/>
      <c r="BH797" s="219"/>
      <c r="BI797" s="219"/>
      <c r="BJ797" s="219"/>
      <c r="BK797" s="219"/>
      <c r="BL797" s="219"/>
      <c r="BM797" s="219"/>
      <c r="BN797" s="219"/>
    </row>
    <row r="798" ht="29.25" hidden="1" customHeight="1">
      <c r="A798" s="216"/>
      <c r="B798" s="217"/>
      <c r="C798" s="164"/>
      <c r="D798" s="164"/>
      <c r="E798" s="165"/>
      <c r="F798" s="173"/>
      <c r="G798" s="168"/>
      <c r="H798" s="168"/>
      <c r="I798" s="169"/>
      <c r="J798" s="170"/>
      <c r="K798" s="170"/>
      <c r="L798" s="170"/>
      <c r="M798" s="167"/>
      <c r="N798" s="169"/>
      <c r="O798" s="171"/>
      <c r="P798" s="106"/>
      <c r="Q798" s="218"/>
      <c r="R798" s="172"/>
      <c r="S798" s="172"/>
      <c r="T798" s="173"/>
      <c r="U798" s="219"/>
      <c r="V798" s="219"/>
      <c r="W798" s="219"/>
      <c r="X798" s="219"/>
      <c r="Y798" s="219"/>
      <c r="Z798" s="219"/>
      <c r="AA798" s="219"/>
      <c r="AB798" s="219"/>
      <c r="AC798" s="219"/>
      <c r="AD798" s="219"/>
      <c r="AE798" s="219"/>
      <c r="AF798" s="219"/>
      <c r="AG798" s="219"/>
      <c r="AH798" s="219"/>
      <c r="AI798" s="219"/>
      <c r="AJ798" s="219"/>
      <c r="AK798" s="219"/>
      <c r="AL798" s="219"/>
      <c r="AM798" s="219"/>
      <c r="AN798" s="219"/>
      <c r="AO798" s="219"/>
      <c r="AP798" s="219"/>
      <c r="AQ798" s="219"/>
      <c r="AR798" s="219"/>
      <c r="AS798" s="219"/>
      <c r="AT798" s="219"/>
      <c r="AU798" s="219"/>
      <c r="AV798" s="219"/>
      <c r="AW798" s="219"/>
      <c r="AX798" s="219"/>
      <c r="AY798" s="219"/>
      <c r="AZ798" s="219"/>
      <c r="BA798" s="219"/>
      <c r="BB798" s="219"/>
      <c r="BC798" s="219"/>
      <c r="BD798" s="219"/>
      <c r="BE798" s="219"/>
      <c r="BF798" s="219"/>
      <c r="BG798" s="219"/>
      <c r="BH798" s="219"/>
      <c r="BI798" s="219"/>
      <c r="BJ798" s="219"/>
      <c r="BK798" s="219"/>
      <c r="BL798" s="219"/>
      <c r="BM798" s="219"/>
      <c r="BN798" s="219"/>
    </row>
    <row r="799" ht="29.25" hidden="1" customHeight="1">
      <c r="A799" s="216"/>
      <c r="B799" s="217"/>
      <c r="C799" s="164"/>
      <c r="D799" s="164"/>
      <c r="E799" s="165"/>
      <c r="F799" s="173"/>
      <c r="G799" s="168"/>
      <c r="H799" s="168"/>
      <c r="I799" s="169"/>
      <c r="J799" s="170"/>
      <c r="K799" s="170"/>
      <c r="L799" s="170"/>
      <c r="M799" s="167"/>
      <c r="N799" s="169"/>
      <c r="O799" s="171"/>
      <c r="P799" s="106"/>
      <c r="Q799" s="218"/>
      <c r="R799" s="172"/>
      <c r="S799" s="172"/>
      <c r="T799" s="173"/>
      <c r="U799" s="219"/>
      <c r="V799" s="219"/>
      <c r="W799" s="219"/>
      <c r="X799" s="219"/>
      <c r="Y799" s="219"/>
      <c r="Z799" s="219"/>
      <c r="AA799" s="219"/>
      <c r="AB799" s="219"/>
      <c r="AC799" s="219"/>
      <c r="AD799" s="219"/>
      <c r="AE799" s="219"/>
      <c r="AF799" s="219"/>
      <c r="AG799" s="219"/>
      <c r="AH799" s="219"/>
      <c r="AI799" s="219"/>
      <c r="AJ799" s="219"/>
      <c r="AK799" s="219"/>
      <c r="AL799" s="219"/>
      <c r="AM799" s="219"/>
      <c r="AN799" s="219"/>
      <c r="AO799" s="219"/>
      <c r="AP799" s="219"/>
      <c r="AQ799" s="219"/>
      <c r="AR799" s="219"/>
      <c r="AS799" s="219"/>
      <c r="AT799" s="219"/>
      <c r="AU799" s="219"/>
      <c r="AV799" s="219"/>
      <c r="AW799" s="219"/>
      <c r="AX799" s="219"/>
      <c r="AY799" s="219"/>
      <c r="AZ799" s="219"/>
      <c r="BA799" s="219"/>
      <c r="BB799" s="219"/>
      <c r="BC799" s="219"/>
      <c r="BD799" s="219"/>
      <c r="BE799" s="219"/>
      <c r="BF799" s="219"/>
      <c r="BG799" s="219"/>
      <c r="BH799" s="219"/>
      <c r="BI799" s="219"/>
      <c r="BJ799" s="219"/>
      <c r="BK799" s="219"/>
      <c r="BL799" s="219"/>
      <c r="BM799" s="219"/>
      <c r="BN799" s="219"/>
    </row>
    <row r="800" ht="29.25" hidden="1" customHeight="1">
      <c r="A800" s="216"/>
      <c r="B800" s="217"/>
      <c r="C800" s="164"/>
      <c r="D800" s="164"/>
      <c r="E800" s="165"/>
      <c r="F800" s="173"/>
      <c r="G800" s="168"/>
      <c r="H800" s="168"/>
      <c r="I800" s="169"/>
      <c r="J800" s="170"/>
      <c r="K800" s="170"/>
      <c r="L800" s="170"/>
      <c r="M800" s="167"/>
      <c r="N800" s="169"/>
      <c r="O800" s="171"/>
      <c r="P800" s="106"/>
      <c r="Q800" s="218"/>
      <c r="R800" s="172"/>
      <c r="S800" s="172"/>
      <c r="T800" s="173"/>
      <c r="U800" s="219"/>
      <c r="V800" s="219"/>
      <c r="W800" s="219"/>
      <c r="X800" s="219"/>
      <c r="Y800" s="219"/>
      <c r="Z800" s="219"/>
      <c r="AA800" s="219"/>
      <c r="AB800" s="219"/>
      <c r="AC800" s="219"/>
      <c r="AD800" s="219"/>
      <c r="AE800" s="219"/>
      <c r="AF800" s="219"/>
      <c r="AG800" s="219"/>
      <c r="AH800" s="219"/>
      <c r="AI800" s="219"/>
      <c r="AJ800" s="219"/>
      <c r="AK800" s="219"/>
      <c r="AL800" s="219"/>
      <c r="AM800" s="219"/>
      <c r="AN800" s="219"/>
      <c r="AO800" s="219"/>
      <c r="AP800" s="219"/>
      <c r="AQ800" s="219"/>
      <c r="AR800" s="219"/>
      <c r="AS800" s="219"/>
      <c r="AT800" s="219"/>
      <c r="AU800" s="219"/>
      <c r="AV800" s="219"/>
      <c r="AW800" s="219"/>
      <c r="AX800" s="219"/>
      <c r="AY800" s="219"/>
      <c r="AZ800" s="219"/>
      <c r="BA800" s="219"/>
      <c r="BB800" s="219"/>
      <c r="BC800" s="219"/>
      <c r="BD800" s="219"/>
      <c r="BE800" s="219"/>
      <c r="BF800" s="219"/>
      <c r="BG800" s="219"/>
      <c r="BH800" s="219"/>
      <c r="BI800" s="219"/>
      <c r="BJ800" s="219"/>
      <c r="BK800" s="219"/>
      <c r="BL800" s="219"/>
      <c r="BM800" s="219"/>
      <c r="BN800" s="219"/>
    </row>
    <row r="801" ht="29.25" hidden="1" customHeight="1">
      <c r="A801" s="216"/>
      <c r="B801" s="217"/>
      <c r="C801" s="164"/>
      <c r="D801" s="164"/>
      <c r="E801" s="165"/>
      <c r="F801" s="173"/>
      <c r="G801" s="168"/>
      <c r="H801" s="168"/>
      <c r="I801" s="169"/>
      <c r="J801" s="170"/>
      <c r="K801" s="170"/>
      <c r="L801" s="170"/>
      <c r="M801" s="167"/>
      <c r="N801" s="169"/>
      <c r="O801" s="171"/>
      <c r="P801" s="106"/>
      <c r="Q801" s="218"/>
      <c r="R801" s="172"/>
      <c r="S801" s="172"/>
      <c r="T801" s="173"/>
      <c r="U801" s="219"/>
      <c r="V801" s="219"/>
      <c r="W801" s="219"/>
      <c r="X801" s="219"/>
      <c r="Y801" s="219"/>
      <c r="Z801" s="219"/>
      <c r="AA801" s="219"/>
      <c r="AB801" s="219"/>
      <c r="AC801" s="219"/>
      <c r="AD801" s="219"/>
      <c r="AE801" s="219"/>
      <c r="AF801" s="219"/>
      <c r="AG801" s="219"/>
      <c r="AH801" s="219"/>
      <c r="AI801" s="219"/>
      <c r="AJ801" s="219"/>
      <c r="AK801" s="219"/>
      <c r="AL801" s="219"/>
      <c r="AM801" s="219"/>
      <c r="AN801" s="219"/>
      <c r="AO801" s="219"/>
      <c r="AP801" s="219"/>
      <c r="AQ801" s="219"/>
      <c r="AR801" s="219"/>
      <c r="AS801" s="219"/>
      <c r="AT801" s="219"/>
      <c r="AU801" s="219"/>
      <c r="AV801" s="219"/>
      <c r="AW801" s="219"/>
      <c r="AX801" s="219"/>
      <c r="AY801" s="219"/>
      <c r="AZ801" s="219"/>
      <c r="BA801" s="219"/>
      <c r="BB801" s="219"/>
      <c r="BC801" s="219"/>
      <c r="BD801" s="219"/>
      <c r="BE801" s="219"/>
      <c r="BF801" s="219"/>
      <c r="BG801" s="219"/>
      <c r="BH801" s="219"/>
      <c r="BI801" s="219"/>
      <c r="BJ801" s="219"/>
      <c r="BK801" s="219"/>
      <c r="BL801" s="219"/>
      <c r="BM801" s="219"/>
      <c r="BN801" s="219"/>
    </row>
    <row r="802" ht="29.25" hidden="1" customHeight="1">
      <c r="A802" s="216"/>
      <c r="B802" s="217"/>
      <c r="C802" s="164"/>
      <c r="D802" s="164"/>
      <c r="E802" s="165"/>
      <c r="F802" s="173"/>
      <c r="G802" s="168"/>
      <c r="H802" s="168"/>
      <c r="I802" s="169"/>
      <c r="J802" s="170"/>
      <c r="K802" s="170"/>
      <c r="L802" s="170"/>
      <c r="M802" s="167"/>
      <c r="N802" s="169"/>
      <c r="O802" s="171"/>
      <c r="P802" s="106"/>
      <c r="Q802" s="218"/>
      <c r="R802" s="172"/>
      <c r="S802" s="172"/>
      <c r="T802" s="173"/>
      <c r="U802" s="219"/>
      <c r="V802" s="219"/>
      <c r="W802" s="219"/>
      <c r="X802" s="219"/>
      <c r="Y802" s="219"/>
      <c r="Z802" s="219"/>
      <c r="AA802" s="219"/>
      <c r="AB802" s="219"/>
      <c r="AC802" s="219"/>
      <c r="AD802" s="219"/>
      <c r="AE802" s="219"/>
      <c r="AF802" s="219"/>
      <c r="AG802" s="219"/>
      <c r="AH802" s="219"/>
      <c r="AI802" s="219"/>
      <c r="AJ802" s="219"/>
      <c r="AK802" s="219"/>
      <c r="AL802" s="219"/>
      <c r="AM802" s="219"/>
      <c r="AN802" s="219"/>
      <c r="AO802" s="219"/>
      <c r="AP802" s="219"/>
      <c r="AQ802" s="219"/>
      <c r="AR802" s="219"/>
      <c r="AS802" s="219"/>
      <c r="AT802" s="219"/>
      <c r="AU802" s="219"/>
      <c r="AV802" s="219"/>
      <c r="AW802" s="219"/>
      <c r="AX802" s="219"/>
      <c r="AY802" s="219"/>
      <c r="AZ802" s="219"/>
      <c r="BA802" s="219"/>
      <c r="BB802" s="219"/>
      <c r="BC802" s="219"/>
      <c r="BD802" s="219"/>
      <c r="BE802" s="219"/>
      <c r="BF802" s="219"/>
      <c r="BG802" s="219"/>
      <c r="BH802" s="219"/>
      <c r="BI802" s="219"/>
      <c r="BJ802" s="219"/>
      <c r="BK802" s="219"/>
      <c r="BL802" s="219"/>
      <c r="BM802" s="219"/>
      <c r="BN802" s="219"/>
    </row>
    <row r="803" ht="29.25" hidden="1" customHeight="1">
      <c r="A803" s="216"/>
      <c r="B803" s="217"/>
      <c r="C803" s="164"/>
      <c r="D803" s="164"/>
      <c r="E803" s="165"/>
      <c r="F803" s="173"/>
      <c r="G803" s="168"/>
      <c r="H803" s="168"/>
      <c r="I803" s="169"/>
      <c r="J803" s="170"/>
      <c r="K803" s="170"/>
      <c r="L803" s="170"/>
      <c r="M803" s="167"/>
      <c r="N803" s="169"/>
      <c r="O803" s="171"/>
      <c r="P803" s="106"/>
      <c r="Q803" s="218"/>
      <c r="R803" s="172"/>
      <c r="S803" s="172"/>
      <c r="T803" s="173"/>
      <c r="U803" s="219"/>
      <c r="V803" s="219"/>
      <c r="W803" s="219"/>
      <c r="X803" s="219"/>
      <c r="Y803" s="219"/>
      <c r="Z803" s="219"/>
      <c r="AA803" s="219"/>
      <c r="AB803" s="219"/>
      <c r="AC803" s="219"/>
      <c r="AD803" s="219"/>
      <c r="AE803" s="219"/>
      <c r="AF803" s="219"/>
      <c r="AG803" s="219"/>
      <c r="AH803" s="219"/>
      <c r="AI803" s="219"/>
      <c r="AJ803" s="219"/>
      <c r="AK803" s="219"/>
      <c r="AL803" s="219"/>
      <c r="AM803" s="219"/>
      <c r="AN803" s="219"/>
      <c r="AO803" s="219"/>
      <c r="AP803" s="219"/>
      <c r="AQ803" s="219"/>
      <c r="AR803" s="219"/>
      <c r="AS803" s="219"/>
      <c r="AT803" s="219"/>
      <c r="AU803" s="219"/>
      <c r="AV803" s="219"/>
      <c r="AW803" s="219"/>
      <c r="AX803" s="219"/>
      <c r="AY803" s="219"/>
      <c r="AZ803" s="219"/>
      <c r="BA803" s="219"/>
      <c r="BB803" s="219"/>
      <c r="BC803" s="219"/>
      <c r="BD803" s="219"/>
      <c r="BE803" s="219"/>
      <c r="BF803" s="219"/>
      <c r="BG803" s="219"/>
      <c r="BH803" s="219"/>
      <c r="BI803" s="219"/>
      <c r="BJ803" s="219"/>
      <c r="BK803" s="219"/>
      <c r="BL803" s="219"/>
      <c r="BM803" s="219"/>
      <c r="BN803" s="219"/>
    </row>
    <row r="804" ht="29.25" hidden="1" customHeight="1">
      <c r="A804" s="216"/>
      <c r="B804" s="217"/>
      <c r="C804" s="164"/>
      <c r="D804" s="164"/>
      <c r="E804" s="165"/>
      <c r="F804" s="173"/>
      <c r="G804" s="168"/>
      <c r="H804" s="168"/>
      <c r="I804" s="169"/>
      <c r="J804" s="170"/>
      <c r="K804" s="170"/>
      <c r="L804" s="170"/>
      <c r="M804" s="167"/>
      <c r="N804" s="169"/>
      <c r="O804" s="171"/>
      <c r="P804" s="106"/>
      <c r="Q804" s="218"/>
      <c r="R804" s="172"/>
      <c r="S804" s="172"/>
      <c r="T804" s="173"/>
      <c r="U804" s="219"/>
      <c r="V804" s="219"/>
      <c r="W804" s="219"/>
      <c r="X804" s="219"/>
      <c r="Y804" s="219"/>
      <c r="Z804" s="219"/>
      <c r="AA804" s="219"/>
      <c r="AB804" s="219"/>
      <c r="AC804" s="219"/>
      <c r="AD804" s="219"/>
      <c r="AE804" s="219"/>
      <c r="AF804" s="219"/>
      <c r="AG804" s="219"/>
      <c r="AH804" s="219"/>
      <c r="AI804" s="219"/>
      <c r="AJ804" s="219"/>
      <c r="AK804" s="219"/>
      <c r="AL804" s="219"/>
      <c r="AM804" s="219"/>
      <c r="AN804" s="219"/>
      <c r="AO804" s="219"/>
      <c r="AP804" s="219"/>
      <c r="AQ804" s="219"/>
      <c r="AR804" s="219"/>
      <c r="AS804" s="219"/>
      <c r="AT804" s="219"/>
      <c r="AU804" s="219"/>
      <c r="AV804" s="219"/>
      <c r="AW804" s="219"/>
      <c r="AX804" s="219"/>
      <c r="AY804" s="219"/>
      <c r="AZ804" s="219"/>
      <c r="BA804" s="219"/>
      <c r="BB804" s="219"/>
      <c r="BC804" s="219"/>
      <c r="BD804" s="219"/>
      <c r="BE804" s="219"/>
      <c r="BF804" s="219"/>
      <c r="BG804" s="219"/>
      <c r="BH804" s="219"/>
      <c r="BI804" s="219"/>
      <c r="BJ804" s="219"/>
      <c r="BK804" s="219"/>
      <c r="BL804" s="219"/>
      <c r="BM804" s="219"/>
      <c r="BN804" s="219"/>
    </row>
    <row r="805" ht="29.25" hidden="1" customHeight="1">
      <c r="A805" s="216"/>
      <c r="B805" s="217"/>
      <c r="C805" s="164"/>
      <c r="D805" s="164"/>
      <c r="E805" s="165"/>
      <c r="F805" s="173"/>
      <c r="G805" s="168"/>
      <c r="H805" s="168"/>
      <c r="I805" s="169"/>
      <c r="J805" s="170"/>
      <c r="K805" s="170"/>
      <c r="L805" s="170"/>
      <c r="M805" s="167"/>
      <c r="N805" s="169"/>
      <c r="O805" s="171"/>
      <c r="P805" s="106"/>
      <c r="Q805" s="218"/>
      <c r="R805" s="172"/>
      <c r="S805" s="172"/>
      <c r="T805" s="173"/>
      <c r="U805" s="219"/>
      <c r="V805" s="219"/>
      <c r="W805" s="219"/>
      <c r="X805" s="219"/>
      <c r="Y805" s="219"/>
      <c r="Z805" s="219"/>
      <c r="AA805" s="219"/>
      <c r="AB805" s="219"/>
      <c r="AC805" s="219"/>
      <c r="AD805" s="219"/>
      <c r="AE805" s="219"/>
      <c r="AF805" s="219"/>
      <c r="AG805" s="219"/>
      <c r="AH805" s="219"/>
      <c r="AI805" s="219"/>
      <c r="AJ805" s="219"/>
      <c r="AK805" s="219"/>
      <c r="AL805" s="219"/>
      <c r="AM805" s="219"/>
      <c r="AN805" s="219"/>
      <c r="AO805" s="219"/>
      <c r="AP805" s="219"/>
      <c r="AQ805" s="219"/>
      <c r="AR805" s="219"/>
      <c r="AS805" s="219"/>
      <c r="AT805" s="219"/>
      <c r="AU805" s="219"/>
      <c r="AV805" s="219"/>
      <c r="AW805" s="219"/>
      <c r="AX805" s="219"/>
      <c r="AY805" s="219"/>
      <c r="AZ805" s="219"/>
      <c r="BA805" s="219"/>
      <c r="BB805" s="219"/>
      <c r="BC805" s="219"/>
      <c r="BD805" s="219"/>
      <c r="BE805" s="219"/>
      <c r="BF805" s="219"/>
      <c r="BG805" s="219"/>
      <c r="BH805" s="219"/>
      <c r="BI805" s="219"/>
      <c r="BJ805" s="219"/>
      <c r="BK805" s="219"/>
      <c r="BL805" s="219"/>
      <c r="BM805" s="219"/>
      <c r="BN805" s="219"/>
    </row>
    <row r="806" ht="29.25" hidden="1" customHeight="1">
      <c r="A806" s="216"/>
      <c r="B806" s="217"/>
      <c r="C806" s="164"/>
      <c r="D806" s="164"/>
      <c r="E806" s="165"/>
      <c r="F806" s="173"/>
      <c r="G806" s="168"/>
      <c r="H806" s="168"/>
      <c r="I806" s="169"/>
      <c r="J806" s="170"/>
      <c r="K806" s="170"/>
      <c r="L806" s="170"/>
      <c r="M806" s="167"/>
      <c r="N806" s="169"/>
      <c r="O806" s="171"/>
      <c r="P806" s="106"/>
      <c r="Q806" s="218"/>
      <c r="R806" s="172"/>
      <c r="S806" s="172"/>
      <c r="T806" s="173"/>
      <c r="U806" s="219"/>
      <c r="V806" s="219"/>
      <c r="W806" s="219"/>
      <c r="X806" s="219"/>
      <c r="Y806" s="219"/>
      <c r="Z806" s="219"/>
      <c r="AA806" s="219"/>
      <c r="AB806" s="219"/>
      <c r="AC806" s="219"/>
      <c r="AD806" s="219"/>
      <c r="AE806" s="219"/>
      <c r="AF806" s="219"/>
      <c r="AG806" s="219"/>
      <c r="AH806" s="219"/>
      <c r="AI806" s="219"/>
      <c r="AJ806" s="219"/>
      <c r="AK806" s="219"/>
      <c r="AL806" s="219"/>
      <c r="AM806" s="219"/>
      <c r="AN806" s="219"/>
      <c r="AO806" s="219"/>
      <c r="AP806" s="219"/>
      <c r="AQ806" s="219"/>
      <c r="AR806" s="219"/>
      <c r="AS806" s="219"/>
      <c r="AT806" s="219"/>
      <c r="AU806" s="219"/>
      <c r="AV806" s="219"/>
      <c r="AW806" s="219"/>
      <c r="AX806" s="219"/>
      <c r="AY806" s="219"/>
      <c r="AZ806" s="219"/>
      <c r="BA806" s="219"/>
      <c r="BB806" s="219"/>
      <c r="BC806" s="219"/>
      <c r="BD806" s="219"/>
      <c r="BE806" s="219"/>
      <c r="BF806" s="219"/>
      <c r="BG806" s="219"/>
      <c r="BH806" s="219"/>
      <c r="BI806" s="219"/>
      <c r="BJ806" s="219"/>
      <c r="BK806" s="219"/>
      <c r="BL806" s="219"/>
      <c r="BM806" s="219"/>
      <c r="BN806" s="219"/>
    </row>
    <row r="807" ht="29.25" hidden="1" customHeight="1">
      <c r="A807" s="216"/>
      <c r="B807" s="217"/>
      <c r="C807" s="164"/>
      <c r="D807" s="164"/>
      <c r="E807" s="165"/>
      <c r="F807" s="173"/>
      <c r="G807" s="168"/>
      <c r="H807" s="168"/>
      <c r="I807" s="169"/>
      <c r="J807" s="170"/>
      <c r="K807" s="170"/>
      <c r="L807" s="170"/>
      <c r="M807" s="167"/>
      <c r="N807" s="169"/>
      <c r="O807" s="171"/>
      <c r="P807" s="106"/>
      <c r="Q807" s="218"/>
      <c r="R807" s="172"/>
      <c r="S807" s="172"/>
      <c r="T807" s="173"/>
      <c r="U807" s="219"/>
      <c r="V807" s="219"/>
      <c r="W807" s="219"/>
      <c r="X807" s="219"/>
      <c r="Y807" s="219"/>
      <c r="Z807" s="219"/>
      <c r="AA807" s="219"/>
      <c r="AB807" s="219"/>
      <c r="AC807" s="219"/>
      <c r="AD807" s="219"/>
      <c r="AE807" s="219"/>
      <c r="AF807" s="219"/>
      <c r="AG807" s="219"/>
      <c r="AH807" s="219"/>
      <c r="AI807" s="219"/>
      <c r="AJ807" s="219"/>
      <c r="AK807" s="219"/>
      <c r="AL807" s="219"/>
      <c r="AM807" s="219"/>
      <c r="AN807" s="219"/>
      <c r="AO807" s="219"/>
      <c r="AP807" s="219"/>
      <c r="AQ807" s="219"/>
      <c r="AR807" s="219"/>
      <c r="AS807" s="219"/>
      <c r="AT807" s="219"/>
      <c r="AU807" s="219"/>
      <c r="AV807" s="219"/>
      <c r="AW807" s="219"/>
      <c r="AX807" s="219"/>
      <c r="AY807" s="219"/>
      <c r="AZ807" s="219"/>
      <c r="BA807" s="219"/>
      <c r="BB807" s="219"/>
      <c r="BC807" s="219"/>
      <c r="BD807" s="219"/>
      <c r="BE807" s="219"/>
      <c r="BF807" s="219"/>
      <c r="BG807" s="219"/>
      <c r="BH807" s="219"/>
      <c r="BI807" s="219"/>
      <c r="BJ807" s="219"/>
      <c r="BK807" s="219"/>
      <c r="BL807" s="219"/>
      <c r="BM807" s="219"/>
      <c r="BN807" s="219"/>
    </row>
    <row r="808" ht="29.25" hidden="1" customHeight="1">
      <c r="A808" s="216"/>
      <c r="B808" s="217"/>
      <c r="C808" s="164"/>
      <c r="D808" s="164"/>
      <c r="E808" s="165"/>
      <c r="F808" s="173"/>
      <c r="G808" s="168"/>
      <c r="H808" s="168"/>
      <c r="I808" s="169"/>
      <c r="J808" s="170"/>
      <c r="K808" s="170"/>
      <c r="L808" s="170"/>
      <c r="M808" s="167"/>
      <c r="N808" s="169"/>
      <c r="O808" s="171"/>
      <c r="P808" s="106"/>
      <c r="Q808" s="218"/>
      <c r="R808" s="172"/>
      <c r="S808" s="172"/>
      <c r="T808" s="173"/>
      <c r="U808" s="219"/>
      <c r="V808" s="219"/>
      <c r="W808" s="219"/>
      <c r="X808" s="219"/>
      <c r="Y808" s="219"/>
      <c r="Z808" s="219"/>
      <c r="AA808" s="219"/>
      <c r="AB808" s="219"/>
      <c r="AC808" s="219"/>
      <c r="AD808" s="219"/>
      <c r="AE808" s="219"/>
      <c r="AF808" s="219"/>
      <c r="AG808" s="219"/>
      <c r="AH808" s="219"/>
      <c r="AI808" s="219"/>
      <c r="AJ808" s="219"/>
      <c r="AK808" s="219"/>
      <c r="AL808" s="219"/>
      <c r="AM808" s="219"/>
      <c r="AN808" s="219"/>
      <c r="AO808" s="219"/>
      <c r="AP808" s="219"/>
      <c r="AQ808" s="219"/>
      <c r="AR808" s="219"/>
      <c r="AS808" s="219"/>
      <c r="AT808" s="219"/>
      <c r="AU808" s="219"/>
      <c r="AV808" s="219"/>
      <c r="AW808" s="219"/>
      <c r="AX808" s="219"/>
      <c r="AY808" s="219"/>
      <c r="AZ808" s="219"/>
      <c r="BA808" s="219"/>
      <c r="BB808" s="219"/>
      <c r="BC808" s="219"/>
      <c r="BD808" s="219"/>
      <c r="BE808" s="219"/>
      <c r="BF808" s="219"/>
      <c r="BG808" s="219"/>
      <c r="BH808" s="219"/>
      <c r="BI808" s="219"/>
      <c r="BJ808" s="219"/>
      <c r="BK808" s="219"/>
      <c r="BL808" s="219"/>
      <c r="BM808" s="219"/>
      <c r="BN808" s="219"/>
    </row>
    <row r="809" ht="29.25" hidden="1" customHeight="1">
      <c r="A809" s="216"/>
      <c r="B809" s="217"/>
      <c r="C809" s="164"/>
      <c r="D809" s="164"/>
      <c r="E809" s="165"/>
      <c r="F809" s="173"/>
      <c r="G809" s="168"/>
      <c r="H809" s="168"/>
      <c r="I809" s="169"/>
      <c r="J809" s="170"/>
      <c r="K809" s="170"/>
      <c r="L809" s="170"/>
      <c r="M809" s="167"/>
      <c r="N809" s="169"/>
      <c r="O809" s="171"/>
      <c r="P809" s="106"/>
      <c r="Q809" s="218"/>
      <c r="R809" s="172"/>
      <c r="S809" s="172"/>
      <c r="T809" s="173"/>
      <c r="U809" s="219"/>
      <c r="V809" s="219"/>
      <c r="W809" s="219"/>
      <c r="X809" s="219"/>
      <c r="Y809" s="219"/>
      <c r="Z809" s="219"/>
      <c r="AA809" s="219"/>
      <c r="AB809" s="219"/>
      <c r="AC809" s="219"/>
      <c r="AD809" s="219"/>
      <c r="AE809" s="219"/>
      <c r="AF809" s="219"/>
      <c r="AG809" s="219"/>
      <c r="AH809" s="219"/>
      <c r="AI809" s="219"/>
      <c r="AJ809" s="219"/>
      <c r="AK809" s="219"/>
      <c r="AL809" s="219"/>
      <c r="AM809" s="219"/>
      <c r="AN809" s="219"/>
      <c r="AO809" s="219"/>
      <c r="AP809" s="219"/>
      <c r="AQ809" s="219"/>
      <c r="AR809" s="219"/>
      <c r="AS809" s="219"/>
      <c r="AT809" s="219"/>
      <c r="AU809" s="219"/>
      <c r="AV809" s="219"/>
      <c r="AW809" s="219"/>
      <c r="AX809" s="219"/>
      <c r="AY809" s="219"/>
      <c r="AZ809" s="219"/>
      <c r="BA809" s="219"/>
      <c r="BB809" s="219"/>
      <c r="BC809" s="219"/>
      <c r="BD809" s="219"/>
      <c r="BE809" s="219"/>
      <c r="BF809" s="219"/>
      <c r="BG809" s="219"/>
      <c r="BH809" s="219"/>
      <c r="BI809" s="219"/>
      <c r="BJ809" s="219"/>
      <c r="BK809" s="219"/>
      <c r="BL809" s="219"/>
      <c r="BM809" s="219"/>
      <c r="BN809" s="219"/>
    </row>
    <row r="810" ht="29.25" hidden="1" customHeight="1">
      <c r="A810" s="216"/>
      <c r="B810" s="217"/>
      <c r="C810" s="164"/>
      <c r="D810" s="164"/>
      <c r="E810" s="165"/>
      <c r="F810" s="173"/>
      <c r="G810" s="168"/>
      <c r="H810" s="168"/>
      <c r="I810" s="169"/>
      <c r="J810" s="170"/>
      <c r="K810" s="170"/>
      <c r="L810" s="170"/>
      <c r="M810" s="167"/>
      <c r="N810" s="169"/>
      <c r="O810" s="171"/>
      <c r="P810" s="106"/>
      <c r="Q810" s="218"/>
      <c r="R810" s="172"/>
      <c r="S810" s="172"/>
      <c r="T810" s="173"/>
      <c r="U810" s="219"/>
      <c r="V810" s="219"/>
      <c r="W810" s="219"/>
      <c r="X810" s="219"/>
      <c r="Y810" s="219"/>
      <c r="Z810" s="219"/>
      <c r="AA810" s="219"/>
      <c r="AB810" s="219"/>
      <c r="AC810" s="219"/>
      <c r="AD810" s="219"/>
      <c r="AE810" s="219"/>
      <c r="AF810" s="219"/>
      <c r="AG810" s="219"/>
      <c r="AH810" s="219"/>
      <c r="AI810" s="219"/>
      <c r="AJ810" s="219"/>
      <c r="AK810" s="219"/>
      <c r="AL810" s="219"/>
      <c r="AM810" s="219"/>
      <c r="AN810" s="219"/>
      <c r="AO810" s="219"/>
      <c r="AP810" s="219"/>
      <c r="AQ810" s="219"/>
      <c r="AR810" s="219"/>
      <c r="AS810" s="219"/>
      <c r="AT810" s="219"/>
      <c r="AU810" s="219"/>
      <c r="AV810" s="219"/>
      <c r="AW810" s="219"/>
      <c r="AX810" s="219"/>
      <c r="AY810" s="219"/>
      <c r="AZ810" s="219"/>
      <c r="BA810" s="219"/>
      <c r="BB810" s="219"/>
      <c r="BC810" s="219"/>
      <c r="BD810" s="219"/>
      <c r="BE810" s="219"/>
      <c r="BF810" s="219"/>
      <c r="BG810" s="219"/>
      <c r="BH810" s="219"/>
      <c r="BI810" s="219"/>
      <c r="BJ810" s="219"/>
      <c r="BK810" s="219"/>
      <c r="BL810" s="219"/>
      <c r="BM810" s="219"/>
      <c r="BN810" s="219"/>
    </row>
    <row r="811" ht="29.25" hidden="1" customHeight="1">
      <c r="A811" s="216"/>
      <c r="B811" s="217"/>
      <c r="C811" s="164"/>
      <c r="D811" s="164"/>
      <c r="E811" s="165"/>
      <c r="F811" s="173"/>
      <c r="G811" s="168"/>
      <c r="H811" s="168"/>
      <c r="I811" s="169"/>
      <c r="J811" s="170"/>
      <c r="K811" s="170"/>
      <c r="L811" s="170"/>
      <c r="M811" s="167"/>
      <c r="N811" s="169"/>
      <c r="O811" s="171"/>
      <c r="P811" s="106"/>
      <c r="Q811" s="218"/>
      <c r="R811" s="172"/>
      <c r="S811" s="172"/>
      <c r="T811" s="173"/>
      <c r="U811" s="219"/>
      <c r="V811" s="219"/>
      <c r="W811" s="219"/>
      <c r="X811" s="219"/>
      <c r="Y811" s="219"/>
      <c r="Z811" s="219"/>
      <c r="AA811" s="219"/>
      <c r="AB811" s="219"/>
      <c r="AC811" s="219"/>
      <c r="AD811" s="219"/>
      <c r="AE811" s="219"/>
      <c r="AF811" s="219"/>
      <c r="AG811" s="219"/>
      <c r="AH811" s="219"/>
      <c r="AI811" s="219"/>
      <c r="AJ811" s="219"/>
      <c r="AK811" s="219"/>
      <c r="AL811" s="219"/>
      <c r="AM811" s="219"/>
      <c r="AN811" s="219"/>
      <c r="AO811" s="219"/>
      <c r="AP811" s="219"/>
      <c r="AQ811" s="219"/>
      <c r="AR811" s="219"/>
      <c r="AS811" s="219"/>
      <c r="AT811" s="219"/>
      <c r="AU811" s="219"/>
      <c r="AV811" s="219"/>
      <c r="AW811" s="219"/>
      <c r="AX811" s="219"/>
      <c r="AY811" s="219"/>
      <c r="AZ811" s="219"/>
      <c r="BA811" s="219"/>
      <c r="BB811" s="219"/>
      <c r="BC811" s="219"/>
      <c r="BD811" s="219"/>
      <c r="BE811" s="219"/>
      <c r="BF811" s="219"/>
      <c r="BG811" s="219"/>
      <c r="BH811" s="219"/>
      <c r="BI811" s="219"/>
      <c r="BJ811" s="219"/>
      <c r="BK811" s="219"/>
      <c r="BL811" s="219"/>
      <c r="BM811" s="219"/>
      <c r="BN811" s="219"/>
    </row>
    <row r="812" ht="29.25" hidden="1" customHeight="1">
      <c r="A812" s="216"/>
      <c r="B812" s="217"/>
      <c r="C812" s="164"/>
      <c r="D812" s="164"/>
      <c r="E812" s="165"/>
      <c r="F812" s="173"/>
      <c r="G812" s="168"/>
      <c r="H812" s="168"/>
      <c r="I812" s="169"/>
      <c r="J812" s="170"/>
      <c r="K812" s="170"/>
      <c r="L812" s="170"/>
      <c r="M812" s="167"/>
      <c r="N812" s="169"/>
      <c r="O812" s="171"/>
      <c r="P812" s="106"/>
      <c r="Q812" s="218"/>
      <c r="R812" s="172"/>
      <c r="S812" s="172"/>
      <c r="T812" s="173"/>
      <c r="U812" s="219"/>
      <c r="V812" s="219"/>
      <c r="W812" s="219"/>
      <c r="X812" s="219"/>
      <c r="Y812" s="219"/>
      <c r="Z812" s="219"/>
      <c r="AA812" s="219"/>
      <c r="AB812" s="219"/>
      <c r="AC812" s="219"/>
      <c r="AD812" s="219"/>
      <c r="AE812" s="219"/>
      <c r="AF812" s="219"/>
      <c r="AG812" s="219"/>
      <c r="AH812" s="219"/>
      <c r="AI812" s="219"/>
      <c r="AJ812" s="219"/>
      <c r="AK812" s="219"/>
      <c r="AL812" s="219"/>
      <c r="AM812" s="219"/>
      <c r="AN812" s="219"/>
      <c r="AO812" s="219"/>
      <c r="AP812" s="219"/>
      <c r="AQ812" s="219"/>
      <c r="AR812" s="219"/>
      <c r="AS812" s="219"/>
      <c r="AT812" s="219"/>
      <c r="AU812" s="219"/>
      <c r="AV812" s="219"/>
      <c r="AW812" s="219"/>
      <c r="AX812" s="219"/>
      <c r="AY812" s="219"/>
      <c r="AZ812" s="219"/>
      <c r="BA812" s="219"/>
      <c r="BB812" s="219"/>
      <c r="BC812" s="219"/>
      <c r="BD812" s="219"/>
      <c r="BE812" s="219"/>
      <c r="BF812" s="219"/>
      <c r="BG812" s="219"/>
      <c r="BH812" s="219"/>
      <c r="BI812" s="219"/>
      <c r="BJ812" s="219"/>
      <c r="BK812" s="219"/>
      <c r="BL812" s="219"/>
      <c r="BM812" s="219"/>
      <c r="BN812" s="219"/>
    </row>
    <row r="813" ht="29.25" hidden="1" customHeight="1">
      <c r="A813" s="216"/>
      <c r="B813" s="217"/>
      <c r="C813" s="164"/>
      <c r="D813" s="164"/>
      <c r="E813" s="165"/>
      <c r="F813" s="173"/>
      <c r="G813" s="168"/>
      <c r="H813" s="168"/>
      <c r="I813" s="169"/>
      <c r="J813" s="170"/>
      <c r="K813" s="170"/>
      <c r="L813" s="170"/>
      <c r="M813" s="167"/>
      <c r="N813" s="169"/>
      <c r="O813" s="171"/>
      <c r="P813" s="106"/>
      <c r="Q813" s="218"/>
      <c r="R813" s="172"/>
      <c r="S813" s="172"/>
      <c r="T813" s="173"/>
      <c r="U813" s="219"/>
      <c r="V813" s="219"/>
      <c r="W813" s="219"/>
      <c r="X813" s="219"/>
      <c r="Y813" s="219"/>
      <c r="Z813" s="219"/>
      <c r="AA813" s="219"/>
      <c r="AB813" s="219"/>
      <c r="AC813" s="219"/>
      <c r="AD813" s="219"/>
      <c r="AE813" s="219"/>
      <c r="AF813" s="219"/>
      <c r="AG813" s="219"/>
      <c r="AH813" s="219"/>
      <c r="AI813" s="219"/>
      <c r="AJ813" s="219"/>
      <c r="AK813" s="219"/>
      <c r="AL813" s="219"/>
      <c r="AM813" s="219"/>
      <c r="AN813" s="219"/>
      <c r="AO813" s="219"/>
      <c r="AP813" s="219"/>
      <c r="AQ813" s="219"/>
      <c r="AR813" s="219"/>
      <c r="AS813" s="219"/>
      <c r="AT813" s="219"/>
      <c r="AU813" s="219"/>
      <c r="AV813" s="219"/>
      <c r="AW813" s="219"/>
      <c r="AX813" s="219"/>
      <c r="AY813" s="219"/>
      <c r="AZ813" s="219"/>
      <c r="BA813" s="219"/>
      <c r="BB813" s="219"/>
      <c r="BC813" s="219"/>
      <c r="BD813" s="219"/>
      <c r="BE813" s="219"/>
      <c r="BF813" s="219"/>
      <c r="BG813" s="219"/>
      <c r="BH813" s="219"/>
      <c r="BI813" s="219"/>
      <c r="BJ813" s="219"/>
      <c r="BK813" s="219"/>
      <c r="BL813" s="219"/>
      <c r="BM813" s="219"/>
      <c r="BN813" s="219"/>
    </row>
    <row r="814" ht="29.25" hidden="1" customHeight="1">
      <c r="A814" s="216"/>
      <c r="B814" s="217"/>
      <c r="C814" s="164"/>
      <c r="D814" s="164"/>
      <c r="E814" s="165"/>
      <c r="F814" s="173"/>
      <c r="G814" s="168"/>
      <c r="H814" s="168"/>
      <c r="I814" s="169"/>
      <c r="J814" s="170"/>
      <c r="K814" s="170"/>
      <c r="L814" s="170"/>
      <c r="M814" s="167"/>
      <c r="N814" s="169"/>
      <c r="O814" s="171"/>
      <c r="P814" s="106"/>
      <c r="Q814" s="218"/>
      <c r="R814" s="172"/>
      <c r="S814" s="172"/>
      <c r="T814" s="173"/>
      <c r="U814" s="219"/>
      <c r="V814" s="219"/>
      <c r="W814" s="219"/>
      <c r="X814" s="219"/>
      <c r="Y814" s="219"/>
      <c r="Z814" s="219"/>
      <c r="AA814" s="219"/>
      <c r="AB814" s="219"/>
      <c r="AC814" s="219"/>
      <c r="AD814" s="219"/>
      <c r="AE814" s="219"/>
      <c r="AF814" s="219"/>
      <c r="AG814" s="219"/>
      <c r="AH814" s="219"/>
      <c r="AI814" s="219"/>
      <c r="AJ814" s="219"/>
      <c r="AK814" s="219"/>
      <c r="AL814" s="219"/>
      <c r="AM814" s="219"/>
      <c r="AN814" s="219"/>
      <c r="AO814" s="219"/>
      <c r="AP814" s="219"/>
      <c r="AQ814" s="219"/>
      <c r="AR814" s="219"/>
      <c r="AS814" s="219"/>
      <c r="AT814" s="219"/>
      <c r="AU814" s="219"/>
      <c r="AV814" s="219"/>
      <c r="AW814" s="219"/>
      <c r="AX814" s="219"/>
      <c r="AY814" s="219"/>
      <c r="AZ814" s="219"/>
      <c r="BA814" s="219"/>
      <c r="BB814" s="219"/>
      <c r="BC814" s="219"/>
      <c r="BD814" s="219"/>
      <c r="BE814" s="219"/>
      <c r="BF814" s="219"/>
      <c r="BG814" s="219"/>
      <c r="BH814" s="219"/>
      <c r="BI814" s="219"/>
      <c r="BJ814" s="219"/>
      <c r="BK814" s="219"/>
      <c r="BL814" s="219"/>
      <c r="BM814" s="219"/>
      <c r="BN814" s="219"/>
    </row>
    <row r="815" ht="29.25" hidden="1" customHeight="1">
      <c r="A815" s="216"/>
      <c r="B815" s="217"/>
      <c r="C815" s="164"/>
      <c r="D815" s="164"/>
      <c r="E815" s="165"/>
      <c r="F815" s="173"/>
      <c r="G815" s="168"/>
      <c r="H815" s="168"/>
      <c r="I815" s="169"/>
      <c r="J815" s="170"/>
      <c r="K815" s="170"/>
      <c r="L815" s="170"/>
      <c r="M815" s="167"/>
      <c r="N815" s="169"/>
      <c r="O815" s="171"/>
      <c r="P815" s="106"/>
      <c r="Q815" s="218"/>
      <c r="R815" s="172"/>
      <c r="S815" s="172"/>
      <c r="T815" s="173"/>
      <c r="U815" s="219"/>
      <c r="V815" s="219"/>
      <c r="W815" s="219"/>
      <c r="X815" s="219"/>
      <c r="Y815" s="219"/>
      <c r="Z815" s="219"/>
      <c r="AA815" s="219"/>
      <c r="AB815" s="219"/>
      <c r="AC815" s="219"/>
      <c r="AD815" s="219"/>
      <c r="AE815" s="219"/>
      <c r="AF815" s="219"/>
      <c r="AG815" s="219"/>
      <c r="AH815" s="219"/>
      <c r="AI815" s="219"/>
      <c r="AJ815" s="219"/>
      <c r="AK815" s="219"/>
      <c r="AL815" s="219"/>
      <c r="AM815" s="219"/>
      <c r="AN815" s="219"/>
      <c r="AO815" s="219"/>
      <c r="AP815" s="219"/>
      <c r="AQ815" s="219"/>
      <c r="AR815" s="219"/>
      <c r="AS815" s="219"/>
      <c r="AT815" s="219"/>
      <c r="AU815" s="219"/>
      <c r="AV815" s="219"/>
      <c r="AW815" s="219"/>
      <c r="AX815" s="219"/>
      <c r="AY815" s="219"/>
      <c r="AZ815" s="219"/>
      <c r="BA815" s="219"/>
      <c r="BB815" s="219"/>
      <c r="BC815" s="219"/>
      <c r="BD815" s="219"/>
      <c r="BE815" s="219"/>
      <c r="BF815" s="219"/>
      <c r="BG815" s="219"/>
      <c r="BH815" s="219"/>
      <c r="BI815" s="219"/>
      <c r="BJ815" s="219"/>
      <c r="BK815" s="219"/>
      <c r="BL815" s="219"/>
      <c r="BM815" s="219"/>
      <c r="BN815" s="219"/>
    </row>
    <row r="816" ht="29.25" hidden="1" customHeight="1">
      <c r="A816" s="216"/>
      <c r="B816" s="217"/>
      <c r="C816" s="164"/>
      <c r="D816" s="164"/>
      <c r="E816" s="165"/>
      <c r="F816" s="173"/>
      <c r="G816" s="168"/>
      <c r="H816" s="168"/>
      <c r="I816" s="169"/>
      <c r="J816" s="170"/>
      <c r="K816" s="170"/>
      <c r="L816" s="170"/>
      <c r="M816" s="167"/>
      <c r="N816" s="169"/>
      <c r="O816" s="171"/>
      <c r="P816" s="106"/>
      <c r="Q816" s="218"/>
      <c r="R816" s="172"/>
      <c r="S816" s="172"/>
      <c r="T816" s="173"/>
      <c r="U816" s="219"/>
      <c r="V816" s="219"/>
      <c r="W816" s="219"/>
      <c r="X816" s="219"/>
      <c r="Y816" s="219"/>
      <c r="Z816" s="219"/>
      <c r="AA816" s="219"/>
      <c r="AB816" s="219"/>
      <c r="AC816" s="219"/>
      <c r="AD816" s="219"/>
      <c r="AE816" s="219"/>
      <c r="AF816" s="219"/>
      <c r="AG816" s="219"/>
      <c r="AH816" s="219"/>
      <c r="AI816" s="219"/>
      <c r="AJ816" s="219"/>
      <c r="AK816" s="219"/>
      <c r="AL816" s="219"/>
      <c r="AM816" s="219"/>
      <c r="AN816" s="219"/>
      <c r="AO816" s="219"/>
      <c r="AP816" s="219"/>
      <c r="AQ816" s="219"/>
      <c r="AR816" s="219"/>
      <c r="AS816" s="219"/>
      <c r="AT816" s="219"/>
      <c r="AU816" s="219"/>
      <c r="AV816" s="219"/>
      <c r="AW816" s="219"/>
      <c r="AX816" s="219"/>
      <c r="AY816" s="219"/>
      <c r="AZ816" s="219"/>
      <c r="BA816" s="219"/>
      <c r="BB816" s="219"/>
      <c r="BC816" s="219"/>
      <c r="BD816" s="219"/>
      <c r="BE816" s="219"/>
      <c r="BF816" s="219"/>
      <c r="BG816" s="219"/>
      <c r="BH816" s="219"/>
      <c r="BI816" s="219"/>
      <c r="BJ816" s="219"/>
      <c r="BK816" s="219"/>
      <c r="BL816" s="219"/>
      <c r="BM816" s="219"/>
      <c r="BN816" s="219"/>
    </row>
    <row r="817" ht="29.25" hidden="1" customHeight="1">
      <c r="A817" s="216"/>
      <c r="B817" s="217"/>
      <c r="C817" s="164"/>
      <c r="D817" s="164"/>
      <c r="E817" s="165"/>
      <c r="F817" s="173"/>
      <c r="G817" s="168"/>
      <c r="H817" s="168"/>
      <c r="I817" s="169"/>
      <c r="J817" s="170"/>
      <c r="K817" s="170"/>
      <c r="L817" s="170"/>
      <c r="M817" s="167"/>
      <c r="N817" s="169"/>
      <c r="O817" s="171"/>
      <c r="P817" s="106"/>
      <c r="Q817" s="218"/>
      <c r="R817" s="172"/>
      <c r="S817" s="172"/>
      <c r="T817" s="173"/>
      <c r="U817" s="219"/>
      <c r="V817" s="219"/>
      <c r="W817" s="219"/>
      <c r="X817" s="219"/>
      <c r="Y817" s="219"/>
      <c r="Z817" s="219"/>
      <c r="AA817" s="219"/>
      <c r="AB817" s="219"/>
      <c r="AC817" s="219"/>
      <c r="AD817" s="219"/>
      <c r="AE817" s="219"/>
      <c r="AF817" s="219"/>
      <c r="AG817" s="219"/>
      <c r="AH817" s="219"/>
      <c r="AI817" s="219"/>
      <c r="AJ817" s="219"/>
      <c r="AK817" s="219"/>
      <c r="AL817" s="219"/>
      <c r="AM817" s="219"/>
      <c r="AN817" s="219"/>
      <c r="AO817" s="219"/>
      <c r="AP817" s="219"/>
      <c r="AQ817" s="219"/>
      <c r="AR817" s="219"/>
      <c r="AS817" s="219"/>
      <c r="AT817" s="219"/>
      <c r="AU817" s="219"/>
      <c r="AV817" s="219"/>
      <c r="AW817" s="219"/>
      <c r="AX817" s="219"/>
      <c r="AY817" s="219"/>
      <c r="AZ817" s="219"/>
      <c r="BA817" s="219"/>
      <c r="BB817" s="219"/>
      <c r="BC817" s="219"/>
      <c r="BD817" s="219"/>
      <c r="BE817" s="219"/>
      <c r="BF817" s="219"/>
      <c r="BG817" s="219"/>
      <c r="BH817" s="219"/>
      <c r="BI817" s="219"/>
      <c r="BJ817" s="219"/>
      <c r="BK817" s="219"/>
      <c r="BL817" s="219"/>
      <c r="BM817" s="219"/>
      <c r="BN817" s="219"/>
    </row>
    <row r="818" ht="29.25" hidden="1" customHeight="1">
      <c r="A818" s="216"/>
      <c r="B818" s="217"/>
      <c r="C818" s="164"/>
      <c r="D818" s="164"/>
      <c r="E818" s="165"/>
      <c r="F818" s="173"/>
      <c r="G818" s="168"/>
      <c r="H818" s="168"/>
      <c r="I818" s="169"/>
      <c r="J818" s="170"/>
      <c r="K818" s="170"/>
      <c r="L818" s="170"/>
      <c r="M818" s="167"/>
      <c r="N818" s="169"/>
      <c r="O818" s="171"/>
      <c r="P818" s="106"/>
      <c r="Q818" s="218"/>
      <c r="R818" s="172"/>
      <c r="S818" s="172"/>
      <c r="T818" s="173"/>
      <c r="U818" s="219"/>
      <c r="V818" s="219"/>
      <c r="W818" s="219"/>
      <c r="X818" s="219"/>
      <c r="Y818" s="219"/>
      <c r="Z818" s="219"/>
      <c r="AA818" s="219"/>
      <c r="AB818" s="219"/>
      <c r="AC818" s="219"/>
      <c r="AD818" s="219"/>
      <c r="AE818" s="219"/>
      <c r="AF818" s="219"/>
      <c r="AG818" s="219"/>
      <c r="AH818" s="219"/>
      <c r="AI818" s="219"/>
      <c r="AJ818" s="219"/>
      <c r="AK818" s="219"/>
      <c r="AL818" s="219"/>
      <c r="AM818" s="219"/>
      <c r="AN818" s="219"/>
      <c r="AO818" s="219"/>
      <c r="AP818" s="219"/>
      <c r="AQ818" s="219"/>
      <c r="AR818" s="219"/>
      <c r="AS818" s="219"/>
      <c r="AT818" s="219"/>
      <c r="AU818" s="219"/>
      <c r="AV818" s="219"/>
      <c r="AW818" s="219"/>
      <c r="AX818" s="219"/>
      <c r="AY818" s="219"/>
      <c r="AZ818" s="219"/>
      <c r="BA818" s="219"/>
      <c r="BB818" s="219"/>
      <c r="BC818" s="219"/>
      <c r="BD818" s="219"/>
      <c r="BE818" s="219"/>
      <c r="BF818" s="219"/>
      <c r="BG818" s="219"/>
      <c r="BH818" s="219"/>
      <c r="BI818" s="219"/>
      <c r="BJ818" s="219"/>
      <c r="BK818" s="219"/>
      <c r="BL818" s="219"/>
      <c r="BM818" s="219"/>
      <c r="BN818" s="219"/>
    </row>
    <row r="819" ht="29.25" hidden="1" customHeight="1">
      <c r="A819" s="216"/>
      <c r="B819" s="217"/>
      <c r="C819" s="164"/>
      <c r="D819" s="164"/>
      <c r="E819" s="165"/>
      <c r="F819" s="173"/>
      <c r="G819" s="168"/>
      <c r="H819" s="168"/>
      <c r="I819" s="169"/>
      <c r="J819" s="170"/>
      <c r="K819" s="170"/>
      <c r="L819" s="170"/>
      <c r="M819" s="167"/>
      <c r="N819" s="169"/>
      <c r="O819" s="171"/>
      <c r="P819" s="106"/>
      <c r="Q819" s="218"/>
      <c r="R819" s="172"/>
      <c r="S819" s="172"/>
      <c r="T819" s="173"/>
      <c r="U819" s="219"/>
      <c r="V819" s="219"/>
      <c r="W819" s="219"/>
      <c r="X819" s="219"/>
      <c r="Y819" s="219"/>
      <c r="Z819" s="219"/>
      <c r="AA819" s="219"/>
      <c r="AB819" s="219"/>
      <c r="AC819" s="219"/>
      <c r="AD819" s="219"/>
      <c r="AE819" s="219"/>
      <c r="AF819" s="219"/>
      <c r="AG819" s="219"/>
      <c r="AH819" s="219"/>
      <c r="AI819" s="219"/>
      <c r="AJ819" s="219"/>
      <c r="AK819" s="219"/>
      <c r="AL819" s="219"/>
      <c r="AM819" s="219"/>
      <c r="AN819" s="219"/>
      <c r="AO819" s="219"/>
      <c r="AP819" s="219"/>
      <c r="AQ819" s="219"/>
      <c r="AR819" s="219"/>
      <c r="AS819" s="219"/>
      <c r="AT819" s="219"/>
      <c r="AU819" s="219"/>
      <c r="AV819" s="219"/>
      <c r="AW819" s="219"/>
      <c r="AX819" s="219"/>
      <c r="AY819" s="219"/>
      <c r="AZ819" s="219"/>
      <c r="BA819" s="219"/>
      <c r="BB819" s="219"/>
      <c r="BC819" s="219"/>
      <c r="BD819" s="219"/>
      <c r="BE819" s="219"/>
      <c r="BF819" s="219"/>
      <c r="BG819" s="219"/>
      <c r="BH819" s="219"/>
      <c r="BI819" s="219"/>
      <c r="BJ819" s="219"/>
      <c r="BK819" s="219"/>
      <c r="BL819" s="219"/>
      <c r="BM819" s="219"/>
      <c r="BN819" s="219"/>
    </row>
    <row r="820" ht="29.25" hidden="1" customHeight="1">
      <c r="A820" s="216"/>
      <c r="B820" s="217"/>
      <c r="C820" s="164"/>
      <c r="D820" s="164"/>
      <c r="E820" s="165"/>
      <c r="F820" s="173"/>
      <c r="G820" s="168"/>
      <c r="H820" s="168"/>
      <c r="I820" s="169"/>
      <c r="J820" s="170"/>
      <c r="K820" s="170"/>
      <c r="L820" s="170"/>
      <c r="M820" s="167"/>
      <c r="N820" s="169"/>
      <c r="O820" s="171"/>
      <c r="P820" s="106"/>
      <c r="Q820" s="218"/>
      <c r="R820" s="172"/>
      <c r="S820" s="172"/>
      <c r="T820" s="173"/>
      <c r="U820" s="219"/>
      <c r="V820" s="219"/>
      <c r="W820" s="219"/>
      <c r="X820" s="219"/>
      <c r="Y820" s="219"/>
      <c r="Z820" s="219"/>
      <c r="AA820" s="219"/>
      <c r="AB820" s="219"/>
      <c r="AC820" s="219"/>
      <c r="AD820" s="219"/>
      <c r="AE820" s="219"/>
      <c r="AF820" s="219"/>
      <c r="AG820" s="219"/>
      <c r="AH820" s="219"/>
      <c r="AI820" s="219"/>
      <c r="AJ820" s="219"/>
      <c r="AK820" s="219"/>
      <c r="AL820" s="219"/>
      <c r="AM820" s="219"/>
      <c r="AN820" s="219"/>
      <c r="AO820" s="219"/>
      <c r="AP820" s="219"/>
      <c r="AQ820" s="219"/>
      <c r="AR820" s="219"/>
      <c r="AS820" s="219"/>
      <c r="AT820" s="219"/>
      <c r="AU820" s="219"/>
      <c r="AV820" s="219"/>
      <c r="AW820" s="219"/>
      <c r="AX820" s="219"/>
      <c r="AY820" s="219"/>
      <c r="AZ820" s="219"/>
      <c r="BA820" s="219"/>
      <c r="BB820" s="219"/>
      <c r="BC820" s="219"/>
      <c r="BD820" s="219"/>
      <c r="BE820" s="219"/>
      <c r="BF820" s="219"/>
      <c r="BG820" s="219"/>
      <c r="BH820" s="219"/>
      <c r="BI820" s="219"/>
      <c r="BJ820" s="219"/>
      <c r="BK820" s="219"/>
      <c r="BL820" s="219"/>
      <c r="BM820" s="219"/>
      <c r="BN820" s="219"/>
    </row>
    <row r="821" ht="29.25" hidden="1" customHeight="1">
      <c r="A821" s="216"/>
      <c r="B821" s="217"/>
      <c r="C821" s="164"/>
      <c r="D821" s="164"/>
      <c r="E821" s="165"/>
      <c r="F821" s="173"/>
      <c r="G821" s="168"/>
      <c r="H821" s="168"/>
      <c r="I821" s="169"/>
      <c r="J821" s="170"/>
      <c r="K821" s="170"/>
      <c r="L821" s="170"/>
      <c r="M821" s="167"/>
      <c r="N821" s="169"/>
      <c r="O821" s="171"/>
      <c r="P821" s="106"/>
      <c r="Q821" s="218"/>
      <c r="R821" s="172"/>
      <c r="S821" s="172"/>
      <c r="T821" s="173"/>
      <c r="U821" s="219"/>
      <c r="V821" s="219"/>
      <c r="W821" s="219"/>
      <c r="X821" s="219"/>
      <c r="Y821" s="219"/>
      <c r="Z821" s="219"/>
      <c r="AA821" s="219"/>
      <c r="AB821" s="219"/>
      <c r="AC821" s="219"/>
      <c r="AD821" s="219"/>
      <c r="AE821" s="219"/>
      <c r="AF821" s="219"/>
      <c r="AG821" s="219"/>
      <c r="AH821" s="219"/>
      <c r="AI821" s="219"/>
      <c r="AJ821" s="219"/>
      <c r="AK821" s="219"/>
      <c r="AL821" s="219"/>
      <c r="AM821" s="219"/>
      <c r="AN821" s="219"/>
      <c r="AO821" s="219"/>
      <c r="AP821" s="219"/>
      <c r="AQ821" s="219"/>
      <c r="AR821" s="219"/>
      <c r="AS821" s="219"/>
      <c r="AT821" s="219"/>
      <c r="AU821" s="219"/>
      <c r="AV821" s="219"/>
      <c r="AW821" s="219"/>
      <c r="AX821" s="219"/>
      <c r="AY821" s="219"/>
      <c r="AZ821" s="219"/>
      <c r="BA821" s="219"/>
      <c r="BB821" s="219"/>
      <c r="BC821" s="219"/>
      <c r="BD821" s="219"/>
      <c r="BE821" s="219"/>
      <c r="BF821" s="219"/>
      <c r="BG821" s="219"/>
      <c r="BH821" s="219"/>
      <c r="BI821" s="219"/>
      <c r="BJ821" s="219"/>
      <c r="BK821" s="219"/>
      <c r="BL821" s="219"/>
      <c r="BM821" s="219"/>
      <c r="BN821" s="219"/>
    </row>
    <row r="822" ht="29.25" hidden="1" customHeight="1">
      <c r="A822" s="216"/>
      <c r="B822" s="217"/>
      <c r="C822" s="164"/>
      <c r="D822" s="164"/>
      <c r="E822" s="165"/>
      <c r="F822" s="173"/>
      <c r="G822" s="168"/>
      <c r="H822" s="168"/>
      <c r="I822" s="169"/>
      <c r="J822" s="170"/>
      <c r="K822" s="170"/>
      <c r="L822" s="170"/>
      <c r="M822" s="167"/>
      <c r="N822" s="169"/>
      <c r="O822" s="171"/>
      <c r="P822" s="106"/>
      <c r="Q822" s="218"/>
      <c r="R822" s="172"/>
      <c r="S822" s="172"/>
      <c r="T822" s="173"/>
      <c r="U822" s="219"/>
      <c r="V822" s="219"/>
      <c r="W822" s="219"/>
      <c r="X822" s="219"/>
      <c r="Y822" s="219"/>
      <c r="Z822" s="219"/>
      <c r="AA822" s="219"/>
      <c r="AB822" s="219"/>
      <c r="AC822" s="219"/>
      <c r="AD822" s="219"/>
      <c r="AE822" s="219"/>
      <c r="AF822" s="219"/>
      <c r="AG822" s="219"/>
      <c r="AH822" s="219"/>
      <c r="AI822" s="219"/>
      <c r="AJ822" s="219"/>
      <c r="AK822" s="219"/>
      <c r="AL822" s="219"/>
      <c r="AM822" s="219"/>
      <c r="AN822" s="219"/>
      <c r="AO822" s="219"/>
      <c r="AP822" s="219"/>
      <c r="AQ822" s="219"/>
      <c r="AR822" s="219"/>
      <c r="AS822" s="219"/>
      <c r="AT822" s="219"/>
      <c r="AU822" s="219"/>
      <c r="AV822" s="219"/>
      <c r="AW822" s="219"/>
      <c r="AX822" s="219"/>
      <c r="AY822" s="219"/>
      <c r="AZ822" s="219"/>
      <c r="BA822" s="219"/>
      <c r="BB822" s="219"/>
      <c r="BC822" s="219"/>
      <c r="BD822" s="219"/>
      <c r="BE822" s="219"/>
      <c r="BF822" s="219"/>
      <c r="BG822" s="219"/>
      <c r="BH822" s="219"/>
      <c r="BI822" s="219"/>
      <c r="BJ822" s="219"/>
      <c r="BK822" s="219"/>
      <c r="BL822" s="219"/>
      <c r="BM822" s="219"/>
      <c r="BN822" s="219"/>
    </row>
    <row r="823" ht="29.25" hidden="1" customHeight="1">
      <c r="A823" s="216"/>
      <c r="B823" s="217"/>
      <c r="C823" s="164"/>
      <c r="D823" s="164"/>
      <c r="E823" s="165"/>
      <c r="F823" s="173"/>
      <c r="G823" s="168"/>
      <c r="H823" s="168"/>
      <c r="I823" s="169"/>
      <c r="J823" s="170"/>
      <c r="K823" s="170"/>
      <c r="L823" s="170"/>
      <c r="M823" s="167"/>
      <c r="N823" s="169"/>
      <c r="O823" s="171"/>
      <c r="P823" s="106"/>
      <c r="Q823" s="218"/>
      <c r="R823" s="172"/>
      <c r="S823" s="172"/>
      <c r="T823" s="173"/>
      <c r="U823" s="219"/>
      <c r="V823" s="219"/>
      <c r="W823" s="219"/>
      <c r="X823" s="219"/>
      <c r="Y823" s="219"/>
      <c r="Z823" s="219"/>
      <c r="AA823" s="219"/>
      <c r="AB823" s="219"/>
      <c r="AC823" s="219"/>
      <c r="AD823" s="219"/>
      <c r="AE823" s="219"/>
      <c r="AF823" s="219"/>
      <c r="AG823" s="219"/>
      <c r="AH823" s="219"/>
      <c r="AI823" s="219"/>
      <c r="AJ823" s="219"/>
      <c r="AK823" s="219"/>
      <c r="AL823" s="219"/>
      <c r="AM823" s="219"/>
      <c r="AN823" s="219"/>
      <c r="AO823" s="219"/>
      <c r="AP823" s="219"/>
      <c r="AQ823" s="219"/>
      <c r="AR823" s="219"/>
      <c r="AS823" s="219"/>
      <c r="AT823" s="219"/>
      <c r="AU823" s="219"/>
      <c r="AV823" s="219"/>
      <c r="AW823" s="219"/>
      <c r="AX823" s="219"/>
      <c r="AY823" s="219"/>
      <c r="AZ823" s="219"/>
      <c r="BA823" s="219"/>
      <c r="BB823" s="219"/>
      <c r="BC823" s="219"/>
      <c r="BD823" s="219"/>
      <c r="BE823" s="219"/>
      <c r="BF823" s="219"/>
      <c r="BG823" s="219"/>
      <c r="BH823" s="219"/>
      <c r="BI823" s="219"/>
      <c r="BJ823" s="219"/>
      <c r="BK823" s="219"/>
      <c r="BL823" s="219"/>
      <c r="BM823" s="219"/>
      <c r="BN823" s="219"/>
    </row>
    <row r="824" ht="29.25" hidden="1" customHeight="1">
      <c r="A824" s="216"/>
      <c r="B824" s="217"/>
      <c r="C824" s="164"/>
      <c r="D824" s="164"/>
      <c r="E824" s="165"/>
      <c r="F824" s="173"/>
      <c r="G824" s="168"/>
      <c r="H824" s="168"/>
      <c r="I824" s="169"/>
      <c r="J824" s="170"/>
      <c r="K824" s="170"/>
      <c r="L824" s="170"/>
      <c r="M824" s="167"/>
      <c r="N824" s="169"/>
      <c r="O824" s="171"/>
      <c r="P824" s="106"/>
      <c r="Q824" s="218"/>
      <c r="R824" s="172"/>
      <c r="S824" s="172"/>
      <c r="T824" s="173"/>
      <c r="U824" s="219"/>
      <c r="V824" s="219"/>
      <c r="W824" s="219"/>
      <c r="X824" s="219"/>
      <c r="Y824" s="219"/>
      <c r="Z824" s="219"/>
      <c r="AA824" s="219"/>
      <c r="AB824" s="219"/>
      <c r="AC824" s="219"/>
      <c r="AD824" s="219"/>
      <c r="AE824" s="219"/>
      <c r="AF824" s="219"/>
      <c r="AG824" s="219"/>
      <c r="AH824" s="219"/>
      <c r="AI824" s="219"/>
      <c r="AJ824" s="219"/>
      <c r="AK824" s="219"/>
      <c r="AL824" s="219"/>
      <c r="AM824" s="219"/>
      <c r="AN824" s="219"/>
      <c r="AO824" s="219"/>
      <c r="AP824" s="219"/>
      <c r="AQ824" s="219"/>
      <c r="AR824" s="219"/>
      <c r="AS824" s="219"/>
      <c r="AT824" s="219"/>
      <c r="AU824" s="219"/>
      <c r="AV824" s="219"/>
      <c r="AW824" s="219"/>
      <c r="AX824" s="219"/>
      <c r="AY824" s="219"/>
      <c r="AZ824" s="219"/>
      <c r="BA824" s="219"/>
      <c r="BB824" s="219"/>
      <c r="BC824" s="219"/>
      <c r="BD824" s="219"/>
      <c r="BE824" s="219"/>
      <c r="BF824" s="219"/>
      <c r="BG824" s="219"/>
      <c r="BH824" s="219"/>
      <c r="BI824" s="219"/>
      <c r="BJ824" s="219"/>
      <c r="BK824" s="219"/>
      <c r="BL824" s="219"/>
      <c r="BM824" s="219"/>
      <c r="BN824" s="219"/>
    </row>
    <row r="825" ht="29.25" hidden="1" customHeight="1">
      <c r="A825" s="216"/>
      <c r="B825" s="217"/>
      <c r="C825" s="164"/>
      <c r="D825" s="164"/>
      <c r="E825" s="165"/>
      <c r="F825" s="173"/>
      <c r="G825" s="168"/>
      <c r="H825" s="168"/>
      <c r="I825" s="169"/>
      <c r="J825" s="170"/>
      <c r="K825" s="170"/>
      <c r="L825" s="170"/>
      <c r="M825" s="167"/>
      <c r="N825" s="169"/>
      <c r="O825" s="171"/>
      <c r="P825" s="106"/>
      <c r="Q825" s="218"/>
      <c r="R825" s="172"/>
      <c r="S825" s="172"/>
      <c r="T825" s="173"/>
      <c r="U825" s="219"/>
      <c r="V825" s="219"/>
      <c r="W825" s="219"/>
      <c r="X825" s="219"/>
      <c r="Y825" s="219"/>
      <c r="Z825" s="219"/>
      <c r="AA825" s="219"/>
      <c r="AB825" s="219"/>
      <c r="AC825" s="219"/>
      <c r="AD825" s="219"/>
      <c r="AE825" s="219"/>
      <c r="AF825" s="219"/>
      <c r="AG825" s="219"/>
      <c r="AH825" s="219"/>
      <c r="AI825" s="219"/>
      <c r="AJ825" s="219"/>
      <c r="AK825" s="219"/>
      <c r="AL825" s="219"/>
      <c r="AM825" s="219"/>
      <c r="AN825" s="219"/>
      <c r="AO825" s="219"/>
      <c r="AP825" s="219"/>
      <c r="AQ825" s="219"/>
      <c r="AR825" s="219"/>
      <c r="AS825" s="219"/>
      <c r="AT825" s="219"/>
      <c r="AU825" s="219"/>
      <c r="AV825" s="219"/>
      <c r="AW825" s="219"/>
      <c r="AX825" s="219"/>
      <c r="AY825" s="219"/>
      <c r="AZ825" s="219"/>
      <c r="BA825" s="219"/>
      <c r="BB825" s="219"/>
      <c r="BC825" s="219"/>
      <c r="BD825" s="219"/>
      <c r="BE825" s="219"/>
      <c r="BF825" s="219"/>
      <c r="BG825" s="219"/>
      <c r="BH825" s="219"/>
      <c r="BI825" s="219"/>
      <c r="BJ825" s="219"/>
      <c r="BK825" s="219"/>
      <c r="BL825" s="219"/>
      <c r="BM825" s="219"/>
      <c r="BN825" s="219"/>
    </row>
    <row r="826" ht="29.25" hidden="1" customHeight="1">
      <c r="A826" s="216"/>
      <c r="B826" s="217"/>
      <c r="C826" s="164"/>
      <c r="D826" s="164"/>
      <c r="E826" s="165"/>
      <c r="F826" s="173"/>
      <c r="G826" s="168"/>
      <c r="H826" s="168"/>
      <c r="I826" s="169"/>
      <c r="J826" s="170"/>
      <c r="K826" s="170"/>
      <c r="L826" s="170"/>
      <c r="M826" s="167"/>
      <c r="N826" s="169"/>
      <c r="O826" s="171"/>
      <c r="P826" s="106"/>
      <c r="Q826" s="218"/>
      <c r="R826" s="172"/>
      <c r="S826" s="172"/>
      <c r="T826" s="173"/>
      <c r="U826" s="219"/>
      <c r="V826" s="219"/>
      <c r="W826" s="219"/>
      <c r="X826" s="219"/>
      <c r="Y826" s="219"/>
      <c r="Z826" s="219"/>
      <c r="AA826" s="219"/>
      <c r="AB826" s="219"/>
      <c r="AC826" s="219"/>
      <c r="AD826" s="219"/>
      <c r="AE826" s="219"/>
      <c r="AF826" s="219"/>
      <c r="AG826" s="219"/>
      <c r="AH826" s="219"/>
      <c r="AI826" s="219"/>
      <c r="AJ826" s="219"/>
      <c r="AK826" s="219"/>
      <c r="AL826" s="219"/>
      <c r="AM826" s="219"/>
      <c r="AN826" s="219"/>
      <c r="AO826" s="219"/>
      <c r="AP826" s="219"/>
      <c r="AQ826" s="219"/>
      <c r="AR826" s="219"/>
      <c r="AS826" s="219"/>
      <c r="AT826" s="219"/>
      <c r="AU826" s="219"/>
      <c r="AV826" s="219"/>
      <c r="AW826" s="219"/>
      <c r="AX826" s="219"/>
      <c r="AY826" s="219"/>
      <c r="AZ826" s="219"/>
      <c r="BA826" s="219"/>
      <c r="BB826" s="219"/>
      <c r="BC826" s="219"/>
      <c r="BD826" s="219"/>
      <c r="BE826" s="219"/>
      <c r="BF826" s="219"/>
      <c r="BG826" s="219"/>
      <c r="BH826" s="219"/>
      <c r="BI826" s="219"/>
      <c r="BJ826" s="219"/>
      <c r="BK826" s="219"/>
      <c r="BL826" s="219"/>
      <c r="BM826" s="219"/>
      <c r="BN826" s="219"/>
    </row>
    <row r="827" ht="29.25" hidden="1" customHeight="1">
      <c r="A827" s="216"/>
      <c r="B827" s="217"/>
      <c r="C827" s="164"/>
      <c r="D827" s="164"/>
      <c r="E827" s="165"/>
      <c r="F827" s="173"/>
      <c r="G827" s="168"/>
      <c r="H827" s="168"/>
      <c r="I827" s="169"/>
      <c r="J827" s="170"/>
      <c r="K827" s="170"/>
      <c r="L827" s="170"/>
      <c r="M827" s="167"/>
      <c r="N827" s="169"/>
      <c r="O827" s="171"/>
      <c r="P827" s="106"/>
      <c r="Q827" s="218"/>
      <c r="R827" s="172"/>
      <c r="S827" s="172"/>
      <c r="T827" s="173"/>
      <c r="U827" s="219"/>
      <c r="V827" s="219"/>
      <c r="W827" s="219"/>
      <c r="X827" s="219"/>
      <c r="Y827" s="219"/>
      <c r="Z827" s="219"/>
      <c r="AA827" s="219"/>
      <c r="AB827" s="219"/>
      <c r="AC827" s="219"/>
      <c r="AD827" s="219"/>
      <c r="AE827" s="219"/>
      <c r="AF827" s="219"/>
      <c r="AG827" s="219"/>
      <c r="AH827" s="219"/>
      <c r="AI827" s="219"/>
      <c r="AJ827" s="219"/>
      <c r="AK827" s="219"/>
      <c r="AL827" s="219"/>
      <c r="AM827" s="219"/>
      <c r="AN827" s="219"/>
      <c r="AO827" s="219"/>
      <c r="AP827" s="219"/>
      <c r="AQ827" s="219"/>
      <c r="AR827" s="219"/>
      <c r="AS827" s="219"/>
      <c r="AT827" s="219"/>
      <c r="AU827" s="219"/>
      <c r="AV827" s="219"/>
      <c r="AW827" s="219"/>
      <c r="AX827" s="219"/>
      <c r="AY827" s="219"/>
      <c r="AZ827" s="219"/>
      <c r="BA827" s="219"/>
      <c r="BB827" s="219"/>
      <c r="BC827" s="219"/>
      <c r="BD827" s="219"/>
      <c r="BE827" s="219"/>
      <c r="BF827" s="219"/>
      <c r="BG827" s="219"/>
      <c r="BH827" s="219"/>
      <c r="BI827" s="219"/>
      <c r="BJ827" s="219"/>
      <c r="BK827" s="219"/>
      <c r="BL827" s="219"/>
      <c r="BM827" s="219"/>
      <c r="BN827" s="219"/>
    </row>
    <row r="828" ht="29.25" hidden="1" customHeight="1">
      <c r="A828" s="216"/>
      <c r="B828" s="217"/>
      <c r="C828" s="164"/>
      <c r="D828" s="164"/>
      <c r="E828" s="165"/>
      <c r="F828" s="173"/>
      <c r="G828" s="168"/>
      <c r="H828" s="168"/>
      <c r="I828" s="169"/>
      <c r="J828" s="170"/>
      <c r="K828" s="170"/>
      <c r="L828" s="170"/>
      <c r="M828" s="167"/>
      <c r="N828" s="169"/>
      <c r="O828" s="171"/>
      <c r="P828" s="106"/>
      <c r="Q828" s="218"/>
      <c r="R828" s="172"/>
      <c r="S828" s="172"/>
      <c r="T828" s="173"/>
      <c r="U828" s="219"/>
      <c r="V828" s="219"/>
      <c r="W828" s="219"/>
      <c r="X828" s="219"/>
      <c r="Y828" s="219"/>
      <c r="Z828" s="219"/>
      <c r="AA828" s="219"/>
      <c r="AB828" s="219"/>
      <c r="AC828" s="219"/>
      <c r="AD828" s="219"/>
      <c r="AE828" s="219"/>
      <c r="AF828" s="219"/>
      <c r="AG828" s="219"/>
      <c r="AH828" s="219"/>
      <c r="AI828" s="219"/>
      <c r="AJ828" s="219"/>
      <c r="AK828" s="219"/>
      <c r="AL828" s="219"/>
      <c r="AM828" s="219"/>
      <c r="AN828" s="219"/>
      <c r="AO828" s="219"/>
      <c r="AP828" s="219"/>
      <c r="AQ828" s="219"/>
      <c r="AR828" s="219"/>
      <c r="AS828" s="219"/>
      <c r="AT828" s="219"/>
      <c r="AU828" s="219"/>
      <c r="AV828" s="219"/>
      <c r="AW828" s="219"/>
      <c r="AX828" s="219"/>
      <c r="AY828" s="219"/>
      <c r="AZ828" s="219"/>
      <c r="BA828" s="219"/>
      <c r="BB828" s="219"/>
      <c r="BC828" s="219"/>
      <c r="BD828" s="219"/>
      <c r="BE828" s="219"/>
      <c r="BF828" s="219"/>
      <c r="BG828" s="219"/>
      <c r="BH828" s="219"/>
      <c r="BI828" s="219"/>
      <c r="BJ828" s="219"/>
      <c r="BK828" s="219"/>
      <c r="BL828" s="219"/>
      <c r="BM828" s="219"/>
      <c r="BN828" s="219"/>
    </row>
    <row r="829" ht="29.25" hidden="1" customHeight="1">
      <c r="A829" s="216"/>
      <c r="B829" s="217"/>
      <c r="C829" s="164"/>
      <c r="D829" s="164"/>
      <c r="E829" s="165"/>
      <c r="F829" s="173"/>
      <c r="G829" s="168"/>
      <c r="H829" s="168"/>
      <c r="I829" s="169"/>
      <c r="J829" s="170"/>
      <c r="K829" s="170"/>
      <c r="L829" s="170"/>
      <c r="M829" s="167"/>
      <c r="N829" s="169"/>
      <c r="O829" s="171"/>
      <c r="P829" s="106"/>
      <c r="Q829" s="218"/>
      <c r="R829" s="172"/>
      <c r="S829" s="172"/>
      <c r="T829" s="173"/>
      <c r="U829" s="219"/>
      <c r="V829" s="219"/>
      <c r="W829" s="219"/>
      <c r="X829" s="219"/>
      <c r="Y829" s="219"/>
      <c r="Z829" s="219"/>
      <c r="AA829" s="219"/>
      <c r="AB829" s="219"/>
      <c r="AC829" s="219"/>
      <c r="AD829" s="219"/>
      <c r="AE829" s="219"/>
      <c r="AF829" s="219"/>
      <c r="AG829" s="219"/>
      <c r="AH829" s="219"/>
      <c r="AI829" s="219"/>
      <c r="AJ829" s="219"/>
      <c r="AK829" s="219"/>
      <c r="AL829" s="219"/>
      <c r="AM829" s="219"/>
      <c r="AN829" s="219"/>
      <c r="AO829" s="219"/>
      <c r="AP829" s="219"/>
      <c r="AQ829" s="219"/>
      <c r="AR829" s="219"/>
      <c r="AS829" s="219"/>
      <c r="AT829" s="219"/>
      <c r="AU829" s="219"/>
      <c r="AV829" s="219"/>
      <c r="AW829" s="219"/>
      <c r="AX829" s="219"/>
      <c r="AY829" s="219"/>
      <c r="AZ829" s="219"/>
      <c r="BA829" s="219"/>
      <c r="BB829" s="219"/>
      <c r="BC829" s="219"/>
      <c r="BD829" s="219"/>
      <c r="BE829" s="219"/>
      <c r="BF829" s="219"/>
      <c r="BG829" s="219"/>
      <c r="BH829" s="219"/>
      <c r="BI829" s="219"/>
      <c r="BJ829" s="219"/>
      <c r="BK829" s="219"/>
      <c r="BL829" s="219"/>
      <c r="BM829" s="219"/>
      <c r="BN829" s="219"/>
    </row>
    <row r="830" ht="29.25" hidden="1" customHeight="1">
      <c r="A830" s="216"/>
      <c r="B830" s="217"/>
      <c r="C830" s="164"/>
      <c r="D830" s="164"/>
      <c r="E830" s="165"/>
      <c r="F830" s="173"/>
      <c r="G830" s="168"/>
      <c r="H830" s="168"/>
      <c r="I830" s="169"/>
      <c r="J830" s="170"/>
      <c r="K830" s="170"/>
      <c r="L830" s="170"/>
      <c r="M830" s="167"/>
      <c r="N830" s="169"/>
      <c r="O830" s="171"/>
      <c r="P830" s="106"/>
      <c r="Q830" s="218"/>
      <c r="R830" s="172"/>
      <c r="S830" s="172"/>
      <c r="T830" s="173"/>
      <c r="U830" s="219"/>
      <c r="V830" s="219"/>
      <c r="W830" s="219"/>
      <c r="X830" s="219"/>
      <c r="Y830" s="219"/>
      <c r="Z830" s="219"/>
      <c r="AA830" s="219"/>
      <c r="AB830" s="219"/>
      <c r="AC830" s="219"/>
      <c r="AD830" s="219"/>
      <c r="AE830" s="219"/>
      <c r="AF830" s="219"/>
      <c r="AG830" s="219"/>
      <c r="AH830" s="219"/>
      <c r="AI830" s="219"/>
      <c r="AJ830" s="219"/>
      <c r="AK830" s="219"/>
      <c r="AL830" s="219"/>
      <c r="AM830" s="219"/>
      <c r="AN830" s="219"/>
      <c r="AO830" s="219"/>
      <c r="AP830" s="219"/>
      <c r="AQ830" s="219"/>
      <c r="AR830" s="219"/>
      <c r="AS830" s="219"/>
      <c r="AT830" s="219"/>
      <c r="AU830" s="219"/>
      <c r="AV830" s="219"/>
      <c r="AW830" s="219"/>
      <c r="AX830" s="219"/>
      <c r="AY830" s="219"/>
      <c r="AZ830" s="219"/>
      <c r="BA830" s="219"/>
      <c r="BB830" s="219"/>
      <c r="BC830" s="219"/>
      <c r="BD830" s="219"/>
      <c r="BE830" s="219"/>
      <c r="BF830" s="219"/>
      <c r="BG830" s="219"/>
      <c r="BH830" s="219"/>
      <c r="BI830" s="219"/>
      <c r="BJ830" s="219"/>
      <c r="BK830" s="219"/>
      <c r="BL830" s="219"/>
      <c r="BM830" s="219"/>
      <c r="BN830" s="219"/>
    </row>
    <row r="831" ht="29.25" hidden="1" customHeight="1">
      <c r="A831" s="216"/>
      <c r="B831" s="217"/>
      <c r="C831" s="164"/>
      <c r="D831" s="164"/>
      <c r="E831" s="165"/>
      <c r="F831" s="173"/>
      <c r="G831" s="168"/>
      <c r="H831" s="168"/>
      <c r="I831" s="169"/>
      <c r="J831" s="170"/>
      <c r="K831" s="170"/>
      <c r="L831" s="170"/>
      <c r="M831" s="167"/>
      <c r="N831" s="169"/>
      <c r="O831" s="171"/>
      <c r="P831" s="106"/>
      <c r="Q831" s="218"/>
      <c r="R831" s="172"/>
      <c r="S831" s="172"/>
      <c r="T831" s="173"/>
      <c r="U831" s="219"/>
      <c r="V831" s="219"/>
      <c r="W831" s="219"/>
      <c r="X831" s="219"/>
      <c r="Y831" s="219"/>
      <c r="Z831" s="219"/>
      <c r="AA831" s="219"/>
      <c r="AB831" s="219"/>
      <c r="AC831" s="219"/>
      <c r="AD831" s="219"/>
      <c r="AE831" s="219"/>
      <c r="AF831" s="219"/>
      <c r="AG831" s="219"/>
      <c r="AH831" s="219"/>
      <c r="AI831" s="219"/>
      <c r="AJ831" s="219"/>
      <c r="AK831" s="219"/>
      <c r="AL831" s="219"/>
      <c r="AM831" s="219"/>
      <c r="AN831" s="219"/>
      <c r="AO831" s="219"/>
      <c r="AP831" s="219"/>
      <c r="AQ831" s="219"/>
      <c r="AR831" s="219"/>
      <c r="AS831" s="219"/>
      <c r="AT831" s="219"/>
      <c r="AU831" s="219"/>
      <c r="AV831" s="219"/>
      <c r="AW831" s="219"/>
      <c r="AX831" s="219"/>
      <c r="AY831" s="219"/>
      <c r="AZ831" s="219"/>
      <c r="BA831" s="219"/>
      <c r="BB831" s="219"/>
      <c r="BC831" s="219"/>
      <c r="BD831" s="219"/>
      <c r="BE831" s="219"/>
      <c r="BF831" s="219"/>
      <c r="BG831" s="219"/>
      <c r="BH831" s="219"/>
      <c r="BI831" s="219"/>
      <c r="BJ831" s="219"/>
      <c r="BK831" s="219"/>
      <c r="BL831" s="219"/>
      <c r="BM831" s="219"/>
      <c r="BN831" s="219"/>
    </row>
    <row r="832" ht="29.25" hidden="1" customHeight="1">
      <c r="A832" s="216"/>
      <c r="B832" s="217"/>
      <c r="C832" s="164"/>
      <c r="D832" s="164"/>
      <c r="E832" s="165"/>
      <c r="F832" s="173"/>
      <c r="G832" s="168"/>
      <c r="H832" s="168"/>
      <c r="I832" s="169"/>
      <c r="J832" s="170"/>
      <c r="K832" s="170"/>
      <c r="L832" s="170"/>
      <c r="M832" s="167"/>
      <c r="N832" s="169"/>
      <c r="O832" s="171"/>
      <c r="P832" s="106"/>
      <c r="Q832" s="218"/>
      <c r="R832" s="172"/>
      <c r="S832" s="172"/>
      <c r="T832" s="173"/>
      <c r="U832" s="219"/>
      <c r="V832" s="219"/>
      <c r="W832" s="219"/>
      <c r="X832" s="219"/>
      <c r="Y832" s="219"/>
      <c r="Z832" s="219"/>
      <c r="AA832" s="219"/>
      <c r="AB832" s="219"/>
      <c r="AC832" s="219"/>
      <c r="AD832" s="219"/>
      <c r="AE832" s="219"/>
      <c r="AF832" s="219"/>
      <c r="AG832" s="219"/>
      <c r="AH832" s="219"/>
      <c r="AI832" s="219"/>
      <c r="AJ832" s="219"/>
      <c r="AK832" s="219"/>
      <c r="AL832" s="219"/>
      <c r="AM832" s="219"/>
      <c r="AN832" s="219"/>
      <c r="AO832" s="219"/>
      <c r="AP832" s="219"/>
      <c r="AQ832" s="219"/>
      <c r="AR832" s="219"/>
      <c r="AS832" s="219"/>
      <c r="AT832" s="219"/>
      <c r="AU832" s="219"/>
      <c r="AV832" s="219"/>
      <c r="AW832" s="219"/>
      <c r="AX832" s="219"/>
      <c r="AY832" s="219"/>
      <c r="AZ832" s="219"/>
      <c r="BA832" s="219"/>
      <c r="BB832" s="219"/>
      <c r="BC832" s="219"/>
      <c r="BD832" s="219"/>
      <c r="BE832" s="219"/>
      <c r="BF832" s="219"/>
      <c r="BG832" s="219"/>
      <c r="BH832" s="219"/>
      <c r="BI832" s="219"/>
      <c r="BJ832" s="219"/>
      <c r="BK832" s="219"/>
      <c r="BL832" s="219"/>
      <c r="BM832" s="219"/>
      <c r="BN832" s="219"/>
    </row>
    <row r="833" ht="29.25" hidden="1" customHeight="1">
      <c r="A833" s="216"/>
      <c r="B833" s="217"/>
      <c r="C833" s="164"/>
      <c r="D833" s="164"/>
      <c r="E833" s="165"/>
      <c r="F833" s="173"/>
      <c r="G833" s="168"/>
      <c r="H833" s="168"/>
      <c r="I833" s="169"/>
      <c r="J833" s="170"/>
      <c r="K833" s="170"/>
      <c r="L833" s="170"/>
      <c r="M833" s="167"/>
      <c r="N833" s="169"/>
      <c r="O833" s="171"/>
      <c r="P833" s="106"/>
      <c r="Q833" s="218"/>
      <c r="R833" s="172"/>
      <c r="S833" s="172"/>
      <c r="T833" s="173"/>
      <c r="U833" s="219"/>
      <c r="V833" s="219"/>
      <c r="W833" s="219"/>
      <c r="X833" s="219"/>
      <c r="Y833" s="219"/>
      <c r="Z833" s="219"/>
      <c r="AA833" s="219"/>
      <c r="AB833" s="219"/>
      <c r="AC833" s="219"/>
      <c r="AD833" s="219"/>
      <c r="AE833" s="219"/>
      <c r="AF833" s="219"/>
      <c r="AG833" s="219"/>
      <c r="AH833" s="219"/>
      <c r="AI833" s="219"/>
      <c r="AJ833" s="219"/>
      <c r="AK833" s="219"/>
      <c r="AL833" s="219"/>
      <c r="AM833" s="219"/>
      <c r="AN833" s="219"/>
      <c r="AO833" s="219"/>
      <c r="AP833" s="219"/>
      <c r="AQ833" s="219"/>
      <c r="AR833" s="219"/>
      <c r="AS833" s="219"/>
      <c r="AT833" s="219"/>
      <c r="AU833" s="219"/>
      <c r="AV833" s="219"/>
      <c r="AW833" s="219"/>
      <c r="AX833" s="219"/>
      <c r="AY833" s="219"/>
      <c r="AZ833" s="219"/>
      <c r="BA833" s="219"/>
      <c r="BB833" s="219"/>
      <c r="BC833" s="219"/>
      <c r="BD833" s="219"/>
      <c r="BE833" s="219"/>
      <c r="BF833" s="219"/>
      <c r="BG833" s="219"/>
      <c r="BH833" s="219"/>
      <c r="BI833" s="219"/>
      <c r="BJ833" s="219"/>
      <c r="BK833" s="219"/>
      <c r="BL833" s="219"/>
      <c r="BM833" s="219"/>
      <c r="BN833" s="219"/>
    </row>
    <row r="834" ht="29.25" hidden="1" customHeight="1">
      <c r="A834" s="216"/>
      <c r="B834" s="217"/>
      <c r="C834" s="164"/>
      <c r="D834" s="164"/>
      <c r="E834" s="165"/>
      <c r="F834" s="173"/>
      <c r="G834" s="168"/>
      <c r="H834" s="168"/>
      <c r="I834" s="169"/>
      <c r="J834" s="170"/>
      <c r="K834" s="170"/>
      <c r="L834" s="170"/>
      <c r="M834" s="167"/>
      <c r="N834" s="169"/>
      <c r="O834" s="171"/>
      <c r="P834" s="106"/>
      <c r="Q834" s="218"/>
      <c r="R834" s="172"/>
      <c r="S834" s="172"/>
      <c r="T834" s="173"/>
      <c r="U834" s="219"/>
      <c r="V834" s="219"/>
      <c r="W834" s="219"/>
      <c r="X834" s="219"/>
      <c r="Y834" s="219"/>
      <c r="Z834" s="219"/>
      <c r="AA834" s="219"/>
      <c r="AB834" s="219"/>
      <c r="AC834" s="219"/>
      <c r="AD834" s="219"/>
      <c r="AE834" s="219"/>
      <c r="AF834" s="219"/>
      <c r="AG834" s="219"/>
      <c r="AH834" s="219"/>
      <c r="AI834" s="219"/>
      <c r="AJ834" s="219"/>
      <c r="AK834" s="219"/>
      <c r="AL834" s="219"/>
      <c r="AM834" s="219"/>
      <c r="AN834" s="219"/>
      <c r="AO834" s="219"/>
      <c r="AP834" s="219"/>
      <c r="AQ834" s="219"/>
      <c r="AR834" s="219"/>
      <c r="AS834" s="219"/>
      <c r="AT834" s="219"/>
      <c r="AU834" s="219"/>
      <c r="AV834" s="219"/>
      <c r="AW834" s="219"/>
      <c r="AX834" s="219"/>
      <c r="AY834" s="219"/>
      <c r="AZ834" s="219"/>
      <c r="BA834" s="219"/>
      <c r="BB834" s="219"/>
      <c r="BC834" s="219"/>
      <c r="BD834" s="219"/>
      <c r="BE834" s="219"/>
      <c r="BF834" s="219"/>
      <c r="BG834" s="219"/>
      <c r="BH834" s="219"/>
      <c r="BI834" s="219"/>
      <c r="BJ834" s="219"/>
      <c r="BK834" s="219"/>
      <c r="BL834" s="219"/>
      <c r="BM834" s="219"/>
      <c r="BN834" s="219"/>
    </row>
    <row r="835" ht="29.25" hidden="1" customHeight="1">
      <c r="A835" s="216"/>
      <c r="B835" s="217"/>
      <c r="C835" s="164"/>
      <c r="D835" s="164"/>
      <c r="E835" s="165"/>
      <c r="F835" s="173"/>
      <c r="G835" s="168"/>
      <c r="H835" s="168"/>
      <c r="I835" s="169"/>
      <c r="J835" s="170"/>
      <c r="K835" s="170"/>
      <c r="L835" s="170"/>
      <c r="M835" s="167"/>
      <c r="N835" s="169"/>
      <c r="O835" s="171"/>
      <c r="P835" s="106"/>
      <c r="Q835" s="218"/>
      <c r="R835" s="172"/>
      <c r="S835" s="172"/>
      <c r="T835" s="173"/>
      <c r="U835" s="219"/>
      <c r="V835" s="219"/>
      <c r="W835" s="219"/>
      <c r="X835" s="219"/>
      <c r="Y835" s="219"/>
      <c r="Z835" s="219"/>
      <c r="AA835" s="219"/>
      <c r="AB835" s="219"/>
      <c r="AC835" s="219"/>
      <c r="AD835" s="219"/>
      <c r="AE835" s="219"/>
      <c r="AF835" s="219"/>
      <c r="AG835" s="219"/>
      <c r="AH835" s="219"/>
      <c r="AI835" s="219"/>
      <c r="AJ835" s="219"/>
      <c r="AK835" s="219"/>
      <c r="AL835" s="219"/>
      <c r="AM835" s="219"/>
      <c r="AN835" s="219"/>
      <c r="AO835" s="219"/>
      <c r="AP835" s="219"/>
      <c r="AQ835" s="219"/>
      <c r="AR835" s="219"/>
      <c r="AS835" s="219"/>
      <c r="AT835" s="219"/>
      <c r="AU835" s="219"/>
      <c r="AV835" s="219"/>
      <c r="AW835" s="219"/>
      <c r="AX835" s="219"/>
      <c r="AY835" s="219"/>
      <c r="AZ835" s="219"/>
      <c r="BA835" s="219"/>
      <c r="BB835" s="219"/>
      <c r="BC835" s="219"/>
      <c r="BD835" s="219"/>
      <c r="BE835" s="219"/>
      <c r="BF835" s="219"/>
      <c r="BG835" s="219"/>
      <c r="BH835" s="219"/>
      <c r="BI835" s="219"/>
      <c r="BJ835" s="219"/>
      <c r="BK835" s="219"/>
      <c r="BL835" s="219"/>
      <c r="BM835" s="219"/>
      <c r="BN835" s="219"/>
    </row>
    <row r="836" ht="29.25" hidden="1" customHeight="1">
      <c r="A836" s="216"/>
      <c r="B836" s="217"/>
      <c r="C836" s="164"/>
      <c r="D836" s="164"/>
      <c r="E836" s="165"/>
      <c r="F836" s="173"/>
      <c r="G836" s="168"/>
      <c r="H836" s="168"/>
      <c r="I836" s="169"/>
      <c r="J836" s="170"/>
      <c r="K836" s="170"/>
      <c r="L836" s="170"/>
      <c r="M836" s="167"/>
      <c r="N836" s="169"/>
      <c r="O836" s="171"/>
      <c r="P836" s="106"/>
      <c r="Q836" s="218"/>
      <c r="R836" s="172"/>
      <c r="S836" s="172"/>
      <c r="T836" s="173"/>
      <c r="U836" s="219"/>
      <c r="V836" s="219"/>
      <c r="W836" s="219"/>
      <c r="X836" s="219"/>
      <c r="Y836" s="219"/>
      <c r="Z836" s="219"/>
      <c r="AA836" s="219"/>
      <c r="AB836" s="219"/>
      <c r="AC836" s="219"/>
      <c r="AD836" s="219"/>
      <c r="AE836" s="219"/>
      <c r="AF836" s="219"/>
      <c r="AG836" s="219"/>
      <c r="AH836" s="219"/>
      <c r="AI836" s="219"/>
      <c r="AJ836" s="219"/>
      <c r="AK836" s="219"/>
      <c r="AL836" s="219"/>
      <c r="AM836" s="219"/>
      <c r="AN836" s="219"/>
      <c r="AO836" s="219"/>
      <c r="AP836" s="219"/>
      <c r="AQ836" s="219"/>
      <c r="AR836" s="219"/>
      <c r="AS836" s="219"/>
      <c r="AT836" s="219"/>
      <c r="AU836" s="219"/>
      <c r="AV836" s="219"/>
      <c r="AW836" s="219"/>
      <c r="AX836" s="219"/>
      <c r="AY836" s="219"/>
      <c r="AZ836" s="219"/>
      <c r="BA836" s="219"/>
      <c r="BB836" s="219"/>
      <c r="BC836" s="219"/>
      <c r="BD836" s="219"/>
      <c r="BE836" s="219"/>
      <c r="BF836" s="219"/>
      <c r="BG836" s="219"/>
      <c r="BH836" s="219"/>
      <c r="BI836" s="219"/>
      <c r="BJ836" s="219"/>
      <c r="BK836" s="219"/>
      <c r="BL836" s="219"/>
      <c r="BM836" s="219"/>
      <c r="BN836" s="219"/>
    </row>
    <row r="837" ht="29.25" hidden="1" customHeight="1">
      <c r="A837" s="216"/>
      <c r="B837" s="217"/>
      <c r="C837" s="164"/>
      <c r="D837" s="164"/>
      <c r="E837" s="165"/>
      <c r="F837" s="173"/>
      <c r="G837" s="168"/>
      <c r="H837" s="168"/>
      <c r="I837" s="169"/>
      <c r="J837" s="170"/>
      <c r="K837" s="170"/>
      <c r="L837" s="170"/>
      <c r="M837" s="167"/>
      <c r="N837" s="169"/>
      <c r="O837" s="171"/>
      <c r="P837" s="106"/>
      <c r="Q837" s="218"/>
      <c r="R837" s="172"/>
      <c r="S837" s="172"/>
      <c r="T837" s="173"/>
      <c r="U837" s="219"/>
      <c r="V837" s="219"/>
      <c r="W837" s="219"/>
      <c r="X837" s="219"/>
      <c r="Y837" s="219"/>
      <c r="Z837" s="219"/>
      <c r="AA837" s="219"/>
      <c r="AB837" s="219"/>
      <c r="AC837" s="219"/>
      <c r="AD837" s="219"/>
      <c r="AE837" s="219"/>
      <c r="AF837" s="219"/>
      <c r="AG837" s="219"/>
      <c r="AH837" s="219"/>
      <c r="AI837" s="219"/>
      <c r="AJ837" s="219"/>
      <c r="AK837" s="219"/>
      <c r="AL837" s="219"/>
      <c r="AM837" s="219"/>
      <c r="AN837" s="219"/>
      <c r="AO837" s="219"/>
      <c r="AP837" s="219"/>
      <c r="AQ837" s="219"/>
      <c r="AR837" s="219"/>
      <c r="AS837" s="219"/>
      <c r="AT837" s="219"/>
      <c r="AU837" s="219"/>
      <c r="AV837" s="219"/>
      <c r="AW837" s="219"/>
      <c r="AX837" s="219"/>
      <c r="AY837" s="219"/>
      <c r="AZ837" s="219"/>
      <c r="BA837" s="219"/>
      <c r="BB837" s="219"/>
      <c r="BC837" s="219"/>
      <c r="BD837" s="219"/>
      <c r="BE837" s="219"/>
      <c r="BF837" s="219"/>
      <c r="BG837" s="219"/>
      <c r="BH837" s="219"/>
      <c r="BI837" s="219"/>
      <c r="BJ837" s="219"/>
      <c r="BK837" s="219"/>
      <c r="BL837" s="219"/>
      <c r="BM837" s="219"/>
      <c r="BN837" s="219"/>
    </row>
    <row r="838" ht="29.25" hidden="1" customHeight="1">
      <c r="A838" s="216"/>
      <c r="B838" s="217"/>
      <c r="C838" s="164"/>
      <c r="D838" s="164"/>
      <c r="E838" s="165"/>
      <c r="F838" s="173"/>
      <c r="G838" s="168"/>
      <c r="H838" s="168"/>
      <c r="I838" s="169"/>
      <c r="J838" s="170"/>
      <c r="K838" s="170"/>
      <c r="L838" s="170"/>
      <c r="M838" s="167"/>
      <c r="N838" s="169"/>
      <c r="O838" s="171"/>
      <c r="P838" s="106"/>
      <c r="Q838" s="218"/>
      <c r="R838" s="172"/>
      <c r="S838" s="172"/>
      <c r="T838" s="173"/>
      <c r="U838" s="219"/>
      <c r="V838" s="219"/>
      <c r="W838" s="219"/>
      <c r="X838" s="219"/>
      <c r="Y838" s="219"/>
      <c r="Z838" s="219"/>
      <c r="AA838" s="219"/>
      <c r="AB838" s="219"/>
      <c r="AC838" s="219"/>
      <c r="AD838" s="219"/>
      <c r="AE838" s="219"/>
      <c r="AF838" s="219"/>
      <c r="AG838" s="219"/>
      <c r="AH838" s="219"/>
      <c r="AI838" s="219"/>
      <c r="AJ838" s="219"/>
      <c r="AK838" s="219"/>
      <c r="AL838" s="219"/>
      <c r="AM838" s="219"/>
      <c r="AN838" s="219"/>
      <c r="AO838" s="219"/>
      <c r="AP838" s="219"/>
      <c r="AQ838" s="219"/>
      <c r="AR838" s="219"/>
      <c r="AS838" s="219"/>
      <c r="AT838" s="219"/>
      <c r="AU838" s="219"/>
      <c r="AV838" s="219"/>
      <c r="AW838" s="219"/>
      <c r="AX838" s="219"/>
      <c r="AY838" s="219"/>
      <c r="AZ838" s="219"/>
      <c r="BA838" s="219"/>
      <c r="BB838" s="219"/>
      <c r="BC838" s="219"/>
      <c r="BD838" s="219"/>
      <c r="BE838" s="219"/>
      <c r="BF838" s="219"/>
      <c r="BG838" s="219"/>
      <c r="BH838" s="219"/>
      <c r="BI838" s="219"/>
      <c r="BJ838" s="219"/>
      <c r="BK838" s="219"/>
      <c r="BL838" s="219"/>
      <c r="BM838" s="219"/>
      <c r="BN838" s="219"/>
    </row>
    <row r="839" ht="29.25" hidden="1" customHeight="1">
      <c r="A839" s="216"/>
      <c r="B839" s="217"/>
      <c r="C839" s="164"/>
      <c r="D839" s="164"/>
      <c r="E839" s="165"/>
      <c r="F839" s="173"/>
      <c r="G839" s="168"/>
      <c r="H839" s="168"/>
      <c r="I839" s="169"/>
      <c r="J839" s="170"/>
      <c r="K839" s="170"/>
      <c r="L839" s="170"/>
      <c r="M839" s="167"/>
      <c r="N839" s="169"/>
      <c r="O839" s="171"/>
      <c r="P839" s="106"/>
      <c r="Q839" s="218"/>
      <c r="R839" s="172"/>
      <c r="S839" s="172"/>
      <c r="T839" s="173"/>
      <c r="U839" s="219"/>
      <c r="V839" s="219"/>
      <c r="W839" s="219"/>
      <c r="X839" s="219"/>
      <c r="Y839" s="219"/>
      <c r="Z839" s="219"/>
      <c r="AA839" s="219"/>
      <c r="AB839" s="219"/>
      <c r="AC839" s="219"/>
      <c r="AD839" s="219"/>
      <c r="AE839" s="219"/>
      <c r="AF839" s="219"/>
      <c r="AG839" s="219"/>
      <c r="AH839" s="219"/>
      <c r="AI839" s="219"/>
      <c r="AJ839" s="219"/>
      <c r="AK839" s="219"/>
      <c r="AL839" s="219"/>
      <c r="AM839" s="219"/>
      <c r="AN839" s="219"/>
      <c r="AO839" s="219"/>
      <c r="AP839" s="219"/>
      <c r="AQ839" s="219"/>
      <c r="AR839" s="219"/>
      <c r="AS839" s="219"/>
      <c r="AT839" s="219"/>
      <c r="AU839" s="219"/>
      <c r="AV839" s="219"/>
      <c r="AW839" s="219"/>
      <c r="AX839" s="219"/>
      <c r="AY839" s="219"/>
      <c r="AZ839" s="219"/>
      <c r="BA839" s="219"/>
      <c r="BB839" s="219"/>
      <c r="BC839" s="219"/>
      <c r="BD839" s="219"/>
      <c r="BE839" s="219"/>
      <c r="BF839" s="219"/>
      <c r="BG839" s="219"/>
      <c r="BH839" s="219"/>
      <c r="BI839" s="219"/>
      <c r="BJ839" s="219"/>
      <c r="BK839" s="219"/>
      <c r="BL839" s="219"/>
      <c r="BM839" s="219"/>
      <c r="BN839" s="219"/>
    </row>
    <row r="840" ht="29.25" hidden="1" customHeight="1">
      <c r="A840" s="216"/>
      <c r="B840" s="217"/>
      <c r="C840" s="164"/>
      <c r="D840" s="164"/>
      <c r="E840" s="165"/>
      <c r="F840" s="173"/>
      <c r="G840" s="168"/>
      <c r="H840" s="168"/>
      <c r="I840" s="169"/>
      <c r="J840" s="170"/>
      <c r="K840" s="170"/>
      <c r="L840" s="170"/>
      <c r="M840" s="167"/>
      <c r="N840" s="169"/>
      <c r="O840" s="171"/>
      <c r="P840" s="106"/>
      <c r="Q840" s="218"/>
      <c r="R840" s="172"/>
      <c r="S840" s="172"/>
      <c r="T840" s="173"/>
      <c r="U840" s="219"/>
      <c r="V840" s="219"/>
      <c r="W840" s="219"/>
      <c r="X840" s="219"/>
      <c r="Y840" s="219"/>
      <c r="Z840" s="219"/>
      <c r="AA840" s="219"/>
      <c r="AB840" s="219"/>
      <c r="AC840" s="219"/>
      <c r="AD840" s="219"/>
      <c r="AE840" s="219"/>
      <c r="AF840" s="219"/>
      <c r="AG840" s="219"/>
      <c r="AH840" s="219"/>
      <c r="AI840" s="219"/>
      <c r="AJ840" s="219"/>
      <c r="AK840" s="219"/>
      <c r="AL840" s="219"/>
      <c r="AM840" s="219"/>
      <c r="AN840" s="219"/>
      <c r="AO840" s="219"/>
      <c r="AP840" s="219"/>
      <c r="AQ840" s="219"/>
      <c r="AR840" s="219"/>
      <c r="AS840" s="219"/>
      <c r="AT840" s="219"/>
      <c r="AU840" s="219"/>
      <c r="AV840" s="219"/>
      <c r="AW840" s="219"/>
      <c r="AX840" s="219"/>
      <c r="AY840" s="219"/>
      <c r="AZ840" s="219"/>
      <c r="BA840" s="219"/>
      <c r="BB840" s="219"/>
      <c r="BC840" s="219"/>
      <c r="BD840" s="219"/>
      <c r="BE840" s="219"/>
      <c r="BF840" s="219"/>
      <c r="BG840" s="219"/>
      <c r="BH840" s="219"/>
      <c r="BI840" s="219"/>
      <c r="BJ840" s="219"/>
      <c r="BK840" s="219"/>
      <c r="BL840" s="219"/>
      <c r="BM840" s="219"/>
      <c r="BN840" s="219"/>
    </row>
    <row r="841" ht="29.25" hidden="1" customHeight="1">
      <c r="A841" s="216"/>
      <c r="B841" s="217"/>
      <c r="C841" s="164"/>
      <c r="D841" s="164"/>
      <c r="E841" s="165"/>
      <c r="F841" s="173"/>
      <c r="G841" s="168"/>
      <c r="H841" s="168"/>
      <c r="I841" s="169"/>
      <c r="J841" s="170"/>
      <c r="K841" s="170"/>
      <c r="L841" s="170"/>
      <c r="M841" s="167"/>
      <c r="N841" s="169"/>
      <c r="O841" s="171"/>
      <c r="P841" s="106"/>
      <c r="Q841" s="218"/>
      <c r="R841" s="172"/>
      <c r="S841" s="172"/>
      <c r="T841" s="173"/>
      <c r="U841" s="219"/>
      <c r="V841" s="219"/>
      <c r="W841" s="219"/>
      <c r="X841" s="219"/>
      <c r="Y841" s="219"/>
      <c r="Z841" s="219"/>
      <c r="AA841" s="219"/>
      <c r="AB841" s="219"/>
      <c r="AC841" s="219"/>
      <c r="AD841" s="219"/>
      <c r="AE841" s="219"/>
      <c r="AF841" s="219"/>
      <c r="AG841" s="219"/>
      <c r="AH841" s="219"/>
      <c r="AI841" s="219"/>
      <c r="AJ841" s="219"/>
      <c r="AK841" s="219"/>
      <c r="AL841" s="219"/>
      <c r="AM841" s="219"/>
      <c r="AN841" s="219"/>
      <c r="AO841" s="219"/>
      <c r="AP841" s="219"/>
      <c r="AQ841" s="219"/>
      <c r="AR841" s="219"/>
      <c r="AS841" s="219"/>
      <c r="AT841" s="219"/>
      <c r="AU841" s="219"/>
      <c r="AV841" s="219"/>
      <c r="AW841" s="219"/>
      <c r="AX841" s="219"/>
      <c r="AY841" s="219"/>
      <c r="AZ841" s="219"/>
      <c r="BA841" s="219"/>
      <c r="BB841" s="219"/>
      <c r="BC841" s="219"/>
      <c r="BD841" s="219"/>
      <c r="BE841" s="219"/>
      <c r="BF841" s="219"/>
      <c r="BG841" s="219"/>
      <c r="BH841" s="219"/>
      <c r="BI841" s="219"/>
      <c r="BJ841" s="219"/>
      <c r="BK841" s="219"/>
      <c r="BL841" s="219"/>
      <c r="BM841" s="219"/>
      <c r="BN841" s="219"/>
    </row>
    <row r="842" ht="29.25" hidden="1" customHeight="1">
      <c r="A842" s="216"/>
      <c r="B842" s="217"/>
      <c r="C842" s="164"/>
      <c r="D842" s="164"/>
      <c r="E842" s="165"/>
      <c r="F842" s="173"/>
      <c r="G842" s="168"/>
      <c r="H842" s="168"/>
      <c r="I842" s="169"/>
      <c r="J842" s="170"/>
      <c r="K842" s="170"/>
      <c r="L842" s="170"/>
      <c r="M842" s="167"/>
      <c r="N842" s="169"/>
      <c r="O842" s="171"/>
      <c r="P842" s="106"/>
      <c r="Q842" s="218"/>
      <c r="R842" s="172"/>
      <c r="S842" s="172"/>
      <c r="T842" s="173"/>
      <c r="U842" s="219"/>
      <c r="V842" s="219"/>
      <c r="W842" s="219"/>
      <c r="X842" s="219"/>
      <c r="Y842" s="219"/>
      <c r="Z842" s="219"/>
      <c r="AA842" s="219"/>
      <c r="AB842" s="219"/>
      <c r="AC842" s="219"/>
      <c r="AD842" s="219"/>
      <c r="AE842" s="219"/>
      <c r="AF842" s="219"/>
      <c r="AG842" s="219"/>
      <c r="AH842" s="219"/>
      <c r="AI842" s="219"/>
      <c r="AJ842" s="219"/>
      <c r="AK842" s="219"/>
      <c r="AL842" s="219"/>
      <c r="AM842" s="219"/>
      <c r="AN842" s="219"/>
      <c r="AO842" s="219"/>
      <c r="AP842" s="219"/>
      <c r="AQ842" s="219"/>
      <c r="AR842" s="219"/>
      <c r="AS842" s="219"/>
      <c r="AT842" s="219"/>
      <c r="AU842" s="219"/>
      <c r="AV842" s="219"/>
      <c r="AW842" s="219"/>
      <c r="AX842" s="219"/>
      <c r="AY842" s="219"/>
      <c r="AZ842" s="219"/>
      <c r="BA842" s="219"/>
      <c r="BB842" s="219"/>
      <c r="BC842" s="219"/>
      <c r="BD842" s="219"/>
      <c r="BE842" s="219"/>
      <c r="BF842" s="219"/>
      <c r="BG842" s="219"/>
      <c r="BH842" s="219"/>
      <c r="BI842" s="219"/>
      <c r="BJ842" s="219"/>
      <c r="BK842" s="219"/>
      <c r="BL842" s="219"/>
      <c r="BM842" s="219"/>
      <c r="BN842" s="219"/>
    </row>
    <row r="843" ht="29.25" hidden="1" customHeight="1">
      <c r="A843" s="216"/>
      <c r="B843" s="217"/>
      <c r="C843" s="164"/>
      <c r="D843" s="164"/>
      <c r="E843" s="165"/>
      <c r="F843" s="173"/>
      <c r="G843" s="168"/>
      <c r="H843" s="168"/>
      <c r="I843" s="169"/>
      <c r="J843" s="170"/>
      <c r="K843" s="170"/>
      <c r="L843" s="170"/>
      <c r="M843" s="167"/>
      <c r="N843" s="169"/>
      <c r="O843" s="171"/>
      <c r="P843" s="106"/>
      <c r="Q843" s="218"/>
      <c r="R843" s="172"/>
      <c r="S843" s="172"/>
      <c r="T843" s="173"/>
      <c r="U843" s="219"/>
      <c r="V843" s="219"/>
      <c r="W843" s="219"/>
      <c r="X843" s="219"/>
      <c r="Y843" s="219"/>
      <c r="Z843" s="219"/>
      <c r="AA843" s="219"/>
      <c r="AB843" s="219"/>
      <c r="AC843" s="219"/>
      <c r="AD843" s="219"/>
      <c r="AE843" s="219"/>
      <c r="AF843" s="219"/>
      <c r="AG843" s="219"/>
      <c r="AH843" s="219"/>
      <c r="AI843" s="219"/>
      <c r="AJ843" s="219"/>
      <c r="AK843" s="219"/>
      <c r="AL843" s="219"/>
      <c r="AM843" s="219"/>
      <c r="AN843" s="219"/>
      <c r="AO843" s="219"/>
      <c r="AP843" s="219"/>
      <c r="AQ843" s="219"/>
      <c r="AR843" s="219"/>
      <c r="AS843" s="219"/>
      <c r="AT843" s="219"/>
      <c r="AU843" s="219"/>
      <c r="AV843" s="219"/>
      <c r="AW843" s="219"/>
      <c r="AX843" s="219"/>
      <c r="AY843" s="219"/>
      <c r="AZ843" s="219"/>
      <c r="BA843" s="219"/>
      <c r="BB843" s="219"/>
      <c r="BC843" s="219"/>
      <c r="BD843" s="219"/>
      <c r="BE843" s="219"/>
      <c r="BF843" s="219"/>
      <c r="BG843" s="219"/>
      <c r="BH843" s="219"/>
      <c r="BI843" s="219"/>
      <c r="BJ843" s="219"/>
      <c r="BK843" s="219"/>
      <c r="BL843" s="219"/>
      <c r="BM843" s="219"/>
      <c r="BN843" s="219"/>
    </row>
    <row r="844" ht="29.25" hidden="1" customHeight="1">
      <c r="A844" s="216"/>
      <c r="B844" s="217"/>
      <c r="C844" s="164"/>
      <c r="D844" s="164"/>
      <c r="E844" s="165"/>
      <c r="F844" s="173"/>
      <c r="G844" s="168"/>
      <c r="H844" s="168"/>
      <c r="I844" s="169"/>
      <c r="J844" s="170"/>
      <c r="K844" s="170"/>
      <c r="L844" s="170"/>
      <c r="M844" s="167"/>
      <c r="N844" s="169"/>
      <c r="O844" s="171"/>
      <c r="P844" s="106"/>
      <c r="Q844" s="218"/>
      <c r="R844" s="172"/>
      <c r="S844" s="172"/>
      <c r="T844" s="173"/>
      <c r="U844" s="219"/>
      <c r="V844" s="219"/>
      <c r="W844" s="219"/>
      <c r="X844" s="219"/>
      <c r="Y844" s="219"/>
      <c r="Z844" s="219"/>
      <c r="AA844" s="219"/>
      <c r="AB844" s="219"/>
      <c r="AC844" s="219"/>
      <c r="AD844" s="219"/>
      <c r="AE844" s="219"/>
      <c r="AF844" s="219"/>
      <c r="AG844" s="219"/>
      <c r="AH844" s="219"/>
      <c r="AI844" s="219"/>
      <c r="AJ844" s="219"/>
      <c r="AK844" s="219"/>
      <c r="AL844" s="219"/>
      <c r="AM844" s="219"/>
      <c r="AN844" s="219"/>
      <c r="AO844" s="219"/>
      <c r="AP844" s="219"/>
      <c r="AQ844" s="219"/>
      <c r="AR844" s="219"/>
      <c r="AS844" s="219"/>
      <c r="AT844" s="219"/>
      <c r="AU844" s="219"/>
      <c r="AV844" s="219"/>
      <c r="AW844" s="219"/>
      <c r="AX844" s="219"/>
      <c r="AY844" s="219"/>
      <c r="AZ844" s="219"/>
      <c r="BA844" s="219"/>
      <c r="BB844" s="219"/>
      <c r="BC844" s="219"/>
      <c r="BD844" s="219"/>
      <c r="BE844" s="219"/>
      <c r="BF844" s="219"/>
      <c r="BG844" s="219"/>
      <c r="BH844" s="219"/>
      <c r="BI844" s="219"/>
      <c r="BJ844" s="219"/>
      <c r="BK844" s="219"/>
      <c r="BL844" s="219"/>
      <c r="BM844" s="219"/>
      <c r="BN844" s="219"/>
    </row>
    <row r="845" ht="29.25" hidden="1" customHeight="1">
      <c r="A845" s="216"/>
      <c r="B845" s="217"/>
      <c r="C845" s="164"/>
      <c r="D845" s="164"/>
      <c r="E845" s="165"/>
      <c r="F845" s="173"/>
      <c r="G845" s="168"/>
      <c r="H845" s="168"/>
      <c r="I845" s="169"/>
      <c r="J845" s="170"/>
      <c r="K845" s="170"/>
      <c r="L845" s="170"/>
      <c r="M845" s="167"/>
      <c r="N845" s="169"/>
      <c r="O845" s="171"/>
      <c r="P845" s="106"/>
      <c r="Q845" s="218"/>
      <c r="R845" s="172"/>
      <c r="S845" s="172"/>
      <c r="T845" s="173"/>
      <c r="U845" s="219"/>
      <c r="V845" s="219"/>
      <c r="W845" s="219"/>
      <c r="X845" s="219"/>
      <c r="Y845" s="219"/>
      <c r="Z845" s="219"/>
      <c r="AA845" s="219"/>
      <c r="AB845" s="219"/>
      <c r="AC845" s="219"/>
      <c r="AD845" s="219"/>
      <c r="AE845" s="219"/>
      <c r="AF845" s="219"/>
      <c r="AG845" s="219"/>
      <c r="AH845" s="219"/>
      <c r="AI845" s="219"/>
      <c r="AJ845" s="219"/>
      <c r="AK845" s="219"/>
      <c r="AL845" s="219"/>
      <c r="AM845" s="219"/>
      <c r="AN845" s="219"/>
      <c r="AO845" s="219"/>
      <c r="AP845" s="219"/>
      <c r="AQ845" s="219"/>
      <c r="AR845" s="219"/>
      <c r="AS845" s="219"/>
      <c r="AT845" s="219"/>
      <c r="AU845" s="219"/>
      <c r="AV845" s="219"/>
      <c r="AW845" s="219"/>
      <c r="AX845" s="219"/>
      <c r="AY845" s="219"/>
      <c r="AZ845" s="219"/>
      <c r="BA845" s="219"/>
      <c r="BB845" s="219"/>
      <c r="BC845" s="219"/>
      <c r="BD845" s="219"/>
      <c r="BE845" s="219"/>
      <c r="BF845" s="219"/>
      <c r="BG845" s="219"/>
      <c r="BH845" s="219"/>
      <c r="BI845" s="219"/>
      <c r="BJ845" s="219"/>
      <c r="BK845" s="219"/>
      <c r="BL845" s="219"/>
      <c r="BM845" s="219"/>
      <c r="BN845" s="219"/>
    </row>
    <row r="846" ht="29.25" hidden="1" customHeight="1">
      <c r="A846" s="216"/>
      <c r="B846" s="217"/>
      <c r="C846" s="164"/>
      <c r="D846" s="164"/>
      <c r="E846" s="165"/>
      <c r="F846" s="173"/>
      <c r="G846" s="168"/>
      <c r="H846" s="168"/>
      <c r="I846" s="169"/>
      <c r="J846" s="170"/>
      <c r="K846" s="170"/>
      <c r="L846" s="170"/>
      <c r="M846" s="167"/>
      <c r="N846" s="169"/>
      <c r="O846" s="171"/>
      <c r="P846" s="106"/>
      <c r="Q846" s="218"/>
      <c r="R846" s="172"/>
      <c r="S846" s="172"/>
      <c r="T846" s="173"/>
      <c r="U846" s="219"/>
      <c r="V846" s="219"/>
      <c r="W846" s="219"/>
      <c r="X846" s="219"/>
      <c r="Y846" s="219"/>
      <c r="Z846" s="219"/>
      <c r="AA846" s="219"/>
      <c r="AB846" s="219"/>
      <c r="AC846" s="219"/>
      <c r="AD846" s="219"/>
      <c r="AE846" s="219"/>
      <c r="AF846" s="219"/>
      <c r="AG846" s="219"/>
      <c r="AH846" s="219"/>
      <c r="AI846" s="219"/>
      <c r="AJ846" s="219"/>
      <c r="AK846" s="219"/>
      <c r="AL846" s="219"/>
      <c r="AM846" s="219"/>
      <c r="AN846" s="219"/>
      <c r="AO846" s="219"/>
      <c r="AP846" s="219"/>
      <c r="AQ846" s="219"/>
      <c r="AR846" s="219"/>
      <c r="AS846" s="219"/>
      <c r="AT846" s="219"/>
      <c r="AU846" s="219"/>
      <c r="AV846" s="219"/>
      <c r="AW846" s="219"/>
      <c r="AX846" s="219"/>
      <c r="AY846" s="219"/>
      <c r="AZ846" s="219"/>
      <c r="BA846" s="219"/>
      <c r="BB846" s="219"/>
      <c r="BC846" s="219"/>
      <c r="BD846" s="219"/>
      <c r="BE846" s="219"/>
      <c r="BF846" s="219"/>
      <c r="BG846" s="219"/>
      <c r="BH846" s="219"/>
      <c r="BI846" s="219"/>
      <c r="BJ846" s="219"/>
      <c r="BK846" s="219"/>
      <c r="BL846" s="219"/>
      <c r="BM846" s="219"/>
      <c r="BN846" s="219"/>
    </row>
    <row r="847" ht="29.25" hidden="1" customHeight="1">
      <c r="A847" s="216"/>
      <c r="B847" s="217"/>
      <c r="C847" s="164"/>
      <c r="D847" s="164"/>
      <c r="E847" s="165"/>
      <c r="F847" s="173"/>
      <c r="G847" s="168"/>
      <c r="H847" s="168"/>
      <c r="I847" s="169"/>
      <c r="J847" s="170"/>
      <c r="K847" s="170"/>
      <c r="L847" s="170"/>
      <c r="M847" s="167"/>
      <c r="N847" s="169"/>
      <c r="O847" s="171"/>
      <c r="P847" s="106"/>
      <c r="Q847" s="218"/>
      <c r="R847" s="172"/>
      <c r="S847" s="172"/>
      <c r="T847" s="173"/>
      <c r="U847" s="219"/>
      <c r="V847" s="219"/>
      <c r="W847" s="219"/>
      <c r="X847" s="219"/>
      <c r="Y847" s="219"/>
      <c r="Z847" s="219"/>
      <c r="AA847" s="219"/>
      <c r="AB847" s="219"/>
      <c r="AC847" s="219"/>
      <c r="AD847" s="219"/>
      <c r="AE847" s="219"/>
      <c r="AF847" s="219"/>
      <c r="AG847" s="219"/>
      <c r="AH847" s="219"/>
      <c r="AI847" s="219"/>
      <c r="AJ847" s="219"/>
      <c r="AK847" s="219"/>
      <c r="AL847" s="219"/>
      <c r="AM847" s="219"/>
      <c r="AN847" s="219"/>
      <c r="AO847" s="219"/>
      <c r="AP847" s="219"/>
      <c r="AQ847" s="219"/>
      <c r="AR847" s="219"/>
      <c r="AS847" s="219"/>
      <c r="AT847" s="219"/>
      <c r="AU847" s="219"/>
      <c r="AV847" s="219"/>
      <c r="AW847" s="219"/>
      <c r="AX847" s="219"/>
      <c r="AY847" s="219"/>
      <c r="AZ847" s="219"/>
      <c r="BA847" s="219"/>
      <c r="BB847" s="219"/>
      <c r="BC847" s="219"/>
      <c r="BD847" s="219"/>
      <c r="BE847" s="219"/>
      <c r="BF847" s="219"/>
      <c r="BG847" s="219"/>
      <c r="BH847" s="219"/>
      <c r="BI847" s="219"/>
      <c r="BJ847" s="219"/>
      <c r="BK847" s="219"/>
      <c r="BL847" s="219"/>
      <c r="BM847" s="219"/>
      <c r="BN847" s="219"/>
    </row>
    <row r="848" ht="29.25" hidden="1" customHeight="1">
      <c r="A848" s="216"/>
      <c r="B848" s="217"/>
      <c r="C848" s="164"/>
      <c r="D848" s="164"/>
      <c r="E848" s="165"/>
      <c r="F848" s="173"/>
      <c r="G848" s="168"/>
      <c r="H848" s="168"/>
      <c r="I848" s="169"/>
      <c r="J848" s="170"/>
      <c r="K848" s="170"/>
      <c r="L848" s="170"/>
      <c r="M848" s="167"/>
      <c r="N848" s="169"/>
      <c r="O848" s="171"/>
      <c r="P848" s="106"/>
      <c r="Q848" s="218"/>
      <c r="R848" s="172"/>
      <c r="S848" s="172"/>
      <c r="T848" s="173"/>
      <c r="U848" s="219"/>
      <c r="V848" s="219"/>
      <c r="W848" s="219"/>
      <c r="X848" s="219"/>
      <c r="Y848" s="219"/>
      <c r="Z848" s="219"/>
      <c r="AA848" s="219"/>
      <c r="AB848" s="219"/>
      <c r="AC848" s="219"/>
      <c r="AD848" s="219"/>
      <c r="AE848" s="219"/>
      <c r="AF848" s="219"/>
      <c r="AG848" s="219"/>
      <c r="AH848" s="219"/>
      <c r="AI848" s="219"/>
      <c r="AJ848" s="219"/>
      <c r="AK848" s="219"/>
      <c r="AL848" s="219"/>
      <c r="AM848" s="219"/>
      <c r="AN848" s="219"/>
      <c r="AO848" s="219"/>
      <c r="AP848" s="219"/>
      <c r="AQ848" s="219"/>
      <c r="AR848" s="219"/>
      <c r="AS848" s="219"/>
      <c r="AT848" s="219"/>
      <c r="AU848" s="219"/>
      <c r="AV848" s="219"/>
      <c r="AW848" s="219"/>
      <c r="AX848" s="219"/>
      <c r="AY848" s="219"/>
      <c r="AZ848" s="219"/>
      <c r="BA848" s="219"/>
      <c r="BB848" s="219"/>
      <c r="BC848" s="219"/>
      <c r="BD848" s="219"/>
      <c r="BE848" s="219"/>
      <c r="BF848" s="219"/>
      <c r="BG848" s="219"/>
      <c r="BH848" s="219"/>
      <c r="BI848" s="219"/>
      <c r="BJ848" s="219"/>
      <c r="BK848" s="219"/>
      <c r="BL848" s="219"/>
      <c r="BM848" s="219"/>
      <c r="BN848" s="219"/>
    </row>
    <row r="849" ht="29.25" hidden="1" customHeight="1">
      <c r="A849" s="216"/>
      <c r="B849" s="217"/>
      <c r="C849" s="164"/>
      <c r="D849" s="164"/>
      <c r="E849" s="165"/>
      <c r="F849" s="173"/>
      <c r="G849" s="168"/>
      <c r="H849" s="168"/>
      <c r="I849" s="169"/>
      <c r="J849" s="170"/>
      <c r="K849" s="170"/>
      <c r="L849" s="170"/>
      <c r="M849" s="167"/>
      <c r="N849" s="169"/>
      <c r="O849" s="171"/>
      <c r="P849" s="106"/>
      <c r="Q849" s="218"/>
      <c r="R849" s="172"/>
      <c r="S849" s="172"/>
      <c r="T849" s="173"/>
      <c r="U849" s="219"/>
      <c r="V849" s="219"/>
      <c r="W849" s="219"/>
      <c r="X849" s="219"/>
      <c r="Y849" s="219"/>
      <c r="Z849" s="219"/>
      <c r="AA849" s="219"/>
      <c r="AB849" s="219"/>
      <c r="AC849" s="219"/>
      <c r="AD849" s="219"/>
      <c r="AE849" s="219"/>
      <c r="AF849" s="219"/>
      <c r="AG849" s="219"/>
      <c r="AH849" s="219"/>
      <c r="AI849" s="219"/>
      <c r="AJ849" s="219"/>
      <c r="AK849" s="219"/>
      <c r="AL849" s="219"/>
      <c r="AM849" s="219"/>
      <c r="AN849" s="219"/>
      <c r="AO849" s="219"/>
      <c r="AP849" s="219"/>
      <c r="AQ849" s="219"/>
      <c r="AR849" s="219"/>
      <c r="AS849" s="219"/>
      <c r="AT849" s="219"/>
      <c r="AU849" s="219"/>
      <c r="AV849" s="219"/>
      <c r="AW849" s="219"/>
      <c r="AX849" s="219"/>
      <c r="AY849" s="219"/>
      <c r="AZ849" s="219"/>
      <c r="BA849" s="219"/>
      <c r="BB849" s="219"/>
      <c r="BC849" s="219"/>
      <c r="BD849" s="219"/>
      <c r="BE849" s="219"/>
      <c r="BF849" s="219"/>
      <c r="BG849" s="219"/>
      <c r="BH849" s="219"/>
      <c r="BI849" s="219"/>
      <c r="BJ849" s="219"/>
      <c r="BK849" s="219"/>
      <c r="BL849" s="219"/>
      <c r="BM849" s="219"/>
      <c r="BN849" s="219"/>
    </row>
    <row r="850" ht="29.25" hidden="1" customHeight="1">
      <c r="A850" s="216"/>
      <c r="B850" s="217"/>
      <c r="C850" s="164"/>
      <c r="D850" s="164"/>
      <c r="E850" s="165"/>
      <c r="F850" s="173"/>
      <c r="G850" s="168"/>
      <c r="H850" s="168"/>
      <c r="I850" s="169"/>
      <c r="J850" s="170"/>
      <c r="K850" s="170"/>
      <c r="L850" s="170"/>
      <c r="M850" s="167"/>
      <c r="N850" s="169"/>
      <c r="O850" s="171"/>
      <c r="P850" s="106"/>
      <c r="Q850" s="218"/>
      <c r="R850" s="172"/>
      <c r="S850" s="172"/>
      <c r="T850" s="173"/>
      <c r="U850" s="219"/>
      <c r="V850" s="219"/>
      <c r="W850" s="219"/>
      <c r="X850" s="219"/>
      <c r="Y850" s="219"/>
      <c r="Z850" s="219"/>
      <c r="AA850" s="219"/>
      <c r="AB850" s="219"/>
      <c r="AC850" s="219"/>
      <c r="AD850" s="219"/>
      <c r="AE850" s="219"/>
      <c r="AF850" s="219"/>
      <c r="AG850" s="219"/>
      <c r="AH850" s="219"/>
      <c r="AI850" s="219"/>
      <c r="AJ850" s="219"/>
      <c r="AK850" s="219"/>
      <c r="AL850" s="219"/>
      <c r="AM850" s="219"/>
      <c r="AN850" s="219"/>
      <c r="AO850" s="219"/>
      <c r="AP850" s="219"/>
      <c r="AQ850" s="219"/>
      <c r="AR850" s="219"/>
      <c r="AS850" s="219"/>
      <c r="AT850" s="219"/>
      <c r="AU850" s="219"/>
      <c r="AV850" s="219"/>
      <c r="AW850" s="219"/>
      <c r="AX850" s="219"/>
      <c r="AY850" s="219"/>
      <c r="AZ850" s="219"/>
      <c r="BA850" s="219"/>
      <c r="BB850" s="219"/>
      <c r="BC850" s="219"/>
      <c r="BD850" s="219"/>
      <c r="BE850" s="219"/>
      <c r="BF850" s="219"/>
      <c r="BG850" s="219"/>
      <c r="BH850" s="219"/>
      <c r="BI850" s="219"/>
      <c r="BJ850" s="219"/>
      <c r="BK850" s="219"/>
      <c r="BL850" s="219"/>
      <c r="BM850" s="219"/>
      <c r="BN850" s="219"/>
    </row>
    <row r="851" ht="29.25" hidden="1" customHeight="1">
      <c r="A851" s="216"/>
      <c r="B851" s="217"/>
      <c r="C851" s="164"/>
      <c r="D851" s="164"/>
      <c r="E851" s="165"/>
      <c r="F851" s="173"/>
      <c r="G851" s="168"/>
      <c r="H851" s="168"/>
      <c r="I851" s="169"/>
      <c r="J851" s="170"/>
      <c r="K851" s="170"/>
      <c r="L851" s="170"/>
      <c r="M851" s="167"/>
      <c r="N851" s="169"/>
      <c r="O851" s="171"/>
      <c r="P851" s="106"/>
      <c r="Q851" s="218"/>
      <c r="R851" s="172"/>
      <c r="S851" s="172"/>
      <c r="T851" s="173"/>
      <c r="U851" s="219"/>
      <c r="V851" s="219"/>
      <c r="W851" s="219"/>
      <c r="X851" s="219"/>
      <c r="Y851" s="219"/>
      <c r="Z851" s="219"/>
      <c r="AA851" s="219"/>
      <c r="AB851" s="219"/>
      <c r="AC851" s="219"/>
      <c r="AD851" s="219"/>
      <c r="AE851" s="219"/>
      <c r="AF851" s="219"/>
      <c r="AG851" s="219"/>
      <c r="AH851" s="219"/>
      <c r="AI851" s="219"/>
      <c r="AJ851" s="219"/>
      <c r="AK851" s="219"/>
      <c r="AL851" s="219"/>
      <c r="AM851" s="219"/>
      <c r="AN851" s="219"/>
      <c r="AO851" s="219"/>
      <c r="AP851" s="219"/>
      <c r="AQ851" s="219"/>
      <c r="AR851" s="219"/>
      <c r="AS851" s="219"/>
      <c r="AT851" s="219"/>
      <c r="AU851" s="219"/>
      <c r="AV851" s="219"/>
      <c r="AW851" s="219"/>
      <c r="AX851" s="219"/>
      <c r="AY851" s="219"/>
      <c r="AZ851" s="219"/>
      <c r="BA851" s="219"/>
      <c r="BB851" s="219"/>
      <c r="BC851" s="219"/>
      <c r="BD851" s="219"/>
      <c r="BE851" s="219"/>
      <c r="BF851" s="219"/>
      <c r="BG851" s="219"/>
      <c r="BH851" s="219"/>
      <c r="BI851" s="219"/>
      <c r="BJ851" s="219"/>
      <c r="BK851" s="219"/>
      <c r="BL851" s="219"/>
      <c r="BM851" s="219"/>
      <c r="BN851" s="219"/>
    </row>
    <row r="852" ht="29.25" hidden="1" customHeight="1">
      <c r="A852" s="216"/>
      <c r="B852" s="217"/>
      <c r="C852" s="164"/>
      <c r="D852" s="164"/>
      <c r="E852" s="165"/>
      <c r="F852" s="173"/>
      <c r="G852" s="168"/>
      <c r="H852" s="168"/>
      <c r="I852" s="169"/>
      <c r="J852" s="170"/>
      <c r="K852" s="170"/>
      <c r="L852" s="170"/>
      <c r="M852" s="167"/>
      <c r="N852" s="169"/>
      <c r="O852" s="171"/>
      <c r="P852" s="106"/>
      <c r="Q852" s="218"/>
      <c r="R852" s="172"/>
      <c r="S852" s="172"/>
      <c r="T852" s="173"/>
      <c r="U852" s="219"/>
      <c r="V852" s="219"/>
      <c r="W852" s="219"/>
      <c r="X852" s="219"/>
      <c r="Y852" s="219"/>
      <c r="Z852" s="219"/>
      <c r="AA852" s="219"/>
      <c r="AB852" s="219"/>
      <c r="AC852" s="219"/>
      <c r="AD852" s="219"/>
      <c r="AE852" s="219"/>
      <c r="AF852" s="219"/>
      <c r="AG852" s="219"/>
      <c r="AH852" s="219"/>
      <c r="AI852" s="219"/>
      <c r="AJ852" s="219"/>
      <c r="AK852" s="219"/>
      <c r="AL852" s="219"/>
      <c r="AM852" s="219"/>
      <c r="AN852" s="219"/>
      <c r="AO852" s="219"/>
      <c r="AP852" s="219"/>
      <c r="AQ852" s="219"/>
      <c r="AR852" s="219"/>
      <c r="AS852" s="219"/>
      <c r="AT852" s="219"/>
      <c r="AU852" s="219"/>
      <c r="AV852" s="219"/>
      <c r="AW852" s="219"/>
      <c r="AX852" s="219"/>
      <c r="AY852" s="219"/>
      <c r="AZ852" s="219"/>
      <c r="BA852" s="219"/>
      <c r="BB852" s="219"/>
      <c r="BC852" s="219"/>
      <c r="BD852" s="219"/>
      <c r="BE852" s="219"/>
      <c r="BF852" s="219"/>
      <c r="BG852" s="219"/>
      <c r="BH852" s="219"/>
      <c r="BI852" s="219"/>
      <c r="BJ852" s="219"/>
      <c r="BK852" s="219"/>
      <c r="BL852" s="219"/>
      <c r="BM852" s="219"/>
      <c r="BN852" s="219"/>
    </row>
    <row r="853" ht="29.25" hidden="1" customHeight="1">
      <c r="A853" s="216"/>
      <c r="B853" s="217"/>
      <c r="C853" s="164"/>
      <c r="D853" s="164"/>
      <c r="E853" s="165"/>
      <c r="F853" s="173"/>
      <c r="G853" s="168"/>
      <c r="H853" s="168"/>
      <c r="I853" s="169"/>
      <c r="J853" s="170"/>
      <c r="K853" s="170"/>
      <c r="L853" s="170"/>
      <c r="M853" s="167"/>
      <c r="N853" s="169"/>
      <c r="O853" s="171"/>
      <c r="P853" s="106"/>
      <c r="Q853" s="218"/>
      <c r="R853" s="172"/>
      <c r="S853" s="172"/>
      <c r="T853" s="173"/>
      <c r="U853" s="219"/>
      <c r="V853" s="219"/>
      <c r="W853" s="219"/>
      <c r="X853" s="219"/>
      <c r="Y853" s="219"/>
      <c r="Z853" s="219"/>
      <c r="AA853" s="219"/>
      <c r="AB853" s="219"/>
      <c r="AC853" s="219"/>
      <c r="AD853" s="219"/>
      <c r="AE853" s="219"/>
      <c r="AF853" s="219"/>
      <c r="AG853" s="219"/>
      <c r="AH853" s="219"/>
      <c r="AI853" s="219"/>
      <c r="AJ853" s="219"/>
      <c r="AK853" s="219"/>
      <c r="AL853" s="219"/>
      <c r="AM853" s="219"/>
      <c r="AN853" s="219"/>
      <c r="AO853" s="219"/>
      <c r="AP853" s="219"/>
      <c r="AQ853" s="219"/>
      <c r="AR853" s="219"/>
      <c r="AS853" s="219"/>
      <c r="AT853" s="219"/>
      <c r="AU853" s="219"/>
      <c r="AV853" s="219"/>
      <c r="AW853" s="219"/>
      <c r="AX853" s="219"/>
      <c r="AY853" s="219"/>
      <c r="AZ853" s="219"/>
      <c r="BA853" s="219"/>
      <c r="BB853" s="219"/>
      <c r="BC853" s="219"/>
      <c r="BD853" s="219"/>
      <c r="BE853" s="219"/>
      <c r="BF853" s="219"/>
      <c r="BG853" s="219"/>
      <c r="BH853" s="219"/>
      <c r="BI853" s="219"/>
      <c r="BJ853" s="219"/>
      <c r="BK853" s="219"/>
      <c r="BL853" s="219"/>
      <c r="BM853" s="219"/>
      <c r="BN853" s="219"/>
    </row>
    <row r="854" ht="29.25" hidden="1" customHeight="1">
      <c r="A854" s="216"/>
      <c r="B854" s="217"/>
      <c r="C854" s="164"/>
      <c r="D854" s="164"/>
      <c r="E854" s="165"/>
      <c r="F854" s="173"/>
      <c r="G854" s="168"/>
      <c r="H854" s="168"/>
      <c r="I854" s="169"/>
      <c r="J854" s="170"/>
      <c r="K854" s="170"/>
      <c r="L854" s="170"/>
      <c r="M854" s="167"/>
      <c r="N854" s="169"/>
      <c r="O854" s="171"/>
      <c r="P854" s="106"/>
      <c r="Q854" s="218"/>
      <c r="R854" s="172"/>
      <c r="S854" s="172"/>
      <c r="T854" s="173"/>
      <c r="U854" s="219"/>
      <c r="V854" s="219"/>
      <c r="W854" s="219"/>
      <c r="X854" s="219"/>
      <c r="Y854" s="219"/>
      <c r="Z854" s="219"/>
      <c r="AA854" s="219"/>
      <c r="AB854" s="219"/>
      <c r="AC854" s="219"/>
      <c r="AD854" s="219"/>
      <c r="AE854" s="219"/>
      <c r="AF854" s="219"/>
      <c r="AG854" s="219"/>
      <c r="AH854" s="219"/>
      <c r="AI854" s="219"/>
      <c r="AJ854" s="219"/>
      <c r="AK854" s="219"/>
      <c r="AL854" s="219"/>
      <c r="AM854" s="219"/>
      <c r="AN854" s="219"/>
      <c r="AO854" s="219"/>
      <c r="AP854" s="219"/>
      <c r="AQ854" s="219"/>
      <c r="AR854" s="219"/>
      <c r="AS854" s="219"/>
      <c r="AT854" s="219"/>
      <c r="AU854" s="219"/>
      <c r="AV854" s="219"/>
      <c r="AW854" s="219"/>
      <c r="AX854" s="219"/>
      <c r="AY854" s="219"/>
      <c r="AZ854" s="219"/>
      <c r="BA854" s="219"/>
      <c r="BB854" s="219"/>
      <c r="BC854" s="219"/>
      <c r="BD854" s="219"/>
      <c r="BE854" s="219"/>
      <c r="BF854" s="219"/>
      <c r="BG854" s="219"/>
      <c r="BH854" s="219"/>
      <c r="BI854" s="219"/>
      <c r="BJ854" s="219"/>
      <c r="BK854" s="219"/>
      <c r="BL854" s="219"/>
      <c r="BM854" s="219"/>
      <c r="BN854" s="219"/>
    </row>
    <row r="855" ht="29.25" hidden="1" customHeight="1">
      <c r="A855" s="216"/>
      <c r="B855" s="217"/>
      <c r="C855" s="164"/>
      <c r="D855" s="164"/>
      <c r="E855" s="165"/>
      <c r="F855" s="173"/>
      <c r="G855" s="168"/>
      <c r="H855" s="168"/>
      <c r="I855" s="169"/>
      <c r="J855" s="170"/>
      <c r="K855" s="170"/>
      <c r="L855" s="170"/>
      <c r="M855" s="167"/>
      <c r="N855" s="169"/>
      <c r="O855" s="171"/>
      <c r="P855" s="106"/>
      <c r="Q855" s="218"/>
      <c r="R855" s="172"/>
      <c r="S855" s="172"/>
      <c r="T855" s="173"/>
      <c r="U855" s="219"/>
      <c r="V855" s="219"/>
      <c r="W855" s="219"/>
      <c r="X855" s="219"/>
      <c r="Y855" s="219"/>
      <c r="Z855" s="219"/>
      <c r="AA855" s="219"/>
      <c r="AB855" s="219"/>
      <c r="AC855" s="219"/>
      <c r="AD855" s="219"/>
      <c r="AE855" s="219"/>
      <c r="AF855" s="219"/>
      <c r="AG855" s="219"/>
      <c r="AH855" s="219"/>
      <c r="AI855" s="219"/>
      <c r="AJ855" s="219"/>
      <c r="AK855" s="219"/>
      <c r="AL855" s="219"/>
      <c r="AM855" s="219"/>
      <c r="AN855" s="219"/>
      <c r="AO855" s="219"/>
      <c r="AP855" s="219"/>
      <c r="AQ855" s="219"/>
      <c r="AR855" s="219"/>
      <c r="AS855" s="219"/>
      <c r="AT855" s="219"/>
      <c r="AU855" s="219"/>
      <c r="AV855" s="219"/>
      <c r="AW855" s="219"/>
      <c r="AX855" s="219"/>
      <c r="AY855" s="219"/>
      <c r="AZ855" s="219"/>
      <c r="BA855" s="219"/>
      <c r="BB855" s="219"/>
      <c r="BC855" s="219"/>
      <c r="BD855" s="219"/>
      <c r="BE855" s="219"/>
      <c r="BF855" s="219"/>
      <c r="BG855" s="219"/>
      <c r="BH855" s="219"/>
      <c r="BI855" s="219"/>
      <c r="BJ855" s="219"/>
      <c r="BK855" s="219"/>
      <c r="BL855" s="219"/>
      <c r="BM855" s="219"/>
      <c r="BN855" s="219"/>
    </row>
    <row r="856" ht="29.25" hidden="1" customHeight="1">
      <c r="A856" s="216"/>
      <c r="B856" s="217"/>
      <c r="C856" s="164"/>
      <c r="D856" s="164"/>
      <c r="E856" s="165"/>
      <c r="F856" s="173"/>
      <c r="G856" s="168"/>
      <c r="H856" s="168"/>
      <c r="I856" s="169"/>
      <c r="J856" s="170"/>
      <c r="K856" s="170"/>
      <c r="L856" s="170"/>
      <c r="M856" s="167"/>
      <c r="N856" s="169"/>
      <c r="O856" s="171"/>
      <c r="P856" s="106"/>
      <c r="Q856" s="218"/>
      <c r="R856" s="172"/>
      <c r="S856" s="172"/>
      <c r="T856" s="173"/>
      <c r="U856" s="219"/>
      <c r="V856" s="219"/>
      <c r="W856" s="219"/>
      <c r="X856" s="219"/>
      <c r="Y856" s="219"/>
      <c r="Z856" s="219"/>
      <c r="AA856" s="219"/>
      <c r="AB856" s="219"/>
      <c r="AC856" s="219"/>
      <c r="AD856" s="219"/>
      <c r="AE856" s="219"/>
      <c r="AF856" s="219"/>
      <c r="AG856" s="219"/>
      <c r="AH856" s="219"/>
      <c r="AI856" s="219"/>
      <c r="AJ856" s="219"/>
      <c r="AK856" s="219"/>
      <c r="AL856" s="219"/>
      <c r="AM856" s="219"/>
      <c r="AN856" s="219"/>
      <c r="AO856" s="219"/>
      <c r="AP856" s="219"/>
      <c r="AQ856" s="219"/>
      <c r="AR856" s="219"/>
      <c r="AS856" s="219"/>
      <c r="AT856" s="219"/>
      <c r="AU856" s="219"/>
      <c r="AV856" s="219"/>
      <c r="AW856" s="219"/>
      <c r="AX856" s="219"/>
      <c r="AY856" s="219"/>
      <c r="AZ856" s="219"/>
      <c r="BA856" s="219"/>
      <c r="BB856" s="219"/>
      <c r="BC856" s="219"/>
      <c r="BD856" s="219"/>
      <c r="BE856" s="219"/>
      <c r="BF856" s="219"/>
      <c r="BG856" s="219"/>
      <c r="BH856" s="219"/>
      <c r="BI856" s="219"/>
      <c r="BJ856" s="219"/>
      <c r="BK856" s="219"/>
      <c r="BL856" s="219"/>
      <c r="BM856" s="219"/>
      <c r="BN856" s="219"/>
    </row>
    <row r="857" ht="29.25" hidden="1" customHeight="1">
      <c r="A857" s="216"/>
      <c r="B857" s="217"/>
      <c r="C857" s="164"/>
      <c r="D857" s="164"/>
      <c r="E857" s="165"/>
      <c r="F857" s="173"/>
      <c r="G857" s="168"/>
      <c r="H857" s="168"/>
      <c r="I857" s="169"/>
      <c r="J857" s="170"/>
      <c r="K857" s="170"/>
      <c r="L857" s="170"/>
      <c r="M857" s="167"/>
      <c r="N857" s="169"/>
      <c r="O857" s="171"/>
      <c r="P857" s="106"/>
      <c r="Q857" s="218"/>
      <c r="R857" s="172"/>
      <c r="S857" s="172"/>
      <c r="T857" s="173"/>
      <c r="U857" s="219"/>
      <c r="V857" s="219"/>
      <c r="W857" s="219"/>
      <c r="X857" s="219"/>
      <c r="Y857" s="219"/>
      <c r="Z857" s="219"/>
      <c r="AA857" s="219"/>
      <c r="AB857" s="219"/>
      <c r="AC857" s="219"/>
      <c r="AD857" s="219"/>
      <c r="AE857" s="219"/>
      <c r="AF857" s="219"/>
      <c r="AG857" s="219"/>
      <c r="AH857" s="219"/>
      <c r="AI857" s="219"/>
      <c r="AJ857" s="219"/>
      <c r="AK857" s="219"/>
      <c r="AL857" s="219"/>
      <c r="AM857" s="219"/>
      <c r="AN857" s="219"/>
      <c r="AO857" s="219"/>
      <c r="AP857" s="219"/>
      <c r="AQ857" s="219"/>
      <c r="AR857" s="219"/>
      <c r="AS857" s="219"/>
      <c r="AT857" s="219"/>
      <c r="AU857" s="219"/>
      <c r="AV857" s="219"/>
      <c r="AW857" s="219"/>
      <c r="AX857" s="219"/>
      <c r="AY857" s="219"/>
      <c r="AZ857" s="219"/>
      <c r="BA857" s="219"/>
      <c r="BB857" s="219"/>
      <c r="BC857" s="219"/>
      <c r="BD857" s="219"/>
      <c r="BE857" s="219"/>
      <c r="BF857" s="219"/>
      <c r="BG857" s="219"/>
      <c r="BH857" s="219"/>
      <c r="BI857" s="219"/>
      <c r="BJ857" s="219"/>
      <c r="BK857" s="219"/>
      <c r="BL857" s="219"/>
      <c r="BM857" s="219"/>
      <c r="BN857" s="219"/>
    </row>
    <row r="858" ht="29.25" hidden="1" customHeight="1">
      <c r="A858" s="216"/>
      <c r="B858" s="217"/>
      <c r="C858" s="164"/>
      <c r="D858" s="164"/>
      <c r="E858" s="165"/>
      <c r="F858" s="173"/>
      <c r="G858" s="168"/>
      <c r="H858" s="168"/>
      <c r="I858" s="169"/>
      <c r="J858" s="170"/>
      <c r="K858" s="170"/>
      <c r="L858" s="170"/>
      <c r="M858" s="167"/>
      <c r="N858" s="169"/>
      <c r="O858" s="171"/>
      <c r="P858" s="106"/>
      <c r="Q858" s="218"/>
      <c r="R858" s="172"/>
      <c r="S858" s="172"/>
      <c r="T858" s="173"/>
      <c r="U858" s="219"/>
      <c r="V858" s="219"/>
      <c r="W858" s="219"/>
      <c r="X858" s="219"/>
      <c r="Y858" s="219"/>
      <c r="Z858" s="219"/>
      <c r="AA858" s="219"/>
      <c r="AB858" s="219"/>
      <c r="AC858" s="219"/>
      <c r="AD858" s="219"/>
      <c r="AE858" s="219"/>
      <c r="AF858" s="219"/>
      <c r="AG858" s="219"/>
      <c r="AH858" s="219"/>
      <c r="AI858" s="219"/>
      <c r="AJ858" s="219"/>
      <c r="AK858" s="219"/>
      <c r="AL858" s="219"/>
      <c r="AM858" s="219"/>
      <c r="AN858" s="219"/>
      <c r="AO858" s="219"/>
      <c r="AP858" s="219"/>
      <c r="AQ858" s="219"/>
      <c r="AR858" s="219"/>
      <c r="AS858" s="219"/>
      <c r="AT858" s="219"/>
      <c r="AU858" s="219"/>
      <c r="AV858" s="219"/>
      <c r="AW858" s="219"/>
      <c r="AX858" s="219"/>
      <c r="AY858" s="219"/>
      <c r="AZ858" s="219"/>
      <c r="BA858" s="219"/>
      <c r="BB858" s="219"/>
      <c r="BC858" s="219"/>
      <c r="BD858" s="219"/>
      <c r="BE858" s="219"/>
      <c r="BF858" s="219"/>
      <c r="BG858" s="219"/>
      <c r="BH858" s="219"/>
      <c r="BI858" s="219"/>
      <c r="BJ858" s="219"/>
      <c r="BK858" s="219"/>
      <c r="BL858" s="219"/>
      <c r="BM858" s="219"/>
      <c r="BN858" s="219"/>
    </row>
    <row r="859" ht="29.25" hidden="1" customHeight="1">
      <c r="A859" s="216"/>
      <c r="B859" s="217"/>
      <c r="C859" s="164"/>
      <c r="D859" s="164"/>
      <c r="E859" s="165"/>
      <c r="F859" s="173"/>
      <c r="G859" s="168"/>
      <c r="H859" s="168"/>
      <c r="I859" s="169"/>
      <c r="J859" s="170"/>
      <c r="K859" s="170"/>
      <c r="L859" s="170"/>
      <c r="M859" s="167"/>
      <c r="N859" s="169"/>
      <c r="O859" s="171"/>
      <c r="P859" s="106"/>
      <c r="Q859" s="218"/>
      <c r="R859" s="172"/>
      <c r="S859" s="172"/>
      <c r="T859" s="173"/>
      <c r="U859" s="219"/>
      <c r="V859" s="219"/>
      <c r="W859" s="219"/>
      <c r="X859" s="219"/>
      <c r="Y859" s="219"/>
      <c r="Z859" s="219"/>
      <c r="AA859" s="219"/>
      <c r="AB859" s="219"/>
      <c r="AC859" s="219"/>
      <c r="AD859" s="219"/>
      <c r="AE859" s="219"/>
      <c r="AF859" s="219"/>
      <c r="AG859" s="219"/>
      <c r="AH859" s="219"/>
      <c r="AI859" s="219"/>
      <c r="AJ859" s="219"/>
      <c r="AK859" s="219"/>
      <c r="AL859" s="219"/>
      <c r="AM859" s="219"/>
      <c r="AN859" s="219"/>
      <c r="AO859" s="219"/>
      <c r="AP859" s="219"/>
      <c r="AQ859" s="219"/>
      <c r="AR859" s="219"/>
      <c r="AS859" s="219"/>
      <c r="AT859" s="219"/>
      <c r="AU859" s="219"/>
      <c r="AV859" s="219"/>
      <c r="AW859" s="219"/>
      <c r="AX859" s="219"/>
      <c r="AY859" s="219"/>
      <c r="AZ859" s="219"/>
      <c r="BA859" s="219"/>
      <c r="BB859" s="219"/>
      <c r="BC859" s="219"/>
      <c r="BD859" s="219"/>
      <c r="BE859" s="219"/>
      <c r="BF859" s="219"/>
      <c r="BG859" s="219"/>
      <c r="BH859" s="219"/>
      <c r="BI859" s="219"/>
      <c r="BJ859" s="219"/>
      <c r="BK859" s="219"/>
      <c r="BL859" s="219"/>
      <c r="BM859" s="219"/>
      <c r="BN859" s="219"/>
    </row>
    <row r="860" ht="29.25" hidden="1" customHeight="1">
      <c r="A860" s="216"/>
      <c r="B860" s="217"/>
      <c r="C860" s="164"/>
      <c r="D860" s="164"/>
      <c r="E860" s="165"/>
      <c r="F860" s="173"/>
      <c r="G860" s="168"/>
      <c r="H860" s="168"/>
      <c r="I860" s="169"/>
      <c r="J860" s="170"/>
      <c r="K860" s="170"/>
      <c r="L860" s="170"/>
      <c r="M860" s="167"/>
      <c r="N860" s="169"/>
      <c r="O860" s="171"/>
      <c r="P860" s="106"/>
      <c r="Q860" s="218"/>
      <c r="R860" s="172"/>
      <c r="S860" s="172"/>
      <c r="T860" s="173"/>
      <c r="U860" s="219"/>
      <c r="V860" s="219"/>
      <c r="W860" s="219"/>
      <c r="X860" s="219"/>
      <c r="Y860" s="219"/>
      <c r="Z860" s="219"/>
      <c r="AA860" s="219"/>
      <c r="AB860" s="219"/>
      <c r="AC860" s="219"/>
      <c r="AD860" s="219"/>
      <c r="AE860" s="219"/>
      <c r="AF860" s="219"/>
      <c r="AG860" s="219"/>
      <c r="AH860" s="219"/>
      <c r="AI860" s="219"/>
      <c r="AJ860" s="219"/>
      <c r="AK860" s="219"/>
      <c r="AL860" s="219"/>
      <c r="AM860" s="219"/>
      <c r="AN860" s="219"/>
      <c r="AO860" s="219"/>
      <c r="AP860" s="219"/>
      <c r="AQ860" s="219"/>
      <c r="AR860" s="219"/>
      <c r="AS860" s="219"/>
      <c r="AT860" s="219"/>
      <c r="AU860" s="219"/>
      <c r="AV860" s="219"/>
      <c r="AW860" s="219"/>
      <c r="AX860" s="219"/>
      <c r="AY860" s="219"/>
      <c r="AZ860" s="219"/>
      <c r="BA860" s="219"/>
      <c r="BB860" s="219"/>
      <c r="BC860" s="219"/>
      <c r="BD860" s="219"/>
      <c r="BE860" s="219"/>
      <c r="BF860" s="219"/>
      <c r="BG860" s="219"/>
      <c r="BH860" s="219"/>
      <c r="BI860" s="219"/>
      <c r="BJ860" s="219"/>
      <c r="BK860" s="219"/>
      <c r="BL860" s="219"/>
      <c r="BM860" s="219"/>
      <c r="BN860" s="219"/>
    </row>
    <row r="861" ht="29.25" hidden="1" customHeight="1">
      <c r="A861" s="216"/>
      <c r="B861" s="217"/>
      <c r="C861" s="164"/>
      <c r="D861" s="164"/>
      <c r="E861" s="165"/>
      <c r="F861" s="173"/>
      <c r="G861" s="168"/>
      <c r="H861" s="168"/>
      <c r="I861" s="169"/>
      <c r="J861" s="170"/>
      <c r="K861" s="170"/>
      <c r="L861" s="170"/>
      <c r="M861" s="167"/>
      <c r="N861" s="169"/>
      <c r="O861" s="171"/>
      <c r="P861" s="106"/>
      <c r="Q861" s="218"/>
      <c r="R861" s="172"/>
      <c r="S861" s="172"/>
      <c r="T861" s="173"/>
      <c r="U861" s="219"/>
      <c r="V861" s="219"/>
      <c r="W861" s="219"/>
      <c r="X861" s="219"/>
      <c r="Y861" s="219"/>
      <c r="Z861" s="219"/>
      <c r="AA861" s="219"/>
      <c r="AB861" s="219"/>
      <c r="AC861" s="219"/>
      <c r="AD861" s="219"/>
      <c r="AE861" s="219"/>
      <c r="AF861" s="219"/>
      <c r="AG861" s="219"/>
      <c r="AH861" s="219"/>
      <c r="AI861" s="219"/>
      <c r="AJ861" s="219"/>
      <c r="AK861" s="219"/>
      <c r="AL861" s="219"/>
      <c r="AM861" s="219"/>
      <c r="AN861" s="219"/>
      <c r="AO861" s="219"/>
      <c r="AP861" s="219"/>
      <c r="AQ861" s="219"/>
      <c r="AR861" s="219"/>
      <c r="AS861" s="219"/>
      <c r="AT861" s="219"/>
      <c r="AU861" s="219"/>
      <c r="AV861" s="219"/>
      <c r="AW861" s="219"/>
      <c r="AX861" s="219"/>
      <c r="AY861" s="219"/>
      <c r="AZ861" s="219"/>
      <c r="BA861" s="219"/>
      <c r="BB861" s="219"/>
      <c r="BC861" s="219"/>
      <c r="BD861" s="219"/>
      <c r="BE861" s="219"/>
      <c r="BF861" s="219"/>
      <c r="BG861" s="219"/>
      <c r="BH861" s="219"/>
      <c r="BI861" s="219"/>
      <c r="BJ861" s="219"/>
      <c r="BK861" s="219"/>
      <c r="BL861" s="219"/>
      <c r="BM861" s="219"/>
      <c r="BN861" s="219"/>
    </row>
    <row r="862" ht="29.25" hidden="1" customHeight="1">
      <c r="A862" s="216"/>
      <c r="B862" s="217"/>
      <c r="C862" s="164"/>
      <c r="D862" s="164"/>
      <c r="E862" s="165"/>
      <c r="F862" s="173"/>
      <c r="G862" s="168"/>
      <c r="H862" s="168"/>
      <c r="I862" s="169"/>
      <c r="J862" s="170"/>
      <c r="K862" s="170"/>
      <c r="L862" s="170"/>
      <c r="M862" s="167"/>
      <c r="N862" s="169"/>
      <c r="O862" s="171"/>
      <c r="P862" s="106"/>
      <c r="Q862" s="218"/>
      <c r="R862" s="172"/>
      <c r="S862" s="172"/>
      <c r="T862" s="173"/>
      <c r="U862" s="219"/>
      <c r="V862" s="219"/>
      <c r="W862" s="219"/>
      <c r="X862" s="219"/>
      <c r="Y862" s="219"/>
      <c r="Z862" s="219"/>
      <c r="AA862" s="219"/>
      <c r="AB862" s="219"/>
      <c r="AC862" s="219"/>
      <c r="AD862" s="219"/>
      <c r="AE862" s="219"/>
      <c r="AF862" s="219"/>
      <c r="AG862" s="219"/>
      <c r="AH862" s="219"/>
      <c r="AI862" s="219"/>
      <c r="AJ862" s="219"/>
      <c r="AK862" s="219"/>
      <c r="AL862" s="219"/>
      <c r="AM862" s="219"/>
      <c r="AN862" s="219"/>
      <c r="AO862" s="219"/>
      <c r="AP862" s="219"/>
      <c r="AQ862" s="219"/>
      <c r="AR862" s="219"/>
      <c r="AS862" s="219"/>
      <c r="AT862" s="219"/>
      <c r="AU862" s="219"/>
      <c r="AV862" s="219"/>
      <c r="AW862" s="219"/>
      <c r="AX862" s="219"/>
      <c r="AY862" s="219"/>
      <c r="AZ862" s="219"/>
      <c r="BA862" s="219"/>
      <c r="BB862" s="219"/>
      <c r="BC862" s="219"/>
      <c r="BD862" s="219"/>
      <c r="BE862" s="219"/>
      <c r="BF862" s="219"/>
      <c r="BG862" s="219"/>
      <c r="BH862" s="219"/>
      <c r="BI862" s="219"/>
      <c r="BJ862" s="219"/>
      <c r="BK862" s="219"/>
      <c r="BL862" s="219"/>
      <c r="BM862" s="219"/>
      <c r="BN862" s="219"/>
    </row>
    <row r="863" ht="29.25" hidden="1" customHeight="1">
      <c r="A863" s="216"/>
      <c r="B863" s="217"/>
      <c r="C863" s="164"/>
      <c r="D863" s="164"/>
      <c r="E863" s="165"/>
      <c r="F863" s="173"/>
      <c r="G863" s="168"/>
      <c r="H863" s="168"/>
      <c r="I863" s="169"/>
      <c r="J863" s="170"/>
      <c r="K863" s="170"/>
      <c r="L863" s="170"/>
      <c r="M863" s="167"/>
      <c r="N863" s="169"/>
      <c r="O863" s="171"/>
      <c r="P863" s="106"/>
      <c r="Q863" s="218"/>
      <c r="R863" s="172"/>
      <c r="S863" s="172"/>
      <c r="T863" s="173"/>
      <c r="U863" s="219"/>
      <c r="V863" s="219"/>
      <c r="W863" s="219"/>
      <c r="X863" s="219"/>
      <c r="Y863" s="219"/>
      <c r="Z863" s="219"/>
      <c r="AA863" s="219"/>
      <c r="AB863" s="219"/>
      <c r="AC863" s="219"/>
      <c r="AD863" s="219"/>
      <c r="AE863" s="219"/>
      <c r="AF863" s="219"/>
      <c r="AG863" s="219"/>
      <c r="AH863" s="219"/>
      <c r="AI863" s="219"/>
      <c r="AJ863" s="219"/>
      <c r="AK863" s="219"/>
      <c r="AL863" s="219"/>
      <c r="AM863" s="219"/>
      <c r="AN863" s="219"/>
      <c r="AO863" s="219"/>
      <c r="AP863" s="219"/>
      <c r="AQ863" s="219"/>
      <c r="AR863" s="219"/>
      <c r="AS863" s="219"/>
      <c r="AT863" s="219"/>
      <c r="AU863" s="219"/>
      <c r="AV863" s="219"/>
      <c r="AW863" s="219"/>
      <c r="AX863" s="219"/>
      <c r="AY863" s="219"/>
      <c r="AZ863" s="219"/>
      <c r="BA863" s="219"/>
      <c r="BB863" s="219"/>
      <c r="BC863" s="219"/>
      <c r="BD863" s="219"/>
      <c r="BE863" s="219"/>
      <c r="BF863" s="219"/>
      <c r="BG863" s="219"/>
      <c r="BH863" s="219"/>
      <c r="BI863" s="219"/>
      <c r="BJ863" s="219"/>
      <c r="BK863" s="219"/>
      <c r="BL863" s="219"/>
      <c r="BM863" s="219"/>
      <c r="BN863" s="219"/>
    </row>
    <row r="864" ht="29.25" hidden="1" customHeight="1">
      <c r="A864" s="216"/>
      <c r="B864" s="217"/>
      <c r="C864" s="164"/>
      <c r="D864" s="164"/>
      <c r="E864" s="165"/>
      <c r="F864" s="173"/>
      <c r="G864" s="168"/>
      <c r="H864" s="168"/>
      <c r="I864" s="169"/>
      <c r="J864" s="170"/>
      <c r="K864" s="170"/>
      <c r="L864" s="170"/>
      <c r="M864" s="167"/>
      <c r="N864" s="169"/>
      <c r="O864" s="171"/>
      <c r="P864" s="106"/>
      <c r="Q864" s="218"/>
      <c r="R864" s="172"/>
      <c r="S864" s="172"/>
      <c r="T864" s="173"/>
      <c r="U864" s="219"/>
      <c r="V864" s="219"/>
      <c r="W864" s="219"/>
      <c r="X864" s="219"/>
      <c r="Y864" s="219"/>
      <c r="Z864" s="219"/>
      <c r="AA864" s="219"/>
      <c r="AB864" s="219"/>
      <c r="AC864" s="219"/>
      <c r="AD864" s="219"/>
      <c r="AE864" s="219"/>
      <c r="AF864" s="219"/>
      <c r="AG864" s="219"/>
      <c r="AH864" s="219"/>
      <c r="AI864" s="219"/>
      <c r="AJ864" s="219"/>
      <c r="AK864" s="219"/>
      <c r="AL864" s="219"/>
      <c r="AM864" s="219"/>
      <c r="AN864" s="219"/>
      <c r="AO864" s="219"/>
      <c r="AP864" s="219"/>
      <c r="AQ864" s="219"/>
      <c r="AR864" s="219"/>
      <c r="AS864" s="219"/>
      <c r="AT864" s="219"/>
      <c r="AU864" s="219"/>
      <c r="AV864" s="219"/>
      <c r="AW864" s="219"/>
      <c r="AX864" s="219"/>
      <c r="AY864" s="219"/>
      <c r="AZ864" s="219"/>
      <c r="BA864" s="219"/>
      <c r="BB864" s="219"/>
      <c r="BC864" s="219"/>
      <c r="BD864" s="219"/>
      <c r="BE864" s="219"/>
      <c r="BF864" s="219"/>
      <c r="BG864" s="219"/>
      <c r="BH864" s="219"/>
      <c r="BI864" s="219"/>
      <c r="BJ864" s="219"/>
      <c r="BK864" s="219"/>
      <c r="BL864" s="219"/>
      <c r="BM864" s="219"/>
      <c r="BN864" s="219"/>
    </row>
    <row r="865" ht="29.25" hidden="1" customHeight="1">
      <c r="A865" s="216"/>
      <c r="B865" s="217"/>
      <c r="C865" s="164"/>
      <c r="D865" s="164"/>
      <c r="E865" s="165"/>
      <c r="F865" s="173"/>
      <c r="G865" s="168"/>
      <c r="H865" s="168"/>
      <c r="I865" s="169"/>
      <c r="J865" s="170"/>
      <c r="K865" s="170"/>
      <c r="L865" s="170"/>
      <c r="M865" s="167"/>
      <c r="N865" s="169"/>
      <c r="O865" s="171"/>
      <c r="P865" s="106"/>
      <c r="Q865" s="218"/>
      <c r="R865" s="172"/>
      <c r="S865" s="172"/>
      <c r="T865" s="173"/>
      <c r="U865" s="219"/>
      <c r="V865" s="219"/>
      <c r="W865" s="219"/>
      <c r="X865" s="219"/>
      <c r="Y865" s="219"/>
      <c r="Z865" s="219"/>
      <c r="AA865" s="219"/>
      <c r="AB865" s="219"/>
      <c r="AC865" s="219"/>
      <c r="AD865" s="219"/>
      <c r="AE865" s="219"/>
      <c r="AF865" s="219"/>
      <c r="AG865" s="219"/>
      <c r="AH865" s="219"/>
      <c r="AI865" s="219"/>
      <c r="AJ865" s="219"/>
      <c r="AK865" s="219"/>
      <c r="AL865" s="219"/>
      <c r="AM865" s="219"/>
      <c r="AN865" s="219"/>
      <c r="AO865" s="219"/>
      <c r="AP865" s="219"/>
      <c r="AQ865" s="219"/>
      <c r="AR865" s="219"/>
      <c r="AS865" s="219"/>
      <c r="AT865" s="219"/>
      <c r="AU865" s="219"/>
      <c r="AV865" s="219"/>
      <c r="AW865" s="219"/>
      <c r="AX865" s="219"/>
      <c r="AY865" s="219"/>
      <c r="AZ865" s="219"/>
      <c r="BA865" s="219"/>
      <c r="BB865" s="219"/>
      <c r="BC865" s="219"/>
      <c r="BD865" s="219"/>
      <c r="BE865" s="219"/>
      <c r="BF865" s="219"/>
      <c r="BG865" s="219"/>
      <c r="BH865" s="219"/>
      <c r="BI865" s="219"/>
      <c r="BJ865" s="219"/>
      <c r="BK865" s="219"/>
      <c r="BL865" s="219"/>
      <c r="BM865" s="219"/>
      <c r="BN865" s="219"/>
    </row>
    <row r="866" ht="29.25" hidden="1" customHeight="1">
      <c r="A866" s="216"/>
      <c r="B866" s="217"/>
      <c r="C866" s="164"/>
      <c r="D866" s="164"/>
      <c r="E866" s="165"/>
      <c r="F866" s="173"/>
      <c r="G866" s="168"/>
      <c r="H866" s="168"/>
      <c r="I866" s="169"/>
      <c r="J866" s="170"/>
      <c r="K866" s="170"/>
      <c r="L866" s="170"/>
      <c r="M866" s="167"/>
      <c r="N866" s="169"/>
      <c r="O866" s="171"/>
      <c r="P866" s="106"/>
      <c r="Q866" s="218"/>
      <c r="R866" s="172"/>
      <c r="S866" s="172"/>
      <c r="T866" s="173"/>
      <c r="U866" s="219"/>
      <c r="V866" s="219"/>
      <c r="W866" s="219"/>
      <c r="X866" s="219"/>
      <c r="Y866" s="219"/>
      <c r="Z866" s="219"/>
      <c r="AA866" s="219"/>
      <c r="AB866" s="219"/>
      <c r="AC866" s="219"/>
      <c r="AD866" s="219"/>
      <c r="AE866" s="219"/>
      <c r="AF866" s="219"/>
      <c r="AG866" s="219"/>
      <c r="AH866" s="219"/>
      <c r="AI866" s="219"/>
      <c r="AJ866" s="219"/>
      <c r="AK866" s="219"/>
      <c r="AL866" s="219"/>
      <c r="AM866" s="219"/>
      <c r="AN866" s="219"/>
      <c r="AO866" s="219"/>
      <c r="AP866" s="219"/>
      <c r="AQ866" s="219"/>
      <c r="AR866" s="219"/>
      <c r="AS866" s="219"/>
      <c r="AT866" s="219"/>
      <c r="AU866" s="219"/>
      <c r="AV866" s="219"/>
      <c r="AW866" s="219"/>
      <c r="AX866" s="219"/>
      <c r="AY866" s="219"/>
      <c r="AZ866" s="219"/>
      <c r="BA866" s="219"/>
      <c r="BB866" s="219"/>
      <c r="BC866" s="219"/>
      <c r="BD866" s="219"/>
      <c r="BE866" s="219"/>
      <c r="BF866" s="219"/>
      <c r="BG866" s="219"/>
      <c r="BH866" s="219"/>
      <c r="BI866" s="219"/>
      <c r="BJ866" s="219"/>
      <c r="BK866" s="219"/>
      <c r="BL866" s="219"/>
      <c r="BM866" s="219"/>
      <c r="BN866" s="219"/>
    </row>
    <row r="867" ht="29.25" hidden="1" customHeight="1">
      <c r="A867" s="216"/>
      <c r="B867" s="217"/>
      <c r="C867" s="164"/>
      <c r="D867" s="164"/>
      <c r="E867" s="165"/>
      <c r="F867" s="173"/>
      <c r="G867" s="168"/>
      <c r="H867" s="168"/>
      <c r="I867" s="169"/>
      <c r="J867" s="170"/>
      <c r="K867" s="170"/>
      <c r="L867" s="170"/>
      <c r="M867" s="167"/>
      <c r="N867" s="169"/>
      <c r="O867" s="171"/>
      <c r="P867" s="106"/>
      <c r="Q867" s="218"/>
      <c r="R867" s="172"/>
      <c r="S867" s="172"/>
      <c r="T867" s="173"/>
      <c r="U867" s="219"/>
      <c r="V867" s="219"/>
      <c r="W867" s="219"/>
      <c r="X867" s="219"/>
      <c r="Y867" s="219"/>
      <c r="Z867" s="219"/>
      <c r="AA867" s="219"/>
      <c r="AB867" s="219"/>
      <c r="AC867" s="219"/>
      <c r="AD867" s="219"/>
      <c r="AE867" s="219"/>
      <c r="AF867" s="219"/>
      <c r="AG867" s="219"/>
      <c r="AH867" s="219"/>
      <c r="AI867" s="219"/>
      <c r="AJ867" s="219"/>
      <c r="AK867" s="219"/>
      <c r="AL867" s="219"/>
      <c r="AM867" s="219"/>
      <c r="AN867" s="219"/>
      <c r="AO867" s="219"/>
      <c r="AP867" s="219"/>
      <c r="AQ867" s="219"/>
      <c r="AR867" s="219"/>
      <c r="AS867" s="219"/>
      <c r="AT867" s="219"/>
      <c r="AU867" s="219"/>
      <c r="AV867" s="219"/>
      <c r="AW867" s="219"/>
      <c r="AX867" s="219"/>
      <c r="AY867" s="219"/>
      <c r="AZ867" s="219"/>
      <c r="BA867" s="219"/>
      <c r="BB867" s="219"/>
      <c r="BC867" s="219"/>
      <c r="BD867" s="219"/>
      <c r="BE867" s="219"/>
      <c r="BF867" s="219"/>
      <c r="BG867" s="219"/>
      <c r="BH867" s="219"/>
      <c r="BI867" s="219"/>
      <c r="BJ867" s="219"/>
      <c r="BK867" s="219"/>
      <c r="BL867" s="219"/>
      <c r="BM867" s="219"/>
      <c r="BN867" s="219"/>
    </row>
    <row r="868" ht="29.25" hidden="1" customHeight="1">
      <c r="A868" s="216"/>
      <c r="B868" s="217"/>
      <c r="C868" s="164"/>
      <c r="D868" s="164"/>
      <c r="E868" s="165"/>
      <c r="F868" s="173"/>
      <c r="G868" s="168"/>
      <c r="H868" s="168"/>
      <c r="I868" s="169"/>
      <c r="J868" s="170"/>
      <c r="K868" s="170"/>
      <c r="L868" s="170"/>
      <c r="M868" s="167"/>
      <c r="N868" s="169"/>
      <c r="O868" s="171"/>
      <c r="P868" s="106"/>
      <c r="Q868" s="218"/>
      <c r="R868" s="172"/>
      <c r="S868" s="172"/>
      <c r="T868" s="173"/>
      <c r="U868" s="219"/>
      <c r="V868" s="219"/>
      <c r="W868" s="219"/>
      <c r="X868" s="219"/>
      <c r="Y868" s="219"/>
      <c r="Z868" s="219"/>
      <c r="AA868" s="219"/>
      <c r="AB868" s="219"/>
      <c r="AC868" s="219"/>
      <c r="AD868" s="219"/>
      <c r="AE868" s="219"/>
      <c r="AF868" s="219"/>
      <c r="AG868" s="219"/>
      <c r="AH868" s="219"/>
      <c r="AI868" s="219"/>
      <c r="AJ868" s="219"/>
      <c r="AK868" s="219"/>
      <c r="AL868" s="219"/>
      <c r="AM868" s="219"/>
      <c r="AN868" s="219"/>
      <c r="AO868" s="219"/>
      <c r="AP868" s="219"/>
      <c r="AQ868" s="219"/>
      <c r="AR868" s="219"/>
      <c r="AS868" s="219"/>
      <c r="AT868" s="219"/>
      <c r="AU868" s="219"/>
      <c r="AV868" s="219"/>
      <c r="AW868" s="219"/>
      <c r="AX868" s="219"/>
      <c r="AY868" s="219"/>
      <c r="AZ868" s="219"/>
      <c r="BA868" s="219"/>
      <c r="BB868" s="219"/>
      <c r="BC868" s="219"/>
      <c r="BD868" s="219"/>
      <c r="BE868" s="219"/>
      <c r="BF868" s="219"/>
      <c r="BG868" s="219"/>
      <c r="BH868" s="219"/>
      <c r="BI868" s="219"/>
      <c r="BJ868" s="219"/>
      <c r="BK868" s="219"/>
      <c r="BL868" s="219"/>
      <c r="BM868" s="219"/>
      <c r="BN868" s="219"/>
    </row>
    <row r="869" ht="29.25" hidden="1" customHeight="1">
      <c r="A869" s="216"/>
      <c r="B869" s="217"/>
      <c r="C869" s="164"/>
      <c r="D869" s="164"/>
      <c r="E869" s="165"/>
      <c r="F869" s="173"/>
      <c r="G869" s="168"/>
      <c r="H869" s="168"/>
      <c r="I869" s="169"/>
      <c r="J869" s="170"/>
      <c r="K869" s="170"/>
      <c r="L869" s="170"/>
      <c r="M869" s="167"/>
      <c r="N869" s="169"/>
      <c r="O869" s="171"/>
      <c r="P869" s="106"/>
      <c r="Q869" s="218"/>
      <c r="R869" s="172"/>
      <c r="S869" s="172"/>
      <c r="T869" s="173"/>
      <c r="U869" s="219"/>
      <c r="V869" s="219"/>
      <c r="W869" s="219"/>
      <c r="X869" s="219"/>
      <c r="Y869" s="219"/>
      <c r="Z869" s="219"/>
      <c r="AA869" s="219"/>
      <c r="AB869" s="219"/>
      <c r="AC869" s="219"/>
      <c r="AD869" s="219"/>
      <c r="AE869" s="219"/>
      <c r="AF869" s="219"/>
      <c r="AG869" s="219"/>
      <c r="AH869" s="219"/>
      <c r="AI869" s="219"/>
      <c r="AJ869" s="219"/>
      <c r="AK869" s="219"/>
      <c r="AL869" s="219"/>
      <c r="AM869" s="219"/>
      <c r="AN869" s="219"/>
      <c r="AO869" s="219"/>
      <c r="AP869" s="219"/>
      <c r="AQ869" s="219"/>
      <c r="AR869" s="219"/>
      <c r="AS869" s="219"/>
      <c r="AT869" s="219"/>
      <c r="AU869" s="219"/>
      <c r="AV869" s="219"/>
      <c r="AW869" s="219"/>
      <c r="AX869" s="219"/>
      <c r="AY869" s="219"/>
      <c r="AZ869" s="219"/>
      <c r="BA869" s="219"/>
      <c r="BB869" s="219"/>
      <c r="BC869" s="219"/>
      <c r="BD869" s="219"/>
      <c r="BE869" s="219"/>
      <c r="BF869" s="219"/>
      <c r="BG869" s="219"/>
      <c r="BH869" s="219"/>
      <c r="BI869" s="219"/>
      <c r="BJ869" s="219"/>
      <c r="BK869" s="219"/>
      <c r="BL869" s="219"/>
      <c r="BM869" s="219"/>
      <c r="BN869" s="219"/>
    </row>
    <row r="870" ht="29.25" hidden="1" customHeight="1">
      <c r="A870" s="216"/>
      <c r="B870" s="217"/>
      <c r="C870" s="164"/>
      <c r="D870" s="164"/>
      <c r="E870" s="165"/>
      <c r="F870" s="173"/>
      <c r="G870" s="168"/>
      <c r="H870" s="168"/>
      <c r="I870" s="169"/>
      <c r="J870" s="170"/>
      <c r="K870" s="170"/>
      <c r="L870" s="170"/>
      <c r="M870" s="167"/>
      <c r="N870" s="169"/>
      <c r="O870" s="171"/>
      <c r="P870" s="106"/>
      <c r="Q870" s="218"/>
      <c r="R870" s="172"/>
      <c r="S870" s="172"/>
      <c r="T870" s="173"/>
      <c r="U870" s="219"/>
      <c r="V870" s="219"/>
      <c r="W870" s="219"/>
      <c r="X870" s="219"/>
      <c r="Y870" s="219"/>
      <c r="Z870" s="219"/>
      <c r="AA870" s="219"/>
      <c r="AB870" s="219"/>
      <c r="AC870" s="219"/>
      <c r="AD870" s="219"/>
      <c r="AE870" s="219"/>
      <c r="AF870" s="219"/>
      <c r="AG870" s="219"/>
      <c r="AH870" s="219"/>
      <c r="AI870" s="219"/>
      <c r="AJ870" s="219"/>
      <c r="AK870" s="219"/>
      <c r="AL870" s="219"/>
      <c r="AM870" s="219"/>
      <c r="AN870" s="219"/>
      <c r="AO870" s="219"/>
      <c r="AP870" s="219"/>
      <c r="AQ870" s="219"/>
      <c r="AR870" s="219"/>
      <c r="AS870" s="219"/>
      <c r="AT870" s="219"/>
      <c r="AU870" s="219"/>
      <c r="AV870" s="219"/>
      <c r="AW870" s="219"/>
      <c r="AX870" s="219"/>
      <c r="AY870" s="219"/>
      <c r="AZ870" s="219"/>
      <c r="BA870" s="219"/>
      <c r="BB870" s="219"/>
      <c r="BC870" s="219"/>
      <c r="BD870" s="219"/>
      <c r="BE870" s="219"/>
      <c r="BF870" s="219"/>
      <c r="BG870" s="219"/>
      <c r="BH870" s="219"/>
      <c r="BI870" s="219"/>
      <c r="BJ870" s="219"/>
      <c r="BK870" s="219"/>
      <c r="BL870" s="219"/>
      <c r="BM870" s="219"/>
      <c r="BN870" s="219"/>
    </row>
    <row r="871" ht="29.25" hidden="1" customHeight="1">
      <c r="A871" s="216"/>
      <c r="B871" s="217"/>
      <c r="C871" s="164"/>
      <c r="D871" s="164"/>
      <c r="E871" s="165"/>
      <c r="F871" s="173"/>
      <c r="G871" s="168"/>
      <c r="H871" s="168"/>
      <c r="I871" s="169"/>
      <c r="J871" s="170"/>
      <c r="K871" s="170"/>
      <c r="L871" s="170"/>
      <c r="M871" s="167"/>
      <c r="N871" s="169"/>
      <c r="O871" s="171"/>
      <c r="P871" s="106"/>
      <c r="Q871" s="218"/>
      <c r="R871" s="172"/>
      <c r="S871" s="172"/>
      <c r="T871" s="173"/>
      <c r="U871" s="219"/>
      <c r="V871" s="219"/>
      <c r="W871" s="219"/>
      <c r="X871" s="219"/>
      <c r="Y871" s="219"/>
      <c r="Z871" s="219"/>
      <c r="AA871" s="219"/>
      <c r="AB871" s="219"/>
      <c r="AC871" s="219"/>
      <c r="AD871" s="219"/>
      <c r="AE871" s="219"/>
      <c r="AF871" s="219"/>
      <c r="AG871" s="219"/>
      <c r="AH871" s="219"/>
      <c r="AI871" s="219"/>
      <c r="AJ871" s="219"/>
      <c r="AK871" s="219"/>
      <c r="AL871" s="219"/>
      <c r="AM871" s="219"/>
      <c r="AN871" s="219"/>
      <c r="AO871" s="219"/>
      <c r="AP871" s="219"/>
      <c r="AQ871" s="219"/>
      <c r="AR871" s="219"/>
      <c r="AS871" s="219"/>
      <c r="AT871" s="219"/>
      <c r="AU871" s="219"/>
      <c r="AV871" s="219"/>
      <c r="AW871" s="219"/>
      <c r="AX871" s="219"/>
      <c r="AY871" s="219"/>
      <c r="AZ871" s="219"/>
      <c r="BA871" s="219"/>
      <c r="BB871" s="219"/>
      <c r="BC871" s="219"/>
      <c r="BD871" s="219"/>
      <c r="BE871" s="219"/>
      <c r="BF871" s="219"/>
      <c r="BG871" s="219"/>
      <c r="BH871" s="219"/>
      <c r="BI871" s="219"/>
      <c r="BJ871" s="219"/>
      <c r="BK871" s="219"/>
      <c r="BL871" s="219"/>
      <c r="BM871" s="219"/>
      <c r="BN871" s="219"/>
    </row>
    <row r="872" ht="29.25" hidden="1" customHeight="1">
      <c r="A872" s="216"/>
      <c r="B872" s="217"/>
      <c r="C872" s="164"/>
      <c r="D872" s="164"/>
      <c r="E872" s="165"/>
      <c r="F872" s="173"/>
      <c r="G872" s="168"/>
      <c r="H872" s="168"/>
      <c r="I872" s="169"/>
      <c r="J872" s="170"/>
      <c r="K872" s="170"/>
      <c r="L872" s="170"/>
      <c r="M872" s="167"/>
      <c r="N872" s="169"/>
      <c r="O872" s="171"/>
      <c r="P872" s="106"/>
      <c r="Q872" s="218"/>
      <c r="R872" s="172"/>
      <c r="S872" s="172"/>
      <c r="T872" s="173"/>
      <c r="U872" s="219"/>
      <c r="V872" s="219"/>
      <c r="W872" s="219"/>
      <c r="X872" s="219"/>
      <c r="Y872" s="219"/>
      <c r="Z872" s="219"/>
      <c r="AA872" s="219"/>
      <c r="AB872" s="219"/>
      <c r="AC872" s="219"/>
      <c r="AD872" s="219"/>
      <c r="AE872" s="219"/>
      <c r="AF872" s="219"/>
      <c r="AG872" s="219"/>
      <c r="AH872" s="219"/>
      <c r="AI872" s="219"/>
      <c r="AJ872" s="219"/>
      <c r="AK872" s="219"/>
      <c r="AL872" s="219"/>
      <c r="AM872" s="219"/>
      <c r="AN872" s="219"/>
      <c r="AO872" s="219"/>
      <c r="AP872" s="219"/>
      <c r="AQ872" s="219"/>
      <c r="AR872" s="219"/>
      <c r="AS872" s="219"/>
      <c r="AT872" s="219"/>
      <c r="AU872" s="219"/>
      <c r="AV872" s="219"/>
      <c r="AW872" s="219"/>
      <c r="AX872" s="219"/>
      <c r="AY872" s="219"/>
      <c r="AZ872" s="219"/>
      <c r="BA872" s="219"/>
      <c r="BB872" s="219"/>
      <c r="BC872" s="219"/>
      <c r="BD872" s="219"/>
      <c r="BE872" s="219"/>
      <c r="BF872" s="219"/>
      <c r="BG872" s="219"/>
      <c r="BH872" s="219"/>
      <c r="BI872" s="219"/>
      <c r="BJ872" s="219"/>
      <c r="BK872" s="219"/>
      <c r="BL872" s="219"/>
      <c r="BM872" s="219"/>
      <c r="BN872" s="219"/>
    </row>
    <row r="873" ht="29.25" hidden="1" customHeight="1">
      <c r="A873" s="216"/>
      <c r="B873" s="217"/>
      <c r="C873" s="164"/>
      <c r="D873" s="164"/>
      <c r="E873" s="165"/>
      <c r="F873" s="173"/>
      <c r="G873" s="168"/>
      <c r="H873" s="168"/>
      <c r="I873" s="169"/>
      <c r="J873" s="170"/>
      <c r="K873" s="170"/>
      <c r="L873" s="170"/>
      <c r="M873" s="167"/>
      <c r="N873" s="169"/>
      <c r="O873" s="171"/>
      <c r="P873" s="106"/>
      <c r="Q873" s="218"/>
      <c r="R873" s="172"/>
      <c r="S873" s="172"/>
      <c r="T873" s="173"/>
      <c r="U873" s="219"/>
      <c r="V873" s="219"/>
      <c r="W873" s="219"/>
      <c r="X873" s="219"/>
      <c r="Y873" s="219"/>
      <c r="Z873" s="219"/>
      <c r="AA873" s="219"/>
      <c r="AB873" s="219"/>
      <c r="AC873" s="219"/>
      <c r="AD873" s="219"/>
      <c r="AE873" s="219"/>
      <c r="AF873" s="219"/>
      <c r="AG873" s="219"/>
      <c r="AH873" s="219"/>
      <c r="AI873" s="219"/>
      <c r="AJ873" s="219"/>
      <c r="AK873" s="219"/>
      <c r="AL873" s="219"/>
      <c r="AM873" s="219"/>
      <c r="AN873" s="219"/>
      <c r="AO873" s="219"/>
      <c r="AP873" s="219"/>
      <c r="AQ873" s="219"/>
      <c r="AR873" s="219"/>
      <c r="AS873" s="219"/>
      <c r="AT873" s="219"/>
      <c r="AU873" s="219"/>
      <c r="AV873" s="219"/>
      <c r="AW873" s="219"/>
      <c r="AX873" s="219"/>
      <c r="AY873" s="219"/>
      <c r="AZ873" s="219"/>
      <c r="BA873" s="219"/>
      <c r="BB873" s="219"/>
      <c r="BC873" s="219"/>
      <c r="BD873" s="219"/>
      <c r="BE873" s="219"/>
      <c r="BF873" s="219"/>
      <c r="BG873" s="219"/>
      <c r="BH873" s="219"/>
      <c r="BI873" s="219"/>
      <c r="BJ873" s="219"/>
      <c r="BK873" s="219"/>
      <c r="BL873" s="219"/>
      <c r="BM873" s="219"/>
      <c r="BN873" s="219"/>
    </row>
    <row r="874" ht="29.25" hidden="1" customHeight="1">
      <c r="A874" s="216"/>
      <c r="B874" s="217"/>
      <c r="C874" s="164"/>
      <c r="D874" s="164"/>
      <c r="E874" s="165"/>
      <c r="F874" s="173"/>
      <c r="G874" s="168"/>
      <c r="H874" s="168"/>
      <c r="I874" s="169"/>
      <c r="J874" s="170"/>
      <c r="K874" s="170"/>
      <c r="L874" s="170"/>
      <c r="M874" s="167"/>
      <c r="N874" s="169"/>
      <c r="O874" s="171"/>
      <c r="P874" s="106"/>
      <c r="Q874" s="218"/>
      <c r="R874" s="172"/>
      <c r="S874" s="172"/>
      <c r="T874" s="173"/>
      <c r="U874" s="219"/>
      <c r="V874" s="219"/>
      <c r="W874" s="219"/>
      <c r="X874" s="219"/>
      <c r="Y874" s="219"/>
      <c r="Z874" s="219"/>
      <c r="AA874" s="219"/>
      <c r="AB874" s="219"/>
      <c r="AC874" s="219"/>
      <c r="AD874" s="219"/>
      <c r="AE874" s="219"/>
      <c r="AF874" s="219"/>
      <c r="AG874" s="219"/>
      <c r="AH874" s="219"/>
      <c r="AI874" s="219"/>
      <c r="AJ874" s="219"/>
      <c r="AK874" s="219"/>
      <c r="AL874" s="219"/>
      <c r="AM874" s="219"/>
      <c r="AN874" s="219"/>
      <c r="AO874" s="219"/>
      <c r="AP874" s="219"/>
      <c r="AQ874" s="219"/>
      <c r="AR874" s="219"/>
      <c r="AS874" s="219"/>
      <c r="AT874" s="219"/>
      <c r="AU874" s="219"/>
      <c r="AV874" s="219"/>
      <c r="AW874" s="219"/>
      <c r="AX874" s="219"/>
      <c r="AY874" s="219"/>
      <c r="AZ874" s="219"/>
      <c r="BA874" s="219"/>
      <c r="BB874" s="219"/>
      <c r="BC874" s="219"/>
      <c r="BD874" s="219"/>
      <c r="BE874" s="219"/>
      <c r="BF874" s="219"/>
      <c r="BG874" s="219"/>
      <c r="BH874" s="219"/>
      <c r="BI874" s="219"/>
      <c r="BJ874" s="219"/>
      <c r="BK874" s="219"/>
      <c r="BL874" s="219"/>
      <c r="BM874" s="219"/>
      <c r="BN874" s="219"/>
    </row>
    <row r="875" ht="29.25" hidden="1" customHeight="1">
      <c r="A875" s="216"/>
      <c r="B875" s="217"/>
      <c r="C875" s="164"/>
      <c r="D875" s="164"/>
      <c r="E875" s="165"/>
      <c r="F875" s="173"/>
      <c r="G875" s="168"/>
      <c r="H875" s="168"/>
      <c r="I875" s="169"/>
      <c r="J875" s="170"/>
      <c r="K875" s="170"/>
      <c r="L875" s="170"/>
      <c r="M875" s="167"/>
      <c r="N875" s="169"/>
      <c r="O875" s="171"/>
      <c r="P875" s="106"/>
      <c r="Q875" s="218"/>
      <c r="R875" s="172"/>
      <c r="S875" s="172"/>
      <c r="T875" s="173"/>
      <c r="U875" s="219"/>
      <c r="V875" s="219"/>
      <c r="W875" s="219"/>
      <c r="X875" s="219"/>
      <c r="Y875" s="219"/>
      <c r="Z875" s="219"/>
      <c r="AA875" s="219"/>
      <c r="AB875" s="219"/>
      <c r="AC875" s="219"/>
      <c r="AD875" s="219"/>
      <c r="AE875" s="219"/>
      <c r="AF875" s="219"/>
      <c r="AG875" s="219"/>
      <c r="AH875" s="219"/>
      <c r="AI875" s="219"/>
      <c r="AJ875" s="219"/>
      <c r="AK875" s="219"/>
      <c r="AL875" s="219"/>
      <c r="AM875" s="219"/>
      <c r="AN875" s="219"/>
      <c r="AO875" s="219"/>
      <c r="AP875" s="219"/>
      <c r="AQ875" s="219"/>
      <c r="AR875" s="219"/>
      <c r="AS875" s="219"/>
      <c r="AT875" s="219"/>
      <c r="AU875" s="219"/>
      <c r="AV875" s="219"/>
      <c r="AW875" s="219"/>
      <c r="AX875" s="219"/>
      <c r="AY875" s="219"/>
      <c r="AZ875" s="219"/>
      <c r="BA875" s="219"/>
      <c r="BB875" s="219"/>
      <c r="BC875" s="219"/>
      <c r="BD875" s="219"/>
      <c r="BE875" s="219"/>
      <c r="BF875" s="219"/>
      <c r="BG875" s="219"/>
      <c r="BH875" s="219"/>
      <c r="BI875" s="219"/>
      <c r="BJ875" s="219"/>
      <c r="BK875" s="219"/>
      <c r="BL875" s="219"/>
      <c r="BM875" s="219"/>
      <c r="BN875" s="219"/>
    </row>
    <row r="876" ht="29.25" hidden="1" customHeight="1">
      <c r="A876" s="216"/>
      <c r="B876" s="217"/>
      <c r="C876" s="164"/>
      <c r="D876" s="164"/>
      <c r="E876" s="165"/>
      <c r="F876" s="173"/>
      <c r="G876" s="168"/>
      <c r="H876" s="168"/>
      <c r="I876" s="169"/>
      <c r="J876" s="170"/>
      <c r="K876" s="170"/>
      <c r="L876" s="170"/>
      <c r="M876" s="167"/>
      <c r="N876" s="169"/>
      <c r="O876" s="171"/>
      <c r="P876" s="106"/>
      <c r="Q876" s="218"/>
      <c r="R876" s="172"/>
      <c r="S876" s="172"/>
      <c r="T876" s="173"/>
      <c r="U876" s="219"/>
      <c r="V876" s="219"/>
      <c r="W876" s="219"/>
      <c r="X876" s="219"/>
      <c r="Y876" s="219"/>
      <c r="Z876" s="219"/>
      <c r="AA876" s="219"/>
      <c r="AB876" s="219"/>
      <c r="AC876" s="219"/>
      <c r="AD876" s="219"/>
      <c r="AE876" s="219"/>
      <c r="AF876" s="219"/>
      <c r="AG876" s="219"/>
      <c r="AH876" s="219"/>
      <c r="AI876" s="219"/>
      <c r="AJ876" s="219"/>
      <c r="AK876" s="219"/>
      <c r="AL876" s="219"/>
      <c r="AM876" s="219"/>
      <c r="AN876" s="219"/>
      <c r="AO876" s="219"/>
      <c r="AP876" s="219"/>
      <c r="AQ876" s="219"/>
      <c r="AR876" s="219"/>
      <c r="AS876" s="219"/>
      <c r="AT876" s="219"/>
      <c r="AU876" s="219"/>
      <c r="AV876" s="219"/>
      <c r="AW876" s="219"/>
      <c r="AX876" s="219"/>
      <c r="AY876" s="219"/>
      <c r="AZ876" s="219"/>
      <c r="BA876" s="219"/>
      <c r="BB876" s="219"/>
      <c r="BC876" s="219"/>
      <c r="BD876" s="219"/>
      <c r="BE876" s="219"/>
      <c r="BF876" s="219"/>
      <c r="BG876" s="219"/>
      <c r="BH876" s="219"/>
      <c r="BI876" s="219"/>
      <c r="BJ876" s="219"/>
      <c r="BK876" s="219"/>
      <c r="BL876" s="219"/>
      <c r="BM876" s="219"/>
      <c r="BN876" s="219"/>
    </row>
    <row r="877" ht="29.25" hidden="1" customHeight="1">
      <c r="A877" s="216"/>
      <c r="B877" s="217"/>
      <c r="C877" s="164"/>
      <c r="D877" s="164"/>
      <c r="E877" s="165"/>
      <c r="F877" s="173"/>
      <c r="G877" s="168"/>
      <c r="H877" s="168"/>
      <c r="I877" s="169"/>
      <c r="J877" s="170"/>
      <c r="K877" s="170"/>
      <c r="L877" s="170"/>
      <c r="M877" s="167"/>
      <c r="N877" s="169"/>
      <c r="O877" s="171"/>
      <c r="P877" s="106"/>
      <c r="Q877" s="218"/>
      <c r="R877" s="172"/>
      <c r="S877" s="172"/>
      <c r="T877" s="173"/>
      <c r="U877" s="219"/>
      <c r="V877" s="219"/>
      <c r="W877" s="219"/>
      <c r="X877" s="219"/>
      <c r="Y877" s="219"/>
      <c r="Z877" s="219"/>
      <c r="AA877" s="219"/>
      <c r="AB877" s="219"/>
      <c r="AC877" s="219"/>
      <c r="AD877" s="219"/>
      <c r="AE877" s="219"/>
      <c r="AF877" s="219"/>
      <c r="AG877" s="219"/>
      <c r="AH877" s="219"/>
      <c r="AI877" s="219"/>
      <c r="AJ877" s="219"/>
      <c r="AK877" s="219"/>
      <c r="AL877" s="219"/>
      <c r="AM877" s="219"/>
      <c r="AN877" s="219"/>
      <c r="AO877" s="219"/>
      <c r="AP877" s="219"/>
      <c r="AQ877" s="219"/>
      <c r="AR877" s="219"/>
      <c r="AS877" s="219"/>
      <c r="AT877" s="219"/>
      <c r="AU877" s="219"/>
      <c r="AV877" s="219"/>
      <c r="AW877" s="219"/>
      <c r="AX877" s="219"/>
      <c r="AY877" s="219"/>
      <c r="AZ877" s="219"/>
      <c r="BA877" s="219"/>
      <c r="BB877" s="219"/>
      <c r="BC877" s="219"/>
      <c r="BD877" s="219"/>
      <c r="BE877" s="219"/>
      <c r="BF877" s="219"/>
      <c r="BG877" s="219"/>
      <c r="BH877" s="219"/>
      <c r="BI877" s="219"/>
      <c r="BJ877" s="219"/>
      <c r="BK877" s="219"/>
      <c r="BL877" s="219"/>
      <c r="BM877" s="219"/>
      <c r="BN877" s="219"/>
    </row>
    <row r="878" ht="29.25" hidden="1" customHeight="1">
      <c r="A878" s="216"/>
      <c r="B878" s="217"/>
      <c r="C878" s="164"/>
      <c r="D878" s="164"/>
      <c r="E878" s="165"/>
      <c r="F878" s="173"/>
      <c r="G878" s="168"/>
      <c r="H878" s="168"/>
      <c r="I878" s="169"/>
      <c r="J878" s="170"/>
      <c r="K878" s="170"/>
      <c r="L878" s="170"/>
      <c r="M878" s="167"/>
      <c r="N878" s="169"/>
      <c r="O878" s="171"/>
      <c r="P878" s="106"/>
      <c r="Q878" s="218"/>
      <c r="R878" s="172"/>
      <c r="S878" s="172"/>
      <c r="T878" s="173"/>
      <c r="U878" s="219"/>
      <c r="V878" s="219"/>
      <c r="W878" s="219"/>
      <c r="X878" s="219"/>
      <c r="Y878" s="219"/>
      <c r="Z878" s="219"/>
      <c r="AA878" s="219"/>
      <c r="AB878" s="219"/>
      <c r="AC878" s="219"/>
      <c r="AD878" s="219"/>
      <c r="AE878" s="219"/>
      <c r="AF878" s="219"/>
      <c r="AG878" s="219"/>
      <c r="AH878" s="219"/>
      <c r="AI878" s="219"/>
      <c r="AJ878" s="219"/>
      <c r="AK878" s="219"/>
      <c r="AL878" s="219"/>
      <c r="AM878" s="219"/>
      <c r="AN878" s="219"/>
      <c r="AO878" s="219"/>
      <c r="AP878" s="219"/>
      <c r="AQ878" s="219"/>
      <c r="AR878" s="219"/>
      <c r="AS878" s="219"/>
      <c r="AT878" s="219"/>
      <c r="AU878" s="219"/>
      <c r="AV878" s="219"/>
      <c r="AW878" s="219"/>
      <c r="AX878" s="219"/>
      <c r="AY878" s="219"/>
      <c r="AZ878" s="219"/>
      <c r="BA878" s="219"/>
      <c r="BB878" s="219"/>
      <c r="BC878" s="219"/>
      <c r="BD878" s="219"/>
      <c r="BE878" s="219"/>
      <c r="BF878" s="219"/>
      <c r="BG878" s="219"/>
      <c r="BH878" s="219"/>
      <c r="BI878" s="219"/>
      <c r="BJ878" s="219"/>
      <c r="BK878" s="219"/>
      <c r="BL878" s="219"/>
      <c r="BM878" s="219"/>
      <c r="BN878" s="219"/>
    </row>
    <row r="879" ht="29.25" hidden="1" customHeight="1">
      <c r="A879" s="216"/>
      <c r="B879" s="217"/>
      <c r="C879" s="164"/>
      <c r="D879" s="164"/>
      <c r="E879" s="165"/>
      <c r="F879" s="173"/>
      <c r="G879" s="168"/>
      <c r="H879" s="168"/>
      <c r="I879" s="169"/>
      <c r="J879" s="170"/>
      <c r="K879" s="170"/>
      <c r="L879" s="170"/>
      <c r="M879" s="167"/>
      <c r="N879" s="169"/>
      <c r="O879" s="171"/>
      <c r="P879" s="106"/>
      <c r="Q879" s="218"/>
      <c r="R879" s="172"/>
      <c r="S879" s="172"/>
      <c r="T879" s="173"/>
      <c r="U879" s="219"/>
      <c r="V879" s="219"/>
      <c r="W879" s="219"/>
      <c r="X879" s="219"/>
      <c r="Y879" s="219"/>
      <c r="Z879" s="219"/>
      <c r="AA879" s="219"/>
      <c r="AB879" s="219"/>
      <c r="AC879" s="219"/>
      <c r="AD879" s="219"/>
      <c r="AE879" s="219"/>
      <c r="AF879" s="219"/>
      <c r="AG879" s="219"/>
      <c r="AH879" s="219"/>
      <c r="AI879" s="219"/>
      <c r="AJ879" s="219"/>
      <c r="AK879" s="219"/>
      <c r="AL879" s="219"/>
      <c r="AM879" s="219"/>
      <c r="AN879" s="219"/>
      <c r="AO879" s="219"/>
      <c r="AP879" s="219"/>
      <c r="AQ879" s="219"/>
      <c r="AR879" s="219"/>
      <c r="AS879" s="219"/>
      <c r="AT879" s="219"/>
      <c r="AU879" s="219"/>
      <c r="AV879" s="219"/>
      <c r="AW879" s="219"/>
      <c r="AX879" s="219"/>
      <c r="AY879" s="219"/>
      <c r="AZ879" s="219"/>
      <c r="BA879" s="219"/>
      <c r="BB879" s="219"/>
      <c r="BC879" s="219"/>
      <c r="BD879" s="219"/>
      <c r="BE879" s="219"/>
      <c r="BF879" s="219"/>
      <c r="BG879" s="219"/>
      <c r="BH879" s="219"/>
      <c r="BI879" s="219"/>
      <c r="BJ879" s="219"/>
      <c r="BK879" s="219"/>
      <c r="BL879" s="219"/>
      <c r="BM879" s="219"/>
      <c r="BN879" s="219"/>
    </row>
    <row r="880" ht="29.25" hidden="1" customHeight="1">
      <c r="A880" s="216"/>
      <c r="B880" s="217"/>
      <c r="C880" s="164"/>
      <c r="D880" s="164"/>
      <c r="E880" s="165"/>
      <c r="F880" s="173"/>
      <c r="G880" s="168"/>
      <c r="H880" s="168"/>
      <c r="I880" s="169"/>
      <c r="J880" s="170"/>
      <c r="K880" s="170"/>
      <c r="L880" s="170"/>
      <c r="M880" s="167"/>
      <c r="N880" s="169"/>
      <c r="O880" s="171"/>
      <c r="P880" s="106"/>
      <c r="Q880" s="218"/>
      <c r="R880" s="172"/>
      <c r="S880" s="172"/>
      <c r="T880" s="173"/>
      <c r="U880" s="219"/>
      <c r="V880" s="219"/>
      <c r="W880" s="219"/>
      <c r="X880" s="219"/>
      <c r="Y880" s="219"/>
      <c r="Z880" s="219"/>
      <c r="AA880" s="219"/>
      <c r="AB880" s="219"/>
      <c r="AC880" s="219"/>
      <c r="AD880" s="219"/>
      <c r="AE880" s="219"/>
      <c r="AF880" s="219"/>
      <c r="AG880" s="219"/>
      <c r="AH880" s="219"/>
      <c r="AI880" s="219"/>
      <c r="AJ880" s="219"/>
      <c r="AK880" s="219"/>
      <c r="AL880" s="219"/>
      <c r="AM880" s="219"/>
      <c r="AN880" s="219"/>
      <c r="AO880" s="219"/>
      <c r="AP880" s="219"/>
      <c r="AQ880" s="219"/>
      <c r="AR880" s="219"/>
      <c r="AS880" s="219"/>
      <c r="AT880" s="219"/>
      <c r="AU880" s="219"/>
      <c r="AV880" s="219"/>
      <c r="AW880" s="219"/>
      <c r="AX880" s="219"/>
      <c r="AY880" s="219"/>
      <c r="AZ880" s="219"/>
      <c r="BA880" s="219"/>
      <c r="BB880" s="219"/>
      <c r="BC880" s="219"/>
      <c r="BD880" s="219"/>
      <c r="BE880" s="219"/>
      <c r="BF880" s="219"/>
      <c r="BG880" s="219"/>
      <c r="BH880" s="219"/>
      <c r="BI880" s="219"/>
      <c r="BJ880" s="219"/>
      <c r="BK880" s="219"/>
      <c r="BL880" s="219"/>
      <c r="BM880" s="219"/>
      <c r="BN880" s="219"/>
    </row>
    <row r="881" ht="29.25" hidden="1" customHeight="1">
      <c r="A881" s="216"/>
      <c r="B881" s="217"/>
      <c r="C881" s="164"/>
      <c r="D881" s="164"/>
      <c r="E881" s="165"/>
      <c r="F881" s="173"/>
      <c r="G881" s="168"/>
      <c r="H881" s="168"/>
      <c r="I881" s="169"/>
      <c r="J881" s="170"/>
      <c r="K881" s="170"/>
      <c r="L881" s="170"/>
      <c r="M881" s="167"/>
      <c r="N881" s="169"/>
      <c r="O881" s="171"/>
      <c r="P881" s="106"/>
      <c r="Q881" s="218"/>
      <c r="R881" s="172"/>
      <c r="S881" s="172"/>
      <c r="T881" s="173"/>
      <c r="U881" s="219"/>
      <c r="V881" s="219"/>
      <c r="W881" s="219"/>
      <c r="X881" s="219"/>
      <c r="Y881" s="219"/>
      <c r="Z881" s="219"/>
      <c r="AA881" s="219"/>
      <c r="AB881" s="219"/>
      <c r="AC881" s="219"/>
      <c r="AD881" s="219"/>
      <c r="AE881" s="219"/>
      <c r="AF881" s="219"/>
      <c r="AG881" s="219"/>
      <c r="AH881" s="219"/>
      <c r="AI881" s="219"/>
      <c r="AJ881" s="219"/>
      <c r="AK881" s="219"/>
      <c r="AL881" s="219"/>
      <c r="AM881" s="219"/>
      <c r="AN881" s="219"/>
      <c r="AO881" s="219"/>
      <c r="AP881" s="219"/>
      <c r="AQ881" s="219"/>
      <c r="AR881" s="219"/>
      <c r="AS881" s="219"/>
      <c r="AT881" s="219"/>
      <c r="AU881" s="219"/>
      <c r="AV881" s="219"/>
      <c r="AW881" s="219"/>
      <c r="AX881" s="219"/>
      <c r="AY881" s="219"/>
      <c r="AZ881" s="219"/>
      <c r="BA881" s="219"/>
      <c r="BB881" s="219"/>
      <c r="BC881" s="219"/>
      <c r="BD881" s="219"/>
      <c r="BE881" s="219"/>
      <c r="BF881" s="219"/>
      <c r="BG881" s="219"/>
      <c r="BH881" s="219"/>
      <c r="BI881" s="219"/>
      <c r="BJ881" s="219"/>
      <c r="BK881" s="219"/>
      <c r="BL881" s="219"/>
      <c r="BM881" s="219"/>
      <c r="BN881" s="219"/>
    </row>
    <row r="882" ht="29.25" hidden="1" customHeight="1">
      <c r="A882" s="216"/>
      <c r="B882" s="217"/>
      <c r="C882" s="164"/>
      <c r="D882" s="164"/>
      <c r="E882" s="165"/>
      <c r="F882" s="173"/>
      <c r="G882" s="168"/>
      <c r="H882" s="168"/>
      <c r="I882" s="169"/>
      <c r="J882" s="170"/>
      <c r="K882" s="170"/>
      <c r="L882" s="170"/>
      <c r="M882" s="167"/>
      <c r="N882" s="169"/>
      <c r="O882" s="171"/>
      <c r="P882" s="106"/>
      <c r="Q882" s="218"/>
      <c r="R882" s="172"/>
      <c r="S882" s="172"/>
      <c r="T882" s="173"/>
      <c r="U882" s="219"/>
      <c r="V882" s="219"/>
      <c r="W882" s="219"/>
      <c r="X882" s="219"/>
      <c r="Y882" s="219"/>
      <c r="Z882" s="219"/>
      <c r="AA882" s="219"/>
      <c r="AB882" s="219"/>
      <c r="AC882" s="219"/>
      <c r="AD882" s="219"/>
      <c r="AE882" s="219"/>
      <c r="AF882" s="219"/>
      <c r="AG882" s="219"/>
      <c r="AH882" s="219"/>
      <c r="AI882" s="219"/>
      <c r="AJ882" s="219"/>
      <c r="AK882" s="219"/>
      <c r="AL882" s="219"/>
      <c r="AM882" s="219"/>
      <c r="AN882" s="219"/>
      <c r="AO882" s="219"/>
      <c r="AP882" s="219"/>
      <c r="AQ882" s="219"/>
      <c r="AR882" s="219"/>
      <c r="AS882" s="219"/>
      <c r="AT882" s="219"/>
      <c r="AU882" s="219"/>
      <c r="AV882" s="219"/>
      <c r="AW882" s="219"/>
      <c r="AX882" s="219"/>
      <c r="AY882" s="219"/>
      <c r="AZ882" s="219"/>
      <c r="BA882" s="219"/>
      <c r="BB882" s="219"/>
      <c r="BC882" s="219"/>
      <c r="BD882" s="219"/>
      <c r="BE882" s="219"/>
      <c r="BF882" s="219"/>
      <c r="BG882" s="219"/>
      <c r="BH882" s="219"/>
      <c r="BI882" s="219"/>
      <c r="BJ882" s="219"/>
      <c r="BK882" s="219"/>
      <c r="BL882" s="219"/>
      <c r="BM882" s="219"/>
      <c r="BN882" s="219"/>
    </row>
    <row r="883" ht="29.25" hidden="1" customHeight="1">
      <c r="A883" s="216"/>
      <c r="B883" s="217"/>
      <c r="C883" s="164"/>
      <c r="D883" s="164"/>
      <c r="E883" s="165"/>
      <c r="F883" s="173"/>
      <c r="G883" s="168"/>
      <c r="H883" s="168"/>
      <c r="I883" s="169"/>
      <c r="J883" s="170"/>
      <c r="K883" s="170"/>
      <c r="L883" s="170"/>
      <c r="M883" s="167"/>
      <c r="N883" s="169"/>
      <c r="O883" s="171"/>
      <c r="P883" s="106"/>
      <c r="Q883" s="218"/>
      <c r="R883" s="172"/>
      <c r="S883" s="172"/>
      <c r="T883" s="173"/>
      <c r="U883" s="219"/>
      <c r="V883" s="219"/>
      <c r="W883" s="219"/>
      <c r="X883" s="219"/>
      <c r="Y883" s="219"/>
      <c r="Z883" s="219"/>
      <c r="AA883" s="219"/>
      <c r="AB883" s="219"/>
      <c r="AC883" s="219"/>
      <c r="AD883" s="219"/>
      <c r="AE883" s="219"/>
      <c r="AF883" s="219"/>
      <c r="AG883" s="219"/>
      <c r="AH883" s="219"/>
      <c r="AI883" s="219"/>
      <c r="AJ883" s="219"/>
      <c r="AK883" s="219"/>
      <c r="AL883" s="219"/>
      <c r="AM883" s="219"/>
      <c r="AN883" s="219"/>
      <c r="AO883" s="219"/>
      <c r="AP883" s="219"/>
      <c r="AQ883" s="219"/>
      <c r="AR883" s="219"/>
      <c r="AS883" s="219"/>
      <c r="AT883" s="219"/>
      <c r="AU883" s="219"/>
      <c r="AV883" s="219"/>
      <c r="AW883" s="219"/>
      <c r="AX883" s="219"/>
      <c r="AY883" s="219"/>
      <c r="AZ883" s="219"/>
      <c r="BA883" s="219"/>
      <c r="BB883" s="219"/>
      <c r="BC883" s="219"/>
      <c r="BD883" s="219"/>
      <c r="BE883" s="219"/>
      <c r="BF883" s="219"/>
      <c r="BG883" s="219"/>
      <c r="BH883" s="219"/>
      <c r="BI883" s="219"/>
      <c r="BJ883" s="219"/>
      <c r="BK883" s="219"/>
      <c r="BL883" s="219"/>
      <c r="BM883" s="219"/>
      <c r="BN883" s="219"/>
    </row>
    <row r="884" ht="29.25" hidden="1" customHeight="1">
      <c r="A884" s="216"/>
      <c r="B884" s="217"/>
      <c r="C884" s="164"/>
      <c r="D884" s="164"/>
      <c r="E884" s="165"/>
      <c r="F884" s="173"/>
      <c r="G884" s="168"/>
      <c r="H884" s="168"/>
      <c r="I884" s="169"/>
      <c r="J884" s="170"/>
      <c r="K884" s="170"/>
      <c r="L884" s="170"/>
      <c r="M884" s="167"/>
      <c r="N884" s="169"/>
      <c r="O884" s="171"/>
      <c r="P884" s="106"/>
      <c r="Q884" s="218"/>
      <c r="R884" s="172"/>
      <c r="S884" s="172"/>
      <c r="T884" s="173"/>
      <c r="U884" s="219"/>
      <c r="V884" s="219"/>
      <c r="W884" s="219"/>
      <c r="X884" s="219"/>
      <c r="Y884" s="219"/>
      <c r="Z884" s="219"/>
      <c r="AA884" s="219"/>
      <c r="AB884" s="219"/>
      <c r="AC884" s="219"/>
      <c r="AD884" s="219"/>
      <c r="AE884" s="219"/>
      <c r="AF884" s="219"/>
      <c r="AG884" s="219"/>
      <c r="AH884" s="219"/>
      <c r="AI884" s="219"/>
      <c r="AJ884" s="219"/>
      <c r="AK884" s="219"/>
      <c r="AL884" s="219"/>
      <c r="AM884" s="219"/>
      <c r="AN884" s="219"/>
      <c r="AO884" s="219"/>
      <c r="AP884" s="219"/>
      <c r="AQ884" s="219"/>
      <c r="AR884" s="219"/>
      <c r="AS884" s="219"/>
      <c r="AT884" s="219"/>
      <c r="AU884" s="219"/>
      <c r="AV884" s="219"/>
      <c r="AW884" s="219"/>
      <c r="AX884" s="219"/>
      <c r="AY884" s="219"/>
      <c r="AZ884" s="219"/>
      <c r="BA884" s="219"/>
      <c r="BB884" s="219"/>
      <c r="BC884" s="219"/>
      <c r="BD884" s="219"/>
      <c r="BE884" s="219"/>
      <c r="BF884" s="219"/>
      <c r="BG884" s="219"/>
      <c r="BH884" s="219"/>
      <c r="BI884" s="219"/>
      <c r="BJ884" s="219"/>
      <c r="BK884" s="219"/>
      <c r="BL884" s="219"/>
      <c r="BM884" s="219"/>
      <c r="BN884" s="219"/>
    </row>
    <row r="885" ht="29.25" hidden="1" customHeight="1">
      <c r="A885" s="216"/>
      <c r="B885" s="217"/>
      <c r="C885" s="164"/>
      <c r="D885" s="164"/>
      <c r="E885" s="165"/>
      <c r="F885" s="173"/>
      <c r="G885" s="168"/>
      <c r="H885" s="168"/>
      <c r="I885" s="169"/>
      <c r="J885" s="170"/>
      <c r="K885" s="170"/>
      <c r="L885" s="170"/>
      <c r="M885" s="167"/>
      <c r="N885" s="169"/>
      <c r="O885" s="171"/>
      <c r="P885" s="106"/>
      <c r="Q885" s="218"/>
      <c r="R885" s="172"/>
      <c r="S885" s="172"/>
      <c r="T885" s="173"/>
      <c r="U885" s="219"/>
      <c r="V885" s="219"/>
      <c r="W885" s="219"/>
      <c r="X885" s="219"/>
      <c r="Y885" s="219"/>
      <c r="Z885" s="219"/>
      <c r="AA885" s="219"/>
      <c r="AB885" s="219"/>
      <c r="AC885" s="219"/>
      <c r="AD885" s="219"/>
      <c r="AE885" s="219"/>
      <c r="AF885" s="219"/>
      <c r="AG885" s="219"/>
      <c r="AH885" s="219"/>
      <c r="AI885" s="219"/>
      <c r="AJ885" s="219"/>
      <c r="AK885" s="219"/>
      <c r="AL885" s="219"/>
      <c r="AM885" s="219"/>
      <c r="AN885" s="219"/>
      <c r="AO885" s="219"/>
      <c r="AP885" s="219"/>
      <c r="AQ885" s="219"/>
      <c r="AR885" s="219"/>
      <c r="AS885" s="219"/>
      <c r="AT885" s="219"/>
      <c r="AU885" s="219"/>
      <c r="AV885" s="219"/>
      <c r="AW885" s="219"/>
      <c r="AX885" s="219"/>
      <c r="AY885" s="219"/>
      <c r="AZ885" s="219"/>
      <c r="BA885" s="219"/>
      <c r="BB885" s="219"/>
      <c r="BC885" s="219"/>
      <c r="BD885" s="219"/>
      <c r="BE885" s="219"/>
      <c r="BF885" s="219"/>
      <c r="BG885" s="219"/>
      <c r="BH885" s="219"/>
      <c r="BI885" s="219"/>
      <c r="BJ885" s="219"/>
      <c r="BK885" s="219"/>
      <c r="BL885" s="219"/>
      <c r="BM885" s="219"/>
      <c r="BN885" s="219"/>
    </row>
    <row r="886" ht="29.25" hidden="1" customHeight="1">
      <c r="A886" s="216"/>
      <c r="B886" s="217"/>
      <c r="C886" s="164"/>
      <c r="D886" s="164"/>
      <c r="E886" s="165"/>
      <c r="F886" s="173"/>
      <c r="G886" s="168"/>
      <c r="H886" s="168"/>
      <c r="I886" s="169"/>
      <c r="J886" s="170"/>
      <c r="K886" s="170"/>
      <c r="L886" s="170"/>
      <c r="M886" s="167"/>
      <c r="N886" s="169"/>
      <c r="O886" s="171"/>
      <c r="P886" s="106"/>
      <c r="Q886" s="218"/>
      <c r="R886" s="172"/>
      <c r="S886" s="172"/>
      <c r="T886" s="173"/>
      <c r="U886" s="219"/>
      <c r="V886" s="219"/>
      <c r="W886" s="219"/>
      <c r="X886" s="219"/>
      <c r="Y886" s="219"/>
      <c r="Z886" s="219"/>
      <c r="AA886" s="219"/>
      <c r="AB886" s="219"/>
      <c r="AC886" s="219"/>
      <c r="AD886" s="219"/>
      <c r="AE886" s="219"/>
      <c r="AF886" s="219"/>
      <c r="AG886" s="219"/>
      <c r="AH886" s="219"/>
      <c r="AI886" s="219"/>
      <c r="AJ886" s="219"/>
      <c r="AK886" s="219"/>
      <c r="AL886" s="219"/>
      <c r="AM886" s="219"/>
      <c r="AN886" s="219"/>
      <c r="AO886" s="219"/>
      <c r="AP886" s="219"/>
      <c r="AQ886" s="219"/>
      <c r="AR886" s="219"/>
      <c r="AS886" s="219"/>
      <c r="AT886" s="219"/>
      <c r="AU886" s="219"/>
      <c r="AV886" s="219"/>
      <c r="AW886" s="219"/>
      <c r="AX886" s="219"/>
      <c r="AY886" s="219"/>
      <c r="AZ886" s="219"/>
      <c r="BA886" s="219"/>
      <c r="BB886" s="219"/>
      <c r="BC886" s="219"/>
      <c r="BD886" s="219"/>
      <c r="BE886" s="219"/>
      <c r="BF886" s="219"/>
      <c r="BG886" s="219"/>
      <c r="BH886" s="219"/>
      <c r="BI886" s="219"/>
      <c r="BJ886" s="219"/>
      <c r="BK886" s="219"/>
      <c r="BL886" s="219"/>
      <c r="BM886" s="219"/>
      <c r="BN886" s="219"/>
    </row>
    <row r="887" ht="29.25" hidden="1" customHeight="1">
      <c r="A887" s="216"/>
      <c r="B887" s="217"/>
      <c r="C887" s="164"/>
      <c r="D887" s="164"/>
      <c r="E887" s="165"/>
      <c r="F887" s="173"/>
      <c r="G887" s="168"/>
      <c r="H887" s="168"/>
      <c r="I887" s="169"/>
      <c r="J887" s="170"/>
      <c r="K887" s="170"/>
      <c r="L887" s="170"/>
      <c r="M887" s="167"/>
      <c r="N887" s="169"/>
      <c r="O887" s="171"/>
      <c r="P887" s="106"/>
      <c r="Q887" s="218"/>
      <c r="R887" s="172"/>
      <c r="S887" s="172"/>
      <c r="T887" s="173"/>
      <c r="U887" s="219"/>
      <c r="V887" s="219"/>
      <c r="W887" s="219"/>
      <c r="X887" s="219"/>
      <c r="Y887" s="219"/>
      <c r="Z887" s="219"/>
      <c r="AA887" s="219"/>
      <c r="AB887" s="219"/>
      <c r="AC887" s="219"/>
      <c r="AD887" s="219"/>
      <c r="AE887" s="219"/>
      <c r="AF887" s="219"/>
      <c r="AG887" s="219"/>
      <c r="AH887" s="219"/>
      <c r="AI887" s="219"/>
      <c r="AJ887" s="219"/>
      <c r="AK887" s="219"/>
      <c r="AL887" s="219"/>
      <c r="AM887" s="219"/>
      <c r="AN887" s="219"/>
      <c r="AO887" s="219"/>
      <c r="AP887" s="219"/>
      <c r="AQ887" s="219"/>
      <c r="AR887" s="219"/>
      <c r="AS887" s="219"/>
      <c r="AT887" s="219"/>
      <c r="AU887" s="219"/>
      <c r="AV887" s="219"/>
      <c r="AW887" s="219"/>
      <c r="AX887" s="219"/>
      <c r="AY887" s="219"/>
      <c r="AZ887" s="219"/>
      <c r="BA887" s="219"/>
      <c r="BB887" s="219"/>
      <c r="BC887" s="219"/>
      <c r="BD887" s="219"/>
      <c r="BE887" s="219"/>
      <c r="BF887" s="219"/>
      <c r="BG887" s="219"/>
      <c r="BH887" s="219"/>
      <c r="BI887" s="219"/>
      <c r="BJ887" s="219"/>
      <c r="BK887" s="219"/>
      <c r="BL887" s="219"/>
      <c r="BM887" s="219"/>
      <c r="BN887" s="219"/>
    </row>
    <row r="888" ht="29.25" hidden="1" customHeight="1">
      <c r="A888" s="216"/>
      <c r="B888" s="217"/>
      <c r="C888" s="164"/>
      <c r="D888" s="164"/>
      <c r="E888" s="165"/>
      <c r="F888" s="173"/>
      <c r="G888" s="168"/>
      <c r="H888" s="168"/>
      <c r="I888" s="169"/>
      <c r="J888" s="170"/>
      <c r="K888" s="170"/>
      <c r="L888" s="170"/>
      <c r="M888" s="167"/>
      <c r="N888" s="169"/>
      <c r="O888" s="171"/>
      <c r="P888" s="106"/>
      <c r="Q888" s="218"/>
      <c r="R888" s="172"/>
      <c r="S888" s="172"/>
      <c r="T888" s="173"/>
      <c r="U888" s="219"/>
      <c r="V888" s="219"/>
      <c r="W888" s="219"/>
      <c r="X888" s="219"/>
      <c r="Y888" s="219"/>
      <c r="Z888" s="219"/>
      <c r="AA888" s="219"/>
      <c r="AB888" s="219"/>
      <c r="AC888" s="219"/>
      <c r="AD888" s="219"/>
      <c r="AE888" s="219"/>
      <c r="AF888" s="219"/>
      <c r="AG888" s="219"/>
      <c r="AH888" s="219"/>
      <c r="AI888" s="219"/>
      <c r="AJ888" s="219"/>
      <c r="AK888" s="219"/>
      <c r="AL888" s="219"/>
      <c r="AM888" s="219"/>
      <c r="AN888" s="219"/>
      <c r="AO888" s="219"/>
      <c r="AP888" s="219"/>
      <c r="AQ888" s="219"/>
      <c r="AR888" s="219"/>
      <c r="AS888" s="219"/>
      <c r="AT888" s="219"/>
      <c r="AU888" s="219"/>
      <c r="AV888" s="219"/>
      <c r="AW888" s="219"/>
      <c r="AX888" s="219"/>
      <c r="AY888" s="219"/>
      <c r="AZ888" s="219"/>
      <c r="BA888" s="219"/>
      <c r="BB888" s="219"/>
      <c r="BC888" s="219"/>
      <c r="BD888" s="219"/>
      <c r="BE888" s="219"/>
      <c r="BF888" s="219"/>
      <c r="BG888" s="219"/>
      <c r="BH888" s="219"/>
      <c r="BI888" s="219"/>
      <c r="BJ888" s="219"/>
      <c r="BK888" s="219"/>
      <c r="BL888" s="219"/>
      <c r="BM888" s="219"/>
      <c r="BN888" s="219"/>
    </row>
    <row r="889" ht="29.25" hidden="1" customHeight="1">
      <c r="A889" s="216"/>
      <c r="B889" s="217"/>
      <c r="C889" s="164"/>
      <c r="D889" s="164"/>
      <c r="E889" s="165"/>
      <c r="F889" s="173"/>
      <c r="G889" s="168"/>
      <c r="H889" s="168"/>
      <c r="I889" s="169"/>
      <c r="J889" s="170"/>
      <c r="K889" s="170"/>
      <c r="L889" s="170"/>
      <c r="M889" s="167"/>
      <c r="N889" s="169"/>
      <c r="O889" s="171"/>
      <c r="P889" s="106"/>
      <c r="Q889" s="218"/>
      <c r="R889" s="172"/>
      <c r="S889" s="172"/>
      <c r="T889" s="173"/>
      <c r="U889" s="219"/>
      <c r="V889" s="219"/>
      <c r="W889" s="219"/>
      <c r="X889" s="219"/>
      <c r="Y889" s="219"/>
      <c r="Z889" s="219"/>
      <c r="AA889" s="219"/>
      <c r="AB889" s="219"/>
      <c r="AC889" s="219"/>
      <c r="AD889" s="219"/>
      <c r="AE889" s="219"/>
      <c r="AF889" s="219"/>
      <c r="AG889" s="219"/>
      <c r="AH889" s="219"/>
      <c r="AI889" s="219"/>
      <c r="AJ889" s="219"/>
      <c r="AK889" s="219"/>
      <c r="AL889" s="219"/>
      <c r="AM889" s="219"/>
      <c r="AN889" s="219"/>
      <c r="AO889" s="219"/>
      <c r="AP889" s="219"/>
      <c r="AQ889" s="219"/>
      <c r="AR889" s="219"/>
      <c r="AS889" s="219"/>
      <c r="AT889" s="219"/>
      <c r="AU889" s="219"/>
      <c r="AV889" s="219"/>
      <c r="AW889" s="219"/>
      <c r="AX889" s="219"/>
      <c r="AY889" s="219"/>
      <c r="AZ889" s="219"/>
      <c r="BA889" s="219"/>
      <c r="BB889" s="219"/>
      <c r="BC889" s="219"/>
      <c r="BD889" s="219"/>
      <c r="BE889" s="219"/>
      <c r="BF889" s="219"/>
      <c r="BG889" s="219"/>
      <c r="BH889" s="219"/>
      <c r="BI889" s="219"/>
      <c r="BJ889" s="219"/>
      <c r="BK889" s="219"/>
      <c r="BL889" s="219"/>
      <c r="BM889" s="219"/>
      <c r="BN889" s="219"/>
    </row>
    <row r="890" ht="29.25" hidden="1" customHeight="1">
      <c r="A890" s="216"/>
      <c r="B890" s="217"/>
      <c r="C890" s="164"/>
      <c r="D890" s="164"/>
      <c r="E890" s="165"/>
      <c r="F890" s="173"/>
      <c r="G890" s="168"/>
      <c r="H890" s="168"/>
      <c r="I890" s="169"/>
      <c r="J890" s="170"/>
      <c r="K890" s="170"/>
      <c r="L890" s="170"/>
      <c r="M890" s="167"/>
      <c r="N890" s="169"/>
      <c r="O890" s="171"/>
      <c r="P890" s="106"/>
      <c r="Q890" s="218"/>
      <c r="R890" s="172"/>
      <c r="S890" s="172"/>
      <c r="T890" s="173"/>
      <c r="U890" s="219"/>
      <c r="V890" s="219"/>
      <c r="W890" s="219"/>
      <c r="X890" s="219"/>
      <c r="Y890" s="219"/>
      <c r="Z890" s="219"/>
      <c r="AA890" s="219"/>
      <c r="AB890" s="219"/>
      <c r="AC890" s="219"/>
      <c r="AD890" s="219"/>
      <c r="AE890" s="219"/>
      <c r="AF890" s="219"/>
      <c r="AG890" s="219"/>
      <c r="AH890" s="219"/>
      <c r="AI890" s="219"/>
      <c r="AJ890" s="219"/>
      <c r="AK890" s="219"/>
      <c r="AL890" s="219"/>
      <c r="AM890" s="219"/>
      <c r="AN890" s="219"/>
      <c r="AO890" s="219"/>
      <c r="AP890" s="219"/>
      <c r="AQ890" s="219"/>
      <c r="AR890" s="219"/>
      <c r="AS890" s="219"/>
      <c r="AT890" s="219"/>
      <c r="AU890" s="219"/>
      <c r="AV890" s="219"/>
      <c r="AW890" s="219"/>
      <c r="AX890" s="219"/>
      <c r="AY890" s="219"/>
      <c r="AZ890" s="219"/>
      <c r="BA890" s="219"/>
      <c r="BB890" s="219"/>
      <c r="BC890" s="219"/>
      <c r="BD890" s="219"/>
      <c r="BE890" s="219"/>
      <c r="BF890" s="219"/>
      <c r="BG890" s="219"/>
      <c r="BH890" s="219"/>
      <c r="BI890" s="219"/>
      <c r="BJ890" s="219"/>
      <c r="BK890" s="219"/>
      <c r="BL890" s="219"/>
      <c r="BM890" s="219"/>
      <c r="BN890" s="219"/>
    </row>
    <row r="891" ht="29.25" hidden="1" customHeight="1">
      <c r="A891" s="216"/>
      <c r="B891" s="217"/>
      <c r="C891" s="164"/>
      <c r="D891" s="164"/>
      <c r="E891" s="165"/>
      <c r="F891" s="173"/>
      <c r="G891" s="168"/>
      <c r="H891" s="168"/>
      <c r="I891" s="169"/>
      <c r="J891" s="170"/>
      <c r="K891" s="170"/>
      <c r="L891" s="170"/>
      <c r="M891" s="167"/>
      <c r="N891" s="169"/>
      <c r="O891" s="171"/>
      <c r="P891" s="106"/>
      <c r="Q891" s="218"/>
      <c r="R891" s="172"/>
      <c r="S891" s="172"/>
      <c r="T891" s="173"/>
      <c r="U891" s="219"/>
      <c r="V891" s="219"/>
      <c r="W891" s="219"/>
      <c r="X891" s="219"/>
      <c r="Y891" s="219"/>
      <c r="Z891" s="219"/>
      <c r="AA891" s="219"/>
      <c r="AB891" s="219"/>
      <c r="AC891" s="219"/>
      <c r="AD891" s="219"/>
      <c r="AE891" s="219"/>
      <c r="AF891" s="219"/>
      <c r="AG891" s="219"/>
      <c r="AH891" s="219"/>
      <c r="AI891" s="219"/>
      <c r="AJ891" s="219"/>
      <c r="AK891" s="219"/>
      <c r="AL891" s="219"/>
      <c r="AM891" s="219"/>
      <c r="AN891" s="219"/>
      <c r="AO891" s="219"/>
      <c r="AP891" s="219"/>
      <c r="AQ891" s="219"/>
      <c r="AR891" s="219"/>
      <c r="AS891" s="219"/>
      <c r="AT891" s="219"/>
      <c r="AU891" s="219"/>
      <c r="AV891" s="219"/>
      <c r="AW891" s="219"/>
      <c r="AX891" s="219"/>
      <c r="AY891" s="219"/>
      <c r="AZ891" s="219"/>
      <c r="BA891" s="219"/>
      <c r="BB891" s="219"/>
      <c r="BC891" s="219"/>
      <c r="BD891" s="219"/>
      <c r="BE891" s="219"/>
      <c r="BF891" s="219"/>
      <c r="BG891" s="219"/>
      <c r="BH891" s="219"/>
      <c r="BI891" s="219"/>
      <c r="BJ891" s="219"/>
      <c r="BK891" s="219"/>
      <c r="BL891" s="219"/>
      <c r="BM891" s="219"/>
      <c r="BN891" s="219"/>
    </row>
    <row r="892" ht="29.25" hidden="1" customHeight="1">
      <c r="A892" s="216"/>
      <c r="B892" s="217"/>
      <c r="C892" s="164"/>
      <c r="D892" s="164"/>
      <c r="E892" s="165"/>
      <c r="F892" s="173"/>
      <c r="G892" s="168"/>
      <c r="H892" s="168"/>
      <c r="I892" s="169"/>
      <c r="J892" s="170"/>
      <c r="K892" s="170"/>
      <c r="L892" s="170"/>
      <c r="M892" s="167"/>
      <c r="N892" s="169"/>
      <c r="O892" s="171"/>
      <c r="P892" s="106"/>
      <c r="Q892" s="218"/>
      <c r="R892" s="172"/>
      <c r="S892" s="172"/>
      <c r="T892" s="173"/>
      <c r="U892" s="219"/>
      <c r="V892" s="219"/>
      <c r="W892" s="219"/>
      <c r="X892" s="219"/>
      <c r="Y892" s="219"/>
      <c r="Z892" s="219"/>
      <c r="AA892" s="219"/>
      <c r="AB892" s="219"/>
      <c r="AC892" s="219"/>
      <c r="AD892" s="219"/>
      <c r="AE892" s="219"/>
      <c r="AF892" s="219"/>
      <c r="AG892" s="219"/>
      <c r="AH892" s="219"/>
      <c r="AI892" s="219"/>
      <c r="AJ892" s="219"/>
      <c r="AK892" s="219"/>
      <c r="AL892" s="219"/>
      <c r="AM892" s="219"/>
      <c r="AN892" s="219"/>
      <c r="AO892" s="219"/>
      <c r="AP892" s="219"/>
      <c r="AQ892" s="219"/>
      <c r="AR892" s="219"/>
      <c r="AS892" s="219"/>
      <c r="AT892" s="219"/>
      <c r="AU892" s="219"/>
      <c r="AV892" s="219"/>
      <c r="AW892" s="219"/>
      <c r="AX892" s="219"/>
      <c r="AY892" s="219"/>
      <c r="AZ892" s="219"/>
      <c r="BA892" s="219"/>
      <c r="BB892" s="219"/>
      <c r="BC892" s="219"/>
      <c r="BD892" s="219"/>
      <c r="BE892" s="219"/>
      <c r="BF892" s="219"/>
      <c r="BG892" s="219"/>
      <c r="BH892" s="219"/>
      <c r="BI892" s="219"/>
      <c r="BJ892" s="219"/>
      <c r="BK892" s="219"/>
      <c r="BL892" s="219"/>
      <c r="BM892" s="219"/>
      <c r="BN892" s="219"/>
    </row>
    <row r="893" ht="29.25" hidden="1" customHeight="1">
      <c r="A893" s="216"/>
      <c r="B893" s="217"/>
      <c r="C893" s="164"/>
      <c r="D893" s="164"/>
      <c r="E893" s="165"/>
      <c r="F893" s="173"/>
      <c r="G893" s="168"/>
      <c r="H893" s="168"/>
      <c r="I893" s="169"/>
      <c r="J893" s="170"/>
      <c r="K893" s="170"/>
      <c r="L893" s="170"/>
      <c r="M893" s="167"/>
      <c r="N893" s="169"/>
      <c r="O893" s="171"/>
      <c r="P893" s="106"/>
      <c r="Q893" s="218"/>
      <c r="R893" s="172"/>
      <c r="S893" s="172"/>
      <c r="T893" s="173"/>
      <c r="U893" s="219"/>
      <c r="V893" s="219"/>
      <c r="W893" s="219"/>
      <c r="X893" s="219"/>
      <c r="Y893" s="219"/>
      <c r="Z893" s="219"/>
      <c r="AA893" s="219"/>
      <c r="AB893" s="219"/>
      <c r="AC893" s="219"/>
      <c r="AD893" s="219"/>
      <c r="AE893" s="219"/>
      <c r="AF893" s="219"/>
      <c r="AG893" s="219"/>
      <c r="AH893" s="219"/>
      <c r="AI893" s="219"/>
      <c r="AJ893" s="219"/>
      <c r="AK893" s="219"/>
      <c r="AL893" s="219"/>
      <c r="AM893" s="219"/>
      <c r="AN893" s="219"/>
      <c r="AO893" s="219"/>
      <c r="AP893" s="219"/>
      <c r="AQ893" s="219"/>
      <c r="AR893" s="219"/>
      <c r="AS893" s="219"/>
      <c r="AT893" s="219"/>
      <c r="AU893" s="219"/>
      <c r="AV893" s="219"/>
      <c r="AW893" s="219"/>
      <c r="AX893" s="219"/>
      <c r="AY893" s="219"/>
      <c r="AZ893" s="219"/>
      <c r="BA893" s="219"/>
      <c r="BB893" s="219"/>
      <c r="BC893" s="219"/>
      <c r="BD893" s="219"/>
      <c r="BE893" s="219"/>
      <c r="BF893" s="219"/>
      <c r="BG893" s="219"/>
      <c r="BH893" s="219"/>
      <c r="BI893" s="219"/>
      <c r="BJ893" s="219"/>
      <c r="BK893" s="219"/>
      <c r="BL893" s="219"/>
      <c r="BM893" s="219"/>
      <c r="BN893" s="219"/>
    </row>
    <row r="894" ht="29.25" hidden="1" customHeight="1">
      <c r="A894" s="216"/>
      <c r="B894" s="217"/>
      <c r="C894" s="164"/>
      <c r="D894" s="164"/>
      <c r="E894" s="165"/>
      <c r="F894" s="173"/>
      <c r="G894" s="168"/>
      <c r="H894" s="168"/>
      <c r="I894" s="169"/>
      <c r="J894" s="170"/>
      <c r="K894" s="170"/>
      <c r="L894" s="170"/>
      <c r="M894" s="167"/>
      <c r="N894" s="169"/>
      <c r="O894" s="171"/>
      <c r="P894" s="106"/>
      <c r="Q894" s="218"/>
      <c r="R894" s="172"/>
      <c r="S894" s="172"/>
      <c r="T894" s="173"/>
      <c r="U894" s="219"/>
      <c r="V894" s="219"/>
      <c r="W894" s="219"/>
      <c r="X894" s="219"/>
      <c r="Y894" s="219"/>
      <c r="Z894" s="219"/>
      <c r="AA894" s="219"/>
      <c r="AB894" s="219"/>
      <c r="AC894" s="219"/>
      <c r="AD894" s="219"/>
      <c r="AE894" s="219"/>
      <c r="AF894" s="219"/>
      <c r="AG894" s="219"/>
      <c r="AH894" s="219"/>
      <c r="AI894" s="219"/>
      <c r="AJ894" s="219"/>
      <c r="AK894" s="219"/>
      <c r="AL894" s="219"/>
      <c r="AM894" s="219"/>
      <c r="AN894" s="219"/>
      <c r="AO894" s="219"/>
      <c r="AP894" s="219"/>
      <c r="AQ894" s="219"/>
      <c r="AR894" s="219"/>
      <c r="AS894" s="219"/>
      <c r="AT894" s="219"/>
      <c r="AU894" s="219"/>
      <c r="AV894" s="219"/>
      <c r="AW894" s="219"/>
      <c r="AX894" s="219"/>
      <c r="AY894" s="219"/>
      <c r="AZ894" s="219"/>
      <c r="BA894" s="219"/>
      <c r="BB894" s="219"/>
      <c r="BC894" s="219"/>
      <c r="BD894" s="219"/>
      <c r="BE894" s="219"/>
      <c r="BF894" s="219"/>
      <c r="BG894" s="219"/>
      <c r="BH894" s="219"/>
      <c r="BI894" s="219"/>
      <c r="BJ894" s="219"/>
      <c r="BK894" s="219"/>
      <c r="BL894" s="219"/>
      <c r="BM894" s="219"/>
      <c r="BN894" s="219"/>
    </row>
    <row r="895" ht="29.25" hidden="1" customHeight="1">
      <c r="A895" s="216"/>
      <c r="B895" s="217"/>
      <c r="C895" s="164"/>
      <c r="D895" s="164"/>
      <c r="E895" s="165"/>
      <c r="F895" s="173"/>
      <c r="G895" s="168"/>
      <c r="H895" s="168"/>
      <c r="I895" s="169"/>
      <c r="J895" s="170"/>
      <c r="K895" s="170"/>
      <c r="L895" s="170"/>
      <c r="M895" s="167"/>
      <c r="N895" s="169"/>
      <c r="O895" s="171"/>
      <c r="P895" s="106"/>
      <c r="Q895" s="218"/>
      <c r="R895" s="172"/>
      <c r="S895" s="172"/>
      <c r="T895" s="173"/>
      <c r="U895" s="219"/>
      <c r="V895" s="219"/>
      <c r="W895" s="219"/>
      <c r="X895" s="219"/>
      <c r="Y895" s="219"/>
      <c r="Z895" s="219"/>
      <c r="AA895" s="219"/>
      <c r="AB895" s="219"/>
      <c r="AC895" s="219"/>
      <c r="AD895" s="219"/>
      <c r="AE895" s="219"/>
      <c r="AF895" s="219"/>
      <c r="AG895" s="219"/>
      <c r="AH895" s="219"/>
      <c r="AI895" s="219"/>
      <c r="AJ895" s="219"/>
      <c r="AK895" s="219"/>
      <c r="AL895" s="219"/>
      <c r="AM895" s="219"/>
      <c r="AN895" s="219"/>
      <c r="AO895" s="219"/>
      <c r="AP895" s="219"/>
      <c r="AQ895" s="219"/>
      <c r="AR895" s="219"/>
      <c r="AS895" s="219"/>
      <c r="AT895" s="219"/>
      <c r="AU895" s="219"/>
      <c r="AV895" s="219"/>
      <c r="AW895" s="219"/>
      <c r="AX895" s="219"/>
      <c r="AY895" s="219"/>
      <c r="AZ895" s="219"/>
      <c r="BA895" s="219"/>
      <c r="BB895" s="219"/>
      <c r="BC895" s="219"/>
      <c r="BD895" s="219"/>
      <c r="BE895" s="219"/>
      <c r="BF895" s="219"/>
      <c r="BG895" s="219"/>
      <c r="BH895" s="219"/>
      <c r="BI895" s="219"/>
      <c r="BJ895" s="219"/>
      <c r="BK895" s="219"/>
      <c r="BL895" s="219"/>
      <c r="BM895" s="219"/>
      <c r="BN895" s="219"/>
    </row>
    <row r="896" ht="29.25" hidden="1" customHeight="1">
      <c r="A896" s="216"/>
      <c r="B896" s="217"/>
      <c r="C896" s="164"/>
      <c r="D896" s="164"/>
      <c r="E896" s="165"/>
      <c r="F896" s="173"/>
      <c r="G896" s="168"/>
      <c r="H896" s="168"/>
      <c r="I896" s="169"/>
      <c r="J896" s="170"/>
      <c r="K896" s="170"/>
      <c r="L896" s="170"/>
      <c r="M896" s="167"/>
      <c r="N896" s="169"/>
      <c r="O896" s="171"/>
      <c r="P896" s="106"/>
      <c r="Q896" s="218"/>
      <c r="R896" s="172"/>
      <c r="S896" s="172"/>
      <c r="T896" s="173"/>
      <c r="U896" s="219"/>
      <c r="V896" s="219"/>
      <c r="W896" s="219"/>
      <c r="X896" s="219"/>
      <c r="Y896" s="219"/>
      <c r="Z896" s="219"/>
      <c r="AA896" s="219"/>
      <c r="AB896" s="219"/>
      <c r="AC896" s="219"/>
      <c r="AD896" s="219"/>
      <c r="AE896" s="219"/>
      <c r="AF896" s="219"/>
      <c r="AG896" s="219"/>
      <c r="AH896" s="219"/>
      <c r="AI896" s="219"/>
      <c r="AJ896" s="219"/>
      <c r="AK896" s="219"/>
      <c r="AL896" s="219"/>
      <c r="AM896" s="219"/>
      <c r="AN896" s="219"/>
      <c r="AO896" s="219"/>
      <c r="AP896" s="219"/>
      <c r="AQ896" s="219"/>
      <c r="AR896" s="219"/>
      <c r="AS896" s="219"/>
      <c r="AT896" s="219"/>
      <c r="AU896" s="219"/>
      <c r="AV896" s="219"/>
      <c r="AW896" s="219"/>
      <c r="AX896" s="219"/>
      <c r="AY896" s="219"/>
      <c r="AZ896" s="219"/>
      <c r="BA896" s="219"/>
      <c r="BB896" s="219"/>
      <c r="BC896" s="219"/>
      <c r="BD896" s="219"/>
      <c r="BE896" s="219"/>
      <c r="BF896" s="219"/>
      <c r="BG896" s="219"/>
      <c r="BH896" s="219"/>
      <c r="BI896" s="219"/>
      <c r="BJ896" s="219"/>
      <c r="BK896" s="219"/>
      <c r="BL896" s="219"/>
      <c r="BM896" s="219"/>
      <c r="BN896" s="219"/>
    </row>
    <row r="897" ht="29.25" hidden="1" customHeight="1">
      <c r="A897" s="216"/>
      <c r="B897" s="217"/>
      <c r="C897" s="164"/>
      <c r="D897" s="164"/>
      <c r="E897" s="165"/>
      <c r="F897" s="173"/>
      <c r="G897" s="168"/>
      <c r="H897" s="168"/>
      <c r="I897" s="169"/>
      <c r="J897" s="170"/>
      <c r="K897" s="170"/>
      <c r="L897" s="170"/>
      <c r="M897" s="167"/>
      <c r="N897" s="169"/>
      <c r="O897" s="171"/>
      <c r="P897" s="106"/>
      <c r="Q897" s="218"/>
      <c r="R897" s="172"/>
      <c r="S897" s="172"/>
      <c r="T897" s="173"/>
      <c r="U897" s="219"/>
      <c r="V897" s="219"/>
      <c r="W897" s="219"/>
      <c r="X897" s="219"/>
      <c r="Y897" s="219"/>
      <c r="Z897" s="219"/>
      <c r="AA897" s="219"/>
      <c r="AB897" s="219"/>
      <c r="AC897" s="219"/>
      <c r="AD897" s="219"/>
      <c r="AE897" s="219"/>
      <c r="AF897" s="219"/>
      <c r="AG897" s="219"/>
      <c r="AH897" s="219"/>
      <c r="AI897" s="219"/>
      <c r="AJ897" s="219"/>
      <c r="AK897" s="219"/>
      <c r="AL897" s="219"/>
      <c r="AM897" s="219"/>
      <c r="AN897" s="219"/>
      <c r="AO897" s="219"/>
      <c r="AP897" s="219"/>
      <c r="AQ897" s="219"/>
      <c r="AR897" s="219"/>
      <c r="AS897" s="219"/>
      <c r="AT897" s="219"/>
      <c r="AU897" s="219"/>
      <c r="AV897" s="219"/>
      <c r="AW897" s="219"/>
      <c r="AX897" s="219"/>
      <c r="AY897" s="219"/>
      <c r="AZ897" s="219"/>
      <c r="BA897" s="219"/>
      <c r="BB897" s="219"/>
      <c r="BC897" s="219"/>
      <c r="BD897" s="219"/>
      <c r="BE897" s="219"/>
      <c r="BF897" s="219"/>
      <c r="BG897" s="219"/>
      <c r="BH897" s="219"/>
      <c r="BI897" s="219"/>
      <c r="BJ897" s="219"/>
      <c r="BK897" s="219"/>
      <c r="BL897" s="219"/>
      <c r="BM897" s="219"/>
      <c r="BN897" s="219"/>
    </row>
    <row r="898" ht="29.25" hidden="1" customHeight="1">
      <c r="A898" s="216"/>
      <c r="B898" s="217"/>
      <c r="C898" s="164"/>
      <c r="D898" s="164"/>
      <c r="E898" s="165"/>
      <c r="F898" s="173"/>
      <c r="G898" s="168"/>
      <c r="H898" s="168"/>
      <c r="I898" s="169"/>
      <c r="J898" s="170"/>
      <c r="K898" s="170"/>
      <c r="L898" s="170"/>
      <c r="M898" s="167"/>
      <c r="N898" s="169"/>
      <c r="O898" s="171"/>
      <c r="P898" s="106"/>
      <c r="Q898" s="218"/>
      <c r="R898" s="172"/>
      <c r="S898" s="172"/>
      <c r="T898" s="173"/>
      <c r="U898" s="219"/>
      <c r="V898" s="219"/>
      <c r="W898" s="219"/>
      <c r="X898" s="219"/>
      <c r="Y898" s="219"/>
      <c r="Z898" s="219"/>
      <c r="AA898" s="219"/>
      <c r="AB898" s="219"/>
      <c r="AC898" s="219"/>
      <c r="AD898" s="219"/>
      <c r="AE898" s="219"/>
      <c r="AF898" s="219"/>
      <c r="AG898" s="219"/>
      <c r="AH898" s="219"/>
      <c r="AI898" s="219"/>
      <c r="AJ898" s="219"/>
      <c r="AK898" s="219"/>
      <c r="AL898" s="219"/>
      <c r="AM898" s="219"/>
      <c r="AN898" s="219"/>
      <c r="AO898" s="219"/>
      <c r="AP898" s="219"/>
      <c r="AQ898" s="219"/>
      <c r="AR898" s="219"/>
      <c r="AS898" s="219"/>
      <c r="AT898" s="219"/>
      <c r="AU898" s="219"/>
      <c r="AV898" s="219"/>
      <c r="AW898" s="219"/>
      <c r="AX898" s="219"/>
      <c r="AY898" s="219"/>
      <c r="AZ898" s="219"/>
      <c r="BA898" s="219"/>
      <c r="BB898" s="219"/>
      <c r="BC898" s="219"/>
      <c r="BD898" s="219"/>
      <c r="BE898" s="219"/>
      <c r="BF898" s="219"/>
      <c r="BG898" s="219"/>
      <c r="BH898" s="219"/>
      <c r="BI898" s="219"/>
      <c r="BJ898" s="219"/>
      <c r="BK898" s="219"/>
      <c r="BL898" s="219"/>
      <c r="BM898" s="219"/>
      <c r="BN898" s="219"/>
    </row>
    <row r="899" ht="29.25" hidden="1" customHeight="1">
      <c r="A899" s="216"/>
      <c r="B899" s="217"/>
      <c r="C899" s="164"/>
      <c r="D899" s="164"/>
      <c r="E899" s="165"/>
      <c r="F899" s="173"/>
      <c r="G899" s="168"/>
      <c r="H899" s="168"/>
      <c r="I899" s="169"/>
      <c r="J899" s="170"/>
      <c r="K899" s="170"/>
      <c r="L899" s="170"/>
      <c r="M899" s="167"/>
      <c r="N899" s="169"/>
      <c r="O899" s="171"/>
      <c r="P899" s="106"/>
      <c r="Q899" s="218"/>
      <c r="R899" s="172"/>
      <c r="S899" s="172"/>
      <c r="T899" s="173"/>
      <c r="U899" s="219"/>
      <c r="V899" s="219"/>
      <c r="W899" s="219"/>
      <c r="X899" s="219"/>
      <c r="Y899" s="219"/>
      <c r="Z899" s="219"/>
      <c r="AA899" s="219"/>
      <c r="AB899" s="219"/>
      <c r="AC899" s="219"/>
      <c r="AD899" s="219"/>
      <c r="AE899" s="219"/>
      <c r="AF899" s="219"/>
      <c r="AG899" s="219"/>
      <c r="AH899" s="219"/>
      <c r="AI899" s="219"/>
      <c r="AJ899" s="219"/>
      <c r="AK899" s="219"/>
      <c r="AL899" s="219"/>
      <c r="AM899" s="219"/>
      <c r="AN899" s="219"/>
      <c r="AO899" s="219"/>
      <c r="AP899" s="219"/>
      <c r="AQ899" s="219"/>
      <c r="AR899" s="219"/>
      <c r="AS899" s="219"/>
      <c r="AT899" s="219"/>
      <c r="AU899" s="219"/>
      <c r="AV899" s="219"/>
      <c r="AW899" s="219"/>
      <c r="AX899" s="219"/>
      <c r="AY899" s="219"/>
      <c r="AZ899" s="219"/>
      <c r="BA899" s="219"/>
      <c r="BB899" s="219"/>
      <c r="BC899" s="219"/>
      <c r="BD899" s="219"/>
      <c r="BE899" s="219"/>
      <c r="BF899" s="219"/>
      <c r="BG899" s="219"/>
      <c r="BH899" s="219"/>
      <c r="BI899" s="219"/>
      <c r="BJ899" s="219"/>
      <c r="BK899" s="219"/>
      <c r="BL899" s="219"/>
      <c r="BM899" s="219"/>
      <c r="BN899" s="219"/>
    </row>
    <row r="900" ht="29.25" hidden="1" customHeight="1">
      <c r="A900" s="216"/>
      <c r="B900" s="217"/>
      <c r="C900" s="164"/>
      <c r="D900" s="164"/>
      <c r="E900" s="165"/>
      <c r="F900" s="173"/>
      <c r="G900" s="168"/>
      <c r="H900" s="168"/>
      <c r="I900" s="169"/>
      <c r="J900" s="170"/>
      <c r="K900" s="170"/>
      <c r="L900" s="170"/>
      <c r="M900" s="167"/>
      <c r="N900" s="169"/>
      <c r="O900" s="171"/>
      <c r="P900" s="106"/>
      <c r="Q900" s="218"/>
      <c r="R900" s="172"/>
      <c r="S900" s="172"/>
      <c r="T900" s="173"/>
      <c r="U900" s="219"/>
      <c r="V900" s="219"/>
      <c r="W900" s="219"/>
      <c r="X900" s="219"/>
      <c r="Y900" s="219"/>
      <c r="Z900" s="219"/>
      <c r="AA900" s="219"/>
      <c r="AB900" s="219"/>
      <c r="AC900" s="219"/>
      <c r="AD900" s="219"/>
      <c r="AE900" s="219"/>
      <c r="AF900" s="219"/>
      <c r="AG900" s="219"/>
      <c r="AH900" s="219"/>
      <c r="AI900" s="219"/>
      <c r="AJ900" s="219"/>
      <c r="AK900" s="219"/>
      <c r="AL900" s="219"/>
      <c r="AM900" s="219"/>
      <c r="AN900" s="219"/>
      <c r="AO900" s="219"/>
      <c r="AP900" s="219"/>
      <c r="AQ900" s="219"/>
      <c r="AR900" s="219"/>
      <c r="AS900" s="219"/>
      <c r="AT900" s="219"/>
      <c r="AU900" s="219"/>
      <c r="AV900" s="219"/>
      <c r="AW900" s="219"/>
      <c r="AX900" s="219"/>
      <c r="AY900" s="219"/>
      <c r="AZ900" s="219"/>
      <c r="BA900" s="219"/>
      <c r="BB900" s="219"/>
      <c r="BC900" s="219"/>
      <c r="BD900" s="219"/>
      <c r="BE900" s="219"/>
      <c r="BF900" s="219"/>
      <c r="BG900" s="219"/>
      <c r="BH900" s="219"/>
      <c r="BI900" s="219"/>
      <c r="BJ900" s="219"/>
      <c r="BK900" s="219"/>
      <c r="BL900" s="219"/>
      <c r="BM900" s="219"/>
      <c r="BN900" s="219"/>
    </row>
    <row r="901" ht="29.25" hidden="1" customHeight="1">
      <c r="A901" s="216"/>
      <c r="B901" s="217"/>
      <c r="C901" s="164"/>
      <c r="D901" s="164"/>
      <c r="E901" s="165"/>
      <c r="F901" s="173"/>
      <c r="G901" s="168"/>
      <c r="H901" s="168"/>
      <c r="I901" s="169"/>
      <c r="J901" s="170"/>
      <c r="K901" s="170"/>
      <c r="L901" s="170"/>
      <c r="M901" s="167"/>
      <c r="N901" s="169"/>
      <c r="O901" s="171"/>
      <c r="P901" s="106"/>
      <c r="Q901" s="218"/>
      <c r="R901" s="172"/>
      <c r="S901" s="172"/>
      <c r="T901" s="173"/>
      <c r="U901" s="219"/>
      <c r="V901" s="219"/>
      <c r="W901" s="219"/>
      <c r="X901" s="219"/>
      <c r="Y901" s="219"/>
      <c r="Z901" s="219"/>
      <c r="AA901" s="219"/>
      <c r="AB901" s="219"/>
      <c r="AC901" s="219"/>
      <c r="AD901" s="219"/>
      <c r="AE901" s="219"/>
      <c r="AF901" s="219"/>
      <c r="AG901" s="219"/>
      <c r="AH901" s="219"/>
      <c r="AI901" s="219"/>
      <c r="AJ901" s="219"/>
      <c r="AK901" s="219"/>
      <c r="AL901" s="219"/>
      <c r="AM901" s="219"/>
      <c r="AN901" s="219"/>
      <c r="AO901" s="219"/>
      <c r="AP901" s="219"/>
      <c r="AQ901" s="219"/>
      <c r="AR901" s="219"/>
      <c r="AS901" s="219"/>
      <c r="AT901" s="219"/>
      <c r="AU901" s="219"/>
      <c r="AV901" s="219"/>
      <c r="AW901" s="219"/>
      <c r="AX901" s="219"/>
      <c r="AY901" s="219"/>
      <c r="AZ901" s="219"/>
      <c r="BA901" s="219"/>
      <c r="BB901" s="219"/>
      <c r="BC901" s="219"/>
      <c r="BD901" s="219"/>
      <c r="BE901" s="219"/>
      <c r="BF901" s="219"/>
      <c r="BG901" s="219"/>
      <c r="BH901" s="219"/>
      <c r="BI901" s="219"/>
      <c r="BJ901" s="219"/>
      <c r="BK901" s="219"/>
      <c r="BL901" s="219"/>
      <c r="BM901" s="219"/>
      <c r="BN901" s="219"/>
    </row>
    <row r="902" ht="29.25" hidden="1" customHeight="1">
      <c r="A902" s="216"/>
      <c r="B902" s="217"/>
      <c r="C902" s="164"/>
      <c r="D902" s="164"/>
      <c r="E902" s="165"/>
      <c r="F902" s="173"/>
      <c r="G902" s="168"/>
      <c r="H902" s="168"/>
      <c r="I902" s="169"/>
      <c r="J902" s="170"/>
      <c r="K902" s="170"/>
      <c r="L902" s="170"/>
      <c r="M902" s="167"/>
      <c r="N902" s="169"/>
      <c r="O902" s="171"/>
      <c r="P902" s="106"/>
      <c r="Q902" s="218"/>
      <c r="R902" s="172"/>
      <c r="S902" s="172"/>
      <c r="T902" s="173"/>
      <c r="U902" s="219"/>
      <c r="V902" s="219"/>
      <c r="W902" s="219"/>
      <c r="X902" s="219"/>
      <c r="Y902" s="219"/>
      <c r="Z902" s="219"/>
      <c r="AA902" s="219"/>
      <c r="AB902" s="219"/>
      <c r="AC902" s="219"/>
      <c r="AD902" s="219"/>
      <c r="AE902" s="219"/>
      <c r="AF902" s="219"/>
      <c r="AG902" s="219"/>
      <c r="AH902" s="219"/>
      <c r="AI902" s="219"/>
      <c r="AJ902" s="219"/>
      <c r="AK902" s="219"/>
      <c r="AL902" s="219"/>
      <c r="AM902" s="219"/>
      <c r="AN902" s="219"/>
      <c r="AO902" s="219"/>
      <c r="AP902" s="219"/>
      <c r="AQ902" s="219"/>
      <c r="AR902" s="219"/>
      <c r="AS902" s="219"/>
      <c r="AT902" s="219"/>
      <c r="AU902" s="219"/>
      <c r="AV902" s="219"/>
      <c r="AW902" s="219"/>
      <c r="AX902" s="219"/>
      <c r="AY902" s="219"/>
      <c r="AZ902" s="219"/>
      <c r="BA902" s="219"/>
      <c r="BB902" s="219"/>
      <c r="BC902" s="219"/>
      <c r="BD902" s="219"/>
      <c r="BE902" s="219"/>
      <c r="BF902" s="219"/>
      <c r="BG902" s="219"/>
      <c r="BH902" s="219"/>
      <c r="BI902" s="219"/>
      <c r="BJ902" s="219"/>
      <c r="BK902" s="219"/>
      <c r="BL902" s="219"/>
      <c r="BM902" s="219"/>
      <c r="BN902" s="219"/>
    </row>
    <row r="903" ht="29.25" hidden="1" customHeight="1">
      <c r="A903" s="216"/>
      <c r="B903" s="217"/>
      <c r="C903" s="164"/>
      <c r="D903" s="164"/>
      <c r="E903" s="165"/>
      <c r="F903" s="173"/>
      <c r="G903" s="168"/>
      <c r="H903" s="168"/>
      <c r="I903" s="169"/>
      <c r="J903" s="170"/>
      <c r="K903" s="170"/>
      <c r="L903" s="170"/>
      <c r="M903" s="167"/>
      <c r="N903" s="169"/>
      <c r="O903" s="171"/>
      <c r="P903" s="106"/>
      <c r="Q903" s="218"/>
      <c r="R903" s="172"/>
      <c r="S903" s="172"/>
      <c r="T903" s="173"/>
      <c r="U903" s="219"/>
      <c r="V903" s="219"/>
      <c r="W903" s="219"/>
      <c r="X903" s="219"/>
      <c r="Y903" s="219"/>
      <c r="Z903" s="219"/>
      <c r="AA903" s="219"/>
      <c r="AB903" s="219"/>
      <c r="AC903" s="219"/>
      <c r="AD903" s="219"/>
      <c r="AE903" s="219"/>
      <c r="AF903" s="219"/>
      <c r="AG903" s="219"/>
      <c r="AH903" s="219"/>
      <c r="AI903" s="219"/>
      <c r="AJ903" s="219"/>
      <c r="AK903" s="219"/>
      <c r="AL903" s="219"/>
      <c r="AM903" s="219"/>
      <c r="AN903" s="219"/>
      <c r="AO903" s="219"/>
      <c r="AP903" s="219"/>
      <c r="AQ903" s="219"/>
      <c r="AR903" s="219"/>
      <c r="AS903" s="219"/>
      <c r="AT903" s="219"/>
      <c r="AU903" s="219"/>
      <c r="AV903" s="219"/>
      <c r="AW903" s="219"/>
      <c r="AX903" s="219"/>
      <c r="AY903" s="219"/>
      <c r="AZ903" s="219"/>
      <c r="BA903" s="219"/>
      <c r="BB903" s="219"/>
      <c r="BC903" s="219"/>
      <c r="BD903" s="219"/>
      <c r="BE903" s="219"/>
      <c r="BF903" s="219"/>
      <c r="BG903" s="219"/>
      <c r="BH903" s="219"/>
      <c r="BI903" s="219"/>
      <c r="BJ903" s="219"/>
      <c r="BK903" s="219"/>
      <c r="BL903" s="219"/>
      <c r="BM903" s="219"/>
      <c r="BN903" s="219"/>
    </row>
    <row r="904" ht="29.25" hidden="1" customHeight="1">
      <c r="A904" s="216"/>
      <c r="B904" s="217"/>
      <c r="C904" s="164"/>
      <c r="D904" s="164"/>
      <c r="E904" s="165"/>
      <c r="F904" s="173"/>
      <c r="G904" s="168"/>
      <c r="H904" s="168"/>
      <c r="I904" s="169"/>
      <c r="J904" s="170"/>
      <c r="K904" s="170"/>
      <c r="L904" s="170"/>
      <c r="M904" s="167"/>
      <c r="N904" s="169"/>
      <c r="O904" s="171"/>
      <c r="P904" s="106"/>
      <c r="Q904" s="218"/>
      <c r="R904" s="172"/>
      <c r="S904" s="172"/>
      <c r="T904" s="173"/>
      <c r="U904" s="219"/>
      <c r="V904" s="219"/>
      <c r="W904" s="219"/>
      <c r="X904" s="219"/>
      <c r="Y904" s="219"/>
      <c r="Z904" s="219"/>
      <c r="AA904" s="219"/>
      <c r="AB904" s="219"/>
      <c r="AC904" s="219"/>
      <c r="AD904" s="219"/>
      <c r="AE904" s="219"/>
      <c r="AF904" s="219"/>
      <c r="AG904" s="219"/>
      <c r="AH904" s="219"/>
      <c r="AI904" s="219"/>
      <c r="AJ904" s="219"/>
      <c r="AK904" s="219"/>
      <c r="AL904" s="219"/>
      <c r="AM904" s="219"/>
      <c r="AN904" s="219"/>
      <c r="AO904" s="219"/>
      <c r="AP904" s="219"/>
      <c r="AQ904" s="219"/>
      <c r="AR904" s="219"/>
      <c r="AS904" s="219"/>
      <c r="AT904" s="219"/>
      <c r="AU904" s="219"/>
      <c r="AV904" s="219"/>
      <c r="AW904" s="219"/>
      <c r="AX904" s="219"/>
      <c r="AY904" s="219"/>
      <c r="AZ904" s="219"/>
      <c r="BA904" s="219"/>
      <c r="BB904" s="219"/>
      <c r="BC904" s="219"/>
      <c r="BD904" s="219"/>
      <c r="BE904" s="219"/>
      <c r="BF904" s="219"/>
      <c r="BG904" s="219"/>
      <c r="BH904" s="219"/>
      <c r="BI904" s="219"/>
      <c r="BJ904" s="219"/>
      <c r="BK904" s="219"/>
      <c r="BL904" s="219"/>
      <c r="BM904" s="219"/>
      <c r="BN904" s="219"/>
    </row>
    <row r="905" ht="29.25" hidden="1" customHeight="1">
      <c r="A905" s="216"/>
      <c r="B905" s="217"/>
      <c r="C905" s="164"/>
      <c r="D905" s="164"/>
      <c r="E905" s="165"/>
      <c r="F905" s="173"/>
      <c r="G905" s="168"/>
      <c r="H905" s="168"/>
      <c r="I905" s="169"/>
      <c r="J905" s="170"/>
      <c r="K905" s="170"/>
      <c r="L905" s="170"/>
      <c r="M905" s="167"/>
      <c r="N905" s="169"/>
      <c r="O905" s="171"/>
      <c r="P905" s="106"/>
      <c r="Q905" s="218"/>
      <c r="R905" s="172"/>
      <c r="S905" s="172"/>
      <c r="T905" s="173"/>
      <c r="U905" s="219"/>
      <c r="V905" s="219"/>
      <c r="W905" s="219"/>
      <c r="X905" s="219"/>
      <c r="Y905" s="219"/>
      <c r="Z905" s="219"/>
      <c r="AA905" s="219"/>
      <c r="AB905" s="219"/>
      <c r="AC905" s="219"/>
      <c r="AD905" s="219"/>
      <c r="AE905" s="219"/>
      <c r="AF905" s="219"/>
      <c r="AG905" s="219"/>
      <c r="AH905" s="219"/>
      <c r="AI905" s="219"/>
      <c r="AJ905" s="219"/>
      <c r="AK905" s="219"/>
      <c r="AL905" s="219"/>
      <c r="AM905" s="219"/>
      <c r="AN905" s="219"/>
      <c r="AO905" s="219"/>
      <c r="AP905" s="219"/>
      <c r="AQ905" s="219"/>
      <c r="AR905" s="219"/>
      <c r="AS905" s="219"/>
      <c r="AT905" s="219"/>
      <c r="AU905" s="219"/>
      <c r="AV905" s="219"/>
      <c r="AW905" s="219"/>
      <c r="AX905" s="219"/>
      <c r="AY905" s="219"/>
      <c r="AZ905" s="219"/>
      <c r="BA905" s="219"/>
      <c r="BB905" s="219"/>
      <c r="BC905" s="219"/>
      <c r="BD905" s="219"/>
      <c r="BE905" s="219"/>
      <c r="BF905" s="219"/>
      <c r="BG905" s="219"/>
      <c r="BH905" s="219"/>
      <c r="BI905" s="219"/>
      <c r="BJ905" s="219"/>
      <c r="BK905" s="219"/>
      <c r="BL905" s="219"/>
      <c r="BM905" s="219"/>
      <c r="BN905" s="219"/>
    </row>
    <row r="906" ht="29.25" hidden="1" customHeight="1">
      <c r="A906" s="216"/>
      <c r="B906" s="217"/>
      <c r="C906" s="164"/>
      <c r="D906" s="164"/>
      <c r="E906" s="165"/>
      <c r="F906" s="173"/>
      <c r="G906" s="168"/>
      <c r="H906" s="168"/>
      <c r="I906" s="169"/>
      <c r="J906" s="170"/>
      <c r="K906" s="170"/>
      <c r="L906" s="170"/>
      <c r="M906" s="167"/>
      <c r="N906" s="169"/>
      <c r="O906" s="171"/>
      <c r="P906" s="106"/>
      <c r="Q906" s="218"/>
      <c r="R906" s="172"/>
      <c r="S906" s="172"/>
      <c r="T906" s="173"/>
      <c r="U906" s="219"/>
      <c r="V906" s="219"/>
      <c r="W906" s="219"/>
      <c r="X906" s="219"/>
      <c r="Y906" s="219"/>
      <c r="Z906" s="219"/>
      <c r="AA906" s="219"/>
      <c r="AB906" s="219"/>
      <c r="AC906" s="219"/>
      <c r="AD906" s="219"/>
      <c r="AE906" s="219"/>
      <c r="AF906" s="219"/>
      <c r="AG906" s="219"/>
      <c r="AH906" s="219"/>
      <c r="AI906" s="219"/>
      <c r="AJ906" s="219"/>
      <c r="AK906" s="219"/>
      <c r="AL906" s="219"/>
      <c r="AM906" s="219"/>
      <c r="AN906" s="219"/>
      <c r="AO906" s="219"/>
      <c r="AP906" s="219"/>
      <c r="AQ906" s="219"/>
      <c r="AR906" s="219"/>
      <c r="AS906" s="219"/>
      <c r="AT906" s="219"/>
      <c r="AU906" s="219"/>
      <c r="AV906" s="219"/>
      <c r="AW906" s="219"/>
      <c r="AX906" s="219"/>
      <c r="AY906" s="219"/>
      <c r="AZ906" s="219"/>
      <c r="BA906" s="219"/>
      <c r="BB906" s="219"/>
      <c r="BC906" s="219"/>
      <c r="BD906" s="219"/>
      <c r="BE906" s="219"/>
      <c r="BF906" s="219"/>
      <c r="BG906" s="219"/>
      <c r="BH906" s="219"/>
      <c r="BI906" s="219"/>
      <c r="BJ906" s="219"/>
      <c r="BK906" s="219"/>
      <c r="BL906" s="219"/>
      <c r="BM906" s="219"/>
      <c r="BN906" s="219"/>
    </row>
    <row r="907" ht="29.25" hidden="1" customHeight="1">
      <c r="A907" s="216"/>
      <c r="B907" s="217"/>
      <c r="C907" s="164"/>
      <c r="D907" s="164"/>
      <c r="E907" s="165"/>
      <c r="F907" s="173"/>
      <c r="G907" s="168"/>
      <c r="H907" s="168"/>
      <c r="I907" s="169"/>
      <c r="J907" s="170"/>
      <c r="K907" s="170"/>
      <c r="L907" s="170"/>
      <c r="M907" s="167"/>
      <c r="N907" s="169"/>
      <c r="O907" s="171"/>
      <c r="P907" s="106"/>
      <c r="Q907" s="218"/>
      <c r="R907" s="172"/>
      <c r="S907" s="172"/>
      <c r="T907" s="173"/>
      <c r="U907" s="219"/>
      <c r="V907" s="219"/>
      <c r="W907" s="219"/>
      <c r="X907" s="219"/>
      <c r="Y907" s="219"/>
      <c r="Z907" s="219"/>
      <c r="AA907" s="219"/>
      <c r="AB907" s="219"/>
      <c r="AC907" s="219"/>
      <c r="AD907" s="219"/>
      <c r="AE907" s="219"/>
      <c r="AF907" s="219"/>
      <c r="AG907" s="219"/>
      <c r="AH907" s="219"/>
      <c r="AI907" s="219"/>
      <c r="AJ907" s="219"/>
      <c r="AK907" s="219"/>
      <c r="AL907" s="219"/>
      <c r="AM907" s="219"/>
      <c r="AN907" s="219"/>
      <c r="AO907" s="219"/>
      <c r="AP907" s="219"/>
      <c r="AQ907" s="219"/>
      <c r="AR907" s="219"/>
      <c r="AS907" s="219"/>
      <c r="AT907" s="219"/>
      <c r="AU907" s="219"/>
      <c r="AV907" s="219"/>
      <c r="AW907" s="219"/>
      <c r="AX907" s="219"/>
      <c r="AY907" s="219"/>
      <c r="AZ907" s="219"/>
      <c r="BA907" s="219"/>
      <c r="BB907" s="219"/>
      <c r="BC907" s="219"/>
      <c r="BD907" s="219"/>
      <c r="BE907" s="219"/>
      <c r="BF907" s="219"/>
      <c r="BG907" s="219"/>
      <c r="BH907" s="219"/>
      <c r="BI907" s="219"/>
      <c r="BJ907" s="219"/>
      <c r="BK907" s="219"/>
      <c r="BL907" s="219"/>
      <c r="BM907" s="219"/>
      <c r="BN907" s="219"/>
    </row>
    <row r="908" ht="29.25" hidden="1" customHeight="1">
      <c r="A908" s="216"/>
      <c r="B908" s="217"/>
      <c r="C908" s="164"/>
      <c r="D908" s="164"/>
      <c r="E908" s="165"/>
      <c r="F908" s="173"/>
      <c r="G908" s="168"/>
      <c r="H908" s="168"/>
      <c r="I908" s="169"/>
      <c r="J908" s="170"/>
      <c r="K908" s="170"/>
      <c r="L908" s="170"/>
      <c r="M908" s="167"/>
      <c r="N908" s="169"/>
      <c r="O908" s="171"/>
      <c r="P908" s="106"/>
      <c r="Q908" s="218"/>
      <c r="R908" s="172"/>
      <c r="S908" s="172"/>
      <c r="T908" s="173"/>
      <c r="U908" s="219"/>
      <c r="V908" s="219"/>
      <c r="W908" s="219"/>
      <c r="X908" s="219"/>
      <c r="Y908" s="219"/>
      <c r="Z908" s="219"/>
      <c r="AA908" s="219"/>
      <c r="AB908" s="219"/>
      <c r="AC908" s="219"/>
      <c r="AD908" s="219"/>
      <c r="AE908" s="219"/>
      <c r="AF908" s="219"/>
      <c r="AG908" s="219"/>
      <c r="AH908" s="219"/>
      <c r="AI908" s="219"/>
      <c r="AJ908" s="219"/>
      <c r="AK908" s="219"/>
      <c r="AL908" s="219"/>
      <c r="AM908" s="219"/>
      <c r="AN908" s="219"/>
      <c r="AO908" s="219"/>
      <c r="AP908" s="219"/>
      <c r="AQ908" s="219"/>
      <c r="AR908" s="219"/>
      <c r="AS908" s="219"/>
      <c r="AT908" s="219"/>
      <c r="AU908" s="219"/>
      <c r="AV908" s="219"/>
      <c r="AW908" s="219"/>
      <c r="AX908" s="219"/>
      <c r="AY908" s="219"/>
      <c r="AZ908" s="219"/>
      <c r="BA908" s="219"/>
      <c r="BB908" s="219"/>
      <c r="BC908" s="219"/>
      <c r="BD908" s="219"/>
      <c r="BE908" s="219"/>
      <c r="BF908" s="219"/>
      <c r="BG908" s="219"/>
      <c r="BH908" s="219"/>
      <c r="BI908" s="219"/>
      <c r="BJ908" s="219"/>
      <c r="BK908" s="219"/>
      <c r="BL908" s="219"/>
      <c r="BM908" s="219"/>
      <c r="BN908" s="219"/>
    </row>
    <row r="909" ht="29.25" hidden="1" customHeight="1">
      <c r="A909" s="216"/>
      <c r="B909" s="217"/>
      <c r="C909" s="164"/>
      <c r="D909" s="164"/>
      <c r="E909" s="165"/>
      <c r="F909" s="173"/>
      <c r="G909" s="168"/>
      <c r="H909" s="168"/>
      <c r="I909" s="169"/>
      <c r="J909" s="170"/>
      <c r="K909" s="170"/>
      <c r="L909" s="170"/>
      <c r="M909" s="167"/>
      <c r="N909" s="169"/>
      <c r="O909" s="171"/>
      <c r="P909" s="106"/>
      <c r="Q909" s="218"/>
      <c r="R909" s="172"/>
      <c r="S909" s="172"/>
      <c r="T909" s="173"/>
      <c r="U909" s="219"/>
      <c r="V909" s="219"/>
      <c r="W909" s="219"/>
      <c r="X909" s="219"/>
      <c r="Y909" s="219"/>
      <c r="Z909" s="219"/>
      <c r="AA909" s="219"/>
      <c r="AB909" s="219"/>
      <c r="AC909" s="219"/>
      <c r="AD909" s="219"/>
      <c r="AE909" s="219"/>
      <c r="AF909" s="219"/>
      <c r="AG909" s="219"/>
      <c r="AH909" s="219"/>
      <c r="AI909" s="219"/>
      <c r="AJ909" s="219"/>
      <c r="AK909" s="219"/>
      <c r="AL909" s="219"/>
      <c r="AM909" s="219"/>
      <c r="AN909" s="219"/>
      <c r="AO909" s="219"/>
      <c r="AP909" s="219"/>
      <c r="AQ909" s="219"/>
      <c r="AR909" s="219"/>
      <c r="AS909" s="219"/>
      <c r="AT909" s="219"/>
      <c r="AU909" s="219"/>
      <c r="AV909" s="219"/>
      <c r="AW909" s="219"/>
      <c r="AX909" s="219"/>
      <c r="AY909" s="219"/>
      <c r="AZ909" s="219"/>
      <c r="BA909" s="219"/>
      <c r="BB909" s="219"/>
      <c r="BC909" s="219"/>
      <c r="BD909" s="219"/>
      <c r="BE909" s="219"/>
      <c r="BF909" s="219"/>
      <c r="BG909" s="219"/>
      <c r="BH909" s="219"/>
      <c r="BI909" s="219"/>
      <c r="BJ909" s="219"/>
      <c r="BK909" s="219"/>
      <c r="BL909" s="219"/>
      <c r="BM909" s="219"/>
      <c r="BN909" s="219"/>
    </row>
    <row r="910" ht="29.25" hidden="1" customHeight="1">
      <c r="A910" s="216"/>
      <c r="B910" s="217"/>
      <c r="C910" s="164"/>
      <c r="D910" s="164"/>
      <c r="E910" s="165"/>
      <c r="F910" s="173"/>
      <c r="G910" s="168"/>
      <c r="H910" s="168"/>
      <c r="I910" s="169"/>
      <c r="J910" s="170"/>
      <c r="K910" s="170"/>
      <c r="L910" s="170"/>
      <c r="M910" s="167"/>
      <c r="N910" s="169"/>
      <c r="O910" s="171"/>
      <c r="P910" s="106"/>
      <c r="Q910" s="218"/>
      <c r="R910" s="172"/>
      <c r="S910" s="172"/>
      <c r="T910" s="173"/>
      <c r="U910" s="219"/>
      <c r="V910" s="219"/>
      <c r="W910" s="219"/>
      <c r="X910" s="219"/>
      <c r="Y910" s="219"/>
      <c r="Z910" s="219"/>
      <c r="AA910" s="219"/>
      <c r="AB910" s="219"/>
      <c r="AC910" s="219"/>
      <c r="AD910" s="219"/>
      <c r="AE910" s="219"/>
      <c r="AF910" s="219"/>
      <c r="AG910" s="219"/>
      <c r="AH910" s="219"/>
      <c r="AI910" s="219"/>
      <c r="AJ910" s="219"/>
      <c r="AK910" s="219"/>
      <c r="AL910" s="219"/>
      <c r="AM910" s="219"/>
      <c r="AN910" s="219"/>
      <c r="AO910" s="219"/>
      <c r="AP910" s="219"/>
      <c r="AQ910" s="219"/>
      <c r="AR910" s="219"/>
      <c r="AS910" s="219"/>
      <c r="AT910" s="219"/>
      <c r="AU910" s="219"/>
      <c r="AV910" s="219"/>
      <c r="AW910" s="219"/>
      <c r="AX910" s="219"/>
      <c r="AY910" s="219"/>
      <c r="AZ910" s="219"/>
      <c r="BA910" s="219"/>
      <c r="BB910" s="219"/>
      <c r="BC910" s="219"/>
      <c r="BD910" s="219"/>
      <c r="BE910" s="219"/>
      <c r="BF910" s="219"/>
      <c r="BG910" s="219"/>
      <c r="BH910" s="219"/>
      <c r="BI910" s="219"/>
      <c r="BJ910" s="219"/>
      <c r="BK910" s="219"/>
      <c r="BL910" s="219"/>
      <c r="BM910" s="219"/>
      <c r="BN910" s="219"/>
    </row>
    <row r="911" ht="29.25" hidden="1" customHeight="1">
      <c r="A911" s="216"/>
      <c r="B911" s="217"/>
      <c r="C911" s="164"/>
      <c r="D911" s="164"/>
      <c r="E911" s="165"/>
      <c r="F911" s="173"/>
      <c r="G911" s="168"/>
      <c r="H911" s="168"/>
      <c r="I911" s="169"/>
      <c r="J911" s="170"/>
      <c r="K911" s="170"/>
      <c r="L911" s="170"/>
      <c r="M911" s="167"/>
      <c r="N911" s="169"/>
      <c r="O911" s="171"/>
      <c r="P911" s="106"/>
      <c r="Q911" s="218"/>
      <c r="R911" s="172"/>
      <c r="S911" s="172"/>
      <c r="T911" s="173"/>
      <c r="U911" s="219"/>
      <c r="V911" s="219"/>
      <c r="W911" s="219"/>
      <c r="X911" s="219"/>
      <c r="Y911" s="219"/>
      <c r="Z911" s="219"/>
      <c r="AA911" s="219"/>
      <c r="AB911" s="219"/>
      <c r="AC911" s="219"/>
      <c r="AD911" s="219"/>
      <c r="AE911" s="219"/>
      <c r="AF911" s="219"/>
      <c r="AG911" s="219"/>
      <c r="AH911" s="219"/>
      <c r="AI911" s="219"/>
      <c r="AJ911" s="219"/>
      <c r="AK911" s="219"/>
      <c r="AL911" s="219"/>
      <c r="AM911" s="219"/>
      <c r="AN911" s="219"/>
      <c r="AO911" s="219"/>
      <c r="AP911" s="219"/>
      <c r="AQ911" s="219"/>
      <c r="AR911" s="219"/>
      <c r="AS911" s="219"/>
      <c r="AT911" s="219"/>
      <c r="AU911" s="219"/>
      <c r="AV911" s="219"/>
      <c r="AW911" s="219"/>
      <c r="AX911" s="219"/>
      <c r="AY911" s="219"/>
      <c r="AZ911" s="219"/>
      <c r="BA911" s="219"/>
      <c r="BB911" s="219"/>
      <c r="BC911" s="219"/>
      <c r="BD911" s="219"/>
      <c r="BE911" s="219"/>
      <c r="BF911" s="219"/>
      <c r="BG911" s="219"/>
      <c r="BH911" s="219"/>
      <c r="BI911" s="219"/>
      <c r="BJ911" s="219"/>
      <c r="BK911" s="219"/>
      <c r="BL911" s="219"/>
      <c r="BM911" s="219"/>
      <c r="BN911" s="219"/>
    </row>
    <row r="912" ht="29.25" hidden="1" customHeight="1">
      <c r="A912" s="216"/>
      <c r="B912" s="217"/>
      <c r="C912" s="164"/>
      <c r="D912" s="164"/>
      <c r="E912" s="165"/>
      <c r="F912" s="173"/>
      <c r="G912" s="168"/>
      <c r="H912" s="168"/>
      <c r="I912" s="169"/>
      <c r="J912" s="170"/>
      <c r="K912" s="170"/>
      <c r="L912" s="170"/>
      <c r="M912" s="167"/>
      <c r="N912" s="169"/>
      <c r="O912" s="171"/>
      <c r="P912" s="106"/>
      <c r="Q912" s="218"/>
      <c r="R912" s="172"/>
      <c r="S912" s="172"/>
      <c r="T912" s="173"/>
      <c r="U912" s="219"/>
      <c r="V912" s="219"/>
      <c r="W912" s="219"/>
      <c r="X912" s="219"/>
      <c r="Y912" s="219"/>
      <c r="Z912" s="219"/>
      <c r="AA912" s="219"/>
      <c r="AB912" s="219"/>
      <c r="AC912" s="219"/>
      <c r="AD912" s="219"/>
      <c r="AE912" s="219"/>
      <c r="AF912" s="219"/>
      <c r="AG912" s="219"/>
      <c r="AH912" s="219"/>
      <c r="AI912" s="219"/>
      <c r="AJ912" s="219"/>
      <c r="AK912" s="219"/>
      <c r="AL912" s="219"/>
      <c r="AM912" s="219"/>
      <c r="AN912" s="219"/>
      <c r="AO912" s="219"/>
      <c r="AP912" s="219"/>
      <c r="AQ912" s="219"/>
      <c r="AR912" s="219"/>
      <c r="AS912" s="219"/>
      <c r="AT912" s="219"/>
      <c r="AU912" s="219"/>
      <c r="AV912" s="219"/>
      <c r="AW912" s="219"/>
      <c r="AX912" s="219"/>
      <c r="AY912" s="219"/>
      <c r="AZ912" s="219"/>
      <c r="BA912" s="219"/>
      <c r="BB912" s="219"/>
      <c r="BC912" s="219"/>
      <c r="BD912" s="219"/>
      <c r="BE912" s="219"/>
      <c r="BF912" s="219"/>
      <c r="BG912" s="219"/>
      <c r="BH912" s="219"/>
      <c r="BI912" s="219"/>
      <c r="BJ912" s="219"/>
      <c r="BK912" s="219"/>
      <c r="BL912" s="219"/>
      <c r="BM912" s="219"/>
      <c r="BN912" s="219"/>
    </row>
    <row r="913" ht="29.25" hidden="1" customHeight="1">
      <c r="A913" s="216"/>
      <c r="B913" s="217"/>
      <c r="C913" s="164"/>
      <c r="D913" s="164"/>
      <c r="E913" s="165"/>
      <c r="F913" s="173"/>
      <c r="G913" s="168"/>
      <c r="H913" s="168"/>
      <c r="I913" s="169"/>
      <c r="J913" s="170"/>
      <c r="K913" s="170"/>
      <c r="L913" s="170"/>
      <c r="M913" s="167"/>
      <c r="N913" s="169"/>
      <c r="O913" s="171"/>
      <c r="P913" s="106"/>
      <c r="Q913" s="218"/>
      <c r="R913" s="172"/>
      <c r="S913" s="172"/>
      <c r="T913" s="173"/>
      <c r="U913" s="219"/>
      <c r="V913" s="219"/>
      <c r="W913" s="219"/>
      <c r="X913" s="219"/>
      <c r="Y913" s="219"/>
      <c r="Z913" s="219"/>
      <c r="AA913" s="219"/>
      <c r="AB913" s="219"/>
      <c r="AC913" s="219"/>
      <c r="AD913" s="219"/>
      <c r="AE913" s="219"/>
      <c r="AF913" s="219"/>
      <c r="AG913" s="219"/>
      <c r="AH913" s="219"/>
      <c r="AI913" s="219"/>
      <c r="AJ913" s="219"/>
      <c r="AK913" s="219"/>
      <c r="AL913" s="219"/>
      <c r="AM913" s="219"/>
      <c r="AN913" s="219"/>
      <c r="AO913" s="219"/>
      <c r="AP913" s="219"/>
      <c r="AQ913" s="219"/>
      <c r="AR913" s="219"/>
      <c r="AS913" s="219"/>
      <c r="AT913" s="219"/>
      <c r="AU913" s="219"/>
      <c r="AV913" s="219"/>
      <c r="AW913" s="219"/>
      <c r="AX913" s="219"/>
      <c r="AY913" s="219"/>
      <c r="AZ913" s="219"/>
      <c r="BA913" s="219"/>
      <c r="BB913" s="219"/>
      <c r="BC913" s="219"/>
      <c r="BD913" s="219"/>
      <c r="BE913" s="219"/>
      <c r="BF913" s="219"/>
      <c r="BG913" s="219"/>
      <c r="BH913" s="219"/>
      <c r="BI913" s="219"/>
      <c r="BJ913" s="219"/>
      <c r="BK913" s="219"/>
      <c r="BL913" s="219"/>
      <c r="BM913" s="219"/>
      <c r="BN913" s="219"/>
    </row>
    <row r="914" ht="29.25" hidden="1" customHeight="1">
      <c r="A914" s="216"/>
      <c r="B914" s="217"/>
      <c r="C914" s="164"/>
      <c r="D914" s="164"/>
      <c r="E914" s="165"/>
      <c r="F914" s="173"/>
      <c r="G914" s="168"/>
      <c r="H914" s="168"/>
      <c r="I914" s="169"/>
      <c r="J914" s="170"/>
      <c r="K914" s="170"/>
      <c r="L914" s="170"/>
      <c r="M914" s="167"/>
      <c r="N914" s="169"/>
      <c r="O914" s="171"/>
      <c r="P914" s="106"/>
      <c r="Q914" s="218"/>
      <c r="R914" s="172"/>
      <c r="S914" s="172"/>
      <c r="T914" s="173"/>
      <c r="U914" s="219"/>
      <c r="V914" s="219"/>
      <c r="W914" s="219"/>
      <c r="X914" s="219"/>
      <c r="Y914" s="219"/>
      <c r="Z914" s="219"/>
      <c r="AA914" s="219"/>
      <c r="AB914" s="219"/>
      <c r="AC914" s="219"/>
      <c r="AD914" s="219"/>
      <c r="AE914" s="219"/>
      <c r="AF914" s="219"/>
      <c r="AG914" s="219"/>
      <c r="AH914" s="219"/>
      <c r="AI914" s="219"/>
      <c r="AJ914" s="219"/>
      <c r="AK914" s="219"/>
      <c r="AL914" s="219"/>
      <c r="AM914" s="219"/>
      <c r="AN914" s="219"/>
      <c r="AO914" s="219"/>
      <c r="AP914" s="219"/>
      <c r="AQ914" s="219"/>
      <c r="AR914" s="219"/>
      <c r="AS914" s="219"/>
      <c r="AT914" s="219"/>
      <c r="AU914" s="219"/>
      <c r="AV914" s="219"/>
      <c r="AW914" s="219"/>
      <c r="AX914" s="219"/>
      <c r="AY914" s="219"/>
      <c r="AZ914" s="219"/>
      <c r="BA914" s="219"/>
      <c r="BB914" s="219"/>
      <c r="BC914" s="219"/>
      <c r="BD914" s="219"/>
      <c r="BE914" s="219"/>
      <c r="BF914" s="219"/>
      <c r="BG914" s="219"/>
      <c r="BH914" s="219"/>
      <c r="BI914" s="219"/>
      <c r="BJ914" s="219"/>
      <c r="BK914" s="219"/>
      <c r="BL914" s="219"/>
      <c r="BM914" s="219"/>
      <c r="BN914" s="219"/>
    </row>
    <row r="915" ht="29.25" hidden="1" customHeight="1">
      <c r="A915" s="216"/>
      <c r="B915" s="217"/>
      <c r="C915" s="164"/>
      <c r="D915" s="164"/>
      <c r="E915" s="165"/>
      <c r="F915" s="173"/>
      <c r="G915" s="168"/>
      <c r="H915" s="168"/>
      <c r="I915" s="169"/>
      <c r="J915" s="170"/>
      <c r="K915" s="170"/>
      <c r="L915" s="170"/>
      <c r="M915" s="167"/>
      <c r="N915" s="169"/>
      <c r="O915" s="171"/>
      <c r="P915" s="106"/>
      <c r="Q915" s="218"/>
      <c r="R915" s="172"/>
      <c r="S915" s="172"/>
      <c r="T915" s="173"/>
      <c r="U915" s="219"/>
      <c r="V915" s="219"/>
      <c r="W915" s="219"/>
      <c r="X915" s="219"/>
      <c r="Y915" s="219"/>
      <c r="Z915" s="219"/>
      <c r="AA915" s="219"/>
      <c r="AB915" s="219"/>
      <c r="AC915" s="219"/>
      <c r="AD915" s="219"/>
      <c r="AE915" s="219"/>
      <c r="AF915" s="219"/>
      <c r="AG915" s="219"/>
      <c r="AH915" s="219"/>
      <c r="AI915" s="219"/>
      <c r="AJ915" s="219"/>
      <c r="AK915" s="219"/>
      <c r="AL915" s="219"/>
      <c r="AM915" s="219"/>
      <c r="AN915" s="219"/>
      <c r="AO915" s="219"/>
      <c r="AP915" s="219"/>
      <c r="AQ915" s="219"/>
      <c r="AR915" s="219"/>
      <c r="AS915" s="219"/>
      <c r="AT915" s="219"/>
      <c r="AU915" s="219"/>
      <c r="AV915" s="219"/>
      <c r="AW915" s="219"/>
      <c r="AX915" s="219"/>
      <c r="AY915" s="219"/>
      <c r="AZ915" s="219"/>
      <c r="BA915" s="219"/>
      <c r="BB915" s="219"/>
      <c r="BC915" s="219"/>
      <c r="BD915" s="219"/>
      <c r="BE915" s="219"/>
      <c r="BF915" s="219"/>
      <c r="BG915" s="219"/>
      <c r="BH915" s="219"/>
      <c r="BI915" s="219"/>
      <c r="BJ915" s="219"/>
      <c r="BK915" s="219"/>
      <c r="BL915" s="219"/>
      <c r="BM915" s="219"/>
      <c r="BN915" s="219"/>
    </row>
    <row r="916" ht="29.25" hidden="1" customHeight="1">
      <c r="A916" s="216"/>
      <c r="B916" s="217"/>
      <c r="C916" s="164"/>
      <c r="D916" s="164"/>
      <c r="E916" s="165"/>
      <c r="F916" s="173"/>
      <c r="G916" s="168"/>
      <c r="H916" s="168"/>
      <c r="I916" s="169"/>
      <c r="J916" s="170"/>
      <c r="K916" s="170"/>
      <c r="L916" s="170"/>
      <c r="M916" s="167"/>
      <c r="N916" s="169"/>
      <c r="O916" s="171"/>
      <c r="P916" s="106"/>
      <c r="Q916" s="218"/>
      <c r="R916" s="172"/>
      <c r="S916" s="172"/>
      <c r="T916" s="173"/>
      <c r="U916" s="219"/>
      <c r="V916" s="219"/>
      <c r="W916" s="219"/>
      <c r="X916" s="219"/>
      <c r="Y916" s="219"/>
      <c r="Z916" s="219"/>
      <c r="AA916" s="219"/>
      <c r="AB916" s="219"/>
      <c r="AC916" s="219"/>
      <c r="AD916" s="219"/>
      <c r="AE916" s="219"/>
      <c r="AF916" s="219"/>
      <c r="AG916" s="219"/>
      <c r="AH916" s="219"/>
      <c r="AI916" s="219"/>
      <c r="AJ916" s="219"/>
      <c r="AK916" s="219"/>
      <c r="AL916" s="219"/>
      <c r="AM916" s="219"/>
      <c r="AN916" s="219"/>
      <c r="AO916" s="219"/>
      <c r="AP916" s="219"/>
      <c r="AQ916" s="219"/>
      <c r="AR916" s="219"/>
      <c r="AS916" s="219"/>
      <c r="AT916" s="219"/>
      <c r="AU916" s="219"/>
      <c r="AV916" s="219"/>
      <c r="AW916" s="219"/>
      <c r="AX916" s="219"/>
      <c r="AY916" s="219"/>
      <c r="AZ916" s="219"/>
      <c r="BA916" s="219"/>
      <c r="BB916" s="219"/>
      <c r="BC916" s="219"/>
      <c r="BD916" s="219"/>
      <c r="BE916" s="219"/>
      <c r="BF916" s="219"/>
      <c r="BG916" s="219"/>
      <c r="BH916" s="219"/>
      <c r="BI916" s="219"/>
      <c r="BJ916" s="219"/>
      <c r="BK916" s="219"/>
      <c r="BL916" s="219"/>
      <c r="BM916" s="219"/>
      <c r="BN916" s="219"/>
    </row>
    <row r="917" ht="29.25" hidden="1" customHeight="1">
      <c r="A917" s="216"/>
      <c r="B917" s="217"/>
      <c r="C917" s="164"/>
      <c r="D917" s="164"/>
      <c r="E917" s="165"/>
      <c r="F917" s="173"/>
      <c r="G917" s="168"/>
      <c r="H917" s="168"/>
      <c r="I917" s="169"/>
      <c r="J917" s="170"/>
      <c r="K917" s="170"/>
      <c r="L917" s="170"/>
      <c r="M917" s="167"/>
      <c r="N917" s="169"/>
      <c r="O917" s="171"/>
      <c r="P917" s="106"/>
      <c r="Q917" s="218"/>
      <c r="R917" s="172"/>
      <c r="S917" s="172"/>
      <c r="T917" s="173"/>
      <c r="U917" s="219"/>
      <c r="V917" s="219"/>
      <c r="W917" s="219"/>
      <c r="X917" s="219"/>
      <c r="Y917" s="219"/>
      <c r="Z917" s="219"/>
      <c r="AA917" s="219"/>
      <c r="AB917" s="219"/>
      <c r="AC917" s="219"/>
      <c r="AD917" s="219"/>
      <c r="AE917" s="219"/>
      <c r="AF917" s="219"/>
      <c r="AG917" s="219"/>
      <c r="AH917" s="219"/>
      <c r="AI917" s="219"/>
      <c r="AJ917" s="219"/>
      <c r="AK917" s="219"/>
      <c r="AL917" s="219"/>
      <c r="AM917" s="219"/>
      <c r="AN917" s="219"/>
      <c r="AO917" s="219"/>
      <c r="AP917" s="219"/>
      <c r="AQ917" s="219"/>
      <c r="AR917" s="219"/>
      <c r="AS917" s="219"/>
      <c r="AT917" s="219"/>
      <c r="AU917" s="219"/>
      <c r="AV917" s="219"/>
      <c r="AW917" s="219"/>
      <c r="AX917" s="219"/>
      <c r="AY917" s="219"/>
      <c r="AZ917" s="219"/>
      <c r="BA917" s="219"/>
      <c r="BB917" s="219"/>
      <c r="BC917" s="219"/>
      <c r="BD917" s="219"/>
      <c r="BE917" s="219"/>
      <c r="BF917" s="219"/>
      <c r="BG917" s="219"/>
      <c r="BH917" s="219"/>
      <c r="BI917" s="219"/>
      <c r="BJ917" s="219"/>
      <c r="BK917" s="219"/>
      <c r="BL917" s="219"/>
      <c r="BM917" s="219"/>
      <c r="BN917" s="219"/>
    </row>
    <row r="918" ht="29.25" hidden="1" customHeight="1">
      <c r="A918" s="216"/>
      <c r="B918" s="217"/>
      <c r="C918" s="164"/>
      <c r="D918" s="164"/>
      <c r="E918" s="165"/>
      <c r="F918" s="173"/>
      <c r="G918" s="168"/>
      <c r="H918" s="168"/>
      <c r="I918" s="169"/>
      <c r="J918" s="170"/>
      <c r="K918" s="170"/>
      <c r="L918" s="170"/>
      <c r="M918" s="167"/>
      <c r="N918" s="169"/>
      <c r="O918" s="171"/>
      <c r="P918" s="106"/>
      <c r="Q918" s="218"/>
      <c r="R918" s="172"/>
      <c r="S918" s="172"/>
      <c r="T918" s="173"/>
      <c r="U918" s="219"/>
      <c r="V918" s="219"/>
      <c r="W918" s="219"/>
      <c r="X918" s="219"/>
      <c r="Y918" s="219"/>
      <c r="Z918" s="219"/>
      <c r="AA918" s="219"/>
      <c r="AB918" s="219"/>
      <c r="AC918" s="219"/>
      <c r="AD918" s="219"/>
      <c r="AE918" s="219"/>
      <c r="AF918" s="219"/>
      <c r="AG918" s="219"/>
      <c r="AH918" s="219"/>
      <c r="AI918" s="219"/>
      <c r="AJ918" s="219"/>
      <c r="AK918" s="219"/>
      <c r="AL918" s="219"/>
      <c r="AM918" s="219"/>
      <c r="AN918" s="219"/>
      <c r="AO918" s="219"/>
      <c r="AP918" s="219"/>
      <c r="AQ918" s="219"/>
      <c r="AR918" s="219"/>
      <c r="AS918" s="219"/>
      <c r="AT918" s="219"/>
      <c r="AU918" s="219"/>
      <c r="AV918" s="219"/>
      <c r="AW918" s="219"/>
      <c r="AX918" s="219"/>
      <c r="AY918" s="219"/>
      <c r="AZ918" s="219"/>
      <c r="BA918" s="219"/>
      <c r="BB918" s="219"/>
      <c r="BC918" s="219"/>
      <c r="BD918" s="219"/>
      <c r="BE918" s="219"/>
      <c r="BF918" s="219"/>
      <c r="BG918" s="219"/>
      <c r="BH918" s="219"/>
      <c r="BI918" s="219"/>
      <c r="BJ918" s="219"/>
      <c r="BK918" s="219"/>
      <c r="BL918" s="219"/>
      <c r="BM918" s="219"/>
      <c r="BN918" s="219"/>
    </row>
    <row r="919" ht="29.25" hidden="1" customHeight="1">
      <c r="A919" s="216"/>
      <c r="B919" s="217"/>
      <c r="C919" s="164"/>
      <c r="D919" s="164"/>
      <c r="E919" s="165"/>
      <c r="F919" s="173"/>
      <c r="G919" s="168"/>
      <c r="H919" s="168"/>
      <c r="I919" s="169"/>
      <c r="J919" s="170"/>
      <c r="K919" s="170"/>
      <c r="L919" s="170"/>
      <c r="M919" s="167"/>
      <c r="N919" s="169"/>
      <c r="O919" s="171"/>
      <c r="P919" s="106"/>
      <c r="Q919" s="218"/>
      <c r="R919" s="172"/>
      <c r="S919" s="172"/>
      <c r="T919" s="173"/>
      <c r="U919" s="219"/>
      <c r="V919" s="219"/>
      <c r="W919" s="219"/>
      <c r="X919" s="219"/>
      <c r="Y919" s="219"/>
      <c r="Z919" s="219"/>
      <c r="AA919" s="219"/>
      <c r="AB919" s="219"/>
      <c r="AC919" s="219"/>
      <c r="AD919" s="219"/>
      <c r="AE919" s="219"/>
      <c r="AF919" s="219"/>
      <c r="AG919" s="219"/>
      <c r="AH919" s="219"/>
      <c r="AI919" s="219"/>
      <c r="AJ919" s="219"/>
      <c r="AK919" s="219"/>
      <c r="AL919" s="219"/>
      <c r="AM919" s="219"/>
      <c r="AN919" s="219"/>
      <c r="AO919" s="219"/>
      <c r="AP919" s="219"/>
      <c r="AQ919" s="219"/>
      <c r="AR919" s="219"/>
      <c r="AS919" s="219"/>
      <c r="AT919" s="219"/>
      <c r="AU919" s="219"/>
      <c r="AV919" s="219"/>
      <c r="AW919" s="219"/>
      <c r="AX919" s="219"/>
      <c r="AY919" s="219"/>
      <c r="AZ919" s="219"/>
      <c r="BA919" s="219"/>
      <c r="BB919" s="219"/>
      <c r="BC919" s="219"/>
      <c r="BD919" s="219"/>
      <c r="BE919" s="219"/>
      <c r="BF919" s="219"/>
      <c r="BG919" s="219"/>
      <c r="BH919" s="219"/>
      <c r="BI919" s="219"/>
      <c r="BJ919" s="219"/>
      <c r="BK919" s="219"/>
      <c r="BL919" s="219"/>
      <c r="BM919" s="219"/>
      <c r="BN919" s="219"/>
    </row>
    <row r="920" ht="29.25" hidden="1" customHeight="1">
      <c r="A920" s="216"/>
      <c r="B920" s="217"/>
      <c r="C920" s="164"/>
      <c r="D920" s="164"/>
      <c r="E920" s="165"/>
      <c r="F920" s="173"/>
      <c r="G920" s="168"/>
      <c r="H920" s="168"/>
      <c r="I920" s="169"/>
      <c r="J920" s="170"/>
      <c r="K920" s="170"/>
      <c r="L920" s="170"/>
      <c r="M920" s="167"/>
      <c r="N920" s="169"/>
      <c r="O920" s="171"/>
      <c r="P920" s="106"/>
      <c r="Q920" s="218"/>
      <c r="R920" s="172"/>
      <c r="S920" s="172"/>
      <c r="T920" s="173"/>
      <c r="U920" s="219"/>
      <c r="V920" s="219"/>
      <c r="W920" s="219"/>
      <c r="X920" s="219"/>
      <c r="Y920" s="219"/>
      <c r="Z920" s="219"/>
      <c r="AA920" s="219"/>
      <c r="AB920" s="219"/>
      <c r="AC920" s="219"/>
      <c r="AD920" s="219"/>
      <c r="AE920" s="219"/>
      <c r="AF920" s="219"/>
      <c r="AG920" s="219"/>
      <c r="AH920" s="219"/>
      <c r="AI920" s="219"/>
      <c r="AJ920" s="219"/>
      <c r="AK920" s="219"/>
      <c r="AL920" s="219"/>
      <c r="AM920" s="219"/>
      <c r="AN920" s="219"/>
      <c r="AO920" s="219"/>
      <c r="AP920" s="219"/>
      <c r="AQ920" s="219"/>
      <c r="AR920" s="219"/>
      <c r="AS920" s="219"/>
      <c r="AT920" s="219"/>
      <c r="AU920" s="219"/>
      <c r="AV920" s="219"/>
      <c r="AW920" s="219"/>
      <c r="AX920" s="219"/>
      <c r="AY920" s="219"/>
      <c r="AZ920" s="219"/>
      <c r="BA920" s="219"/>
      <c r="BB920" s="219"/>
      <c r="BC920" s="219"/>
      <c r="BD920" s="219"/>
      <c r="BE920" s="219"/>
      <c r="BF920" s="219"/>
      <c r="BG920" s="219"/>
      <c r="BH920" s="219"/>
      <c r="BI920" s="219"/>
      <c r="BJ920" s="219"/>
      <c r="BK920" s="219"/>
      <c r="BL920" s="219"/>
      <c r="BM920" s="219"/>
      <c r="BN920" s="219"/>
    </row>
    <row r="921" ht="29.25" hidden="1" customHeight="1">
      <c r="A921" s="216"/>
      <c r="B921" s="217"/>
      <c r="C921" s="164"/>
      <c r="D921" s="164"/>
      <c r="E921" s="165"/>
      <c r="F921" s="173"/>
      <c r="G921" s="168"/>
      <c r="H921" s="168"/>
      <c r="I921" s="169"/>
      <c r="J921" s="170"/>
      <c r="K921" s="170"/>
      <c r="L921" s="170"/>
      <c r="M921" s="167"/>
      <c r="N921" s="169"/>
      <c r="O921" s="171"/>
      <c r="P921" s="106"/>
      <c r="Q921" s="218"/>
      <c r="R921" s="172"/>
      <c r="S921" s="172"/>
      <c r="T921" s="173"/>
      <c r="U921" s="219"/>
      <c r="V921" s="219"/>
      <c r="W921" s="219"/>
      <c r="X921" s="219"/>
      <c r="Y921" s="219"/>
      <c r="Z921" s="219"/>
      <c r="AA921" s="219"/>
      <c r="AB921" s="219"/>
      <c r="AC921" s="219"/>
      <c r="AD921" s="219"/>
      <c r="AE921" s="219"/>
      <c r="AF921" s="219"/>
      <c r="AG921" s="219"/>
      <c r="AH921" s="219"/>
      <c r="AI921" s="219"/>
      <c r="AJ921" s="219"/>
      <c r="AK921" s="219"/>
      <c r="AL921" s="219"/>
      <c r="AM921" s="219"/>
      <c r="AN921" s="219"/>
      <c r="AO921" s="219"/>
      <c r="AP921" s="219"/>
      <c r="AQ921" s="219"/>
      <c r="AR921" s="219"/>
      <c r="AS921" s="219"/>
      <c r="AT921" s="219"/>
      <c r="AU921" s="219"/>
      <c r="AV921" s="219"/>
      <c r="AW921" s="219"/>
      <c r="AX921" s="219"/>
      <c r="AY921" s="219"/>
      <c r="AZ921" s="219"/>
      <c r="BA921" s="219"/>
      <c r="BB921" s="219"/>
      <c r="BC921" s="219"/>
      <c r="BD921" s="219"/>
      <c r="BE921" s="219"/>
      <c r="BF921" s="219"/>
      <c r="BG921" s="219"/>
      <c r="BH921" s="219"/>
      <c r="BI921" s="219"/>
      <c r="BJ921" s="219"/>
      <c r="BK921" s="219"/>
      <c r="BL921" s="219"/>
      <c r="BM921" s="219"/>
      <c r="BN921" s="219"/>
    </row>
    <row r="922" ht="29.25" hidden="1" customHeight="1">
      <c r="A922" s="216"/>
      <c r="B922" s="217"/>
      <c r="C922" s="164"/>
      <c r="D922" s="164"/>
      <c r="E922" s="165"/>
      <c r="F922" s="173"/>
      <c r="G922" s="168"/>
      <c r="H922" s="168"/>
      <c r="I922" s="169"/>
      <c r="J922" s="170"/>
      <c r="K922" s="170"/>
      <c r="L922" s="170"/>
      <c r="M922" s="167"/>
      <c r="N922" s="169"/>
      <c r="O922" s="171"/>
      <c r="P922" s="106"/>
      <c r="Q922" s="218"/>
      <c r="R922" s="172"/>
      <c r="S922" s="172"/>
      <c r="T922" s="173"/>
      <c r="U922" s="219"/>
      <c r="V922" s="219"/>
      <c r="W922" s="219"/>
      <c r="X922" s="219"/>
      <c r="Y922" s="219"/>
      <c r="Z922" s="219"/>
      <c r="AA922" s="219"/>
      <c r="AB922" s="219"/>
      <c r="AC922" s="219"/>
      <c r="AD922" s="219"/>
      <c r="AE922" s="219"/>
      <c r="AF922" s="219"/>
      <c r="AG922" s="219"/>
      <c r="AH922" s="219"/>
      <c r="AI922" s="219"/>
      <c r="AJ922" s="219"/>
      <c r="AK922" s="219"/>
      <c r="AL922" s="219"/>
      <c r="AM922" s="219"/>
      <c r="AN922" s="219"/>
      <c r="AO922" s="219"/>
      <c r="AP922" s="219"/>
      <c r="AQ922" s="219"/>
      <c r="AR922" s="219"/>
      <c r="AS922" s="219"/>
      <c r="AT922" s="219"/>
      <c r="AU922" s="219"/>
      <c r="AV922" s="219"/>
      <c r="AW922" s="219"/>
      <c r="AX922" s="219"/>
      <c r="AY922" s="219"/>
      <c r="AZ922" s="219"/>
      <c r="BA922" s="219"/>
      <c r="BB922" s="219"/>
      <c r="BC922" s="219"/>
      <c r="BD922" s="219"/>
      <c r="BE922" s="219"/>
      <c r="BF922" s="219"/>
      <c r="BG922" s="219"/>
      <c r="BH922" s="219"/>
      <c r="BI922" s="219"/>
      <c r="BJ922" s="219"/>
      <c r="BK922" s="219"/>
      <c r="BL922" s="219"/>
      <c r="BM922" s="219"/>
      <c r="BN922" s="219"/>
    </row>
    <row r="923" ht="29.25" hidden="1" customHeight="1">
      <c r="A923" s="216"/>
      <c r="B923" s="217"/>
      <c r="C923" s="164"/>
      <c r="D923" s="164"/>
      <c r="E923" s="165"/>
      <c r="F923" s="173"/>
      <c r="G923" s="168"/>
      <c r="H923" s="168"/>
      <c r="I923" s="169"/>
      <c r="J923" s="170"/>
      <c r="K923" s="170"/>
      <c r="L923" s="170"/>
      <c r="M923" s="167"/>
      <c r="N923" s="169"/>
      <c r="O923" s="171"/>
      <c r="P923" s="106"/>
      <c r="Q923" s="218"/>
      <c r="R923" s="172"/>
      <c r="S923" s="172"/>
      <c r="T923" s="173"/>
      <c r="U923" s="219"/>
      <c r="V923" s="219"/>
      <c r="W923" s="219"/>
      <c r="X923" s="219"/>
      <c r="Y923" s="219"/>
      <c r="Z923" s="219"/>
      <c r="AA923" s="219"/>
      <c r="AB923" s="219"/>
      <c r="AC923" s="219"/>
      <c r="AD923" s="219"/>
      <c r="AE923" s="219"/>
      <c r="AF923" s="219"/>
      <c r="AG923" s="219"/>
      <c r="AH923" s="219"/>
      <c r="AI923" s="219"/>
      <c r="AJ923" s="219"/>
      <c r="AK923" s="219"/>
      <c r="AL923" s="219"/>
      <c r="AM923" s="219"/>
      <c r="AN923" s="219"/>
      <c r="AO923" s="219"/>
      <c r="AP923" s="219"/>
      <c r="AQ923" s="219"/>
      <c r="AR923" s="219"/>
      <c r="AS923" s="219"/>
      <c r="AT923" s="219"/>
      <c r="AU923" s="219"/>
      <c r="AV923" s="219"/>
      <c r="AW923" s="219"/>
      <c r="AX923" s="219"/>
      <c r="AY923" s="219"/>
      <c r="AZ923" s="219"/>
      <c r="BA923" s="219"/>
      <c r="BB923" s="219"/>
      <c r="BC923" s="219"/>
      <c r="BD923" s="219"/>
      <c r="BE923" s="219"/>
      <c r="BF923" s="219"/>
      <c r="BG923" s="219"/>
      <c r="BH923" s="219"/>
      <c r="BI923" s="219"/>
      <c r="BJ923" s="219"/>
      <c r="BK923" s="219"/>
      <c r="BL923" s="219"/>
      <c r="BM923" s="219"/>
      <c r="BN923" s="219"/>
    </row>
    <row r="924" ht="29.25" hidden="1" customHeight="1">
      <c r="A924" s="216"/>
      <c r="B924" s="217"/>
      <c r="C924" s="164"/>
      <c r="D924" s="164"/>
      <c r="E924" s="165"/>
      <c r="F924" s="173"/>
      <c r="G924" s="168"/>
      <c r="H924" s="168"/>
      <c r="I924" s="169"/>
      <c r="J924" s="170"/>
      <c r="K924" s="170"/>
      <c r="L924" s="170"/>
      <c r="M924" s="167"/>
      <c r="N924" s="169"/>
      <c r="O924" s="171"/>
      <c r="P924" s="106"/>
      <c r="Q924" s="218"/>
      <c r="R924" s="172"/>
      <c r="S924" s="172"/>
      <c r="T924" s="173"/>
      <c r="U924" s="219"/>
      <c r="V924" s="219"/>
      <c r="W924" s="219"/>
      <c r="X924" s="219"/>
      <c r="Y924" s="219"/>
      <c r="Z924" s="219"/>
      <c r="AA924" s="219"/>
      <c r="AB924" s="219"/>
      <c r="AC924" s="219"/>
      <c r="AD924" s="219"/>
      <c r="AE924" s="219"/>
      <c r="AF924" s="219"/>
      <c r="AG924" s="219"/>
      <c r="AH924" s="219"/>
      <c r="AI924" s="219"/>
      <c r="AJ924" s="219"/>
      <c r="AK924" s="219"/>
      <c r="AL924" s="219"/>
      <c r="AM924" s="219"/>
      <c r="AN924" s="219"/>
      <c r="AO924" s="219"/>
      <c r="AP924" s="219"/>
      <c r="AQ924" s="219"/>
      <c r="AR924" s="219"/>
      <c r="AS924" s="219"/>
      <c r="AT924" s="219"/>
      <c r="AU924" s="219"/>
      <c r="AV924" s="219"/>
      <c r="AW924" s="219"/>
      <c r="AX924" s="219"/>
      <c r="AY924" s="219"/>
      <c r="AZ924" s="219"/>
      <c r="BA924" s="219"/>
      <c r="BB924" s="219"/>
      <c r="BC924" s="219"/>
      <c r="BD924" s="219"/>
      <c r="BE924" s="219"/>
      <c r="BF924" s="219"/>
      <c r="BG924" s="219"/>
      <c r="BH924" s="219"/>
      <c r="BI924" s="219"/>
      <c r="BJ924" s="219"/>
      <c r="BK924" s="219"/>
      <c r="BL924" s="219"/>
      <c r="BM924" s="219"/>
      <c r="BN924" s="219"/>
    </row>
    <row r="925" ht="29.25" hidden="1" customHeight="1">
      <c r="A925" s="216"/>
      <c r="B925" s="217"/>
      <c r="C925" s="164"/>
      <c r="D925" s="164"/>
      <c r="E925" s="165"/>
      <c r="F925" s="173"/>
      <c r="G925" s="168"/>
      <c r="H925" s="168"/>
      <c r="I925" s="169"/>
      <c r="J925" s="170"/>
      <c r="K925" s="170"/>
      <c r="L925" s="170"/>
      <c r="M925" s="167"/>
      <c r="N925" s="169"/>
      <c r="O925" s="171"/>
      <c r="P925" s="106"/>
      <c r="Q925" s="218"/>
      <c r="R925" s="172"/>
      <c r="S925" s="172"/>
      <c r="T925" s="173"/>
      <c r="U925" s="219"/>
      <c r="V925" s="219"/>
      <c r="W925" s="219"/>
      <c r="X925" s="219"/>
      <c r="Y925" s="219"/>
      <c r="Z925" s="219"/>
      <c r="AA925" s="219"/>
      <c r="AB925" s="219"/>
      <c r="AC925" s="219"/>
      <c r="AD925" s="219"/>
      <c r="AE925" s="219"/>
      <c r="AF925" s="219"/>
      <c r="AG925" s="219"/>
      <c r="AH925" s="219"/>
      <c r="AI925" s="219"/>
      <c r="AJ925" s="219"/>
      <c r="AK925" s="219"/>
      <c r="AL925" s="219"/>
      <c r="AM925" s="219"/>
      <c r="AN925" s="219"/>
      <c r="AO925" s="219"/>
      <c r="AP925" s="219"/>
      <c r="AQ925" s="219"/>
      <c r="AR925" s="219"/>
      <c r="AS925" s="219"/>
      <c r="AT925" s="219"/>
      <c r="AU925" s="219"/>
      <c r="AV925" s="219"/>
      <c r="AW925" s="219"/>
      <c r="AX925" s="219"/>
      <c r="AY925" s="219"/>
      <c r="AZ925" s="219"/>
      <c r="BA925" s="219"/>
      <c r="BB925" s="219"/>
      <c r="BC925" s="219"/>
      <c r="BD925" s="219"/>
      <c r="BE925" s="219"/>
      <c r="BF925" s="219"/>
      <c r="BG925" s="219"/>
      <c r="BH925" s="219"/>
      <c r="BI925" s="219"/>
      <c r="BJ925" s="219"/>
      <c r="BK925" s="219"/>
      <c r="BL925" s="219"/>
      <c r="BM925" s="219"/>
      <c r="BN925" s="219"/>
    </row>
    <row r="926" ht="29.25" hidden="1" customHeight="1">
      <c r="A926" s="216"/>
      <c r="B926" s="217"/>
      <c r="C926" s="164"/>
      <c r="D926" s="164"/>
      <c r="E926" s="165"/>
      <c r="F926" s="173"/>
      <c r="G926" s="168"/>
      <c r="H926" s="168"/>
      <c r="I926" s="169"/>
      <c r="J926" s="170"/>
      <c r="K926" s="170"/>
      <c r="L926" s="170"/>
      <c r="M926" s="167"/>
      <c r="N926" s="169"/>
      <c r="O926" s="171"/>
      <c r="P926" s="106"/>
      <c r="Q926" s="218"/>
      <c r="R926" s="172"/>
      <c r="S926" s="172"/>
      <c r="T926" s="173"/>
      <c r="U926" s="219"/>
      <c r="V926" s="219"/>
      <c r="W926" s="219"/>
      <c r="X926" s="219"/>
      <c r="Y926" s="219"/>
      <c r="Z926" s="219"/>
      <c r="AA926" s="219"/>
      <c r="AB926" s="219"/>
      <c r="AC926" s="219"/>
      <c r="AD926" s="219"/>
      <c r="AE926" s="219"/>
      <c r="AF926" s="219"/>
      <c r="AG926" s="219"/>
      <c r="AH926" s="219"/>
      <c r="AI926" s="219"/>
      <c r="AJ926" s="219"/>
      <c r="AK926" s="219"/>
      <c r="AL926" s="219"/>
      <c r="AM926" s="219"/>
      <c r="AN926" s="219"/>
      <c r="AO926" s="219"/>
      <c r="AP926" s="219"/>
      <c r="AQ926" s="219"/>
      <c r="AR926" s="219"/>
      <c r="AS926" s="219"/>
      <c r="AT926" s="219"/>
      <c r="AU926" s="219"/>
      <c r="AV926" s="219"/>
      <c r="AW926" s="219"/>
      <c r="AX926" s="219"/>
      <c r="AY926" s="219"/>
      <c r="AZ926" s="219"/>
      <c r="BA926" s="219"/>
      <c r="BB926" s="219"/>
      <c r="BC926" s="219"/>
      <c r="BD926" s="219"/>
      <c r="BE926" s="219"/>
      <c r="BF926" s="219"/>
      <c r="BG926" s="219"/>
      <c r="BH926" s="219"/>
      <c r="BI926" s="219"/>
      <c r="BJ926" s="219"/>
      <c r="BK926" s="219"/>
      <c r="BL926" s="219"/>
      <c r="BM926" s="219"/>
      <c r="BN926" s="219"/>
    </row>
    <row r="927" ht="29.25" hidden="1" customHeight="1">
      <c r="A927" s="216"/>
      <c r="B927" s="217"/>
      <c r="C927" s="164"/>
      <c r="D927" s="164"/>
      <c r="E927" s="165"/>
      <c r="F927" s="173"/>
      <c r="G927" s="168"/>
      <c r="H927" s="168"/>
      <c r="I927" s="169"/>
      <c r="J927" s="170"/>
      <c r="K927" s="170"/>
      <c r="L927" s="170"/>
      <c r="M927" s="167"/>
      <c r="N927" s="169"/>
      <c r="O927" s="171"/>
      <c r="P927" s="106"/>
      <c r="Q927" s="218"/>
      <c r="R927" s="172"/>
      <c r="S927" s="172"/>
      <c r="T927" s="173"/>
      <c r="U927" s="219"/>
      <c r="V927" s="219"/>
      <c r="W927" s="219"/>
      <c r="X927" s="219"/>
      <c r="Y927" s="219"/>
      <c r="Z927" s="219"/>
      <c r="AA927" s="219"/>
      <c r="AB927" s="219"/>
      <c r="AC927" s="219"/>
      <c r="AD927" s="219"/>
      <c r="AE927" s="219"/>
      <c r="AF927" s="219"/>
      <c r="AG927" s="219"/>
      <c r="AH927" s="219"/>
      <c r="AI927" s="219"/>
      <c r="AJ927" s="219"/>
      <c r="AK927" s="219"/>
      <c r="AL927" s="219"/>
      <c r="AM927" s="219"/>
      <c r="AN927" s="219"/>
      <c r="AO927" s="219"/>
      <c r="AP927" s="219"/>
      <c r="AQ927" s="219"/>
      <c r="AR927" s="219"/>
      <c r="AS927" s="219"/>
      <c r="AT927" s="219"/>
      <c r="AU927" s="219"/>
      <c r="AV927" s="219"/>
      <c r="AW927" s="219"/>
      <c r="AX927" s="219"/>
      <c r="AY927" s="219"/>
      <c r="AZ927" s="219"/>
      <c r="BA927" s="219"/>
      <c r="BB927" s="219"/>
      <c r="BC927" s="219"/>
      <c r="BD927" s="219"/>
      <c r="BE927" s="219"/>
      <c r="BF927" s="219"/>
      <c r="BG927" s="219"/>
      <c r="BH927" s="219"/>
      <c r="BI927" s="219"/>
      <c r="BJ927" s="219"/>
      <c r="BK927" s="219"/>
      <c r="BL927" s="219"/>
      <c r="BM927" s="219"/>
      <c r="BN927" s="219"/>
    </row>
    <row r="928" ht="29.25" hidden="1" customHeight="1">
      <c r="A928" s="216"/>
      <c r="B928" s="217"/>
      <c r="C928" s="164"/>
      <c r="D928" s="164"/>
      <c r="E928" s="165"/>
      <c r="F928" s="173"/>
      <c r="G928" s="168"/>
      <c r="H928" s="168"/>
      <c r="I928" s="169"/>
      <c r="J928" s="170"/>
      <c r="K928" s="170"/>
      <c r="L928" s="170"/>
      <c r="M928" s="167"/>
      <c r="N928" s="169"/>
      <c r="O928" s="171"/>
      <c r="P928" s="106"/>
      <c r="Q928" s="218"/>
      <c r="R928" s="172"/>
      <c r="S928" s="172"/>
      <c r="T928" s="173"/>
      <c r="U928" s="219"/>
      <c r="V928" s="219"/>
      <c r="W928" s="219"/>
      <c r="X928" s="219"/>
      <c r="Y928" s="219"/>
      <c r="Z928" s="219"/>
      <c r="AA928" s="219"/>
      <c r="AB928" s="219"/>
      <c r="AC928" s="219"/>
      <c r="AD928" s="219"/>
      <c r="AE928" s="219"/>
      <c r="AF928" s="219"/>
      <c r="AG928" s="219"/>
      <c r="AH928" s="219"/>
      <c r="AI928" s="219"/>
      <c r="AJ928" s="219"/>
      <c r="AK928" s="219"/>
      <c r="AL928" s="219"/>
      <c r="AM928" s="219"/>
      <c r="AN928" s="219"/>
      <c r="AO928" s="219"/>
      <c r="AP928" s="219"/>
      <c r="AQ928" s="219"/>
      <c r="AR928" s="219"/>
      <c r="AS928" s="219"/>
      <c r="AT928" s="219"/>
      <c r="AU928" s="219"/>
      <c r="AV928" s="219"/>
      <c r="AW928" s="219"/>
      <c r="AX928" s="219"/>
      <c r="AY928" s="219"/>
      <c r="AZ928" s="219"/>
      <c r="BA928" s="219"/>
      <c r="BB928" s="219"/>
      <c r="BC928" s="219"/>
      <c r="BD928" s="219"/>
      <c r="BE928" s="219"/>
      <c r="BF928" s="219"/>
      <c r="BG928" s="219"/>
      <c r="BH928" s="219"/>
      <c r="BI928" s="219"/>
      <c r="BJ928" s="219"/>
      <c r="BK928" s="219"/>
      <c r="BL928" s="219"/>
      <c r="BM928" s="219"/>
      <c r="BN928" s="219"/>
    </row>
    <row r="929" ht="29.25" hidden="1" customHeight="1">
      <c r="A929" s="216"/>
      <c r="B929" s="217"/>
      <c r="C929" s="164"/>
      <c r="D929" s="164"/>
      <c r="E929" s="165"/>
      <c r="F929" s="173"/>
      <c r="G929" s="168"/>
      <c r="H929" s="168"/>
      <c r="I929" s="169"/>
      <c r="J929" s="170"/>
      <c r="K929" s="170"/>
      <c r="L929" s="170"/>
      <c r="M929" s="167"/>
      <c r="N929" s="169"/>
      <c r="O929" s="171"/>
      <c r="P929" s="106"/>
      <c r="Q929" s="218"/>
      <c r="R929" s="172"/>
      <c r="S929" s="172"/>
      <c r="T929" s="173"/>
      <c r="U929" s="219"/>
      <c r="V929" s="219"/>
      <c r="W929" s="219"/>
      <c r="X929" s="219"/>
      <c r="Y929" s="219"/>
      <c r="Z929" s="219"/>
      <c r="AA929" s="219"/>
      <c r="AB929" s="219"/>
      <c r="AC929" s="219"/>
      <c r="AD929" s="219"/>
      <c r="AE929" s="219"/>
      <c r="AF929" s="219"/>
      <c r="AG929" s="219"/>
      <c r="AH929" s="219"/>
      <c r="AI929" s="219"/>
      <c r="AJ929" s="219"/>
      <c r="AK929" s="219"/>
      <c r="AL929" s="219"/>
      <c r="AM929" s="219"/>
      <c r="AN929" s="219"/>
      <c r="AO929" s="219"/>
      <c r="AP929" s="219"/>
      <c r="AQ929" s="219"/>
      <c r="AR929" s="219"/>
      <c r="AS929" s="219"/>
      <c r="AT929" s="219"/>
      <c r="AU929" s="219"/>
      <c r="AV929" s="219"/>
      <c r="AW929" s="219"/>
      <c r="AX929" s="219"/>
      <c r="AY929" s="219"/>
      <c r="AZ929" s="219"/>
      <c r="BA929" s="219"/>
      <c r="BB929" s="219"/>
      <c r="BC929" s="219"/>
      <c r="BD929" s="219"/>
      <c r="BE929" s="219"/>
      <c r="BF929" s="219"/>
      <c r="BG929" s="219"/>
      <c r="BH929" s="219"/>
      <c r="BI929" s="219"/>
      <c r="BJ929" s="219"/>
      <c r="BK929" s="219"/>
      <c r="BL929" s="219"/>
      <c r="BM929" s="219"/>
      <c r="BN929" s="219"/>
    </row>
    <row r="930" ht="29.25" hidden="1" customHeight="1">
      <c r="A930" s="216"/>
      <c r="B930" s="217"/>
      <c r="C930" s="164"/>
      <c r="D930" s="164"/>
      <c r="E930" s="165"/>
      <c r="F930" s="173"/>
      <c r="G930" s="168"/>
      <c r="H930" s="168"/>
      <c r="I930" s="169"/>
      <c r="J930" s="170"/>
      <c r="K930" s="170"/>
      <c r="L930" s="170"/>
      <c r="M930" s="167"/>
      <c r="N930" s="169"/>
      <c r="O930" s="171"/>
      <c r="P930" s="106"/>
      <c r="Q930" s="218"/>
      <c r="R930" s="172"/>
      <c r="S930" s="172"/>
      <c r="T930" s="173"/>
      <c r="U930" s="219"/>
      <c r="V930" s="219"/>
      <c r="W930" s="219"/>
      <c r="X930" s="219"/>
      <c r="Y930" s="219"/>
      <c r="Z930" s="219"/>
      <c r="AA930" s="219"/>
      <c r="AB930" s="219"/>
      <c r="AC930" s="219"/>
      <c r="AD930" s="219"/>
      <c r="AE930" s="219"/>
      <c r="AF930" s="219"/>
      <c r="AG930" s="219"/>
      <c r="AH930" s="219"/>
      <c r="AI930" s="219"/>
      <c r="AJ930" s="219"/>
      <c r="AK930" s="219"/>
      <c r="AL930" s="219"/>
      <c r="AM930" s="219"/>
      <c r="AN930" s="219"/>
      <c r="AO930" s="219"/>
      <c r="AP930" s="219"/>
      <c r="AQ930" s="219"/>
      <c r="AR930" s="219"/>
      <c r="AS930" s="219"/>
      <c r="AT930" s="219"/>
      <c r="AU930" s="219"/>
      <c r="AV930" s="219"/>
      <c r="AW930" s="219"/>
      <c r="AX930" s="219"/>
      <c r="AY930" s="219"/>
      <c r="AZ930" s="219"/>
      <c r="BA930" s="219"/>
      <c r="BB930" s="219"/>
      <c r="BC930" s="219"/>
      <c r="BD930" s="219"/>
      <c r="BE930" s="219"/>
      <c r="BF930" s="219"/>
      <c r="BG930" s="219"/>
      <c r="BH930" s="219"/>
      <c r="BI930" s="219"/>
      <c r="BJ930" s="219"/>
      <c r="BK930" s="219"/>
      <c r="BL930" s="219"/>
      <c r="BM930" s="219"/>
      <c r="BN930" s="219"/>
    </row>
    <row r="931" ht="29.25" hidden="1" customHeight="1">
      <c r="A931" s="216"/>
      <c r="B931" s="217"/>
      <c r="C931" s="164"/>
      <c r="D931" s="164"/>
      <c r="E931" s="165"/>
      <c r="F931" s="173"/>
      <c r="G931" s="168"/>
      <c r="H931" s="168"/>
      <c r="I931" s="169"/>
      <c r="J931" s="170"/>
      <c r="K931" s="170"/>
      <c r="L931" s="170"/>
      <c r="M931" s="167"/>
      <c r="N931" s="169"/>
      <c r="O931" s="171"/>
      <c r="P931" s="106"/>
      <c r="Q931" s="218"/>
      <c r="R931" s="172"/>
      <c r="S931" s="172"/>
      <c r="T931" s="173"/>
      <c r="U931" s="219"/>
      <c r="V931" s="219"/>
      <c r="W931" s="219"/>
      <c r="X931" s="219"/>
      <c r="Y931" s="219"/>
      <c r="Z931" s="219"/>
      <c r="AA931" s="219"/>
      <c r="AB931" s="219"/>
      <c r="AC931" s="219"/>
      <c r="AD931" s="219"/>
      <c r="AE931" s="219"/>
      <c r="AF931" s="219"/>
      <c r="AG931" s="219"/>
      <c r="AH931" s="219"/>
      <c r="AI931" s="219"/>
      <c r="AJ931" s="219"/>
      <c r="AK931" s="219"/>
      <c r="AL931" s="219"/>
      <c r="AM931" s="219"/>
      <c r="AN931" s="219"/>
      <c r="AO931" s="219"/>
      <c r="AP931" s="219"/>
      <c r="AQ931" s="219"/>
      <c r="AR931" s="219"/>
      <c r="AS931" s="219"/>
      <c r="AT931" s="219"/>
      <c r="AU931" s="219"/>
      <c r="AV931" s="219"/>
      <c r="AW931" s="219"/>
      <c r="AX931" s="219"/>
      <c r="AY931" s="219"/>
      <c r="AZ931" s="219"/>
      <c r="BA931" s="219"/>
      <c r="BB931" s="219"/>
      <c r="BC931" s="219"/>
      <c r="BD931" s="219"/>
      <c r="BE931" s="219"/>
      <c r="BF931" s="219"/>
      <c r="BG931" s="219"/>
      <c r="BH931" s="219"/>
      <c r="BI931" s="219"/>
      <c r="BJ931" s="219"/>
      <c r="BK931" s="219"/>
      <c r="BL931" s="219"/>
      <c r="BM931" s="219"/>
      <c r="BN931" s="219"/>
    </row>
    <row r="932" ht="29.25" hidden="1" customHeight="1">
      <c r="A932" s="216"/>
      <c r="B932" s="217"/>
      <c r="C932" s="164"/>
      <c r="D932" s="164"/>
      <c r="E932" s="165"/>
      <c r="F932" s="173"/>
      <c r="G932" s="168"/>
      <c r="H932" s="168"/>
      <c r="I932" s="169"/>
      <c r="J932" s="170"/>
      <c r="K932" s="170"/>
      <c r="L932" s="170"/>
      <c r="M932" s="167"/>
      <c r="N932" s="169"/>
      <c r="O932" s="171"/>
      <c r="P932" s="106"/>
      <c r="Q932" s="218"/>
      <c r="R932" s="172"/>
      <c r="S932" s="172"/>
      <c r="T932" s="173"/>
      <c r="U932" s="219"/>
      <c r="V932" s="219"/>
      <c r="W932" s="219"/>
      <c r="X932" s="219"/>
      <c r="Y932" s="219"/>
      <c r="Z932" s="219"/>
      <c r="AA932" s="219"/>
      <c r="AB932" s="219"/>
      <c r="AC932" s="219"/>
      <c r="AD932" s="219"/>
      <c r="AE932" s="219"/>
      <c r="AF932" s="219"/>
      <c r="AG932" s="219"/>
      <c r="AH932" s="219"/>
      <c r="AI932" s="219"/>
      <c r="AJ932" s="219"/>
      <c r="AK932" s="219"/>
      <c r="AL932" s="219"/>
      <c r="AM932" s="219"/>
      <c r="AN932" s="219"/>
      <c r="AO932" s="219"/>
      <c r="AP932" s="219"/>
      <c r="AQ932" s="219"/>
      <c r="AR932" s="219"/>
      <c r="AS932" s="219"/>
      <c r="AT932" s="219"/>
      <c r="AU932" s="219"/>
      <c r="AV932" s="219"/>
      <c r="AW932" s="219"/>
      <c r="AX932" s="219"/>
      <c r="AY932" s="219"/>
      <c r="AZ932" s="219"/>
      <c r="BA932" s="219"/>
      <c r="BB932" s="219"/>
      <c r="BC932" s="219"/>
      <c r="BD932" s="219"/>
      <c r="BE932" s="219"/>
      <c r="BF932" s="219"/>
      <c r="BG932" s="219"/>
      <c r="BH932" s="219"/>
      <c r="BI932" s="219"/>
      <c r="BJ932" s="219"/>
      <c r="BK932" s="219"/>
      <c r="BL932" s="219"/>
      <c r="BM932" s="219"/>
      <c r="BN932" s="219"/>
    </row>
    <row r="933" ht="29.25" hidden="1" customHeight="1">
      <c r="A933" s="216"/>
      <c r="B933" s="217"/>
      <c r="C933" s="164"/>
      <c r="D933" s="164"/>
      <c r="E933" s="165"/>
      <c r="F933" s="173"/>
      <c r="G933" s="168"/>
      <c r="H933" s="168"/>
      <c r="I933" s="169"/>
      <c r="J933" s="170"/>
      <c r="K933" s="170"/>
      <c r="L933" s="170"/>
      <c r="M933" s="167"/>
      <c r="N933" s="169"/>
      <c r="O933" s="171"/>
      <c r="P933" s="106"/>
      <c r="Q933" s="218"/>
      <c r="R933" s="172"/>
      <c r="S933" s="172"/>
      <c r="T933" s="173"/>
      <c r="U933" s="219"/>
      <c r="V933" s="219"/>
      <c r="W933" s="219"/>
      <c r="X933" s="219"/>
      <c r="Y933" s="219"/>
      <c r="Z933" s="219"/>
      <c r="AA933" s="219"/>
      <c r="AB933" s="219"/>
      <c r="AC933" s="219"/>
      <c r="AD933" s="219"/>
      <c r="AE933" s="219"/>
      <c r="AF933" s="219"/>
      <c r="AG933" s="219"/>
      <c r="AH933" s="219"/>
      <c r="AI933" s="219"/>
      <c r="AJ933" s="219"/>
      <c r="AK933" s="219"/>
      <c r="AL933" s="219"/>
      <c r="AM933" s="219"/>
      <c r="AN933" s="219"/>
      <c r="AO933" s="219"/>
      <c r="AP933" s="219"/>
      <c r="AQ933" s="219"/>
      <c r="AR933" s="219"/>
      <c r="AS933" s="219"/>
      <c r="AT933" s="219"/>
      <c r="AU933" s="219"/>
      <c r="AV933" s="219"/>
      <c r="AW933" s="219"/>
      <c r="AX933" s="219"/>
      <c r="AY933" s="219"/>
      <c r="AZ933" s="219"/>
      <c r="BA933" s="219"/>
      <c r="BB933" s="219"/>
      <c r="BC933" s="219"/>
      <c r="BD933" s="219"/>
      <c r="BE933" s="219"/>
      <c r="BF933" s="219"/>
      <c r="BG933" s="219"/>
      <c r="BH933" s="219"/>
      <c r="BI933" s="219"/>
      <c r="BJ933" s="219"/>
      <c r="BK933" s="219"/>
      <c r="BL933" s="219"/>
      <c r="BM933" s="219"/>
      <c r="BN933" s="219"/>
    </row>
    <row r="934" ht="29.25" hidden="1" customHeight="1">
      <c r="A934" s="216"/>
      <c r="B934" s="217"/>
      <c r="C934" s="164"/>
      <c r="D934" s="164"/>
      <c r="E934" s="165"/>
      <c r="F934" s="173"/>
      <c r="G934" s="168"/>
      <c r="H934" s="168"/>
      <c r="I934" s="169"/>
      <c r="J934" s="170"/>
      <c r="K934" s="170"/>
      <c r="L934" s="170"/>
      <c r="M934" s="167"/>
      <c r="N934" s="169"/>
      <c r="O934" s="171"/>
      <c r="P934" s="106"/>
      <c r="Q934" s="218"/>
      <c r="R934" s="172"/>
      <c r="S934" s="172"/>
      <c r="T934" s="173"/>
      <c r="U934" s="219"/>
      <c r="V934" s="219"/>
      <c r="W934" s="219"/>
      <c r="X934" s="219"/>
      <c r="Y934" s="219"/>
      <c r="Z934" s="219"/>
      <c r="AA934" s="219"/>
      <c r="AB934" s="219"/>
      <c r="AC934" s="219"/>
      <c r="AD934" s="219"/>
      <c r="AE934" s="219"/>
      <c r="AF934" s="219"/>
      <c r="AG934" s="219"/>
      <c r="AH934" s="219"/>
      <c r="AI934" s="219"/>
      <c r="AJ934" s="219"/>
      <c r="AK934" s="219"/>
      <c r="AL934" s="219"/>
      <c r="AM934" s="219"/>
      <c r="AN934" s="219"/>
      <c r="AO934" s="219"/>
      <c r="AP934" s="219"/>
      <c r="AQ934" s="219"/>
      <c r="AR934" s="219"/>
      <c r="AS934" s="219"/>
      <c r="AT934" s="219"/>
      <c r="AU934" s="219"/>
      <c r="AV934" s="219"/>
      <c r="AW934" s="219"/>
      <c r="AX934" s="219"/>
      <c r="AY934" s="219"/>
      <c r="AZ934" s="219"/>
      <c r="BA934" s="219"/>
      <c r="BB934" s="219"/>
      <c r="BC934" s="219"/>
      <c r="BD934" s="219"/>
      <c r="BE934" s="219"/>
      <c r="BF934" s="219"/>
      <c r="BG934" s="219"/>
      <c r="BH934" s="219"/>
      <c r="BI934" s="219"/>
      <c r="BJ934" s="219"/>
      <c r="BK934" s="219"/>
      <c r="BL934" s="219"/>
      <c r="BM934" s="219"/>
      <c r="BN934" s="219"/>
    </row>
    <row r="935" ht="29.25" hidden="1" customHeight="1">
      <c r="A935" s="216"/>
      <c r="B935" s="217"/>
      <c r="C935" s="164"/>
      <c r="D935" s="164"/>
      <c r="E935" s="165"/>
      <c r="F935" s="173"/>
      <c r="G935" s="168"/>
      <c r="H935" s="168"/>
      <c r="I935" s="169"/>
      <c r="J935" s="170"/>
      <c r="K935" s="170"/>
      <c r="L935" s="170"/>
      <c r="M935" s="167"/>
      <c r="N935" s="169"/>
      <c r="O935" s="171"/>
      <c r="P935" s="106"/>
      <c r="Q935" s="218"/>
      <c r="R935" s="172"/>
      <c r="S935" s="172"/>
      <c r="T935" s="173"/>
      <c r="U935" s="219"/>
      <c r="V935" s="219"/>
      <c r="W935" s="219"/>
      <c r="X935" s="219"/>
      <c r="Y935" s="219"/>
      <c r="Z935" s="219"/>
      <c r="AA935" s="219"/>
      <c r="AB935" s="219"/>
      <c r="AC935" s="219"/>
      <c r="AD935" s="219"/>
      <c r="AE935" s="219"/>
      <c r="AF935" s="219"/>
      <c r="AG935" s="219"/>
      <c r="AH935" s="219"/>
      <c r="AI935" s="219"/>
      <c r="AJ935" s="219"/>
      <c r="AK935" s="219"/>
      <c r="AL935" s="219"/>
      <c r="AM935" s="219"/>
      <c r="AN935" s="219"/>
      <c r="AO935" s="219"/>
      <c r="AP935" s="219"/>
      <c r="AQ935" s="219"/>
      <c r="AR935" s="219"/>
      <c r="AS935" s="219"/>
      <c r="AT935" s="219"/>
      <c r="AU935" s="219"/>
      <c r="AV935" s="219"/>
      <c r="AW935" s="219"/>
      <c r="AX935" s="219"/>
      <c r="AY935" s="219"/>
      <c r="AZ935" s="219"/>
      <c r="BA935" s="219"/>
      <c r="BB935" s="219"/>
      <c r="BC935" s="219"/>
      <c r="BD935" s="219"/>
      <c r="BE935" s="219"/>
      <c r="BF935" s="219"/>
      <c r="BG935" s="219"/>
      <c r="BH935" s="219"/>
      <c r="BI935" s="219"/>
      <c r="BJ935" s="219"/>
      <c r="BK935" s="219"/>
      <c r="BL935" s="219"/>
      <c r="BM935" s="219"/>
      <c r="BN935" s="219"/>
    </row>
    <row r="936" ht="29.25" hidden="1" customHeight="1">
      <c r="A936" s="216"/>
      <c r="B936" s="217"/>
      <c r="C936" s="164"/>
      <c r="D936" s="164"/>
      <c r="E936" s="165"/>
      <c r="F936" s="173"/>
      <c r="G936" s="168"/>
      <c r="H936" s="168"/>
      <c r="I936" s="169"/>
      <c r="J936" s="170"/>
      <c r="K936" s="170"/>
      <c r="L936" s="170"/>
      <c r="M936" s="167"/>
      <c r="N936" s="169"/>
      <c r="O936" s="171"/>
      <c r="P936" s="106"/>
      <c r="Q936" s="218"/>
      <c r="R936" s="172"/>
      <c r="S936" s="172"/>
      <c r="T936" s="173"/>
      <c r="U936" s="219"/>
      <c r="V936" s="219"/>
      <c r="W936" s="219"/>
      <c r="X936" s="219"/>
      <c r="Y936" s="219"/>
      <c r="Z936" s="219"/>
      <c r="AA936" s="219"/>
      <c r="AB936" s="219"/>
      <c r="AC936" s="219"/>
      <c r="AD936" s="219"/>
      <c r="AE936" s="219"/>
      <c r="AF936" s="219"/>
      <c r="AG936" s="219"/>
      <c r="AH936" s="219"/>
      <c r="AI936" s="219"/>
      <c r="AJ936" s="219"/>
      <c r="AK936" s="219"/>
      <c r="AL936" s="219"/>
      <c r="AM936" s="219"/>
      <c r="AN936" s="219"/>
      <c r="AO936" s="219"/>
      <c r="AP936" s="219"/>
      <c r="AQ936" s="219"/>
      <c r="AR936" s="219"/>
      <c r="AS936" s="219"/>
      <c r="AT936" s="219"/>
      <c r="AU936" s="219"/>
      <c r="AV936" s="219"/>
      <c r="AW936" s="219"/>
      <c r="AX936" s="219"/>
      <c r="AY936" s="219"/>
      <c r="AZ936" s="219"/>
      <c r="BA936" s="219"/>
      <c r="BB936" s="219"/>
      <c r="BC936" s="219"/>
      <c r="BD936" s="219"/>
      <c r="BE936" s="219"/>
      <c r="BF936" s="219"/>
      <c r="BG936" s="219"/>
      <c r="BH936" s="219"/>
      <c r="BI936" s="219"/>
      <c r="BJ936" s="219"/>
      <c r="BK936" s="219"/>
      <c r="BL936" s="219"/>
      <c r="BM936" s="219"/>
      <c r="BN936" s="219"/>
    </row>
    <row r="937" ht="29.25" hidden="1" customHeight="1">
      <c r="A937" s="216"/>
      <c r="B937" s="217"/>
      <c r="C937" s="164"/>
      <c r="D937" s="164"/>
      <c r="E937" s="165"/>
      <c r="F937" s="173"/>
      <c r="G937" s="168"/>
      <c r="H937" s="168"/>
      <c r="I937" s="169"/>
      <c r="J937" s="170"/>
      <c r="K937" s="170"/>
      <c r="L937" s="170"/>
      <c r="M937" s="167"/>
      <c r="N937" s="169"/>
      <c r="O937" s="171"/>
      <c r="P937" s="106"/>
      <c r="Q937" s="218"/>
      <c r="R937" s="172"/>
      <c r="S937" s="172"/>
      <c r="T937" s="173"/>
      <c r="U937" s="219"/>
      <c r="V937" s="219"/>
      <c r="W937" s="219"/>
      <c r="X937" s="219"/>
      <c r="Y937" s="219"/>
      <c r="Z937" s="219"/>
      <c r="AA937" s="219"/>
      <c r="AB937" s="219"/>
      <c r="AC937" s="219"/>
      <c r="AD937" s="219"/>
      <c r="AE937" s="219"/>
      <c r="AF937" s="219"/>
      <c r="AG937" s="219"/>
      <c r="AH937" s="219"/>
      <c r="AI937" s="219"/>
      <c r="AJ937" s="219"/>
      <c r="AK937" s="219"/>
      <c r="AL937" s="219"/>
      <c r="AM937" s="219"/>
      <c r="AN937" s="219"/>
      <c r="AO937" s="219"/>
      <c r="AP937" s="219"/>
      <c r="AQ937" s="219"/>
      <c r="AR937" s="219"/>
      <c r="AS937" s="219"/>
      <c r="AT937" s="219"/>
      <c r="AU937" s="219"/>
      <c r="AV937" s="219"/>
      <c r="AW937" s="219"/>
      <c r="AX937" s="219"/>
      <c r="AY937" s="219"/>
      <c r="AZ937" s="219"/>
      <c r="BA937" s="219"/>
      <c r="BB937" s="219"/>
      <c r="BC937" s="219"/>
      <c r="BD937" s="219"/>
      <c r="BE937" s="219"/>
      <c r="BF937" s="219"/>
      <c r="BG937" s="219"/>
      <c r="BH937" s="219"/>
      <c r="BI937" s="219"/>
      <c r="BJ937" s="219"/>
      <c r="BK937" s="219"/>
      <c r="BL937" s="219"/>
      <c r="BM937" s="219"/>
      <c r="BN937" s="219"/>
    </row>
    <row r="938" ht="29.25" hidden="1" customHeight="1">
      <c r="A938" s="216"/>
      <c r="B938" s="217"/>
      <c r="C938" s="164"/>
      <c r="D938" s="164"/>
      <c r="E938" s="165"/>
      <c r="F938" s="173"/>
      <c r="G938" s="168"/>
      <c r="H938" s="168"/>
      <c r="I938" s="169"/>
      <c r="J938" s="170"/>
      <c r="K938" s="170"/>
      <c r="L938" s="170"/>
      <c r="M938" s="167"/>
      <c r="N938" s="169"/>
      <c r="O938" s="171"/>
      <c r="P938" s="106"/>
      <c r="Q938" s="218"/>
      <c r="R938" s="172"/>
      <c r="S938" s="172"/>
      <c r="T938" s="173"/>
      <c r="U938" s="219"/>
      <c r="V938" s="219"/>
      <c r="W938" s="219"/>
      <c r="X938" s="219"/>
      <c r="Y938" s="219"/>
      <c r="Z938" s="219"/>
      <c r="AA938" s="219"/>
      <c r="AB938" s="219"/>
      <c r="AC938" s="219"/>
      <c r="AD938" s="219"/>
      <c r="AE938" s="219"/>
      <c r="AF938" s="219"/>
      <c r="AG938" s="219"/>
      <c r="AH938" s="219"/>
      <c r="AI938" s="219"/>
      <c r="AJ938" s="219"/>
      <c r="AK938" s="219"/>
      <c r="AL938" s="219"/>
      <c r="AM938" s="219"/>
      <c r="AN938" s="219"/>
      <c r="AO938" s="219"/>
      <c r="AP938" s="219"/>
      <c r="AQ938" s="219"/>
      <c r="AR938" s="219"/>
      <c r="AS938" s="219"/>
      <c r="AT938" s="219"/>
      <c r="AU938" s="219"/>
      <c r="AV938" s="219"/>
      <c r="AW938" s="219"/>
      <c r="AX938" s="219"/>
      <c r="AY938" s="219"/>
      <c r="AZ938" s="219"/>
      <c r="BA938" s="219"/>
      <c r="BB938" s="219"/>
      <c r="BC938" s="219"/>
      <c r="BD938" s="219"/>
      <c r="BE938" s="219"/>
      <c r="BF938" s="219"/>
      <c r="BG938" s="219"/>
      <c r="BH938" s="219"/>
      <c r="BI938" s="219"/>
      <c r="BJ938" s="219"/>
      <c r="BK938" s="219"/>
      <c r="BL938" s="219"/>
      <c r="BM938" s="219"/>
      <c r="BN938" s="219"/>
    </row>
    <row r="939" ht="29.25" hidden="1" customHeight="1">
      <c r="A939" s="216"/>
      <c r="B939" s="217"/>
      <c r="C939" s="164"/>
      <c r="D939" s="164"/>
      <c r="E939" s="165"/>
      <c r="F939" s="173"/>
      <c r="G939" s="168"/>
      <c r="H939" s="168"/>
      <c r="I939" s="169"/>
      <c r="J939" s="170"/>
      <c r="K939" s="170"/>
      <c r="L939" s="170"/>
      <c r="M939" s="167"/>
      <c r="N939" s="169"/>
      <c r="O939" s="171"/>
      <c r="P939" s="106"/>
      <c r="Q939" s="218"/>
      <c r="R939" s="172"/>
      <c r="S939" s="172"/>
      <c r="T939" s="173"/>
      <c r="U939" s="219"/>
      <c r="V939" s="219"/>
      <c r="W939" s="219"/>
      <c r="X939" s="219"/>
      <c r="Y939" s="219"/>
      <c r="Z939" s="219"/>
      <c r="AA939" s="219"/>
      <c r="AB939" s="219"/>
      <c r="AC939" s="219"/>
      <c r="AD939" s="219"/>
      <c r="AE939" s="219"/>
      <c r="AF939" s="219"/>
      <c r="AG939" s="219"/>
      <c r="AH939" s="219"/>
      <c r="AI939" s="219"/>
      <c r="AJ939" s="219"/>
      <c r="AK939" s="219"/>
      <c r="AL939" s="219"/>
      <c r="AM939" s="219"/>
      <c r="AN939" s="219"/>
      <c r="AO939" s="219"/>
      <c r="AP939" s="219"/>
      <c r="AQ939" s="219"/>
      <c r="AR939" s="219"/>
      <c r="AS939" s="219"/>
      <c r="AT939" s="219"/>
      <c r="AU939" s="219"/>
      <c r="AV939" s="219"/>
      <c r="AW939" s="219"/>
      <c r="AX939" s="219"/>
      <c r="AY939" s="219"/>
      <c r="AZ939" s="219"/>
      <c r="BA939" s="219"/>
      <c r="BB939" s="219"/>
      <c r="BC939" s="219"/>
      <c r="BD939" s="219"/>
      <c r="BE939" s="219"/>
      <c r="BF939" s="219"/>
      <c r="BG939" s="219"/>
      <c r="BH939" s="219"/>
      <c r="BI939" s="219"/>
      <c r="BJ939" s="219"/>
      <c r="BK939" s="219"/>
      <c r="BL939" s="219"/>
      <c r="BM939" s="219"/>
      <c r="BN939" s="219"/>
    </row>
    <row r="940" ht="29.25" hidden="1" customHeight="1">
      <c r="A940" s="216"/>
      <c r="B940" s="217"/>
      <c r="C940" s="164"/>
      <c r="D940" s="164"/>
      <c r="E940" s="165"/>
      <c r="F940" s="173"/>
      <c r="G940" s="168"/>
      <c r="H940" s="168"/>
      <c r="I940" s="169"/>
      <c r="J940" s="170"/>
      <c r="K940" s="170"/>
      <c r="L940" s="170"/>
      <c r="M940" s="167"/>
      <c r="N940" s="169"/>
      <c r="O940" s="171"/>
      <c r="P940" s="106"/>
      <c r="Q940" s="218"/>
      <c r="R940" s="172"/>
      <c r="S940" s="172"/>
      <c r="T940" s="173"/>
      <c r="U940" s="219"/>
      <c r="V940" s="219"/>
      <c r="W940" s="219"/>
      <c r="X940" s="219"/>
      <c r="Y940" s="219"/>
      <c r="Z940" s="219"/>
      <c r="AA940" s="219"/>
      <c r="AB940" s="219"/>
      <c r="AC940" s="219"/>
      <c r="AD940" s="219"/>
      <c r="AE940" s="219"/>
      <c r="AF940" s="219"/>
      <c r="AG940" s="219"/>
      <c r="AH940" s="219"/>
      <c r="AI940" s="219"/>
      <c r="AJ940" s="219"/>
      <c r="AK940" s="219"/>
      <c r="AL940" s="219"/>
      <c r="AM940" s="219"/>
      <c r="AN940" s="219"/>
      <c r="AO940" s="219"/>
      <c r="AP940" s="219"/>
      <c r="AQ940" s="219"/>
      <c r="AR940" s="219"/>
      <c r="AS940" s="219"/>
      <c r="AT940" s="219"/>
      <c r="AU940" s="219"/>
      <c r="AV940" s="219"/>
      <c r="AW940" s="219"/>
      <c r="AX940" s="219"/>
      <c r="AY940" s="219"/>
      <c r="AZ940" s="219"/>
      <c r="BA940" s="219"/>
      <c r="BB940" s="219"/>
      <c r="BC940" s="219"/>
      <c r="BD940" s="219"/>
      <c r="BE940" s="219"/>
      <c r="BF940" s="219"/>
      <c r="BG940" s="219"/>
      <c r="BH940" s="219"/>
      <c r="BI940" s="219"/>
      <c r="BJ940" s="219"/>
      <c r="BK940" s="219"/>
      <c r="BL940" s="219"/>
      <c r="BM940" s="219"/>
      <c r="BN940" s="219"/>
    </row>
    <row r="941" ht="29.25" hidden="1" customHeight="1">
      <c r="A941" s="216"/>
      <c r="B941" s="217"/>
      <c r="C941" s="164"/>
      <c r="D941" s="164"/>
      <c r="E941" s="165"/>
      <c r="F941" s="173"/>
      <c r="G941" s="168"/>
      <c r="H941" s="168"/>
      <c r="I941" s="169"/>
      <c r="J941" s="170"/>
      <c r="K941" s="170"/>
      <c r="L941" s="170"/>
      <c r="M941" s="167"/>
      <c r="N941" s="169"/>
      <c r="O941" s="171"/>
      <c r="P941" s="106"/>
      <c r="Q941" s="218"/>
      <c r="R941" s="172"/>
      <c r="S941" s="172"/>
      <c r="T941" s="173"/>
      <c r="U941" s="219"/>
      <c r="V941" s="219"/>
      <c r="W941" s="219"/>
      <c r="X941" s="219"/>
      <c r="Y941" s="219"/>
      <c r="Z941" s="219"/>
      <c r="AA941" s="219"/>
      <c r="AB941" s="219"/>
      <c r="AC941" s="219"/>
      <c r="AD941" s="219"/>
      <c r="AE941" s="219"/>
      <c r="AF941" s="219"/>
      <c r="AG941" s="219"/>
      <c r="AH941" s="219"/>
      <c r="AI941" s="219"/>
      <c r="AJ941" s="219"/>
      <c r="AK941" s="219"/>
      <c r="AL941" s="219"/>
      <c r="AM941" s="219"/>
      <c r="AN941" s="219"/>
      <c r="AO941" s="219"/>
      <c r="AP941" s="219"/>
      <c r="AQ941" s="219"/>
      <c r="AR941" s="219"/>
      <c r="AS941" s="219"/>
      <c r="AT941" s="219"/>
      <c r="AU941" s="219"/>
      <c r="AV941" s="219"/>
      <c r="AW941" s="219"/>
      <c r="AX941" s="219"/>
      <c r="AY941" s="219"/>
      <c r="AZ941" s="219"/>
      <c r="BA941" s="219"/>
      <c r="BB941" s="219"/>
      <c r="BC941" s="219"/>
      <c r="BD941" s="219"/>
      <c r="BE941" s="219"/>
      <c r="BF941" s="219"/>
      <c r="BG941" s="219"/>
      <c r="BH941" s="219"/>
      <c r="BI941" s="219"/>
      <c r="BJ941" s="219"/>
      <c r="BK941" s="219"/>
      <c r="BL941" s="219"/>
      <c r="BM941" s="219"/>
      <c r="BN941" s="219"/>
    </row>
    <row r="942" ht="29.25" hidden="1" customHeight="1">
      <c r="A942" s="216"/>
      <c r="B942" s="217"/>
      <c r="C942" s="164"/>
      <c r="D942" s="164"/>
      <c r="E942" s="165"/>
      <c r="F942" s="173"/>
      <c r="G942" s="168"/>
      <c r="H942" s="168"/>
      <c r="I942" s="169"/>
      <c r="J942" s="170"/>
      <c r="K942" s="170"/>
      <c r="L942" s="170"/>
      <c r="M942" s="167"/>
      <c r="N942" s="169"/>
      <c r="O942" s="171"/>
      <c r="P942" s="106"/>
      <c r="Q942" s="218"/>
      <c r="R942" s="172"/>
      <c r="S942" s="172"/>
      <c r="T942" s="173"/>
      <c r="U942" s="219"/>
      <c r="V942" s="219"/>
      <c r="W942" s="219"/>
      <c r="X942" s="219"/>
      <c r="Y942" s="219"/>
      <c r="Z942" s="219"/>
      <c r="AA942" s="219"/>
      <c r="AB942" s="219"/>
      <c r="AC942" s="219"/>
      <c r="AD942" s="219"/>
      <c r="AE942" s="219"/>
      <c r="AF942" s="219"/>
      <c r="AG942" s="219"/>
      <c r="AH942" s="219"/>
      <c r="AI942" s="219"/>
      <c r="AJ942" s="219"/>
      <c r="AK942" s="219"/>
      <c r="AL942" s="219"/>
      <c r="AM942" s="219"/>
      <c r="AN942" s="219"/>
      <c r="AO942" s="219"/>
      <c r="AP942" s="219"/>
      <c r="AQ942" s="219"/>
      <c r="AR942" s="219"/>
      <c r="AS942" s="219"/>
      <c r="AT942" s="219"/>
      <c r="AU942" s="219"/>
      <c r="AV942" s="219"/>
      <c r="AW942" s="219"/>
      <c r="AX942" s="219"/>
      <c r="AY942" s="219"/>
      <c r="AZ942" s="219"/>
      <c r="BA942" s="219"/>
      <c r="BB942" s="219"/>
      <c r="BC942" s="219"/>
      <c r="BD942" s="219"/>
      <c r="BE942" s="219"/>
      <c r="BF942" s="219"/>
      <c r="BG942" s="219"/>
      <c r="BH942" s="219"/>
      <c r="BI942" s="219"/>
      <c r="BJ942" s="219"/>
      <c r="BK942" s="219"/>
      <c r="BL942" s="219"/>
      <c r="BM942" s="219"/>
      <c r="BN942" s="219"/>
    </row>
    <row r="943" ht="29.25" hidden="1" customHeight="1">
      <c r="A943" s="216"/>
      <c r="B943" s="217"/>
      <c r="C943" s="164"/>
      <c r="D943" s="164"/>
      <c r="E943" s="165"/>
      <c r="F943" s="173"/>
      <c r="G943" s="168"/>
      <c r="H943" s="168"/>
      <c r="I943" s="169"/>
      <c r="J943" s="170"/>
      <c r="K943" s="170"/>
      <c r="L943" s="170"/>
      <c r="M943" s="167"/>
      <c r="N943" s="169"/>
      <c r="O943" s="171"/>
      <c r="P943" s="106"/>
      <c r="Q943" s="218"/>
      <c r="R943" s="172"/>
      <c r="S943" s="172"/>
      <c r="T943" s="173"/>
      <c r="U943" s="219"/>
      <c r="V943" s="219"/>
      <c r="W943" s="219"/>
      <c r="X943" s="219"/>
      <c r="Y943" s="219"/>
      <c r="Z943" s="219"/>
      <c r="AA943" s="219"/>
      <c r="AB943" s="219"/>
      <c r="AC943" s="219"/>
      <c r="AD943" s="219"/>
      <c r="AE943" s="219"/>
      <c r="AF943" s="219"/>
      <c r="AG943" s="219"/>
      <c r="AH943" s="219"/>
      <c r="AI943" s="219"/>
      <c r="AJ943" s="219"/>
      <c r="AK943" s="219"/>
      <c r="AL943" s="219"/>
      <c r="AM943" s="219"/>
      <c r="AN943" s="219"/>
      <c r="AO943" s="219"/>
      <c r="AP943" s="219"/>
      <c r="AQ943" s="219"/>
      <c r="AR943" s="219"/>
      <c r="AS943" s="219"/>
      <c r="AT943" s="219"/>
      <c r="AU943" s="219"/>
      <c r="AV943" s="219"/>
      <c r="AW943" s="219"/>
      <c r="AX943" s="219"/>
      <c r="AY943" s="219"/>
      <c r="AZ943" s="219"/>
      <c r="BA943" s="219"/>
      <c r="BB943" s="219"/>
      <c r="BC943" s="219"/>
      <c r="BD943" s="219"/>
      <c r="BE943" s="219"/>
      <c r="BF943" s="219"/>
      <c r="BG943" s="219"/>
      <c r="BH943" s="219"/>
      <c r="BI943" s="219"/>
      <c r="BJ943" s="219"/>
      <c r="BK943" s="219"/>
      <c r="BL943" s="219"/>
      <c r="BM943" s="219"/>
      <c r="BN943" s="219"/>
    </row>
    <row r="944" ht="29.25" hidden="1" customHeight="1">
      <c r="A944" s="216"/>
      <c r="B944" s="217"/>
      <c r="C944" s="164"/>
      <c r="D944" s="164"/>
      <c r="E944" s="165"/>
      <c r="F944" s="173"/>
      <c r="G944" s="168"/>
      <c r="H944" s="168"/>
      <c r="I944" s="169"/>
      <c r="J944" s="170"/>
      <c r="K944" s="170"/>
      <c r="L944" s="170"/>
      <c r="M944" s="167"/>
      <c r="N944" s="169"/>
      <c r="O944" s="171"/>
      <c r="P944" s="106"/>
      <c r="Q944" s="218"/>
      <c r="R944" s="172"/>
      <c r="S944" s="172"/>
      <c r="T944" s="173"/>
      <c r="U944" s="219"/>
      <c r="V944" s="219"/>
      <c r="W944" s="219"/>
      <c r="X944" s="219"/>
      <c r="Y944" s="219"/>
      <c r="Z944" s="219"/>
      <c r="AA944" s="219"/>
      <c r="AB944" s="219"/>
      <c r="AC944" s="219"/>
      <c r="AD944" s="219"/>
      <c r="AE944" s="219"/>
      <c r="AF944" s="219"/>
      <c r="AG944" s="219"/>
      <c r="AH944" s="219"/>
      <c r="AI944" s="219"/>
      <c r="AJ944" s="219"/>
      <c r="AK944" s="219"/>
      <c r="AL944" s="219"/>
      <c r="AM944" s="219"/>
      <c r="AN944" s="219"/>
      <c r="AO944" s="219"/>
      <c r="AP944" s="219"/>
      <c r="AQ944" s="219"/>
      <c r="AR944" s="219"/>
      <c r="AS944" s="219"/>
      <c r="AT944" s="219"/>
      <c r="AU944" s="219"/>
      <c r="AV944" s="219"/>
      <c r="AW944" s="219"/>
      <c r="AX944" s="219"/>
      <c r="AY944" s="219"/>
      <c r="AZ944" s="219"/>
      <c r="BA944" s="219"/>
      <c r="BB944" s="219"/>
      <c r="BC944" s="219"/>
      <c r="BD944" s="219"/>
      <c r="BE944" s="219"/>
      <c r="BF944" s="219"/>
      <c r="BG944" s="219"/>
      <c r="BH944" s="219"/>
      <c r="BI944" s="219"/>
      <c r="BJ944" s="219"/>
      <c r="BK944" s="219"/>
      <c r="BL944" s="219"/>
      <c r="BM944" s="219"/>
      <c r="BN944" s="219"/>
    </row>
    <row r="945" ht="29.25" hidden="1" customHeight="1">
      <c r="A945" s="216"/>
      <c r="B945" s="217"/>
      <c r="C945" s="164"/>
      <c r="D945" s="164"/>
      <c r="E945" s="165"/>
      <c r="F945" s="173"/>
      <c r="G945" s="168"/>
      <c r="H945" s="168"/>
      <c r="I945" s="169"/>
      <c r="J945" s="170"/>
      <c r="K945" s="170"/>
      <c r="L945" s="170"/>
      <c r="M945" s="167"/>
      <c r="N945" s="169"/>
      <c r="O945" s="171"/>
      <c r="P945" s="106"/>
      <c r="Q945" s="218"/>
      <c r="R945" s="172"/>
      <c r="S945" s="172"/>
      <c r="T945" s="173"/>
      <c r="U945" s="219"/>
      <c r="V945" s="219"/>
      <c r="W945" s="219"/>
      <c r="X945" s="219"/>
      <c r="Y945" s="219"/>
      <c r="Z945" s="219"/>
      <c r="AA945" s="219"/>
      <c r="AB945" s="219"/>
      <c r="AC945" s="219"/>
      <c r="AD945" s="219"/>
      <c r="AE945" s="219"/>
      <c r="AF945" s="219"/>
      <c r="AG945" s="219"/>
      <c r="AH945" s="219"/>
      <c r="AI945" s="219"/>
      <c r="AJ945" s="219"/>
      <c r="AK945" s="219"/>
      <c r="AL945" s="219"/>
      <c r="AM945" s="219"/>
      <c r="AN945" s="219"/>
      <c r="AO945" s="219"/>
      <c r="AP945" s="219"/>
      <c r="AQ945" s="219"/>
      <c r="AR945" s="219"/>
      <c r="AS945" s="219"/>
      <c r="AT945" s="219"/>
      <c r="AU945" s="219"/>
      <c r="AV945" s="219"/>
      <c r="AW945" s="219"/>
      <c r="AX945" s="219"/>
      <c r="AY945" s="219"/>
      <c r="AZ945" s="219"/>
      <c r="BA945" s="219"/>
      <c r="BB945" s="219"/>
      <c r="BC945" s="219"/>
      <c r="BD945" s="219"/>
      <c r="BE945" s="219"/>
      <c r="BF945" s="219"/>
      <c r="BG945" s="219"/>
      <c r="BH945" s="219"/>
      <c r="BI945" s="219"/>
      <c r="BJ945" s="219"/>
      <c r="BK945" s="219"/>
      <c r="BL945" s="219"/>
      <c r="BM945" s="219"/>
      <c r="BN945" s="219"/>
    </row>
    <row r="946" ht="29.25" hidden="1" customHeight="1">
      <c r="A946" s="216"/>
      <c r="B946" s="217"/>
      <c r="C946" s="164"/>
      <c r="D946" s="164"/>
      <c r="E946" s="165"/>
      <c r="F946" s="173"/>
      <c r="G946" s="168"/>
      <c r="H946" s="168"/>
      <c r="I946" s="169"/>
      <c r="J946" s="170"/>
      <c r="K946" s="170"/>
      <c r="L946" s="170"/>
      <c r="M946" s="167"/>
      <c r="N946" s="169"/>
      <c r="O946" s="171"/>
      <c r="P946" s="106"/>
      <c r="Q946" s="218"/>
      <c r="R946" s="172"/>
      <c r="S946" s="172"/>
      <c r="T946" s="173"/>
      <c r="U946" s="219"/>
      <c r="V946" s="219"/>
      <c r="W946" s="219"/>
      <c r="X946" s="219"/>
      <c r="Y946" s="219"/>
      <c r="Z946" s="219"/>
      <c r="AA946" s="219"/>
      <c r="AB946" s="219"/>
      <c r="AC946" s="219"/>
      <c r="AD946" s="219"/>
      <c r="AE946" s="219"/>
      <c r="AF946" s="219"/>
      <c r="AG946" s="219"/>
      <c r="AH946" s="219"/>
      <c r="AI946" s="219"/>
      <c r="AJ946" s="219"/>
      <c r="AK946" s="219"/>
      <c r="AL946" s="219"/>
      <c r="AM946" s="219"/>
      <c r="AN946" s="219"/>
      <c r="AO946" s="219"/>
      <c r="AP946" s="219"/>
      <c r="AQ946" s="219"/>
      <c r="AR946" s="219"/>
      <c r="AS946" s="219"/>
      <c r="AT946" s="219"/>
      <c r="AU946" s="219"/>
      <c r="AV946" s="219"/>
      <c r="AW946" s="219"/>
      <c r="AX946" s="219"/>
      <c r="AY946" s="219"/>
      <c r="AZ946" s="219"/>
      <c r="BA946" s="219"/>
      <c r="BB946" s="219"/>
      <c r="BC946" s="219"/>
      <c r="BD946" s="219"/>
      <c r="BE946" s="219"/>
      <c r="BF946" s="219"/>
      <c r="BG946" s="219"/>
      <c r="BH946" s="219"/>
      <c r="BI946" s="219"/>
      <c r="BJ946" s="219"/>
      <c r="BK946" s="219"/>
      <c r="BL946" s="219"/>
      <c r="BM946" s="219"/>
      <c r="BN946" s="219"/>
    </row>
    <row r="947" ht="29.25" hidden="1" customHeight="1">
      <c r="A947" s="216"/>
      <c r="B947" s="217"/>
      <c r="C947" s="164"/>
      <c r="D947" s="164"/>
      <c r="E947" s="165"/>
      <c r="F947" s="173"/>
      <c r="G947" s="168"/>
      <c r="H947" s="168"/>
      <c r="I947" s="169"/>
      <c r="J947" s="170"/>
      <c r="K947" s="170"/>
      <c r="L947" s="170"/>
      <c r="M947" s="167"/>
      <c r="N947" s="169"/>
      <c r="O947" s="171"/>
      <c r="P947" s="106"/>
      <c r="Q947" s="218"/>
      <c r="R947" s="172"/>
      <c r="S947" s="172"/>
      <c r="T947" s="173"/>
      <c r="U947" s="219"/>
      <c r="V947" s="219"/>
      <c r="W947" s="219"/>
      <c r="X947" s="219"/>
      <c r="Y947" s="219"/>
      <c r="Z947" s="219"/>
      <c r="AA947" s="219"/>
      <c r="AB947" s="219"/>
      <c r="AC947" s="219"/>
      <c r="AD947" s="219"/>
      <c r="AE947" s="219"/>
      <c r="AF947" s="219"/>
      <c r="AG947" s="219"/>
      <c r="AH947" s="219"/>
      <c r="AI947" s="219"/>
      <c r="AJ947" s="219"/>
      <c r="AK947" s="219"/>
      <c r="AL947" s="219"/>
      <c r="AM947" s="219"/>
      <c r="AN947" s="219"/>
      <c r="AO947" s="219"/>
      <c r="AP947" s="219"/>
      <c r="AQ947" s="219"/>
      <c r="AR947" s="219"/>
      <c r="AS947" s="219"/>
      <c r="AT947" s="219"/>
      <c r="AU947" s="219"/>
      <c r="AV947" s="219"/>
      <c r="AW947" s="219"/>
      <c r="AX947" s="219"/>
      <c r="AY947" s="219"/>
      <c r="AZ947" s="219"/>
      <c r="BA947" s="219"/>
      <c r="BB947" s="219"/>
      <c r="BC947" s="219"/>
      <c r="BD947" s="219"/>
      <c r="BE947" s="219"/>
      <c r="BF947" s="219"/>
      <c r="BG947" s="219"/>
      <c r="BH947" s="219"/>
      <c r="BI947" s="219"/>
      <c r="BJ947" s="219"/>
      <c r="BK947" s="219"/>
      <c r="BL947" s="219"/>
      <c r="BM947" s="219"/>
      <c r="BN947" s="219"/>
    </row>
    <row r="948" ht="29.25" hidden="1" customHeight="1">
      <c r="A948" s="216"/>
      <c r="B948" s="217"/>
      <c r="C948" s="164"/>
      <c r="D948" s="164"/>
      <c r="E948" s="165"/>
      <c r="F948" s="173"/>
      <c r="G948" s="168"/>
      <c r="H948" s="168"/>
      <c r="I948" s="169"/>
      <c r="J948" s="170"/>
      <c r="K948" s="170"/>
      <c r="L948" s="170"/>
      <c r="M948" s="167"/>
      <c r="N948" s="169"/>
      <c r="O948" s="171"/>
      <c r="P948" s="106"/>
      <c r="Q948" s="218"/>
      <c r="R948" s="172"/>
      <c r="S948" s="172"/>
      <c r="T948" s="173"/>
      <c r="U948" s="219"/>
      <c r="V948" s="219"/>
      <c r="W948" s="219"/>
      <c r="X948" s="219"/>
      <c r="Y948" s="219"/>
      <c r="Z948" s="219"/>
      <c r="AA948" s="219"/>
      <c r="AB948" s="219"/>
      <c r="AC948" s="219"/>
      <c r="AD948" s="219"/>
      <c r="AE948" s="219"/>
      <c r="AF948" s="219"/>
      <c r="AG948" s="219"/>
      <c r="AH948" s="219"/>
      <c r="AI948" s="219"/>
      <c r="AJ948" s="219"/>
      <c r="AK948" s="219"/>
      <c r="AL948" s="219"/>
      <c r="AM948" s="219"/>
      <c r="AN948" s="219"/>
      <c r="AO948" s="219"/>
      <c r="AP948" s="219"/>
      <c r="AQ948" s="219"/>
      <c r="AR948" s="219"/>
      <c r="AS948" s="219"/>
      <c r="AT948" s="219"/>
      <c r="AU948" s="219"/>
      <c r="AV948" s="219"/>
      <c r="AW948" s="219"/>
      <c r="AX948" s="219"/>
      <c r="AY948" s="219"/>
      <c r="AZ948" s="219"/>
      <c r="BA948" s="219"/>
      <c r="BB948" s="219"/>
      <c r="BC948" s="219"/>
      <c r="BD948" s="219"/>
      <c r="BE948" s="219"/>
      <c r="BF948" s="219"/>
      <c r="BG948" s="219"/>
      <c r="BH948" s="219"/>
      <c r="BI948" s="219"/>
      <c r="BJ948" s="219"/>
      <c r="BK948" s="219"/>
      <c r="BL948" s="219"/>
      <c r="BM948" s="219"/>
      <c r="BN948" s="219"/>
    </row>
    <row r="949" ht="29.25" hidden="1" customHeight="1">
      <c r="A949" s="216"/>
      <c r="B949" s="217"/>
      <c r="C949" s="164"/>
      <c r="D949" s="164"/>
      <c r="E949" s="165"/>
      <c r="F949" s="173"/>
      <c r="G949" s="168"/>
      <c r="H949" s="168"/>
      <c r="I949" s="169"/>
      <c r="J949" s="170"/>
      <c r="K949" s="170"/>
      <c r="L949" s="170"/>
      <c r="M949" s="167"/>
      <c r="N949" s="169"/>
      <c r="O949" s="171"/>
      <c r="P949" s="106"/>
      <c r="Q949" s="218"/>
      <c r="R949" s="172"/>
      <c r="S949" s="172"/>
      <c r="T949" s="173"/>
      <c r="U949" s="219"/>
      <c r="V949" s="219"/>
      <c r="W949" s="219"/>
      <c r="X949" s="219"/>
      <c r="Y949" s="219"/>
      <c r="Z949" s="219"/>
      <c r="AA949" s="219"/>
      <c r="AB949" s="219"/>
      <c r="AC949" s="219"/>
      <c r="AD949" s="219"/>
      <c r="AE949" s="219"/>
      <c r="AF949" s="219"/>
      <c r="AG949" s="219"/>
      <c r="AH949" s="219"/>
      <c r="AI949" s="219"/>
      <c r="AJ949" s="219"/>
      <c r="AK949" s="219"/>
      <c r="AL949" s="219"/>
      <c r="AM949" s="219"/>
      <c r="AN949" s="219"/>
      <c r="AO949" s="219"/>
      <c r="AP949" s="219"/>
      <c r="AQ949" s="219"/>
      <c r="AR949" s="219"/>
      <c r="AS949" s="219"/>
      <c r="AT949" s="219"/>
      <c r="AU949" s="219"/>
      <c r="AV949" s="219"/>
      <c r="AW949" s="219"/>
      <c r="AX949" s="219"/>
      <c r="AY949" s="219"/>
      <c r="AZ949" s="219"/>
      <c r="BA949" s="219"/>
      <c r="BB949" s="219"/>
      <c r="BC949" s="219"/>
      <c r="BD949" s="219"/>
      <c r="BE949" s="219"/>
      <c r="BF949" s="219"/>
      <c r="BG949" s="219"/>
      <c r="BH949" s="219"/>
      <c r="BI949" s="219"/>
      <c r="BJ949" s="219"/>
      <c r="BK949" s="219"/>
      <c r="BL949" s="219"/>
      <c r="BM949" s="219"/>
      <c r="BN949" s="219"/>
    </row>
    <row r="950" ht="29.25" hidden="1" customHeight="1">
      <c r="A950" s="216"/>
      <c r="B950" s="217"/>
      <c r="C950" s="164"/>
      <c r="D950" s="164"/>
      <c r="E950" s="165"/>
      <c r="F950" s="173"/>
      <c r="G950" s="168"/>
      <c r="H950" s="168"/>
      <c r="I950" s="169"/>
      <c r="J950" s="170"/>
      <c r="K950" s="170"/>
      <c r="L950" s="170"/>
      <c r="M950" s="167"/>
      <c r="N950" s="169"/>
      <c r="O950" s="171"/>
      <c r="P950" s="106"/>
      <c r="Q950" s="218"/>
      <c r="R950" s="172"/>
      <c r="S950" s="172"/>
      <c r="T950" s="173"/>
      <c r="U950" s="219"/>
      <c r="V950" s="219"/>
      <c r="W950" s="219"/>
      <c r="X950" s="219"/>
      <c r="Y950" s="219"/>
      <c r="Z950" s="219"/>
      <c r="AA950" s="219"/>
      <c r="AB950" s="219"/>
      <c r="AC950" s="219"/>
      <c r="AD950" s="219"/>
      <c r="AE950" s="219"/>
      <c r="AF950" s="219"/>
      <c r="AG950" s="219"/>
      <c r="AH950" s="219"/>
      <c r="AI950" s="219"/>
      <c r="AJ950" s="219"/>
      <c r="AK950" s="219"/>
      <c r="AL950" s="219"/>
      <c r="AM950" s="219"/>
      <c r="AN950" s="219"/>
      <c r="AO950" s="219"/>
      <c r="AP950" s="219"/>
      <c r="AQ950" s="219"/>
      <c r="AR950" s="219"/>
      <c r="AS950" s="219"/>
      <c r="AT950" s="219"/>
      <c r="AU950" s="219"/>
      <c r="AV950" s="219"/>
      <c r="AW950" s="219"/>
      <c r="AX950" s="219"/>
      <c r="AY950" s="219"/>
      <c r="AZ950" s="219"/>
      <c r="BA950" s="219"/>
      <c r="BB950" s="219"/>
      <c r="BC950" s="219"/>
      <c r="BD950" s="219"/>
      <c r="BE950" s="219"/>
      <c r="BF950" s="219"/>
      <c r="BG950" s="219"/>
      <c r="BH950" s="219"/>
      <c r="BI950" s="219"/>
      <c r="BJ950" s="219"/>
      <c r="BK950" s="219"/>
      <c r="BL950" s="219"/>
      <c r="BM950" s="219"/>
      <c r="BN950" s="219"/>
    </row>
    <row r="951" ht="29.25" hidden="1" customHeight="1">
      <c r="A951" s="216"/>
      <c r="B951" s="217"/>
      <c r="C951" s="164"/>
      <c r="D951" s="164"/>
      <c r="E951" s="165"/>
      <c r="F951" s="173"/>
      <c r="G951" s="168"/>
      <c r="H951" s="168"/>
      <c r="I951" s="169"/>
      <c r="J951" s="170"/>
      <c r="K951" s="170"/>
      <c r="L951" s="170"/>
      <c r="M951" s="167"/>
      <c r="N951" s="169"/>
      <c r="O951" s="171"/>
      <c r="P951" s="106"/>
      <c r="Q951" s="218"/>
      <c r="R951" s="172"/>
      <c r="S951" s="172"/>
      <c r="T951" s="173"/>
      <c r="U951" s="219"/>
      <c r="V951" s="219"/>
      <c r="W951" s="219"/>
      <c r="X951" s="219"/>
      <c r="Y951" s="219"/>
      <c r="Z951" s="219"/>
      <c r="AA951" s="219"/>
      <c r="AB951" s="219"/>
      <c r="AC951" s="219"/>
      <c r="AD951" s="219"/>
      <c r="AE951" s="219"/>
      <c r="AF951" s="219"/>
      <c r="AG951" s="219"/>
      <c r="AH951" s="219"/>
      <c r="AI951" s="219"/>
      <c r="AJ951" s="219"/>
      <c r="AK951" s="219"/>
      <c r="AL951" s="219"/>
      <c r="AM951" s="219"/>
      <c r="AN951" s="219"/>
      <c r="AO951" s="219"/>
      <c r="AP951" s="219"/>
      <c r="AQ951" s="219"/>
      <c r="AR951" s="219"/>
      <c r="AS951" s="219"/>
      <c r="AT951" s="219"/>
      <c r="AU951" s="219"/>
      <c r="AV951" s="219"/>
      <c r="AW951" s="219"/>
      <c r="AX951" s="219"/>
      <c r="AY951" s="219"/>
      <c r="AZ951" s="219"/>
      <c r="BA951" s="219"/>
      <c r="BB951" s="219"/>
      <c r="BC951" s="219"/>
      <c r="BD951" s="219"/>
      <c r="BE951" s="219"/>
      <c r="BF951" s="219"/>
      <c r="BG951" s="219"/>
      <c r="BH951" s="219"/>
      <c r="BI951" s="219"/>
      <c r="BJ951" s="219"/>
      <c r="BK951" s="219"/>
      <c r="BL951" s="219"/>
      <c r="BM951" s="219"/>
      <c r="BN951" s="219"/>
    </row>
    <row r="952" ht="29.25" hidden="1" customHeight="1">
      <c r="A952" s="216"/>
      <c r="B952" s="217"/>
      <c r="C952" s="164"/>
      <c r="D952" s="164"/>
      <c r="E952" s="165"/>
      <c r="F952" s="173"/>
      <c r="G952" s="168"/>
      <c r="H952" s="168"/>
      <c r="I952" s="169"/>
      <c r="J952" s="170"/>
      <c r="K952" s="170"/>
      <c r="L952" s="170"/>
      <c r="M952" s="167"/>
      <c r="N952" s="169"/>
      <c r="O952" s="171"/>
      <c r="P952" s="106"/>
      <c r="Q952" s="218"/>
      <c r="R952" s="172"/>
      <c r="S952" s="172"/>
      <c r="T952" s="173"/>
      <c r="U952" s="219"/>
      <c r="V952" s="219"/>
      <c r="W952" s="219"/>
      <c r="X952" s="219"/>
      <c r="Y952" s="219"/>
      <c r="Z952" s="219"/>
      <c r="AA952" s="219"/>
      <c r="AB952" s="219"/>
      <c r="AC952" s="219"/>
      <c r="AD952" s="219"/>
      <c r="AE952" s="219"/>
      <c r="AF952" s="219"/>
      <c r="AG952" s="219"/>
      <c r="AH952" s="219"/>
      <c r="AI952" s="219"/>
      <c r="AJ952" s="219"/>
      <c r="AK952" s="219"/>
      <c r="AL952" s="219"/>
      <c r="AM952" s="219"/>
      <c r="AN952" s="219"/>
      <c r="AO952" s="219"/>
      <c r="AP952" s="219"/>
      <c r="AQ952" s="219"/>
      <c r="AR952" s="219"/>
      <c r="AS952" s="219"/>
      <c r="AT952" s="219"/>
      <c r="AU952" s="219"/>
      <c r="AV952" s="219"/>
      <c r="AW952" s="219"/>
      <c r="AX952" s="219"/>
      <c r="AY952" s="219"/>
      <c r="AZ952" s="219"/>
      <c r="BA952" s="219"/>
      <c r="BB952" s="219"/>
      <c r="BC952" s="219"/>
      <c r="BD952" s="219"/>
      <c r="BE952" s="219"/>
      <c r="BF952" s="219"/>
      <c r="BG952" s="219"/>
      <c r="BH952" s="219"/>
      <c r="BI952" s="219"/>
      <c r="BJ952" s="219"/>
      <c r="BK952" s="219"/>
      <c r="BL952" s="219"/>
      <c r="BM952" s="219"/>
      <c r="BN952" s="219"/>
    </row>
    <row r="953" ht="29.25" hidden="1" customHeight="1">
      <c r="A953" s="216"/>
      <c r="B953" s="217"/>
      <c r="C953" s="164"/>
      <c r="D953" s="164"/>
      <c r="E953" s="165"/>
      <c r="F953" s="173"/>
      <c r="G953" s="168"/>
      <c r="H953" s="168"/>
      <c r="I953" s="169"/>
      <c r="J953" s="170"/>
      <c r="K953" s="170"/>
      <c r="L953" s="170"/>
      <c r="M953" s="167"/>
      <c r="N953" s="169"/>
      <c r="O953" s="171"/>
      <c r="P953" s="106"/>
      <c r="Q953" s="218"/>
      <c r="R953" s="172"/>
      <c r="S953" s="172"/>
      <c r="T953" s="173"/>
      <c r="U953" s="219"/>
      <c r="V953" s="219"/>
      <c r="W953" s="219"/>
      <c r="X953" s="219"/>
      <c r="Y953" s="219"/>
      <c r="Z953" s="219"/>
      <c r="AA953" s="219"/>
      <c r="AB953" s="219"/>
      <c r="AC953" s="219"/>
      <c r="AD953" s="219"/>
      <c r="AE953" s="219"/>
      <c r="AF953" s="219"/>
      <c r="AG953" s="219"/>
      <c r="AH953" s="219"/>
      <c r="AI953" s="219"/>
      <c r="AJ953" s="219"/>
      <c r="AK953" s="219"/>
      <c r="AL953" s="219"/>
      <c r="AM953" s="219"/>
      <c r="AN953" s="219"/>
      <c r="AO953" s="219"/>
      <c r="AP953" s="219"/>
      <c r="AQ953" s="219"/>
      <c r="AR953" s="219"/>
      <c r="AS953" s="219"/>
      <c r="AT953" s="219"/>
      <c r="AU953" s="219"/>
      <c r="AV953" s="219"/>
      <c r="AW953" s="219"/>
      <c r="AX953" s="219"/>
      <c r="AY953" s="219"/>
      <c r="AZ953" s="219"/>
      <c r="BA953" s="219"/>
      <c r="BB953" s="219"/>
      <c r="BC953" s="219"/>
      <c r="BD953" s="219"/>
      <c r="BE953" s="219"/>
      <c r="BF953" s="219"/>
      <c r="BG953" s="219"/>
      <c r="BH953" s="219"/>
      <c r="BI953" s="219"/>
      <c r="BJ953" s="219"/>
      <c r="BK953" s="219"/>
      <c r="BL953" s="219"/>
      <c r="BM953" s="219"/>
      <c r="BN953" s="219"/>
    </row>
    <row r="954" ht="29.25" hidden="1" customHeight="1">
      <c r="A954" s="216"/>
      <c r="B954" s="217"/>
      <c r="C954" s="164"/>
      <c r="D954" s="164"/>
      <c r="E954" s="165"/>
      <c r="F954" s="173"/>
      <c r="G954" s="168"/>
      <c r="H954" s="168"/>
      <c r="I954" s="169"/>
      <c r="J954" s="170"/>
      <c r="K954" s="170"/>
      <c r="L954" s="170"/>
      <c r="M954" s="167"/>
      <c r="N954" s="169"/>
      <c r="O954" s="171"/>
      <c r="P954" s="106"/>
      <c r="Q954" s="218"/>
      <c r="R954" s="172"/>
      <c r="S954" s="172"/>
      <c r="T954" s="173"/>
      <c r="U954" s="219"/>
      <c r="V954" s="219"/>
      <c r="W954" s="219"/>
      <c r="X954" s="219"/>
      <c r="Y954" s="219"/>
      <c r="Z954" s="219"/>
      <c r="AA954" s="219"/>
      <c r="AB954" s="219"/>
      <c r="AC954" s="219"/>
      <c r="AD954" s="219"/>
      <c r="AE954" s="219"/>
      <c r="AF954" s="219"/>
      <c r="AG954" s="219"/>
      <c r="AH954" s="219"/>
      <c r="AI954" s="219"/>
      <c r="AJ954" s="219"/>
      <c r="AK954" s="219"/>
      <c r="AL954" s="219"/>
      <c r="AM954" s="219"/>
      <c r="AN954" s="219"/>
      <c r="AO954" s="219"/>
      <c r="AP954" s="219"/>
      <c r="AQ954" s="219"/>
      <c r="AR954" s="219"/>
      <c r="AS954" s="219"/>
      <c r="AT954" s="219"/>
      <c r="AU954" s="219"/>
      <c r="AV954" s="219"/>
      <c r="AW954" s="219"/>
      <c r="AX954" s="219"/>
      <c r="AY954" s="219"/>
      <c r="AZ954" s="219"/>
      <c r="BA954" s="219"/>
      <c r="BB954" s="219"/>
      <c r="BC954" s="219"/>
      <c r="BD954" s="219"/>
      <c r="BE954" s="219"/>
      <c r="BF954" s="219"/>
      <c r="BG954" s="219"/>
      <c r="BH954" s="219"/>
      <c r="BI954" s="219"/>
      <c r="BJ954" s="219"/>
      <c r="BK954" s="219"/>
      <c r="BL954" s="219"/>
      <c r="BM954" s="219"/>
      <c r="BN954" s="219"/>
    </row>
    <row r="955" ht="29.25" hidden="1" customHeight="1">
      <c r="A955" s="216"/>
      <c r="B955" s="217"/>
      <c r="C955" s="164"/>
      <c r="D955" s="164"/>
      <c r="E955" s="165"/>
      <c r="F955" s="173"/>
      <c r="G955" s="168"/>
      <c r="H955" s="168"/>
      <c r="I955" s="169"/>
      <c r="J955" s="170"/>
      <c r="K955" s="170"/>
      <c r="L955" s="170"/>
      <c r="M955" s="167"/>
      <c r="N955" s="169"/>
      <c r="O955" s="171"/>
      <c r="P955" s="106"/>
      <c r="Q955" s="218"/>
      <c r="R955" s="172"/>
      <c r="S955" s="172"/>
      <c r="T955" s="173"/>
      <c r="U955" s="219"/>
      <c r="V955" s="219"/>
      <c r="W955" s="219"/>
      <c r="X955" s="219"/>
      <c r="Y955" s="219"/>
      <c r="Z955" s="219"/>
      <c r="AA955" s="219"/>
      <c r="AB955" s="219"/>
      <c r="AC955" s="219"/>
      <c r="AD955" s="219"/>
      <c r="AE955" s="219"/>
      <c r="AF955" s="219"/>
      <c r="AG955" s="219"/>
      <c r="AH955" s="219"/>
      <c r="AI955" s="219"/>
      <c r="AJ955" s="219"/>
      <c r="AK955" s="219"/>
      <c r="AL955" s="219"/>
      <c r="AM955" s="219"/>
      <c r="AN955" s="219"/>
      <c r="AO955" s="219"/>
      <c r="AP955" s="219"/>
      <c r="AQ955" s="219"/>
      <c r="AR955" s="219"/>
      <c r="AS955" s="219"/>
      <c r="AT955" s="219"/>
      <c r="AU955" s="219"/>
      <c r="AV955" s="219"/>
      <c r="AW955" s="219"/>
      <c r="AX955" s="219"/>
      <c r="AY955" s="219"/>
      <c r="AZ955" s="219"/>
      <c r="BA955" s="219"/>
      <c r="BB955" s="219"/>
      <c r="BC955" s="219"/>
      <c r="BD955" s="219"/>
      <c r="BE955" s="219"/>
      <c r="BF955" s="219"/>
      <c r="BG955" s="219"/>
      <c r="BH955" s="219"/>
      <c r="BI955" s="219"/>
      <c r="BJ955" s="219"/>
      <c r="BK955" s="219"/>
      <c r="BL955" s="219"/>
      <c r="BM955" s="219"/>
      <c r="BN955" s="219"/>
    </row>
    <row r="956" ht="29.25" hidden="1" customHeight="1">
      <c r="A956" s="216"/>
      <c r="B956" s="217"/>
      <c r="C956" s="164"/>
      <c r="D956" s="164"/>
      <c r="E956" s="165"/>
      <c r="F956" s="173"/>
      <c r="G956" s="168"/>
      <c r="H956" s="168"/>
      <c r="I956" s="169"/>
      <c r="J956" s="170"/>
      <c r="K956" s="170"/>
      <c r="L956" s="170"/>
      <c r="M956" s="167"/>
      <c r="N956" s="169"/>
      <c r="O956" s="171"/>
      <c r="P956" s="106"/>
      <c r="Q956" s="218"/>
      <c r="R956" s="172"/>
      <c r="S956" s="172"/>
      <c r="T956" s="173"/>
      <c r="U956" s="219"/>
      <c r="V956" s="219"/>
      <c r="W956" s="219"/>
      <c r="X956" s="219"/>
      <c r="Y956" s="219"/>
      <c r="Z956" s="219"/>
      <c r="AA956" s="219"/>
      <c r="AB956" s="219"/>
      <c r="AC956" s="219"/>
      <c r="AD956" s="219"/>
      <c r="AE956" s="219"/>
      <c r="AF956" s="219"/>
      <c r="AG956" s="219"/>
      <c r="AH956" s="219"/>
      <c r="AI956" s="219"/>
      <c r="AJ956" s="219"/>
      <c r="AK956" s="219"/>
      <c r="AL956" s="219"/>
      <c r="AM956" s="219"/>
      <c r="AN956" s="219"/>
      <c r="AO956" s="219"/>
      <c r="AP956" s="219"/>
      <c r="AQ956" s="219"/>
      <c r="AR956" s="219"/>
      <c r="AS956" s="219"/>
      <c r="AT956" s="219"/>
      <c r="AU956" s="219"/>
      <c r="AV956" s="219"/>
      <c r="AW956" s="219"/>
      <c r="AX956" s="219"/>
      <c r="AY956" s="219"/>
      <c r="AZ956" s="219"/>
      <c r="BA956" s="219"/>
      <c r="BB956" s="219"/>
      <c r="BC956" s="219"/>
      <c r="BD956" s="219"/>
      <c r="BE956" s="219"/>
      <c r="BF956" s="219"/>
      <c r="BG956" s="219"/>
      <c r="BH956" s="219"/>
      <c r="BI956" s="219"/>
      <c r="BJ956" s="219"/>
      <c r="BK956" s="219"/>
      <c r="BL956" s="219"/>
      <c r="BM956" s="219"/>
      <c r="BN956" s="219"/>
    </row>
    <row r="957" ht="29.25" hidden="1" customHeight="1">
      <c r="A957" s="216"/>
      <c r="B957" s="217"/>
      <c r="C957" s="164"/>
      <c r="D957" s="164"/>
      <c r="E957" s="165"/>
      <c r="F957" s="173"/>
      <c r="G957" s="168"/>
      <c r="H957" s="168"/>
      <c r="I957" s="169"/>
      <c r="J957" s="170"/>
      <c r="K957" s="170"/>
      <c r="L957" s="170"/>
      <c r="M957" s="167"/>
      <c r="N957" s="169"/>
      <c r="O957" s="171"/>
      <c r="P957" s="106"/>
      <c r="Q957" s="218"/>
      <c r="R957" s="172"/>
      <c r="S957" s="172"/>
      <c r="T957" s="173"/>
      <c r="U957" s="219"/>
      <c r="V957" s="219"/>
      <c r="W957" s="219"/>
      <c r="X957" s="219"/>
      <c r="Y957" s="219"/>
      <c r="Z957" s="219"/>
      <c r="AA957" s="219"/>
      <c r="AB957" s="219"/>
      <c r="AC957" s="219"/>
      <c r="AD957" s="219"/>
      <c r="AE957" s="219"/>
      <c r="AF957" s="219"/>
      <c r="AG957" s="219"/>
      <c r="AH957" s="219"/>
      <c r="AI957" s="219"/>
      <c r="AJ957" s="219"/>
      <c r="AK957" s="219"/>
      <c r="AL957" s="219"/>
      <c r="AM957" s="219"/>
      <c r="AN957" s="219"/>
      <c r="AO957" s="219"/>
      <c r="AP957" s="219"/>
      <c r="AQ957" s="219"/>
      <c r="AR957" s="219"/>
      <c r="AS957" s="219"/>
      <c r="AT957" s="219"/>
      <c r="AU957" s="219"/>
      <c r="AV957" s="219"/>
      <c r="AW957" s="219"/>
      <c r="AX957" s="219"/>
      <c r="AY957" s="219"/>
      <c r="AZ957" s="219"/>
      <c r="BA957" s="219"/>
      <c r="BB957" s="219"/>
      <c r="BC957" s="219"/>
      <c r="BD957" s="219"/>
      <c r="BE957" s="219"/>
      <c r="BF957" s="219"/>
      <c r="BG957" s="219"/>
      <c r="BH957" s="219"/>
      <c r="BI957" s="219"/>
      <c r="BJ957" s="219"/>
      <c r="BK957" s="219"/>
      <c r="BL957" s="219"/>
      <c r="BM957" s="219"/>
      <c r="BN957" s="219"/>
    </row>
    <row r="958" ht="29.25" hidden="1" customHeight="1">
      <c r="A958" s="216"/>
      <c r="B958" s="217"/>
      <c r="C958" s="164"/>
      <c r="D958" s="164"/>
      <c r="E958" s="165"/>
      <c r="F958" s="173"/>
      <c r="G958" s="168"/>
      <c r="H958" s="168"/>
      <c r="I958" s="169"/>
      <c r="J958" s="170"/>
      <c r="K958" s="170"/>
      <c r="L958" s="170"/>
      <c r="M958" s="167"/>
      <c r="N958" s="169"/>
      <c r="O958" s="171"/>
      <c r="P958" s="106"/>
      <c r="Q958" s="218"/>
      <c r="R958" s="172"/>
      <c r="S958" s="172"/>
      <c r="T958" s="173"/>
      <c r="U958" s="219"/>
      <c r="V958" s="219"/>
      <c r="W958" s="219"/>
      <c r="X958" s="219"/>
      <c r="Y958" s="219"/>
      <c r="Z958" s="219"/>
      <c r="AA958" s="219"/>
      <c r="AB958" s="219"/>
      <c r="AC958" s="219"/>
      <c r="AD958" s="219"/>
      <c r="AE958" s="219"/>
      <c r="AF958" s="219"/>
      <c r="AG958" s="219"/>
      <c r="AH958" s="219"/>
      <c r="AI958" s="219"/>
      <c r="AJ958" s="219"/>
      <c r="AK958" s="219"/>
      <c r="AL958" s="219"/>
      <c r="AM958" s="219"/>
      <c r="AN958" s="219"/>
      <c r="AO958" s="219"/>
      <c r="AP958" s="219"/>
      <c r="AQ958" s="219"/>
      <c r="AR958" s="219"/>
      <c r="AS958" s="219"/>
      <c r="AT958" s="219"/>
      <c r="AU958" s="219"/>
      <c r="AV958" s="219"/>
      <c r="AW958" s="219"/>
      <c r="AX958" s="219"/>
      <c r="AY958" s="219"/>
      <c r="AZ958" s="219"/>
      <c r="BA958" s="219"/>
      <c r="BB958" s="219"/>
      <c r="BC958" s="219"/>
      <c r="BD958" s="219"/>
      <c r="BE958" s="219"/>
      <c r="BF958" s="219"/>
      <c r="BG958" s="219"/>
      <c r="BH958" s="219"/>
      <c r="BI958" s="219"/>
      <c r="BJ958" s="219"/>
      <c r="BK958" s="219"/>
      <c r="BL958" s="219"/>
      <c r="BM958" s="219"/>
      <c r="BN958" s="219"/>
    </row>
    <row r="959" ht="29.25" hidden="1" customHeight="1">
      <c r="A959" s="216"/>
      <c r="B959" s="217"/>
      <c r="C959" s="164"/>
      <c r="D959" s="164"/>
      <c r="E959" s="165"/>
      <c r="F959" s="173"/>
      <c r="G959" s="168"/>
      <c r="H959" s="168"/>
      <c r="I959" s="169"/>
      <c r="J959" s="170"/>
      <c r="K959" s="170"/>
      <c r="L959" s="170"/>
      <c r="M959" s="167"/>
      <c r="N959" s="169"/>
      <c r="O959" s="171"/>
      <c r="P959" s="106"/>
      <c r="Q959" s="218"/>
      <c r="R959" s="172"/>
      <c r="S959" s="172"/>
      <c r="T959" s="173"/>
      <c r="U959" s="219"/>
      <c r="V959" s="219"/>
      <c r="W959" s="219"/>
      <c r="X959" s="219"/>
      <c r="Y959" s="219"/>
      <c r="Z959" s="219"/>
      <c r="AA959" s="219"/>
      <c r="AB959" s="219"/>
      <c r="AC959" s="219"/>
      <c r="AD959" s="219"/>
      <c r="AE959" s="219"/>
      <c r="AF959" s="219"/>
      <c r="AG959" s="219"/>
      <c r="AH959" s="219"/>
      <c r="AI959" s="219"/>
      <c r="AJ959" s="219"/>
      <c r="AK959" s="219"/>
      <c r="AL959" s="219"/>
      <c r="AM959" s="219"/>
      <c r="AN959" s="219"/>
      <c r="AO959" s="219"/>
      <c r="AP959" s="219"/>
      <c r="AQ959" s="219"/>
      <c r="AR959" s="219"/>
      <c r="AS959" s="219"/>
      <c r="AT959" s="219"/>
      <c r="AU959" s="219"/>
      <c r="AV959" s="219"/>
      <c r="AW959" s="219"/>
      <c r="AX959" s="219"/>
      <c r="AY959" s="219"/>
      <c r="AZ959" s="219"/>
      <c r="BA959" s="219"/>
      <c r="BB959" s="219"/>
      <c r="BC959" s="219"/>
      <c r="BD959" s="219"/>
      <c r="BE959" s="219"/>
      <c r="BF959" s="219"/>
      <c r="BG959" s="219"/>
      <c r="BH959" s="219"/>
      <c r="BI959" s="219"/>
      <c r="BJ959" s="219"/>
      <c r="BK959" s="219"/>
      <c r="BL959" s="219"/>
      <c r="BM959" s="219"/>
      <c r="BN959" s="219"/>
    </row>
    <row r="960" ht="29.25" hidden="1" customHeight="1">
      <c r="A960" s="216"/>
      <c r="B960" s="217"/>
      <c r="C960" s="164"/>
      <c r="D960" s="164"/>
      <c r="E960" s="165"/>
      <c r="F960" s="173"/>
      <c r="G960" s="168"/>
      <c r="H960" s="168"/>
      <c r="I960" s="169"/>
      <c r="J960" s="170"/>
      <c r="K960" s="170"/>
      <c r="L960" s="170"/>
      <c r="M960" s="167"/>
      <c r="N960" s="169"/>
      <c r="O960" s="171"/>
      <c r="P960" s="106"/>
      <c r="Q960" s="218"/>
      <c r="R960" s="172"/>
      <c r="S960" s="172"/>
      <c r="T960" s="173"/>
      <c r="U960" s="219"/>
      <c r="V960" s="219"/>
      <c r="W960" s="219"/>
      <c r="X960" s="219"/>
      <c r="Y960" s="219"/>
      <c r="Z960" s="219"/>
      <c r="AA960" s="219"/>
      <c r="AB960" s="219"/>
      <c r="AC960" s="219"/>
      <c r="AD960" s="219"/>
      <c r="AE960" s="219"/>
      <c r="AF960" s="219"/>
      <c r="AG960" s="219"/>
      <c r="AH960" s="219"/>
      <c r="AI960" s="219"/>
      <c r="AJ960" s="219"/>
      <c r="AK960" s="219"/>
      <c r="AL960" s="219"/>
      <c r="AM960" s="219"/>
      <c r="AN960" s="219"/>
      <c r="AO960" s="219"/>
      <c r="AP960" s="219"/>
      <c r="AQ960" s="219"/>
      <c r="AR960" s="219"/>
      <c r="AS960" s="219"/>
      <c r="AT960" s="219"/>
      <c r="AU960" s="219"/>
      <c r="AV960" s="219"/>
      <c r="AW960" s="219"/>
      <c r="AX960" s="219"/>
      <c r="AY960" s="219"/>
      <c r="AZ960" s="219"/>
      <c r="BA960" s="219"/>
      <c r="BB960" s="219"/>
      <c r="BC960" s="219"/>
      <c r="BD960" s="219"/>
      <c r="BE960" s="219"/>
      <c r="BF960" s="219"/>
      <c r="BG960" s="219"/>
      <c r="BH960" s="219"/>
      <c r="BI960" s="219"/>
      <c r="BJ960" s="219"/>
      <c r="BK960" s="219"/>
      <c r="BL960" s="219"/>
      <c r="BM960" s="219"/>
      <c r="BN960" s="219"/>
    </row>
    <row r="961" ht="29.25" hidden="1" customHeight="1">
      <c r="A961" s="216"/>
      <c r="B961" s="217"/>
      <c r="C961" s="164"/>
      <c r="D961" s="164"/>
      <c r="E961" s="165"/>
      <c r="F961" s="173"/>
      <c r="G961" s="168"/>
      <c r="H961" s="168"/>
      <c r="I961" s="169"/>
      <c r="J961" s="170"/>
      <c r="K961" s="170"/>
      <c r="L961" s="170"/>
      <c r="M961" s="167"/>
      <c r="N961" s="169"/>
      <c r="O961" s="171"/>
      <c r="P961" s="106"/>
      <c r="Q961" s="218"/>
      <c r="R961" s="172"/>
      <c r="S961" s="172"/>
      <c r="T961" s="173"/>
      <c r="U961" s="219"/>
      <c r="V961" s="219"/>
      <c r="W961" s="219"/>
      <c r="X961" s="219"/>
      <c r="Y961" s="219"/>
      <c r="Z961" s="219"/>
      <c r="AA961" s="219"/>
      <c r="AB961" s="219"/>
      <c r="AC961" s="219"/>
      <c r="AD961" s="219"/>
      <c r="AE961" s="219"/>
      <c r="AF961" s="219"/>
      <c r="AG961" s="219"/>
      <c r="AH961" s="219"/>
      <c r="AI961" s="219"/>
      <c r="AJ961" s="219"/>
      <c r="AK961" s="219"/>
      <c r="AL961" s="219"/>
      <c r="AM961" s="219"/>
      <c r="AN961" s="219"/>
      <c r="AO961" s="219"/>
      <c r="AP961" s="219"/>
      <c r="AQ961" s="219"/>
      <c r="AR961" s="219"/>
      <c r="AS961" s="219"/>
      <c r="AT961" s="219"/>
      <c r="AU961" s="219"/>
      <c r="AV961" s="219"/>
      <c r="AW961" s="219"/>
      <c r="AX961" s="219"/>
      <c r="AY961" s="219"/>
      <c r="AZ961" s="219"/>
      <c r="BA961" s="219"/>
      <c r="BB961" s="219"/>
      <c r="BC961" s="219"/>
      <c r="BD961" s="219"/>
      <c r="BE961" s="219"/>
      <c r="BF961" s="219"/>
      <c r="BG961" s="219"/>
      <c r="BH961" s="219"/>
      <c r="BI961" s="219"/>
      <c r="BJ961" s="219"/>
      <c r="BK961" s="219"/>
      <c r="BL961" s="219"/>
      <c r="BM961" s="219"/>
      <c r="BN961" s="219"/>
    </row>
    <row r="962" ht="29.25" hidden="1" customHeight="1">
      <c r="A962" s="216"/>
      <c r="B962" s="217"/>
      <c r="C962" s="164"/>
      <c r="D962" s="164"/>
      <c r="E962" s="165"/>
      <c r="F962" s="173"/>
      <c r="G962" s="168"/>
      <c r="H962" s="168"/>
      <c r="I962" s="169"/>
      <c r="J962" s="170"/>
      <c r="K962" s="170"/>
      <c r="L962" s="170"/>
      <c r="M962" s="167"/>
      <c r="N962" s="169"/>
      <c r="O962" s="171"/>
      <c r="P962" s="106"/>
      <c r="Q962" s="218"/>
      <c r="R962" s="172"/>
      <c r="S962" s="172"/>
      <c r="T962" s="173"/>
      <c r="U962" s="219"/>
      <c r="V962" s="219"/>
      <c r="W962" s="219"/>
      <c r="X962" s="219"/>
      <c r="Y962" s="219"/>
      <c r="Z962" s="219"/>
      <c r="AA962" s="219"/>
      <c r="AB962" s="219"/>
      <c r="AC962" s="219"/>
      <c r="AD962" s="219"/>
      <c r="AE962" s="219"/>
      <c r="AF962" s="219"/>
      <c r="AG962" s="219"/>
      <c r="AH962" s="219"/>
      <c r="AI962" s="219"/>
      <c r="AJ962" s="219"/>
      <c r="AK962" s="219"/>
      <c r="AL962" s="219"/>
      <c r="AM962" s="219"/>
      <c r="AN962" s="219"/>
      <c r="AO962" s="219"/>
      <c r="AP962" s="219"/>
      <c r="AQ962" s="219"/>
      <c r="AR962" s="219"/>
      <c r="AS962" s="219"/>
      <c r="AT962" s="219"/>
      <c r="AU962" s="219"/>
      <c r="AV962" s="219"/>
      <c r="AW962" s="219"/>
      <c r="AX962" s="219"/>
      <c r="AY962" s="219"/>
      <c r="AZ962" s="219"/>
      <c r="BA962" s="219"/>
      <c r="BB962" s="219"/>
      <c r="BC962" s="219"/>
      <c r="BD962" s="219"/>
      <c r="BE962" s="219"/>
      <c r="BF962" s="219"/>
      <c r="BG962" s="219"/>
      <c r="BH962" s="219"/>
      <c r="BI962" s="219"/>
      <c r="BJ962" s="219"/>
      <c r="BK962" s="219"/>
      <c r="BL962" s="219"/>
      <c r="BM962" s="219"/>
      <c r="BN962" s="219"/>
    </row>
    <row r="963" ht="29.25" hidden="1" customHeight="1">
      <c r="A963" s="216"/>
      <c r="B963" s="217"/>
      <c r="C963" s="164"/>
      <c r="D963" s="164"/>
      <c r="E963" s="165"/>
      <c r="F963" s="173"/>
      <c r="G963" s="168"/>
      <c r="H963" s="168"/>
      <c r="I963" s="169"/>
      <c r="J963" s="170"/>
      <c r="K963" s="170"/>
      <c r="L963" s="170"/>
      <c r="M963" s="167"/>
      <c r="N963" s="169"/>
      <c r="O963" s="171"/>
      <c r="P963" s="106"/>
      <c r="Q963" s="218"/>
      <c r="R963" s="172"/>
      <c r="S963" s="172"/>
      <c r="T963" s="173"/>
      <c r="U963" s="219"/>
      <c r="V963" s="219"/>
      <c r="W963" s="219"/>
      <c r="X963" s="219"/>
      <c r="Y963" s="219"/>
      <c r="Z963" s="219"/>
      <c r="AA963" s="219"/>
      <c r="AB963" s="219"/>
      <c r="AC963" s="219"/>
      <c r="AD963" s="219"/>
      <c r="AE963" s="219"/>
      <c r="AF963" s="219"/>
      <c r="AG963" s="219"/>
      <c r="AH963" s="219"/>
      <c r="AI963" s="219"/>
      <c r="AJ963" s="219"/>
      <c r="AK963" s="219"/>
      <c r="AL963" s="219"/>
      <c r="AM963" s="219"/>
      <c r="AN963" s="219"/>
      <c r="AO963" s="219"/>
      <c r="AP963" s="219"/>
      <c r="AQ963" s="219"/>
      <c r="AR963" s="219"/>
      <c r="AS963" s="219"/>
      <c r="AT963" s="219"/>
      <c r="AU963" s="219"/>
      <c r="AV963" s="219"/>
      <c r="AW963" s="219"/>
      <c r="AX963" s="219"/>
      <c r="AY963" s="219"/>
      <c r="AZ963" s="219"/>
      <c r="BA963" s="219"/>
      <c r="BB963" s="219"/>
      <c r="BC963" s="219"/>
      <c r="BD963" s="219"/>
      <c r="BE963" s="219"/>
      <c r="BF963" s="219"/>
      <c r="BG963" s="219"/>
      <c r="BH963" s="219"/>
      <c r="BI963" s="219"/>
      <c r="BJ963" s="219"/>
      <c r="BK963" s="219"/>
      <c r="BL963" s="219"/>
      <c r="BM963" s="219"/>
      <c r="BN963" s="219"/>
    </row>
    <row r="964" ht="29.25" hidden="1" customHeight="1">
      <c r="A964" s="216"/>
      <c r="B964" s="217"/>
      <c r="C964" s="164"/>
      <c r="D964" s="164"/>
      <c r="E964" s="165"/>
      <c r="F964" s="173"/>
      <c r="G964" s="168"/>
      <c r="H964" s="168"/>
      <c r="I964" s="169"/>
      <c r="J964" s="170"/>
      <c r="K964" s="170"/>
      <c r="L964" s="170"/>
      <c r="M964" s="167"/>
      <c r="N964" s="169"/>
      <c r="O964" s="171"/>
      <c r="P964" s="106"/>
      <c r="Q964" s="218"/>
      <c r="R964" s="172"/>
      <c r="S964" s="172"/>
      <c r="T964" s="173"/>
      <c r="U964" s="219"/>
      <c r="V964" s="219"/>
      <c r="W964" s="219"/>
      <c r="X964" s="219"/>
      <c r="Y964" s="219"/>
      <c r="Z964" s="219"/>
      <c r="AA964" s="219"/>
      <c r="AB964" s="219"/>
      <c r="AC964" s="219"/>
      <c r="AD964" s="219"/>
      <c r="AE964" s="219"/>
      <c r="AF964" s="219"/>
      <c r="AG964" s="219"/>
      <c r="AH964" s="219"/>
      <c r="AI964" s="219"/>
      <c r="AJ964" s="219"/>
      <c r="AK964" s="219"/>
      <c r="AL964" s="219"/>
      <c r="AM964" s="219"/>
      <c r="AN964" s="219"/>
      <c r="AO964" s="219"/>
      <c r="AP964" s="219"/>
      <c r="AQ964" s="219"/>
      <c r="AR964" s="219"/>
      <c r="AS964" s="219"/>
      <c r="AT964" s="219"/>
      <c r="AU964" s="219"/>
      <c r="AV964" s="219"/>
      <c r="AW964" s="219"/>
      <c r="AX964" s="219"/>
      <c r="AY964" s="219"/>
      <c r="AZ964" s="219"/>
      <c r="BA964" s="219"/>
      <c r="BB964" s="219"/>
      <c r="BC964" s="219"/>
      <c r="BD964" s="219"/>
      <c r="BE964" s="219"/>
      <c r="BF964" s="219"/>
      <c r="BG964" s="219"/>
      <c r="BH964" s="219"/>
      <c r="BI964" s="219"/>
      <c r="BJ964" s="219"/>
      <c r="BK964" s="219"/>
      <c r="BL964" s="219"/>
      <c r="BM964" s="219"/>
      <c r="BN964" s="219"/>
    </row>
    <row r="965" ht="29.25" hidden="1" customHeight="1">
      <c r="A965" s="216"/>
      <c r="B965" s="217"/>
      <c r="C965" s="164"/>
      <c r="D965" s="164"/>
      <c r="E965" s="165"/>
      <c r="F965" s="173"/>
      <c r="G965" s="168"/>
      <c r="H965" s="168"/>
      <c r="I965" s="169"/>
      <c r="J965" s="170"/>
      <c r="K965" s="170"/>
      <c r="L965" s="170"/>
      <c r="M965" s="167"/>
      <c r="N965" s="169"/>
      <c r="O965" s="171"/>
      <c r="P965" s="106"/>
      <c r="Q965" s="218"/>
      <c r="R965" s="172"/>
      <c r="S965" s="172"/>
      <c r="T965" s="173"/>
      <c r="U965" s="219"/>
      <c r="V965" s="219"/>
      <c r="W965" s="219"/>
      <c r="X965" s="219"/>
      <c r="Y965" s="219"/>
      <c r="Z965" s="219"/>
      <c r="AA965" s="219"/>
      <c r="AB965" s="219"/>
      <c r="AC965" s="219"/>
      <c r="AD965" s="219"/>
      <c r="AE965" s="219"/>
      <c r="AF965" s="219"/>
      <c r="AG965" s="219"/>
      <c r="AH965" s="219"/>
      <c r="AI965" s="219"/>
      <c r="AJ965" s="219"/>
      <c r="AK965" s="219"/>
      <c r="AL965" s="219"/>
      <c r="AM965" s="219"/>
      <c r="AN965" s="219"/>
      <c r="AO965" s="219"/>
      <c r="AP965" s="219"/>
      <c r="AQ965" s="219"/>
      <c r="AR965" s="219"/>
      <c r="AS965" s="219"/>
      <c r="AT965" s="219"/>
      <c r="AU965" s="219"/>
      <c r="AV965" s="219"/>
      <c r="AW965" s="219"/>
      <c r="AX965" s="219"/>
      <c r="AY965" s="219"/>
      <c r="AZ965" s="219"/>
      <c r="BA965" s="219"/>
      <c r="BB965" s="219"/>
      <c r="BC965" s="219"/>
      <c r="BD965" s="219"/>
      <c r="BE965" s="219"/>
      <c r="BF965" s="219"/>
      <c r="BG965" s="219"/>
      <c r="BH965" s="219"/>
      <c r="BI965" s="219"/>
      <c r="BJ965" s="219"/>
      <c r="BK965" s="219"/>
      <c r="BL965" s="219"/>
      <c r="BM965" s="219"/>
      <c r="BN965" s="219"/>
    </row>
    <row r="966" ht="29.25" hidden="1" customHeight="1">
      <c r="A966" s="216"/>
      <c r="B966" s="217"/>
      <c r="C966" s="164"/>
      <c r="D966" s="164"/>
      <c r="E966" s="165"/>
      <c r="F966" s="173"/>
      <c r="G966" s="168"/>
      <c r="H966" s="168"/>
      <c r="I966" s="169"/>
      <c r="J966" s="170"/>
      <c r="K966" s="170"/>
      <c r="L966" s="170"/>
      <c r="M966" s="167"/>
      <c r="N966" s="169"/>
      <c r="O966" s="171"/>
      <c r="P966" s="106"/>
      <c r="Q966" s="218"/>
      <c r="R966" s="172"/>
      <c r="S966" s="172"/>
      <c r="T966" s="173"/>
      <c r="U966" s="219"/>
      <c r="V966" s="219"/>
      <c r="W966" s="219"/>
      <c r="X966" s="219"/>
      <c r="Y966" s="219"/>
      <c r="Z966" s="219"/>
      <c r="AA966" s="219"/>
      <c r="AB966" s="219"/>
      <c r="AC966" s="219"/>
      <c r="AD966" s="219"/>
      <c r="AE966" s="219"/>
      <c r="AF966" s="219"/>
      <c r="AG966" s="219"/>
      <c r="AH966" s="219"/>
      <c r="AI966" s="219"/>
      <c r="AJ966" s="219"/>
      <c r="AK966" s="219"/>
      <c r="AL966" s="219"/>
      <c r="AM966" s="219"/>
      <c r="AN966" s="219"/>
      <c r="AO966" s="219"/>
      <c r="AP966" s="219"/>
      <c r="AQ966" s="219"/>
      <c r="AR966" s="219"/>
      <c r="AS966" s="219"/>
      <c r="AT966" s="219"/>
      <c r="AU966" s="219"/>
      <c r="AV966" s="219"/>
      <c r="AW966" s="219"/>
      <c r="AX966" s="219"/>
      <c r="AY966" s="219"/>
      <c r="AZ966" s="219"/>
      <c r="BA966" s="219"/>
      <c r="BB966" s="219"/>
      <c r="BC966" s="219"/>
      <c r="BD966" s="219"/>
      <c r="BE966" s="219"/>
      <c r="BF966" s="219"/>
      <c r="BG966" s="219"/>
      <c r="BH966" s="219"/>
      <c r="BI966" s="219"/>
      <c r="BJ966" s="219"/>
      <c r="BK966" s="219"/>
      <c r="BL966" s="219"/>
      <c r="BM966" s="219"/>
      <c r="BN966" s="219"/>
    </row>
    <row r="967" ht="29.25" hidden="1" customHeight="1">
      <c r="A967" s="216"/>
      <c r="B967" s="217"/>
      <c r="C967" s="164"/>
      <c r="D967" s="164"/>
      <c r="E967" s="165"/>
      <c r="F967" s="173"/>
      <c r="G967" s="168"/>
      <c r="H967" s="168"/>
      <c r="I967" s="169"/>
      <c r="J967" s="170"/>
      <c r="K967" s="170"/>
      <c r="L967" s="170"/>
      <c r="M967" s="167"/>
      <c r="N967" s="169"/>
      <c r="O967" s="171"/>
      <c r="P967" s="106"/>
      <c r="Q967" s="218"/>
      <c r="R967" s="172"/>
      <c r="S967" s="172"/>
      <c r="T967" s="173"/>
      <c r="U967" s="219"/>
      <c r="V967" s="219"/>
      <c r="W967" s="219"/>
      <c r="X967" s="219"/>
      <c r="Y967" s="219"/>
      <c r="Z967" s="219"/>
      <c r="AA967" s="219"/>
      <c r="AB967" s="219"/>
      <c r="AC967" s="219"/>
      <c r="AD967" s="219"/>
      <c r="AE967" s="219"/>
      <c r="AF967" s="219"/>
      <c r="AG967" s="219"/>
      <c r="AH967" s="219"/>
      <c r="AI967" s="219"/>
      <c r="AJ967" s="219"/>
      <c r="AK967" s="219"/>
      <c r="AL967" s="219"/>
      <c r="AM967" s="219"/>
      <c r="AN967" s="219"/>
      <c r="AO967" s="219"/>
      <c r="AP967" s="219"/>
      <c r="AQ967" s="219"/>
      <c r="AR967" s="219"/>
      <c r="AS967" s="219"/>
      <c r="AT967" s="219"/>
      <c r="AU967" s="219"/>
      <c r="AV967" s="219"/>
      <c r="AW967" s="219"/>
      <c r="AX967" s="219"/>
      <c r="AY967" s="219"/>
      <c r="AZ967" s="219"/>
      <c r="BA967" s="219"/>
      <c r="BB967" s="219"/>
      <c r="BC967" s="219"/>
      <c r="BD967" s="219"/>
      <c r="BE967" s="219"/>
      <c r="BF967" s="219"/>
      <c r="BG967" s="219"/>
      <c r="BH967" s="219"/>
      <c r="BI967" s="219"/>
      <c r="BJ967" s="219"/>
      <c r="BK967" s="219"/>
      <c r="BL967" s="219"/>
      <c r="BM967" s="219"/>
      <c r="BN967" s="219"/>
    </row>
    <row r="968" ht="29.25" hidden="1" customHeight="1">
      <c r="A968" s="216"/>
      <c r="B968" s="217"/>
      <c r="C968" s="164"/>
      <c r="D968" s="164"/>
      <c r="E968" s="165"/>
      <c r="F968" s="173"/>
      <c r="G968" s="168"/>
      <c r="H968" s="168"/>
      <c r="I968" s="169"/>
      <c r="J968" s="170"/>
      <c r="K968" s="170"/>
      <c r="L968" s="170"/>
      <c r="M968" s="167"/>
      <c r="N968" s="169"/>
      <c r="O968" s="171"/>
      <c r="P968" s="106"/>
      <c r="Q968" s="218"/>
      <c r="R968" s="172"/>
      <c r="S968" s="172"/>
      <c r="T968" s="173"/>
      <c r="U968" s="219"/>
      <c r="V968" s="219"/>
      <c r="W968" s="219"/>
      <c r="X968" s="219"/>
      <c r="Y968" s="219"/>
      <c r="Z968" s="219"/>
      <c r="AA968" s="219"/>
      <c r="AB968" s="219"/>
      <c r="AC968" s="219"/>
      <c r="AD968" s="219"/>
      <c r="AE968" s="219"/>
      <c r="AF968" s="219"/>
      <c r="AG968" s="219"/>
      <c r="AH968" s="219"/>
      <c r="AI968" s="219"/>
      <c r="AJ968" s="219"/>
      <c r="AK968" s="219"/>
      <c r="AL968" s="219"/>
      <c r="AM968" s="219"/>
      <c r="AN968" s="219"/>
      <c r="AO968" s="219"/>
      <c r="AP968" s="219"/>
      <c r="AQ968" s="219"/>
      <c r="AR968" s="219"/>
      <c r="AS968" s="219"/>
      <c r="AT968" s="219"/>
      <c r="AU968" s="219"/>
      <c r="AV968" s="219"/>
      <c r="AW968" s="219"/>
      <c r="AX968" s="219"/>
      <c r="AY968" s="219"/>
      <c r="AZ968" s="219"/>
      <c r="BA968" s="219"/>
      <c r="BB968" s="219"/>
      <c r="BC968" s="219"/>
      <c r="BD968" s="219"/>
      <c r="BE968" s="219"/>
      <c r="BF968" s="219"/>
      <c r="BG968" s="219"/>
      <c r="BH968" s="219"/>
      <c r="BI968" s="219"/>
      <c r="BJ968" s="219"/>
      <c r="BK968" s="219"/>
      <c r="BL968" s="219"/>
      <c r="BM968" s="219"/>
      <c r="BN968" s="219"/>
    </row>
    <row r="969" ht="29.25" hidden="1" customHeight="1">
      <c r="A969" s="216"/>
      <c r="B969" s="217"/>
      <c r="C969" s="164"/>
      <c r="D969" s="164"/>
      <c r="E969" s="165"/>
      <c r="F969" s="173"/>
      <c r="G969" s="168"/>
      <c r="H969" s="168"/>
      <c r="I969" s="169"/>
      <c r="J969" s="170"/>
      <c r="K969" s="170"/>
      <c r="L969" s="170"/>
      <c r="M969" s="167"/>
      <c r="N969" s="169"/>
      <c r="O969" s="171"/>
      <c r="P969" s="106"/>
      <c r="Q969" s="218"/>
      <c r="R969" s="172"/>
      <c r="S969" s="172"/>
      <c r="T969" s="173"/>
      <c r="U969" s="219"/>
      <c r="V969" s="219"/>
      <c r="W969" s="219"/>
      <c r="X969" s="219"/>
      <c r="Y969" s="219"/>
      <c r="Z969" s="219"/>
      <c r="AA969" s="219"/>
      <c r="AB969" s="219"/>
      <c r="AC969" s="219"/>
      <c r="AD969" s="219"/>
      <c r="AE969" s="219"/>
      <c r="AF969" s="219"/>
      <c r="AG969" s="219"/>
      <c r="AH969" s="219"/>
      <c r="AI969" s="219"/>
      <c r="AJ969" s="219"/>
      <c r="AK969" s="219"/>
      <c r="AL969" s="219"/>
      <c r="AM969" s="219"/>
      <c r="AN969" s="219"/>
      <c r="AO969" s="219"/>
      <c r="AP969" s="219"/>
      <c r="AQ969" s="219"/>
      <c r="AR969" s="219"/>
      <c r="AS969" s="219"/>
      <c r="AT969" s="219"/>
      <c r="AU969" s="219"/>
      <c r="AV969" s="219"/>
      <c r="AW969" s="219"/>
      <c r="AX969" s="219"/>
      <c r="AY969" s="219"/>
      <c r="AZ969" s="219"/>
      <c r="BA969" s="219"/>
      <c r="BB969" s="219"/>
      <c r="BC969" s="219"/>
      <c r="BD969" s="219"/>
      <c r="BE969" s="219"/>
      <c r="BF969" s="219"/>
      <c r="BG969" s="219"/>
      <c r="BH969" s="219"/>
      <c r="BI969" s="219"/>
      <c r="BJ969" s="219"/>
      <c r="BK969" s="219"/>
      <c r="BL969" s="219"/>
      <c r="BM969" s="219"/>
      <c r="BN969" s="219"/>
    </row>
    <row r="970" ht="29.25" hidden="1" customHeight="1">
      <c r="A970" s="216"/>
      <c r="B970" s="217"/>
      <c r="C970" s="164"/>
      <c r="D970" s="164"/>
      <c r="E970" s="165"/>
      <c r="F970" s="173"/>
      <c r="G970" s="168"/>
      <c r="H970" s="168"/>
      <c r="I970" s="169"/>
      <c r="J970" s="170"/>
      <c r="K970" s="170"/>
      <c r="L970" s="170"/>
      <c r="M970" s="167"/>
      <c r="N970" s="169"/>
      <c r="O970" s="171"/>
      <c r="P970" s="106"/>
      <c r="Q970" s="218"/>
      <c r="R970" s="172"/>
      <c r="S970" s="172"/>
      <c r="T970" s="173"/>
      <c r="U970" s="219"/>
      <c r="V970" s="219"/>
      <c r="W970" s="219"/>
      <c r="X970" s="219"/>
      <c r="Y970" s="219"/>
      <c r="Z970" s="219"/>
      <c r="AA970" s="219"/>
      <c r="AB970" s="219"/>
      <c r="AC970" s="219"/>
      <c r="AD970" s="219"/>
      <c r="AE970" s="219"/>
      <c r="AF970" s="219"/>
      <c r="AG970" s="219"/>
      <c r="AH970" s="219"/>
      <c r="AI970" s="219"/>
      <c r="AJ970" s="219"/>
      <c r="AK970" s="219"/>
      <c r="AL970" s="219"/>
      <c r="AM970" s="219"/>
      <c r="AN970" s="219"/>
      <c r="AO970" s="219"/>
      <c r="AP970" s="219"/>
      <c r="AQ970" s="219"/>
      <c r="AR970" s="219"/>
      <c r="AS970" s="219"/>
      <c r="AT970" s="219"/>
      <c r="AU970" s="219"/>
      <c r="AV970" s="219"/>
      <c r="AW970" s="219"/>
      <c r="AX970" s="219"/>
      <c r="AY970" s="219"/>
      <c r="AZ970" s="219"/>
      <c r="BA970" s="219"/>
      <c r="BB970" s="219"/>
      <c r="BC970" s="219"/>
      <c r="BD970" s="219"/>
      <c r="BE970" s="219"/>
      <c r="BF970" s="219"/>
      <c r="BG970" s="219"/>
      <c r="BH970" s="219"/>
      <c r="BI970" s="219"/>
      <c r="BJ970" s="219"/>
      <c r="BK970" s="219"/>
      <c r="BL970" s="219"/>
      <c r="BM970" s="219"/>
      <c r="BN970" s="219"/>
    </row>
    <row r="971" ht="29.25" hidden="1" customHeight="1">
      <c r="A971" s="216"/>
      <c r="B971" s="217"/>
      <c r="C971" s="164"/>
      <c r="D971" s="164"/>
      <c r="E971" s="165"/>
      <c r="F971" s="173"/>
      <c r="G971" s="168"/>
      <c r="H971" s="168"/>
      <c r="I971" s="169"/>
      <c r="J971" s="170"/>
      <c r="K971" s="170"/>
      <c r="L971" s="170"/>
      <c r="M971" s="167"/>
      <c r="N971" s="169"/>
      <c r="O971" s="171"/>
      <c r="P971" s="106"/>
      <c r="Q971" s="218"/>
      <c r="R971" s="172"/>
      <c r="S971" s="172"/>
      <c r="T971" s="173"/>
      <c r="U971" s="219"/>
      <c r="V971" s="219"/>
      <c r="W971" s="219"/>
      <c r="X971" s="219"/>
      <c r="Y971" s="219"/>
      <c r="Z971" s="219"/>
      <c r="AA971" s="219"/>
      <c r="AB971" s="219"/>
      <c r="AC971" s="219"/>
      <c r="AD971" s="219"/>
      <c r="AE971" s="219"/>
      <c r="AF971" s="219"/>
      <c r="AG971" s="219"/>
      <c r="AH971" s="219"/>
      <c r="AI971" s="219"/>
      <c r="AJ971" s="219"/>
      <c r="AK971" s="219"/>
      <c r="AL971" s="219"/>
      <c r="AM971" s="219"/>
      <c r="AN971" s="219"/>
      <c r="AO971" s="219"/>
      <c r="AP971" s="219"/>
      <c r="AQ971" s="219"/>
      <c r="AR971" s="219"/>
      <c r="AS971" s="219"/>
      <c r="AT971" s="219"/>
      <c r="AU971" s="219"/>
      <c r="AV971" s="219"/>
      <c r="AW971" s="219"/>
      <c r="AX971" s="219"/>
      <c r="AY971" s="219"/>
      <c r="AZ971" s="219"/>
      <c r="BA971" s="219"/>
      <c r="BB971" s="219"/>
      <c r="BC971" s="219"/>
      <c r="BD971" s="219"/>
      <c r="BE971" s="219"/>
      <c r="BF971" s="219"/>
      <c r="BG971" s="219"/>
      <c r="BH971" s="219"/>
      <c r="BI971" s="219"/>
      <c r="BJ971" s="219"/>
      <c r="BK971" s="219"/>
      <c r="BL971" s="219"/>
      <c r="BM971" s="219"/>
      <c r="BN971" s="219"/>
    </row>
    <row r="972" ht="29.25" hidden="1" customHeight="1">
      <c r="A972" s="216"/>
      <c r="B972" s="217"/>
      <c r="C972" s="164"/>
      <c r="D972" s="164"/>
      <c r="E972" s="165"/>
      <c r="F972" s="173"/>
      <c r="G972" s="168"/>
      <c r="H972" s="168"/>
      <c r="I972" s="169"/>
      <c r="J972" s="170"/>
      <c r="K972" s="170"/>
      <c r="L972" s="170"/>
      <c r="M972" s="167"/>
      <c r="N972" s="169"/>
      <c r="O972" s="171"/>
      <c r="P972" s="106"/>
      <c r="Q972" s="218"/>
      <c r="R972" s="172"/>
      <c r="S972" s="172"/>
      <c r="T972" s="173"/>
      <c r="U972" s="219"/>
      <c r="V972" s="219"/>
      <c r="W972" s="219"/>
      <c r="X972" s="219"/>
      <c r="Y972" s="219"/>
      <c r="Z972" s="219"/>
      <c r="AA972" s="219"/>
      <c r="AB972" s="219"/>
      <c r="AC972" s="219"/>
      <c r="AD972" s="219"/>
      <c r="AE972" s="219"/>
      <c r="AF972" s="219"/>
      <c r="AG972" s="219"/>
      <c r="AH972" s="219"/>
      <c r="AI972" s="219"/>
      <c r="AJ972" s="219"/>
      <c r="AK972" s="219"/>
      <c r="AL972" s="219"/>
      <c r="AM972" s="219"/>
      <c r="AN972" s="219"/>
      <c r="AO972" s="219"/>
      <c r="AP972" s="219"/>
      <c r="AQ972" s="219"/>
      <c r="AR972" s="219"/>
      <c r="AS972" s="219"/>
      <c r="AT972" s="219"/>
      <c r="AU972" s="219"/>
      <c r="AV972" s="219"/>
      <c r="AW972" s="219"/>
      <c r="AX972" s="219"/>
      <c r="AY972" s="219"/>
      <c r="AZ972" s="219"/>
      <c r="BA972" s="219"/>
      <c r="BB972" s="219"/>
      <c r="BC972" s="219"/>
      <c r="BD972" s="219"/>
      <c r="BE972" s="219"/>
      <c r="BF972" s="219"/>
      <c r="BG972" s="219"/>
      <c r="BH972" s="219"/>
      <c r="BI972" s="219"/>
      <c r="BJ972" s="219"/>
      <c r="BK972" s="219"/>
      <c r="BL972" s="219"/>
      <c r="BM972" s="219"/>
      <c r="BN972" s="219"/>
    </row>
    <row r="973" ht="29.25" hidden="1" customHeight="1">
      <c r="A973" s="216"/>
      <c r="B973" s="217"/>
      <c r="C973" s="164"/>
      <c r="D973" s="164"/>
      <c r="E973" s="165"/>
      <c r="F973" s="173"/>
      <c r="G973" s="168"/>
      <c r="H973" s="168"/>
      <c r="I973" s="169"/>
      <c r="J973" s="170"/>
      <c r="K973" s="170"/>
      <c r="L973" s="170"/>
      <c r="M973" s="167"/>
      <c r="N973" s="169"/>
      <c r="O973" s="171"/>
      <c r="P973" s="106"/>
      <c r="Q973" s="218"/>
      <c r="R973" s="172"/>
      <c r="S973" s="172"/>
      <c r="T973" s="173"/>
      <c r="U973" s="219"/>
      <c r="V973" s="219"/>
      <c r="W973" s="219"/>
      <c r="X973" s="219"/>
      <c r="Y973" s="219"/>
      <c r="Z973" s="219"/>
      <c r="AA973" s="219"/>
      <c r="AB973" s="219"/>
      <c r="AC973" s="219"/>
      <c r="AD973" s="219"/>
      <c r="AE973" s="219"/>
      <c r="AF973" s="219"/>
      <c r="AG973" s="219"/>
      <c r="AH973" s="219"/>
      <c r="AI973" s="219"/>
      <c r="AJ973" s="219"/>
      <c r="AK973" s="219"/>
      <c r="AL973" s="219"/>
      <c r="AM973" s="219"/>
      <c r="AN973" s="219"/>
      <c r="AO973" s="219"/>
      <c r="AP973" s="219"/>
      <c r="AQ973" s="219"/>
      <c r="AR973" s="219"/>
      <c r="AS973" s="219"/>
      <c r="AT973" s="219"/>
      <c r="AU973" s="219"/>
      <c r="AV973" s="219"/>
      <c r="AW973" s="219"/>
      <c r="AX973" s="219"/>
      <c r="AY973" s="219"/>
      <c r="AZ973" s="219"/>
      <c r="BA973" s="219"/>
      <c r="BB973" s="219"/>
      <c r="BC973" s="219"/>
      <c r="BD973" s="219"/>
      <c r="BE973" s="219"/>
      <c r="BF973" s="219"/>
      <c r="BG973" s="219"/>
      <c r="BH973" s="219"/>
      <c r="BI973" s="219"/>
      <c r="BJ973" s="219"/>
      <c r="BK973" s="219"/>
      <c r="BL973" s="219"/>
      <c r="BM973" s="219"/>
      <c r="BN973" s="219"/>
    </row>
    <row r="974" ht="29.25" hidden="1" customHeight="1">
      <c r="A974" s="216"/>
      <c r="B974" s="217"/>
      <c r="C974" s="164"/>
      <c r="D974" s="164"/>
      <c r="E974" s="165"/>
      <c r="F974" s="173"/>
      <c r="G974" s="168"/>
      <c r="H974" s="168"/>
      <c r="I974" s="169"/>
      <c r="J974" s="170"/>
      <c r="K974" s="170"/>
      <c r="L974" s="170"/>
      <c r="M974" s="167"/>
      <c r="N974" s="169"/>
      <c r="O974" s="171"/>
      <c r="P974" s="106"/>
      <c r="Q974" s="218"/>
      <c r="R974" s="172"/>
      <c r="S974" s="172"/>
      <c r="T974" s="173"/>
      <c r="U974" s="219"/>
      <c r="V974" s="219"/>
      <c r="W974" s="219"/>
      <c r="X974" s="219"/>
      <c r="Y974" s="219"/>
      <c r="Z974" s="219"/>
      <c r="AA974" s="219"/>
      <c r="AB974" s="219"/>
      <c r="AC974" s="219"/>
      <c r="AD974" s="219"/>
      <c r="AE974" s="219"/>
      <c r="AF974" s="219"/>
      <c r="AG974" s="219"/>
      <c r="AH974" s="219"/>
      <c r="AI974" s="219"/>
      <c r="AJ974" s="219"/>
      <c r="AK974" s="219"/>
      <c r="AL974" s="219"/>
      <c r="AM974" s="219"/>
      <c r="AN974" s="219"/>
      <c r="AO974" s="219"/>
      <c r="AP974" s="219"/>
      <c r="AQ974" s="219"/>
      <c r="AR974" s="219"/>
      <c r="AS974" s="219"/>
      <c r="AT974" s="219"/>
      <c r="AU974" s="219"/>
      <c r="AV974" s="219"/>
      <c r="AW974" s="219"/>
      <c r="AX974" s="219"/>
      <c r="AY974" s="219"/>
      <c r="AZ974" s="219"/>
      <c r="BA974" s="219"/>
      <c r="BB974" s="219"/>
      <c r="BC974" s="219"/>
      <c r="BD974" s="219"/>
      <c r="BE974" s="219"/>
      <c r="BF974" s="219"/>
      <c r="BG974" s="219"/>
      <c r="BH974" s="219"/>
      <c r="BI974" s="219"/>
      <c r="BJ974" s="219"/>
      <c r="BK974" s="219"/>
      <c r="BL974" s="219"/>
      <c r="BM974" s="219"/>
      <c r="BN974" s="219"/>
    </row>
    <row r="975" ht="29.25" hidden="1" customHeight="1">
      <c r="A975" s="216"/>
      <c r="B975" s="217"/>
      <c r="C975" s="164"/>
      <c r="D975" s="164"/>
      <c r="E975" s="165"/>
      <c r="F975" s="173"/>
      <c r="G975" s="168"/>
      <c r="H975" s="168"/>
      <c r="I975" s="169"/>
      <c r="J975" s="170"/>
      <c r="K975" s="170"/>
      <c r="L975" s="170"/>
      <c r="M975" s="167"/>
      <c r="N975" s="169"/>
      <c r="O975" s="171"/>
      <c r="P975" s="106"/>
      <c r="Q975" s="218"/>
      <c r="R975" s="172"/>
      <c r="S975" s="172"/>
      <c r="T975" s="173"/>
      <c r="U975" s="219"/>
      <c r="V975" s="219"/>
      <c r="W975" s="219"/>
      <c r="X975" s="219"/>
      <c r="Y975" s="219"/>
      <c r="Z975" s="219"/>
      <c r="AA975" s="219"/>
      <c r="AB975" s="219"/>
      <c r="AC975" s="219"/>
      <c r="AD975" s="219"/>
      <c r="AE975" s="219"/>
      <c r="AF975" s="219"/>
      <c r="AG975" s="219"/>
      <c r="AH975" s="219"/>
      <c r="AI975" s="219"/>
      <c r="AJ975" s="219"/>
      <c r="AK975" s="219"/>
      <c r="AL975" s="219"/>
      <c r="AM975" s="219"/>
      <c r="AN975" s="219"/>
      <c r="AO975" s="219"/>
      <c r="AP975" s="219"/>
      <c r="AQ975" s="219"/>
      <c r="AR975" s="219"/>
      <c r="AS975" s="219"/>
      <c r="AT975" s="219"/>
      <c r="AU975" s="219"/>
      <c r="AV975" s="219"/>
      <c r="AW975" s="219"/>
      <c r="AX975" s="219"/>
      <c r="AY975" s="219"/>
      <c r="AZ975" s="219"/>
      <c r="BA975" s="219"/>
      <c r="BB975" s="219"/>
      <c r="BC975" s="219"/>
      <c r="BD975" s="219"/>
      <c r="BE975" s="219"/>
      <c r="BF975" s="219"/>
      <c r="BG975" s="219"/>
      <c r="BH975" s="219"/>
      <c r="BI975" s="219"/>
      <c r="BJ975" s="219"/>
      <c r="BK975" s="219"/>
      <c r="BL975" s="219"/>
      <c r="BM975" s="219"/>
      <c r="BN975" s="219"/>
    </row>
    <row r="976" ht="29.25" hidden="1" customHeight="1">
      <c r="A976" s="216"/>
      <c r="B976" s="217"/>
      <c r="C976" s="164"/>
      <c r="D976" s="164"/>
      <c r="E976" s="165"/>
      <c r="F976" s="173"/>
      <c r="G976" s="168"/>
      <c r="H976" s="168"/>
      <c r="I976" s="169"/>
      <c r="J976" s="170"/>
      <c r="K976" s="170"/>
      <c r="L976" s="170"/>
      <c r="M976" s="167"/>
      <c r="N976" s="169"/>
      <c r="O976" s="171"/>
      <c r="P976" s="106"/>
      <c r="Q976" s="218"/>
      <c r="R976" s="172"/>
      <c r="S976" s="172"/>
      <c r="T976" s="173"/>
      <c r="U976" s="219"/>
      <c r="V976" s="219"/>
      <c r="W976" s="219"/>
      <c r="X976" s="219"/>
      <c r="Y976" s="219"/>
      <c r="Z976" s="219"/>
      <c r="AA976" s="219"/>
      <c r="AB976" s="219"/>
      <c r="AC976" s="219"/>
      <c r="AD976" s="219"/>
      <c r="AE976" s="219"/>
      <c r="AF976" s="219"/>
      <c r="AG976" s="219"/>
      <c r="AH976" s="219"/>
      <c r="AI976" s="219"/>
      <c r="AJ976" s="219"/>
      <c r="AK976" s="219"/>
      <c r="AL976" s="219"/>
      <c r="AM976" s="219"/>
      <c r="AN976" s="219"/>
      <c r="AO976" s="219"/>
      <c r="AP976" s="219"/>
      <c r="AQ976" s="219"/>
      <c r="AR976" s="219"/>
      <c r="AS976" s="219"/>
      <c r="AT976" s="219"/>
      <c r="AU976" s="219"/>
      <c r="AV976" s="219"/>
      <c r="AW976" s="219"/>
      <c r="AX976" s="219"/>
      <c r="AY976" s="219"/>
      <c r="AZ976" s="219"/>
      <c r="BA976" s="219"/>
      <c r="BB976" s="219"/>
      <c r="BC976" s="219"/>
      <c r="BD976" s="219"/>
      <c r="BE976" s="219"/>
      <c r="BF976" s="219"/>
      <c r="BG976" s="219"/>
      <c r="BH976" s="219"/>
      <c r="BI976" s="219"/>
      <c r="BJ976" s="219"/>
      <c r="BK976" s="219"/>
      <c r="BL976" s="219"/>
      <c r="BM976" s="219"/>
      <c r="BN976" s="219"/>
    </row>
    <row r="977" ht="29.25" hidden="1" customHeight="1">
      <c r="A977" s="216"/>
      <c r="B977" s="217"/>
      <c r="C977" s="164"/>
      <c r="D977" s="164"/>
      <c r="E977" s="165"/>
      <c r="F977" s="173"/>
      <c r="G977" s="168"/>
      <c r="H977" s="168"/>
      <c r="I977" s="169"/>
      <c r="J977" s="170"/>
      <c r="K977" s="170"/>
      <c r="L977" s="170"/>
      <c r="M977" s="167"/>
      <c r="N977" s="169"/>
      <c r="O977" s="171"/>
      <c r="P977" s="106"/>
      <c r="Q977" s="218"/>
      <c r="R977" s="172"/>
      <c r="S977" s="172"/>
      <c r="T977" s="173"/>
      <c r="U977" s="219"/>
      <c r="V977" s="219"/>
      <c r="W977" s="219"/>
      <c r="X977" s="219"/>
      <c r="Y977" s="219"/>
      <c r="Z977" s="219"/>
      <c r="AA977" s="219"/>
      <c r="AB977" s="219"/>
      <c r="AC977" s="219"/>
      <c r="AD977" s="219"/>
      <c r="AE977" s="219"/>
      <c r="AF977" s="219"/>
      <c r="AG977" s="219"/>
      <c r="AH977" s="219"/>
      <c r="AI977" s="219"/>
      <c r="AJ977" s="219"/>
      <c r="AK977" s="219"/>
      <c r="AL977" s="219"/>
      <c r="AM977" s="219"/>
      <c r="AN977" s="219"/>
      <c r="AO977" s="219"/>
      <c r="AP977" s="219"/>
      <c r="AQ977" s="219"/>
      <c r="AR977" s="219"/>
      <c r="AS977" s="219"/>
      <c r="AT977" s="219"/>
      <c r="AU977" s="219"/>
      <c r="AV977" s="219"/>
      <c r="AW977" s="219"/>
      <c r="AX977" s="219"/>
      <c r="AY977" s="219"/>
      <c r="AZ977" s="219"/>
      <c r="BA977" s="219"/>
      <c r="BB977" s="219"/>
      <c r="BC977" s="219"/>
      <c r="BD977" s="219"/>
      <c r="BE977" s="219"/>
      <c r="BF977" s="219"/>
      <c r="BG977" s="219"/>
      <c r="BH977" s="219"/>
      <c r="BI977" s="219"/>
      <c r="BJ977" s="219"/>
      <c r="BK977" s="219"/>
      <c r="BL977" s="219"/>
      <c r="BM977" s="219"/>
      <c r="BN977" s="219"/>
    </row>
    <row r="978" ht="29.25" hidden="1" customHeight="1">
      <c r="A978" s="216"/>
      <c r="B978" s="217"/>
      <c r="C978" s="164"/>
      <c r="D978" s="164"/>
      <c r="E978" s="165"/>
      <c r="F978" s="173"/>
      <c r="G978" s="168"/>
      <c r="H978" s="168"/>
      <c r="I978" s="169"/>
      <c r="J978" s="170"/>
      <c r="K978" s="170"/>
      <c r="L978" s="170"/>
      <c r="M978" s="167"/>
      <c r="N978" s="169"/>
      <c r="O978" s="171"/>
      <c r="P978" s="106"/>
      <c r="Q978" s="218"/>
      <c r="R978" s="172"/>
      <c r="S978" s="172"/>
      <c r="T978" s="173"/>
      <c r="U978" s="219"/>
      <c r="V978" s="219"/>
      <c r="W978" s="219"/>
      <c r="X978" s="219"/>
      <c r="Y978" s="219"/>
      <c r="Z978" s="219"/>
      <c r="AA978" s="219"/>
      <c r="AB978" s="219"/>
      <c r="AC978" s="219"/>
      <c r="AD978" s="219"/>
      <c r="AE978" s="219"/>
      <c r="AF978" s="219"/>
      <c r="AG978" s="219"/>
      <c r="AH978" s="219"/>
      <c r="AI978" s="219"/>
      <c r="AJ978" s="219"/>
      <c r="AK978" s="219"/>
      <c r="AL978" s="219"/>
      <c r="AM978" s="219"/>
      <c r="AN978" s="219"/>
      <c r="AO978" s="219"/>
      <c r="AP978" s="219"/>
      <c r="AQ978" s="219"/>
      <c r="AR978" s="219"/>
      <c r="AS978" s="219"/>
      <c r="AT978" s="219"/>
      <c r="AU978" s="219"/>
      <c r="AV978" s="219"/>
      <c r="AW978" s="219"/>
      <c r="AX978" s="219"/>
      <c r="AY978" s="219"/>
      <c r="AZ978" s="219"/>
      <c r="BA978" s="219"/>
      <c r="BB978" s="219"/>
      <c r="BC978" s="219"/>
      <c r="BD978" s="219"/>
      <c r="BE978" s="219"/>
      <c r="BF978" s="219"/>
      <c r="BG978" s="219"/>
      <c r="BH978" s="219"/>
      <c r="BI978" s="219"/>
      <c r="BJ978" s="219"/>
      <c r="BK978" s="219"/>
      <c r="BL978" s="219"/>
      <c r="BM978" s="219"/>
      <c r="BN978" s="219"/>
    </row>
    <row r="979" ht="29.25" hidden="1" customHeight="1">
      <c r="A979" s="216"/>
      <c r="B979" s="217"/>
      <c r="C979" s="164"/>
      <c r="D979" s="164"/>
      <c r="E979" s="165"/>
      <c r="F979" s="173"/>
      <c r="G979" s="168"/>
      <c r="H979" s="168"/>
      <c r="I979" s="169"/>
      <c r="J979" s="170"/>
      <c r="K979" s="170"/>
      <c r="L979" s="170"/>
      <c r="M979" s="167"/>
      <c r="N979" s="169"/>
      <c r="O979" s="171"/>
      <c r="P979" s="106"/>
      <c r="Q979" s="218"/>
      <c r="R979" s="172"/>
      <c r="S979" s="172"/>
      <c r="T979" s="173"/>
      <c r="U979" s="219"/>
      <c r="V979" s="219"/>
      <c r="W979" s="219"/>
      <c r="X979" s="219"/>
      <c r="Y979" s="219"/>
      <c r="Z979" s="219"/>
      <c r="AA979" s="219"/>
      <c r="AB979" s="219"/>
      <c r="AC979" s="219"/>
      <c r="AD979" s="219"/>
      <c r="AE979" s="219"/>
      <c r="AF979" s="219"/>
      <c r="AG979" s="219"/>
      <c r="AH979" s="219"/>
      <c r="AI979" s="219"/>
      <c r="AJ979" s="219"/>
      <c r="AK979" s="219"/>
      <c r="AL979" s="219"/>
      <c r="AM979" s="219"/>
      <c r="AN979" s="219"/>
      <c r="AO979" s="219"/>
      <c r="AP979" s="219"/>
      <c r="AQ979" s="219"/>
      <c r="AR979" s="219"/>
      <c r="AS979" s="219"/>
      <c r="AT979" s="219"/>
      <c r="AU979" s="219"/>
      <c r="AV979" s="219"/>
      <c r="AW979" s="219"/>
      <c r="AX979" s="219"/>
      <c r="AY979" s="219"/>
      <c r="AZ979" s="219"/>
      <c r="BA979" s="219"/>
      <c r="BB979" s="219"/>
      <c r="BC979" s="219"/>
      <c r="BD979" s="219"/>
      <c r="BE979" s="219"/>
      <c r="BF979" s="219"/>
      <c r="BG979" s="219"/>
      <c r="BH979" s="219"/>
      <c r="BI979" s="219"/>
      <c r="BJ979" s="219"/>
      <c r="BK979" s="219"/>
      <c r="BL979" s="219"/>
      <c r="BM979" s="219"/>
      <c r="BN979" s="219"/>
    </row>
    <row r="980" ht="29.25" hidden="1" customHeight="1">
      <c r="A980" s="216"/>
      <c r="B980" s="217"/>
      <c r="C980" s="164"/>
      <c r="D980" s="164"/>
      <c r="E980" s="165"/>
      <c r="F980" s="173"/>
      <c r="G980" s="168"/>
      <c r="H980" s="168"/>
      <c r="I980" s="169"/>
      <c r="J980" s="170"/>
      <c r="K980" s="170"/>
      <c r="L980" s="170"/>
      <c r="M980" s="167"/>
      <c r="N980" s="169"/>
      <c r="O980" s="171"/>
      <c r="P980" s="106"/>
      <c r="Q980" s="218"/>
      <c r="R980" s="172"/>
      <c r="S980" s="172"/>
      <c r="T980" s="173"/>
      <c r="U980" s="219"/>
      <c r="V980" s="219"/>
      <c r="W980" s="219"/>
      <c r="X980" s="219"/>
      <c r="Y980" s="219"/>
      <c r="Z980" s="219"/>
      <c r="AA980" s="219"/>
      <c r="AB980" s="219"/>
      <c r="AC980" s="219"/>
      <c r="AD980" s="219"/>
      <c r="AE980" s="219"/>
      <c r="AF980" s="219"/>
      <c r="AG980" s="219"/>
      <c r="AH980" s="219"/>
      <c r="AI980" s="219"/>
      <c r="AJ980" s="219"/>
      <c r="AK980" s="219"/>
      <c r="AL980" s="219"/>
      <c r="AM980" s="219"/>
      <c r="AN980" s="219"/>
      <c r="AO980" s="219"/>
      <c r="AP980" s="219"/>
      <c r="AQ980" s="219"/>
      <c r="AR980" s="219"/>
      <c r="AS980" s="219"/>
      <c r="AT980" s="219"/>
      <c r="AU980" s="219"/>
      <c r="AV980" s="219"/>
      <c r="AW980" s="219"/>
      <c r="AX980" s="219"/>
      <c r="AY980" s="219"/>
      <c r="AZ980" s="219"/>
      <c r="BA980" s="219"/>
      <c r="BB980" s="219"/>
      <c r="BC980" s="219"/>
      <c r="BD980" s="219"/>
      <c r="BE980" s="219"/>
      <c r="BF980" s="219"/>
      <c r="BG980" s="219"/>
      <c r="BH980" s="219"/>
      <c r="BI980" s="219"/>
      <c r="BJ980" s="219"/>
      <c r="BK980" s="219"/>
      <c r="BL980" s="219"/>
      <c r="BM980" s="219"/>
      <c r="BN980" s="219"/>
    </row>
    <row r="981" ht="29.25" hidden="1" customHeight="1">
      <c r="A981" s="216"/>
      <c r="B981" s="217"/>
      <c r="C981" s="164"/>
      <c r="D981" s="164"/>
      <c r="E981" s="165"/>
      <c r="F981" s="173"/>
      <c r="G981" s="168"/>
      <c r="H981" s="168"/>
      <c r="I981" s="169"/>
      <c r="J981" s="170"/>
      <c r="K981" s="170"/>
      <c r="L981" s="170"/>
      <c r="M981" s="167"/>
      <c r="N981" s="169"/>
      <c r="O981" s="171"/>
      <c r="P981" s="106"/>
      <c r="Q981" s="218"/>
      <c r="R981" s="172"/>
      <c r="S981" s="172"/>
      <c r="T981" s="173"/>
      <c r="U981" s="219"/>
      <c r="V981" s="219"/>
      <c r="W981" s="219"/>
      <c r="X981" s="219"/>
      <c r="Y981" s="219"/>
      <c r="Z981" s="219"/>
      <c r="AA981" s="219"/>
      <c r="AB981" s="219"/>
      <c r="AC981" s="219"/>
      <c r="AD981" s="219"/>
      <c r="AE981" s="219"/>
      <c r="AF981" s="219"/>
      <c r="AG981" s="219"/>
      <c r="AH981" s="219"/>
      <c r="AI981" s="219"/>
      <c r="AJ981" s="219"/>
      <c r="AK981" s="219"/>
      <c r="AL981" s="219"/>
      <c r="AM981" s="219"/>
      <c r="AN981" s="219"/>
      <c r="AO981" s="219"/>
      <c r="AP981" s="219"/>
      <c r="AQ981" s="219"/>
      <c r="AR981" s="219"/>
      <c r="AS981" s="219"/>
      <c r="AT981" s="219"/>
      <c r="AU981" s="219"/>
      <c r="AV981" s="219"/>
      <c r="AW981" s="219"/>
      <c r="AX981" s="219"/>
      <c r="AY981" s="219"/>
      <c r="AZ981" s="219"/>
      <c r="BA981" s="219"/>
      <c r="BB981" s="219"/>
      <c r="BC981" s="219"/>
      <c r="BD981" s="219"/>
      <c r="BE981" s="219"/>
      <c r="BF981" s="219"/>
      <c r="BG981" s="219"/>
      <c r="BH981" s="219"/>
      <c r="BI981" s="219"/>
      <c r="BJ981" s="219"/>
      <c r="BK981" s="219"/>
      <c r="BL981" s="219"/>
      <c r="BM981" s="219"/>
      <c r="BN981" s="219"/>
    </row>
    <row r="982" ht="29.25" hidden="1" customHeight="1">
      <c r="A982" s="216"/>
      <c r="B982" s="217"/>
      <c r="C982" s="164"/>
      <c r="D982" s="164"/>
      <c r="E982" s="165"/>
      <c r="F982" s="173"/>
      <c r="G982" s="168"/>
      <c r="H982" s="168"/>
      <c r="I982" s="169"/>
      <c r="J982" s="170"/>
      <c r="K982" s="170"/>
      <c r="L982" s="170"/>
      <c r="M982" s="167"/>
      <c r="N982" s="169"/>
      <c r="O982" s="171"/>
      <c r="P982" s="106"/>
      <c r="Q982" s="218"/>
      <c r="R982" s="172"/>
      <c r="S982" s="172"/>
      <c r="T982" s="173"/>
      <c r="U982" s="219"/>
      <c r="V982" s="219"/>
      <c r="W982" s="219"/>
      <c r="X982" s="219"/>
      <c r="Y982" s="219"/>
      <c r="Z982" s="219"/>
      <c r="AA982" s="219"/>
      <c r="AB982" s="219"/>
      <c r="AC982" s="219"/>
      <c r="AD982" s="219"/>
      <c r="AE982" s="219"/>
      <c r="AF982" s="219"/>
      <c r="AG982" s="219"/>
      <c r="AH982" s="219"/>
      <c r="AI982" s="219"/>
      <c r="AJ982" s="219"/>
      <c r="AK982" s="219"/>
      <c r="AL982" s="219"/>
      <c r="AM982" s="219"/>
      <c r="AN982" s="219"/>
      <c r="AO982" s="219"/>
      <c r="AP982" s="219"/>
      <c r="AQ982" s="219"/>
      <c r="AR982" s="219"/>
      <c r="AS982" s="219"/>
      <c r="AT982" s="219"/>
      <c r="AU982" s="219"/>
      <c r="AV982" s="219"/>
      <c r="AW982" s="219"/>
      <c r="AX982" s="219"/>
      <c r="AY982" s="219"/>
      <c r="AZ982" s="219"/>
      <c r="BA982" s="219"/>
      <c r="BB982" s="219"/>
      <c r="BC982" s="219"/>
      <c r="BD982" s="219"/>
      <c r="BE982" s="219"/>
      <c r="BF982" s="219"/>
      <c r="BG982" s="219"/>
      <c r="BH982" s="219"/>
      <c r="BI982" s="219"/>
      <c r="BJ982" s="219"/>
      <c r="BK982" s="219"/>
      <c r="BL982" s="219"/>
      <c r="BM982" s="219"/>
      <c r="BN982" s="219"/>
    </row>
    <row r="983" ht="29.25" hidden="1" customHeight="1">
      <c r="A983" s="216"/>
      <c r="B983" s="217"/>
      <c r="C983" s="164"/>
      <c r="D983" s="164"/>
      <c r="E983" s="165"/>
      <c r="F983" s="173"/>
      <c r="G983" s="168"/>
      <c r="H983" s="168"/>
      <c r="I983" s="169"/>
      <c r="J983" s="170"/>
      <c r="K983" s="170"/>
      <c r="L983" s="170"/>
      <c r="M983" s="167"/>
      <c r="N983" s="169"/>
      <c r="O983" s="171"/>
      <c r="P983" s="106"/>
      <c r="Q983" s="218"/>
      <c r="R983" s="172"/>
      <c r="S983" s="172"/>
      <c r="T983" s="173"/>
      <c r="U983" s="219"/>
      <c r="V983" s="219"/>
      <c r="W983" s="219"/>
      <c r="X983" s="219"/>
      <c r="Y983" s="219"/>
      <c r="Z983" s="219"/>
      <c r="AA983" s="219"/>
      <c r="AB983" s="219"/>
      <c r="AC983" s="219"/>
      <c r="AD983" s="219"/>
      <c r="AE983" s="219"/>
      <c r="AF983" s="219"/>
      <c r="AG983" s="219"/>
      <c r="AH983" s="219"/>
      <c r="AI983" s="219"/>
      <c r="AJ983" s="219"/>
      <c r="AK983" s="219"/>
      <c r="AL983" s="219"/>
      <c r="AM983" s="219"/>
      <c r="AN983" s="219"/>
      <c r="AO983" s="219"/>
      <c r="AP983" s="219"/>
      <c r="AQ983" s="219"/>
      <c r="AR983" s="219"/>
      <c r="AS983" s="219"/>
      <c r="AT983" s="219"/>
      <c r="AU983" s="219"/>
      <c r="AV983" s="219"/>
      <c r="AW983" s="219"/>
      <c r="AX983" s="219"/>
      <c r="AY983" s="219"/>
      <c r="AZ983" s="219"/>
      <c r="BA983" s="219"/>
      <c r="BB983" s="219"/>
      <c r="BC983" s="219"/>
      <c r="BD983" s="219"/>
      <c r="BE983" s="219"/>
      <c r="BF983" s="219"/>
      <c r="BG983" s="219"/>
      <c r="BH983" s="219"/>
      <c r="BI983" s="219"/>
      <c r="BJ983" s="219"/>
      <c r="BK983" s="219"/>
      <c r="BL983" s="219"/>
      <c r="BM983" s="219"/>
      <c r="BN983" s="219"/>
    </row>
    <row r="984" ht="29.25" hidden="1" customHeight="1">
      <c r="A984" s="216"/>
      <c r="B984" s="217"/>
      <c r="C984" s="164"/>
      <c r="D984" s="164"/>
      <c r="E984" s="165"/>
      <c r="F984" s="173"/>
      <c r="G984" s="168"/>
      <c r="H984" s="168"/>
      <c r="I984" s="169"/>
      <c r="J984" s="170"/>
      <c r="K984" s="170"/>
      <c r="L984" s="170"/>
      <c r="M984" s="167"/>
      <c r="N984" s="169"/>
      <c r="O984" s="171"/>
      <c r="P984" s="106"/>
      <c r="Q984" s="218"/>
      <c r="R984" s="172"/>
      <c r="S984" s="172"/>
      <c r="T984" s="173"/>
      <c r="U984" s="219"/>
      <c r="V984" s="219"/>
      <c r="W984" s="219"/>
      <c r="X984" s="219"/>
      <c r="Y984" s="219"/>
      <c r="Z984" s="219"/>
      <c r="AA984" s="219"/>
      <c r="AB984" s="219"/>
      <c r="AC984" s="219"/>
      <c r="AD984" s="219"/>
      <c r="AE984" s="219"/>
      <c r="AF984" s="219"/>
      <c r="AG984" s="219"/>
      <c r="AH984" s="219"/>
      <c r="AI984" s="219"/>
      <c r="AJ984" s="219"/>
      <c r="AK984" s="219"/>
      <c r="AL984" s="219"/>
      <c r="AM984" s="219"/>
      <c r="AN984" s="219"/>
      <c r="AO984" s="219"/>
      <c r="AP984" s="219"/>
      <c r="AQ984" s="219"/>
      <c r="AR984" s="219"/>
      <c r="AS984" s="219"/>
      <c r="AT984" s="219"/>
      <c r="AU984" s="219"/>
      <c r="AV984" s="219"/>
      <c r="AW984" s="219"/>
      <c r="AX984" s="219"/>
      <c r="AY984" s="219"/>
      <c r="AZ984" s="219"/>
      <c r="BA984" s="219"/>
      <c r="BB984" s="219"/>
      <c r="BC984" s="219"/>
      <c r="BD984" s="219"/>
      <c r="BE984" s="219"/>
      <c r="BF984" s="219"/>
      <c r="BG984" s="219"/>
      <c r="BH984" s="219"/>
      <c r="BI984" s="219"/>
      <c r="BJ984" s="219"/>
      <c r="BK984" s="219"/>
      <c r="BL984" s="219"/>
      <c r="BM984" s="219"/>
      <c r="BN984" s="219"/>
    </row>
    <row r="985" ht="29.25" hidden="1" customHeight="1">
      <c r="A985" s="216"/>
      <c r="B985" s="217"/>
      <c r="C985" s="164"/>
      <c r="D985" s="164"/>
      <c r="E985" s="165"/>
      <c r="F985" s="173"/>
      <c r="G985" s="168"/>
      <c r="H985" s="168"/>
      <c r="I985" s="169"/>
      <c r="J985" s="170"/>
      <c r="K985" s="170"/>
      <c r="L985" s="170"/>
      <c r="M985" s="167"/>
      <c r="N985" s="169"/>
      <c r="O985" s="171"/>
      <c r="P985" s="106"/>
      <c r="Q985" s="218"/>
      <c r="R985" s="172"/>
      <c r="S985" s="172"/>
      <c r="T985" s="173"/>
      <c r="U985" s="219"/>
      <c r="V985" s="219"/>
      <c r="W985" s="219"/>
      <c r="X985" s="219"/>
      <c r="Y985" s="219"/>
      <c r="Z985" s="219"/>
      <c r="AA985" s="219"/>
      <c r="AB985" s="219"/>
      <c r="AC985" s="219"/>
      <c r="AD985" s="219"/>
      <c r="AE985" s="219"/>
      <c r="AF985" s="219"/>
      <c r="AG985" s="219"/>
      <c r="AH985" s="219"/>
      <c r="AI985" s="219"/>
      <c r="AJ985" s="219"/>
      <c r="AK985" s="219"/>
      <c r="AL985" s="219"/>
      <c r="AM985" s="219"/>
      <c r="AN985" s="219"/>
      <c r="AO985" s="219"/>
      <c r="AP985" s="219"/>
      <c r="AQ985" s="219"/>
      <c r="AR985" s="219"/>
      <c r="AS985" s="219"/>
      <c r="AT985" s="219"/>
      <c r="AU985" s="219"/>
      <c r="AV985" s="219"/>
      <c r="AW985" s="219"/>
      <c r="AX985" s="219"/>
      <c r="AY985" s="219"/>
      <c r="AZ985" s="219"/>
      <c r="BA985" s="219"/>
      <c r="BB985" s="219"/>
      <c r="BC985" s="219"/>
      <c r="BD985" s="219"/>
      <c r="BE985" s="219"/>
      <c r="BF985" s="219"/>
      <c r="BG985" s="219"/>
      <c r="BH985" s="219"/>
      <c r="BI985" s="219"/>
      <c r="BJ985" s="219"/>
      <c r="BK985" s="219"/>
      <c r="BL985" s="219"/>
      <c r="BM985" s="219"/>
      <c r="BN985" s="219"/>
    </row>
    <row r="986" ht="29.25" hidden="1" customHeight="1">
      <c r="A986" s="216"/>
      <c r="B986" s="217"/>
      <c r="C986" s="164"/>
      <c r="D986" s="164"/>
      <c r="E986" s="165"/>
      <c r="F986" s="173"/>
      <c r="G986" s="168"/>
      <c r="H986" s="168"/>
      <c r="I986" s="169"/>
      <c r="J986" s="170"/>
      <c r="K986" s="170"/>
      <c r="L986" s="170"/>
      <c r="M986" s="167"/>
      <c r="N986" s="169"/>
      <c r="O986" s="171"/>
      <c r="P986" s="106"/>
      <c r="Q986" s="218"/>
      <c r="R986" s="172"/>
      <c r="S986" s="172"/>
      <c r="T986" s="173"/>
      <c r="U986" s="219"/>
      <c r="V986" s="219"/>
      <c r="W986" s="219"/>
      <c r="X986" s="219"/>
      <c r="Y986" s="219"/>
      <c r="Z986" s="219"/>
      <c r="AA986" s="219"/>
      <c r="AB986" s="219"/>
      <c r="AC986" s="219"/>
      <c r="AD986" s="219"/>
      <c r="AE986" s="219"/>
      <c r="AF986" s="219"/>
      <c r="AG986" s="219"/>
      <c r="AH986" s="219"/>
      <c r="AI986" s="219"/>
      <c r="AJ986" s="219"/>
      <c r="AK986" s="219"/>
      <c r="AL986" s="219"/>
      <c r="AM986" s="219"/>
      <c r="AN986" s="219"/>
      <c r="AO986" s="219"/>
      <c r="AP986" s="219"/>
      <c r="AQ986" s="219"/>
      <c r="AR986" s="219"/>
      <c r="AS986" s="219"/>
      <c r="AT986" s="219"/>
      <c r="AU986" s="219"/>
      <c r="AV986" s="219"/>
      <c r="AW986" s="219"/>
      <c r="AX986" s="219"/>
      <c r="AY986" s="219"/>
      <c r="AZ986" s="219"/>
      <c r="BA986" s="219"/>
      <c r="BB986" s="219"/>
      <c r="BC986" s="219"/>
      <c r="BD986" s="219"/>
      <c r="BE986" s="219"/>
      <c r="BF986" s="219"/>
      <c r="BG986" s="219"/>
      <c r="BH986" s="219"/>
      <c r="BI986" s="219"/>
      <c r="BJ986" s="219"/>
      <c r="BK986" s="219"/>
      <c r="BL986" s="219"/>
      <c r="BM986" s="219"/>
      <c r="BN986" s="219"/>
    </row>
    <row r="987" ht="29.25" hidden="1" customHeight="1">
      <c r="A987" s="216"/>
      <c r="B987" s="217"/>
      <c r="C987" s="164"/>
      <c r="D987" s="164"/>
      <c r="E987" s="165"/>
      <c r="F987" s="173"/>
      <c r="G987" s="168"/>
      <c r="H987" s="168"/>
      <c r="I987" s="169"/>
      <c r="J987" s="170"/>
      <c r="K987" s="170"/>
      <c r="L987" s="170"/>
      <c r="M987" s="167"/>
      <c r="N987" s="169"/>
      <c r="O987" s="171"/>
      <c r="P987" s="106"/>
      <c r="Q987" s="218"/>
      <c r="R987" s="172"/>
      <c r="S987" s="172"/>
      <c r="T987" s="173"/>
      <c r="U987" s="219"/>
      <c r="V987" s="219"/>
      <c r="W987" s="219"/>
      <c r="X987" s="219"/>
      <c r="Y987" s="219"/>
      <c r="Z987" s="219"/>
      <c r="AA987" s="219"/>
      <c r="AB987" s="219"/>
      <c r="AC987" s="219"/>
      <c r="AD987" s="219"/>
      <c r="AE987" s="219"/>
      <c r="AF987" s="219"/>
      <c r="AG987" s="219"/>
      <c r="AH987" s="219"/>
      <c r="AI987" s="219"/>
      <c r="AJ987" s="219"/>
      <c r="AK987" s="219"/>
      <c r="AL987" s="219"/>
      <c r="AM987" s="219"/>
      <c r="AN987" s="219"/>
      <c r="AO987" s="219"/>
      <c r="AP987" s="219"/>
      <c r="AQ987" s="219"/>
      <c r="AR987" s="219"/>
      <c r="AS987" s="219"/>
      <c r="AT987" s="219"/>
      <c r="AU987" s="219"/>
      <c r="AV987" s="219"/>
      <c r="AW987" s="219"/>
      <c r="AX987" s="219"/>
      <c r="AY987" s="219"/>
      <c r="AZ987" s="219"/>
      <c r="BA987" s="219"/>
      <c r="BB987" s="219"/>
      <c r="BC987" s="219"/>
      <c r="BD987" s="219"/>
      <c r="BE987" s="219"/>
      <c r="BF987" s="219"/>
      <c r="BG987" s="219"/>
      <c r="BH987" s="219"/>
      <c r="BI987" s="219"/>
      <c r="BJ987" s="219"/>
      <c r="BK987" s="219"/>
      <c r="BL987" s="219"/>
      <c r="BM987" s="219"/>
      <c r="BN987" s="219"/>
    </row>
    <row r="988" ht="29.25" hidden="1" customHeight="1">
      <c r="A988" s="216"/>
      <c r="B988" s="217"/>
      <c r="C988" s="164"/>
      <c r="D988" s="164"/>
      <c r="E988" s="165"/>
      <c r="F988" s="173"/>
      <c r="G988" s="168"/>
      <c r="H988" s="168"/>
      <c r="I988" s="169"/>
      <c r="J988" s="170"/>
      <c r="K988" s="170"/>
      <c r="L988" s="170"/>
      <c r="M988" s="167"/>
      <c r="N988" s="169"/>
      <c r="O988" s="171"/>
      <c r="P988" s="106"/>
      <c r="Q988" s="218"/>
      <c r="R988" s="172"/>
      <c r="S988" s="172"/>
      <c r="T988" s="173"/>
      <c r="U988" s="219"/>
      <c r="V988" s="219"/>
      <c r="W988" s="219"/>
      <c r="X988" s="219"/>
      <c r="Y988" s="219"/>
      <c r="Z988" s="219"/>
      <c r="AA988" s="219"/>
      <c r="AB988" s="219"/>
      <c r="AC988" s="219"/>
      <c r="AD988" s="219"/>
      <c r="AE988" s="219"/>
      <c r="AF988" s="219"/>
      <c r="AG988" s="219"/>
      <c r="AH988" s="219"/>
      <c r="AI988" s="219"/>
      <c r="AJ988" s="219"/>
      <c r="AK988" s="219"/>
      <c r="AL988" s="219"/>
      <c r="AM988" s="219"/>
      <c r="AN988" s="219"/>
      <c r="AO988" s="219"/>
      <c r="AP988" s="219"/>
      <c r="AQ988" s="219"/>
      <c r="AR988" s="219"/>
      <c r="AS988" s="219"/>
      <c r="AT988" s="219"/>
      <c r="AU988" s="219"/>
      <c r="AV988" s="219"/>
      <c r="AW988" s="219"/>
      <c r="AX988" s="219"/>
      <c r="AY988" s="219"/>
      <c r="AZ988" s="219"/>
      <c r="BA988" s="219"/>
      <c r="BB988" s="219"/>
      <c r="BC988" s="219"/>
      <c r="BD988" s="219"/>
      <c r="BE988" s="219"/>
      <c r="BF988" s="219"/>
      <c r="BG988" s="219"/>
      <c r="BH988" s="219"/>
      <c r="BI988" s="219"/>
      <c r="BJ988" s="219"/>
      <c r="BK988" s="219"/>
      <c r="BL988" s="219"/>
      <c r="BM988" s="219"/>
      <c r="BN988" s="219"/>
    </row>
    <row r="989" ht="29.25" hidden="1" customHeight="1">
      <c r="A989" s="216"/>
      <c r="B989" s="217"/>
      <c r="C989" s="164"/>
      <c r="D989" s="164"/>
      <c r="E989" s="165"/>
      <c r="F989" s="173"/>
      <c r="G989" s="168"/>
      <c r="H989" s="168"/>
      <c r="I989" s="169"/>
      <c r="J989" s="170"/>
      <c r="K989" s="170"/>
      <c r="L989" s="170"/>
      <c r="M989" s="167"/>
      <c r="N989" s="169"/>
      <c r="O989" s="171"/>
      <c r="P989" s="106"/>
      <c r="Q989" s="218"/>
      <c r="R989" s="172"/>
      <c r="S989" s="172"/>
      <c r="T989" s="173"/>
      <c r="U989" s="219"/>
      <c r="V989" s="219"/>
      <c r="W989" s="219"/>
      <c r="X989" s="219"/>
      <c r="Y989" s="219"/>
      <c r="Z989" s="219"/>
      <c r="AA989" s="219"/>
      <c r="AB989" s="219"/>
      <c r="AC989" s="219"/>
      <c r="AD989" s="219"/>
      <c r="AE989" s="219"/>
      <c r="AF989" s="219"/>
      <c r="AG989" s="219"/>
      <c r="AH989" s="219"/>
      <c r="AI989" s="219"/>
      <c r="AJ989" s="219"/>
      <c r="AK989" s="219"/>
      <c r="AL989" s="219"/>
      <c r="AM989" s="219"/>
      <c r="AN989" s="219"/>
      <c r="AO989" s="219"/>
      <c r="AP989" s="219"/>
      <c r="AQ989" s="219"/>
      <c r="AR989" s="219"/>
      <c r="AS989" s="219"/>
      <c r="AT989" s="219"/>
      <c r="AU989" s="219"/>
      <c r="AV989" s="219"/>
      <c r="AW989" s="219"/>
      <c r="AX989" s="219"/>
      <c r="AY989" s="219"/>
      <c r="AZ989" s="219"/>
      <c r="BA989" s="219"/>
      <c r="BB989" s="219"/>
      <c r="BC989" s="219"/>
      <c r="BD989" s="219"/>
      <c r="BE989" s="219"/>
      <c r="BF989" s="219"/>
      <c r="BG989" s="219"/>
      <c r="BH989" s="219"/>
      <c r="BI989" s="219"/>
      <c r="BJ989" s="219"/>
      <c r="BK989" s="219"/>
      <c r="BL989" s="219"/>
      <c r="BM989" s="219"/>
      <c r="BN989" s="219"/>
    </row>
    <row r="990" ht="29.25" hidden="1" customHeight="1">
      <c r="A990" s="216"/>
      <c r="B990" s="217"/>
      <c r="C990" s="164"/>
      <c r="D990" s="164"/>
      <c r="E990" s="165"/>
      <c r="F990" s="173"/>
      <c r="G990" s="168"/>
      <c r="H990" s="168"/>
      <c r="I990" s="169"/>
      <c r="J990" s="170"/>
      <c r="K990" s="170"/>
      <c r="L990" s="170"/>
      <c r="M990" s="167"/>
      <c r="N990" s="169"/>
      <c r="O990" s="171"/>
      <c r="P990" s="106"/>
      <c r="Q990" s="218"/>
      <c r="R990" s="172"/>
      <c r="S990" s="172"/>
      <c r="T990" s="173"/>
      <c r="U990" s="219"/>
      <c r="V990" s="219"/>
      <c r="W990" s="219"/>
      <c r="X990" s="219"/>
      <c r="Y990" s="219"/>
      <c r="Z990" s="219"/>
      <c r="AA990" s="219"/>
      <c r="AB990" s="219"/>
      <c r="AC990" s="219"/>
      <c r="AD990" s="219"/>
      <c r="AE990" s="219"/>
      <c r="AF990" s="219"/>
      <c r="AG990" s="219"/>
      <c r="AH990" s="219"/>
      <c r="AI990" s="219"/>
      <c r="AJ990" s="219"/>
      <c r="AK990" s="219"/>
      <c r="AL990" s="219"/>
      <c r="AM990" s="219"/>
      <c r="AN990" s="219"/>
      <c r="AO990" s="219"/>
      <c r="AP990" s="219"/>
      <c r="AQ990" s="219"/>
      <c r="AR990" s="219"/>
      <c r="AS990" s="219"/>
      <c r="AT990" s="219"/>
      <c r="AU990" s="219"/>
      <c r="AV990" s="219"/>
      <c r="AW990" s="219"/>
      <c r="AX990" s="219"/>
      <c r="AY990" s="219"/>
      <c r="AZ990" s="219"/>
      <c r="BA990" s="219"/>
      <c r="BB990" s="219"/>
      <c r="BC990" s="219"/>
      <c r="BD990" s="219"/>
      <c r="BE990" s="219"/>
      <c r="BF990" s="219"/>
      <c r="BG990" s="219"/>
      <c r="BH990" s="219"/>
      <c r="BI990" s="219"/>
      <c r="BJ990" s="219"/>
      <c r="BK990" s="219"/>
      <c r="BL990" s="219"/>
      <c r="BM990" s="219"/>
      <c r="BN990" s="219"/>
    </row>
    <row r="991" ht="29.25" hidden="1" customHeight="1">
      <c r="A991" s="216"/>
      <c r="B991" s="217"/>
      <c r="C991" s="164"/>
      <c r="D991" s="164"/>
      <c r="E991" s="165"/>
      <c r="F991" s="173"/>
      <c r="G991" s="168"/>
      <c r="H991" s="168"/>
      <c r="I991" s="169"/>
      <c r="J991" s="170"/>
      <c r="K991" s="170"/>
      <c r="L991" s="170"/>
      <c r="M991" s="167"/>
      <c r="N991" s="169"/>
      <c r="O991" s="171"/>
      <c r="P991" s="106"/>
      <c r="Q991" s="218"/>
      <c r="R991" s="172"/>
      <c r="S991" s="172"/>
      <c r="T991" s="173"/>
      <c r="U991" s="219"/>
      <c r="V991" s="219"/>
      <c r="W991" s="219"/>
      <c r="X991" s="219"/>
      <c r="Y991" s="219"/>
      <c r="Z991" s="219"/>
      <c r="AA991" s="219"/>
      <c r="AB991" s="219"/>
      <c r="AC991" s="219"/>
      <c r="AD991" s="219"/>
      <c r="AE991" s="219"/>
      <c r="AF991" s="219"/>
      <c r="AG991" s="219"/>
      <c r="AH991" s="219"/>
      <c r="AI991" s="219"/>
      <c r="AJ991" s="219"/>
      <c r="AK991" s="219"/>
      <c r="AL991" s="219"/>
      <c r="AM991" s="219"/>
      <c r="AN991" s="219"/>
      <c r="AO991" s="219"/>
      <c r="AP991" s="219"/>
      <c r="AQ991" s="219"/>
      <c r="AR991" s="219"/>
      <c r="AS991" s="219"/>
      <c r="AT991" s="219"/>
      <c r="AU991" s="219"/>
      <c r="AV991" s="219"/>
      <c r="AW991" s="219"/>
      <c r="AX991" s="219"/>
      <c r="AY991" s="219"/>
      <c r="AZ991" s="219"/>
      <c r="BA991" s="219"/>
      <c r="BB991" s="219"/>
      <c r="BC991" s="219"/>
      <c r="BD991" s="219"/>
      <c r="BE991" s="219"/>
      <c r="BF991" s="219"/>
      <c r="BG991" s="219"/>
      <c r="BH991" s="219"/>
      <c r="BI991" s="219"/>
      <c r="BJ991" s="219"/>
      <c r="BK991" s="219"/>
      <c r="BL991" s="219"/>
      <c r="BM991" s="219"/>
      <c r="BN991" s="219"/>
    </row>
    <row r="992" ht="29.25" hidden="1" customHeight="1">
      <c r="A992" s="216"/>
      <c r="B992" s="217"/>
      <c r="C992" s="164"/>
      <c r="D992" s="164"/>
      <c r="E992" s="165"/>
      <c r="F992" s="173"/>
      <c r="G992" s="168"/>
      <c r="H992" s="168"/>
      <c r="I992" s="169"/>
      <c r="J992" s="170"/>
      <c r="K992" s="170"/>
      <c r="L992" s="170"/>
      <c r="M992" s="167"/>
      <c r="N992" s="169"/>
      <c r="O992" s="171"/>
      <c r="P992" s="106"/>
      <c r="Q992" s="218"/>
      <c r="R992" s="172"/>
      <c r="S992" s="172"/>
      <c r="T992" s="173"/>
      <c r="U992" s="219"/>
      <c r="V992" s="219"/>
      <c r="W992" s="219"/>
      <c r="X992" s="219"/>
      <c r="Y992" s="219"/>
      <c r="Z992" s="219"/>
      <c r="AA992" s="219"/>
      <c r="AB992" s="219"/>
      <c r="AC992" s="219"/>
      <c r="AD992" s="219"/>
      <c r="AE992" s="219"/>
      <c r="AF992" s="219"/>
      <c r="AG992" s="219"/>
      <c r="AH992" s="219"/>
      <c r="AI992" s="219"/>
      <c r="AJ992" s="219"/>
      <c r="AK992" s="219"/>
      <c r="AL992" s="219"/>
      <c r="AM992" s="219"/>
      <c r="AN992" s="219"/>
      <c r="AO992" s="219"/>
      <c r="AP992" s="219"/>
      <c r="AQ992" s="219"/>
      <c r="AR992" s="219"/>
      <c r="AS992" s="219"/>
      <c r="AT992" s="219"/>
      <c r="AU992" s="219"/>
      <c r="AV992" s="219"/>
      <c r="AW992" s="219"/>
      <c r="AX992" s="219"/>
      <c r="AY992" s="219"/>
      <c r="AZ992" s="219"/>
      <c r="BA992" s="219"/>
      <c r="BB992" s="219"/>
      <c r="BC992" s="219"/>
      <c r="BD992" s="219"/>
      <c r="BE992" s="219"/>
      <c r="BF992" s="219"/>
      <c r="BG992" s="219"/>
      <c r="BH992" s="219"/>
      <c r="BI992" s="219"/>
      <c r="BJ992" s="219"/>
      <c r="BK992" s="219"/>
      <c r="BL992" s="219"/>
      <c r="BM992" s="219"/>
      <c r="BN992" s="219"/>
    </row>
    <row r="993" ht="29.25" hidden="1" customHeight="1">
      <c r="A993" s="216"/>
      <c r="B993" s="217"/>
      <c r="C993" s="164"/>
      <c r="D993" s="164"/>
      <c r="E993" s="165"/>
      <c r="F993" s="173"/>
      <c r="G993" s="168"/>
      <c r="H993" s="168"/>
      <c r="I993" s="169"/>
      <c r="J993" s="170"/>
      <c r="K993" s="170"/>
      <c r="L993" s="170"/>
      <c r="M993" s="167"/>
      <c r="N993" s="169"/>
      <c r="O993" s="171"/>
      <c r="P993" s="106"/>
      <c r="Q993" s="218"/>
      <c r="R993" s="172"/>
      <c r="S993" s="172"/>
      <c r="T993" s="173"/>
      <c r="U993" s="219"/>
      <c r="V993" s="219"/>
      <c r="W993" s="219"/>
      <c r="X993" s="219"/>
      <c r="Y993" s="219"/>
      <c r="Z993" s="219"/>
      <c r="AA993" s="219"/>
      <c r="AB993" s="219"/>
      <c r="AC993" s="219"/>
      <c r="AD993" s="219"/>
      <c r="AE993" s="219"/>
      <c r="AF993" s="219"/>
      <c r="AG993" s="219"/>
      <c r="AH993" s="219"/>
      <c r="AI993" s="219"/>
      <c r="AJ993" s="219"/>
      <c r="AK993" s="219"/>
      <c r="AL993" s="219"/>
      <c r="AM993" s="219"/>
      <c r="AN993" s="219"/>
      <c r="AO993" s="219"/>
      <c r="AP993" s="219"/>
      <c r="AQ993" s="219"/>
      <c r="AR993" s="219"/>
      <c r="AS993" s="219"/>
      <c r="AT993" s="219"/>
      <c r="AU993" s="219"/>
      <c r="AV993" s="219"/>
      <c r="AW993" s="219"/>
      <c r="AX993" s="219"/>
      <c r="AY993" s="219"/>
      <c r="AZ993" s="219"/>
      <c r="BA993" s="219"/>
      <c r="BB993" s="219"/>
      <c r="BC993" s="219"/>
      <c r="BD993" s="219"/>
      <c r="BE993" s="219"/>
      <c r="BF993" s="219"/>
      <c r="BG993" s="219"/>
      <c r="BH993" s="219"/>
      <c r="BI993" s="219"/>
      <c r="BJ993" s="219"/>
      <c r="BK993" s="219"/>
      <c r="BL993" s="219"/>
      <c r="BM993" s="219"/>
      <c r="BN993" s="219"/>
    </row>
    <row r="994" ht="29.25" hidden="1" customHeight="1">
      <c r="A994" s="216"/>
      <c r="B994" s="217"/>
      <c r="C994" s="164"/>
      <c r="D994" s="164"/>
      <c r="E994" s="165"/>
      <c r="F994" s="173"/>
      <c r="G994" s="168"/>
      <c r="H994" s="168"/>
      <c r="I994" s="169"/>
      <c r="J994" s="170"/>
      <c r="K994" s="170"/>
      <c r="L994" s="170"/>
      <c r="M994" s="167"/>
      <c r="N994" s="169"/>
      <c r="O994" s="171"/>
      <c r="P994" s="106"/>
      <c r="Q994" s="218"/>
      <c r="R994" s="172"/>
      <c r="S994" s="172"/>
      <c r="T994" s="173"/>
      <c r="U994" s="219"/>
      <c r="V994" s="219"/>
      <c r="W994" s="219"/>
      <c r="X994" s="219"/>
      <c r="Y994" s="219"/>
      <c r="Z994" s="219"/>
      <c r="AA994" s="219"/>
      <c r="AB994" s="219"/>
      <c r="AC994" s="219"/>
      <c r="AD994" s="219"/>
      <c r="AE994" s="219"/>
      <c r="AF994" s="219"/>
      <c r="AG994" s="219"/>
      <c r="AH994" s="219"/>
      <c r="AI994" s="219"/>
      <c r="AJ994" s="219"/>
      <c r="AK994" s="219"/>
      <c r="AL994" s="219"/>
      <c r="AM994" s="219"/>
      <c r="AN994" s="219"/>
      <c r="AO994" s="219"/>
      <c r="AP994" s="219"/>
      <c r="AQ994" s="219"/>
      <c r="AR994" s="219"/>
      <c r="AS994" s="219"/>
      <c r="AT994" s="219"/>
      <c r="AU994" s="219"/>
      <c r="AV994" s="219"/>
      <c r="AW994" s="219"/>
      <c r="AX994" s="219"/>
      <c r="AY994" s="219"/>
      <c r="AZ994" s="219"/>
      <c r="BA994" s="219"/>
      <c r="BB994" s="219"/>
      <c r="BC994" s="219"/>
      <c r="BD994" s="219"/>
      <c r="BE994" s="219"/>
      <c r="BF994" s="219"/>
      <c r="BG994" s="219"/>
      <c r="BH994" s="219"/>
      <c r="BI994" s="219"/>
      <c r="BJ994" s="219"/>
      <c r="BK994" s="219"/>
      <c r="BL994" s="219"/>
      <c r="BM994" s="219"/>
      <c r="BN994" s="219"/>
    </row>
    <row r="995" ht="29.25" hidden="1" customHeight="1">
      <c r="A995" s="216"/>
      <c r="B995" s="217"/>
      <c r="C995" s="164"/>
      <c r="D995" s="164"/>
      <c r="E995" s="165"/>
      <c r="F995" s="173"/>
      <c r="G995" s="168"/>
      <c r="H995" s="168"/>
      <c r="I995" s="169"/>
      <c r="J995" s="170"/>
      <c r="K995" s="170"/>
      <c r="L995" s="170"/>
      <c r="M995" s="167"/>
      <c r="N995" s="169"/>
      <c r="O995" s="171"/>
      <c r="P995" s="106"/>
      <c r="Q995" s="218"/>
      <c r="R995" s="172"/>
      <c r="S995" s="172"/>
      <c r="T995" s="173"/>
      <c r="U995" s="219"/>
      <c r="V995" s="219"/>
      <c r="W995" s="219"/>
      <c r="X995" s="219"/>
      <c r="Y995" s="219"/>
      <c r="Z995" s="219"/>
      <c r="AA995" s="219"/>
      <c r="AB995" s="219"/>
      <c r="AC995" s="219"/>
      <c r="AD995" s="219"/>
      <c r="AE995" s="219"/>
      <c r="AF995" s="219"/>
      <c r="AG995" s="219"/>
      <c r="AH995" s="219"/>
      <c r="AI995" s="219"/>
      <c r="AJ995" s="219"/>
      <c r="AK995" s="219"/>
      <c r="AL995" s="219"/>
      <c r="AM995" s="219"/>
      <c r="AN995" s="219"/>
      <c r="AO995" s="219"/>
      <c r="AP995" s="219"/>
      <c r="AQ995" s="219"/>
      <c r="AR995" s="219"/>
      <c r="AS995" s="219"/>
      <c r="AT995" s="219"/>
      <c r="AU995" s="219"/>
      <c r="AV995" s="219"/>
      <c r="AW995" s="219"/>
      <c r="AX995" s="219"/>
      <c r="AY995" s="219"/>
      <c r="AZ995" s="219"/>
      <c r="BA995" s="219"/>
      <c r="BB995" s="219"/>
      <c r="BC995" s="219"/>
      <c r="BD995" s="219"/>
      <c r="BE995" s="219"/>
      <c r="BF995" s="219"/>
      <c r="BG995" s="219"/>
      <c r="BH995" s="219"/>
      <c r="BI995" s="219"/>
      <c r="BJ995" s="219"/>
      <c r="BK995" s="219"/>
      <c r="BL995" s="219"/>
      <c r="BM995" s="219"/>
      <c r="BN995" s="219"/>
    </row>
    <row r="996" ht="29.25" hidden="1" customHeight="1">
      <c r="A996" s="216"/>
      <c r="B996" s="217"/>
      <c r="C996" s="164"/>
      <c r="D996" s="164"/>
      <c r="E996" s="165"/>
      <c r="F996" s="173"/>
      <c r="G996" s="168"/>
      <c r="H996" s="168"/>
      <c r="I996" s="169"/>
      <c r="J996" s="170"/>
      <c r="K996" s="170"/>
      <c r="L996" s="170"/>
      <c r="M996" s="167"/>
      <c r="N996" s="169"/>
      <c r="O996" s="171"/>
      <c r="P996" s="106"/>
      <c r="Q996" s="218"/>
      <c r="R996" s="172"/>
      <c r="S996" s="172"/>
      <c r="T996" s="173"/>
      <c r="U996" s="219"/>
      <c r="V996" s="219"/>
      <c r="W996" s="219"/>
      <c r="X996" s="219"/>
      <c r="Y996" s="219"/>
      <c r="Z996" s="219"/>
      <c r="AA996" s="219"/>
      <c r="AB996" s="219"/>
      <c r="AC996" s="219"/>
      <c r="AD996" s="219"/>
      <c r="AE996" s="219"/>
      <c r="AF996" s="219"/>
      <c r="AG996" s="219"/>
      <c r="AH996" s="219"/>
      <c r="AI996" s="219"/>
      <c r="AJ996" s="219"/>
      <c r="AK996" s="219"/>
      <c r="AL996" s="219"/>
      <c r="AM996" s="219"/>
      <c r="AN996" s="219"/>
      <c r="AO996" s="219"/>
      <c r="AP996" s="219"/>
      <c r="AQ996" s="219"/>
      <c r="AR996" s="219"/>
      <c r="AS996" s="219"/>
      <c r="AT996" s="219"/>
      <c r="AU996" s="219"/>
      <c r="AV996" s="219"/>
      <c r="AW996" s="219"/>
      <c r="AX996" s="219"/>
      <c r="AY996" s="219"/>
      <c r="AZ996" s="219"/>
      <c r="BA996" s="219"/>
      <c r="BB996" s="219"/>
      <c r="BC996" s="219"/>
      <c r="BD996" s="219"/>
      <c r="BE996" s="219"/>
      <c r="BF996" s="219"/>
      <c r="BG996" s="219"/>
      <c r="BH996" s="219"/>
      <c r="BI996" s="219"/>
      <c r="BJ996" s="219"/>
      <c r="BK996" s="219"/>
      <c r="BL996" s="219"/>
      <c r="BM996" s="219"/>
      <c r="BN996" s="219"/>
    </row>
    <row r="997" ht="29.25" hidden="1" customHeight="1">
      <c r="A997" s="216"/>
      <c r="B997" s="217"/>
      <c r="C997" s="164"/>
      <c r="D997" s="164"/>
      <c r="E997" s="165"/>
      <c r="F997" s="173"/>
      <c r="G997" s="168"/>
      <c r="H997" s="168"/>
      <c r="I997" s="169"/>
      <c r="J997" s="170"/>
      <c r="K997" s="170"/>
      <c r="L997" s="170"/>
      <c r="M997" s="167"/>
      <c r="N997" s="169"/>
      <c r="O997" s="171"/>
      <c r="P997" s="106"/>
      <c r="Q997" s="218"/>
      <c r="R997" s="172"/>
      <c r="S997" s="172"/>
      <c r="T997" s="173"/>
      <c r="U997" s="219"/>
      <c r="V997" s="219"/>
      <c r="W997" s="219"/>
      <c r="X997" s="219"/>
      <c r="Y997" s="219"/>
      <c r="Z997" s="219"/>
      <c r="AA997" s="219"/>
      <c r="AB997" s="219"/>
      <c r="AC997" s="219"/>
      <c r="AD997" s="219"/>
      <c r="AE997" s="219"/>
      <c r="AF997" s="219"/>
      <c r="AG997" s="219"/>
      <c r="AH997" s="219"/>
      <c r="AI997" s="219"/>
      <c r="AJ997" s="219"/>
      <c r="AK997" s="219"/>
      <c r="AL997" s="219"/>
      <c r="AM997" s="219"/>
      <c r="AN997" s="219"/>
      <c r="AO997" s="219"/>
      <c r="AP997" s="219"/>
      <c r="AQ997" s="219"/>
      <c r="AR997" s="219"/>
      <c r="AS997" s="219"/>
      <c r="AT997" s="219"/>
      <c r="AU997" s="219"/>
      <c r="AV997" s="219"/>
      <c r="AW997" s="219"/>
      <c r="AX997" s="219"/>
      <c r="AY997" s="219"/>
      <c r="AZ997" s="219"/>
      <c r="BA997" s="219"/>
      <c r="BB997" s="219"/>
      <c r="BC997" s="219"/>
      <c r="BD997" s="219"/>
      <c r="BE997" s="219"/>
      <c r="BF997" s="219"/>
      <c r="BG997" s="219"/>
      <c r="BH997" s="219"/>
      <c r="BI997" s="219"/>
      <c r="BJ997" s="219"/>
      <c r="BK997" s="219"/>
      <c r="BL997" s="219"/>
      <c r="BM997" s="219"/>
      <c r="BN997" s="219"/>
    </row>
    <row r="998" ht="29.25" hidden="1" customHeight="1">
      <c r="A998" s="216"/>
      <c r="B998" s="217"/>
      <c r="C998" s="164"/>
      <c r="D998" s="164"/>
      <c r="E998" s="165"/>
      <c r="F998" s="173"/>
      <c r="G998" s="168"/>
      <c r="H998" s="168"/>
      <c r="I998" s="169"/>
      <c r="J998" s="170"/>
      <c r="K998" s="170"/>
      <c r="L998" s="170"/>
      <c r="M998" s="167"/>
      <c r="N998" s="169"/>
      <c r="O998" s="171"/>
      <c r="P998" s="106"/>
      <c r="Q998" s="218"/>
      <c r="R998" s="172"/>
      <c r="S998" s="172"/>
      <c r="T998" s="173"/>
      <c r="U998" s="219"/>
      <c r="V998" s="219"/>
      <c r="W998" s="219"/>
      <c r="X998" s="219"/>
      <c r="Y998" s="219"/>
      <c r="Z998" s="219"/>
      <c r="AA998" s="219"/>
      <c r="AB998" s="219"/>
      <c r="AC998" s="219"/>
      <c r="AD998" s="219"/>
      <c r="AE998" s="219"/>
      <c r="AF998" s="219"/>
      <c r="AG998" s="219"/>
      <c r="AH998" s="219"/>
      <c r="AI998" s="219"/>
      <c r="AJ998" s="219"/>
      <c r="AK998" s="219"/>
      <c r="AL998" s="219"/>
      <c r="AM998" s="219"/>
      <c r="AN998" s="219"/>
      <c r="AO998" s="219"/>
      <c r="AP998" s="219"/>
      <c r="AQ998" s="219"/>
      <c r="AR998" s="219"/>
      <c r="AS998" s="219"/>
      <c r="AT998" s="219"/>
      <c r="AU998" s="219"/>
      <c r="AV998" s="219"/>
      <c r="AW998" s="219"/>
      <c r="AX998" s="219"/>
      <c r="AY998" s="219"/>
      <c r="AZ998" s="219"/>
      <c r="BA998" s="219"/>
      <c r="BB998" s="219"/>
      <c r="BC998" s="219"/>
      <c r="BD998" s="219"/>
      <c r="BE998" s="219"/>
      <c r="BF998" s="219"/>
      <c r="BG998" s="219"/>
      <c r="BH998" s="219"/>
      <c r="BI998" s="219"/>
      <c r="BJ998" s="219"/>
      <c r="BK998" s="219"/>
      <c r="BL998" s="219"/>
      <c r="BM998" s="219"/>
      <c r="BN998" s="219"/>
    </row>
    <row r="999" ht="29.25" hidden="1" customHeight="1">
      <c r="A999" s="216"/>
      <c r="B999" s="217"/>
      <c r="C999" s="164"/>
      <c r="D999" s="164"/>
      <c r="E999" s="165"/>
      <c r="F999" s="173"/>
      <c r="G999" s="168"/>
      <c r="H999" s="168"/>
      <c r="I999" s="169"/>
      <c r="J999" s="170"/>
      <c r="K999" s="170"/>
      <c r="L999" s="170"/>
      <c r="M999" s="167"/>
      <c r="N999" s="169"/>
      <c r="O999" s="171"/>
      <c r="P999" s="106"/>
      <c r="Q999" s="218"/>
      <c r="R999" s="172"/>
      <c r="S999" s="172"/>
      <c r="T999" s="173"/>
      <c r="U999" s="219"/>
      <c r="V999" s="219"/>
      <c r="W999" s="219"/>
      <c r="X999" s="219"/>
      <c r="Y999" s="219"/>
      <c r="Z999" s="219"/>
      <c r="AA999" s="219"/>
      <c r="AB999" s="219"/>
      <c r="AC999" s="219"/>
      <c r="AD999" s="219"/>
      <c r="AE999" s="219"/>
      <c r="AF999" s="219"/>
      <c r="AG999" s="219"/>
      <c r="AH999" s="219"/>
      <c r="AI999" s="219"/>
      <c r="AJ999" s="219"/>
      <c r="AK999" s="219"/>
      <c r="AL999" s="219"/>
      <c r="AM999" s="219"/>
      <c r="AN999" s="219"/>
      <c r="AO999" s="219"/>
      <c r="AP999" s="219"/>
      <c r="AQ999" s="219"/>
      <c r="AR999" s="219"/>
      <c r="AS999" s="219"/>
      <c r="AT999" s="219"/>
      <c r="AU999" s="219"/>
      <c r="AV999" s="219"/>
      <c r="AW999" s="219"/>
      <c r="AX999" s="219"/>
      <c r="AY999" s="219"/>
      <c r="AZ999" s="219"/>
      <c r="BA999" s="219"/>
      <c r="BB999" s="219"/>
      <c r="BC999" s="219"/>
      <c r="BD999" s="219"/>
      <c r="BE999" s="219"/>
      <c r="BF999" s="219"/>
      <c r="BG999" s="219"/>
      <c r="BH999" s="219"/>
      <c r="BI999" s="219"/>
      <c r="BJ999" s="219"/>
      <c r="BK999" s="219"/>
      <c r="BL999" s="219"/>
      <c r="BM999" s="219"/>
      <c r="BN999" s="219"/>
    </row>
    <row r="1000" ht="29.25" hidden="1" customHeight="1">
      <c r="A1000" s="216"/>
      <c r="B1000" s="217"/>
      <c r="C1000" s="164"/>
      <c r="D1000" s="164"/>
      <c r="E1000" s="165"/>
      <c r="F1000" s="173"/>
      <c r="G1000" s="168"/>
      <c r="H1000" s="168"/>
      <c r="I1000" s="169"/>
      <c r="J1000" s="170"/>
      <c r="K1000" s="170"/>
      <c r="L1000" s="170"/>
      <c r="M1000" s="167"/>
      <c r="N1000" s="169"/>
      <c r="O1000" s="171"/>
      <c r="P1000" s="106"/>
      <c r="Q1000" s="218"/>
      <c r="R1000" s="172"/>
      <c r="S1000" s="172"/>
      <c r="T1000" s="173"/>
      <c r="U1000" s="219"/>
      <c r="V1000" s="219"/>
      <c r="W1000" s="219"/>
      <c r="X1000" s="219"/>
      <c r="Y1000" s="219"/>
      <c r="Z1000" s="219"/>
      <c r="AA1000" s="219"/>
      <c r="AB1000" s="219"/>
      <c r="AC1000" s="219"/>
      <c r="AD1000" s="219"/>
      <c r="AE1000" s="219"/>
      <c r="AF1000" s="219"/>
      <c r="AG1000" s="219"/>
      <c r="AH1000" s="219"/>
      <c r="AI1000" s="219"/>
      <c r="AJ1000" s="219"/>
      <c r="AK1000" s="219"/>
      <c r="AL1000" s="219"/>
      <c r="AM1000" s="219"/>
      <c r="AN1000" s="219"/>
      <c r="AO1000" s="219"/>
      <c r="AP1000" s="219"/>
      <c r="AQ1000" s="219"/>
      <c r="AR1000" s="219"/>
      <c r="AS1000" s="219"/>
      <c r="AT1000" s="219"/>
      <c r="AU1000" s="219"/>
      <c r="AV1000" s="219"/>
      <c r="AW1000" s="219"/>
      <c r="AX1000" s="219"/>
      <c r="AY1000" s="219"/>
      <c r="AZ1000" s="219"/>
      <c r="BA1000" s="219"/>
      <c r="BB1000" s="219"/>
      <c r="BC1000" s="219"/>
      <c r="BD1000" s="219"/>
      <c r="BE1000" s="219"/>
      <c r="BF1000" s="219"/>
      <c r="BG1000" s="219"/>
      <c r="BH1000" s="219"/>
      <c r="BI1000" s="219"/>
      <c r="BJ1000" s="219"/>
      <c r="BK1000" s="219"/>
      <c r="BL1000" s="219"/>
      <c r="BM1000" s="219"/>
      <c r="BN1000" s="219"/>
    </row>
    <row r="1001" ht="29.25" hidden="1" customHeight="1">
      <c r="A1001" s="216"/>
      <c r="B1001" s="217"/>
      <c r="C1001" s="164"/>
      <c r="D1001" s="164"/>
      <c r="E1001" s="165"/>
      <c r="F1001" s="173"/>
      <c r="G1001" s="168"/>
      <c r="H1001" s="168"/>
      <c r="I1001" s="169"/>
      <c r="J1001" s="170"/>
      <c r="K1001" s="170"/>
      <c r="L1001" s="170"/>
      <c r="M1001" s="167"/>
      <c r="N1001" s="169"/>
      <c r="O1001" s="171"/>
      <c r="P1001" s="106"/>
      <c r="Q1001" s="218"/>
      <c r="R1001" s="172"/>
      <c r="S1001" s="172"/>
      <c r="T1001" s="173"/>
      <c r="U1001" s="219"/>
      <c r="V1001" s="219"/>
      <c r="W1001" s="219"/>
      <c r="X1001" s="219"/>
      <c r="Y1001" s="219"/>
      <c r="Z1001" s="219"/>
      <c r="AA1001" s="219"/>
      <c r="AB1001" s="219"/>
      <c r="AC1001" s="219"/>
      <c r="AD1001" s="219"/>
      <c r="AE1001" s="219"/>
      <c r="AF1001" s="219"/>
      <c r="AG1001" s="219"/>
      <c r="AH1001" s="219"/>
      <c r="AI1001" s="219"/>
      <c r="AJ1001" s="219"/>
      <c r="AK1001" s="219"/>
      <c r="AL1001" s="219"/>
      <c r="AM1001" s="219"/>
      <c r="AN1001" s="219"/>
      <c r="AO1001" s="219"/>
      <c r="AP1001" s="219"/>
      <c r="AQ1001" s="219"/>
      <c r="AR1001" s="219"/>
      <c r="AS1001" s="219"/>
      <c r="AT1001" s="219"/>
      <c r="AU1001" s="219"/>
      <c r="AV1001" s="219"/>
      <c r="AW1001" s="219"/>
      <c r="AX1001" s="219"/>
      <c r="AY1001" s="219"/>
      <c r="AZ1001" s="219"/>
      <c r="BA1001" s="219"/>
      <c r="BB1001" s="219"/>
      <c r="BC1001" s="219"/>
      <c r="BD1001" s="219"/>
      <c r="BE1001" s="219"/>
      <c r="BF1001" s="219"/>
      <c r="BG1001" s="219"/>
      <c r="BH1001" s="219"/>
      <c r="BI1001" s="219"/>
      <c r="BJ1001" s="219"/>
      <c r="BK1001" s="219"/>
      <c r="BL1001" s="219"/>
      <c r="BM1001" s="219"/>
      <c r="BN1001" s="219"/>
    </row>
    <row r="1002" ht="29.25" hidden="1" customHeight="1">
      <c r="A1002" s="216"/>
      <c r="B1002" s="217"/>
      <c r="C1002" s="164"/>
      <c r="D1002" s="164"/>
      <c r="E1002" s="165"/>
      <c r="F1002" s="173"/>
      <c r="G1002" s="168"/>
      <c r="H1002" s="168"/>
      <c r="I1002" s="169"/>
      <c r="J1002" s="170"/>
      <c r="K1002" s="170"/>
      <c r="L1002" s="170"/>
      <c r="M1002" s="167"/>
      <c r="N1002" s="169"/>
      <c r="O1002" s="171"/>
      <c r="P1002" s="106"/>
      <c r="Q1002" s="218"/>
      <c r="R1002" s="172"/>
      <c r="S1002" s="172"/>
      <c r="T1002" s="173"/>
      <c r="U1002" s="219"/>
      <c r="V1002" s="219"/>
      <c r="W1002" s="219"/>
      <c r="X1002" s="219"/>
      <c r="Y1002" s="219"/>
      <c r="Z1002" s="219"/>
      <c r="AA1002" s="219"/>
      <c r="AB1002" s="219"/>
      <c r="AC1002" s="219"/>
      <c r="AD1002" s="219"/>
      <c r="AE1002" s="219"/>
      <c r="AF1002" s="219"/>
      <c r="AG1002" s="219"/>
      <c r="AH1002" s="219"/>
      <c r="AI1002" s="219"/>
      <c r="AJ1002" s="219"/>
      <c r="AK1002" s="219"/>
      <c r="AL1002" s="219"/>
      <c r="AM1002" s="219"/>
      <c r="AN1002" s="219"/>
      <c r="AO1002" s="219"/>
      <c r="AP1002" s="219"/>
      <c r="AQ1002" s="219"/>
      <c r="AR1002" s="219"/>
      <c r="AS1002" s="219"/>
      <c r="AT1002" s="219"/>
      <c r="AU1002" s="219"/>
      <c r="AV1002" s="219"/>
      <c r="AW1002" s="219"/>
      <c r="AX1002" s="219"/>
      <c r="AY1002" s="219"/>
      <c r="AZ1002" s="219"/>
      <c r="BA1002" s="219"/>
      <c r="BB1002" s="219"/>
      <c r="BC1002" s="219"/>
      <c r="BD1002" s="219"/>
      <c r="BE1002" s="219"/>
      <c r="BF1002" s="219"/>
      <c r="BG1002" s="219"/>
      <c r="BH1002" s="219"/>
      <c r="BI1002" s="219"/>
      <c r="BJ1002" s="219"/>
      <c r="BK1002" s="219"/>
      <c r="BL1002" s="219"/>
      <c r="BM1002" s="219"/>
      <c r="BN1002" s="219"/>
    </row>
    <row r="1003" ht="29.25" hidden="1" customHeight="1">
      <c r="A1003" s="216"/>
      <c r="B1003" s="217"/>
      <c r="C1003" s="164"/>
      <c r="D1003" s="164"/>
      <c r="E1003" s="165"/>
      <c r="F1003" s="173"/>
      <c r="G1003" s="168"/>
      <c r="H1003" s="168"/>
      <c r="I1003" s="169"/>
      <c r="J1003" s="170"/>
      <c r="K1003" s="170"/>
      <c r="L1003" s="170"/>
      <c r="M1003" s="167"/>
      <c r="N1003" s="169"/>
      <c r="O1003" s="171"/>
      <c r="P1003" s="106"/>
      <c r="Q1003" s="218"/>
      <c r="R1003" s="172"/>
      <c r="S1003" s="172"/>
      <c r="T1003" s="173"/>
      <c r="U1003" s="219"/>
      <c r="V1003" s="219"/>
      <c r="W1003" s="219"/>
      <c r="X1003" s="219"/>
      <c r="Y1003" s="219"/>
      <c r="Z1003" s="219"/>
      <c r="AA1003" s="219"/>
      <c r="AB1003" s="219"/>
      <c r="AC1003" s="219"/>
      <c r="AD1003" s="219"/>
      <c r="AE1003" s="219"/>
      <c r="AF1003" s="219"/>
      <c r="AG1003" s="219"/>
      <c r="AH1003" s="219"/>
      <c r="AI1003" s="219"/>
      <c r="AJ1003" s="219"/>
      <c r="AK1003" s="219"/>
      <c r="AL1003" s="219"/>
      <c r="AM1003" s="219"/>
      <c r="AN1003" s="219"/>
      <c r="AO1003" s="219"/>
      <c r="AP1003" s="219"/>
      <c r="AQ1003" s="219"/>
      <c r="AR1003" s="219"/>
      <c r="AS1003" s="219"/>
      <c r="AT1003" s="219"/>
      <c r="AU1003" s="219"/>
      <c r="AV1003" s="219"/>
      <c r="AW1003" s="219"/>
      <c r="AX1003" s="219"/>
      <c r="AY1003" s="219"/>
      <c r="AZ1003" s="219"/>
      <c r="BA1003" s="219"/>
      <c r="BB1003" s="219"/>
      <c r="BC1003" s="219"/>
      <c r="BD1003" s="219"/>
      <c r="BE1003" s="219"/>
      <c r="BF1003" s="219"/>
      <c r="BG1003" s="219"/>
      <c r="BH1003" s="219"/>
      <c r="BI1003" s="219"/>
      <c r="BJ1003" s="219"/>
      <c r="BK1003" s="219"/>
      <c r="BL1003" s="219"/>
      <c r="BM1003" s="219"/>
      <c r="BN1003" s="219"/>
    </row>
    <row r="1004" ht="29.25" hidden="1" customHeight="1">
      <c r="A1004" s="216"/>
      <c r="B1004" s="217"/>
      <c r="C1004" s="164"/>
      <c r="D1004" s="164"/>
      <c r="E1004" s="165"/>
      <c r="F1004" s="173"/>
      <c r="G1004" s="168"/>
      <c r="H1004" s="168"/>
      <c r="I1004" s="169"/>
      <c r="J1004" s="170"/>
      <c r="K1004" s="170"/>
      <c r="L1004" s="170"/>
      <c r="M1004" s="167"/>
      <c r="N1004" s="169"/>
      <c r="O1004" s="171"/>
      <c r="P1004" s="106"/>
      <c r="Q1004" s="218"/>
      <c r="R1004" s="172"/>
      <c r="S1004" s="172"/>
      <c r="T1004" s="173"/>
      <c r="U1004" s="219"/>
      <c r="V1004" s="219"/>
      <c r="W1004" s="219"/>
      <c r="X1004" s="219"/>
      <c r="Y1004" s="219"/>
      <c r="Z1004" s="219"/>
      <c r="AA1004" s="219"/>
      <c r="AB1004" s="219"/>
      <c r="AC1004" s="219"/>
      <c r="AD1004" s="219"/>
      <c r="AE1004" s="219"/>
      <c r="AF1004" s="219"/>
      <c r="AG1004" s="219"/>
      <c r="AH1004" s="219"/>
      <c r="AI1004" s="219"/>
      <c r="AJ1004" s="219"/>
      <c r="AK1004" s="219"/>
      <c r="AL1004" s="219"/>
      <c r="AM1004" s="219"/>
      <c r="AN1004" s="219"/>
      <c r="AO1004" s="219"/>
      <c r="AP1004" s="219"/>
      <c r="AQ1004" s="219"/>
      <c r="AR1004" s="219"/>
      <c r="AS1004" s="219"/>
      <c r="AT1004" s="219"/>
      <c r="AU1004" s="219"/>
      <c r="AV1004" s="219"/>
      <c r="AW1004" s="219"/>
      <c r="AX1004" s="219"/>
      <c r="AY1004" s="219"/>
      <c r="AZ1004" s="219"/>
      <c r="BA1004" s="219"/>
      <c r="BB1004" s="219"/>
      <c r="BC1004" s="219"/>
      <c r="BD1004" s="219"/>
      <c r="BE1004" s="219"/>
      <c r="BF1004" s="219"/>
      <c r="BG1004" s="219"/>
      <c r="BH1004" s="219"/>
      <c r="BI1004" s="219"/>
      <c r="BJ1004" s="219"/>
      <c r="BK1004" s="219"/>
      <c r="BL1004" s="219"/>
      <c r="BM1004" s="219"/>
      <c r="BN1004" s="219"/>
    </row>
    <row r="1005" ht="29.25" hidden="1" customHeight="1">
      <c r="A1005" s="216"/>
      <c r="B1005" s="217"/>
      <c r="C1005" s="164"/>
      <c r="D1005" s="164"/>
      <c r="E1005" s="165"/>
      <c r="F1005" s="173"/>
      <c r="G1005" s="168"/>
      <c r="H1005" s="168"/>
      <c r="I1005" s="169"/>
      <c r="J1005" s="170"/>
      <c r="K1005" s="170"/>
      <c r="L1005" s="170"/>
      <c r="M1005" s="167"/>
      <c r="N1005" s="169"/>
      <c r="O1005" s="171"/>
      <c r="P1005" s="106"/>
      <c r="Q1005" s="218"/>
      <c r="R1005" s="172"/>
      <c r="S1005" s="172"/>
      <c r="T1005" s="173"/>
      <c r="U1005" s="219"/>
      <c r="V1005" s="219"/>
      <c r="W1005" s="219"/>
      <c r="X1005" s="219"/>
      <c r="Y1005" s="219"/>
      <c r="Z1005" s="219"/>
      <c r="AA1005" s="219"/>
      <c r="AB1005" s="219"/>
      <c r="AC1005" s="219"/>
      <c r="AD1005" s="219"/>
      <c r="AE1005" s="219"/>
      <c r="AF1005" s="219"/>
      <c r="AG1005" s="219"/>
      <c r="AH1005" s="219"/>
      <c r="AI1005" s="219"/>
      <c r="AJ1005" s="219"/>
      <c r="AK1005" s="219"/>
      <c r="AL1005" s="219"/>
      <c r="AM1005" s="219"/>
      <c r="AN1005" s="219"/>
      <c r="AO1005" s="219"/>
      <c r="AP1005" s="219"/>
      <c r="AQ1005" s="219"/>
      <c r="AR1005" s="219"/>
      <c r="AS1005" s="219"/>
      <c r="AT1005" s="219"/>
      <c r="AU1005" s="219"/>
      <c r="AV1005" s="219"/>
      <c r="AW1005" s="219"/>
      <c r="AX1005" s="219"/>
      <c r="AY1005" s="219"/>
      <c r="AZ1005" s="219"/>
      <c r="BA1005" s="219"/>
      <c r="BB1005" s="219"/>
      <c r="BC1005" s="219"/>
      <c r="BD1005" s="219"/>
      <c r="BE1005" s="219"/>
      <c r="BF1005" s="219"/>
      <c r="BG1005" s="219"/>
      <c r="BH1005" s="219"/>
      <c r="BI1005" s="219"/>
      <c r="BJ1005" s="219"/>
      <c r="BK1005" s="219"/>
      <c r="BL1005" s="219"/>
      <c r="BM1005" s="219"/>
      <c r="BN1005" s="219"/>
    </row>
    <row r="1006" ht="29.25" hidden="1" customHeight="1">
      <c r="A1006" s="216"/>
      <c r="B1006" s="217"/>
      <c r="C1006" s="164"/>
      <c r="D1006" s="164"/>
      <c r="E1006" s="165"/>
      <c r="F1006" s="173"/>
      <c r="G1006" s="168"/>
      <c r="H1006" s="168"/>
      <c r="I1006" s="169"/>
      <c r="J1006" s="170"/>
      <c r="K1006" s="170"/>
      <c r="L1006" s="170"/>
      <c r="M1006" s="167"/>
      <c r="N1006" s="169"/>
      <c r="O1006" s="171"/>
      <c r="P1006" s="106"/>
      <c r="Q1006" s="218"/>
      <c r="R1006" s="172"/>
      <c r="S1006" s="172"/>
      <c r="T1006" s="173"/>
      <c r="U1006" s="219"/>
      <c r="V1006" s="219"/>
      <c r="W1006" s="219"/>
      <c r="X1006" s="219"/>
      <c r="Y1006" s="219"/>
      <c r="Z1006" s="219"/>
      <c r="AA1006" s="219"/>
      <c r="AB1006" s="219"/>
      <c r="AC1006" s="219"/>
      <c r="AD1006" s="219"/>
      <c r="AE1006" s="219"/>
      <c r="AF1006" s="219"/>
      <c r="AG1006" s="219"/>
      <c r="AH1006" s="219"/>
      <c r="AI1006" s="219"/>
      <c r="AJ1006" s="219"/>
      <c r="AK1006" s="219"/>
      <c r="AL1006" s="219"/>
      <c r="AM1006" s="219"/>
      <c r="AN1006" s="219"/>
      <c r="AO1006" s="219"/>
      <c r="AP1006" s="219"/>
      <c r="AQ1006" s="219"/>
      <c r="AR1006" s="219"/>
      <c r="AS1006" s="219"/>
      <c r="AT1006" s="219"/>
      <c r="AU1006" s="219"/>
      <c r="AV1006" s="219"/>
      <c r="AW1006" s="219"/>
      <c r="AX1006" s="219"/>
      <c r="AY1006" s="219"/>
      <c r="AZ1006" s="219"/>
      <c r="BA1006" s="219"/>
      <c r="BB1006" s="219"/>
      <c r="BC1006" s="219"/>
      <c r="BD1006" s="219"/>
      <c r="BE1006" s="219"/>
      <c r="BF1006" s="219"/>
      <c r="BG1006" s="219"/>
      <c r="BH1006" s="219"/>
      <c r="BI1006" s="219"/>
      <c r="BJ1006" s="219"/>
      <c r="BK1006" s="219"/>
      <c r="BL1006" s="219"/>
      <c r="BM1006" s="219"/>
      <c r="BN1006" s="219"/>
    </row>
    <row r="1007" ht="29.25" hidden="1" customHeight="1">
      <c r="A1007" s="216"/>
      <c r="B1007" s="217"/>
      <c r="C1007" s="164"/>
      <c r="D1007" s="164"/>
      <c r="E1007" s="165"/>
      <c r="F1007" s="173"/>
      <c r="G1007" s="168"/>
      <c r="H1007" s="168"/>
      <c r="I1007" s="169"/>
      <c r="J1007" s="170"/>
      <c r="K1007" s="170"/>
      <c r="L1007" s="170"/>
      <c r="M1007" s="167"/>
      <c r="N1007" s="169"/>
      <c r="O1007" s="171"/>
      <c r="P1007" s="106"/>
      <c r="Q1007" s="218"/>
      <c r="R1007" s="172"/>
      <c r="S1007" s="172"/>
      <c r="T1007" s="173"/>
      <c r="U1007" s="219"/>
      <c r="V1007" s="219"/>
      <c r="W1007" s="219"/>
      <c r="X1007" s="219"/>
      <c r="Y1007" s="219"/>
      <c r="Z1007" s="219"/>
      <c r="AA1007" s="219"/>
      <c r="AB1007" s="219"/>
      <c r="AC1007" s="219"/>
      <c r="AD1007" s="219"/>
      <c r="AE1007" s="219"/>
      <c r="AF1007" s="219"/>
      <c r="AG1007" s="219"/>
      <c r="AH1007" s="219"/>
      <c r="AI1007" s="219"/>
      <c r="AJ1007" s="219"/>
      <c r="AK1007" s="219"/>
      <c r="AL1007" s="219"/>
      <c r="AM1007" s="219"/>
      <c r="AN1007" s="219"/>
      <c r="AO1007" s="219"/>
      <c r="AP1007" s="219"/>
      <c r="AQ1007" s="219"/>
      <c r="AR1007" s="219"/>
      <c r="AS1007" s="219"/>
      <c r="AT1007" s="219"/>
      <c r="AU1007" s="219"/>
      <c r="AV1007" s="219"/>
      <c r="AW1007" s="219"/>
      <c r="AX1007" s="219"/>
      <c r="AY1007" s="219"/>
      <c r="AZ1007" s="219"/>
      <c r="BA1007" s="219"/>
      <c r="BB1007" s="219"/>
      <c r="BC1007" s="219"/>
      <c r="BD1007" s="219"/>
      <c r="BE1007" s="219"/>
      <c r="BF1007" s="219"/>
      <c r="BG1007" s="219"/>
      <c r="BH1007" s="219"/>
      <c r="BI1007" s="219"/>
      <c r="BJ1007" s="219"/>
      <c r="BK1007" s="219"/>
      <c r="BL1007" s="219"/>
      <c r="BM1007" s="219"/>
      <c r="BN1007" s="219"/>
    </row>
    <row r="1008" ht="29.25" hidden="1" customHeight="1">
      <c r="A1008" s="216"/>
      <c r="B1008" s="217"/>
      <c r="C1008" s="164"/>
      <c r="D1008" s="164"/>
      <c r="E1008" s="165"/>
      <c r="F1008" s="173"/>
      <c r="G1008" s="168"/>
      <c r="H1008" s="168"/>
      <c r="I1008" s="169"/>
      <c r="J1008" s="170"/>
      <c r="K1008" s="170"/>
      <c r="L1008" s="170"/>
      <c r="M1008" s="167"/>
      <c r="N1008" s="169"/>
      <c r="O1008" s="171"/>
      <c r="P1008" s="106"/>
      <c r="Q1008" s="218"/>
      <c r="R1008" s="172"/>
      <c r="S1008" s="172"/>
      <c r="T1008" s="173"/>
      <c r="U1008" s="219"/>
      <c r="V1008" s="219"/>
      <c r="W1008" s="219"/>
      <c r="X1008" s="219"/>
      <c r="Y1008" s="219"/>
      <c r="Z1008" s="219"/>
      <c r="AA1008" s="219"/>
      <c r="AB1008" s="219"/>
      <c r="AC1008" s="219"/>
      <c r="AD1008" s="219"/>
      <c r="AE1008" s="219"/>
      <c r="AF1008" s="219"/>
      <c r="AG1008" s="219"/>
      <c r="AH1008" s="219"/>
      <c r="AI1008" s="219"/>
      <c r="AJ1008" s="219"/>
      <c r="AK1008" s="219"/>
      <c r="AL1008" s="219"/>
      <c r="AM1008" s="219"/>
      <c r="AN1008" s="219"/>
      <c r="AO1008" s="219"/>
      <c r="AP1008" s="219"/>
      <c r="AQ1008" s="219"/>
      <c r="AR1008" s="219"/>
      <c r="AS1008" s="219"/>
      <c r="AT1008" s="219"/>
      <c r="AU1008" s="219"/>
      <c r="AV1008" s="219"/>
      <c r="AW1008" s="219"/>
      <c r="AX1008" s="219"/>
      <c r="AY1008" s="219"/>
      <c r="AZ1008" s="219"/>
      <c r="BA1008" s="219"/>
      <c r="BB1008" s="219"/>
      <c r="BC1008" s="219"/>
      <c r="BD1008" s="219"/>
      <c r="BE1008" s="219"/>
      <c r="BF1008" s="219"/>
      <c r="BG1008" s="219"/>
      <c r="BH1008" s="219"/>
      <c r="BI1008" s="219"/>
      <c r="BJ1008" s="219"/>
      <c r="BK1008" s="219"/>
      <c r="BL1008" s="219"/>
      <c r="BM1008" s="219"/>
      <c r="BN1008" s="219"/>
    </row>
    <row r="1009" ht="29.25" hidden="1" customHeight="1">
      <c r="A1009" s="216"/>
      <c r="B1009" s="217"/>
      <c r="C1009" s="164"/>
      <c r="D1009" s="164"/>
      <c r="E1009" s="165"/>
      <c r="F1009" s="173"/>
      <c r="G1009" s="168"/>
      <c r="H1009" s="168"/>
      <c r="I1009" s="169"/>
      <c r="J1009" s="170"/>
      <c r="K1009" s="170"/>
      <c r="L1009" s="170"/>
      <c r="M1009" s="167"/>
      <c r="N1009" s="169"/>
      <c r="O1009" s="171"/>
      <c r="P1009" s="106"/>
      <c r="Q1009" s="218"/>
      <c r="R1009" s="172"/>
      <c r="S1009" s="172"/>
      <c r="T1009" s="173"/>
      <c r="U1009" s="219"/>
      <c r="V1009" s="219"/>
      <c r="W1009" s="219"/>
      <c r="X1009" s="219"/>
      <c r="Y1009" s="219"/>
      <c r="Z1009" s="219"/>
      <c r="AA1009" s="219"/>
      <c r="AB1009" s="219"/>
      <c r="AC1009" s="219"/>
      <c r="AD1009" s="219"/>
      <c r="AE1009" s="219"/>
      <c r="AF1009" s="219"/>
      <c r="AG1009" s="219"/>
      <c r="AH1009" s="219"/>
      <c r="AI1009" s="219"/>
      <c r="AJ1009" s="219"/>
      <c r="AK1009" s="219"/>
      <c r="AL1009" s="219"/>
      <c r="AM1009" s="219"/>
      <c r="AN1009" s="219"/>
      <c r="AO1009" s="219"/>
      <c r="AP1009" s="219"/>
      <c r="AQ1009" s="219"/>
      <c r="AR1009" s="219"/>
      <c r="AS1009" s="219"/>
      <c r="AT1009" s="219"/>
      <c r="AU1009" s="219"/>
      <c r="AV1009" s="219"/>
      <c r="AW1009" s="219"/>
      <c r="AX1009" s="219"/>
      <c r="AY1009" s="219"/>
      <c r="AZ1009" s="219"/>
      <c r="BA1009" s="219"/>
      <c r="BB1009" s="219"/>
      <c r="BC1009" s="219"/>
      <c r="BD1009" s="219"/>
      <c r="BE1009" s="219"/>
      <c r="BF1009" s="219"/>
      <c r="BG1009" s="219"/>
      <c r="BH1009" s="219"/>
      <c r="BI1009" s="219"/>
      <c r="BJ1009" s="219"/>
      <c r="BK1009" s="219"/>
      <c r="BL1009" s="219"/>
      <c r="BM1009" s="219"/>
      <c r="BN1009" s="219"/>
    </row>
    <row r="1010" ht="29.25" hidden="1" customHeight="1">
      <c r="A1010" s="216"/>
      <c r="B1010" s="217"/>
      <c r="C1010" s="164"/>
      <c r="D1010" s="164"/>
      <c r="E1010" s="165"/>
      <c r="F1010" s="173"/>
      <c r="G1010" s="168"/>
      <c r="H1010" s="168"/>
      <c r="I1010" s="169"/>
      <c r="J1010" s="170"/>
      <c r="K1010" s="170"/>
      <c r="L1010" s="170"/>
      <c r="M1010" s="167"/>
      <c r="N1010" s="169"/>
      <c r="O1010" s="171"/>
      <c r="P1010" s="106"/>
      <c r="Q1010" s="218"/>
      <c r="R1010" s="172"/>
      <c r="S1010" s="172"/>
      <c r="T1010" s="173"/>
      <c r="U1010" s="219"/>
      <c r="V1010" s="219"/>
      <c r="W1010" s="219"/>
      <c r="X1010" s="219"/>
      <c r="Y1010" s="219"/>
      <c r="Z1010" s="219"/>
      <c r="AA1010" s="219"/>
      <c r="AB1010" s="219"/>
      <c r="AC1010" s="219"/>
      <c r="AD1010" s="219"/>
      <c r="AE1010" s="219"/>
      <c r="AF1010" s="219"/>
      <c r="AG1010" s="219"/>
      <c r="AH1010" s="219"/>
      <c r="AI1010" s="219"/>
      <c r="AJ1010" s="219"/>
      <c r="AK1010" s="219"/>
      <c r="AL1010" s="219"/>
      <c r="AM1010" s="219"/>
      <c r="AN1010" s="219"/>
      <c r="AO1010" s="219"/>
      <c r="AP1010" s="219"/>
      <c r="AQ1010" s="219"/>
      <c r="AR1010" s="219"/>
      <c r="AS1010" s="219"/>
      <c r="AT1010" s="219"/>
      <c r="AU1010" s="219"/>
      <c r="AV1010" s="219"/>
      <c r="AW1010" s="219"/>
      <c r="AX1010" s="219"/>
      <c r="AY1010" s="219"/>
      <c r="AZ1010" s="219"/>
      <c r="BA1010" s="219"/>
      <c r="BB1010" s="219"/>
      <c r="BC1010" s="219"/>
      <c r="BD1010" s="219"/>
      <c r="BE1010" s="219"/>
      <c r="BF1010" s="219"/>
      <c r="BG1010" s="219"/>
      <c r="BH1010" s="219"/>
      <c r="BI1010" s="219"/>
      <c r="BJ1010" s="219"/>
      <c r="BK1010" s="219"/>
      <c r="BL1010" s="219"/>
      <c r="BM1010" s="219"/>
      <c r="BN1010" s="219"/>
    </row>
    <row r="1011" ht="29.25" hidden="1" customHeight="1">
      <c r="A1011" s="216"/>
      <c r="B1011" s="217"/>
      <c r="C1011" s="164"/>
      <c r="D1011" s="164"/>
      <c r="E1011" s="165"/>
      <c r="F1011" s="173"/>
      <c r="G1011" s="168"/>
      <c r="H1011" s="168"/>
      <c r="I1011" s="169"/>
      <c r="J1011" s="170"/>
      <c r="K1011" s="170"/>
      <c r="L1011" s="170"/>
      <c r="M1011" s="167"/>
      <c r="N1011" s="169"/>
      <c r="O1011" s="171"/>
      <c r="P1011" s="106"/>
      <c r="Q1011" s="218"/>
      <c r="R1011" s="172"/>
      <c r="S1011" s="172"/>
      <c r="T1011" s="173"/>
      <c r="U1011" s="219"/>
      <c r="V1011" s="219"/>
      <c r="W1011" s="219"/>
      <c r="X1011" s="219"/>
      <c r="Y1011" s="219"/>
      <c r="Z1011" s="219"/>
      <c r="AA1011" s="219"/>
      <c r="AB1011" s="219"/>
      <c r="AC1011" s="219"/>
      <c r="AD1011" s="219"/>
      <c r="AE1011" s="219"/>
      <c r="AF1011" s="219"/>
      <c r="AG1011" s="219"/>
      <c r="AH1011" s="219"/>
      <c r="AI1011" s="219"/>
      <c r="AJ1011" s="219"/>
      <c r="AK1011" s="219"/>
      <c r="AL1011" s="219"/>
      <c r="AM1011" s="219"/>
      <c r="AN1011" s="219"/>
      <c r="AO1011" s="219"/>
      <c r="AP1011" s="219"/>
      <c r="AQ1011" s="219"/>
      <c r="AR1011" s="219"/>
      <c r="AS1011" s="219"/>
      <c r="AT1011" s="219"/>
      <c r="AU1011" s="219"/>
      <c r="AV1011" s="219"/>
      <c r="AW1011" s="219"/>
      <c r="AX1011" s="219"/>
      <c r="AY1011" s="219"/>
      <c r="AZ1011" s="219"/>
      <c r="BA1011" s="219"/>
      <c r="BB1011" s="219"/>
      <c r="BC1011" s="219"/>
      <c r="BD1011" s="219"/>
      <c r="BE1011" s="219"/>
      <c r="BF1011" s="219"/>
      <c r="BG1011" s="219"/>
      <c r="BH1011" s="219"/>
      <c r="BI1011" s="219"/>
      <c r="BJ1011" s="219"/>
      <c r="BK1011" s="219"/>
      <c r="BL1011" s="219"/>
      <c r="BM1011" s="219"/>
      <c r="BN1011" s="219"/>
    </row>
    <row r="1012" ht="29.25" hidden="1" customHeight="1">
      <c r="A1012" s="216"/>
      <c r="B1012" s="217"/>
      <c r="C1012" s="164"/>
      <c r="D1012" s="164"/>
      <c r="E1012" s="165"/>
      <c r="F1012" s="173"/>
      <c r="G1012" s="168"/>
      <c r="H1012" s="168"/>
      <c r="I1012" s="169"/>
      <c r="J1012" s="170"/>
      <c r="K1012" s="170"/>
      <c r="L1012" s="170"/>
      <c r="M1012" s="167"/>
      <c r="N1012" s="169"/>
      <c r="O1012" s="171"/>
      <c r="P1012" s="106"/>
      <c r="Q1012" s="218"/>
      <c r="R1012" s="172"/>
      <c r="S1012" s="172"/>
      <c r="T1012" s="173"/>
      <c r="U1012" s="219"/>
      <c r="V1012" s="219"/>
      <c r="W1012" s="219"/>
      <c r="X1012" s="219"/>
      <c r="Y1012" s="219"/>
      <c r="Z1012" s="219"/>
      <c r="AA1012" s="219"/>
      <c r="AB1012" s="219"/>
      <c r="AC1012" s="219"/>
      <c r="AD1012" s="219"/>
      <c r="AE1012" s="219"/>
      <c r="AF1012" s="219"/>
      <c r="AG1012" s="219"/>
      <c r="AH1012" s="219"/>
      <c r="AI1012" s="219"/>
      <c r="AJ1012" s="219"/>
      <c r="AK1012" s="219"/>
      <c r="AL1012" s="219"/>
      <c r="AM1012" s="219"/>
      <c r="AN1012" s="219"/>
      <c r="AO1012" s="219"/>
      <c r="AP1012" s="219"/>
      <c r="AQ1012" s="219"/>
      <c r="AR1012" s="219"/>
      <c r="AS1012" s="219"/>
      <c r="AT1012" s="219"/>
      <c r="AU1012" s="219"/>
      <c r="AV1012" s="219"/>
      <c r="AW1012" s="219"/>
      <c r="AX1012" s="219"/>
      <c r="AY1012" s="219"/>
      <c r="AZ1012" s="219"/>
      <c r="BA1012" s="219"/>
      <c r="BB1012" s="219"/>
      <c r="BC1012" s="219"/>
      <c r="BD1012" s="219"/>
      <c r="BE1012" s="219"/>
      <c r="BF1012" s="219"/>
      <c r="BG1012" s="219"/>
      <c r="BH1012" s="219"/>
      <c r="BI1012" s="219"/>
      <c r="BJ1012" s="219"/>
      <c r="BK1012" s="219"/>
      <c r="BL1012" s="219"/>
      <c r="BM1012" s="219"/>
      <c r="BN1012" s="219"/>
    </row>
    <row r="1013" ht="29.25" hidden="1" customHeight="1">
      <c r="A1013" s="216"/>
      <c r="B1013" s="217"/>
      <c r="C1013" s="164"/>
      <c r="D1013" s="164"/>
      <c r="E1013" s="165"/>
      <c r="F1013" s="173"/>
      <c r="G1013" s="168"/>
      <c r="H1013" s="168"/>
      <c r="I1013" s="169"/>
      <c r="J1013" s="170"/>
      <c r="K1013" s="170"/>
      <c r="L1013" s="170"/>
      <c r="M1013" s="167"/>
      <c r="N1013" s="169"/>
      <c r="O1013" s="171"/>
      <c r="P1013" s="106"/>
      <c r="Q1013" s="218"/>
      <c r="R1013" s="172"/>
      <c r="S1013" s="172"/>
      <c r="T1013" s="173"/>
      <c r="U1013" s="219"/>
      <c r="V1013" s="219"/>
      <c r="W1013" s="219"/>
      <c r="X1013" s="219"/>
      <c r="Y1013" s="219"/>
      <c r="Z1013" s="219"/>
      <c r="AA1013" s="219"/>
      <c r="AB1013" s="219"/>
      <c r="AC1013" s="219"/>
      <c r="AD1013" s="219"/>
      <c r="AE1013" s="219"/>
      <c r="AF1013" s="219"/>
      <c r="AG1013" s="219"/>
      <c r="AH1013" s="219"/>
      <c r="AI1013" s="219"/>
      <c r="AJ1013" s="219"/>
      <c r="AK1013" s="219"/>
      <c r="AL1013" s="219"/>
      <c r="AM1013" s="219"/>
      <c r="AN1013" s="219"/>
      <c r="AO1013" s="219"/>
      <c r="AP1013" s="219"/>
      <c r="AQ1013" s="219"/>
      <c r="AR1013" s="219"/>
      <c r="AS1013" s="219"/>
      <c r="AT1013" s="219"/>
      <c r="AU1013" s="219"/>
      <c r="AV1013" s="219"/>
      <c r="AW1013" s="219"/>
      <c r="AX1013" s="219"/>
      <c r="AY1013" s="219"/>
      <c r="AZ1013" s="219"/>
      <c r="BA1013" s="219"/>
      <c r="BB1013" s="219"/>
      <c r="BC1013" s="219"/>
      <c r="BD1013" s="219"/>
      <c r="BE1013" s="219"/>
      <c r="BF1013" s="219"/>
      <c r="BG1013" s="219"/>
      <c r="BH1013" s="219"/>
      <c r="BI1013" s="219"/>
      <c r="BJ1013" s="219"/>
      <c r="BK1013" s="219"/>
      <c r="BL1013" s="219"/>
      <c r="BM1013" s="219"/>
      <c r="BN1013" s="219"/>
    </row>
    <row r="1014" ht="29.25" hidden="1" customHeight="1">
      <c r="A1014" s="216"/>
      <c r="B1014" s="217"/>
      <c r="C1014" s="164"/>
      <c r="D1014" s="164"/>
      <c r="E1014" s="165"/>
      <c r="F1014" s="173"/>
      <c r="G1014" s="168"/>
      <c r="H1014" s="168"/>
      <c r="I1014" s="169"/>
      <c r="J1014" s="170"/>
      <c r="K1014" s="170"/>
      <c r="L1014" s="170"/>
      <c r="M1014" s="167"/>
      <c r="N1014" s="169"/>
      <c r="O1014" s="171"/>
      <c r="P1014" s="106"/>
      <c r="Q1014" s="218"/>
      <c r="R1014" s="172"/>
      <c r="S1014" s="172"/>
      <c r="T1014" s="173"/>
      <c r="U1014" s="219"/>
      <c r="V1014" s="219"/>
      <c r="W1014" s="219"/>
      <c r="X1014" s="219"/>
      <c r="Y1014" s="219"/>
      <c r="Z1014" s="219"/>
      <c r="AA1014" s="219"/>
      <c r="AB1014" s="219"/>
      <c r="AC1014" s="219"/>
      <c r="AD1014" s="219"/>
      <c r="AE1014" s="219"/>
      <c r="AF1014" s="219"/>
      <c r="AG1014" s="219"/>
      <c r="AH1014" s="219"/>
      <c r="AI1014" s="219"/>
      <c r="AJ1014" s="219"/>
      <c r="AK1014" s="219"/>
      <c r="AL1014" s="219"/>
      <c r="AM1014" s="219"/>
      <c r="AN1014" s="219"/>
      <c r="AO1014" s="219"/>
      <c r="AP1014" s="219"/>
      <c r="AQ1014" s="219"/>
      <c r="AR1014" s="219"/>
      <c r="AS1014" s="219"/>
      <c r="AT1014" s="219"/>
      <c r="AU1014" s="219"/>
      <c r="AV1014" s="219"/>
      <c r="AW1014" s="219"/>
      <c r="AX1014" s="219"/>
      <c r="AY1014" s="219"/>
      <c r="AZ1014" s="219"/>
      <c r="BA1014" s="219"/>
      <c r="BB1014" s="219"/>
      <c r="BC1014" s="219"/>
      <c r="BD1014" s="219"/>
      <c r="BE1014" s="219"/>
      <c r="BF1014" s="219"/>
      <c r="BG1014" s="219"/>
      <c r="BH1014" s="219"/>
      <c r="BI1014" s="219"/>
      <c r="BJ1014" s="219"/>
      <c r="BK1014" s="219"/>
      <c r="BL1014" s="219"/>
      <c r="BM1014" s="219"/>
      <c r="BN1014" s="219"/>
    </row>
    <row r="1015" ht="29.25" hidden="1" customHeight="1">
      <c r="A1015" s="216"/>
      <c r="B1015" s="217"/>
      <c r="C1015" s="164"/>
      <c r="D1015" s="164"/>
      <c r="E1015" s="165"/>
      <c r="F1015" s="173"/>
      <c r="G1015" s="168"/>
      <c r="H1015" s="168"/>
      <c r="I1015" s="169"/>
      <c r="J1015" s="170"/>
      <c r="K1015" s="170"/>
      <c r="L1015" s="170"/>
      <c r="M1015" s="167"/>
      <c r="N1015" s="169"/>
      <c r="O1015" s="171"/>
      <c r="P1015" s="106"/>
      <c r="Q1015" s="218"/>
      <c r="R1015" s="172"/>
      <c r="S1015" s="172"/>
      <c r="T1015" s="173"/>
      <c r="U1015" s="219"/>
      <c r="V1015" s="219"/>
      <c r="W1015" s="219"/>
      <c r="X1015" s="219"/>
      <c r="Y1015" s="219"/>
      <c r="Z1015" s="219"/>
      <c r="AA1015" s="219"/>
      <c r="AB1015" s="219"/>
      <c r="AC1015" s="219"/>
      <c r="AD1015" s="219"/>
      <c r="AE1015" s="219"/>
      <c r="AF1015" s="219"/>
      <c r="AG1015" s="219"/>
      <c r="AH1015" s="219"/>
      <c r="AI1015" s="219"/>
      <c r="AJ1015" s="219"/>
      <c r="AK1015" s="219"/>
      <c r="AL1015" s="219"/>
      <c r="AM1015" s="219"/>
      <c r="AN1015" s="219"/>
      <c r="AO1015" s="219"/>
      <c r="AP1015" s="219"/>
      <c r="AQ1015" s="219"/>
      <c r="AR1015" s="219"/>
      <c r="AS1015" s="219"/>
      <c r="AT1015" s="219"/>
      <c r="AU1015" s="219"/>
      <c r="AV1015" s="219"/>
      <c r="AW1015" s="219"/>
      <c r="AX1015" s="219"/>
      <c r="AY1015" s="219"/>
      <c r="AZ1015" s="219"/>
      <c r="BA1015" s="219"/>
      <c r="BB1015" s="219"/>
      <c r="BC1015" s="219"/>
      <c r="BD1015" s="219"/>
      <c r="BE1015" s="219"/>
      <c r="BF1015" s="219"/>
      <c r="BG1015" s="219"/>
      <c r="BH1015" s="219"/>
      <c r="BI1015" s="219"/>
      <c r="BJ1015" s="219"/>
      <c r="BK1015" s="219"/>
      <c r="BL1015" s="219"/>
      <c r="BM1015" s="219"/>
      <c r="BN1015" s="219"/>
    </row>
    <row r="1016" ht="29.25" hidden="1" customHeight="1">
      <c r="A1016" s="216"/>
      <c r="B1016" s="217"/>
      <c r="C1016" s="164"/>
      <c r="D1016" s="164"/>
      <c r="E1016" s="165"/>
      <c r="F1016" s="173"/>
      <c r="G1016" s="168"/>
      <c r="H1016" s="168"/>
      <c r="I1016" s="169"/>
      <c r="J1016" s="170"/>
      <c r="K1016" s="170"/>
      <c r="L1016" s="170"/>
      <c r="M1016" s="167"/>
      <c r="N1016" s="169"/>
      <c r="O1016" s="171"/>
      <c r="P1016" s="106"/>
      <c r="Q1016" s="218"/>
      <c r="R1016" s="172"/>
      <c r="S1016" s="172"/>
      <c r="T1016" s="173"/>
      <c r="U1016" s="219"/>
      <c r="V1016" s="219"/>
      <c r="W1016" s="219"/>
      <c r="X1016" s="219"/>
      <c r="Y1016" s="219"/>
      <c r="Z1016" s="219"/>
      <c r="AA1016" s="219"/>
      <c r="AB1016" s="219"/>
      <c r="AC1016" s="219"/>
      <c r="AD1016" s="219"/>
      <c r="AE1016" s="219"/>
      <c r="AF1016" s="219"/>
      <c r="AG1016" s="219"/>
      <c r="AH1016" s="219"/>
      <c r="AI1016" s="219"/>
      <c r="AJ1016" s="219"/>
      <c r="AK1016" s="219"/>
      <c r="AL1016" s="219"/>
      <c r="AM1016" s="219"/>
      <c r="AN1016" s="219"/>
      <c r="AO1016" s="219"/>
      <c r="AP1016" s="219"/>
      <c r="AQ1016" s="219"/>
      <c r="AR1016" s="219"/>
      <c r="AS1016" s="219"/>
      <c r="AT1016" s="219"/>
      <c r="AU1016" s="219"/>
      <c r="AV1016" s="219"/>
      <c r="AW1016" s="219"/>
      <c r="AX1016" s="219"/>
      <c r="AY1016" s="219"/>
      <c r="AZ1016" s="219"/>
      <c r="BA1016" s="219"/>
      <c r="BB1016" s="219"/>
      <c r="BC1016" s="219"/>
      <c r="BD1016" s="219"/>
      <c r="BE1016" s="219"/>
      <c r="BF1016" s="219"/>
      <c r="BG1016" s="219"/>
      <c r="BH1016" s="219"/>
      <c r="BI1016" s="219"/>
      <c r="BJ1016" s="219"/>
      <c r="BK1016" s="219"/>
      <c r="BL1016" s="219"/>
      <c r="BM1016" s="219"/>
      <c r="BN1016" s="219"/>
    </row>
    <row r="1017" ht="29.25" hidden="1" customHeight="1">
      <c r="A1017" s="216"/>
      <c r="B1017" s="217"/>
      <c r="C1017" s="164"/>
      <c r="D1017" s="164"/>
      <c r="E1017" s="165"/>
      <c r="F1017" s="173"/>
      <c r="G1017" s="168"/>
      <c r="H1017" s="168"/>
      <c r="I1017" s="169"/>
      <c r="J1017" s="170"/>
      <c r="K1017" s="170"/>
      <c r="L1017" s="170"/>
      <c r="M1017" s="167"/>
      <c r="N1017" s="169"/>
      <c r="O1017" s="171"/>
      <c r="P1017" s="106"/>
      <c r="Q1017" s="218"/>
      <c r="R1017" s="172"/>
      <c r="S1017" s="172"/>
      <c r="T1017" s="173"/>
      <c r="U1017" s="219"/>
      <c r="V1017" s="219"/>
      <c r="W1017" s="219"/>
      <c r="X1017" s="219"/>
      <c r="Y1017" s="219"/>
      <c r="Z1017" s="219"/>
      <c r="AA1017" s="219"/>
      <c r="AB1017" s="219"/>
      <c r="AC1017" s="219"/>
      <c r="AD1017" s="219"/>
      <c r="AE1017" s="219"/>
      <c r="AF1017" s="219"/>
      <c r="AG1017" s="219"/>
      <c r="AH1017" s="219"/>
      <c r="AI1017" s="219"/>
      <c r="AJ1017" s="219"/>
      <c r="AK1017" s="219"/>
      <c r="AL1017" s="219"/>
      <c r="AM1017" s="219"/>
      <c r="AN1017" s="219"/>
      <c r="AO1017" s="219"/>
      <c r="AP1017" s="219"/>
      <c r="AQ1017" s="219"/>
      <c r="AR1017" s="219"/>
      <c r="AS1017" s="219"/>
      <c r="AT1017" s="219"/>
      <c r="AU1017" s="219"/>
      <c r="AV1017" s="219"/>
      <c r="AW1017" s="219"/>
      <c r="AX1017" s="219"/>
      <c r="AY1017" s="219"/>
      <c r="AZ1017" s="219"/>
      <c r="BA1017" s="219"/>
      <c r="BB1017" s="219"/>
      <c r="BC1017" s="219"/>
      <c r="BD1017" s="219"/>
      <c r="BE1017" s="219"/>
      <c r="BF1017" s="219"/>
      <c r="BG1017" s="219"/>
      <c r="BH1017" s="219"/>
      <c r="BI1017" s="219"/>
      <c r="BJ1017" s="219"/>
      <c r="BK1017" s="219"/>
      <c r="BL1017" s="219"/>
      <c r="BM1017" s="219"/>
      <c r="BN1017" s="219"/>
    </row>
    <row r="1018" ht="29.25" hidden="1" customHeight="1">
      <c r="A1018" s="216"/>
      <c r="B1018" s="217"/>
      <c r="C1018" s="164"/>
      <c r="D1018" s="164"/>
      <c r="E1018" s="165"/>
      <c r="F1018" s="173"/>
      <c r="G1018" s="168"/>
      <c r="H1018" s="168"/>
      <c r="I1018" s="169"/>
      <c r="J1018" s="170"/>
      <c r="K1018" s="170"/>
      <c r="L1018" s="170"/>
      <c r="M1018" s="167"/>
      <c r="N1018" s="169"/>
      <c r="O1018" s="171"/>
      <c r="P1018" s="106"/>
      <c r="Q1018" s="218"/>
      <c r="R1018" s="172"/>
      <c r="S1018" s="172"/>
      <c r="T1018" s="173"/>
      <c r="U1018" s="219"/>
      <c r="V1018" s="219"/>
      <c r="W1018" s="219"/>
      <c r="X1018" s="219"/>
      <c r="Y1018" s="219"/>
      <c r="Z1018" s="219"/>
      <c r="AA1018" s="219"/>
      <c r="AB1018" s="219"/>
      <c r="AC1018" s="219"/>
      <c r="AD1018" s="219"/>
      <c r="AE1018" s="219"/>
      <c r="AF1018" s="219"/>
      <c r="AG1018" s="219"/>
      <c r="AH1018" s="219"/>
      <c r="AI1018" s="219"/>
      <c r="AJ1018" s="219"/>
      <c r="AK1018" s="219"/>
      <c r="AL1018" s="219"/>
      <c r="AM1018" s="219"/>
      <c r="AN1018" s="219"/>
      <c r="AO1018" s="219"/>
      <c r="AP1018" s="219"/>
      <c r="AQ1018" s="219"/>
      <c r="AR1018" s="219"/>
      <c r="AS1018" s="219"/>
      <c r="AT1018" s="219"/>
      <c r="AU1018" s="219"/>
      <c r="AV1018" s="219"/>
      <c r="AW1018" s="219"/>
      <c r="AX1018" s="219"/>
      <c r="AY1018" s="219"/>
      <c r="AZ1018" s="219"/>
      <c r="BA1018" s="219"/>
      <c r="BB1018" s="219"/>
      <c r="BC1018" s="219"/>
      <c r="BD1018" s="219"/>
      <c r="BE1018" s="219"/>
      <c r="BF1018" s="219"/>
      <c r="BG1018" s="219"/>
      <c r="BH1018" s="219"/>
      <c r="BI1018" s="219"/>
      <c r="BJ1018" s="219"/>
      <c r="BK1018" s="219"/>
      <c r="BL1018" s="219"/>
      <c r="BM1018" s="219"/>
      <c r="BN1018" s="219"/>
    </row>
    <row r="1019" ht="29.25" hidden="1" customHeight="1">
      <c r="A1019" s="216"/>
      <c r="B1019" s="217"/>
      <c r="C1019" s="164"/>
      <c r="D1019" s="164"/>
      <c r="E1019" s="165"/>
      <c r="F1019" s="173"/>
      <c r="G1019" s="168"/>
      <c r="H1019" s="168"/>
      <c r="I1019" s="169"/>
      <c r="J1019" s="170"/>
      <c r="K1019" s="170"/>
      <c r="L1019" s="170"/>
      <c r="M1019" s="167"/>
      <c r="N1019" s="169"/>
      <c r="O1019" s="171"/>
      <c r="P1019" s="106"/>
      <c r="Q1019" s="218"/>
      <c r="R1019" s="172"/>
      <c r="S1019" s="172"/>
      <c r="T1019" s="173"/>
      <c r="U1019" s="219"/>
      <c r="V1019" s="219"/>
      <c r="W1019" s="219"/>
      <c r="X1019" s="219"/>
      <c r="Y1019" s="219"/>
      <c r="Z1019" s="219"/>
      <c r="AA1019" s="219"/>
      <c r="AB1019" s="219"/>
      <c r="AC1019" s="219"/>
      <c r="AD1019" s="219"/>
      <c r="AE1019" s="219"/>
      <c r="AF1019" s="219"/>
      <c r="AG1019" s="219"/>
      <c r="AH1019" s="219"/>
      <c r="AI1019" s="219"/>
      <c r="AJ1019" s="219"/>
      <c r="AK1019" s="219"/>
      <c r="AL1019" s="219"/>
      <c r="AM1019" s="219"/>
      <c r="AN1019" s="219"/>
      <c r="AO1019" s="219"/>
      <c r="AP1019" s="219"/>
      <c r="AQ1019" s="219"/>
      <c r="AR1019" s="219"/>
      <c r="AS1019" s="219"/>
      <c r="AT1019" s="219"/>
      <c r="AU1019" s="219"/>
      <c r="AV1019" s="219"/>
      <c r="AW1019" s="219"/>
      <c r="AX1019" s="219"/>
      <c r="AY1019" s="219"/>
      <c r="AZ1019" s="219"/>
      <c r="BA1019" s="219"/>
      <c r="BB1019" s="219"/>
      <c r="BC1019" s="219"/>
      <c r="BD1019" s="219"/>
      <c r="BE1019" s="219"/>
      <c r="BF1019" s="219"/>
      <c r="BG1019" s="219"/>
      <c r="BH1019" s="219"/>
      <c r="BI1019" s="219"/>
      <c r="BJ1019" s="219"/>
      <c r="BK1019" s="219"/>
      <c r="BL1019" s="219"/>
      <c r="BM1019" s="219"/>
      <c r="BN1019" s="219"/>
    </row>
    <row r="1020" ht="29.25" hidden="1" customHeight="1">
      <c r="A1020" s="216"/>
      <c r="B1020" s="217"/>
      <c r="C1020" s="164"/>
      <c r="D1020" s="164"/>
      <c r="E1020" s="165"/>
      <c r="F1020" s="173"/>
      <c r="G1020" s="168"/>
      <c r="H1020" s="168"/>
      <c r="I1020" s="169"/>
      <c r="J1020" s="170"/>
      <c r="K1020" s="170"/>
      <c r="L1020" s="170"/>
      <c r="M1020" s="167"/>
      <c r="N1020" s="169"/>
      <c r="O1020" s="171"/>
      <c r="P1020" s="106"/>
      <c r="Q1020" s="218"/>
      <c r="R1020" s="172"/>
      <c r="S1020" s="172"/>
      <c r="T1020" s="173"/>
      <c r="U1020" s="219"/>
      <c r="V1020" s="219"/>
      <c r="W1020" s="219"/>
      <c r="X1020" s="219"/>
      <c r="Y1020" s="219"/>
      <c r="Z1020" s="219"/>
      <c r="AA1020" s="219"/>
      <c r="AB1020" s="219"/>
      <c r="AC1020" s="219"/>
      <c r="AD1020" s="219"/>
      <c r="AE1020" s="219"/>
      <c r="AF1020" s="219"/>
      <c r="AG1020" s="219"/>
      <c r="AH1020" s="219"/>
      <c r="AI1020" s="219"/>
      <c r="AJ1020" s="219"/>
      <c r="AK1020" s="219"/>
      <c r="AL1020" s="219"/>
      <c r="AM1020" s="219"/>
      <c r="AN1020" s="219"/>
      <c r="AO1020" s="219"/>
      <c r="AP1020" s="219"/>
      <c r="AQ1020" s="219"/>
      <c r="AR1020" s="219"/>
      <c r="AS1020" s="219"/>
      <c r="AT1020" s="219"/>
      <c r="AU1020" s="219"/>
      <c r="AV1020" s="219"/>
      <c r="AW1020" s="219"/>
      <c r="AX1020" s="219"/>
      <c r="AY1020" s="219"/>
      <c r="AZ1020" s="219"/>
      <c r="BA1020" s="219"/>
      <c r="BB1020" s="219"/>
      <c r="BC1020" s="219"/>
      <c r="BD1020" s="219"/>
      <c r="BE1020" s="219"/>
      <c r="BF1020" s="219"/>
      <c r="BG1020" s="219"/>
      <c r="BH1020" s="219"/>
      <c r="BI1020" s="219"/>
      <c r="BJ1020" s="219"/>
      <c r="BK1020" s="219"/>
      <c r="BL1020" s="219"/>
      <c r="BM1020" s="219"/>
      <c r="BN1020" s="219"/>
    </row>
    <row r="1021" ht="29.25" hidden="1" customHeight="1">
      <c r="A1021" s="216"/>
      <c r="B1021" s="217"/>
      <c r="C1021" s="164"/>
      <c r="D1021" s="164"/>
      <c r="E1021" s="165"/>
      <c r="F1021" s="173"/>
      <c r="G1021" s="168"/>
      <c r="H1021" s="168"/>
      <c r="I1021" s="169"/>
      <c r="J1021" s="170"/>
      <c r="K1021" s="170"/>
      <c r="L1021" s="170"/>
      <c r="M1021" s="167"/>
      <c r="N1021" s="169"/>
      <c r="O1021" s="171"/>
      <c r="P1021" s="106"/>
      <c r="Q1021" s="218"/>
      <c r="R1021" s="172"/>
      <c r="S1021" s="172"/>
      <c r="T1021" s="173"/>
      <c r="U1021" s="219"/>
      <c r="V1021" s="219"/>
      <c r="W1021" s="219"/>
      <c r="X1021" s="219"/>
      <c r="Y1021" s="219"/>
      <c r="Z1021" s="219"/>
      <c r="AA1021" s="219"/>
      <c r="AB1021" s="219"/>
      <c r="AC1021" s="219"/>
      <c r="AD1021" s="219"/>
      <c r="AE1021" s="219"/>
      <c r="AF1021" s="219"/>
      <c r="AG1021" s="219"/>
      <c r="AH1021" s="219"/>
      <c r="AI1021" s="219"/>
      <c r="AJ1021" s="219"/>
      <c r="AK1021" s="219"/>
      <c r="AL1021" s="219"/>
      <c r="AM1021" s="219"/>
      <c r="AN1021" s="219"/>
      <c r="AO1021" s="219"/>
      <c r="AP1021" s="219"/>
      <c r="AQ1021" s="219"/>
      <c r="AR1021" s="219"/>
      <c r="AS1021" s="219"/>
      <c r="AT1021" s="219"/>
      <c r="AU1021" s="219"/>
      <c r="AV1021" s="219"/>
      <c r="AW1021" s="219"/>
      <c r="AX1021" s="219"/>
      <c r="AY1021" s="219"/>
      <c r="AZ1021" s="219"/>
      <c r="BA1021" s="219"/>
      <c r="BB1021" s="219"/>
      <c r="BC1021" s="219"/>
      <c r="BD1021" s="219"/>
      <c r="BE1021" s="219"/>
      <c r="BF1021" s="219"/>
      <c r="BG1021" s="219"/>
      <c r="BH1021" s="219"/>
      <c r="BI1021" s="219"/>
      <c r="BJ1021" s="219"/>
      <c r="BK1021" s="219"/>
      <c r="BL1021" s="219"/>
      <c r="BM1021" s="219"/>
      <c r="BN1021" s="219"/>
    </row>
    <row r="1022" ht="29.25" hidden="1" customHeight="1">
      <c r="A1022" s="216"/>
      <c r="B1022" s="217"/>
      <c r="C1022" s="164"/>
      <c r="D1022" s="164"/>
      <c r="E1022" s="165"/>
      <c r="F1022" s="173"/>
      <c r="G1022" s="168"/>
      <c r="H1022" s="168"/>
      <c r="I1022" s="169"/>
      <c r="J1022" s="170"/>
      <c r="K1022" s="170"/>
      <c r="L1022" s="170"/>
      <c r="M1022" s="167"/>
      <c r="N1022" s="169"/>
      <c r="O1022" s="171"/>
      <c r="P1022" s="106"/>
      <c r="Q1022" s="218"/>
      <c r="R1022" s="172"/>
      <c r="S1022" s="172"/>
      <c r="T1022" s="173"/>
      <c r="U1022" s="219"/>
      <c r="V1022" s="219"/>
      <c r="W1022" s="219"/>
      <c r="X1022" s="219"/>
      <c r="Y1022" s="219"/>
      <c r="Z1022" s="219"/>
      <c r="AA1022" s="219"/>
      <c r="AB1022" s="219"/>
      <c r="AC1022" s="219"/>
      <c r="AD1022" s="219"/>
      <c r="AE1022" s="219"/>
      <c r="AF1022" s="219"/>
      <c r="AG1022" s="219"/>
      <c r="AH1022" s="219"/>
      <c r="AI1022" s="219"/>
      <c r="AJ1022" s="219"/>
      <c r="AK1022" s="219"/>
      <c r="AL1022" s="219"/>
      <c r="AM1022" s="219"/>
      <c r="AN1022" s="219"/>
      <c r="AO1022" s="219"/>
      <c r="AP1022" s="219"/>
      <c r="AQ1022" s="219"/>
      <c r="AR1022" s="219"/>
      <c r="AS1022" s="219"/>
      <c r="AT1022" s="219"/>
      <c r="AU1022" s="219"/>
      <c r="AV1022" s="219"/>
      <c r="AW1022" s="219"/>
      <c r="AX1022" s="219"/>
      <c r="AY1022" s="219"/>
      <c r="AZ1022" s="219"/>
      <c r="BA1022" s="219"/>
      <c r="BB1022" s="219"/>
      <c r="BC1022" s="219"/>
      <c r="BD1022" s="219"/>
      <c r="BE1022" s="219"/>
      <c r="BF1022" s="219"/>
      <c r="BG1022" s="219"/>
      <c r="BH1022" s="219"/>
      <c r="BI1022" s="219"/>
      <c r="BJ1022" s="219"/>
      <c r="BK1022" s="219"/>
      <c r="BL1022" s="219"/>
      <c r="BM1022" s="219"/>
      <c r="BN1022" s="219"/>
    </row>
    <row r="1023" ht="29.25" hidden="1" customHeight="1">
      <c r="A1023" s="216"/>
      <c r="B1023" s="217"/>
      <c r="C1023" s="164"/>
      <c r="D1023" s="164"/>
      <c r="E1023" s="165"/>
      <c r="F1023" s="173"/>
      <c r="G1023" s="168"/>
      <c r="H1023" s="168"/>
      <c r="I1023" s="169"/>
      <c r="J1023" s="170"/>
      <c r="K1023" s="170"/>
      <c r="L1023" s="170"/>
      <c r="M1023" s="167"/>
      <c r="N1023" s="169"/>
      <c r="O1023" s="171"/>
      <c r="P1023" s="106"/>
      <c r="Q1023" s="218"/>
      <c r="R1023" s="172"/>
      <c r="S1023" s="172"/>
      <c r="T1023" s="173"/>
      <c r="U1023" s="219"/>
      <c r="V1023" s="219"/>
      <c r="W1023" s="219"/>
      <c r="X1023" s="219"/>
      <c r="Y1023" s="219"/>
      <c r="Z1023" s="219"/>
      <c r="AA1023" s="219"/>
      <c r="AB1023" s="219"/>
      <c r="AC1023" s="219"/>
      <c r="AD1023" s="219"/>
      <c r="AE1023" s="219"/>
      <c r="AF1023" s="219"/>
      <c r="AG1023" s="219"/>
      <c r="AH1023" s="219"/>
      <c r="AI1023" s="219"/>
      <c r="AJ1023" s="219"/>
      <c r="AK1023" s="219"/>
      <c r="AL1023" s="219"/>
      <c r="AM1023" s="219"/>
      <c r="AN1023" s="219"/>
      <c r="AO1023" s="219"/>
      <c r="AP1023" s="219"/>
      <c r="AQ1023" s="219"/>
      <c r="AR1023" s="219"/>
      <c r="AS1023" s="219"/>
      <c r="AT1023" s="219"/>
      <c r="AU1023" s="219"/>
      <c r="AV1023" s="219"/>
      <c r="AW1023" s="219"/>
      <c r="AX1023" s="219"/>
      <c r="AY1023" s="219"/>
      <c r="AZ1023" s="219"/>
      <c r="BA1023" s="219"/>
      <c r="BB1023" s="219"/>
      <c r="BC1023" s="219"/>
      <c r="BD1023" s="219"/>
      <c r="BE1023" s="219"/>
      <c r="BF1023" s="219"/>
      <c r="BG1023" s="219"/>
      <c r="BH1023" s="219"/>
      <c r="BI1023" s="219"/>
      <c r="BJ1023" s="219"/>
      <c r="BK1023" s="219"/>
      <c r="BL1023" s="219"/>
      <c r="BM1023" s="219"/>
      <c r="BN1023" s="219"/>
    </row>
    <row r="1024" ht="29.25" hidden="1" customHeight="1">
      <c r="A1024" s="216"/>
      <c r="B1024" s="217"/>
      <c r="C1024" s="164"/>
      <c r="D1024" s="164"/>
      <c r="E1024" s="165"/>
      <c r="F1024" s="173"/>
      <c r="G1024" s="168"/>
      <c r="H1024" s="168"/>
      <c r="I1024" s="169"/>
      <c r="J1024" s="170"/>
      <c r="K1024" s="170"/>
      <c r="L1024" s="170"/>
      <c r="M1024" s="167"/>
      <c r="N1024" s="169"/>
      <c r="O1024" s="171"/>
      <c r="P1024" s="106"/>
      <c r="Q1024" s="218"/>
      <c r="R1024" s="172"/>
      <c r="S1024" s="172"/>
      <c r="T1024" s="173"/>
      <c r="U1024" s="219"/>
      <c r="V1024" s="219"/>
      <c r="W1024" s="219"/>
      <c r="X1024" s="219"/>
      <c r="Y1024" s="219"/>
      <c r="Z1024" s="219"/>
      <c r="AA1024" s="219"/>
      <c r="AB1024" s="219"/>
      <c r="AC1024" s="219"/>
      <c r="AD1024" s="219"/>
      <c r="AE1024" s="219"/>
      <c r="AF1024" s="219"/>
      <c r="AG1024" s="219"/>
      <c r="AH1024" s="219"/>
      <c r="AI1024" s="219"/>
      <c r="AJ1024" s="219"/>
      <c r="AK1024" s="219"/>
      <c r="AL1024" s="219"/>
      <c r="AM1024" s="219"/>
      <c r="AN1024" s="219"/>
      <c r="AO1024" s="219"/>
      <c r="AP1024" s="219"/>
      <c r="AQ1024" s="219"/>
      <c r="AR1024" s="219"/>
      <c r="AS1024" s="219"/>
      <c r="AT1024" s="219"/>
      <c r="AU1024" s="219"/>
      <c r="AV1024" s="219"/>
      <c r="AW1024" s="219"/>
      <c r="AX1024" s="219"/>
      <c r="AY1024" s="219"/>
      <c r="AZ1024" s="219"/>
      <c r="BA1024" s="219"/>
      <c r="BB1024" s="219"/>
      <c r="BC1024" s="219"/>
      <c r="BD1024" s="219"/>
      <c r="BE1024" s="219"/>
      <c r="BF1024" s="219"/>
      <c r="BG1024" s="219"/>
      <c r="BH1024" s="219"/>
      <c r="BI1024" s="219"/>
      <c r="BJ1024" s="219"/>
      <c r="BK1024" s="219"/>
      <c r="BL1024" s="219"/>
      <c r="BM1024" s="219"/>
      <c r="BN1024" s="219"/>
    </row>
    <row r="1025" ht="29.25" hidden="1" customHeight="1">
      <c r="A1025" s="216"/>
      <c r="B1025" s="217"/>
      <c r="C1025" s="164"/>
      <c r="D1025" s="164"/>
      <c r="E1025" s="165"/>
      <c r="F1025" s="173"/>
      <c r="G1025" s="168"/>
      <c r="H1025" s="168"/>
      <c r="I1025" s="169"/>
      <c r="J1025" s="170"/>
      <c r="K1025" s="170"/>
      <c r="L1025" s="170"/>
      <c r="M1025" s="167"/>
      <c r="N1025" s="169"/>
      <c r="O1025" s="171"/>
      <c r="P1025" s="106"/>
      <c r="Q1025" s="218"/>
      <c r="R1025" s="172"/>
      <c r="S1025" s="172"/>
      <c r="T1025" s="173"/>
      <c r="U1025" s="219"/>
      <c r="V1025" s="219"/>
      <c r="W1025" s="219"/>
      <c r="X1025" s="219"/>
      <c r="Y1025" s="219"/>
      <c r="Z1025" s="219"/>
      <c r="AA1025" s="219"/>
      <c r="AB1025" s="219"/>
      <c r="AC1025" s="219"/>
      <c r="AD1025" s="219"/>
      <c r="AE1025" s="219"/>
      <c r="AF1025" s="219"/>
      <c r="AG1025" s="219"/>
      <c r="AH1025" s="219"/>
      <c r="AI1025" s="219"/>
      <c r="AJ1025" s="219"/>
      <c r="AK1025" s="219"/>
      <c r="AL1025" s="219"/>
      <c r="AM1025" s="219"/>
      <c r="AN1025" s="219"/>
      <c r="AO1025" s="219"/>
      <c r="AP1025" s="219"/>
      <c r="AQ1025" s="219"/>
      <c r="AR1025" s="219"/>
      <c r="AS1025" s="219"/>
      <c r="AT1025" s="219"/>
      <c r="AU1025" s="219"/>
      <c r="AV1025" s="219"/>
      <c r="AW1025" s="219"/>
      <c r="AX1025" s="219"/>
      <c r="AY1025" s="219"/>
      <c r="AZ1025" s="219"/>
      <c r="BA1025" s="219"/>
      <c r="BB1025" s="219"/>
      <c r="BC1025" s="219"/>
      <c r="BD1025" s="219"/>
      <c r="BE1025" s="219"/>
      <c r="BF1025" s="219"/>
      <c r="BG1025" s="219"/>
      <c r="BH1025" s="219"/>
      <c r="BI1025" s="219"/>
      <c r="BJ1025" s="219"/>
      <c r="BK1025" s="219"/>
      <c r="BL1025" s="219"/>
      <c r="BM1025" s="219"/>
      <c r="BN1025" s="219"/>
    </row>
    <row r="1026" ht="29.25" hidden="1" customHeight="1">
      <c r="A1026" s="216"/>
      <c r="B1026" s="217"/>
      <c r="C1026" s="164"/>
      <c r="D1026" s="164"/>
      <c r="E1026" s="165"/>
      <c r="F1026" s="173"/>
      <c r="G1026" s="168"/>
      <c r="H1026" s="168"/>
      <c r="I1026" s="169"/>
      <c r="J1026" s="170"/>
      <c r="K1026" s="170"/>
      <c r="L1026" s="170"/>
      <c r="M1026" s="167"/>
      <c r="N1026" s="169"/>
      <c r="O1026" s="171"/>
      <c r="P1026" s="106"/>
      <c r="Q1026" s="218"/>
      <c r="R1026" s="172"/>
      <c r="S1026" s="172"/>
      <c r="T1026" s="173"/>
      <c r="U1026" s="219"/>
      <c r="V1026" s="219"/>
      <c r="W1026" s="219"/>
      <c r="X1026" s="219"/>
      <c r="Y1026" s="219"/>
      <c r="Z1026" s="219"/>
      <c r="AA1026" s="219"/>
      <c r="AB1026" s="219"/>
      <c r="AC1026" s="219"/>
      <c r="AD1026" s="219"/>
      <c r="AE1026" s="219"/>
      <c r="AF1026" s="219"/>
      <c r="AG1026" s="219"/>
      <c r="AH1026" s="219"/>
      <c r="AI1026" s="219"/>
      <c r="AJ1026" s="219"/>
      <c r="AK1026" s="219"/>
      <c r="AL1026" s="219"/>
      <c r="AM1026" s="219"/>
      <c r="AN1026" s="219"/>
      <c r="AO1026" s="219"/>
      <c r="AP1026" s="219"/>
      <c r="AQ1026" s="219"/>
      <c r="AR1026" s="219"/>
      <c r="AS1026" s="219"/>
      <c r="AT1026" s="219"/>
      <c r="AU1026" s="219"/>
      <c r="AV1026" s="219"/>
      <c r="AW1026" s="219"/>
      <c r="AX1026" s="219"/>
      <c r="AY1026" s="219"/>
      <c r="AZ1026" s="219"/>
      <c r="BA1026" s="219"/>
      <c r="BB1026" s="219"/>
      <c r="BC1026" s="219"/>
      <c r="BD1026" s="219"/>
      <c r="BE1026" s="219"/>
      <c r="BF1026" s="219"/>
      <c r="BG1026" s="219"/>
      <c r="BH1026" s="219"/>
      <c r="BI1026" s="219"/>
      <c r="BJ1026" s="219"/>
      <c r="BK1026" s="219"/>
      <c r="BL1026" s="219"/>
      <c r="BM1026" s="219"/>
      <c r="BN1026" s="219"/>
    </row>
    <row r="1027" ht="29.25" hidden="1" customHeight="1">
      <c r="A1027" s="216"/>
      <c r="B1027" s="217"/>
      <c r="C1027" s="164"/>
      <c r="D1027" s="164"/>
      <c r="E1027" s="165"/>
      <c r="F1027" s="173"/>
      <c r="G1027" s="168"/>
      <c r="H1027" s="168"/>
      <c r="I1027" s="169"/>
      <c r="J1027" s="170"/>
      <c r="K1027" s="170"/>
      <c r="L1027" s="170"/>
      <c r="M1027" s="167"/>
      <c r="N1027" s="169"/>
      <c r="O1027" s="171"/>
      <c r="P1027" s="106"/>
      <c r="Q1027" s="218"/>
      <c r="R1027" s="172"/>
      <c r="S1027" s="172"/>
      <c r="T1027" s="173"/>
      <c r="U1027" s="219"/>
      <c r="V1027" s="219"/>
      <c r="W1027" s="219"/>
      <c r="X1027" s="219"/>
      <c r="Y1027" s="219"/>
      <c r="Z1027" s="219"/>
      <c r="AA1027" s="219"/>
      <c r="AB1027" s="219"/>
      <c r="AC1027" s="219"/>
      <c r="AD1027" s="219"/>
      <c r="AE1027" s="219"/>
      <c r="AF1027" s="219"/>
      <c r="AG1027" s="219"/>
      <c r="AH1027" s="219"/>
      <c r="AI1027" s="219"/>
      <c r="AJ1027" s="219"/>
      <c r="AK1027" s="219"/>
      <c r="AL1027" s="219"/>
      <c r="AM1027" s="219"/>
      <c r="AN1027" s="219"/>
      <c r="AO1027" s="219"/>
      <c r="AP1027" s="219"/>
      <c r="AQ1027" s="219"/>
      <c r="AR1027" s="219"/>
      <c r="AS1027" s="219"/>
      <c r="AT1027" s="219"/>
      <c r="AU1027" s="219"/>
      <c r="AV1027" s="219"/>
      <c r="AW1027" s="219"/>
      <c r="AX1027" s="219"/>
      <c r="AY1027" s="219"/>
      <c r="AZ1027" s="219"/>
      <c r="BA1027" s="219"/>
      <c r="BB1027" s="219"/>
      <c r="BC1027" s="219"/>
      <c r="BD1027" s="219"/>
      <c r="BE1027" s="219"/>
      <c r="BF1027" s="219"/>
      <c r="BG1027" s="219"/>
      <c r="BH1027" s="219"/>
      <c r="BI1027" s="219"/>
      <c r="BJ1027" s="219"/>
      <c r="BK1027" s="219"/>
      <c r="BL1027" s="219"/>
      <c r="BM1027" s="219"/>
      <c r="BN1027" s="219"/>
    </row>
    <row r="1028" ht="29.25" hidden="1" customHeight="1">
      <c r="A1028" s="216"/>
      <c r="B1028" s="217"/>
      <c r="C1028" s="164"/>
      <c r="D1028" s="164"/>
      <c r="E1028" s="165"/>
      <c r="F1028" s="173"/>
      <c r="G1028" s="168"/>
      <c r="H1028" s="168"/>
      <c r="I1028" s="169"/>
      <c r="J1028" s="170"/>
      <c r="K1028" s="170"/>
      <c r="L1028" s="170"/>
      <c r="M1028" s="167"/>
      <c r="N1028" s="169"/>
      <c r="O1028" s="171"/>
      <c r="P1028" s="106"/>
      <c r="Q1028" s="218"/>
      <c r="R1028" s="172"/>
      <c r="S1028" s="172"/>
      <c r="T1028" s="173"/>
      <c r="U1028" s="219"/>
      <c r="V1028" s="219"/>
      <c r="W1028" s="219"/>
      <c r="X1028" s="219"/>
      <c r="Y1028" s="219"/>
      <c r="Z1028" s="219"/>
      <c r="AA1028" s="219"/>
      <c r="AB1028" s="219"/>
      <c r="AC1028" s="219"/>
      <c r="AD1028" s="219"/>
      <c r="AE1028" s="219"/>
      <c r="AF1028" s="219"/>
      <c r="AG1028" s="219"/>
      <c r="AH1028" s="219"/>
      <c r="AI1028" s="219"/>
      <c r="AJ1028" s="219"/>
      <c r="AK1028" s="219"/>
      <c r="AL1028" s="219"/>
      <c r="AM1028" s="219"/>
      <c r="AN1028" s="219"/>
      <c r="AO1028" s="219"/>
      <c r="AP1028" s="219"/>
      <c r="AQ1028" s="219"/>
      <c r="AR1028" s="219"/>
      <c r="AS1028" s="219"/>
      <c r="AT1028" s="219"/>
      <c r="AU1028" s="219"/>
      <c r="AV1028" s="219"/>
      <c r="AW1028" s="219"/>
      <c r="AX1028" s="219"/>
      <c r="AY1028" s="219"/>
      <c r="AZ1028" s="219"/>
      <c r="BA1028" s="219"/>
      <c r="BB1028" s="219"/>
      <c r="BC1028" s="219"/>
      <c r="BD1028" s="219"/>
      <c r="BE1028" s="219"/>
      <c r="BF1028" s="219"/>
      <c r="BG1028" s="219"/>
      <c r="BH1028" s="219"/>
      <c r="BI1028" s="219"/>
      <c r="BJ1028" s="219"/>
      <c r="BK1028" s="219"/>
      <c r="BL1028" s="219"/>
      <c r="BM1028" s="219"/>
      <c r="BN1028" s="219"/>
    </row>
    <row r="1029" ht="29.25" hidden="1" customHeight="1">
      <c r="A1029" s="216"/>
      <c r="B1029" s="217"/>
      <c r="C1029" s="164"/>
      <c r="D1029" s="164"/>
      <c r="E1029" s="165"/>
      <c r="F1029" s="173"/>
      <c r="G1029" s="168"/>
      <c r="H1029" s="168"/>
      <c r="I1029" s="169"/>
      <c r="J1029" s="170"/>
      <c r="K1029" s="170"/>
      <c r="L1029" s="170"/>
      <c r="M1029" s="167"/>
      <c r="N1029" s="169"/>
      <c r="O1029" s="171"/>
      <c r="P1029" s="106"/>
      <c r="Q1029" s="218"/>
      <c r="R1029" s="172"/>
      <c r="S1029" s="172"/>
      <c r="T1029" s="173"/>
      <c r="U1029" s="219"/>
      <c r="V1029" s="219"/>
      <c r="W1029" s="219"/>
      <c r="X1029" s="219"/>
      <c r="Y1029" s="219"/>
      <c r="Z1029" s="219"/>
      <c r="AA1029" s="219"/>
      <c r="AB1029" s="219"/>
      <c r="AC1029" s="219"/>
      <c r="AD1029" s="219"/>
      <c r="AE1029" s="219"/>
      <c r="AF1029" s="219"/>
      <c r="AG1029" s="219"/>
      <c r="AH1029" s="219"/>
      <c r="AI1029" s="219"/>
      <c r="AJ1029" s="219"/>
      <c r="AK1029" s="219"/>
      <c r="AL1029" s="219"/>
      <c r="AM1029" s="219"/>
      <c r="AN1029" s="219"/>
      <c r="AO1029" s="219"/>
      <c r="AP1029" s="219"/>
      <c r="AQ1029" s="219"/>
      <c r="AR1029" s="219"/>
      <c r="AS1029" s="219"/>
      <c r="AT1029" s="219"/>
      <c r="AU1029" s="219"/>
      <c r="AV1029" s="219"/>
      <c r="AW1029" s="219"/>
      <c r="AX1029" s="219"/>
      <c r="AY1029" s="219"/>
      <c r="AZ1029" s="219"/>
      <c r="BA1029" s="219"/>
      <c r="BB1029" s="219"/>
      <c r="BC1029" s="219"/>
      <c r="BD1029" s="219"/>
      <c r="BE1029" s="219"/>
      <c r="BF1029" s="219"/>
      <c r="BG1029" s="219"/>
      <c r="BH1029" s="219"/>
      <c r="BI1029" s="219"/>
      <c r="BJ1029" s="219"/>
      <c r="BK1029" s="219"/>
      <c r="BL1029" s="219"/>
      <c r="BM1029" s="219"/>
      <c r="BN1029" s="219"/>
    </row>
    <row r="1030" ht="29.25" hidden="1" customHeight="1">
      <c r="A1030" s="216"/>
      <c r="B1030" s="217"/>
      <c r="C1030" s="164"/>
      <c r="D1030" s="164"/>
      <c r="E1030" s="165"/>
      <c r="F1030" s="173"/>
      <c r="G1030" s="168"/>
      <c r="H1030" s="168"/>
      <c r="I1030" s="169"/>
      <c r="J1030" s="170"/>
      <c r="K1030" s="170"/>
      <c r="L1030" s="170"/>
      <c r="M1030" s="167"/>
      <c r="N1030" s="169"/>
      <c r="O1030" s="171"/>
      <c r="P1030" s="106"/>
      <c r="Q1030" s="218"/>
      <c r="R1030" s="172"/>
      <c r="S1030" s="172"/>
      <c r="T1030" s="173"/>
      <c r="U1030" s="219"/>
      <c r="V1030" s="219"/>
      <c r="W1030" s="219"/>
      <c r="X1030" s="219"/>
      <c r="Y1030" s="219"/>
      <c r="Z1030" s="219"/>
      <c r="AA1030" s="219"/>
      <c r="AB1030" s="219"/>
      <c r="AC1030" s="219"/>
      <c r="AD1030" s="219"/>
      <c r="AE1030" s="219"/>
      <c r="AF1030" s="219"/>
      <c r="AG1030" s="219"/>
      <c r="AH1030" s="219"/>
      <c r="AI1030" s="219"/>
      <c r="AJ1030" s="219"/>
      <c r="AK1030" s="219"/>
      <c r="AL1030" s="219"/>
      <c r="AM1030" s="219"/>
      <c r="AN1030" s="219"/>
      <c r="AO1030" s="219"/>
      <c r="AP1030" s="219"/>
      <c r="AQ1030" s="219"/>
      <c r="AR1030" s="219"/>
      <c r="AS1030" s="219"/>
      <c r="AT1030" s="219"/>
      <c r="AU1030" s="219"/>
      <c r="AV1030" s="219"/>
      <c r="AW1030" s="219"/>
      <c r="AX1030" s="219"/>
      <c r="AY1030" s="219"/>
      <c r="AZ1030" s="219"/>
      <c r="BA1030" s="219"/>
      <c r="BB1030" s="219"/>
      <c r="BC1030" s="219"/>
      <c r="BD1030" s="219"/>
      <c r="BE1030" s="219"/>
      <c r="BF1030" s="219"/>
      <c r="BG1030" s="219"/>
      <c r="BH1030" s="219"/>
      <c r="BI1030" s="219"/>
      <c r="BJ1030" s="219"/>
      <c r="BK1030" s="219"/>
      <c r="BL1030" s="219"/>
      <c r="BM1030" s="219"/>
      <c r="BN1030" s="219"/>
    </row>
    <row r="1031" ht="29.25" hidden="1" customHeight="1">
      <c r="A1031" s="216"/>
      <c r="B1031" s="217"/>
      <c r="C1031" s="164"/>
      <c r="D1031" s="164"/>
      <c r="E1031" s="165"/>
      <c r="F1031" s="173"/>
      <c r="G1031" s="168"/>
      <c r="H1031" s="168"/>
      <c r="I1031" s="169"/>
      <c r="J1031" s="170"/>
      <c r="K1031" s="170"/>
      <c r="L1031" s="170"/>
      <c r="M1031" s="167"/>
      <c r="N1031" s="169"/>
      <c r="O1031" s="171"/>
      <c r="P1031" s="106"/>
      <c r="Q1031" s="218"/>
      <c r="R1031" s="172"/>
      <c r="S1031" s="172"/>
      <c r="T1031" s="173"/>
      <c r="U1031" s="219"/>
      <c r="V1031" s="219"/>
      <c r="W1031" s="219"/>
      <c r="X1031" s="219"/>
      <c r="Y1031" s="219"/>
      <c r="Z1031" s="219"/>
      <c r="AA1031" s="219"/>
      <c r="AB1031" s="219"/>
      <c r="AC1031" s="219"/>
      <c r="AD1031" s="219"/>
      <c r="AE1031" s="219"/>
      <c r="AF1031" s="219"/>
      <c r="AG1031" s="219"/>
      <c r="AH1031" s="219"/>
      <c r="AI1031" s="219"/>
      <c r="AJ1031" s="219"/>
      <c r="AK1031" s="219"/>
      <c r="AL1031" s="219"/>
      <c r="AM1031" s="219"/>
      <c r="AN1031" s="219"/>
      <c r="AO1031" s="219"/>
      <c r="AP1031" s="219"/>
      <c r="AQ1031" s="219"/>
      <c r="AR1031" s="219"/>
      <c r="AS1031" s="219"/>
      <c r="AT1031" s="219"/>
      <c r="AU1031" s="219"/>
      <c r="AV1031" s="219"/>
      <c r="AW1031" s="219"/>
      <c r="AX1031" s="219"/>
      <c r="AY1031" s="219"/>
      <c r="AZ1031" s="219"/>
      <c r="BA1031" s="219"/>
      <c r="BB1031" s="219"/>
      <c r="BC1031" s="219"/>
      <c r="BD1031" s="219"/>
      <c r="BE1031" s="219"/>
      <c r="BF1031" s="219"/>
      <c r="BG1031" s="219"/>
      <c r="BH1031" s="219"/>
      <c r="BI1031" s="219"/>
      <c r="BJ1031" s="219"/>
      <c r="BK1031" s="219"/>
      <c r="BL1031" s="219"/>
      <c r="BM1031" s="219"/>
      <c r="BN1031" s="219"/>
    </row>
    <row r="1032" ht="29.25" hidden="1" customHeight="1">
      <c r="A1032" s="216"/>
      <c r="B1032" s="217"/>
      <c r="C1032" s="164"/>
      <c r="D1032" s="164"/>
      <c r="E1032" s="165"/>
      <c r="F1032" s="173"/>
      <c r="G1032" s="168"/>
      <c r="H1032" s="168"/>
      <c r="I1032" s="169"/>
      <c r="J1032" s="170"/>
      <c r="K1032" s="170"/>
      <c r="L1032" s="170"/>
      <c r="M1032" s="167"/>
      <c r="N1032" s="169"/>
      <c r="O1032" s="171"/>
      <c r="P1032" s="106"/>
      <c r="Q1032" s="218"/>
      <c r="R1032" s="172"/>
      <c r="S1032" s="172"/>
      <c r="T1032" s="173"/>
      <c r="U1032" s="219"/>
      <c r="V1032" s="219"/>
      <c r="W1032" s="219"/>
      <c r="X1032" s="219"/>
      <c r="Y1032" s="219"/>
      <c r="Z1032" s="219"/>
      <c r="AA1032" s="219"/>
      <c r="AB1032" s="219"/>
      <c r="AC1032" s="219"/>
      <c r="AD1032" s="219"/>
      <c r="AE1032" s="219"/>
      <c r="AF1032" s="219"/>
      <c r="AG1032" s="219"/>
      <c r="AH1032" s="219"/>
      <c r="AI1032" s="219"/>
      <c r="AJ1032" s="219"/>
      <c r="AK1032" s="219"/>
      <c r="AL1032" s="219"/>
      <c r="AM1032" s="219"/>
      <c r="AN1032" s="219"/>
      <c r="AO1032" s="219"/>
      <c r="AP1032" s="219"/>
      <c r="AQ1032" s="219"/>
      <c r="AR1032" s="219"/>
      <c r="AS1032" s="219"/>
      <c r="AT1032" s="219"/>
      <c r="AU1032" s="219"/>
      <c r="AV1032" s="219"/>
      <c r="AW1032" s="219"/>
      <c r="AX1032" s="219"/>
      <c r="AY1032" s="219"/>
      <c r="AZ1032" s="219"/>
      <c r="BA1032" s="219"/>
      <c r="BB1032" s="219"/>
      <c r="BC1032" s="219"/>
      <c r="BD1032" s="219"/>
      <c r="BE1032" s="219"/>
      <c r="BF1032" s="219"/>
      <c r="BG1032" s="219"/>
      <c r="BH1032" s="219"/>
      <c r="BI1032" s="219"/>
      <c r="BJ1032" s="219"/>
      <c r="BK1032" s="219"/>
      <c r="BL1032" s="219"/>
      <c r="BM1032" s="219"/>
      <c r="BN1032" s="219"/>
    </row>
    <row r="1033" ht="29.25" hidden="1" customHeight="1">
      <c r="A1033" s="216"/>
      <c r="B1033" s="217"/>
      <c r="C1033" s="164"/>
      <c r="D1033" s="164"/>
      <c r="E1033" s="165"/>
      <c r="F1033" s="173"/>
      <c r="G1033" s="168"/>
      <c r="H1033" s="168"/>
      <c r="I1033" s="169"/>
      <c r="J1033" s="170"/>
      <c r="K1033" s="170"/>
      <c r="L1033" s="170"/>
      <c r="M1033" s="167"/>
      <c r="N1033" s="169"/>
      <c r="O1033" s="171"/>
      <c r="P1033" s="106"/>
      <c r="Q1033" s="218"/>
      <c r="R1033" s="172"/>
      <c r="S1033" s="172"/>
      <c r="T1033" s="173"/>
      <c r="U1033" s="219"/>
      <c r="V1033" s="219"/>
      <c r="W1033" s="219"/>
      <c r="X1033" s="219"/>
      <c r="Y1033" s="219"/>
      <c r="Z1033" s="219"/>
      <c r="AA1033" s="219"/>
      <c r="AB1033" s="219"/>
      <c r="AC1033" s="219"/>
      <c r="AD1033" s="219"/>
      <c r="AE1033" s="219"/>
      <c r="AF1033" s="219"/>
      <c r="AG1033" s="219"/>
      <c r="AH1033" s="219"/>
      <c r="AI1033" s="219"/>
      <c r="AJ1033" s="219"/>
      <c r="AK1033" s="219"/>
      <c r="AL1033" s="219"/>
      <c r="AM1033" s="219"/>
      <c r="AN1033" s="219"/>
      <c r="AO1033" s="219"/>
      <c r="AP1033" s="219"/>
      <c r="AQ1033" s="219"/>
      <c r="AR1033" s="219"/>
      <c r="AS1033" s="219"/>
      <c r="AT1033" s="219"/>
      <c r="AU1033" s="219"/>
      <c r="AV1033" s="219"/>
      <c r="AW1033" s="219"/>
      <c r="AX1033" s="219"/>
      <c r="AY1033" s="219"/>
      <c r="AZ1033" s="219"/>
      <c r="BA1033" s="219"/>
      <c r="BB1033" s="219"/>
      <c r="BC1033" s="219"/>
      <c r="BD1033" s="219"/>
      <c r="BE1033" s="219"/>
      <c r="BF1033" s="219"/>
      <c r="BG1033" s="219"/>
      <c r="BH1033" s="219"/>
      <c r="BI1033" s="219"/>
      <c r="BJ1033" s="219"/>
      <c r="BK1033" s="219"/>
      <c r="BL1033" s="219"/>
      <c r="BM1033" s="219"/>
      <c r="BN1033" s="219"/>
    </row>
    <row r="1034" ht="29.25" hidden="1" customHeight="1">
      <c r="A1034" s="216"/>
      <c r="B1034" s="217"/>
      <c r="C1034" s="164"/>
      <c r="D1034" s="164"/>
      <c r="E1034" s="165"/>
      <c r="F1034" s="173"/>
      <c r="G1034" s="168"/>
      <c r="H1034" s="168"/>
      <c r="I1034" s="169"/>
      <c r="J1034" s="170"/>
      <c r="K1034" s="170"/>
      <c r="L1034" s="170"/>
      <c r="M1034" s="167"/>
      <c r="N1034" s="169"/>
      <c r="O1034" s="171"/>
      <c r="P1034" s="106"/>
      <c r="Q1034" s="218"/>
      <c r="R1034" s="172"/>
      <c r="S1034" s="172"/>
      <c r="T1034" s="173"/>
      <c r="U1034" s="219"/>
      <c r="V1034" s="219"/>
      <c r="W1034" s="219"/>
      <c r="X1034" s="219"/>
      <c r="Y1034" s="219"/>
      <c r="Z1034" s="219"/>
      <c r="AA1034" s="219"/>
      <c r="AB1034" s="219"/>
      <c r="AC1034" s="219"/>
      <c r="AD1034" s="219"/>
      <c r="AE1034" s="219"/>
      <c r="AF1034" s="219"/>
      <c r="AG1034" s="219"/>
      <c r="AH1034" s="219"/>
      <c r="AI1034" s="219"/>
      <c r="AJ1034" s="219"/>
      <c r="AK1034" s="219"/>
      <c r="AL1034" s="219"/>
      <c r="AM1034" s="219"/>
      <c r="AN1034" s="219"/>
      <c r="AO1034" s="219"/>
      <c r="AP1034" s="219"/>
      <c r="AQ1034" s="219"/>
      <c r="AR1034" s="219"/>
      <c r="AS1034" s="219"/>
      <c r="AT1034" s="219"/>
      <c r="AU1034" s="219"/>
      <c r="AV1034" s="219"/>
      <c r="AW1034" s="219"/>
      <c r="AX1034" s="219"/>
      <c r="AY1034" s="219"/>
      <c r="AZ1034" s="219"/>
      <c r="BA1034" s="219"/>
      <c r="BB1034" s="219"/>
      <c r="BC1034" s="219"/>
      <c r="BD1034" s="219"/>
      <c r="BE1034" s="219"/>
      <c r="BF1034" s="219"/>
      <c r="BG1034" s="219"/>
      <c r="BH1034" s="219"/>
      <c r="BI1034" s="219"/>
      <c r="BJ1034" s="219"/>
      <c r="BK1034" s="219"/>
      <c r="BL1034" s="219"/>
      <c r="BM1034" s="219"/>
      <c r="BN1034" s="219"/>
    </row>
    <row r="1035" ht="29.25" hidden="1" customHeight="1">
      <c r="A1035" s="216"/>
      <c r="B1035" s="217"/>
      <c r="C1035" s="164"/>
      <c r="D1035" s="164"/>
      <c r="E1035" s="165"/>
      <c r="F1035" s="173"/>
      <c r="G1035" s="168"/>
      <c r="H1035" s="168"/>
      <c r="I1035" s="169"/>
      <c r="J1035" s="170"/>
      <c r="K1035" s="170"/>
      <c r="L1035" s="170"/>
      <c r="M1035" s="167"/>
      <c r="N1035" s="169"/>
      <c r="O1035" s="171"/>
      <c r="P1035" s="106"/>
      <c r="Q1035" s="218"/>
      <c r="R1035" s="172"/>
      <c r="S1035" s="172"/>
      <c r="T1035" s="173"/>
      <c r="U1035" s="219"/>
      <c r="V1035" s="219"/>
      <c r="W1035" s="219"/>
      <c r="X1035" s="219"/>
      <c r="Y1035" s="219"/>
      <c r="Z1035" s="219"/>
      <c r="AA1035" s="219"/>
      <c r="AB1035" s="219"/>
      <c r="AC1035" s="219"/>
      <c r="AD1035" s="219"/>
      <c r="AE1035" s="219"/>
      <c r="AF1035" s="219"/>
      <c r="AG1035" s="219"/>
      <c r="AH1035" s="219"/>
      <c r="AI1035" s="219"/>
      <c r="AJ1035" s="219"/>
      <c r="AK1035" s="219"/>
      <c r="AL1035" s="219"/>
      <c r="AM1035" s="219"/>
      <c r="AN1035" s="219"/>
      <c r="AO1035" s="219"/>
      <c r="AP1035" s="219"/>
      <c r="AQ1035" s="219"/>
      <c r="AR1035" s="219"/>
      <c r="AS1035" s="219"/>
      <c r="AT1035" s="219"/>
      <c r="AU1035" s="219"/>
      <c r="AV1035" s="219"/>
      <c r="AW1035" s="219"/>
      <c r="AX1035" s="219"/>
      <c r="AY1035" s="219"/>
      <c r="AZ1035" s="219"/>
      <c r="BA1035" s="219"/>
      <c r="BB1035" s="219"/>
      <c r="BC1035" s="219"/>
      <c r="BD1035" s="219"/>
      <c r="BE1035" s="219"/>
      <c r="BF1035" s="219"/>
      <c r="BG1035" s="219"/>
      <c r="BH1035" s="219"/>
      <c r="BI1035" s="219"/>
      <c r="BJ1035" s="219"/>
      <c r="BK1035" s="219"/>
      <c r="BL1035" s="219"/>
      <c r="BM1035" s="219"/>
      <c r="BN1035" s="219"/>
    </row>
    <row r="1036" ht="29.25" hidden="1" customHeight="1">
      <c r="A1036" s="216"/>
      <c r="B1036" s="217"/>
      <c r="C1036" s="164"/>
      <c r="D1036" s="164"/>
      <c r="E1036" s="165"/>
      <c r="F1036" s="173"/>
      <c r="G1036" s="168"/>
      <c r="H1036" s="168"/>
      <c r="I1036" s="169"/>
      <c r="J1036" s="170"/>
      <c r="K1036" s="170"/>
      <c r="L1036" s="170"/>
      <c r="M1036" s="167"/>
      <c r="N1036" s="169"/>
      <c r="O1036" s="171"/>
      <c r="P1036" s="106"/>
      <c r="Q1036" s="218"/>
      <c r="R1036" s="172"/>
      <c r="S1036" s="172"/>
      <c r="T1036" s="173"/>
      <c r="U1036" s="219"/>
      <c r="V1036" s="219"/>
      <c r="W1036" s="219"/>
      <c r="X1036" s="219"/>
      <c r="Y1036" s="219"/>
      <c r="Z1036" s="219"/>
      <c r="AA1036" s="219"/>
      <c r="AB1036" s="219"/>
      <c r="AC1036" s="219"/>
      <c r="AD1036" s="219"/>
      <c r="AE1036" s="219"/>
      <c r="AF1036" s="219"/>
      <c r="AG1036" s="219"/>
      <c r="AH1036" s="219"/>
      <c r="AI1036" s="219"/>
      <c r="AJ1036" s="219"/>
      <c r="AK1036" s="219"/>
      <c r="AL1036" s="219"/>
      <c r="AM1036" s="219"/>
      <c r="AN1036" s="219"/>
      <c r="AO1036" s="219"/>
      <c r="AP1036" s="219"/>
      <c r="AQ1036" s="219"/>
      <c r="AR1036" s="219"/>
      <c r="AS1036" s="219"/>
      <c r="AT1036" s="219"/>
      <c r="AU1036" s="219"/>
      <c r="AV1036" s="219"/>
      <c r="AW1036" s="219"/>
      <c r="AX1036" s="219"/>
      <c r="AY1036" s="219"/>
      <c r="AZ1036" s="219"/>
      <c r="BA1036" s="219"/>
      <c r="BB1036" s="219"/>
      <c r="BC1036" s="219"/>
      <c r="BD1036" s="219"/>
      <c r="BE1036" s="219"/>
      <c r="BF1036" s="219"/>
      <c r="BG1036" s="219"/>
      <c r="BH1036" s="219"/>
      <c r="BI1036" s="219"/>
      <c r="BJ1036" s="219"/>
      <c r="BK1036" s="219"/>
      <c r="BL1036" s="219"/>
      <c r="BM1036" s="219"/>
      <c r="BN1036" s="219"/>
    </row>
    <row r="1037" ht="29.25" hidden="1" customHeight="1">
      <c r="A1037" s="216"/>
      <c r="B1037" s="217"/>
      <c r="C1037" s="164"/>
      <c r="D1037" s="164"/>
      <c r="E1037" s="165"/>
      <c r="F1037" s="173"/>
      <c r="G1037" s="168"/>
      <c r="H1037" s="168"/>
      <c r="I1037" s="169"/>
      <c r="J1037" s="170"/>
      <c r="K1037" s="170"/>
      <c r="L1037" s="170"/>
      <c r="M1037" s="167"/>
      <c r="N1037" s="169"/>
      <c r="O1037" s="171"/>
      <c r="P1037" s="106"/>
      <c r="Q1037" s="218"/>
      <c r="R1037" s="172"/>
      <c r="S1037" s="172"/>
      <c r="T1037" s="173"/>
      <c r="U1037" s="219"/>
      <c r="V1037" s="219"/>
      <c r="W1037" s="219"/>
      <c r="X1037" s="219"/>
      <c r="Y1037" s="219"/>
      <c r="Z1037" s="219"/>
      <c r="AA1037" s="219"/>
      <c r="AB1037" s="219"/>
      <c r="AC1037" s="219"/>
      <c r="AD1037" s="219"/>
      <c r="AE1037" s="219"/>
      <c r="AF1037" s="219"/>
      <c r="AG1037" s="219"/>
      <c r="AH1037" s="219"/>
      <c r="AI1037" s="219"/>
      <c r="AJ1037" s="219"/>
      <c r="AK1037" s="219"/>
      <c r="AL1037" s="219"/>
      <c r="AM1037" s="219"/>
      <c r="AN1037" s="219"/>
      <c r="AO1037" s="219"/>
      <c r="AP1037" s="219"/>
      <c r="AQ1037" s="219"/>
      <c r="AR1037" s="219"/>
      <c r="AS1037" s="219"/>
      <c r="AT1037" s="219"/>
      <c r="AU1037" s="219"/>
      <c r="AV1037" s="219"/>
      <c r="AW1037" s="219"/>
      <c r="AX1037" s="219"/>
      <c r="AY1037" s="219"/>
      <c r="AZ1037" s="219"/>
      <c r="BA1037" s="219"/>
      <c r="BB1037" s="219"/>
      <c r="BC1037" s="219"/>
      <c r="BD1037" s="219"/>
      <c r="BE1037" s="219"/>
      <c r="BF1037" s="219"/>
      <c r="BG1037" s="219"/>
      <c r="BH1037" s="219"/>
      <c r="BI1037" s="219"/>
      <c r="BJ1037" s="219"/>
      <c r="BK1037" s="219"/>
      <c r="BL1037" s="219"/>
      <c r="BM1037" s="219"/>
      <c r="BN1037" s="219"/>
    </row>
    <row r="1038" ht="29.25" hidden="1" customHeight="1">
      <c r="A1038" s="216"/>
      <c r="B1038" s="217"/>
      <c r="C1038" s="164"/>
      <c r="D1038" s="164"/>
      <c r="E1038" s="165"/>
      <c r="F1038" s="173"/>
      <c r="G1038" s="168"/>
      <c r="H1038" s="168"/>
      <c r="I1038" s="169"/>
      <c r="J1038" s="170"/>
      <c r="K1038" s="170"/>
      <c r="L1038" s="170"/>
      <c r="M1038" s="167"/>
      <c r="N1038" s="169"/>
      <c r="O1038" s="171"/>
      <c r="P1038" s="106"/>
      <c r="Q1038" s="218"/>
      <c r="R1038" s="172"/>
      <c r="S1038" s="172"/>
      <c r="T1038" s="173"/>
      <c r="U1038" s="219"/>
      <c r="V1038" s="219"/>
      <c r="W1038" s="219"/>
      <c r="X1038" s="219"/>
      <c r="Y1038" s="219"/>
      <c r="Z1038" s="219"/>
      <c r="AA1038" s="219"/>
      <c r="AB1038" s="219"/>
      <c r="AC1038" s="219"/>
      <c r="AD1038" s="219"/>
      <c r="AE1038" s="219"/>
      <c r="AF1038" s="219"/>
      <c r="AG1038" s="219"/>
      <c r="AH1038" s="219"/>
      <c r="AI1038" s="219"/>
      <c r="AJ1038" s="219"/>
      <c r="AK1038" s="219"/>
      <c r="AL1038" s="219"/>
      <c r="AM1038" s="219"/>
      <c r="AN1038" s="219"/>
      <c r="AO1038" s="219"/>
      <c r="AP1038" s="219"/>
      <c r="AQ1038" s="219"/>
      <c r="AR1038" s="219"/>
      <c r="AS1038" s="219"/>
      <c r="AT1038" s="219"/>
      <c r="AU1038" s="219"/>
      <c r="AV1038" s="219"/>
      <c r="AW1038" s="219"/>
      <c r="AX1038" s="219"/>
      <c r="AY1038" s="219"/>
      <c r="AZ1038" s="219"/>
      <c r="BA1038" s="219"/>
      <c r="BB1038" s="219"/>
      <c r="BC1038" s="219"/>
      <c r="BD1038" s="219"/>
      <c r="BE1038" s="219"/>
      <c r="BF1038" s="219"/>
      <c r="BG1038" s="219"/>
      <c r="BH1038" s="219"/>
      <c r="BI1038" s="219"/>
      <c r="BJ1038" s="219"/>
      <c r="BK1038" s="219"/>
      <c r="BL1038" s="219"/>
      <c r="BM1038" s="219"/>
      <c r="BN1038" s="219"/>
    </row>
    <row r="1039" ht="29.25" hidden="1" customHeight="1">
      <c r="A1039" s="216"/>
      <c r="B1039" s="217"/>
      <c r="C1039" s="164"/>
      <c r="D1039" s="164"/>
      <c r="E1039" s="165"/>
      <c r="F1039" s="173"/>
      <c r="G1039" s="168"/>
      <c r="H1039" s="168"/>
      <c r="I1039" s="169"/>
      <c r="J1039" s="170"/>
      <c r="K1039" s="170"/>
      <c r="L1039" s="170"/>
      <c r="M1039" s="167"/>
      <c r="N1039" s="169"/>
      <c r="O1039" s="171"/>
      <c r="P1039" s="106"/>
      <c r="Q1039" s="218"/>
      <c r="R1039" s="172"/>
      <c r="S1039" s="172"/>
      <c r="T1039" s="173"/>
      <c r="U1039" s="219"/>
      <c r="V1039" s="219"/>
      <c r="W1039" s="219"/>
      <c r="X1039" s="219"/>
      <c r="Y1039" s="219"/>
      <c r="Z1039" s="219"/>
      <c r="AA1039" s="219"/>
      <c r="AB1039" s="219"/>
      <c r="AC1039" s="219"/>
      <c r="AD1039" s="219"/>
      <c r="AE1039" s="219"/>
      <c r="AF1039" s="219"/>
      <c r="AG1039" s="219"/>
      <c r="AH1039" s="219"/>
      <c r="AI1039" s="219"/>
      <c r="AJ1039" s="219"/>
      <c r="AK1039" s="219"/>
      <c r="AL1039" s="219"/>
      <c r="AM1039" s="219"/>
      <c r="AN1039" s="219"/>
      <c r="AO1039" s="219"/>
      <c r="AP1039" s="219"/>
      <c r="AQ1039" s="219"/>
      <c r="AR1039" s="219"/>
      <c r="AS1039" s="219"/>
      <c r="AT1039" s="219"/>
      <c r="AU1039" s="219"/>
      <c r="AV1039" s="219"/>
      <c r="AW1039" s="219"/>
      <c r="AX1039" s="219"/>
      <c r="AY1039" s="219"/>
      <c r="AZ1039" s="219"/>
      <c r="BA1039" s="219"/>
      <c r="BB1039" s="219"/>
      <c r="BC1039" s="219"/>
      <c r="BD1039" s="219"/>
      <c r="BE1039" s="219"/>
      <c r="BF1039" s="219"/>
      <c r="BG1039" s="219"/>
      <c r="BH1039" s="219"/>
      <c r="BI1039" s="219"/>
      <c r="BJ1039" s="219"/>
      <c r="BK1039" s="219"/>
      <c r="BL1039" s="219"/>
      <c r="BM1039" s="219"/>
      <c r="BN1039" s="219"/>
    </row>
    <row r="1040" ht="29.25" hidden="1" customHeight="1">
      <c r="A1040" s="216"/>
      <c r="B1040" s="217"/>
      <c r="C1040" s="164"/>
      <c r="D1040" s="164"/>
      <c r="E1040" s="165"/>
      <c r="F1040" s="173"/>
      <c r="G1040" s="168"/>
      <c r="H1040" s="168"/>
      <c r="I1040" s="169"/>
      <c r="J1040" s="170"/>
      <c r="K1040" s="170"/>
      <c r="L1040" s="170"/>
      <c r="M1040" s="167"/>
      <c r="N1040" s="169"/>
      <c r="O1040" s="171"/>
      <c r="P1040" s="106"/>
      <c r="Q1040" s="218"/>
      <c r="R1040" s="172"/>
      <c r="S1040" s="172"/>
      <c r="T1040" s="173"/>
      <c r="U1040" s="219"/>
      <c r="V1040" s="219"/>
      <c r="W1040" s="219"/>
      <c r="X1040" s="219"/>
      <c r="Y1040" s="219"/>
      <c r="Z1040" s="219"/>
      <c r="AA1040" s="219"/>
      <c r="AB1040" s="219"/>
      <c r="AC1040" s="219"/>
      <c r="AD1040" s="219"/>
      <c r="AE1040" s="219"/>
      <c r="AF1040" s="219"/>
      <c r="AG1040" s="219"/>
      <c r="AH1040" s="219"/>
      <c r="AI1040" s="219"/>
      <c r="AJ1040" s="219"/>
      <c r="AK1040" s="219"/>
      <c r="AL1040" s="219"/>
      <c r="AM1040" s="219"/>
      <c r="AN1040" s="219"/>
      <c r="AO1040" s="219"/>
      <c r="AP1040" s="219"/>
      <c r="AQ1040" s="219"/>
      <c r="AR1040" s="219"/>
      <c r="AS1040" s="219"/>
      <c r="AT1040" s="219"/>
      <c r="AU1040" s="219"/>
      <c r="AV1040" s="219"/>
      <c r="AW1040" s="219"/>
      <c r="AX1040" s="219"/>
      <c r="AY1040" s="219"/>
      <c r="AZ1040" s="219"/>
      <c r="BA1040" s="219"/>
      <c r="BB1040" s="219"/>
      <c r="BC1040" s="219"/>
      <c r="BD1040" s="219"/>
      <c r="BE1040" s="219"/>
      <c r="BF1040" s="219"/>
      <c r="BG1040" s="219"/>
      <c r="BH1040" s="219"/>
      <c r="BI1040" s="219"/>
      <c r="BJ1040" s="219"/>
      <c r="BK1040" s="219"/>
      <c r="BL1040" s="219"/>
      <c r="BM1040" s="219"/>
      <c r="BN1040" s="219"/>
    </row>
    <row r="1041" ht="29.25" hidden="1" customHeight="1">
      <c r="A1041" s="216"/>
      <c r="B1041" s="217"/>
      <c r="C1041" s="164"/>
      <c r="D1041" s="164"/>
      <c r="E1041" s="165"/>
      <c r="F1041" s="173"/>
      <c r="G1041" s="168"/>
      <c r="H1041" s="168"/>
      <c r="I1041" s="169"/>
      <c r="J1041" s="170"/>
      <c r="K1041" s="170"/>
      <c r="L1041" s="170"/>
      <c r="M1041" s="167"/>
      <c r="N1041" s="169"/>
      <c r="O1041" s="171"/>
      <c r="P1041" s="106"/>
      <c r="Q1041" s="218"/>
      <c r="R1041" s="172"/>
      <c r="S1041" s="172"/>
      <c r="T1041" s="173"/>
      <c r="U1041" s="219"/>
      <c r="V1041" s="219"/>
      <c r="W1041" s="219"/>
      <c r="X1041" s="219"/>
      <c r="Y1041" s="219"/>
      <c r="Z1041" s="219"/>
      <c r="AA1041" s="219"/>
      <c r="AB1041" s="219"/>
      <c r="AC1041" s="219"/>
      <c r="AD1041" s="219"/>
      <c r="AE1041" s="219"/>
      <c r="AF1041" s="219"/>
      <c r="AG1041" s="219"/>
      <c r="AH1041" s="219"/>
      <c r="AI1041" s="219"/>
      <c r="AJ1041" s="219"/>
      <c r="AK1041" s="219"/>
      <c r="AL1041" s="219"/>
      <c r="AM1041" s="219"/>
      <c r="AN1041" s="219"/>
      <c r="AO1041" s="219"/>
      <c r="AP1041" s="219"/>
      <c r="AQ1041" s="219"/>
      <c r="AR1041" s="219"/>
      <c r="AS1041" s="219"/>
      <c r="AT1041" s="219"/>
      <c r="AU1041" s="219"/>
      <c r="AV1041" s="219"/>
      <c r="AW1041" s="219"/>
      <c r="AX1041" s="219"/>
      <c r="AY1041" s="219"/>
      <c r="AZ1041" s="219"/>
      <c r="BA1041" s="219"/>
      <c r="BB1041" s="219"/>
      <c r="BC1041" s="219"/>
      <c r="BD1041" s="219"/>
      <c r="BE1041" s="219"/>
      <c r="BF1041" s="219"/>
      <c r="BG1041" s="219"/>
      <c r="BH1041" s="219"/>
      <c r="BI1041" s="219"/>
      <c r="BJ1041" s="219"/>
      <c r="BK1041" s="219"/>
      <c r="BL1041" s="219"/>
      <c r="BM1041" s="219"/>
      <c r="BN1041" s="219"/>
    </row>
    <row r="1042" ht="29.25" hidden="1" customHeight="1">
      <c r="A1042" s="216"/>
      <c r="B1042" s="217"/>
      <c r="C1042" s="164"/>
      <c r="D1042" s="164"/>
      <c r="E1042" s="165"/>
      <c r="F1042" s="173"/>
      <c r="G1042" s="168"/>
      <c r="H1042" s="168"/>
      <c r="I1042" s="169"/>
      <c r="J1042" s="170"/>
      <c r="K1042" s="170"/>
      <c r="L1042" s="170"/>
      <c r="M1042" s="167"/>
      <c r="N1042" s="169"/>
      <c r="O1042" s="171"/>
      <c r="P1042" s="106"/>
      <c r="Q1042" s="218"/>
      <c r="R1042" s="172"/>
      <c r="S1042" s="172"/>
      <c r="T1042" s="173"/>
      <c r="U1042" s="219"/>
      <c r="V1042" s="219"/>
      <c r="W1042" s="219"/>
      <c r="X1042" s="219"/>
      <c r="Y1042" s="219"/>
      <c r="Z1042" s="219"/>
      <c r="AA1042" s="219"/>
      <c r="AB1042" s="219"/>
      <c r="AC1042" s="219"/>
      <c r="AD1042" s="219"/>
      <c r="AE1042" s="219"/>
      <c r="AF1042" s="219"/>
      <c r="AG1042" s="219"/>
      <c r="AH1042" s="219"/>
      <c r="AI1042" s="219"/>
      <c r="AJ1042" s="219"/>
      <c r="AK1042" s="219"/>
      <c r="AL1042" s="219"/>
      <c r="AM1042" s="219"/>
      <c r="AN1042" s="219"/>
      <c r="AO1042" s="219"/>
      <c r="AP1042" s="219"/>
      <c r="AQ1042" s="219"/>
      <c r="AR1042" s="219"/>
      <c r="AS1042" s="219"/>
      <c r="AT1042" s="219"/>
      <c r="AU1042" s="219"/>
      <c r="AV1042" s="219"/>
      <c r="AW1042" s="219"/>
      <c r="AX1042" s="219"/>
      <c r="AY1042" s="219"/>
      <c r="AZ1042" s="219"/>
      <c r="BA1042" s="219"/>
      <c r="BB1042" s="219"/>
      <c r="BC1042" s="219"/>
      <c r="BD1042" s="219"/>
      <c r="BE1042" s="219"/>
      <c r="BF1042" s="219"/>
      <c r="BG1042" s="219"/>
      <c r="BH1042" s="219"/>
      <c r="BI1042" s="219"/>
      <c r="BJ1042" s="219"/>
      <c r="BK1042" s="219"/>
      <c r="BL1042" s="219"/>
      <c r="BM1042" s="219"/>
      <c r="BN1042" s="219"/>
    </row>
    <row r="1043" ht="29.25" hidden="1" customHeight="1">
      <c r="A1043" s="216"/>
      <c r="B1043" s="217"/>
      <c r="C1043" s="164"/>
      <c r="D1043" s="164"/>
      <c r="E1043" s="165"/>
      <c r="F1043" s="173"/>
      <c r="G1043" s="168"/>
      <c r="H1043" s="168"/>
      <c r="I1043" s="169"/>
      <c r="J1043" s="170"/>
      <c r="K1043" s="170"/>
      <c r="L1043" s="170"/>
      <c r="M1043" s="167"/>
      <c r="N1043" s="169"/>
      <c r="O1043" s="171"/>
      <c r="P1043" s="106"/>
      <c r="Q1043" s="218"/>
      <c r="R1043" s="172"/>
      <c r="S1043" s="172"/>
      <c r="T1043" s="173"/>
      <c r="U1043" s="219"/>
      <c r="V1043" s="219"/>
      <c r="W1043" s="219"/>
      <c r="X1043" s="219"/>
      <c r="Y1043" s="219"/>
      <c r="Z1043" s="219"/>
      <c r="AA1043" s="219"/>
      <c r="AB1043" s="219"/>
      <c r="AC1043" s="219"/>
      <c r="AD1043" s="219"/>
      <c r="AE1043" s="219"/>
      <c r="AF1043" s="219"/>
      <c r="AG1043" s="219"/>
      <c r="AH1043" s="219"/>
      <c r="AI1043" s="219"/>
      <c r="AJ1043" s="219"/>
      <c r="AK1043" s="219"/>
      <c r="AL1043" s="219"/>
      <c r="AM1043" s="219"/>
      <c r="AN1043" s="219"/>
      <c r="AO1043" s="219"/>
      <c r="AP1043" s="219"/>
      <c r="AQ1043" s="219"/>
      <c r="AR1043" s="219"/>
      <c r="AS1043" s="219"/>
      <c r="AT1043" s="219"/>
      <c r="AU1043" s="219"/>
      <c r="AV1043" s="219"/>
      <c r="AW1043" s="219"/>
      <c r="AX1043" s="219"/>
      <c r="AY1043" s="219"/>
      <c r="AZ1043" s="219"/>
      <c r="BA1043" s="219"/>
      <c r="BB1043" s="219"/>
      <c r="BC1043" s="219"/>
      <c r="BD1043" s="219"/>
      <c r="BE1043" s="219"/>
      <c r="BF1043" s="219"/>
      <c r="BG1043" s="219"/>
      <c r="BH1043" s="219"/>
      <c r="BI1043" s="219"/>
      <c r="BJ1043" s="219"/>
      <c r="BK1043" s="219"/>
      <c r="BL1043" s="219"/>
      <c r="BM1043" s="219"/>
      <c r="BN1043" s="219"/>
    </row>
    <row r="1044" ht="29.25" hidden="1" customHeight="1">
      <c r="A1044" s="216"/>
      <c r="B1044" s="217"/>
      <c r="C1044" s="164"/>
      <c r="D1044" s="164"/>
      <c r="E1044" s="165"/>
      <c r="F1044" s="173"/>
      <c r="G1044" s="168"/>
      <c r="H1044" s="168"/>
      <c r="I1044" s="169"/>
      <c r="J1044" s="170"/>
      <c r="K1044" s="170"/>
      <c r="L1044" s="170"/>
      <c r="M1044" s="167"/>
      <c r="N1044" s="169"/>
      <c r="O1044" s="171"/>
      <c r="P1044" s="106"/>
      <c r="Q1044" s="218"/>
      <c r="R1044" s="172"/>
      <c r="S1044" s="172"/>
      <c r="T1044" s="173"/>
      <c r="U1044" s="219"/>
      <c r="V1044" s="219"/>
      <c r="W1044" s="219"/>
      <c r="X1044" s="219"/>
      <c r="Y1044" s="219"/>
      <c r="Z1044" s="219"/>
      <c r="AA1044" s="219"/>
      <c r="AB1044" s="219"/>
      <c r="AC1044" s="219"/>
      <c r="AD1044" s="219"/>
      <c r="AE1044" s="219"/>
      <c r="AF1044" s="219"/>
      <c r="AG1044" s="219"/>
      <c r="AH1044" s="219"/>
      <c r="AI1044" s="219"/>
      <c r="AJ1044" s="219"/>
      <c r="AK1044" s="219"/>
      <c r="AL1044" s="219"/>
      <c r="AM1044" s="219"/>
      <c r="AN1044" s="219"/>
      <c r="AO1044" s="219"/>
      <c r="AP1044" s="219"/>
      <c r="AQ1044" s="219"/>
      <c r="AR1044" s="219"/>
      <c r="AS1044" s="219"/>
      <c r="AT1044" s="219"/>
      <c r="AU1044" s="219"/>
      <c r="AV1044" s="219"/>
      <c r="AW1044" s="219"/>
      <c r="AX1044" s="219"/>
      <c r="AY1044" s="219"/>
      <c r="AZ1044" s="219"/>
      <c r="BA1044" s="219"/>
      <c r="BB1044" s="219"/>
      <c r="BC1044" s="219"/>
      <c r="BD1044" s="219"/>
      <c r="BE1044" s="219"/>
      <c r="BF1044" s="219"/>
      <c r="BG1044" s="219"/>
      <c r="BH1044" s="219"/>
      <c r="BI1044" s="219"/>
      <c r="BJ1044" s="219"/>
      <c r="BK1044" s="219"/>
      <c r="BL1044" s="219"/>
      <c r="BM1044" s="219"/>
      <c r="BN1044" s="219"/>
    </row>
    <row r="1045" ht="29.25" hidden="1" customHeight="1">
      <c r="A1045" s="216"/>
      <c r="B1045" s="217"/>
      <c r="C1045" s="164"/>
      <c r="D1045" s="164"/>
      <c r="E1045" s="165"/>
      <c r="F1045" s="173"/>
      <c r="G1045" s="168"/>
      <c r="H1045" s="168"/>
      <c r="I1045" s="169"/>
      <c r="J1045" s="170"/>
      <c r="K1045" s="170"/>
      <c r="L1045" s="170"/>
      <c r="M1045" s="167"/>
      <c r="N1045" s="169"/>
      <c r="O1045" s="171"/>
      <c r="P1045" s="106"/>
      <c r="Q1045" s="218"/>
      <c r="R1045" s="172"/>
      <c r="S1045" s="172"/>
      <c r="T1045" s="173"/>
      <c r="U1045" s="219"/>
      <c r="V1045" s="219"/>
      <c r="W1045" s="219"/>
      <c r="X1045" s="219"/>
      <c r="Y1045" s="219"/>
      <c r="Z1045" s="219"/>
      <c r="AA1045" s="219"/>
      <c r="AB1045" s="219"/>
      <c r="AC1045" s="219"/>
      <c r="AD1045" s="219"/>
      <c r="AE1045" s="219"/>
      <c r="AF1045" s="219"/>
      <c r="AG1045" s="219"/>
      <c r="AH1045" s="219"/>
      <c r="AI1045" s="219"/>
      <c r="AJ1045" s="219"/>
      <c r="AK1045" s="219"/>
      <c r="AL1045" s="219"/>
      <c r="AM1045" s="219"/>
      <c r="AN1045" s="219"/>
      <c r="AO1045" s="219"/>
      <c r="AP1045" s="219"/>
      <c r="AQ1045" s="219"/>
      <c r="AR1045" s="219"/>
      <c r="AS1045" s="219"/>
      <c r="AT1045" s="219"/>
      <c r="AU1045" s="219"/>
      <c r="AV1045" s="219"/>
      <c r="AW1045" s="219"/>
      <c r="AX1045" s="219"/>
      <c r="AY1045" s="219"/>
      <c r="AZ1045" s="219"/>
      <c r="BA1045" s="219"/>
      <c r="BB1045" s="219"/>
      <c r="BC1045" s="219"/>
      <c r="BD1045" s="219"/>
      <c r="BE1045" s="219"/>
      <c r="BF1045" s="219"/>
      <c r="BG1045" s="219"/>
      <c r="BH1045" s="219"/>
      <c r="BI1045" s="219"/>
      <c r="BJ1045" s="219"/>
      <c r="BK1045" s="219"/>
      <c r="BL1045" s="219"/>
      <c r="BM1045" s="219"/>
      <c r="BN1045" s="219"/>
    </row>
    <row r="1046" ht="29.25" hidden="1" customHeight="1">
      <c r="A1046" s="216"/>
      <c r="B1046" s="217"/>
      <c r="C1046" s="164"/>
      <c r="D1046" s="164"/>
      <c r="E1046" s="165"/>
      <c r="F1046" s="173"/>
      <c r="G1046" s="168"/>
      <c r="H1046" s="168"/>
      <c r="I1046" s="169"/>
      <c r="J1046" s="170"/>
      <c r="K1046" s="170"/>
      <c r="L1046" s="170"/>
      <c r="M1046" s="167"/>
      <c r="N1046" s="169"/>
      <c r="O1046" s="171"/>
      <c r="P1046" s="106"/>
      <c r="Q1046" s="218"/>
      <c r="R1046" s="172"/>
      <c r="S1046" s="172"/>
      <c r="T1046" s="173"/>
      <c r="U1046" s="219"/>
      <c r="V1046" s="219"/>
      <c r="W1046" s="219"/>
      <c r="X1046" s="219"/>
      <c r="Y1046" s="219"/>
      <c r="Z1046" s="219"/>
      <c r="AA1046" s="219"/>
      <c r="AB1046" s="219"/>
      <c r="AC1046" s="219"/>
      <c r="AD1046" s="219"/>
      <c r="AE1046" s="219"/>
      <c r="AF1046" s="219"/>
      <c r="AG1046" s="219"/>
      <c r="AH1046" s="219"/>
      <c r="AI1046" s="219"/>
      <c r="AJ1046" s="219"/>
      <c r="AK1046" s="219"/>
      <c r="AL1046" s="219"/>
      <c r="AM1046" s="219"/>
      <c r="AN1046" s="219"/>
      <c r="AO1046" s="219"/>
      <c r="AP1046" s="219"/>
      <c r="AQ1046" s="219"/>
      <c r="AR1046" s="219"/>
      <c r="AS1046" s="219"/>
      <c r="AT1046" s="219"/>
      <c r="AU1046" s="219"/>
      <c r="AV1046" s="219"/>
      <c r="AW1046" s="219"/>
      <c r="AX1046" s="219"/>
      <c r="AY1046" s="219"/>
      <c r="AZ1046" s="219"/>
      <c r="BA1046" s="219"/>
      <c r="BB1046" s="219"/>
      <c r="BC1046" s="219"/>
      <c r="BD1046" s="219"/>
      <c r="BE1046" s="219"/>
      <c r="BF1046" s="219"/>
      <c r="BG1046" s="219"/>
      <c r="BH1046" s="219"/>
      <c r="BI1046" s="219"/>
      <c r="BJ1046" s="219"/>
      <c r="BK1046" s="219"/>
      <c r="BL1046" s="219"/>
      <c r="BM1046" s="219"/>
      <c r="BN1046" s="219"/>
    </row>
    <row r="1047" ht="29.25" hidden="1" customHeight="1">
      <c r="A1047" s="216"/>
      <c r="B1047" s="217"/>
      <c r="C1047" s="164"/>
      <c r="D1047" s="164"/>
      <c r="E1047" s="165"/>
      <c r="F1047" s="173"/>
      <c r="G1047" s="168"/>
      <c r="H1047" s="168"/>
      <c r="I1047" s="169"/>
      <c r="J1047" s="170"/>
      <c r="K1047" s="170"/>
      <c r="L1047" s="170"/>
      <c r="M1047" s="167"/>
      <c r="N1047" s="169"/>
      <c r="O1047" s="171"/>
      <c r="P1047" s="106"/>
      <c r="Q1047" s="218"/>
      <c r="R1047" s="172"/>
      <c r="S1047" s="172"/>
      <c r="T1047" s="173"/>
      <c r="U1047" s="219"/>
      <c r="V1047" s="219"/>
      <c r="W1047" s="219"/>
      <c r="X1047" s="219"/>
      <c r="Y1047" s="219"/>
      <c r="Z1047" s="219"/>
      <c r="AA1047" s="219"/>
      <c r="AB1047" s="219"/>
      <c r="AC1047" s="219"/>
      <c r="AD1047" s="219"/>
      <c r="AE1047" s="219"/>
      <c r="AF1047" s="219"/>
      <c r="AG1047" s="219"/>
      <c r="AH1047" s="219"/>
      <c r="AI1047" s="219"/>
      <c r="AJ1047" s="219"/>
      <c r="AK1047" s="219"/>
      <c r="AL1047" s="219"/>
      <c r="AM1047" s="219"/>
      <c r="AN1047" s="219"/>
      <c r="AO1047" s="219"/>
      <c r="AP1047" s="219"/>
      <c r="AQ1047" s="219"/>
      <c r="AR1047" s="219"/>
      <c r="AS1047" s="219"/>
      <c r="AT1047" s="219"/>
      <c r="AU1047" s="219"/>
      <c r="AV1047" s="219"/>
      <c r="AW1047" s="219"/>
      <c r="AX1047" s="219"/>
      <c r="AY1047" s="219"/>
      <c r="AZ1047" s="219"/>
      <c r="BA1047" s="219"/>
      <c r="BB1047" s="219"/>
      <c r="BC1047" s="219"/>
      <c r="BD1047" s="219"/>
      <c r="BE1047" s="219"/>
      <c r="BF1047" s="219"/>
      <c r="BG1047" s="219"/>
      <c r="BH1047" s="219"/>
      <c r="BI1047" s="219"/>
      <c r="BJ1047" s="219"/>
      <c r="BK1047" s="219"/>
      <c r="BL1047" s="219"/>
      <c r="BM1047" s="219"/>
      <c r="BN1047" s="219"/>
    </row>
    <row r="1048" ht="29.25" hidden="1" customHeight="1">
      <c r="A1048" s="216"/>
      <c r="B1048" s="217"/>
      <c r="C1048" s="164"/>
      <c r="D1048" s="164"/>
      <c r="E1048" s="165"/>
      <c r="F1048" s="173"/>
      <c r="G1048" s="168"/>
      <c r="H1048" s="168"/>
      <c r="I1048" s="169"/>
      <c r="J1048" s="170"/>
      <c r="K1048" s="170"/>
      <c r="L1048" s="170"/>
      <c r="M1048" s="167"/>
      <c r="N1048" s="169"/>
      <c r="O1048" s="171"/>
      <c r="P1048" s="106"/>
      <c r="Q1048" s="218"/>
      <c r="R1048" s="172"/>
      <c r="S1048" s="172"/>
      <c r="T1048" s="173"/>
      <c r="U1048" s="219"/>
      <c r="V1048" s="219"/>
      <c r="W1048" s="219"/>
      <c r="X1048" s="219"/>
      <c r="Y1048" s="219"/>
      <c r="Z1048" s="219"/>
      <c r="AA1048" s="219"/>
      <c r="AB1048" s="219"/>
      <c r="AC1048" s="219"/>
      <c r="AD1048" s="219"/>
      <c r="AE1048" s="219"/>
      <c r="AF1048" s="219"/>
      <c r="AG1048" s="219"/>
      <c r="AH1048" s="219"/>
      <c r="AI1048" s="219"/>
      <c r="AJ1048" s="219"/>
      <c r="AK1048" s="219"/>
      <c r="AL1048" s="219"/>
      <c r="AM1048" s="219"/>
      <c r="AN1048" s="219"/>
      <c r="AO1048" s="219"/>
      <c r="AP1048" s="219"/>
      <c r="AQ1048" s="219"/>
      <c r="AR1048" s="219"/>
      <c r="AS1048" s="219"/>
      <c r="AT1048" s="219"/>
      <c r="AU1048" s="219"/>
      <c r="AV1048" s="219"/>
      <c r="AW1048" s="219"/>
      <c r="AX1048" s="219"/>
      <c r="AY1048" s="219"/>
      <c r="AZ1048" s="219"/>
      <c r="BA1048" s="219"/>
      <c r="BB1048" s="219"/>
      <c r="BC1048" s="219"/>
      <c r="BD1048" s="219"/>
      <c r="BE1048" s="219"/>
      <c r="BF1048" s="219"/>
      <c r="BG1048" s="219"/>
      <c r="BH1048" s="219"/>
      <c r="BI1048" s="219"/>
      <c r="BJ1048" s="219"/>
      <c r="BK1048" s="219"/>
      <c r="BL1048" s="219"/>
      <c r="BM1048" s="219"/>
      <c r="BN1048" s="219"/>
    </row>
    <row r="1049" ht="29.25" hidden="1" customHeight="1">
      <c r="A1049" s="216"/>
      <c r="B1049" s="217"/>
      <c r="C1049" s="164"/>
      <c r="D1049" s="164"/>
      <c r="E1049" s="165"/>
      <c r="F1049" s="173"/>
      <c r="G1049" s="168"/>
      <c r="H1049" s="168"/>
      <c r="I1049" s="169"/>
      <c r="J1049" s="170"/>
      <c r="K1049" s="170"/>
      <c r="L1049" s="170"/>
      <c r="M1049" s="167"/>
      <c r="N1049" s="169"/>
      <c r="O1049" s="171"/>
      <c r="P1049" s="106"/>
      <c r="Q1049" s="218"/>
      <c r="R1049" s="172"/>
      <c r="S1049" s="172"/>
      <c r="T1049" s="173"/>
      <c r="U1049" s="219"/>
      <c r="V1049" s="219"/>
      <c r="W1049" s="219"/>
      <c r="X1049" s="219"/>
      <c r="Y1049" s="219"/>
      <c r="Z1049" s="219"/>
      <c r="AA1049" s="219"/>
      <c r="AB1049" s="219"/>
      <c r="AC1049" s="219"/>
      <c r="AD1049" s="219"/>
      <c r="AE1049" s="219"/>
      <c r="AF1049" s="219"/>
      <c r="AG1049" s="219"/>
      <c r="AH1049" s="219"/>
      <c r="AI1049" s="219"/>
      <c r="AJ1049" s="219"/>
      <c r="AK1049" s="219"/>
      <c r="AL1049" s="219"/>
      <c r="AM1049" s="219"/>
      <c r="AN1049" s="219"/>
      <c r="AO1049" s="219"/>
      <c r="AP1049" s="219"/>
      <c r="AQ1049" s="219"/>
      <c r="AR1049" s="219"/>
      <c r="AS1049" s="219"/>
      <c r="AT1049" s="219"/>
      <c r="AU1049" s="219"/>
      <c r="AV1049" s="219"/>
      <c r="AW1049" s="219"/>
      <c r="AX1049" s="219"/>
      <c r="AY1049" s="219"/>
      <c r="AZ1049" s="219"/>
      <c r="BA1049" s="219"/>
      <c r="BB1049" s="219"/>
      <c r="BC1049" s="219"/>
      <c r="BD1049" s="219"/>
      <c r="BE1049" s="219"/>
      <c r="BF1049" s="219"/>
      <c r="BG1049" s="219"/>
      <c r="BH1049" s="219"/>
      <c r="BI1049" s="219"/>
      <c r="BJ1049" s="219"/>
      <c r="BK1049" s="219"/>
      <c r="BL1049" s="219"/>
      <c r="BM1049" s="219"/>
      <c r="BN1049" s="219"/>
    </row>
    <row r="1050" ht="29.25" hidden="1" customHeight="1">
      <c r="A1050" s="216"/>
      <c r="B1050" s="217"/>
      <c r="C1050" s="164"/>
      <c r="D1050" s="164"/>
      <c r="E1050" s="165"/>
      <c r="F1050" s="173"/>
      <c r="G1050" s="168"/>
      <c r="H1050" s="168"/>
      <c r="I1050" s="169"/>
      <c r="J1050" s="170"/>
      <c r="K1050" s="170"/>
      <c r="L1050" s="170"/>
      <c r="M1050" s="167"/>
      <c r="N1050" s="169"/>
      <c r="O1050" s="171"/>
      <c r="P1050" s="106"/>
      <c r="Q1050" s="218"/>
      <c r="R1050" s="172"/>
      <c r="S1050" s="172"/>
      <c r="T1050" s="173"/>
      <c r="U1050" s="219"/>
      <c r="V1050" s="219"/>
      <c r="W1050" s="219"/>
      <c r="X1050" s="219"/>
      <c r="Y1050" s="219"/>
      <c r="Z1050" s="219"/>
      <c r="AA1050" s="219"/>
      <c r="AB1050" s="219"/>
      <c r="AC1050" s="219"/>
      <c r="AD1050" s="219"/>
      <c r="AE1050" s="219"/>
      <c r="AF1050" s="219"/>
      <c r="AG1050" s="219"/>
      <c r="AH1050" s="219"/>
      <c r="AI1050" s="219"/>
      <c r="AJ1050" s="219"/>
      <c r="AK1050" s="219"/>
      <c r="AL1050" s="219"/>
      <c r="AM1050" s="219"/>
      <c r="AN1050" s="219"/>
      <c r="AO1050" s="219"/>
      <c r="AP1050" s="219"/>
      <c r="AQ1050" s="219"/>
      <c r="AR1050" s="219"/>
      <c r="AS1050" s="219"/>
      <c r="AT1050" s="219"/>
      <c r="AU1050" s="219"/>
      <c r="AV1050" s="219"/>
      <c r="AW1050" s="219"/>
      <c r="AX1050" s="219"/>
      <c r="AY1050" s="219"/>
      <c r="AZ1050" s="219"/>
      <c r="BA1050" s="219"/>
      <c r="BB1050" s="219"/>
      <c r="BC1050" s="219"/>
      <c r="BD1050" s="219"/>
      <c r="BE1050" s="219"/>
      <c r="BF1050" s="219"/>
      <c r="BG1050" s="219"/>
      <c r="BH1050" s="219"/>
      <c r="BI1050" s="219"/>
      <c r="BJ1050" s="219"/>
      <c r="BK1050" s="219"/>
      <c r="BL1050" s="219"/>
      <c r="BM1050" s="219"/>
      <c r="BN1050" s="219"/>
    </row>
    <row r="1051" ht="29.25" hidden="1" customHeight="1">
      <c r="A1051" s="216"/>
      <c r="B1051" s="217"/>
      <c r="C1051" s="164"/>
      <c r="D1051" s="164"/>
      <c r="E1051" s="165"/>
      <c r="F1051" s="173"/>
      <c r="G1051" s="168"/>
      <c r="H1051" s="168"/>
      <c r="I1051" s="169"/>
      <c r="J1051" s="170"/>
      <c r="K1051" s="170"/>
      <c r="L1051" s="170"/>
      <c r="M1051" s="167"/>
      <c r="N1051" s="169"/>
      <c r="O1051" s="171"/>
      <c r="P1051" s="106"/>
      <c r="Q1051" s="218"/>
      <c r="R1051" s="172"/>
      <c r="S1051" s="172"/>
      <c r="T1051" s="173"/>
      <c r="U1051" s="219"/>
      <c r="V1051" s="219"/>
      <c r="W1051" s="219"/>
      <c r="X1051" s="219"/>
      <c r="Y1051" s="219"/>
      <c r="Z1051" s="219"/>
      <c r="AA1051" s="219"/>
      <c r="AB1051" s="219"/>
      <c r="AC1051" s="219"/>
      <c r="AD1051" s="219"/>
      <c r="AE1051" s="219"/>
      <c r="AF1051" s="219"/>
      <c r="AG1051" s="219"/>
      <c r="AH1051" s="219"/>
      <c r="AI1051" s="219"/>
      <c r="AJ1051" s="219"/>
      <c r="AK1051" s="219"/>
      <c r="AL1051" s="219"/>
      <c r="AM1051" s="219"/>
      <c r="AN1051" s="219"/>
      <c r="AO1051" s="219"/>
      <c r="AP1051" s="219"/>
      <c r="AQ1051" s="219"/>
      <c r="AR1051" s="219"/>
      <c r="AS1051" s="219"/>
      <c r="AT1051" s="219"/>
      <c r="AU1051" s="219"/>
      <c r="AV1051" s="219"/>
      <c r="AW1051" s="219"/>
      <c r="AX1051" s="219"/>
      <c r="AY1051" s="219"/>
      <c r="AZ1051" s="219"/>
      <c r="BA1051" s="219"/>
      <c r="BB1051" s="219"/>
      <c r="BC1051" s="219"/>
      <c r="BD1051" s="219"/>
      <c r="BE1051" s="219"/>
      <c r="BF1051" s="219"/>
      <c r="BG1051" s="219"/>
      <c r="BH1051" s="219"/>
      <c r="BI1051" s="219"/>
      <c r="BJ1051" s="219"/>
      <c r="BK1051" s="219"/>
      <c r="BL1051" s="219"/>
      <c r="BM1051" s="219"/>
      <c r="BN1051" s="219"/>
    </row>
    <row r="1052" ht="29.25" hidden="1" customHeight="1">
      <c r="A1052" s="216"/>
      <c r="B1052" s="217"/>
      <c r="C1052" s="164"/>
      <c r="D1052" s="164"/>
      <c r="E1052" s="165"/>
      <c r="F1052" s="173"/>
      <c r="G1052" s="168"/>
      <c r="H1052" s="168"/>
      <c r="I1052" s="169"/>
      <c r="J1052" s="170"/>
      <c r="K1052" s="170"/>
      <c r="L1052" s="170"/>
      <c r="M1052" s="167"/>
      <c r="N1052" s="169"/>
      <c r="O1052" s="171"/>
      <c r="P1052" s="106"/>
      <c r="Q1052" s="218"/>
      <c r="R1052" s="172"/>
      <c r="S1052" s="172"/>
      <c r="T1052" s="173"/>
      <c r="U1052" s="219"/>
      <c r="V1052" s="219"/>
      <c r="W1052" s="219"/>
      <c r="X1052" s="219"/>
      <c r="Y1052" s="219"/>
      <c r="Z1052" s="219"/>
      <c r="AA1052" s="219"/>
      <c r="AB1052" s="219"/>
      <c r="AC1052" s="219"/>
      <c r="AD1052" s="219"/>
      <c r="AE1052" s="219"/>
      <c r="AF1052" s="219"/>
      <c r="AG1052" s="219"/>
      <c r="AH1052" s="219"/>
      <c r="AI1052" s="219"/>
      <c r="AJ1052" s="219"/>
      <c r="AK1052" s="219"/>
      <c r="AL1052" s="219"/>
      <c r="AM1052" s="219"/>
      <c r="AN1052" s="219"/>
      <c r="AO1052" s="219"/>
      <c r="AP1052" s="219"/>
      <c r="AQ1052" s="219"/>
      <c r="AR1052" s="219"/>
      <c r="AS1052" s="219"/>
      <c r="AT1052" s="219"/>
      <c r="AU1052" s="219"/>
      <c r="AV1052" s="219"/>
      <c r="AW1052" s="219"/>
      <c r="AX1052" s="219"/>
      <c r="AY1052" s="219"/>
      <c r="AZ1052" s="219"/>
      <c r="BA1052" s="219"/>
      <c r="BB1052" s="219"/>
      <c r="BC1052" s="219"/>
      <c r="BD1052" s="219"/>
      <c r="BE1052" s="219"/>
      <c r="BF1052" s="219"/>
      <c r="BG1052" s="219"/>
      <c r="BH1052" s="219"/>
      <c r="BI1052" s="219"/>
      <c r="BJ1052" s="219"/>
      <c r="BK1052" s="219"/>
      <c r="BL1052" s="219"/>
      <c r="BM1052" s="219"/>
      <c r="BN1052" s="219"/>
    </row>
    <row r="1053" ht="29.25" hidden="1" customHeight="1">
      <c r="A1053" s="216"/>
      <c r="B1053" s="217"/>
      <c r="C1053" s="164"/>
      <c r="D1053" s="164"/>
      <c r="E1053" s="165"/>
      <c r="F1053" s="173"/>
      <c r="G1053" s="168"/>
      <c r="H1053" s="168"/>
      <c r="I1053" s="169"/>
      <c r="J1053" s="170"/>
      <c r="K1053" s="170"/>
      <c r="L1053" s="170"/>
      <c r="M1053" s="167"/>
      <c r="N1053" s="169"/>
      <c r="O1053" s="171"/>
      <c r="P1053" s="106"/>
      <c r="Q1053" s="218"/>
      <c r="R1053" s="172"/>
      <c r="S1053" s="172"/>
      <c r="T1053" s="173"/>
      <c r="U1053" s="219"/>
      <c r="V1053" s="219"/>
      <c r="W1053" s="219"/>
      <c r="X1053" s="219"/>
      <c r="Y1053" s="219"/>
      <c r="Z1053" s="219"/>
      <c r="AA1053" s="219"/>
      <c r="AB1053" s="219"/>
      <c r="AC1053" s="219"/>
      <c r="AD1053" s="219"/>
      <c r="AE1053" s="219"/>
      <c r="AF1053" s="219"/>
      <c r="AG1053" s="219"/>
      <c r="AH1053" s="219"/>
      <c r="AI1053" s="219"/>
      <c r="AJ1053" s="219"/>
      <c r="AK1053" s="219"/>
      <c r="AL1053" s="219"/>
      <c r="AM1053" s="219"/>
      <c r="AN1053" s="219"/>
      <c r="AO1053" s="219"/>
      <c r="AP1053" s="219"/>
      <c r="AQ1053" s="219"/>
      <c r="AR1053" s="219"/>
      <c r="AS1053" s="219"/>
      <c r="AT1053" s="219"/>
      <c r="AU1053" s="219"/>
      <c r="AV1053" s="219"/>
      <c r="AW1053" s="219"/>
      <c r="AX1053" s="219"/>
      <c r="AY1053" s="219"/>
      <c r="AZ1053" s="219"/>
      <c r="BA1053" s="219"/>
      <c r="BB1053" s="219"/>
      <c r="BC1053" s="219"/>
      <c r="BD1053" s="219"/>
      <c r="BE1053" s="219"/>
      <c r="BF1053" s="219"/>
      <c r="BG1053" s="219"/>
      <c r="BH1053" s="219"/>
      <c r="BI1053" s="219"/>
      <c r="BJ1053" s="219"/>
      <c r="BK1053" s="219"/>
      <c r="BL1053" s="219"/>
      <c r="BM1053" s="219"/>
      <c r="BN1053" s="219"/>
    </row>
    <row r="1054" ht="29.25" hidden="1" customHeight="1">
      <c r="A1054" s="216"/>
      <c r="B1054" s="217"/>
      <c r="C1054" s="164"/>
      <c r="D1054" s="164"/>
      <c r="E1054" s="165"/>
      <c r="F1054" s="173"/>
      <c r="G1054" s="168"/>
      <c r="H1054" s="168"/>
      <c r="I1054" s="169"/>
      <c r="J1054" s="170"/>
      <c r="K1054" s="170"/>
      <c r="L1054" s="170"/>
      <c r="M1054" s="167"/>
      <c r="N1054" s="169"/>
      <c r="O1054" s="171"/>
      <c r="P1054" s="106"/>
      <c r="Q1054" s="218"/>
      <c r="R1054" s="172"/>
      <c r="S1054" s="172"/>
      <c r="T1054" s="173"/>
      <c r="U1054" s="219"/>
      <c r="V1054" s="219"/>
      <c r="W1054" s="219"/>
      <c r="X1054" s="219"/>
      <c r="Y1054" s="219"/>
      <c r="Z1054" s="219"/>
      <c r="AA1054" s="219"/>
      <c r="AB1054" s="219"/>
      <c r="AC1054" s="219"/>
      <c r="AD1054" s="219"/>
      <c r="AE1054" s="219"/>
      <c r="AF1054" s="219"/>
      <c r="AG1054" s="219"/>
      <c r="AH1054" s="219"/>
      <c r="AI1054" s="219"/>
      <c r="AJ1054" s="219"/>
      <c r="AK1054" s="219"/>
      <c r="AL1054" s="219"/>
      <c r="AM1054" s="219"/>
      <c r="AN1054" s="219"/>
      <c r="AO1054" s="219"/>
      <c r="AP1054" s="219"/>
      <c r="AQ1054" s="219"/>
      <c r="AR1054" s="219"/>
      <c r="AS1054" s="219"/>
      <c r="AT1054" s="219"/>
      <c r="AU1054" s="219"/>
      <c r="AV1054" s="219"/>
      <c r="AW1054" s="219"/>
      <c r="AX1054" s="219"/>
      <c r="AY1054" s="219"/>
      <c r="AZ1054" s="219"/>
      <c r="BA1054" s="219"/>
      <c r="BB1054" s="219"/>
      <c r="BC1054" s="219"/>
      <c r="BD1054" s="219"/>
      <c r="BE1054" s="219"/>
      <c r="BF1054" s="219"/>
      <c r="BG1054" s="219"/>
      <c r="BH1054" s="219"/>
      <c r="BI1054" s="219"/>
      <c r="BJ1054" s="219"/>
      <c r="BK1054" s="219"/>
      <c r="BL1054" s="219"/>
      <c r="BM1054" s="219"/>
      <c r="BN1054" s="219"/>
    </row>
    <row r="1055" ht="29.25" hidden="1" customHeight="1">
      <c r="A1055" s="216"/>
      <c r="B1055" s="217"/>
      <c r="C1055" s="164"/>
      <c r="D1055" s="164"/>
      <c r="E1055" s="165"/>
      <c r="F1055" s="173"/>
      <c r="G1055" s="168"/>
      <c r="H1055" s="168"/>
      <c r="I1055" s="169"/>
      <c r="J1055" s="170"/>
      <c r="K1055" s="170"/>
      <c r="L1055" s="170"/>
      <c r="M1055" s="167"/>
      <c r="N1055" s="169"/>
      <c r="O1055" s="171"/>
      <c r="P1055" s="106"/>
      <c r="Q1055" s="218"/>
      <c r="R1055" s="172"/>
      <c r="S1055" s="172"/>
      <c r="T1055" s="173"/>
      <c r="U1055" s="219"/>
      <c r="V1055" s="219"/>
      <c r="W1055" s="219"/>
      <c r="X1055" s="219"/>
      <c r="Y1055" s="219"/>
      <c r="Z1055" s="219"/>
      <c r="AA1055" s="219"/>
      <c r="AB1055" s="219"/>
      <c r="AC1055" s="219"/>
      <c r="AD1055" s="219"/>
      <c r="AE1055" s="219"/>
      <c r="AF1055" s="219"/>
      <c r="AG1055" s="219"/>
      <c r="AH1055" s="219"/>
      <c r="AI1055" s="219"/>
      <c r="AJ1055" s="219"/>
      <c r="AK1055" s="219"/>
      <c r="AL1055" s="219"/>
      <c r="AM1055" s="219"/>
      <c r="AN1055" s="219"/>
      <c r="AO1055" s="219"/>
      <c r="AP1055" s="219"/>
      <c r="AQ1055" s="219"/>
      <c r="AR1055" s="219"/>
      <c r="AS1055" s="219"/>
      <c r="AT1055" s="219"/>
      <c r="AU1055" s="219"/>
      <c r="AV1055" s="219"/>
      <c r="AW1055" s="219"/>
      <c r="AX1055" s="219"/>
      <c r="AY1055" s="219"/>
      <c r="AZ1055" s="219"/>
      <c r="BA1055" s="219"/>
      <c r="BB1055" s="219"/>
      <c r="BC1055" s="219"/>
      <c r="BD1055" s="219"/>
      <c r="BE1055" s="219"/>
      <c r="BF1055" s="219"/>
      <c r="BG1055" s="219"/>
      <c r="BH1055" s="219"/>
      <c r="BI1055" s="219"/>
      <c r="BJ1055" s="219"/>
      <c r="BK1055" s="219"/>
      <c r="BL1055" s="219"/>
      <c r="BM1055" s="219"/>
      <c r="BN1055" s="219"/>
    </row>
    <row r="1056" ht="29.25" hidden="1" customHeight="1">
      <c r="A1056" s="216"/>
      <c r="B1056" s="217"/>
      <c r="C1056" s="164"/>
      <c r="D1056" s="164"/>
      <c r="E1056" s="165"/>
      <c r="F1056" s="173"/>
      <c r="G1056" s="168"/>
      <c r="H1056" s="168"/>
      <c r="I1056" s="169"/>
      <c r="J1056" s="170"/>
      <c r="K1056" s="170"/>
      <c r="L1056" s="170"/>
      <c r="M1056" s="167"/>
      <c r="N1056" s="169"/>
      <c r="O1056" s="171"/>
      <c r="P1056" s="106"/>
      <c r="Q1056" s="218"/>
      <c r="R1056" s="172"/>
      <c r="S1056" s="172"/>
      <c r="T1056" s="173"/>
      <c r="U1056" s="219"/>
      <c r="V1056" s="219"/>
      <c r="W1056" s="219"/>
      <c r="X1056" s="219"/>
      <c r="Y1056" s="219"/>
      <c r="Z1056" s="219"/>
      <c r="AA1056" s="219"/>
      <c r="AB1056" s="219"/>
      <c r="AC1056" s="219"/>
      <c r="AD1056" s="219"/>
      <c r="AE1056" s="219"/>
      <c r="AF1056" s="219"/>
      <c r="AG1056" s="219"/>
      <c r="AH1056" s="219"/>
      <c r="AI1056" s="219"/>
      <c r="AJ1056" s="219"/>
      <c r="AK1056" s="219"/>
      <c r="AL1056" s="219"/>
      <c r="AM1056" s="219"/>
      <c r="AN1056" s="219"/>
      <c r="AO1056" s="219"/>
      <c r="AP1056" s="219"/>
      <c r="AQ1056" s="219"/>
      <c r="AR1056" s="219"/>
      <c r="AS1056" s="219"/>
      <c r="AT1056" s="219"/>
      <c r="AU1056" s="219"/>
      <c r="AV1056" s="219"/>
      <c r="AW1056" s="219"/>
      <c r="AX1056" s="219"/>
      <c r="AY1056" s="219"/>
      <c r="AZ1056" s="219"/>
      <c r="BA1056" s="219"/>
      <c r="BB1056" s="219"/>
      <c r="BC1056" s="219"/>
      <c r="BD1056" s="219"/>
      <c r="BE1056" s="219"/>
      <c r="BF1056" s="219"/>
      <c r="BG1056" s="219"/>
      <c r="BH1056" s="219"/>
      <c r="BI1056" s="219"/>
      <c r="BJ1056" s="219"/>
      <c r="BK1056" s="219"/>
      <c r="BL1056" s="219"/>
      <c r="BM1056" s="219"/>
      <c r="BN1056" s="219"/>
    </row>
    <row r="1057" ht="29.25" hidden="1" customHeight="1">
      <c r="A1057" s="216"/>
      <c r="B1057" s="217"/>
      <c r="C1057" s="164"/>
      <c r="D1057" s="164"/>
      <c r="E1057" s="165"/>
      <c r="F1057" s="173"/>
      <c r="G1057" s="168"/>
      <c r="H1057" s="168"/>
      <c r="I1057" s="169"/>
      <c r="J1057" s="170"/>
      <c r="K1057" s="170"/>
      <c r="L1057" s="170"/>
      <c r="M1057" s="167"/>
      <c r="N1057" s="169"/>
      <c r="O1057" s="171"/>
      <c r="P1057" s="106"/>
      <c r="Q1057" s="218"/>
      <c r="R1057" s="172"/>
      <c r="S1057" s="172"/>
      <c r="T1057" s="173"/>
      <c r="U1057" s="219"/>
      <c r="V1057" s="219"/>
      <c r="W1057" s="219"/>
      <c r="X1057" s="219"/>
      <c r="Y1057" s="219"/>
      <c r="Z1057" s="219"/>
      <c r="AA1057" s="219"/>
      <c r="AB1057" s="219"/>
      <c r="AC1057" s="219"/>
      <c r="AD1057" s="219"/>
      <c r="AE1057" s="219"/>
      <c r="AF1057" s="219"/>
      <c r="AG1057" s="219"/>
      <c r="AH1057" s="219"/>
      <c r="AI1057" s="219"/>
      <c r="AJ1057" s="219"/>
      <c r="AK1057" s="219"/>
      <c r="AL1057" s="219"/>
      <c r="AM1057" s="219"/>
      <c r="AN1057" s="219"/>
      <c r="AO1057" s="219"/>
      <c r="AP1057" s="219"/>
      <c r="AQ1057" s="219"/>
      <c r="AR1057" s="219"/>
      <c r="AS1057" s="219"/>
      <c r="AT1057" s="219"/>
      <c r="AU1057" s="219"/>
      <c r="AV1057" s="219"/>
      <c r="AW1057" s="219"/>
      <c r="AX1057" s="219"/>
      <c r="AY1057" s="219"/>
      <c r="AZ1057" s="219"/>
      <c r="BA1057" s="219"/>
      <c r="BB1057" s="219"/>
      <c r="BC1057" s="219"/>
      <c r="BD1057" s="219"/>
      <c r="BE1057" s="219"/>
      <c r="BF1057" s="219"/>
      <c r="BG1057" s="219"/>
      <c r="BH1057" s="219"/>
      <c r="BI1057" s="219"/>
      <c r="BJ1057" s="219"/>
      <c r="BK1057" s="219"/>
      <c r="BL1057" s="219"/>
      <c r="BM1057" s="219"/>
      <c r="BN1057" s="219"/>
    </row>
    <row r="1058" ht="29.25" hidden="1" customHeight="1">
      <c r="A1058" s="216"/>
      <c r="B1058" s="217"/>
      <c r="C1058" s="164"/>
      <c r="D1058" s="164"/>
      <c r="E1058" s="165"/>
      <c r="F1058" s="173"/>
      <c r="G1058" s="168"/>
      <c r="H1058" s="168"/>
      <c r="I1058" s="169"/>
      <c r="J1058" s="170"/>
      <c r="K1058" s="170"/>
      <c r="L1058" s="170"/>
      <c r="M1058" s="167"/>
      <c r="N1058" s="169"/>
      <c r="O1058" s="171"/>
      <c r="P1058" s="106"/>
      <c r="Q1058" s="218"/>
      <c r="R1058" s="172"/>
      <c r="S1058" s="172"/>
      <c r="T1058" s="173"/>
      <c r="U1058" s="219"/>
      <c r="V1058" s="219"/>
      <c r="W1058" s="219"/>
      <c r="X1058" s="219"/>
      <c r="Y1058" s="219"/>
      <c r="Z1058" s="219"/>
      <c r="AA1058" s="219"/>
      <c r="AB1058" s="219"/>
      <c r="AC1058" s="219"/>
      <c r="AD1058" s="219"/>
      <c r="AE1058" s="219"/>
      <c r="AF1058" s="219"/>
      <c r="AG1058" s="219"/>
      <c r="AH1058" s="219"/>
      <c r="AI1058" s="219"/>
      <c r="AJ1058" s="219"/>
      <c r="AK1058" s="219"/>
      <c r="AL1058" s="219"/>
      <c r="AM1058" s="219"/>
      <c r="AN1058" s="219"/>
      <c r="AO1058" s="219"/>
      <c r="AP1058" s="219"/>
      <c r="AQ1058" s="219"/>
      <c r="AR1058" s="219"/>
      <c r="AS1058" s="219"/>
      <c r="AT1058" s="219"/>
      <c r="AU1058" s="219"/>
      <c r="AV1058" s="219"/>
      <c r="AW1058" s="219"/>
      <c r="AX1058" s="219"/>
      <c r="AY1058" s="219"/>
      <c r="AZ1058" s="219"/>
      <c r="BA1058" s="219"/>
      <c r="BB1058" s="219"/>
      <c r="BC1058" s="219"/>
      <c r="BD1058" s="219"/>
      <c r="BE1058" s="219"/>
      <c r="BF1058" s="219"/>
      <c r="BG1058" s="219"/>
      <c r="BH1058" s="219"/>
      <c r="BI1058" s="219"/>
      <c r="BJ1058" s="219"/>
      <c r="BK1058" s="219"/>
      <c r="BL1058" s="219"/>
      <c r="BM1058" s="219"/>
      <c r="BN1058" s="219"/>
    </row>
    <row r="1059" ht="29.25" hidden="1" customHeight="1">
      <c r="A1059" s="216"/>
      <c r="B1059" s="217"/>
      <c r="C1059" s="164"/>
      <c r="D1059" s="164"/>
      <c r="E1059" s="165"/>
      <c r="F1059" s="173"/>
      <c r="G1059" s="168"/>
      <c r="H1059" s="168"/>
      <c r="I1059" s="169"/>
      <c r="J1059" s="170"/>
      <c r="K1059" s="170"/>
      <c r="L1059" s="170"/>
      <c r="M1059" s="167"/>
      <c r="N1059" s="169"/>
      <c r="O1059" s="171"/>
      <c r="P1059" s="106"/>
      <c r="Q1059" s="218"/>
      <c r="R1059" s="172"/>
      <c r="S1059" s="172"/>
      <c r="T1059" s="173"/>
      <c r="U1059" s="219"/>
      <c r="V1059" s="219"/>
      <c r="W1059" s="219"/>
      <c r="X1059" s="219"/>
      <c r="Y1059" s="219"/>
      <c r="Z1059" s="219"/>
      <c r="AA1059" s="219"/>
      <c r="AB1059" s="219"/>
      <c r="AC1059" s="219"/>
      <c r="AD1059" s="219"/>
      <c r="AE1059" s="219"/>
      <c r="AF1059" s="219"/>
      <c r="AG1059" s="219"/>
      <c r="AH1059" s="219"/>
      <c r="AI1059" s="219"/>
      <c r="AJ1059" s="219"/>
      <c r="AK1059" s="219"/>
      <c r="AL1059" s="219"/>
      <c r="AM1059" s="219"/>
      <c r="AN1059" s="219"/>
      <c r="AO1059" s="219"/>
      <c r="AP1059" s="219"/>
      <c r="AQ1059" s="219"/>
      <c r="AR1059" s="219"/>
      <c r="AS1059" s="219"/>
      <c r="AT1059" s="219"/>
      <c r="AU1059" s="219"/>
      <c r="AV1059" s="219"/>
      <c r="AW1059" s="219"/>
      <c r="AX1059" s="219"/>
      <c r="AY1059" s="219"/>
      <c r="AZ1059" s="219"/>
      <c r="BA1059" s="219"/>
      <c r="BB1059" s="219"/>
      <c r="BC1059" s="219"/>
      <c r="BD1059" s="219"/>
      <c r="BE1059" s="219"/>
      <c r="BF1059" s="219"/>
      <c r="BG1059" s="219"/>
      <c r="BH1059" s="219"/>
      <c r="BI1059" s="219"/>
      <c r="BJ1059" s="219"/>
      <c r="BK1059" s="219"/>
      <c r="BL1059" s="219"/>
      <c r="BM1059" s="219"/>
      <c r="BN1059" s="219"/>
    </row>
    <row r="1060" ht="29.25" hidden="1" customHeight="1">
      <c r="A1060" s="216"/>
      <c r="B1060" s="217"/>
      <c r="C1060" s="164"/>
      <c r="D1060" s="164"/>
      <c r="E1060" s="165"/>
      <c r="F1060" s="173"/>
      <c r="G1060" s="168"/>
      <c r="H1060" s="168"/>
      <c r="I1060" s="169"/>
      <c r="J1060" s="170"/>
      <c r="K1060" s="170"/>
      <c r="L1060" s="170"/>
      <c r="M1060" s="167"/>
      <c r="N1060" s="169"/>
      <c r="O1060" s="171"/>
      <c r="P1060" s="106"/>
      <c r="Q1060" s="218"/>
      <c r="R1060" s="172"/>
      <c r="S1060" s="172"/>
      <c r="T1060" s="173"/>
      <c r="U1060" s="219"/>
      <c r="V1060" s="219"/>
      <c r="W1060" s="219"/>
      <c r="X1060" s="219"/>
      <c r="Y1060" s="219"/>
      <c r="Z1060" s="219"/>
      <c r="AA1060" s="219"/>
      <c r="AB1060" s="219"/>
      <c r="AC1060" s="219"/>
      <c r="AD1060" s="219"/>
      <c r="AE1060" s="219"/>
      <c r="AF1060" s="219"/>
      <c r="AG1060" s="219"/>
      <c r="AH1060" s="219"/>
      <c r="AI1060" s="219"/>
      <c r="AJ1060" s="219"/>
      <c r="AK1060" s="219"/>
      <c r="AL1060" s="219"/>
      <c r="AM1060" s="219"/>
      <c r="AN1060" s="219"/>
      <c r="AO1060" s="219"/>
      <c r="AP1060" s="219"/>
      <c r="AQ1060" s="219"/>
      <c r="AR1060" s="219"/>
      <c r="AS1060" s="219"/>
      <c r="AT1060" s="219"/>
      <c r="AU1060" s="219"/>
      <c r="AV1060" s="219"/>
      <c r="AW1060" s="219"/>
      <c r="AX1060" s="219"/>
      <c r="AY1060" s="219"/>
      <c r="AZ1060" s="219"/>
      <c r="BA1060" s="219"/>
      <c r="BB1060" s="219"/>
      <c r="BC1060" s="219"/>
      <c r="BD1060" s="219"/>
      <c r="BE1060" s="219"/>
      <c r="BF1060" s="219"/>
      <c r="BG1060" s="219"/>
      <c r="BH1060" s="219"/>
      <c r="BI1060" s="219"/>
      <c r="BJ1060" s="219"/>
      <c r="BK1060" s="219"/>
      <c r="BL1060" s="219"/>
      <c r="BM1060" s="219"/>
      <c r="BN1060" s="219"/>
    </row>
    <row r="1061" ht="29.25" hidden="1" customHeight="1">
      <c r="A1061" s="216"/>
      <c r="B1061" s="217"/>
      <c r="C1061" s="164"/>
      <c r="D1061" s="164"/>
      <c r="E1061" s="165"/>
      <c r="F1061" s="173"/>
      <c r="G1061" s="168"/>
      <c r="H1061" s="168"/>
      <c r="I1061" s="169"/>
      <c r="J1061" s="170"/>
      <c r="K1061" s="170"/>
      <c r="L1061" s="170"/>
      <c r="M1061" s="167"/>
      <c r="N1061" s="169"/>
      <c r="O1061" s="171"/>
      <c r="P1061" s="106"/>
      <c r="Q1061" s="218"/>
      <c r="R1061" s="172"/>
      <c r="S1061" s="172"/>
      <c r="T1061" s="173"/>
      <c r="U1061" s="219"/>
      <c r="V1061" s="219"/>
      <c r="W1061" s="219"/>
      <c r="X1061" s="219"/>
      <c r="Y1061" s="219"/>
      <c r="Z1061" s="219"/>
      <c r="AA1061" s="219"/>
      <c r="AB1061" s="219"/>
      <c r="AC1061" s="219"/>
      <c r="AD1061" s="219"/>
      <c r="AE1061" s="219"/>
      <c r="AF1061" s="219"/>
      <c r="AG1061" s="219"/>
      <c r="AH1061" s="219"/>
      <c r="AI1061" s="219"/>
      <c r="AJ1061" s="219"/>
      <c r="AK1061" s="219"/>
      <c r="AL1061" s="219"/>
      <c r="AM1061" s="219"/>
      <c r="AN1061" s="219"/>
      <c r="AO1061" s="219"/>
      <c r="AP1061" s="219"/>
      <c r="AQ1061" s="219"/>
      <c r="AR1061" s="219"/>
      <c r="AS1061" s="219"/>
      <c r="AT1061" s="219"/>
      <c r="AU1061" s="219"/>
      <c r="AV1061" s="219"/>
      <c r="AW1061" s="219"/>
      <c r="AX1061" s="219"/>
      <c r="AY1061" s="219"/>
      <c r="AZ1061" s="219"/>
      <c r="BA1061" s="219"/>
      <c r="BB1061" s="219"/>
      <c r="BC1061" s="219"/>
      <c r="BD1061" s="219"/>
      <c r="BE1061" s="219"/>
      <c r="BF1061" s="219"/>
      <c r="BG1061" s="219"/>
      <c r="BH1061" s="219"/>
      <c r="BI1061" s="219"/>
      <c r="BJ1061" s="219"/>
      <c r="BK1061" s="219"/>
      <c r="BL1061" s="219"/>
      <c r="BM1061" s="219"/>
      <c r="BN1061" s="219"/>
    </row>
    <row r="1062" ht="29.25" hidden="1" customHeight="1">
      <c r="A1062" s="216"/>
      <c r="B1062" s="217"/>
      <c r="C1062" s="164"/>
      <c r="D1062" s="164"/>
      <c r="E1062" s="165"/>
      <c r="F1062" s="173"/>
      <c r="G1062" s="168"/>
      <c r="H1062" s="168"/>
      <c r="I1062" s="169"/>
      <c r="J1062" s="170"/>
      <c r="K1062" s="170"/>
      <c r="L1062" s="170"/>
      <c r="M1062" s="167"/>
      <c r="N1062" s="169"/>
      <c r="O1062" s="171"/>
      <c r="P1062" s="106"/>
      <c r="Q1062" s="218"/>
      <c r="R1062" s="172"/>
      <c r="S1062" s="172"/>
      <c r="T1062" s="173"/>
      <c r="U1062" s="219"/>
      <c r="V1062" s="219"/>
      <c r="W1062" s="219"/>
      <c r="X1062" s="219"/>
      <c r="Y1062" s="219"/>
      <c r="Z1062" s="219"/>
      <c r="AA1062" s="219"/>
      <c r="AB1062" s="219"/>
      <c r="AC1062" s="219"/>
      <c r="AD1062" s="219"/>
      <c r="AE1062" s="219"/>
      <c r="AF1062" s="219"/>
      <c r="AG1062" s="219"/>
      <c r="AH1062" s="219"/>
      <c r="AI1062" s="219"/>
      <c r="AJ1062" s="219"/>
      <c r="AK1062" s="219"/>
      <c r="AL1062" s="219"/>
      <c r="AM1062" s="219"/>
      <c r="AN1062" s="219"/>
      <c r="AO1062" s="219"/>
      <c r="AP1062" s="219"/>
      <c r="AQ1062" s="219"/>
      <c r="AR1062" s="219"/>
      <c r="AS1062" s="219"/>
      <c r="AT1062" s="219"/>
      <c r="AU1062" s="219"/>
      <c r="AV1062" s="219"/>
      <c r="AW1062" s="219"/>
      <c r="AX1062" s="219"/>
      <c r="AY1062" s="219"/>
      <c r="AZ1062" s="219"/>
      <c r="BA1062" s="219"/>
      <c r="BB1062" s="219"/>
      <c r="BC1062" s="219"/>
      <c r="BD1062" s="219"/>
      <c r="BE1062" s="219"/>
      <c r="BF1062" s="219"/>
      <c r="BG1062" s="219"/>
      <c r="BH1062" s="219"/>
      <c r="BI1062" s="219"/>
      <c r="BJ1062" s="219"/>
      <c r="BK1062" s="219"/>
      <c r="BL1062" s="219"/>
      <c r="BM1062" s="219"/>
      <c r="BN1062" s="219"/>
    </row>
    <row r="1063" ht="29.25" hidden="1" customHeight="1">
      <c r="A1063" s="216"/>
      <c r="B1063" s="217"/>
      <c r="C1063" s="164"/>
      <c r="D1063" s="164"/>
      <c r="E1063" s="165"/>
      <c r="F1063" s="173"/>
      <c r="G1063" s="168"/>
      <c r="H1063" s="168"/>
      <c r="I1063" s="169"/>
      <c r="J1063" s="170"/>
      <c r="K1063" s="170"/>
      <c r="L1063" s="170"/>
      <c r="M1063" s="167"/>
      <c r="N1063" s="169"/>
      <c r="O1063" s="171"/>
      <c r="P1063" s="106"/>
      <c r="Q1063" s="218"/>
      <c r="R1063" s="172"/>
      <c r="S1063" s="172"/>
      <c r="T1063" s="173"/>
      <c r="U1063" s="219"/>
      <c r="V1063" s="219"/>
      <c r="W1063" s="219"/>
      <c r="X1063" s="219"/>
      <c r="Y1063" s="219"/>
      <c r="Z1063" s="219"/>
      <c r="AA1063" s="219"/>
      <c r="AB1063" s="219"/>
      <c r="AC1063" s="219"/>
      <c r="AD1063" s="219"/>
      <c r="AE1063" s="219"/>
      <c r="AF1063" s="219"/>
      <c r="AG1063" s="219"/>
      <c r="AH1063" s="219"/>
      <c r="AI1063" s="219"/>
      <c r="AJ1063" s="219"/>
      <c r="AK1063" s="219"/>
      <c r="AL1063" s="219"/>
      <c r="AM1063" s="219"/>
      <c r="AN1063" s="219"/>
      <c r="AO1063" s="219"/>
      <c r="AP1063" s="219"/>
      <c r="AQ1063" s="219"/>
      <c r="AR1063" s="219"/>
      <c r="AS1063" s="219"/>
      <c r="AT1063" s="219"/>
      <c r="AU1063" s="219"/>
      <c r="AV1063" s="219"/>
      <c r="AW1063" s="219"/>
      <c r="AX1063" s="219"/>
      <c r="AY1063" s="219"/>
      <c r="AZ1063" s="219"/>
      <c r="BA1063" s="219"/>
      <c r="BB1063" s="219"/>
      <c r="BC1063" s="219"/>
      <c r="BD1063" s="219"/>
      <c r="BE1063" s="219"/>
      <c r="BF1063" s="219"/>
      <c r="BG1063" s="219"/>
      <c r="BH1063" s="219"/>
      <c r="BI1063" s="219"/>
      <c r="BJ1063" s="219"/>
      <c r="BK1063" s="219"/>
      <c r="BL1063" s="219"/>
      <c r="BM1063" s="219"/>
      <c r="BN1063" s="219"/>
    </row>
    <row r="1064" ht="29.25" hidden="1" customHeight="1">
      <c r="A1064" s="216"/>
      <c r="B1064" s="217"/>
      <c r="C1064" s="164"/>
      <c r="D1064" s="164"/>
      <c r="E1064" s="165"/>
      <c r="F1064" s="173"/>
      <c r="G1064" s="168"/>
      <c r="H1064" s="168"/>
      <c r="I1064" s="169"/>
      <c r="J1064" s="170"/>
      <c r="K1064" s="170"/>
      <c r="L1064" s="170"/>
      <c r="M1064" s="167"/>
      <c r="N1064" s="169"/>
      <c r="O1064" s="171"/>
      <c r="P1064" s="106"/>
      <c r="Q1064" s="218"/>
      <c r="R1064" s="172"/>
      <c r="S1064" s="172"/>
      <c r="T1064" s="173"/>
      <c r="U1064" s="219"/>
      <c r="V1064" s="219"/>
      <c r="W1064" s="219"/>
      <c r="X1064" s="219"/>
      <c r="Y1064" s="219"/>
      <c r="Z1064" s="219"/>
      <c r="AA1064" s="219"/>
      <c r="AB1064" s="219"/>
      <c r="AC1064" s="219"/>
      <c r="AD1064" s="219"/>
      <c r="AE1064" s="219"/>
      <c r="AF1064" s="219"/>
      <c r="AG1064" s="219"/>
      <c r="AH1064" s="219"/>
      <c r="AI1064" s="219"/>
      <c r="AJ1064" s="219"/>
      <c r="AK1064" s="219"/>
      <c r="AL1064" s="219"/>
      <c r="AM1064" s="219"/>
      <c r="AN1064" s="219"/>
      <c r="AO1064" s="219"/>
      <c r="AP1064" s="219"/>
      <c r="AQ1064" s="219"/>
      <c r="AR1064" s="219"/>
      <c r="AS1064" s="219"/>
      <c r="AT1064" s="219"/>
      <c r="AU1064" s="219"/>
      <c r="AV1064" s="219"/>
      <c r="AW1064" s="219"/>
      <c r="AX1064" s="219"/>
      <c r="AY1064" s="219"/>
      <c r="AZ1064" s="219"/>
      <c r="BA1064" s="219"/>
      <c r="BB1064" s="219"/>
      <c r="BC1064" s="219"/>
      <c r="BD1064" s="219"/>
      <c r="BE1064" s="219"/>
      <c r="BF1064" s="219"/>
      <c r="BG1064" s="219"/>
      <c r="BH1064" s="219"/>
      <c r="BI1064" s="219"/>
      <c r="BJ1064" s="219"/>
      <c r="BK1064" s="219"/>
      <c r="BL1064" s="219"/>
      <c r="BM1064" s="219"/>
      <c r="BN1064" s="219"/>
    </row>
    <row r="1065" ht="29.25" hidden="1" customHeight="1">
      <c r="A1065" s="216"/>
      <c r="B1065" s="217"/>
      <c r="C1065" s="164"/>
      <c r="D1065" s="164"/>
      <c r="E1065" s="165"/>
      <c r="F1065" s="173"/>
      <c r="G1065" s="168"/>
      <c r="H1065" s="168"/>
      <c r="I1065" s="169"/>
      <c r="J1065" s="170"/>
      <c r="K1065" s="170"/>
      <c r="L1065" s="170"/>
      <c r="M1065" s="167"/>
      <c r="N1065" s="169"/>
      <c r="O1065" s="171"/>
      <c r="P1065" s="106"/>
      <c r="Q1065" s="218"/>
      <c r="R1065" s="172"/>
      <c r="S1065" s="172"/>
      <c r="T1065" s="173"/>
      <c r="U1065" s="219"/>
      <c r="V1065" s="219"/>
      <c r="W1065" s="219"/>
      <c r="X1065" s="219"/>
      <c r="Y1065" s="219"/>
      <c r="Z1065" s="219"/>
      <c r="AA1065" s="219"/>
      <c r="AB1065" s="219"/>
      <c r="AC1065" s="219"/>
      <c r="AD1065" s="219"/>
      <c r="AE1065" s="219"/>
      <c r="AF1065" s="219"/>
      <c r="AG1065" s="219"/>
      <c r="AH1065" s="219"/>
      <c r="AI1065" s="219"/>
      <c r="AJ1065" s="219"/>
      <c r="AK1065" s="219"/>
      <c r="AL1065" s="219"/>
      <c r="AM1065" s="219"/>
      <c r="AN1065" s="219"/>
      <c r="AO1065" s="219"/>
      <c r="AP1065" s="219"/>
      <c r="AQ1065" s="219"/>
      <c r="AR1065" s="219"/>
      <c r="AS1065" s="219"/>
      <c r="AT1065" s="219"/>
      <c r="AU1065" s="219"/>
      <c r="AV1065" s="219"/>
      <c r="AW1065" s="219"/>
      <c r="AX1065" s="219"/>
      <c r="AY1065" s="219"/>
      <c r="AZ1065" s="219"/>
      <c r="BA1065" s="219"/>
      <c r="BB1065" s="219"/>
      <c r="BC1065" s="219"/>
      <c r="BD1065" s="219"/>
      <c r="BE1065" s="219"/>
      <c r="BF1065" s="219"/>
      <c r="BG1065" s="219"/>
      <c r="BH1065" s="219"/>
      <c r="BI1065" s="219"/>
      <c r="BJ1065" s="219"/>
      <c r="BK1065" s="219"/>
      <c r="BL1065" s="219"/>
      <c r="BM1065" s="219"/>
      <c r="BN1065" s="219"/>
    </row>
    <row r="1066" ht="29.25" hidden="1" customHeight="1">
      <c r="A1066" s="216"/>
      <c r="B1066" s="217"/>
      <c r="C1066" s="164"/>
      <c r="D1066" s="164"/>
      <c r="E1066" s="165"/>
      <c r="F1066" s="173"/>
      <c r="G1066" s="168"/>
      <c r="H1066" s="168"/>
      <c r="I1066" s="169"/>
      <c r="J1066" s="170"/>
      <c r="K1066" s="170"/>
      <c r="L1066" s="170"/>
      <c r="M1066" s="167"/>
      <c r="N1066" s="169"/>
      <c r="O1066" s="171"/>
      <c r="P1066" s="106"/>
      <c r="Q1066" s="218"/>
      <c r="R1066" s="172"/>
      <c r="S1066" s="172"/>
      <c r="T1066" s="173"/>
      <c r="U1066" s="219"/>
      <c r="V1066" s="219"/>
      <c r="W1066" s="219"/>
      <c r="X1066" s="219"/>
      <c r="Y1066" s="219"/>
      <c r="Z1066" s="219"/>
      <c r="AA1066" s="219"/>
      <c r="AB1066" s="219"/>
      <c r="AC1066" s="219"/>
      <c r="AD1066" s="219"/>
      <c r="AE1066" s="219"/>
      <c r="AF1066" s="219"/>
      <c r="AG1066" s="219"/>
      <c r="AH1066" s="219"/>
      <c r="AI1066" s="219"/>
      <c r="AJ1066" s="219"/>
      <c r="AK1066" s="219"/>
      <c r="AL1066" s="219"/>
      <c r="AM1066" s="219"/>
      <c r="AN1066" s="219"/>
      <c r="AO1066" s="219"/>
      <c r="AP1066" s="219"/>
      <c r="AQ1066" s="219"/>
      <c r="AR1066" s="219"/>
      <c r="AS1066" s="219"/>
      <c r="AT1066" s="219"/>
      <c r="AU1066" s="219"/>
      <c r="AV1066" s="219"/>
      <c r="AW1066" s="219"/>
      <c r="AX1066" s="219"/>
      <c r="AY1066" s="219"/>
      <c r="AZ1066" s="219"/>
      <c r="BA1066" s="219"/>
      <c r="BB1066" s="219"/>
      <c r="BC1066" s="219"/>
      <c r="BD1066" s="219"/>
      <c r="BE1066" s="219"/>
      <c r="BF1066" s="219"/>
      <c r="BG1066" s="219"/>
      <c r="BH1066" s="219"/>
      <c r="BI1066" s="219"/>
      <c r="BJ1066" s="219"/>
      <c r="BK1066" s="219"/>
      <c r="BL1066" s="219"/>
      <c r="BM1066" s="219"/>
      <c r="BN1066" s="219"/>
    </row>
    <row r="1067" ht="29.25" hidden="1" customHeight="1">
      <c r="A1067" s="216"/>
      <c r="B1067" s="217"/>
      <c r="C1067" s="164"/>
      <c r="D1067" s="164"/>
      <c r="E1067" s="165"/>
      <c r="F1067" s="173"/>
      <c r="G1067" s="168"/>
      <c r="H1067" s="168"/>
      <c r="I1067" s="169"/>
      <c r="J1067" s="170"/>
      <c r="K1067" s="170"/>
      <c r="L1067" s="170"/>
      <c r="M1067" s="167"/>
      <c r="N1067" s="169"/>
      <c r="O1067" s="171"/>
      <c r="P1067" s="106"/>
      <c r="Q1067" s="218"/>
      <c r="R1067" s="172"/>
      <c r="S1067" s="172"/>
      <c r="T1067" s="173"/>
      <c r="U1067" s="219"/>
      <c r="V1067" s="219"/>
      <c r="W1067" s="219"/>
      <c r="X1067" s="219"/>
      <c r="Y1067" s="219"/>
      <c r="Z1067" s="219"/>
      <c r="AA1067" s="219"/>
      <c r="AB1067" s="219"/>
      <c r="AC1067" s="219"/>
      <c r="AD1067" s="219"/>
      <c r="AE1067" s="219"/>
      <c r="AF1067" s="219"/>
      <c r="AG1067" s="219"/>
      <c r="AH1067" s="219"/>
      <c r="AI1067" s="219"/>
      <c r="AJ1067" s="219"/>
      <c r="AK1067" s="219"/>
      <c r="AL1067" s="219"/>
      <c r="AM1067" s="219"/>
      <c r="AN1067" s="219"/>
      <c r="AO1067" s="219"/>
      <c r="AP1067" s="219"/>
      <c r="AQ1067" s="219"/>
      <c r="AR1067" s="219"/>
      <c r="AS1067" s="219"/>
      <c r="AT1067" s="219"/>
      <c r="AU1067" s="219"/>
      <c r="AV1067" s="219"/>
      <c r="AW1067" s="219"/>
      <c r="AX1067" s="219"/>
      <c r="AY1067" s="219"/>
      <c r="AZ1067" s="219"/>
      <c r="BA1067" s="219"/>
      <c r="BB1067" s="219"/>
      <c r="BC1067" s="219"/>
      <c r="BD1067" s="219"/>
      <c r="BE1067" s="219"/>
      <c r="BF1067" s="219"/>
      <c r="BG1067" s="219"/>
      <c r="BH1067" s="219"/>
      <c r="BI1067" s="219"/>
      <c r="BJ1067" s="219"/>
      <c r="BK1067" s="219"/>
      <c r="BL1067" s="219"/>
      <c r="BM1067" s="219"/>
      <c r="BN1067" s="219"/>
    </row>
    <row r="1068" ht="29.25" hidden="1" customHeight="1">
      <c r="A1068" s="216"/>
      <c r="B1068" s="217"/>
      <c r="C1068" s="164"/>
      <c r="D1068" s="164"/>
      <c r="E1068" s="165"/>
      <c r="F1068" s="173"/>
      <c r="G1068" s="168"/>
      <c r="H1068" s="168"/>
      <c r="I1068" s="169"/>
      <c r="J1068" s="170"/>
      <c r="K1068" s="170"/>
      <c r="L1068" s="170"/>
      <c r="M1068" s="167"/>
      <c r="N1068" s="169"/>
      <c r="O1068" s="171"/>
      <c r="P1068" s="106"/>
      <c r="Q1068" s="218"/>
      <c r="R1068" s="172"/>
      <c r="S1068" s="172"/>
      <c r="T1068" s="173"/>
      <c r="U1068" s="219"/>
      <c r="V1068" s="219"/>
      <c r="W1068" s="219"/>
      <c r="X1068" s="219"/>
      <c r="Y1068" s="219"/>
      <c r="Z1068" s="219"/>
      <c r="AA1068" s="219"/>
      <c r="AB1068" s="219"/>
      <c r="AC1068" s="219"/>
      <c r="AD1068" s="219"/>
      <c r="AE1068" s="219"/>
      <c r="AF1068" s="219"/>
      <c r="AG1068" s="219"/>
      <c r="AH1068" s="219"/>
      <c r="AI1068" s="219"/>
      <c r="AJ1068" s="219"/>
      <c r="AK1068" s="219"/>
      <c r="AL1068" s="219"/>
      <c r="AM1068" s="219"/>
      <c r="AN1068" s="219"/>
      <c r="AO1068" s="219"/>
      <c r="AP1068" s="219"/>
      <c r="AQ1068" s="219"/>
      <c r="AR1068" s="219"/>
      <c r="AS1068" s="219"/>
      <c r="AT1068" s="219"/>
      <c r="AU1068" s="219"/>
      <c r="AV1068" s="219"/>
      <c r="AW1068" s="219"/>
      <c r="AX1068" s="219"/>
      <c r="AY1068" s="219"/>
      <c r="AZ1068" s="219"/>
      <c r="BA1068" s="219"/>
      <c r="BB1068" s="219"/>
      <c r="BC1068" s="219"/>
      <c r="BD1068" s="219"/>
      <c r="BE1068" s="219"/>
      <c r="BF1068" s="219"/>
      <c r="BG1068" s="219"/>
      <c r="BH1068" s="219"/>
      <c r="BI1068" s="219"/>
      <c r="BJ1068" s="219"/>
      <c r="BK1068" s="219"/>
      <c r="BL1068" s="219"/>
      <c r="BM1068" s="219"/>
      <c r="BN1068" s="219"/>
    </row>
    <row r="1069" ht="29.25" hidden="1" customHeight="1">
      <c r="A1069" s="216"/>
      <c r="B1069" s="217"/>
      <c r="C1069" s="164"/>
      <c r="D1069" s="164"/>
      <c r="E1069" s="165"/>
      <c r="F1069" s="173"/>
      <c r="G1069" s="168"/>
      <c r="H1069" s="168"/>
      <c r="I1069" s="169"/>
      <c r="J1069" s="170"/>
      <c r="K1069" s="170"/>
      <c r="L1069" s="170"/>
      <c r="M1069" s="167"/>
      <c r="N1069" s="169"/>
      <c r="O1069" s="171"/>
      <c r="P1069" s="106"/>
      <c r="Q1069" s="218"/>
      <c r="R1069" s="172"/>
      <c r="S1069" s="172"/>
      <c r="T1069" s="173"/>
      <c r="U1069" s="219"/>
      <c r="V1069" s="219"/>
      <c r="W1069" s="219"/>
      <c r="X1069" s="219"/>
      <c r="Y1069" s="219"/>
      <c r="Z1069" s="219"/>
      <c r="AA1069" s="219"/>
      <c r="AB1069" s="219"/>
      <c r="AC1069" s="219"/>
      <c r="AD1069" s="219"/>
      <c r="AE1069" s="219"/>
      <c r="AF1069" s="219"/>
      <c r="AG1069" s="219"/>
      <c r="AH1069" s="219"/>
      <c r="AI1069" s="219"/>
      <c r="AJ1069" s="219"/>
      <c r="AK1069" s="219"/>
      <c r="AL1069" s="219"/>
      <c r="AM1069" s="219"/>
      <c r="AN1069" s="219"/>
      <c r="AO1069" s="219"/>
      <c r="AP1069" s="219"/>
      <c r="AQ1069" s="219"/>
      <c r="AR1069" s="219"/>
      <c r="AS1069" s="219"/>
      <c r="AT1069" s="219"/>
      <c r="AU1069" s="219"/>
      <c r="AV1069" s="219"/>
      <c r="AW1069" s="219"/>
      <c r="AX1069" s="219"/>
      <c r="AY1069" s="219"/>
      <c r="AZ1069" s="219"/>
      <c r="BA1069" s="219"/>
      <c r="BB1069" s="219"/>
      <c r="BC1069" s="219"/>
      <c r="BD1069" s="219"/>
      <c r="BE1069" s="219"/>
      <c r="BF1069" s="219"/>
      <c r="BG1069" s="219"/>
      <c r="BH1069" s="219"/>
      <c r="BI1069" s="219"/>
      <c r="BJ1069" s="219"/>
      <c r="BK1069" s="219"/>
      <c r="BL1069" s="219"/>
      <c r="BM1069" s="219"/>
      <c r="BN1069" s="219"/>
    </row>
    <row r="1070" ht="29.25" hidden="1" customHeight="1">
      <c r="A1070" s="216"/>
      <c r="B1070" s="217"/>
      <c r="C1070" s="164"/>
      <c r="D1070" s="164"/>
      <c r="E1070" s="165"/>
      <c r="F1070" s="173"/>
      <c r="G1070" s="168"/>
      <c r="H1070" s="168"/>
      <c r="I1070" s="169"/>
      <c r="J1070" s="170"/>
      <c r="K1070" s="170"/>
      <c r="L1070" s="170"/>
      <c r="M1070" s="167"/>
      <c r="N1070" s="169"/>
      <c r="O1070" s="171"/>
      <c r="P1070" s="106"/>
      <c r="Q1070" s="218"/>
      <c r="R1070" s="172"/>
      <c r="S1070" s="172"/>
      <c r="T1070" s="173"/>
      <c r="U1070" s="219"/>
      <c r="V1070" s="219"/>
      <c r="W1070" s="219"/>
      <c r="X1070" s="219"/>
      <c r="Y1070" s="219"/>
      <c r="Z1070" s="219"/>
      <c r="AA1070" s="219"/>
      <c r="AB1070" s="219"/>
      <c r="AC1070" s="219"/>
      <c r="AD1070" s="219"/>
      <c r="AE1070" s="219"/>
      <c r="AF1070" s="219"/>
      <c r="AG1070" s="219"/>
      <c r="AH1070" s="219"/>
      <c r="AI1070" s="219"/>
      <c r="AJ1070" s="219"/>
      <c r="AK1070" s="219"/>
      <c r="AL1070" s="219"/>
      <c r="AM1070" s="219"/>
      <c r="AN1070" s="219"/>
      <c r="AO1070" s="219"/>
      <c r="AP1070" s="219"/>
      <c r="AQ1070" s="219"/>
      <c r="AR1070" s="219"/>
      <c r="AS1070" s="219"/>
      <c r="AT1070" s="219"/>
      <c r="AU1070" s="219"/>
      <c r="AV1070" s="219"/>
      <c r="AW1070" s="219"/>
      <c r="AX1070" s="219"/>
      <c r="AY1070" s="219"/>
      <c r="AZ1070" s="219"/>
      <c r="BA1070" s="219"/>
      <c r="BB1070" s="219"/>
      <c r="BC1070" s="219"/>
      <c r="BD1070" s="219"/>
      <c r="BE1070" s="219"/>
      <c r="BF1070" s="219"/>
      <c r="BG1070" s="219"/>
      <c r="BH1070" s="219"/>
      <c r="BI1070" s="219"/>
      <c r="BJ1070" s="219"/>
      <c r="BK1070" s="219"/>
      <c r="BL1070" s="219"/>
      <c r="BM1070" s="219"/>
      <c r="BN1070" s="219"/>
    </row>
    <row r="1071" ht="29.25" hidden="1" customHeight="1">
      <c r="A1071" s="216"/>
      <c r="B1071" s="217"/>
      <c r="C1071" s="164"/>
      <c r="D1071" s="164"/>
      <c r="E1071" s="165"/>
      <c r="F1071" s="173"/>
      <c r="G1071" s="168"/>
      <c r="H1071" s="168"/>
      <c r="I1071" s="169"/>
      <c r="J1071" s="170"/>
      <c r="K1071" s="170"/>
      <c r="L1071" s="170"/>
      <c r="M1071" s="167"/>
      <c r="N1071" s="169"/>
      <c r="O1071" s="171"/>
      <c r="P1071" s="106"/>
      <c r="Q1071" s="218"/>
      <c r="R1071" s="172"/>
      <c r="S1071" s="172"/>
      <c r="T1071" s="173"/>
      <c r="U1071" s="219"/>
      <c r="V1071" s="219"/>
      <c r="W1071" s="219"/>
      <c r="X1071" s="219"/>
      <c r="Y1071" s="219"/>
      <c r="Z1071" s="219"/>
      <c r="AA1071" s="219"/>
      <c r="AB1071" s="219"/>
      <c r="AC1071" s="219"/>
      <c r="AD1071" s="219"/>
      <c r="AE1071" s="219"/>
      <c r="AF1071" s="219"/>
      <c r="AG1071" s="219"/>
      <c r="AH1071" s="219"/>
      <c r="AI1071" s="219"/>
      <c r="AJ1071" s="219"/>
      <c r="AK1071" s="219"/>
      <c r="AL1071" s="219"/>
      <c r="AM1071" s="219"/>
      <c r="AN1071" s="219"/>
      <c r="AO1071" s="219"/>
      <c r="AP1071" s="219"/>
      <c r="AQ1071" s="219"/>
      <c r="AR1071" s="219"/>
      <c r="AS1071" s="219"/>
      <c r="AT1071" s="219"/>
      <c r="AU1071" s="219"/>
      <c r="AV1071" s="219"/>
      <c r="AW1071" s="219"/>
      <c r="AX1071" s="219"/>
      <c r="AY1071" s="219"/>
      <c r="AZ1071" s="219"/>
      <c r="BA1071" s="219"/>
      <c r="BB1071" s="219"/>
      <c r="BC1071" s="219"/>
      <c r="BD1071" s="219"/>
      <c r="BE1071" s="219"/>
      <c r="BF1071" s="219"/>
      <c r="BG1071" s="219"/>
      <c r="BH1071" s="219"/>
      <c r="BI1071" s="219"/>
      <c r="BJ1071" s="219"/>
      <c r="BK1071" s="219"/>
      <c r="BL1071" s="219"/>
      <c r="BM1071" s="219"/>
      <c r="BN1071" s="219"/>
    </row>
    <row r="1072" ht="29.25" hidden="1" customHeight="1">
      <c r="A1072" s="216"/>
      <c r="B1072" s="217"/>
      <c r="C1072" s="164"/>
      <c r="D1072" s="164"/>
      <c r="E1072" s="165"/>
      <c r="F1072" s="173"/>
      <c r="G1072" s="168"/>
      <c r="H1072" s="168"/>
      <c r="I1072" s="169"/>
      <c r="J1072" s="170"/>
      <c r="K1072" s="170"/>
      <c r="L1072" s="170"/>
      <c r="M1072" s="167"/>
      <c r="N1072" s="169"/>
      <c r="O1072" s="171"/>
      <c r="P1072" s="106"/>
      <c r="Q1072" s="218"/>
      <c r="R1072" s="172"/>
      <c r="S1072" s="172"/>
      <c r="T1072" s="173"/>
      <c r="U1072" s="219"/>
      <c r="V1072" s="219"/>
      <c r="W1072" s="219"/>
      <c r="X1072" s="219"/>
      <c r="Y1072" s="219"/>
      <c r="Z1072" s="219"/>
      <c r="AA1072" s="219"/>
      <c r="AB1072" s="219"/>
      <c r="AC1072" s="219"/>
      <c r="AD1072" s="219"/>
      <c r="AE1072" s="219"/>
      <c r="AF1072" s="219"/>
      <c r="AG1072" s="219"/>
      <c r="AH1072" s="219"/>
      <c r="AI1072" s="219"/>
      <c r="AJ1072" s="219"/>
      <c r="AK1072" s="219"/>
      <c r="AL1072" s="219"/>
      <c r="AM1072" s="219"/>
      <c r="AN1072" s="219"/>
      <c r="AO1072" s="219"/>
      <c r="AP1072" s="219"/>
      <c r="AQ1072" s="219"/>
      <c r="AR1072" s="219"/>
      <c r="AS1072" s="219"/>
      <c r="AT1072" s="219"/>
      <c r="AU1072" s="219"/>
      <c r="AV1072" s="219"/>
      <c r="AW1072" s="219"/>
      <c r="AX1072" s="219"/>
      <c r="AY1072" s="219"/>
      <c r="AZ1072" s="219"/>
      <c r="BA1072" s="219"/>
      <c r="BB1072" s="219"/>
      <c r="BC1072" s="219"/>
      <c r="BD1072" s="219"/>
      <c r="BE1072" s="219"/>
      <c r="BF1072" s="219"/>
      <c r="BG1072" s="219"/>
      <c r="BH1072" s="219"/>
      <c r="BI1072" s="219"/>
      <c r="BJ1072" s="219"/>
      <c r="BK1072" s="219"/>
      <c r="BL1072" s="219"/>
      <c r="BM1072" s="219"/>
      <c r="BN1072" s="219"/>
    </row>
    <row r="1073" ht="29.25" hidden="1" customHeight="1">
      <c r="A1073" s="216"/>
      <c r="B1073" s="217"/>
      <c r="C1073" s="164"/>
      <c r="D1073" s="164"/>
      <c r="E1073" s="165"/>
      <c r="F1073" s="173"/>
      <c r="G1073" s="168"/>
      <c r="H1073" s="168"/>
      <c r="I1073" s="169"/>
      <c r="J1073" s="170"/>
      <c r="K1073" s="170"/>
      <c r="L1073" s="170"/>
      <c r="M1073" s="167"/>
      <c r="N1073" s="169"/>
      <c r="O1073" s="171"/>
      <c r="P1073" s="106"/>
      <c r="Q1073" s="218"/>
      <c r="R1073" s="172"/>
      <c r="S1073" s="172"/>
      <c r="T1073" s="173"/>
      <c r="U1073" s="219"/>
      <c r="V1073" s="219"/>
      <c r="W1073" s="219"/>
      <c r="X1073" s="219"/>
      <c r="Y1073" s="219"/>
      <c r="Z1073" s="219"/>
      <c r="AA1073" s="219"/>
      <c r="AB1073" s="219"/>
      <c r="AC1073" s="219"/>
      <c r="AD1073" s="219"/>
      <c r="AE1073" s="219"/>
      <c r="AF1073" s="219"/>
      <c r="AG1073" s="219"/>
      <c r="AH1073" s="219"/>
      <c r="AI1073" s="219"/>
      <c r="AJ1073" s="219"/>
      <c r="AK1073" s="219"/>
      <c r="AL1073" s="219"/>
      <c r="AM1073" s="219"/>
      <c r="AN1073" s="219"/>
      <c r="AO1073" s="219"/>
      <c r="AP1073" s="219"/>
      <c r="AQ1073" s="219"/>
      <c r="AR1073" s="219"/>
      <c r="AS1073" s="219"/>
      <c r="AT1073" s="219"/>
      <c r="AU1073" s="219"/>
      <c r="AV1073" s="219"/>
      <c r="AW1073" s="219"/>
      <c r="AX1073" s="219"/>
      <c r="AY1073" s="219"/>
      <c r="AZ1073" s="219"/>
      <c r="BA1073" s="219"/>
      <c r="BB1073" s="219"/>
      <c r="BC1073" s="219"/>
      <c r="BD1073" s="219"/>
      <c r="BE1073" s="219"/>
      <c r="BF1073" s="219"/>
      <c r="BG1073" s="219"/>
      <c r="BH1073" s="219"/>
      <c r="BI1073" s="219"/>
      <c r="BJ1073" s="219"/>
      <c r="BK1073" s="219"/>
      <c r="BL1073" s="219"/>
      <c r="BM1073" s="219"/>
      <c r="BN1073" s="219"/>
    </row>
    <row r="1074" ht="29.25" hidden="1" customHeight="1">
      <c r="A1074" s="216"/>
      <c r="B1074" s="217"/>
      <c r="C1074" s="164"/>
      <c r="D1074" s="164"/>
      <c r="E1074" s="165"/>
      <c r="F1074" s="173"/>
      <c r="G1074" s="168"/>
      <c r="H1074" s="168"/>
      <c r="I1074" s="169"/>
      <c r="J1074" s="170"/>
      <c r="K1074" s="170"/>
      <c r="L1074" s="170"/>
      <c r="M1074" s="167"/>
      <c r="N1074" s="169"/>
      <c r="O1074" s="171"/>
      <c r="P1074" s="106"/>
      <c r="Q1074" s="218"/>
      <c r="R1074" s="172"/>
      <c r="S1074" s="172"/>
      <c r="T1074" s="173"/>
      <c r="U1074" s="219"/>
      <c r="V1074" s="219"/>
      <c r="W1074" s="219"/>
      <c r="X1074" s="219"/>
      <c r="Y1074" s="219"/>
      <c r="Z1074" s="219"/>
      <c r="AA1074" s="219"/>
      <c r="AB1074" s="219"/>
      <c r="AC1074" s="219"/>
      <c r="AD1074" s="219"/>
      <c r="AE1074" s="219"/>
      <c r="AF1074" s="219"/>
      <c r="AG1074" s="219"/>
      <c r="AH1074" s="219"/>
      <c r="AI1074" s="219"/>
      <c r="AJ1074" s="219"/>
      <c r="AK1074" s="219"/>
      <c r="AL1074" s="219"/>
      <c r="AM1074" s="219"/>
      <c r="AN1074" s="219"/>
      <c r="AO1074" s="219"/>
      <c r="AP1074" s="219"/>
      <c r="AQ1074" s="219"/>
      <c r="AR1074" s="219"/>
      <c r="AS1074" s="219"/>
      <c r="AT1074" s="219"/>
      <c r="AU1074" s="219"/>
      <c r="AV1074" s="219"/>
      <c r="AW1074" s="219"/>
      <c r="AX1074" s="219"/>
      <c r="AY1074" s="219"/>
      <c r="AZ1074" s="219"/>
      <c r="BA1074" s="219"/>
      <c r="BB1074" s="219"/>
      <c r="BC1074" s="219"/>
      <c r="BD1074" s="219"/>
      <c r="BE1074" s="219"/>
      <c r="BF1074" s="219"/>
      <c r="BG1074" s="219"/>
      <c r="BH1074" s="219"/>
      <c r="BI1074" s="219"/>
      <c r="BJ1074" s="219"/>
      <c r="BK1074" s="219"/>
      <c r="BL1074" s="219"/>
      <c r="BM1074" s="219"/>
      <c r="BN1074" s="219"/>
    </row>
    <row r="1075" ht="29.25" hidden="1" customHeight="1">
      <c r="A1075" s="216"/>
      <c r="B1075" s="217"/>
      <c r="C1075" s="164"/>
      <c r="D1075" s="164"/>
      <c r="E1075" s="165"/>
      <c r="F1075" s="173"/>
      <c r="G1075" s="168"/>
      <c r="H1075" s="168"/>
      <c r="I1075" s="169"/>
      <c r="J1075" s="170"/>
      <c r="K1075" s="170"/>
      <c r="L1075" s="170"/>
      <c r="M1075" s="167"/>
      <c r="N1075" s="169"/>
      <c r="O1075" s="171"/>
      <c r="P1075" s="106"/>
      <c r="Q1075" s="218"/>
      <c r="R1075" s="172"/>
      <c r="S1075" s="172"/>
      <c r="T1075" s="173"/>
      <c r="U1075" s="219"/>
      <c r="V1075" s="219"/>
      <c r="W1075" s="219"/>
      <c r="X1075" s="219"/>
      <c r="Y1075" s="219"/>
      <c r="Z1075" s="219"/>
      <c r="AA1075" s="219"/>
      <c r="AB1075" s="219"/>
      <c r="AC1075" s="219"/>
      <c r="AD1075" s="219"/>
      <c r="AE1075" s="219"/>
      <c r="AF1075" s="219"/>
      <c r="AG1075" s="219"/>
      <c r="AH1075" s="219"/>
      <c r="AI1075" s="219"/>
      <c r="AJ1075" s="219"/>
      <c r="AK1075" s="219"/>
      <c r="AL1075" s="219"/>
      <c r="AM1075" s="219"/>
      <c r="AN1075" s="219"/>
      <c r="AO1075" s="219"/>
      <c r="AP1075" s="219"/>
      <c r="AQ1075" s="219"/>
      <c r="AR1075" s="219"/>
      <c r="AS1075" s="219"/>
      <c r="AT1075" s="219"/>
      <c r="AU1075" s="219"/>
      <c r="AV1075" s="219"/>
      <c r="AW1075" s="219"/>
      <c r="AX1075" s="219"/>
      <c r="AY1075" s="219"/>
      <c r="AZ1075" s="219"/>
      <c r="BA1075" s="219"/>
      <c r="BB1075" s="219"/>
      <c r="BC1075" s="219"/>
      <c r="BD1075" s="219"/>
      <c r="BE1075" s="219"/>
      <c r="BF1075" s="219"/>
      <c r="BG1075" s="219"/>
      <c r="BH1075" s="219"/>
      <c r="BI1075" s="219"/>
      <c r="BJ1075" s="219"/>
      <c r="BK1075" s="219"/>
      <c r="BL1075" s="219"/>
      <c r="BM1075" s="219"/>
      <c r="BN1075" s="219"/>
    </row>
    <row r="1076" ht="29.25" hidden="1" customHeight="1">
      <c r="A1076" s="216"/>
      <c r="B1076" s="217"/>
      <c r="C1076" s="164"/>
      <c r="D1076" s="164"/>
      <c r="E1076" s="165"/>
      <c r="F1076" s="173"/>
      <c r="G1076" s="168"/>
      <c r="H1076" s="168"/>
      <c r="I1076" s="169"/>
      <c r="J1076" s="170"/>
      <c r="K1076" s="170"/>
      <c r="L1076" s="170"/>
      <c r="M1076" s="167"/>
      <c r="N1076" s="169"/>
      <c r="O1076" s="171"/>
      <c r="P1076" s="106"/>
      <c r="Q1076" s="218"/>
      <c r="R1076" s="172"/>
      <c r="S1076" s="172"/>
      <c r="T1076" s="173"/>
      <c r="U1076" s="219"/>
      <c r="V1076" s="219"/>
      <c r="W1076" s="219"/>
      <c r="X1076" s="219"/>
      <c r="Y1076" s="219"/>
      <c r="Z1076" s="219"/>
      <c r="AA1076" s="219"/>
      <c r="AB1076" s="219"/>
      <c r="AC1076" s="219"/>
      <c r="AD1076" s="219"/>
      <c r="AE1076" s="219"/>
      <c r="AF1076" s="219"/>
      <c r="AG1076" s="219"/>
      <c r="AH1076" s="219"/>
      <c r="AI1076" s="219"/>
      <c r="AJ1076" s="219"/>
      <c r="AK1076" s="219"/>
      <c r="AL1076" s="219"/>
      <c r="AM1076" s="219"/>
      <c r="AN1076" s="219"/>
      <c r="AO1076" s="219"/>
      <c r="AP1076" s="219"/>
      <c r="AQ1076" s="219"/>
      <c r="AR1076" s="219"/>
      <c r="AS1076" s="219"/>
      <c r="AT1076" s="219"/>
      <c r="AU1076" s="219"/>
      <c r="AV1076" s="219"/>
      <c r="AW1076" s="219"/>
      <c r="AX1076" s="219"/>
      <c r="AY1076" s="219"/>
      <c r="AZ1076" s="219"/>
      <c r="BA1076" s="219"/>
      <c r="BB1076" s="219"/>
      <c r="BC1076" s="219"/>
      <c r="BD1076" s="219"/>
      <c r="BE1076" s="219"/>
      <c r="BF1076" s="219"/>
      <c r="BG1076" s="219"/>
      <c r="BH1076" s="219"/>
      <c r="BI1076" s="219"/>
      <c r="BJ1076" s="219"/>
      <c r="BK1076" s="219"/>
      <c r="BL1076" s="219"/>
      <c r="BM1076" s="219"/>
      <c r="BN1076" s="219"/>
    </row>
    <row r="1077" ht="29.25" hidden="1" customHeight="1">
      <c r="A1077" s="216"/>
      <c r="B1077" s="217"/>
      <c r="C1077" s="164"/>
      <c r="D1077" s="164"/>
      <c r="E1077" s="165"/>
      <c r="F1077" s="173"/>
      <c r="G1077" s="168"/>
      <c r="H1077" s="168"/>
      <c r="I1077" s="169"/>
      <c r="J1077" s="170"/>
      <c r="K1077" s="170"/>
      <c r="L1077" s="170"/>
      <c r="M1077" s="167"/>
      <c r="N1077" s="169"/>
      <c r="O1077" s="171"/>
      <c r="P1077" s="106"/>
      <c r="Q1077" s="218"/>
      <c r="R1077" s="172"/>
      <c r="S1077" s="172"/>
      <c r="T1077" s="173"/>
      <c r="U1077" s="219"/>
      <c r="V1077" s="219"/>
      <c r="W1077" s="219"/>
      <c r="X1077" s="219"/>
      <c r="Y1077" s="219"/>
      <c r="Z1077" s="219"/>
      <c r="AA1077" s="219"/>
      <c r="AB1077" s="219"/>
      <c r="AC1077" s="219"/>
      <c r="AD1077" s="219"/>
      <c r="AE1077" s="219"/>
      <c r="AF1077" s="219"/>
      <c r="AG1077" s="219"/>
      <c r="AH1077" s="219"/>
      <c r="AI1077" s="219"/>
      <c r="AJ1077" s="219"/>
      <c r="AK1077" s="219"/>
      <c r="AL1077" s="219"/>
      <c r="AM1077" s="219"/>
      <c r="AN1077" s="219"/>
      <c r="AO1077" s="219"/>
      <c r="AP1077" s="219"/>
      <c r="AQ1077" s="219"/>
      <c r="AR1077" s="219"/>
      <c r="AS1077" s="219"/>
      <c r="AT1077" s="219"/>
      <c r="AU1077" s="219"/>
      <c r="AV1077" s="219"/>
      <c r="AW1077" s="219"/>
      <c r="AX1077" s="219"/>
      <c r="AY1077" s="219"/>
      <c r="AZ1077" s="219"/>
      <c r="BA1077" s="219"/>
      <c r="BB1077" s="219"/>
      <c r="BC1077" s="219"/>
      <c r="BD1077" s="219"/>
      <c r="BE1077" s="219"/>
      <c r="BF1077" s="219"/>
      <c r="BG1077" s="219"/>
      <c r="BH1077" s="219"/>
      <c r="BI1077" s="219"/>
      <c r="BJ1077" s="219"/>
      <c r="BK1077" s="219"/>
      <c r="BL1077" s="219"/>
      <c r="BM1077" s="219"/>
      <c r="BN1077" s="219"/>
    </row>
    <row r="1078" ht="29.25" hidden="1" customHeight="1">
      <c r="A1078" s="216"/>
      <c r="B1078" s="217"/>
      <c r="C1078" s="164"/>
      <c r="D1078" s="164"/>
      <c r="E1078" s="165"/>
      <c r="F1078" s="173"/>
      <c r="G1078" s="168"/>
      <c r="H1078" s="168"/>
      <c r="I1078" s="169"/>
      <c r="J1078" s="170"/>
      <c r="K1078" s="170"/>
      <c r="L1078" s="170"/>
      <c r="M1078" s="167"/>
      <c r="N1078" s="169"/>
      <c r="O1078" s="171"/>
      <c r="P1078" s="106"/>
      <c r="Q1078" s="218"/>
      <c r="R1078" s="172"/>
      <c r="S1078" s="172"/>
      <c r="T1078" s="173"/>
      <c r="U1078" s="219"/>
      <c r="V1078" s="219"/>
      <c r="W1078" s="219"/>
      <c r="X1078" s="219"/>
      <c r="Y1078" s="219"/>
      <c r="Z1078" s="219"/>
      <c r="AA1078" s="219"/>
      <c r="AB1078" s="219"/>
      <c r="AC1078" s="219"/>
      <c r="AD1078" s="219"/>
      <c r="AE1078" s="219"/>
      <c r="AF1078" s="219"/>
      <c r="AG1078" s="219"/>
      <c r="AH1078" s="219"/>
      <c r="AI1078" s="219"/>
      <c r="AJ1078" s="219"/>
      <c r="AK1078" s="219"/>
      <c r="AL1078" s="219"/>
      <c r="AM1078" s="219"/>
      <c r="AN1078" s="219"/>
      <c r="AO1078" s="219"/>
      <c r="AP1078" s="219"/>
      <c r="AQ1078" s="219"/>
      <c r="AR1078" s="219"/>
      <c r="AS1078" s="219"/>
      <c r="AT1078" s="219"/>
      <c r="AU1078" s="219"/>
      <c r="AV1078" s="219"/>
      <c r="AW1078" s="219"/>
      <c r="AX1078" s="219"/>
      <c r="AY1078" s="219"/>
      <c r="AZ1078" s="219"/>
      <c r="BA1078" s="219"/>
      <c r="BB1078" s="219"/>
      <c r="BC1078" s="219"/>
      <c r="BD1078" s="219"/>
      <c r="BE1078" s="219"/>
      <c r="BF1078" s="219"/>
      <c r="BG1078" s="219"/>
      <c r="BH1078" s="219"/>
      <c r="BI1078" s="219"/>
      <c r="BJ1078" s="219"/>
      <c r="BK1078" s="219"/>
      <c r="BL1078" s="219"/>
      <c r="BM1078" s="219"/>
      <c r="BN1078" s="219"/>
    </row>
    <row r="1079" ht="29.25" hidden="1" customHeight="1">
      <c r="A1079" s="216"/>
      <c r="B1079" s="217"/>
      <c r="C1079" s="164"/>
      <c r="D1079" s="164"/>
      <c r="E1079" s="165"/>
      <c r="F1079" s="173"/>
      <c r="G1079" s="168"/>
      <c r="H1079" s="168"/>
      <c r="I1079" s="169"/>
      <c r="J1079" s="170"/>
      <c r="K1079" s="170"/>
      <c r="L1079" s="170"/>
      <c r="M1079" s="167"/>
      <c r="N1079" s="169"/>
      <c r="O1079" s="171"/>
      <c r="P1079" s="106"/>
      <c r="Q1079" s="218"/>
      <c r="R1079" s="172"/>
      <c r="S1079" s="172"/>
      <c r="T1079" s="173"/>
      <c r="U1079" s="219"/>
      <c r="V1079" s="219"/>
      <c r="W1079" s="219"/>
      <c r="X1079" s="219"/>
      <c r="Y1079" s="219"/>
      <c r="Z1079" s="219"/>
      <c r="AA1079" s="219"/>
      <c r="AB1079" s="219"/>
      <c r="AC1079" s="219"/>
      <c r="AD1079" s="219"/>
      <c r="AE1079" s="219"/>
      <c r="AF1079" s="219"/>
      <c r="AG1079" s="219"/>
      <c r="AH1079" s="219"/>
      <c r="AI1079" s="219"/>
      <c r="AJ1079" s="219"/>
      <c r="AK1079" s="219"/>
      <c r="AL1079" s="219"/>
      <c r="AM1079" s="219"/>
      <c r="AN1079" s="219"/>
      <c r="AO1079" s="219"/>
      <c r="AP1079" s="219"/>
      <c r="AQ1079" s="219"/>
      <c r="AR1079" s="219"/>
      <c r="AS1079" s="219"/>
      <c r="AT1079" s="219"/>
      <c r="AU1079" s="219"/>
      <c r="AV1079" s="219"/>
      <c r="AW1079" s="219"/>
      <c r="AX1079" s="219"/>
      <c r="AY1079" s="219"/>
      <c r="AZ1079" s="219"/>
      <c r="BA1079" s="219"/>
      <c r="BB1079" s="219"/>
      <c r="BC1079" s="219"/>
      <c r="BD1079" s="219"/>
      <c r="BE1079" s="219"/>
      <c r="BF1079" s="219"/>
      <c r="BG1079" s="219"/>
      <c r="BH1079" s="219"/>
      <c r="BI1079" s="219"/>
      <c r="BJ1079" s="219"/>
      <c r="BK1079" s="219"/>
      <c r="BL1079" s="219"/>
      <c r="BM1079" s="219"/>
      <c r="BN1079" s="219"/>
    </row>
    <row r="1080" ht="29.25" hidden="1" customHeight="1">
      <c r="A1080" s="216"/>
      <c r="B1080" s="217"/>
      <c r="C1080" s="164"/>
      <c r="D1080" s="164"/>
      <c r="E1080" s="165"/>
      <c r="F1080" s="173"/>
      <c r="G1080" s="168"/>
      <c r="H1080" s="168"/>
      <c r="I1080" s="169"/>
      <c r="J1080" s="170"/>
      <c r="K1080" s="170"/>
      <c r="L1080" s="170"/>
      <c r="M1080" s="167"/>
      <c r="N1080" s="169"/>
      <c r="O1080" s="171"/>
      <c r="P1080" s="106"/>
      <c r="Q1080" s="218"/>
      <c r="R1080" s="172"/>
      <c r="S1080" s="172"/>
      <c r="T1080" s="173"/>
      <c r="U1080" s="219"/>
      <c r="V1080" s="219"/>
      <c r="W1080" s="219"/>
      <c r="X1080" s="219"/>
      <c r="Y1080" s="219"/>
      <c r="Z1080" s="219"/>
      <c r="AA1080" s="219"/>
      <c r="AB1080" s="219"/>
      <c r="AC1080" s="219"/>
      <c r="AD1080" s="219"/>
      <c r="AE1080" s="219"/>
      <c r="AF1080" s="219"/>
      <c r="AG1080" s="219"/>
      <c r="AH1080" s="219"/>
      <c r="AI1080" s="219"/>
      <c r="AJ1080" s="219"/>
      <c r="AK1080" s="219"/>
      <c r="AL1080" s="219"/>
      <c r="AM1080" s="219"/>
      <c r="AN1080" s="219"/>
      <c r="AO1080" s="219"/>
      <c r="AP1080" s="219"/>
      <c r="AQ1080" s="219"/>
      <c r="AR1080" s="219"/>
      <c r="AS1080" s="219"/>
      <c r="AT1080" s="219"/>
      <c r="AU1080" s="219"/>
      <c r="AV1080" s="219"/>
      <c r="AW1080" s="219"/>
      <c r="AX1080" s="219"/>
      <c r="AY1080" s="219"/>
      <c r="AZ1080" s="219"/>
      <c r="BA1080" s="219"/>
      <c r="BB1080" s="219"/>
      <c r="BC1080" s="219"/>
      <c r="BD1080" s="219"/>
      <c r="BE1080" s="219"/>
      <c r="BF1080" s="219"/>
      <c r="BG1080" s="219"/>
      <c r="BH1080" s="219"/>
      <c r="BI1080" s="219"/>
      <c r="BJ1080" s="219"/>
      <c r="BK1080" s="219"/>
      <c r="BL1080" s="219"/>
      <c r="BM1080" s="219"/>
      <c r="BN1080" s="219"/>
    </row>
    <row r="1081" ht="29.25" hidden="1" customHeight="1">
      <c r="A1081" s="216"/>
      <c r="B1081" s="217"/>
      <c r="C1081" s="164"/>
      <c r="D1081" s="164"/>
      <c r="E1081" s="165"/>
      <c r="F1081" s="173"/>
      <c r="G1081" s="168"/>
      <c r="H1081" s="168"/>
      <c r="I1081" s="169"/>
      <c r="J1081" s="170"/>
      <c r="K1081" s="170"/>
      <c r="L1081" s="170"/>
      <c r="M1081" s="167"/>
      <c r="N1081" s="169"/>
      <c r="O1081" s="171"/>
      <c r="P1081" s="106"/>
      <c r="Q1081" s="218"/>
      <c r="R1081" s="172"/>
      <c r="S1081" s="172"/>
      <c r="T1081" s="173"/>
      <c r="U1081" s="219"/>
      <c r="V1081" s="219"/>
      <c r="W1081" s="219"/>
      <c r="X1081" s="219"/>
      <c r="Y1081" s="219"/>
      <c r="Z1081" s="219"/>
      <c r="AA1081" s="219"/>
      <c r="AB1081" s="219"/>
      <c r="AC1081" s="219"/>
      <c r="AD1081" s="219"/>
      <c r="AE1081" s="219"/>
      <c r="AF1081" s="219"/>
      <c r="AG1081" s="219"/>
      <c r="AH1081" s="219"/>
      <c r="AI1081" s="219"/>
      <c r="AJ1081" s="219"/>
      <c r="AK1081" s="219"/>
      <c r="AL1081" s="219"/>
      <c r="AM1081" s="219"/>
      <c r="AN1081" s="219"/>
      <c r="AO1081" s="219"/>
      <c r="AP1081" s="219"/>
      <c r="AQ1081" s="219"/>
      <c r="AR1081" s="219"/>
      <c r="AS1081" s="219"/>
      <c r="AT1081" s="219"/>
      <c r="AU1081" s="219"/>
      <c r="AV1081" s="219"/>
      <c r="AW1081" s="219"/>
      <c r="AX1081" s="219"/>
      <c r="AY1081" s="219"/>
      <c r="AZ1081" s="219"/>
      <c r="BA1081" s="219"/>
      <c r="BB1081" s="219"/>
      <c r="BC1081" s="219"/>
      <c r="BD1081" s="219"/>
      <c r="BE1081" s="219"/>
      <c r="BF1081" s="219"/>
      <c r="BG1081" s="219"/>
      <c r="BH1081" s="219"/>
      <c r="BI1081" s="219"/>
      <c r="BJ1081" s="219"/>
      <c r="BK1081" s="219"/>
      <c r="BL1081" s="219"/>
      <c r="BM1081" s="219"/>
      <c r="BN1081" s="219"/>
    </row>
    <row r="1082" ht="29.25" hidden="1" customHeight="1">
      <c r="A1082" s="216"/>
      <c r="B1082" s="217"/>
      <c r="C1082" s="164"/>
      <c r="D1082" s="164"/>
      <c r="E1082" s="165"/>
      <c r="F1082" s="173"/>
      <c r="G1082" s="168"/>
      <c r="H1082" s="168"/>
      <c r="I1082" s="169"/>
      <c r="J1082" s="170"/>
      <c r="K1082" s="170"/>
      <c r="L1082" s="170"/>
      <c r="M1082" s="167"/>
      <c r="N1082" s="169"/>
      <c r="O1082" s="171"/>
      <c r="P1082" s="106"/>
      <c r="Q1082" s="218"/>
      <c r="R1082" s="172"/>
      <c r="S1082" s="172"/>
      <c r="T1082" s="173"/>
      <c r="U1082" s="219"/>
      <c r="V1082" s="219"/>
      <c r="W1082" s="219"/>
      <c r="X1082" s="219"/>
      <c r="Y1082" s="219"/>
      <c r="Z1082" s="219"/>
      <c r="AA1082" s="219"/>
      <c r="AB1082" s="219"/>
      <c r="AC1082" s="219"/>
      <c r="AD1082" s="219"/>
      <c r="AE1082" s="219"/>
      <c r="AF1082" s="219"/>
      <c r="AG1082" s="219"/>
      <c r="AH1082" s="219"/>
      <c r="AI1082" s="219"/>
      <c r="AJ1082" s="219"/>
      <c r="AK1082" s="219"/>
      <c r="AL1082" s="219"/>
      <c r="AM1082" s="219"/>
      <c r="AN1082" s="219"/>
      <c r="AO1082" s="219"/>
      <c r="AP1082" s="219"/>
      <c r="AQ1082" s="219"/>
      <c r="AR1082" s="219"/>
      <c r="AS1082" s="219"/>
      <c r="AT1082" s="219"/>
      <c r="AU1082" s="219"/>
      <c r="AV1082" s="219"/>
      <c r="AW1082" s="219"/>
      <c r="AX1082" s="219"/>
      <c r="AY1082" s="219"/>
      <c r="AZ1082" s="219"/>
      <c r="BA1082" s="219"/>
      <c r="BB1082" s="219"/>
      <c r="BC1082" s="219"/>
      <c r="BD1082" s="219"/>
      <c r="BE1082" s="219"/>
      <c r="BF1082" s="219"/>
      <c r="BG1082" s="219"/>
      <c r="BH1082" s="219"/>
      <c r="BI1082" s="219"/>
      <c r="BJ1082" s="219"/>
      <c r="BK1082" s="219"/>
      <c r="BL1082" s="219"/>
      <c r="BM1082" s="219"/>
      <c r="BN1082" s="219"/>
    </row>
    <row r="1083" ht="29.25" hidden="1" customHeight="1">
      <c r="A1083" s="216"/>
      <c r="B1083" s="217"/>
      <c r="C1083" s="164"/>
      <c r="D1083" s="164"/>
      <c r="E1083" s="165"/>
      <c r="F1083" s="173"/>
      <c r="G1083" s="168"/>
      <c r="H1083" s="168"/>
      <c r="I1083" s="169"/>
      <c r="J1083" s="170"/>
      <c r="K1083" s="170"/>
      <c r="L1083" s="170"/>
      <c r="M1083" s="167"/>
      <c r="N1083" s="169"/>
      <c r="O1083" s="171"/>
      <c r="P1083" s="106"/>
      <c r="Q1083" s="218"/>
      <c r="R1083" s="172"/>
      <c r="S1083" s="172"/>
      <c r="T1083" s="173"/>
      <c r="U1083" s="219"/>
      <c r="V1083" s="219"/>
      <c r="W1083" s="219"/>
      <c r="X1083" s="219"/>
      <c r="Y1083" s="219"/>
      <c r="Z1083" s="219"/>
      <c r="AA1083" s="219"/>
      <c r="AB1083" s="219"/>
      <c r="AC1083" s="219"/>
      <c r="AD1083" s="219"/>
      <c r="AE1083" s="219"/>
      <c r="AF1083" s="219"/>
      <c r="AG1083" s="219"/>
      <c r="AH1083" s="219"/>
      <c r="AI1083" s="219"/>
      <c r="AJ1083" s="219"/>
      <c r="AK1083" s="219"/>
      <c r="AL1083" s="219"/>
      <c r="AM1083" s="219"/>
      <c r="AN1083" s="219"/>
      <c r="AO1083" s="219"/>
      <c r="AP1083" s="219"/>
      <c r="AQ1083" s="219"/>
      <c r="AR1083" s="219"/>
      <c r="AS1083" s="219"/>
      <c r="AT1083" s="219"/>
      <c r="AU1083" s="219"/>
      <c r="AV1083" s="219"/>
      <c r="AW1083" s="219"/>
      <c r="AX1083" s="219"/>
      <c r="AY1083" s="219"/>
      <c r="AZ1083" s="219"/>
      <c r="BA1083" s="219"/>
      <c r="BB1083" s="219"/>
      <c r="BC1083" s="219"/>
      <c r="BD1083" s="219"/>
      <c r="BE1083" s="219"/>
      <c r="BF1083" s="219"/>
      <c r="BG1083" s="219"/>
      <c r="BH1083" s="219"/>
      <c r="BI1083" s="219"/>
      <c r="BJ1083" s="219"/>
      <c r="BK1083" s="219"/>
      <c r="BL1083" s="219"/>
      <c r="BM1083" s="219"/>
      <c r="BN1083" s="219"/>
    </row>
    <row r="1084" ht="29.25" hidden="1" customHeight="1">
      <c r="A1084" s="216"/>
      <c r="B1084" s="217"/>
      <c r="C1084" s="164"/>
      <c r="D1084" s="164"/>
      <c r="E1084" s="165"/>
      <c r="F1084" s="173"/>
      <c r="G1084" s="168"/>
      <c r="H1084" s="168"/>
      <c r="I1084" s="169"/>
      <c r="J1084" s="170"/>
      <c r="K1084" s="170"/>
      <c r="L1084" s="170"/>
      <c r="M1084" s="167"/>
      <c r="N1084" s="169"/>
      <c r="O1084" s="171"/>
      <c r="P1084" s="106"/>
      <c r="Q1084" s="218"/>
      <c r="R1084" s="172"/>
      <c r="S1084" s="172"/>
      <c r="T1084" s="173"/>
      <c r="U1084" s="219"/>
      <c r="V1084" s="219"/>
      <c r="W1084" s="219"/>
      <c r="X1084" s="219"/>
      <c r="Y1084" s="219"/>
      <c r="Z1084" s="219"/>
      <c r="AA1084" s="219"/>
      <c r="AB1084" s="219"/>
      <c r="AC1084" s="219"/>
      <c r="AD1084" s="219"/>
      <c r="AE1084" s="219"/>
      <c r="AF1084" s="219"/>
      <c r="AG1084" s="219"/>
      <c r="AH1084" s="219"/>
      <c r="AI1084" s="219"/>
      <c r="AJ1084" s="219"/>
      <c r="AK1084" s="219"/>
      <c r="AL1084" s="219"/>
      <c r="AM1084" s="219"/>
      <c r="AN1084" s="219"/>
      <c r="AO1084" s="219"/>
      <c r="AP1084" s="219"/>
      <c r="AQ1084" s="219"/>
      <c r="AR1084" s="219"/>
      <c r="AS1084" s="219"/>
      <c r="AT1084" s="219"/>
      <c r="AU1084" s="219"/>
      <c r="AV1084" s="219"/>
      <c r="AW1084" s="219"/>
      <c r="AX1084" s="219"/>
      <c r="AY1084" s="219"/>
      <c r="AZ1084" s="219"/>
      <c r="BA1084" s="219"/>
      <c r="BB1084" s="219"/>
      <c r="BC1084" s="219"/>
      <c r="BD1084" s="219"/>
      <c r="BE1084" s="219"/>
      <c r="BF1084" s="219"/>
      <c r="BG1084" s="219"/>
      <c r="BH1084" s="219"/>
      <c r="BI1084" s="219"/>
      <c r="BJ1084" s="219"/>
      <c r="BK1084" s="219"/>
      <c r="BL1084" s="219"/>
      <c r="BM1084" s="219"/>
      <c r="BN1084" s="219"/>
    </row>
    <row r="1085" ht="29.25" hidden="1" customHeight="1">
      <c r="A1085" s="216"/>
      <c r="B1085" s="217"/>
      <c r="C1085" s="164"/>
      <c r="D1085" s="164"/>
      <c r="E1085" s="165"/>
      <c r="F1085" s="173"/>
      <c r="G1085" s="168"/>
      <c r="H1085" s="168"/>
      <c r="I1085" s="169"/>
      <c r="J1085" s="170"/>
      <c r="K1085" s="170"/>
      <c r="L1085" s="170"/>
      <c r="M1085" s="167"/>
      <c r="N1085" s="169"/>
      <c r="O1085" s="171"/>
      <c r="P1085" s="106"/>
      <c r="Q1085" s="218"/>
      <c r="R1085" s="172"/>
      <c r="S1085" s="172"/>
      <c r="T1085" s="173"/>
      <c r="U1085" s="219"/>
      <c r="V1085" s="219"/>
      <c r="W1085" s="219"/>
      <c r="X1085" s="219"/>
      <c r="Y1085" s="219"/>
      <c r="Z1085" s="219"/>
      <c r="AA1085" s="219"/>
      <c r="AB1085" s="219"/>
      <c r="AC1085" s="219"/>
      <c r="AD1085" s="219"/>
      <c r="AE1085" s="219"/>
      <c r="AF1085" s="219"/>
      <c r="AG1085" s="219"/>
      <c r="AH1085" s="219"/>
      <c r="AI1085" s="219"/>
      <c r="AJ1085" s="219"/>
      <c r="AK1085" s="219"/>
      <c r="AL1085" s="219"/>
      <c r="AM1085" s="219"/>
      <c r="AN1085" s="219"/>
      <c r="AO1085" s="219"/>
      <c r="AP1085" s="219"/>
      <c r="AQ1085" s="219"/>
      <c r="AR1085" s="219"/>
      <c r="AS1085" s="219"/>
      <c r="AT1085" s="219"/>
      <c r="AU1085" s="219"/>
      <c r="AV1085" s="219"/>
      <c r="AW1085" s="219"/>
      <c r="AX1085" s="219"/>
      <c r="AY1085" s="219"/>
      <c r="AZ1085" s="219"/>
      <c r="BA1085" s="219"/>
      <c r="BB1085" s="219"/>
      <c r="BC1085" s="219"/>
      <c r="BD1085" s="219"/>
      <c r="BE1085" s="219"/>
      <c r="BF1085" s="219"/>
      <c r="BG1085" s="219"/>
      <c r="BH1085" s="219"/>
      <c r="BI1085" s="219"/>
      <c r="BJ1085" s="219"/>
      <c r="BK1085" s="219"/>
      <c r="BL1085" s="219"/>
      <c r="BM1085" s="219"/>
      <c r="BN1085" s="219"/>
    </row>
    <row r="1086" ht="29.25" hidden="1" customHeight="1">
      <c r="A1086" s="216"/>
      <c r="B1086" s="217"/>
      <c r="C1086" s="164"/>
      <c r="D1086" s="164"/>
      <c r="E1086" s="165"/>
      <c r="F1086" s="173"/>
      <c r="G1086" s="168"/>
      <c r="H1086" s="168"/>
      <c r="I1086" s="169"/>
      <c r="J1086" s="170"/>
      <c r="K1086" s="170"/>
      <c r="L1086" s="170"/>
      <c r="M1086" s="167"/>
      <c r="N1086" s="169"/>
      <c r="O1086" s="171"/>
      <c r="P1086" s="106"/>
      <c r="Q1086" s="218"/>
      <c r="R1086" s="172"/>
      <c r="S1086" s="172"/>
      <c r="T1086" s="173"/>
      <c r="U1086" s="219"/>
      <c r="V1086" s="219"/>
      <c r="W1086" s="219"/>
      <c r="X1086" s="219"/>
      <c r="Y1086" s="219"/>
      <c r="Z1086" s="219"/>
      <c r="AA1086" s="219"/>
      <c r="AB1086" s="219"/>
      <c r="AC1086" s="219"/>
      <c r="AD1086" s="219"/>
      <c r="AE1086" s="219"/>
      <c r="AF1086" s="219"/>
      <c r="AG1086" s="219"/>
      <c r="AH1086" s="219"/>
      <c r="AI1086" s="219"/>
      <c r="AJ1086" s="219"/>
      <c r="AK1086" s="219"/>
      <c r="AL1086" s="219"/>
      <c r="AM1086" s="219"/>
      <c r="AN1086" s="219"/>
      <c r="AO1086" s="219"/>
      <c r="AP1086" s="219"/>
      <c r="AQ1086" s="219"/>
      <c r="AR1086" s="219"/>
      <c r="AS1086" s="219"/>
      <c r="AT1086" s="219"/>
      <c r="AU1086" s="219"/>
      <c r="AV1086" s="219"/>
      <c r="AW1086" s="219"/>
      <c r="AX1086" s="219"/>
      <c r="AY1086" s="219"/>
      <c r="AZ1086" s="219"/>
      <c r="BA1086" s="219"/>
      <c r="BB1086" s="219"/>
      <c r="BC1086" s="219"/>
      <c r="BD1086" s="219"/>
      <c r="BE1086" s="219"/>
      <c r="BF1086" s="219"/>
      <c r="BG1086" s="219"/>
      <c r="BH1086" s="219"/>
      <c r="BI1086" s="219"/>
      <c r="BJ1086" s="219"/>
      <c r="BK1086" s="219"/>
      <c r="BL1086" s="219"/>
      <c r="BM1086" s="219"/>
      <c r="BN1086" s="219"/>
    </row>
    <row r="1087" ht="29.25" hidden="1" customHeight="1">
      <c r="A1087" s="216"/>
      <c r="B1087" s="217"/>
      <c r="C1087" s="164"/>
      <c r="D1087" s="164"/>
      <c r="E1087" s="165"/>
      <c r="F1087" s="173"/>
      <c r="G1087" s="168"/>
      <c r="H1087" s="168"/>
      <c r="I1087" s="169"/>
      <c r="J1087" s="170"/>
      <c r="K1087" s="170"/>
      <c r="L1087" s="170"/>
      <c r="M1087" s="167"/>
      <c r="N1087" s="169"/>
      <c r="O1087" s="171"/>
      <c r="P1087" s="106"/>
      <c r="Q1087" s="218"/>
      <c r="R1087" s="172"/>
      <c r="S1087" s="172"/>
      <c r="T1087" s="173"/>
      <c r="U1087" s="219"/>
      <c r="V1087" s="219"/>
      <c r="W1087" s="219"/>
      <c r="X1087" s="219"/>
      <c r="Y1087" s="219"/>
      <c r="Z1087" s="219"/>
      <c r="AA1087" s="219"/>
      <c r="AB1087" s="219"/>
      <c r="AC1087" s="219"/>
      <c r="AD1087" s="219"/>
      <c r="AE1087" s="219"/>
      <c r="AF1087" s="219"/>
      <c r="AG1087" s="219"/>
      <c r="AH1087" s="219"/>
      <c r="AI1087" s="219"/>
      <c r="AJ1087" s="219"/>
      <c r="AK1087" s="219"/>
      <c r="AL1087" s="219"/>
      <c r="AM1087" s="219"/>
      <c r="AN1087" s="219"/>
      <c r="AO1087" s="219"/>
      <c r="AP1087" s="219"/>
      <c r="AQ1087" s="219"/>
      <c r="AR1087" s="219"/>
      <c r="AS1087" s="219"/>
      <c r="AT1087" s="219"/>
      <c r="AU1087" s="219"/>
      <c r="AV1087" s="219"/>
      <c r="AW1087" s="219"/>
      <c r="AX1087" s="219"/>
      <c r="AY1087" s="219"/>
      <c r="AZ1087" s="219"/>
      <c r="BA1087" s="219"/>
      <c r="BB1087" s="219"/>
      <c r="BC1087" s="219"/>
      <c r="BD1087" s="219"/>
      <c r="BE1087" s="219"/>
      <c r="BF1087" s="219"/>
      <c r="BG1087" s="219"/>
      <c r="BH1087" s="219"/>
      <c r="BI1087" s="219"/>
      <c r="BJ1087" s="219"/>
      <c r="BK1087" s="219"/>
      <c r="BL1087" s="219"/>
      <c r="BM1087" s="219"/>
      <c r="BN1087" s="219"/>
    </row>
    <row r="1088" ht="29.25" hidden="1" customHeight="1">
      <c r="A1088" s="216"/>
      <c r="B1088" s="217"/>
      <c r="C1088" s="164"/>
      <c r="D1088" s="164"/>
      <c r="E1088" s="165"/>
      <c r="F1088" s="173"/>
      <c r="G1088" s="168"/>
      <c r="H1088" s="168"/>
      <c r="I1088" s="169"/>
      <c r="J1088" s="170"/>
      <c r="K1088" s="170"/>
      <c r="L1088" s="170"/>
      <c r="M1088" s="167"/>
      <c r="N1088" s="169"/>
      <c r="O1088" s="171"/>
      <c r="P1088" s="106"/>
      <c r="Q1088" s="218"/>
      <c r="R1088" s="172"/>
      <c r="S1088" s="172"/>
      <c r="T1088" s="173"/>
      <c r="U1088" s="219"/>
      <c r="V1088" s="219"/>
      <c r="W1088" s="219"/>
      <c r="X1088" s="219"/>
      <c r="Y1088" s="219"/>
      <c r="Z1088" s="219"/>
      <c r="AA1088" s="219"/>
      <c r="AB1088" s="219"/>
      <c r="AC1088" s="219"/>
      <c r="AD1088" s="219"/>
      <c r="AE1088" s="219"/>
      <c r="AF1088" s="219"/>
      <c r="AG1088" s="219"/>
      <c r="AH1088" s="219"/>
      <c r="AI1088" s="219"/>
      <c r="AJ1088" s="219"/>
      <c r="AK1088" s="219"/>
      <c r="AL1088" s="219"/>
      <c r="AM1088" s="219"/>
      <c r="AN1088" s="219"/>
      <c r="AO1088" s="219"/>
      <c r="AP1088" s="219"/>
      <c r="AQ1088" s="219"/>
      <c r="AR1088" s="219"/>
      <c r="AS1088" s="219"/>
      <c r="AT1088" s="219"/>
      <c r="AU1088" s="219"/>
      <c r="AV1088" s="219"/>
      <c r="AW1088" s="219"/>
      <c r="AX1088" s="219"/>
      <c r="AY1088" s="219"/>
      <c r="AZ1088" s="219"/>
      <c r="BA1088" s="219"/>
      <c r="BB1088" s="219"/>
      <c r="BC1088" s="219"/>
      <c r="BD1088" s="219"/>
      <c r="BE1088" s="219"/>
      <c r="BF1088" s="219"/>
      <c r="BG1088" s="219"/>
      <c r="BH1088" s="219"/>
      <c r="BI1088" s="219"/>
      <c r="BJ1088" s="219"/>
      <c r="BK1088" s="219"/>
      <c r="BL1088" s="219"/>
      <c r="BM1088" s="219"/>
      <c r="BN1088" s="219"/>
    </row>
    <row r="1089" ht="29.25" hidden="1" customHeight="1">
      <c r="A1089" s="216"/>
      <c r="B1089" s="217"/>
      <c r="C1089" s="164"/>
      <c r="D1089" s="164"/>
      <c r="E1089" s="165"/>
      <c r="F1089" s="173"/>
      <c r="G1089" s="168"/>
      <c r="H1089" s="168"/>
      <c r="I1089" s="169"/>
      <c r="J1089" s="170"/>
      <c r="K1089" s="170"/>
      <c r="L1089" s="170"/>
      <c r="M1089" s="167"/>
      <c r="N1089" s="169"/>
      <c r="O1089" s="171"/>
      <c r="P1089" s="106"/>
      <c r="Q1089" s="218"/>
      <c r="R1089" s="172"/>
      <c r="S1089" s="172"/>
      <c r="T1089" s="173"/>
      <c r="U1089" s="219"/>
      <c r="V1089" s="219"/>
      <c r="W1089" s="219"/>
      <c r="X1089" s="219"/>
      <c r="Y1089" s="219"/>
      <c r="Z1089" s="219"/>
      <c r="AA1089" s="219"/>
      <c r="AB1089" s="219"/>
      <c r="AC1089" s="219"/>
      <c r="AD1089" s="219"/>
      <c r="AE1089" s="219"/>
      <c r="AF1089" s="219"/>
      <c r="AG1089" s="219"/>
      <c r="AH1089" s="219"/>
      <c r="AI1089" s="219"/>
      <c r="AJ1089" s="219"/>
      <c r="AK1089" s="219"/>
      <c r="AL1089" s="219"/>
      <c r="AM1089" s="219"/>
      <c r="AN1089" s="219"/>
      <c r="AO1089" s="219"/>
      <c r="AP1089" s="219"/>
      <c r="AQ1089" s="219"/>
      <c r="AR1089" s="219"/>
      <c r="AS1089" s="219"/>
      <c r="AT1089" s="219"/>
      <c r="AU1089" s="219"/>
      <c r="AV1089" s="219"/>
      <c r="AW1089" s="219"/>
      <c r="AX1089" s="219"/>
      <c r="AY1089" s="219"/>
      <c r="AZ1089" s="219"/>
      <c r="BA1089" s="219"/>
      <c r="BB1089" s="219"/>
      <c r="BC1089" s="219"/>
      <c r="BD1089" s="219"/>
      <c r="BE1089" s="219"/>
      <c r="BF1089" s="219"/>
      <c r="BG1089" s="219"/>
      <c r="BH1089" s="219"/>
      <c r="BI1089" s="219"/>
      <c r="BJ1089" s="219"/>
      <c r="BK1089" s="219"/>
      <c r="BL1089" s="219"/>
      <c r="BM1089" s="219"/>
      <c r="BN1089" s="219"/>
    </row>
    <row r="1090" ht="29.25" hidden="1" customHeight="1">
      <c r="A1090" s="216"/>
      <c r="B1090" s="217"/>
      <c r="C1090" s="164"/>
      <c r="D1090" s="164"/>
      <c r="E1090" s="165"/>
      <c r="F1090" s="173"/>
      <c r="G1090" s="168"/>
      <c r="H1090" s="168"/>
      <c r="I1090" s="169"/>
      <c r="J1090" s="170"/>
      <c r="K1090" s="170"/>
      <c r="L1090" s="170"/>
      <c r="M1090" s="167"/>
      <c r="N1090" s="169"/>
      <c r="O1090" s="171"/>
      <c r="P1090" s="106"/>
      <c r="Q1090" s="218"/>
      <c r="R1090" s="172"/>
      <c r="S1090" s="172"/>
      <c r="T1090" s="173"/>
      <c r="U1090" s="219"/>
      <c r="V1090" s="219"/>
      <c r="W1090" s="219"/>
      <c r="X1090" s="219"/>
      <c r="Y1090" s="219"/>
      <c r="Z1090" s="219"/>
      <c r="AA1090" s="219"/>
      <c r="AB1090" s="219"/>
      <c r="AC1090" s="219"/>
      <c r="AD1090" s="219"/>
      <c r="AE1090" s="219"/>
      <c r="AF1090" s="219"/>
      <c r="AG1090" s="219"/>
      <c r="AH1090" s="219"/>
      <c r="AI1090" s="219"/>
      <c r="AJ1090" s="219"/>
      <c r="AK1090" s="219"/>
      <c r="AL1090" s="219"/>
      <c r="AM1090" s="219"/>
      <c r="AN1090" s="219"/>
      <c r="AO1090" s="219"/>
      <c r="AP1090" s="219"/>
      <c r="AQ1090" s="219"/>
      <c r="AR1090" s="219"/>
      <c r="AS1090" s="219"/>
      <c r="AT1090" s="219"/>
      <c r="AU1090" s="219"/>
      <c r="AV1090" s="219"/>
      <c r="AW1090" s="219"/>
      <c r="AX1090" s="219"/>
      <c r="AY1090" s="219"/>
      <c r="AZ1090" s="219"/>
      <c r="BA1090" s="219"/>
      <c r="BB1090" s="219"/>
      <c r="BC1090" s="219"/>
      <c r="BD1090" s="219"/>
      <c r="BE1090" s="219"/>
      <c r="BF1090" s="219"/>
      <c r="BG1090" s="219"/>
      <c r="BH1090" s="219"/>
      <c r="BI1090" s="219"/>
      <c r="BJ1090" s="219"/>
      <c r="BK1090" s="219"/>
      <c r="BL1090" s="219"/>
      <c r="BM1090" s="219"/>
      <c r="BN1090" s="219"/>
    </row>
    <row r="1091" ht="29.25" hidden="1" customHeight="1">
      <c r="A1091" s="216"/>
      <c r="B1091" s="217"/>
      <c r="C1091" s="164"/>
      <c r="D1091" s="164"/>
      <c r="E1091" s="165"/>
      <c r="F1091" s="173"/>
      <c r="G1091" s="168"/>
      <c r="H1091" s="168"/>
      <c r="I1091" s="169"/>
      <c r="J1091" s="170"/>
      <c r="K1091" s="170"/>
      <c r="L1091" s="170"/>
      <c r="M1091" s="167"/>
      <c r="N1091" s="169"/>
      <c r="O1091" s="171"/>
      <c r="P1091" s="106"/>
      <c r="Q1091" s="218"/>
      <c r="R1091" s="172"/>
      <c r="S1091" s="172"/>
      <c r="T1091" s="173"/>
      <c r="U1091" s="219"/>
      <c r="V1091" s="219"/>
      <c r="W1091" s="219"/>
      <c r="X1091" s="219"/>
      <c r="Y1091" s="219"/>
      <c r="Z1091" s="219"/>
      <c r="AA1091" s="219"/>
      <c r="AB1091" s="219"/>
      <c r="AC1091" s="219"/>
      <c r="AD1091" s="219"/>
      <c r="AE1091" s="219"/>
      <c r="AF1091" s="219"/>
      <c r="AG1091" s="219"/>
      <c r="AH1091" s="219"/>
      <c r="AI1091" s="219"/>
      <c r="AJ1091" s="219"/>
      <c r="AK1091" s="219"/>
      <c r="AL1091" s="219"/>
      <c r="AM1091" s="219"/>
      <c r="AN1091" s="219"/>
      <c r="AO1091" s="219"/>
      <c r="AP1091" s="219"/>
      <c r="AQ1091" s="219"/>
      <c r="AR1091" s="219"/>
      <c r="AS1091" s="219"/>
      <c r="AT1091" s="219"/>
      <c r="AU1091" s="219"/>
      <c r="AV1091" s="219"/>
      <c r="AW1091" s="219"/>
      <c r="AX1091" s="219"/>
      <c r="AY1091" s="219"/>
      <c r="AZ1091" s="219"/>
      <c r="BA1091" s="219"/>
      <c r="BB1091" s="219"/>
      <c r="BC1091" s="219"/>
      <c r="BD1091" s="219"/>
      <c r="BE1091" s="219"/>
      <c r="BF1091" s="219"/>
      <c r="BG1091" s="219"/>
      <c r="BH1091" s="219"/>
      <c r="BI1091" s="219"/>
      <c r="BJ1091" s="219"/>
      <c r="BK1091" s="219"/>
      <c r="BL1091" s="219"/>
      <c r="BM1091" s="219"/>
      <c r="BN1091" s="219"/>
    </row>
    <row r="1092" ht="29.25" hidden="1" customHeight="1">
      <c r="A1092" s="216"/>
      <c r="B1092" s="217"/>
      <c r="C1092" s="164"/>
      <c r="D1092" s="164"/>
      <c r="E1092" s="165"/>
      <c r="F1092" s="173"/>
      <c r="G1092" s="168"/>
      <c r="H1092" s="168"/>
      <c r="I1092" s="169"/>
      <c r="J1092" s="170"/>
      <c r="K1092" s="170"/>
      <c r="L1092" s="170"/>
      <c r="M1092" s="167"/>
      <c r="N1092" s="169"/>
      <c r="O1092" s="171"/>
      <c r="P1092" s="106"/>
      <c r="Q1092" s="218"/>
      <c r="R1092" s="172"/>
      <c r="S1092" s="172"/>
      <c r="T1092" s="173"/>
      <c r="U1092" s="219"/>
      <c r="V1092" s="219"/>
      <c r="W1092" s="219"/>
      <c r="X1092" s="219"/>
      <c r="Y1092" s="219"/>
      <c r="Z1092" s="219"/>
      <c r="AA1092" s="219"/>
      <c r="AB1092" s="219"/>
      <c r="AC1092" s="219"/>
      <c r="AD1092" s="219"/>
      <c r="AE1092" s="219"/>
      <c r="AF1092" s="219"/>
      <c r="AG1092" s="219"/>
      <c r="AH1092" s="219"/>
      <c r="AI1092" s="219"/>
      <c r="AJ1092" s="219"/>
      <c r="AK1092" s="219"/>
      <c r="AL1092" s="219"/>
      <c r="AM1092" s="219"/>
      <c r="AN1092" s="219"/>
      <c r="AO1092" s="219"/>
      <c r="AP1092" s="219"/>
      <c r="AQ1092" s="219"/>
      <c r="AR1092" s="219"/>
      <c r="AS1092" s="219"/>
      <c r="AT1092" s="219"/>
      <c r="AU1092" s="219"/>
      <c r="AV1092" s="219"/>
      <c r="AW1092" s="219"/>
      <c r="AX1092" s="219"/>
      <c r="AY1092" s="219"/>
      <c r="AZ1092" s="219"/>
      <c r="BA1092" s="219"/>
      <c r="BB1092" s="219"/>
      <c r="BC1092" s="219"/>
      <c r="BD1092" s="219"/>
      <c r="BE1092" s="219"/>
      <c r="BF1092" s="219"/>
      <c r="BG1092" s="219"/>
      <c r="BH1092" s="219"/>
      <c r="BI1092" s="219"/>
      <c r="BJ1092" s="219"/>
      <c r="BK1092" s="219"/>
      <c r="BL1092" s="219"/>
      <c r="BM1092" s="219"/>
      <c r="BN1092" s="219"/>
    </row>
    <row r="1093" ht="29.25" hidden="1" customHeight="1">
      <c r="A1093" s="216"/>
      <c r="B1093" s="217"/>
      <c r="C1093" s="164"/>
      <c r="D1093" s="164"/>
      <c r="E1093" s="165"/>
      <c r="F1093" s="173"/>
      <c r="G1093" s="168"/>
      <c r="H1093" s="168"/>
      <c r="I1093" s="169"/>
      <c r="J1093" s="170"/>
      <c r="K1093" s="170"/>
      <c r="L1093" s="170"/>
      <c r="M1093" s="167"/>
      <c r="N1093" s="169"/>
      <c r="O1093" s="171"/>
      <c r="P1093" s="106"/>
      <c r="Q1093" s="218"/>
      <c r="R1093" s="172"/>
      <c r="S1093" s="172"/>
      <c r="T1093" s="173"/>
      <c r="U1093" s="219"/>
      <c r="V1093" s="219"/>
      <c r="W1093" s="219"/>
      <c r="X1093" s="219"/>
      <c r="Y1093" s="219"/>
      <c r="Z1093" s="219"/>
      <c r="AA1093" s="219"/>
      <c r="AB1093" s="219"/>
      <c r="AC1093" s="219"/>
      <c r="AD1093" s="219"/>
      <c r="AE1093" s="219"/>
      <c r="AF1093" s="219"/>
      <c r="AG1093" s="219"/>
      <c r="AH1093" s="219"/>
      <c r="AI1093" s="219"/>
      <c r="AJ1093" s="219"/>
      <c r="AK1093" s="219"/>
      <c r="AL1093" s="219"/>
      <c r="AM1093" s="219"/>
      <c r="AN1093" s="219"/>
      <c r="AO1093" s="219"/>
      <c r="AP1093" s="219"/>
      <c r="AQ1093" s="219"/>
      <c r="AR1093" s="219"/>
      <c r="AS1093" s="219"/>
      <c r="AT1093" s="219"/>
      <c r="AU1093" s="219"/>
      <c r="AV1093" s="219"/>
      <c r="AW1093" s="219"/>
      <c r="AX1093" s="219"/>
      <c r="AY1093" s="219"/>
      <c r="AZ1093" s="219"/>
      <c r="BA1093" s="219"/>
      <c r="BB1093" s="219"/>
      <c r="BC1093" s="219"/>
      <c r="BD1093" s="219"/>
      <c r="BE1093" s="219"/>
      <c r="BF1093" s="219"/>
      <c r="BG1093" s="219"/>
      <c r="BH1093" s="219"/>
      <c r="BI1093" s="219"/>
      <c r="BJ1093" s="219"/>
      <c r="BK1093" s="219"/>
      <c r="BL1093" s="219"/>
      <c r="BM1093" s="219"/>
      <c r="BN1093" s="219"/>
    </row>
    <row r="1094" ht="29.25" hidden="1" customHeight="1">
      <c r="A1094" s="216"/>
      <c r="B1094" s="217"/>
      <c r="C1094" s="164"/>
      <c r="D1094" s="164"/>
      <c r="E1094" s="165"/>
      <c r="F1094" s="173"/>
      <c r="G1094" s="168"/>
      <c r="H1094" s="168"/>
      <c r="I1094" s="169"/>
      <c r="J1094" s="170"/>
      <c r="K1094" s="170"/>
      <c r="L1094" s="170"/>
      <c r="M1094" s="167"/>
      <c r="N1094" s="169"/>
      <c r="O1094" s="171"/>
      <c r="P1094" s="106"/>
      <c r="Q1094" s="218"/>
      <c r="R1094" s="172"/>
      <c r="S1094" s="172"/>
      <c r="T1094" s="173"/>
      <c r="U1094" s="219"/>
      <c r="V1094" s="219"/>
      <c r="W1094" s="219"/>
      <c r="X1094" s="219"/>
      <c r="Y1094" s="219"/>
      <c r="Z1094" s="219"/>
      <c r="AA1094" s="219"/>
      <c r="AB1094" s="219"/>
      <c r="AC1094" s="219"/>
      <c r="AD1094" s="219"/>
      <c r="AE1094" s="219"/>
      <c r="AF1094" s="219"/>
      <c r="AG1094" s="219"/>
      <c r="AH1094" s="219"/>
      <c r="AI1094" s="219"/>
      <c r="AJ1094" s="219"/>
      <c r="AK1094" s="219"/>
      <c r="AL1094" s="219"/>
      <c r="AM1094" s="219"/>
      <c r="AN1094" s="219"/>
      <c r="AO1094" s="219"/>
      <c r="AP1094" s="219"/>
      <c r="AQ1094" s="219"/>
      <c r="AR1094" s="219"/>
      <c r="AS1094" s="219"/>
      <c r="AT1094" s="219"/>
      <c r="AU1094" s="219"/>
      <c r="AV1094" s="219"/>
      <c r="AW1094" s="219"/>
      <c r="AX1094" s="219"/>
      <c r="AY1094" s="219"/>
      <c r="AZ1094" s="219"/>
      <c r="BA1094" s="219"/>
      <c r="BB1094" s="219"/>
      <c r="BC1094" s="219"/>
      <c r="BD1094" s="219"/>
      <c r="BE1094" s="219"/>
      <c r="BF1094" s="219"/>
      <c r="BG1094" s="219"/>
      <c r="BH1094" s="219"/>
      <c r="BI1094" s="219"/>
      <c r="BJ1094" s="219"/>
      <c r="BK1094" s="219"/>
      <c r="BL1094" s="219"/>
      <c r="BM1094" s="219"/>
      <c r="BN1094" s="219"/>
    </row>
    <row r="1095" ht="29.25" hidden="1" customHeight="1">
      <c r="A1095" s="216"/>
      <c r="B1095" s="217"/>
      <c r="C1095" s="164"/>
      <c r="D1095" s="164"/>
      <c r="E1095" s="165"/>
      <c r="F1095" s="173"/>
      <c r="G1095" s="168"/>
      <c r="H1095" s="168"/>
      <c r="I1095" s="169"/>
      <c r="J1095" s="170"/>
      <c r="K1095" s="170"/>
      <c r="L1095" s="170"/>
      <c r="M1095" s="167"/>
      <c r="N1095" s="169"/>
      <c r="O1095" s="171"/>
      <c r="P1095" s="106"/>
      <c r="Q1095" s="218"/>
      <c r="R1095" s="172"/>
      <c r="S1095" s="172"/>
      <c r="T1095" s="173"/>
      <c r="U1095" s="219"/>
      <c r="V1095" s="219"/>
      <c r="W1095" s="219"/>
      <c r="X1095" s="219"/>
      <c r="Y1095" s="219"/>
      <c r="Z1095" s="219"/>
      <c r="AA1095" s="219"/>
      <c r="AB1095" s="219"/>
      <c r="AC1095" s="219"/>
      <c r="AD1095" s="219"/>
      <c r="AE1095" s="219"/>
      <c r="AF1095" s="219"/>
      <c r="AG1095" s="219"/>
      <c r="AH1095" s="219"/>
      <c r="AI1095" s="219"/>
      <c r="AJ1095" s="219"/>
      <c r="AK1095" s="219"/>
      <c r="AL1095" s="219"/>
      <c r="AM1095" s="219"/>
      <c r="AN1095" s="219"/>
      <c r="AO1095" s="219"/>
      <c r="AP1095" s="219"/>
      <c r="AQ1095" s="219"/>
      <c r="AR1095" s="219"/>
      <c r="AS1095" s="219"/>
      <c r="AT1095" s="219"/>
      <c r="AU1095" s="219"/>
      <c r="AV1095" s="219"/>
      <c r="AW1095" s="219"/>
      <c r="AX1095" s="219"/>
      <c r="AY1095" s="219"/>
      <c r="AZ1095" s="219"/>
      <c r="BA1095" s="219"/>
      <c r="BB1095" s="219"/>
      <c r="BC1095" s="219"/>
      <c r="BD1095" s="219"/>
      <c r="BE1095" s="219"/>
      <c r="BF1095" s="219"/>
      <c r="BG1095" s="219"/>
      <c r="BH1095" s="219"/>
      <c r="BI1095" s="219"/>
      <c r="BJ1095" s="219"/>
      <c r="BK1095" s="219"/>
      <c r="BL1095" s="219"/>
      <c r="BM1095" s="219"/>
      <c r="BN1095" s="219"/>
    </row>
    <row r="1096" ht="29.25" hidden="1" customHeight="1">
      <c r="A1096" s="216"/>
      <c r="B1096" s="217"/>
      <c r="C1096" s="164"/>
      <c r="D1096" s="220"/>
      <c r="E1096" s="165"/>
      <c r="F1096" s="173"/>
      <c r="G1096" s="168"/>
      <c r="H1096" s="168"/>
      <c r="I1096" s="169"/>
      <c r="J1096" s="170"/>
      <c r="K1096" s="170"/>
      <c r="L1096" s="170"/>
      <c r="M1096" s="167"/>
      <c r="N1096" s="169"/>
      <c r="O1096" s="171"/>
      <c r="P1096" s="106"/>
      <c r="Q1096" s="218"/>
      <c r="R1096" s="172"/>
      <c r="S1096" s="172"/>
      <c r="T1096" s="173"/>
      <c r="U1096" s="219"/>
      <c r="V1096" s="219"/>
      <c r="W1096" s="219"/>
      <c r="X1096" s="219"/>
      <c r="Y1096" s="219"/>
      <c r="Z1096" s="219"/>
      <c r="AA1096" s="219"/>
      <c r="AB1096" s="219"/>
      <c r="AC1096" s="219"/>
      <c r="AD1096" s="219"/>
      <c r="AE1096" s="219"/>
      <c r="AF1096" s="219"/>
      <c r="AG1096" s="219"/>
      <c r="AH1096" s="219"/>
      <c r="AI1096" s="219"/>
      <c r="AJ1096" s="219"/>
      <c r="AK1096" s="219"/>
      <c r="AL1096" s="219"/>
      <c r="AM1096" s="219"/>
      <c r="AN1096" s="219"/>
      <c r="AO1096" s="219"/>
      <c r="AP1096" s="219"/>
      <c r="AQ1096" s="219"/>
      <c r="AR1096" s="219"/>
      <c r="AS1096" s="219"/>
      <c r="AT1096" s="219"/>
      <c r="AU1096" s="219"/>
      <c r="AV1096" s="219"/>
      <c r="AW1096" s="219"/>
      <c r="AX1096" s="219"/>
      <c r="AY1096" s="219"/>
      <c r="AZ1096" s="219"/>
      <c r="BA1096" s="219"/>
      <c r="BB1096" s="219"/>
      <c r="BC1096" s="219"/>
      <c r="BD1096" s="219"/>
      <c r="BE1096" s="219"/>
      <c r="BF1096" s="219"/>
      <c r="BG1096" s="219"/>
      <c r="BH1096" s="219"/>
      <c r="BI1096" s="219"/>
      <c r="BJ1096" s="219"/>
      <c r="BK1096" s="219"/>
      <c r="BL1096" s="219"/>
      <c r="BM1096" s="219"/>
      <c r="BN1096" s="219"/>
    </row>
    <row r="1097" ht="29.25" hidden="1" customHeight="1">
      <c r="A1097" s="216"/>
      <c r="B1097" s="217"/>
      <c r="C1097" s="164"/>
      <c r="D1097" s="221"/>
      <c r="E1097" s="165"/>
      <c r="F1097" s="173"/>
      <c r="G1097" s="168"/>
      <c r="H1097" s="168"/>
      <c r="I1097" s="169"/>
      <c r="J1097" s="170"/>
      <c r="K1097" s="170"/>
      <c r="L1097" s="170"/>
      <c r="M1097" s="167"/>
      <c r="N1097" s="169"/>
      <c r="O1097" s="171"/>
      <c r="P1097" s="106"/>
      <c r="Q1097" s="218"/>
      <c r="R1097" s="172"/>
      <c r="S1097" s="172"/>
      <c r="T1097" s="173"/>
      <c r="U1097" s="219"/>
      <c r="V1097" s="219"/>
      <c r="W1097" s="219"/>
      <c r="X1097" s="219"/>
      <c r="Y1097" s="219"/>
      <c r="Z1097" s="219"/>
      <c r="AA1097" s="219"/>
      <c r="AB1097" s="219"/>
      <c r="AC1097" s="219"/>
      <c r="AD1097" s="219"/>
      <c r="AE1097" s="219"/>
      <c r="AF1097" s="219"/>
      <c r="AG1097" s="219"/>
      <c r="AH1097" s="219"/>
      <c r="AI1097" s="219"/>
      <c r="AJ1097" s="219"/>
      <c r="AK1097" s="219"/>
      <c r="AL1097" s="219"/>
      <c r="AM1097" s="219"/>
      <c r="AN1097" s="219"/>
      <c r="AO1097" s="219"/>
      <c r="AP1097" s="219"/>
      <c r="AQ1097" s="219"/>
      <c r="AR1097" s="219"/>
      <c r="AS1097" s="219"/>
      <c r="AT1097" s="219"/>
      <c r="AU1097" s="219"/>
      <c r="AV1097" s="219"/>
      <c r="AW1097" s="219"/>
      <c r="AX1097" s="219"/>
      <c r="AY1097" s="219"/>
      <c r="AZ1097" s="219"/>
      <c r="BA1097" s="219"/>
      <c r="BB1097" s="219"/>
      <c r="BC1097" s="219"/>
      <c r="BD1097" s="219"/>
      <c r="BE1097" s="219"/>
      <c r="BF1097" s="219"/>
      <c r="BG1097" s="219"/>
      <c r="BH1097" s="219"/>
      <c r="BI1097" s="219"/>
      <c r="BJ1097" s="219"/>
      <c r="BK1097" s="219"/>
      <c r="BL1097" s="219"/>
      <c r="BM1097" s="219"/>
      <c r="BN1097" s="219"/>
    </row>
  </sheetData>
  <conditionalFormatting sqref="B2:B1097">
    <cfRule type="expression" dxfId="7" priority="1">
      <formula>COUNTIF($B$2:$B$1095,B2)&gt;1</formula>
    </cfRule>
  </conditionalFormatting>
  <dataValidations>
    <dataValidation type="list" allowBlank="1" sqref="F2:F1097">
      <formula1>"ENTRENAMIENTO,DETENIDO CLIENTE,FINALIZADO,EN PROCESO,PAUSADO,EN TEST,CONTROL DE CAMBIOS PRODUCCION,PENDIENTE,PRUEBAS CLIENTE,PENDIENTE CLIENTE,PRUEBAS IMAGINE,paso a produccion,CONTROL CAMBIOS TEST,ESTIMAR,REANUDAR,CANCELADO"</formula1>
    </dataValidation>
    <dataValidation type="custom" allowBlank="1" showDropDown="1" sqref="I2:L1097 N2:O1097">
      <formula1>OR(NOT(ISERROR(DATEVALUE(I2))), AND(ISNUMBER(I2), LEFT(CELL("format", I2))="D"))</formula1>
    </dataValidation>
    <dataValidation type="list" allowBlank="1" sqref="T2:T1097">
      <formula1>"Opción 1,Opción 2"</formula1>
    </dataValidation>
    <dataValidation allowBlank="1" showDropDown="1" sqref="Q2:Q1097"/>
    <dataValidation type="list" allowBlank="1" showDropDown="1" sqref="B2:B1097">
      <formula1>"iNTERNO"</formula1>
    </dataValidation>
    <dataValidation type="list" allowBlank="1" showDropDown="1" sqref="C34:C35 C64:C66 C74:C75 C190 C192:C193 C195:C196 C198:C209 C211:C230 C253">
      <formula1>"iNTERNO"</formula1>
    </dataValidation>
  </dataValidations>
  <hyperlinks>
    <hyperlink r:id="rId2" ref="B21"/>
    <hyperlink r:id="rId3" ref="D56"/>
    <hyperlink r:id="rId4" ref="P154"/>
    <hyperlink r:id="rId5" ref="D175"/>
    <hyperlink r:id="rId6" ref="U200"/>
    <hyperlink r:id="rId7" ref="U246"/>
    <hyperlink r:id="rId8" ref="D264"/>
  </hyperlinks>
  <printOptions/>
  <pageMargins bottom="0.75" footer="0.0" header="0.0" left="0.7" right="0.7" top="0.75"/>
  <pageSetup orientation="portrait"/>
  <drawing r:id="rId9"/>
  <legacyDrawing r:id="rId10"/>
  <tableParts count="1">
    <tablePart r:id="rId12"/>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0000"/>
    <pageSetUpPr/>
  </sheetPr>
  <sheetViews>
    <sheetView workbookViewId="0"/>
  </sheetViews>
  <sheetFormatPr customHeight="1" defaultColWidth="11.22" defaultRowHeight="15.0"/>
  <cols>
    <col customWidth="1" min="1" max="1" width="12.56"/>
    <col customWidth="1" min="2" max="2" width="17.22"/>
    <col customWidth="1" min="3" max="3" width="36.67"/>
    <col customWidth="1" min="4" max="4" width="24.67"/>
    <col customWidth="1" min="5" max="5" width="24.44"/>
    <col customWidth="1" min="6" max="6" width="17.0"/>
    <col customWidth="1" min="7" max="7" width="6.78"/>
    <col customWidth="1" min="8" max="8" width="8.22"/>
    <col customWidth="1" min="9" max="9" width="8.56"/>
    <col customWidth="1" min="10" max="10" width="10.11"/>
    <col customWidth="1" min="11" max="11" width="10.22"/>
    <col customWidth="1" min="12" max="12" width="8.67"/>
    <col customWidth="1" min="13" max="13" width="8.78"/>
    <col customWidth="1" min="14" max="14" width="11.0"/>
    <col customWidth="1" min="15" max="15" width="14.11"/>
    <col customWidth="1" min="16" max="16" width="49.67"/>
    <col customWidth="1" min="17" max="17" width="12.89"/>
    <col customWidth="1" hidden="1" min="18" max="18" width="40.33"/>
  </cols>
  <sheetData>
    <row r="1" ht="29.25" customHeight="1">
      <c r="A1" s="1" t="s">
        <v>0</v>
      </c>
      <c r="B1" s="2" t="s">
        <v>1400</v>
      </c>
      <c r="C1" s="3" t="s">
        <v>2</v>
      </c>
      <c r="D1" s="222" t="s">
        <v>1401</v>
      </c>
      <c r="E1" s="223" t="s">
        <v>1402</v>
      </c>
      <c r="F1" s="6" t="s">
        <v>5</v>
      </c>
      <c r="G1" s="7" t="s">
        <v>1403</v>
      </c>
      <c r="H1" s="8" t="s">
        <v>7</v>
      </c>
      <c r="I1" s="9" t="s">
        <v>8</v>
      </c>
      <c r="J1" s="9" t="s">
        <v>9</v>
      </c>
      <c r="K1" s="10" t="s">
        <v>1404</v>
      </c>
      <c r="L1" s="10" t="s">
        <v>11</v>
      </c>
      <c r="M1" s="9" t="s">
        <v>12</v>
      </c>
      <c r="N1" s="9" t="s">
        <v>13</v>
      </c>
      <c r="O1" s="9" t="s">
        <v>14</v>
      </c>
      <c r="P1" s="11" t="s">
        <v>15</v>
      </c>
      <c r="Q1" s="223" t="s">
        <v>1405</v>
      </c>
      <c r="R1" s="224" t="s">
        <v>1406</v>
      </c>
    </row>
    <row r="2" ht="75.75" customHeight="1">
      <c r="A2" s="15" t="s">
        <v>1407</v>
      </c>
      <c r="B2" s="225" t="s">
        <v>1408</v>
      </c>
      <c r="C2" s="17" t="s">
        <v>1409</v>
      </c>
      <c r="D2" s="226"/>
      <c r="E2" s="227" t="s">
        <v>1410</v>
      </c>
      <c r="F2" s="19" t="s">
        <v>75</v>
      </c>
      <c r="G2" s="20">
        <v>100.0</v>
      </c>
      <c r="H2" s="228">
        <v>3.0</v>
      </c>
      <c r="I2" s="200"/>
      <c r="J2" s="35">
        <v>45691.0</v>
      </c>
      <c r="K2" s="24">
        <v>45821.0</v>
      </c>
      <c r="L2" s="35">
        <v>45824.0</v>
      </c>
      <c r="M2" s="25">
        <f>IF(ISBLANK(L2), NETWORKDAYS(J2, TODAY(),Hoja2!$A$1:$A$18), NETWORKDAYS(J2, L2, Hoja2!$A$1:$A$18))</f>
        <v>96</v>
      </c>
      <c r="N2" s="22"/>
      <c r="O2" s="229">
        <v>45843.0</v>
      </c>
      <c r="P2" s="230" t="s">
        <v>1411</v>
      </c>
      <c r="Q2" s="231" t="s">
        <v>71</v>
      </c>
      <c r="R2" s="31"/>
    </row>
    <row r="3" ht="75.75" customHeight="1">
      <c r="A3" s="15" t="s">
        <v>1407</v>
      </c>
      <c r="B3" s="225" t="s">
        <v>1412</v>
      </c>
      <c r="C3" s="17" t="s">
        <v>1413</v>
      </c>
      <c r="D3" s="226"/>
      <c r="E3" s="227" t="s">
        <v>1410</v>
      </c>
      <c r="F3" s="19" t="s">
        <v>75</v>
      </c>
      <c r="G3" s="20">
        <v>100.0</v>
      </c>
      <c r="H3" s="228">
        <v>3.0</v>
      </c>
      <c r="I3" s="232">
        <v>45824.0</v>
      </c>
      <c r="J3" s="35">
        <v>45824.0</v>
      </c>
      <c r="K3" s="24">
        <v>45826.0</v>
      </c>
      <c r="L3" s="35">
        <v>45827.0</v>
      </c>
      <c r="M3" s="25">
        <f>IF(ISBLANK(L3), NETWORKDAYS(J3, TODAY(),Hoja2!$A$1:$A$18), NETWORKDAYS(J3, L3, Hoja2!$A$1:$A$18))</f>
        <v>4</v>
      </c>
      <c r="N3" s="22"/>
      <c r="O3" s="229">
        <v>45843.0</v>
      </c>
      <c r="P3" s="87" t="s">
        <v>1414</v>
      </c>
      <c r="Q3" s="231" t="s">
        <v>71</v>
      </c>
      <c r="R3" s="31"/>
    </row>
    <row r="4" ht="154.5" customHeight="1">
      <c r="A4" s="15" t="s">
        <v>1407</v>
      </c>
      <c r="B4" s="225" t="s">
        <v>1415</v>
      </c>
      <c r="C4" s="183" t="s">
        <v>1416</v>
      </c>
      <c r="D4" s="233"/>
      <c r="E4" s="227" t="s">
        <v>1410</v>
      </c>
      <c r="F4" s="234" t="s">
        <v>75</v>
      </c>
      <c r="G4" s="20">
        <v>100.0</v>
      </c>
      <c r="H4" s="228">
        <v>2.0</v>
      </c>
      <c r="I4" s="22"/>
      <c r="J4" s="35">
        <v>45827.0</v>
      </c>
      <c r="K4" s="24">
        <v>45833.0</v>
      </c>
      <c r="L4" s="35">
        <v>45841.0</v>
      </c>
      <c r="M4" s="25">
        <f>IF(ISBLANK(L4), NETWORKDAYS(J4, TODAY(),Hoja2!$A$1:$A$18), NETWORKDAYS(J4, L4, Hoja2!$A$1:$A$18))</f>
        <v>11</v>
      </c>
      <c r="N4" s="22"/>
      <c r="O4" s="229">
        <v>45843.0</v>
      </c>
      <c r="P4" s="36" t="s">
        <v>1417</v>
      </c>
      <c r="Q4" s="231" t="s">
        <v>71</v>
      </c>
      <c r="R4" s="38" t="s">
        <v>1418</v>
      </c>
    </row>
    <row r="5" ht="29.25" customHeight="1">
      <c r="A5" s="15" t="s">
        <v>1407</v>
      </c>
      <c r="B5" s="225" t="s">
        <v>1419</v>
      </c>
      <c r="C5" s="183" t="s">
        <v>1420</v>
      </c>
      <c r="D5" s="226"/>
      <c r="E5" s="227" t="s">
        <v>1410</v>
      </c>
      <c r="F5" s="19" t="s">
        <v>75</v>
      </c>
      <c r="G5" s="20">
        <v>100.0</v>
      </c>
      <c r="H5" s="228">
        <v>2.0</v>
      </c>
      <c r="I5" s="43">
        <v>45817.0</v>
      </c>
      <c r="J5" s="35">
        <v>45817.0</v>
      </c>
      <c r="K5" s="24">
        <v>45819.0</v>
      </c>
      <c r="L5" s="42">
        <v>45820.0</v>
      </c>
      <c r="M5" s="25">
        <f>IF(ISBLANK(L5), NETWORKDAYS(J5, TODAY(),Hoja2!$A$1:$A$18), NETWORKDAYS(J5, L5, Hoja2!$A$1:$A$18))</f>
        <v>4</v>
      </c>
      <c r="N5" s="22"/>
      <c r="O5" s="229">
        <v>45843.0</v>
      </c>
      <c r="P5" s="36" t="s">
        <v>1421</v>
      </c>
      <c r="Q5" s="231" t="s">
        <v>71</v>
      </c>
      <c r="R5" s="38" t="s">
        <v>1418</v>
      </c>
    </row>
    <row r="6" ht="29.25" customHeight="1">
      <c r="A6" s="15" t="s">
        <v>1407</v>
      </c>
      <c r="B6" s="225" t="s">
        <v>1422</v>
      </c>
      <c r="C6" s="183" t="s">
        <v>1423</v>
      </c>
      <c r="D6" s="226"/>
      <c r="E6" s="227" t="s">
        <v>1410</v>
      </c>
      <c r="F6" s="19" t="s">
        <v>75</v>
      </c>
      <c r="G6" s="20">
        <v>100.0</v>
      </c>
      <c r="H6" s="228">
        <v>1.0</v>
      </c>
      <c r="I6" s="43">
        <v>45817.0</v>
      </c>
      <c r="J6" s="35">
        <v>45841.0</v>
      </c>
      <c r="K6" s="24">
        <v>45842.0</v>
      </c>
      <c r="L6" s="35">
        <v>45842.0</v>
      </c>
      <c r="M6" s="25">
        <f>IF(ISBLANK(L6), NETWORKDAYS(J6, TODAY(),Hoja2!$A$1:$A$18), NETWORKDAYS(J6, L6, Hoja2!$A$1:$A$18))</f>
        <v>2</v>
      </c>
      <c r="N6" s="22"/>
      <c r="O6" s="229">
        <v>45852.0</v>
      </c>
      <c r="P6" s="27" t="s">
        <v>1424</v>
      </c>
      <c r="Q6" s="231" t="s">
        <v>71</v>
      </c>
      <c r="R6" s="31" t="s">
        <v>1425</v>
      </c>
    </row>
    <row r="7" ht="29.25" customHeight="1">
      <c r="A7" s="15" t="s">
        <v>1407</v>
      </c>
      <c r="B7" s="235" t="s">
        <v>1426</v>
      </c>
      <c r="C7" s="236" t="s">
        <v>1427</v>
      </c>
      <c r="D7" s="226"/>
      <c r="E7" s="227" t="s">
        <v>1428</v>
      </c>
      <c r="F7" s="19" t="s">
        <v>75</v>
      </c>
      <c r="G7" s="20">
        <v>100.0</v>
      </c>
      <c r="H7" s="228">
        <v>1.0</v>
      </c>
      <c r="I7" s="43">
        <v>45817.0</v>
      </c>
      <c r="J7" s="237">
        <v>45845.0</v>
      </c>
      <c r="K7" s="24"/>
      <c r="L7" s="35">
        <v>45847.0</v>
      </c>
      <c r="M7" s="25">
        <f>IF(ISBLANK(L7), NETWORKDAYS(J7, TODAY(),Hoja2!$A$1:$A$18), NETWORKDAYS(J7, L7, Hoja2!$A$1:$A$18))</f>
        <v>3</v>
      </c>
      <c r="N7" s="22"/>
      <c r="O7" s="229">
        <v>45852.0</v>
      </c>
      <c r="P7" s="27" t="s">
        <v>1429</v>
      </c>
      <c r="Q7" s="231" t="s">
        <v>71</v>
      </c>
      <c r="R7" s="38" t="s">
        <v>1430</v>
      </c>
    </row>
    <row r="8" ht="29.25" customHeight="1">
      <c r="A8" s="15" t="s">
        <v>1407</v>
      </c>
      <c r="B8" s="238" t="s">
        <v>1431</v>
      </c>
      <c r="C8" s="239" t="s">
        <v>1432</v>
      </c>
      <c r="D8" s="226"/>
      <c r="E8" s="240" t="s">
        <v>1428</v>
      </c>
      <c r="F8" s="19" t="s">
        <v>75</v>
      </c>
      <c r="G8" s="56">
        <v>100.0</v>
      </c>
      <c r="H8" s="56">
        <v>1.0</v>
      </c>
      <c r="I8" s="82">
        <v>45834.0</v>
      </c>
      <c r="J8" s="24">
        <v>45848.0</v>
      </c>
      <c r="K8" s="241"/>
      <c r="L8" s="24">
        <v>45822.0</v>
      </c>
      <c r="M8" s="25">
        <f>IF(ISBLANK(L8), NETWORKDAYS(J8, TODAY(),Hoja2!$A$1:$A$18), NETWORKDAYS(J8, L8, Hoja2!$A$1:$A$18))</f>
        <v>-19</v>
      </c>
      <c r="N8" s="242"/>
      <c r="O8" s="229">
        <v>45852.0</v>
      </c>
      <c r="P8" s="243" t="s">
        <v>1433</v>
      </c>
      <c r="Q8" s="231" t="s">
        <v>71</v>
      </c>
      <c r="R8" s="46" t="s">
        <v>1434</v>
      </c>
    </row>
    <row r="9" ht="29.25" customHeight="1">
      <c r="A9" s="15" t="s">
        <v>1407</v>
      </c>
      <c r="B9" s="238" t="s">
        <v>1435</v>
      </c>
      <c r="C9" s="239" t="s">
        <v>1436</v>
      </c>
      <c r="D9" s="226"/>
      <c r="E9" s="240" t="s">
        <v>1428</v>
      </c>
      <c r="F9" s="19" t="s">
        <v>75</v>
      </c>
      <c r="G9" s="56">
        <v>100.0</v>
      </c>
      <c r="H9" s="228">
        <v>1.0</v>
      </c>
      <c r="I9" s="82">
        <v>45834.0</v>
      </c>
      <c r="J9" s="24">
        <v>45848.0</v>
      </c>
      <c r="K9" s="50"/>
      <c r="L9" s="24">
        <v>45848.0</v>
      </c>
      <c r="M9" s="25">
        <f>IF(ISBLANK(L9), NETWORKDAYS(J9, TODAY(),Hoja2!$A$1:$A$18), NETWORKDAYS(J9, L9, Hoja2!$A$1:$A$18))</f>
        <v>1</v>
      </c>
      <c r="N9" s="242"/>
      <c r="O9" s="26"/>
      <c r="P9" s="243" t="s">
        <v>1437</v>
      </c>
      <c r="Q9" s="231" t="s">
        <v>71</v>
      </c>
      <c r="R9" s="46" t="s">
        <v>1438</v>
      </c>
    </row>
    <row r="10" ht="29.25" customHeight="1">
      <c r="A10" s="15" t="s">
        <v>1407</v>
      </c>
      <c r="B10" s="238" t="s">
        <v>1439</v>
      </c>
      <c r="C10" s="160" t="s">
        <v>1440</v>
      </c>
      <c r="D10" s="226"/>
      <c r="E10" s="240" t="s">
        <v>1428</v>
      </c>
      <c r="F10" s="19" t="s">
        <v>75</v>
      </c>
      <c r="G10" s="56">
        <v>100.0</v>
      </c>
      <c r="H10" s="56">
        <v>1.0</v>
      </c>
      <c r="I10" s="82">
        <v>45834.0</v>
      </c>
      <c r="J10" s="24">
        <v>45854.0</v>
      </c>
      <c r="K10" s="68"/>
      <c r="L10" s="24">
        <v>45855.0</v>
      </c>
      <c r="M10" s="25">
        <f>IF(ISBLANK(L10), NETWORKDAYS(J10, TODAY(),Hoja2!$A$1:$A$18), NETWORKDAYS(J10, L10, Hoja2!$A$1:$A$18))</f>
        <v>2</v>
      </c>
      <c r="N10" s="242"/>
      <c r="O10" s="229">
        <v>45855.0</v>
      </c>
      <c r="P10" s="243" t="s">
        <v>1441</v>
      </c>
      <c r="Q10" s="231" t="s">
        <v>71</v>
      </c>
      <c r="R10" s="46" t="s">
        <v>1442</v>
      </c>
    </row>
    <row r="11" ht="29.25" customHeight="1">
      <c r="A11" s="15" t="s">
        <v>1407</v>
      </c>
      <c r="B11" s="238" t="s">
        <v>1443</v>
      </c>
      <c r="C11" s="160" t="s">
        <v>1444</v>
      </c>
      <c r="D11" s="226"/>
      <c r="E11" s="240" t="s">
        <v>1428</v>
      </c>
      <c r="F11" s="19" t="s">
        <v>75</v>
      </c>
      <c r="G11" s="56">
        <v>100.0</v>
      </c>
      <c r="H11" s="56">
        <v>1.0</v>
      </c>
      <c r="I11" s="82">
        <v>45834.0</v>
      </c>
      <c r="J11" s="24">
        <v>45848.0</v>
      </c>
      <c r="K11" s="68"/>
      <c r="L11" s="24">
        <v>45818.0</v>
      </c>
      <c r="M11" s="25">
        <f>IF(ISBLANK(L11), NETWORKDAYS(J11, TODAY(),Hoja2!$A$1:$A$18), NETWORKDAYS(J11, L11, Hoja2!$A$1:$A$18))</f>
        <v>-23</v>
      </c>
      <c r="N11" s="242"/>
      <c r="O11" s="229">
        <v>45852.0</v>
      </c>
      <c r="P11" s="243" t="s">
        <v>1445</v>
      </c>
      <c r="Q11" s="231" t="s">
        <v>71</v>
      </c>
      <c r="R11" s="46" t="s">
        <v>1446</v>
      </c>
    </row>
    <row r="12" ht="29.25" customHeight="1">
      <c r="A12" s="15" t="s">
        <v>1407</v>
      </c>
      <c r="B12" s="238" t="s">
        <v>1447</v>
      </c>
      <c r="C12" s="244" t="s">
        <v>1448</v>
      </c>
      <c r="D12" s="245"/>
      <c r="E12" s="246" t="s">
        <v>1428</v>
      </c>
      <c r="F12" s="118" t="s">
        <v>75</v>
      </c>
      <c r="G12" s="56">
        <v>100.0</v>
      </c>
      <c r="H12" s="71"/>
      <c r="I12" s="82">
        <v>45853.0</v>
      </c>
      <c r="J12" s="24">
        <v>45853.0</v>
      </c>
      <c r="K12" s="68"/>
      <c r="L12" s="24">
        <v>45854.0</v>
      </c>
      <c r="M12" s="25">
        <f>IF(ISBLANK(L12), NETWORKDAYS(J12, TODAY(),Hoja2!$A$1:$A$18), NETWORKDAYS(J12, L12, Hoja2!$A$1:$A$18))</f>
        <v>2</v>
      </c>
      <c r="N12" s="242"/>
      <c r="O12" s="26"/>
      <c r="P12" s="243" t="s">
        <v>1449</v>
      </c>
      <c r="Q12" s="231" t="s">
        <v>71</v>
      </c>
      <c r="R12" s="247"/>
    </row>
    <row r="13" ht="39.0" customHeight="1">
      <c r="A13" s="15" t="s">
        <v>1407</v>
      </c>
      <c r="B13" s="225" t="s">
        <v>1450</v>
      </c>
      <c r="C13" s="248" t="s">
        <v>1451</v>
      </c>
      <c r="D13" s="233"/>
      <c r="E13" s="227" t="s">
        <v>1410</v>
      </c>
      <c r="F13" s="19" t="s">
        <v>75</v>
      </c>
      <c r="G13" s="56">
        <v>100.0</v>
      </c>
      <c r="H13" s="56">
        <v>2.0</v>
      </c>
      <c r="I13" s="82">
        <v>45855.0</v>
      </c>
      <c r="J13" s="59">
        <v>45855.0</v>
      </c>
      <c r="K13" s="59">
        <v>45857.0</v>
      </c>
      <c r="L13" s="59">
        <v>45862.0</v>
      </c>
      <c r="M13" s="25">
        <f>IF(ISBLANK(L13), NETWORKDAYS(J13, TODAY(),Hoja2!$A$1:$A$18), NETWORKDAYS(J13, L13, Hoja2!$A$1:$A$18))</f>
        <v>6</v>
      </c>
      <c r="N13" s="58"/>
      <c r="O13" s="69"/>
      <c r="P13" s="61" t="s">
        <v>1452</v>
      </c>
      <c r="Q13" s="231" t="s">
        <v>71</v>
      </c>
      <c r="R13" s="63" t="s">
        <v>1453</v>
      </c>
    </row>
    <row r="14" ht="29.25" customHeight="1">
      <c r="A14" s="15" t="s">
        <v>1454</v>
      </c>
      <c r="B14" s="225" t="s">
        <v>1455</v>
      </c>
      <c r="C14" s="183" t="s">
        <v>1456</v>
      </c>
      <c r="D14" s="226"/>
      <c r="E14" s="227" t="s">
        <v>1410</v>
      </c>
      <c r="F14" s="19" t="s">
        <v>75</v>
      </c>
      <c r="G14" s="56">
        <v>100.0</v>
      </c>
      <c r="H14" s="20">
        <v>4.0</v>
      </c>
      <c r="I14" s="58"/>
      <c r="J14" s="59">
        <v>45859.0</v>
      </c>
      <c r="K14" s="35">
        <v>45896.0</v>
      </c>
      <c r="L14" s="35">
        <v>45944.0</v>
      </c>
      <c r="M14" s="25">
        <f>IF(ISBLANK(L14), NETWORKDAYS(J14, TODAY(),Hoja2!$A$1:$A$18), NETWORKDAYS(J14, L14, Hoja2!$A$1:$A$18))</f>
        <v>62</v>
      </c>
      <c r="N14" s="58"/>
      <c r="O14" s="69"/>
      <c r="P14" s="249" t="s">
        <v>1457</v>
      </c>
      <c r="Q14" s="231" t="s">
        <v>71</v>
      </c>
      <c r="R14" s="250" t="s">
        <v>1458</v>
      </c>
    </row>
    <row r="15" ht="29.25" customHeight="1">
      <c r="A15" s="15" t="s">
        <v>1407</v>
      </c>
      <c r="B15" s="225" t="s">
        <v>1459</v>
      </c>
      <c r="C15" s="183" t="s">
        <v>1460</v>
      </c>
      <c r="D15" s="226"/>
      <c r="E15" s="227" t="s">
        <v>1410</v>
      </c>
      <c r="F15" s="19" t="s">
        <v>75</v>
      </c>
      <c r="G15" s="56">
        <v>100.0</v>
      </c>
      <c r="H15" s="20"/>
      <c r="I15" s="82">
        <v>45940.0</v>
      </c>
      <c r="J15" s="59">
        <v>45940.0</v>
      </c>
      <c r="K15" s="35">
        <v>45946.0</v>
      </c>
      <c r="L15" s="35">
        <v>45951.0</v>
      </c>
      <c r="M15" s="25">
        <f>IF(ISBLANK(L15), NETWORKDAYS(J15, TODAY(),Hoja2!$A$1:$A$18), NETWORKDAYS(J15, L15, Hoja2!$A$1:$A$18))</f>
        <v>8</v>
      </c>
      <c r="N15" s="58"/>
      <c r="O15" s="69"/>
      <c r="P15" s="249" t="s">
        <v>1461</v>
      </c>
      <c r="Q15" s="231" t="s">
        <v>71</v>
      </c>
      <c r="R15" s="250"/>
    </row>
    <row r="16" ht="29.25" customHeight="1">
      <c r="A16" s="15" t="s">
        <v>1407</v>
      </c>
      <c r="B16" s="225" t="s">
        <v>1462</v>
      </c>
      <c r="C16" s="248" t="s">
        <v>1463</v>
      </c>
      <c r="D16" s="226"/>
      <c r="E16" s="251" t="s">
        <v>1410</v>
      </c>
      <c r="F16" s="19" t="s">
        <v>75</v>
      </c>
      <c r="G16" s="56">
        <v>100.0</v>
      </c>
      <c r="H16" s="29"/>
      <c r="I16" s="82">
        <v>45855.0</v>
      </c>
      <c r="J16" s="59">
        <v>45855.0</v>
      </c>
      <c r="K16" s="23"/>
      <c r="L16" s="35">
        <v>45860.0</v>
      </c>
      <c r="M16" s="77">
        <f>IF(ISBLANK(L16), NETWORKDAYS(J16, TODAY(),Hoja2!$A$1:$A$18), NETWORKDAYS(J16, L16, Hoja2!$A$1:$A$18))</f>
        <v>4</v>
      </c>
      <c r="N16" s="58"/>
      <c r="O16" s="60">
        <v>45885.0</v>
      </c>
      <c r="P16" s="78" t="s">
        <v>1464</v>
      </c>
      <c r="Q16" s="231" t="s">
        <v>71</v>
      </c>
      <c r="R16" s="252"/>
    </row>
    <row r="17" ht="29.25" customHeight="1">
      <c r="A17" s="253" t="s">
        <v>1465</v>
      </c>
      <c r="B17" s="225" t="s">
        <v>1466</v>
      </c>
      <c r="C17" s="248" t="s">
        <v>1467</v>
      </c>
      <c r="D17" s="226"/>
      <c r="E17" s="254" t="s">
        <v>1410</v>
      </c>
      <c r="F17" s="19" t="s">
        <v>75</v>
      </c>
      <c r="G17" s="56">
        <v>100.0</v>
      </c>
      <c r="H17" s="29"/>
      <c r="I17" s="82">
        <v>45863.0</v>
      </c>
      <c r="J17" s="59">
        <v>45863.0</v>
      </c>
      <c r="K17" s="35">
        <v>45863.0</v>
      </c>
      <c r="L17" s="59">
        <v>45885.0</v>
      </c>
      <c r="M17" s="77">
        <f>IF(ISBLANK(L17), NETWORKDAYS(J17, TODAY(),Hoja2!$A$1:$A$18), NETWORKDAYS(J17, L17, Hoja2!$A$1:$A$18))</f>
        <v>16</v>
      </c>
      <c r="N17" s="82"/>
      <c r="O17" s="69"/>
      <c r="P17" s="78" t="s">
        <v>1468</v>
      </c>
      <c r="Q17" s="231" t="s">
        <v>71</v>
      </c>
      <c r="R17" s="79"/>
    </row>
    <row r="18" ht="29.25" customHeight="1">
      <c r="A18" s="15" t="s">
        <v>1407</v>
      </c>
      <c r="B18" s="225" t="s">
        <v>1469</v>
      </c>
      <c r="C18" s="248" t="s">
        <v>1470</v>
      </c>
      <c r="D18" s="255"/>
      <c r="E18" s="254" t="s">
        <v>1410</v>
      </c>
      <c r="F18" s="86" t="s">
        <v>75</v>
      </c>
      <c r="G18" s="56">
        <v>100.0</v>
      </c>
      <c r="H18" s="56"/>
      <c r="I18" s="82">
        <v>45863.0</v>
      </c>
      <c r="J18" s="59">
        <v>45866.0</v>
      </c>
      <c r="K18" s="59">
        <v>45867.0</v>
      </c>
      <c r="L18" s="59">
        <v>45870.0</v>
      </c>
      <c r="M18" s="77">
        <f>IF(ISBLANK(L18), NETWORKDAYS(J18, TODAY(),Hoja2!$A$1:$A$18), NETWORKDAYS(J18, L18, Hoja2!$A$1:$A$18))</f>
        <v>5</v>
      </c>
      <c r="N18" s="82"/>
      <c r="O18" s="60">
        <v>45885.0</v>
      </c>
      <c r="P18" s="87" t="s">
        <v>1471</v>
      </c>
      <c r="Q18" s="231" t="s">
        <v>71</v>
      </c>
      <c r="R18" s="88"/>
    </row>
    <row r="19" ht="29.25" customHeight="1">
      <c r="A19" s="15" t="s">
        <v>1407</v>
      </c>
      <c r="B19" s="225" t="s">
        <v>1472</v>
      </c>
      <c r="C19" s="248" t="s">
        <v>1473</v>
      </c>
      <c r="D19" s="245"/>
      <c r="E19" s="254" t="s">
        <v>1474</v>
      </c>
      <c r="F19" s="118" t="s">
        <v>75</v>
      </c>
      <c r="G19" s="56">
        <v>100.0</v>
      </c>
      <c r="H19" s="119"/>
      <c r="I19" s="82">
        <v>45870.0</v>
      </c>
      <c r="J19" s="59">
        <v>45870.0</v>
      </c>
      <c r="K19" s="59">
        <v>45870.0</v>
      </c>
      <c r="L19" s="59">
        <v>45877.0</v>
      </c>
      <c r="M19" s="25">
        <f>IF(ISBLANK(L19), NETWORKDAYS(J19, TODAY(),Hoja2!$A$1:$A$18), NETWORKDAYS(J19, L19, Hoja2!$A$1:$A$18))</f>
        <v>6</v>
      </c>
      <c r="N19" s="58"/>
      <c r="O19" s="69"/>
      <c r="P19" s="61" t="s">
        <v>1475</v>
      </c>
      <c r="Q19" s="231" t="s">
        <v>71</v>
      </c>
      <c r="R19" s="120"/>
    </row>
    <row r="20" ht="29.25" customHeight="1">
      <c r="A20" s="15" t="s">
        <v>1407</v>
      </c>
      <c r="B20" s="225" t="s">
        <v>1476</v>
      </c>
      <c r="C20" s="248" t="s">
        <v>1477</v>
      </c>
      <c r="D20" s="226"/>
      <c r="E20" s="227" t="s">
        <v>1410</v>
      </c>
      <c r="F20" s="19" t="s">
        <v>75</v>
      </c>
      <c r="G20" s="56">
        <v>100.0</v>
      </c>
      <c r="H20" s="119"/>
      <c r="I20" s="82">
        <v>45874.0</v>
      </c>
      <c r="J20" s="59">
        <v>45874.0</v>
      </c>
      <c r="K20" s="68"/>
      <c r="L20" s="59">
        <v>45882.0</v>
      </c>
      <c r="M20" s="25">
        <f>IF(ISBLANK(L20), NETWORKDAYS(J20, TODAY(),Hoja2!$A$1:$A$18), NETWORKDAYS(J20, L20, Hoja2!$A$1:$A$18))</f>
        <v>7</v>
      </c>
      <c r="N20" s="58"/>
      <c r="O20" s="60">
        <v>45885.0</v>
      </c>
      <c r="P20" s="27" t="s">
        <v>1478</v>
      </c>
      <c r="Q20" s="231" t="s">
        <v>71</v>
      </c>
      <c r="R20" s="31"/>
    </row>
    <row r="21" ht="29.25" customHeight="1">
      <c r="A21" s="15" t="s">
        <v>1407</v>
      </c>
      <c r="B21" s="225" t="s">
        <v>1479</v>
      </c>
      <c r="C21" s="256" t="s">
        <v>1480</v>
      </c>
      <c r="D21" s="257"/>
      <c r="E21" s="227" t="s">
        <v>1410</v>
      </c>
      <c r="F21" s="135" t="s">
        <v>75</v>
      </c>
      <c r="G21" s="136">
        <v>100.0</v>
      </c>
      <c r="H21" s="128"/>
      <c r="I21" s="137">
        <v>45883.0</v>
      </c>
      <c r="J21" s="59">
        <v>45883.0</v>
      </c>
      <c r="K21" s="59"/>
      <c r="L21" s="59">
        <v>45883.0</v>
      </c>
      <c r="M21" s="25">
        <f>IF(ISBLANK(L21), NETWORKDAYS(J21, TODAY(),Hoja2!$A$1:$A$18), NETWORKDAYS(J21, L21, Hoja2!$A$1:$A$18))</f>
        <v>1</v>
      </c>
      <c r="N21" s="82"/>
      <c r="O21" s="60">
        <v>45885.0</v>
      </c>
      <c r="P21" s="27" t="s">
        <v>1481</v>
      </c>
      <c r="Q21" s="231" t="s">
        <v>71</v>
      </c>
      <c r="R21" s="31"/>
    </row>
    <row r="22" ht="29.25" customHeight="1">
      <c r="A22" s="15" t="s">
        <v>1407</v>
      </c>
      <c r="B22" s="225" t="s">
        <v>1482</v>
      </c>
      <c r="C22" s="256" t="s">
        <v>1483</v>
      </c>
      <c r="D22" s="258" t="s">
        <v>1484</v>
      </c>
      <c r="E22" s="227" t="s">
        <v>1410</v>
      </c>
      <c r="F22" s="135" t="s">
        <v>75</v>
      </c>
      <c r="G22" s="136">
        <v>100.0</v>
      </c>
      <c r="H22" s="128"/>
      <c r="I22" s="137"/>
      <c r="J22" s="59">
        <v>45895.0</v>
      </c>
      <c r="K22" s="59"/>
      <c r="L22" s="59">
        <v>45895.0</v>
      </c>
      <c r="M22" s="25">
        <f>IF(ISBLANK(L22), NETWORKDAYS(J22, TODAY(),Hoja2!$A$1:$A$18), NETWORKDAYS(J22, L22, Hoja2!$A$1:$A$18))</f>
        <v>1</v>
      </c>
      <c r="N22" s="82"/>
      <c r="O22" s="60"/>
      <c r="P22" s="27" t="s">
        <v>1485</v>
      </c>
      <c r="Q22" s="231" t="s">
        <v>71</v>
      </c>
      <c r="R22" s="31"/>
    </row>
    <row r="23" ht="29.25" customHeight="1">
      <c r="A23" s="15" t="s">
        <v>1407</v>
      </c>
      <c r="B23" s="225" t="s">
        <v>1486</v>
      </c>
      <c r="C23" s="248" t="s">
        <v>1473</v>
      </c>
      <c r="D23" s="259" t="s">
        <v>1487</v>
      </c>
      <c r="E23" s="227" t="s">
        <v>1474</v>
      </c>
      <c r="F23" s="86" t="s">
        <v>75</v>
      </c>
      <c r="G23" s="56">
        <v>100.0</v>
      </c>
      <c r="H23" s="56"/>
      <c r="I23" s="82">
        <v>45884.0</v>
      </c>
      <c r="J23" s="59">
        <v>45884.0</v>
      </c>
      <c r="K23" s="59">
        <v>45891.0</v>
      </c>
      <c r="L23" s="59">
        <v>45947.0</v>
      </c>
      <c r="M23" s="77">
        <f>IF(ISBLANK(L23), NETWORKDAYS(J23, TODAY(),Hoja2!$A$1:$A$18), NETWORKDAYS(J23, L23, Hoja2!$A$1:$A$18))</f>
        <v>46</v>
      </c>
      <c r="N23" s="82"/>
      <c r="O23" s="60"/>
      <c r="P23" s="31" t="s">
        <v>1488</v>
      </c>
      <c r="Q23" s="231" t="s">
        <v>71</v>
      </c>
      <c r="R23" s="31"/>
    </row>
    <row r="24" ht="29.25" customHeight="1">
      <c r="A24" s="15" t="s">
        <v>1407</v>
      </c>
      <c r="B24" s="225" t="s">
        <v>1489</v>
      </c>
      <c r="C24" s="248" t="s">
        <v>1490</v>
      </c>
      <c r="D24" s="259"/>
      <c r="E24" s="227" t="s">
        <v>1491</v>
      </c>
      <c r="F24" s="260" t="s">
        <v>75</v>
      </c>
      <c r="G24" s="56">
        <v>100.0</v>
      </c>
      <c r="H24" s="56"/>
      <c r="I24" s="82">
        <v>45894.0</v>
      </c>
      <c r="J24" s="59">
        <v>45894.0</v>
      </c>
      <c r="K24" s="59">
        <v>45898.0</v>
      </c>
      <c r="L24" s="59">
        <v>45897.0</v>
      </c>
      <c r="M24" s="77">
        <f>IF(ISBLANK(L24), NETWORKDAYS(J24, TODAY(),Hoja2!$A$1:$A$18), NETWORKDAYS(J24, L24, Hoja2!$A$1:$A$18))</f>
        <v>4</v>
      </c>
      <c r="N24" s="82"/>
      <c r="O24" s="60"/>
      <c r="P24" s="31" t="s">
        <v>1492</v>
      </c>
      <c r="Q24" s="231" t="s">
        <v>71</v>
      </c>
      <c r="R24" s="31"/>
    </row>
    <row r="25" ht="29.25" customHeight="1">
      <c r="A25" s="15" t="s">
        <v>1407</v>
      </c>
      <c r="B25" s="225" t="s">
        <v>1493</v>
      </c>
      <c r="C25" s="248" t="s">
        <v>1490</v>
      </c>
      <c r="D25" s="259"/>
      <c r="E25" s="227" t="s">
        <v>1491</v>
      </c>
      <c r="F25" s="260" t="s">
        <v>75</v>
      </c>
      <c r="G25" s="56">
        <v>100.0</v>
      </c>
      <c r="H25" s="56"/>
      <c r="I25" s="82">
        <v>45894.0</v>
      </c>
      <c r="J25" s="59">
        <v>45894.0</v>
      </c>
      <c r="K25" s="59">
        <v>45898.0</v>
      </c>
      <c r="L25" s="59">
        <v>45897.0</v>
      </c>
      <c r="M25" s="77">
        <f>IF(ISBLANK(L25), NETWORKDAYS(J25, TODAY(),Hoja2!$A$1:$A$18), NETWORKDAYS(J25, L25, Hoja2!$A$1:$A$18))</f>
        <v>4</v>
      </c>
      <c r="N25" s="82"/>
      <c r="O25" s="60"/>
      <c r="P25" s="31" t="s">
        <v>1494</v>
      </c>
      <c r="Q25" s="231" t="s">
        <v>71</v>
      </c>
      <c r="R25" s="31"/>
    </row>
    <row r="26" ht="29.25" customHeight="1">
      <c r="A26" s="15" t="s">
        <v>1407</v>
      </c>
      <c r="B26" s="225" t="s">
        <v>1495</v>
      </c>
      <c r="C26" s="248" t="s">
        <v>1490</v>
      </c>
      <c r="D26" s="259"/>
      <c r="E26" s="227" t="s">
        <v>1491</v>
      </c>
      <c r="F26" s="260" t="s">
        <v>75</v>
      </c>
      <c r="G26" s="56">
        <v>100.0</v>
      </c>
      <c r="H26" s="56"/>
      <c r="I26" s="82">
        <v>45894.0</v>
      </c>
      <c r="J26" s="59">
        <v>45894.0</v>
      </c>
      <c r="K26" s="59">
        <v>45898.0</v>
      </c>
      <c r="L26" s="59">
        <v>45897.0</v>
      </c>
      <c r="M26" s="77">
        <f>IF(ISBLANK(L26), NETWORKDAYS(J26, TODAY(),Hoja2!$A$1:$A$18), NETWORKDAYS(J26, L26, Hoja2!$A$1:$A$18))</f>
        <v>4</v>
      </c>
      <c r="N26" s="82"/>
      <c r="O26" s="60"/>
      <c r="P26" s="31" t="s">
        <v>1496</v>
      </c>
      <c r="Q26" s="231" t="s">
        <v>71</v>
      </c>
      <c r="R26" s="31"/>
    </row>
    <row r="27" ht="29.25" customHeight="1">
      <c r="A27" s="15" t="s">
        <v>1407</v>
      </c>
      <c r="B27" s="225" t="s">
        <v>1497</v>
      </c>
      <c r="C27" s="248" t="s">
        <v>1490</v>
      </c>
      <c r="D27" s="261"/>
      <c r="E27" s="227" t="s">
        <v>1491</v>
      </c>
      <c r="F27" s="260" t="s">
        <v>75</v>
      </c>
      <c r="G27" s="56">
        <v>100.0</v>
      </c>
      <c r="H27" s="56"/>
      <c r="I27" s="82">
        <v>45894.0</v>
      </c>
      <c r="J27" s="59">
        <v>45894.0</v>
      </c>
      <c r="K27" s="59">
        <v>45898.0</v>
      </c>
      <c r="L27" s="59">
        <v>45897.0</v>
      </c>
      <c r="M27" s="77">
        <f>IF(ISBLANK(L27), NETWORKDAYS(J27, TODAY(),Hoja2!$A$1:$A$18), NETWORKDAYS(J27, L27, Hoja2!$A$1:$A$18))</f>
        <v>4</v>
      </c>
      <c r="N27" s="82"/>
      <c r="O27" s="60"/>
      <c r="P27" s="31" t="s">
        <v>1498</v>
      </c>
      <c r="Q27" s="231" t="s">
        <v>71</v>
      </c>
      <c r="R27" s="31"/>
    </row>
    <row r="28" ht="29.25" customHeight="1">
      <c r="A28" s="15" t="s">
        <v>1407</v>
      </c>
      <c r="B28" s="225" t="s">
        <v>1499</v>
      </c>
      <c r="C28" s="248" t="s">
        <v>1500</v>
      </c>
      <c r="D28" s="259"/>
      <c r="E28" s="227" t="s">
        <v>1491</v>
      </c>
      <c r="F28" s="260" t="s">
        <v>75</v>
      </c>
      <c r="G28" s="56">
        <v>100.0</v>
      </c>
      <c r="H28" s="56"/>
      <c r="I28" s="82">
        <v>45894.0</v>
      </c>
      <c r="J28" s="59">
        <v>45895.0</v>
      </c>
      <c r="K28" s="59">
        <v>45898.0</v>
      </c>
      <c r="L28" s="59">
        <v>45897.0</v>
      </c>
      <c r="M28" s="77">
        <f>IF(ISBLANK(L28), NETWORKDAYS(J28, TODAY(),Hoja2!$A$1:$A$18), NETWORKDAYS(J28, L28, Hoja2!$A$1:$A$18))</f>
        <v>3</v>
      </c>
      <c r="N28" s="82"/>
      <c r="O28" s="60"/>
      <c r="P28" s="31" t="s">
        <v>1501</v>
      </c>
      <c r="Q28" s="231" t="s">
        <v>71</v>
      </c>
      <c r="R28" s="31"/>
    </row>
    <row r="29" ht="29.25" customHeight="1">
      <c r="A29" s="15" t="s">
        <v>1407</v>
      </c>
      <c r="B29" s="225" t="s">
        <v>1502</v>
      </c>
      <c r="C29" s="248" t="s">
        <v>1503</v>
      </c>
      <c r="D29" s="259"/>
      <c r="E29" s="227" t="s">
        <v>1491</v>
      </c>
      <c r="F29" s="260" t="s">
        <v>75</v>
      </c>
      <c r="G29" s="56">
        <v>100.0</v>
      </c>
      <c r="H29" s="56"/>
      <c r="I29" s="82">
        <v>45894.0</v>
      </c>
      <c r="J29" s="59">
        <v>45895.0</v>
      </c>
      <c r="K29" s="59">
        <v>45898.0</v>
      </c>
      <c r="L29" s="59">
        <v>45897.0</v>
      </c>
      <c r="M29" s="77">
        <f>IF(ISBLANK(L29), NETWORKDAYS(J29, TODAY(),Hoja2!$A$1:$A$18), NETWORKDAYS(J29, L29, Hoja2!$A$1:$A$18))</f>
        <v>3</v>
      </c>
      <c r="N29" s="82"/>
      <c r="O29" s="60"/>
      <c r="P29" s="31" t="s">
        <v>1504</v>
      </c>
      <c r="Q29" s="231" t="s">
        <v>71</v>
      </c>
      <c r="R29" s="31"/>
    </row>
    <row r="30" ht="29.25" customHeight="1">
      <c r="A30" s="15" t="s">
        <v>1407</v>
      </c>
      <c r="B30" s="225" t="s">
        <v>1505</v>
      </c>
      <c r="C30" s="248" t="s">
        <v>1503</v>
      </c>
      <c r="D30" s="259"/>
      <c r="E30" s="227" t="s">
        <v>1491</v>
      </c>
      <c r="F30" s="260" t="s">
        <v>75</v>
      </c>
      <c r="G30" s="56">
        <v>100.0</v>
      </c>
      <c r="H30" s="56"/>
      <c r="I30" s="82">
        <v>45894.0</v>
      </c>
      <c r="J30" s="59">
        <v>45895.0</v>
      </c>
      <c r="K30" s="59">
        <v>45898.0</v>
      </c>
      <c r="L30" s="59">
        <v>45897.0</v>
      </c>
      <c r="M30" s="77">
        <f>IF(ISBLANK(L30), NETWORKDAYS(J30, TODAY(),Hoja2!$A$1:$A$18), NETWORKDAYS(J30, L30, Hoja2!$A$1:$A$18))</f>
        <v>3</v>
      </c>
      <c r="N30" s="82"/>
      <c r="O30" s="60"/>
      <c r="P30" s="31" t="s">
        <v>1506</v>
      </c>
      <c r="Q30" s="231" t="s">
        <v>71</v>
      </c>
      <c r="R30" s="31"/>
    </row>
    <row r="31" ht="29.25" customHeight="1">
      <c r="A31" s="15" t="s">
        <v>1407</v>
      </c>
      <c r="B31" s="225" t="s">
        <v>1507</v>
      </c>
      <c r="C31" s="248" t="s">
        <v>1508</v>
      </c>
      <c r="D31" s="259"/>
      <c r="E31" s="227" t="s">
        <v>1410</v>
      </c>
      <c r="F31" s="260" t="s">
        <v>75</v>
      </c>
      <c r="G31" s="56">
        <v>100.0</v>
      </c>
      <c r="H31" s="56"/>
      <c r="I31" s="82">
        <v>45894.0</v>
      </c>
      <c r="J31" s="59">
        <v>45895.0</v>
      </c>
      <c r="K31" s="59">
        <v>45898.0</v>
      </c>
      <c r="L31" s="59">
        <v>45897.0</v>
      </c>
      <c r="M31" s="77">
        <f>IF(ISBLANK(L31), NETWORKDAYS(J31, TODAY(),Hoja2!$A$1:$A$18), NETWORKDAYS(J31, L31, Hoja2!$A$1:$A$18))</f>
        <v>3</v>
      </c>
      <c r="N31" s="82"/>
      <c r="O31" s="60"/>
      <c r="P31" s="31" t="s">
        <v>1509</v>
      </c>
      <c r="Q31" s="231" t="s">
        <v>71</v>
      </c>
      <c r="R31" s="31"/>
    </row>
    <row r="32" ht="29.25" customHeight="1">
      <c r="A32" s="15" t="s">
        <v>1407</v>
      </c>
      <c r="B32" s="225" t="s">
        <v>1510</v>
      </c>
      <c r="C32" s="248" t="s">
        <v>1508</v>
      </c>
      <c r="D32" s="259"/>
      <c r="E32" s="227" t="s">
        <v>1410</v>
      </c>
      <c r="F32" s="86" t="s">
        <v>75</v>
      </c>
      <c r="G32" s="56">
        <v>100.0</v>
      </c>
      <c r="H32" s="56"/>
      <c r="I32" s="82">
        <v>45894.0</v>
      </c>
      <c r="J32" s="59">
        <v>45896.0</v>
      </c>
      <c r="K32" s="59">
        <v>45901.0</v>
      </c>
      <c r="L32" s="59">
        <v>45930.0</v>
      </c>
      <c r="M32" s="77">
        <f>IF(ISBLANK(L32), NETWORKDAYS(J32, TODAY(),Hoja2!$A$1:$A$18), NETWORKDAYS(J32, L32, Hoja2!$A$1:$A$18))</f>
        <v>25</v>
      </c>
      <c r="N32" s="82"/>
      <c r="O32" s="60"/>
      <c r="P32" s="31" t="s">
        <v>1511</v>
      </c>
      <c r="Q32" s="231" t="s">
        <v>71</v>
      </c>
      <c r="R32" s="31"/>
    </row>
    <row r="33" ht="29.25" customHeight="1">
      <c r="A33" s="15" t="s">
        <v>1407</v>
      </c>
      <c r="B33" s="225" t="s">
        <v>1512</v>
      </c>
      <c r="C33" s="248" t="s">
        <v>1513</v>
      </c>
      <c r="D33" s="259"/>
      <c r="E33" s="227" t="s">
        <v>1410</v>
      </c>
      <c r="F33" s="86" t="s">
        <v>75</v>
      </c>
      <c r="G33" s="56">
        <v>100.0</v>
      </c>
      <c r="H33" s="56"/>
      <c r="I33" s="82">
        <v>45894.0</v>
      </c>
      <c r="J33" s="59">
        <v>45930.0</v>
      </c>
      <c r="K33" s="59">
        <v>45901.0</v>
      </c>
      <c r="L33" s="59">
        <v>45930.0</v>
      </c>
      <c r="M33" s="25">
        <f>IF(ISBLANK(L33), NETWORKDAYS(J33, TODAY(),Hoja2!$A$1:$A$18), NETWORKDAYS(J33, L33, Hoja2!$A$1:$A$18))</f>
        <v>1</v>
      </c>
      <c r="N33" s="82"/>
      <c r="O33" s="60"/>
      <c r="P33" s="31" t="s">
        <v>1514</v>
      </c>
      <c r="Q33" s="231" t="s">
        <v>71</v>
      </c>
      <c r="R33" s="31"/>
    </row>
    <row r="34" ht="29.25" customHeight="1">
      <c r="A34" s="15" t="s">
        <v>1407</v>
      </c>
      <c r="B34" s="225" t="s">
        <v>1515</v>
      </c>
      <c r="C34" s="248" t="s">
        <v>1516</v>
      </c>
      <c r="D34" s="259"/>
      <c r="E34" s="227" t="s">
        <v>1410</v>
      </c>
      <c r="F34" s="86" t="s">
        <v>75</v>
      </c>
      <c r="G34" s="56">
        <v>100.0</v>
      </c>
      <c r="H34" s="56"/>
      <c r="I34" s="82">
        <v>45894.0</v>
      </c>
      <c r="J34" s="59">
        <v>45930.0</v>
      </c>
      <c r="K34" s="59">
        <v>45901.0</v>
      </c>
      <c r="L34" s="59">
        <v>45930.0</v>
      </c>
      <c r="M34" s="25">
        <f>IF(ISBLANK(L34), NETWORKDAYS(J34, TODAY(),Hoja2!$A$1:$A$18), NETWORKDAYS(J34, L34, Hoja2!$A$1:$A$18))</f>
        <v>1</v>
      </c>
      <c r="N34" s="82"/>
      <c r="O34" s="60"/>
      <c r="P34" s="31" t="s">
        <v>1517</v>
      </c>
      <c r="Q34" s="231" t="s">
        <v>71</v>
      </c>
      <c r="R34" s="31"/>
    </row>
    <row r="35" ht="29.25" customHeight="1">
      <c r="A35" s="15" t="s">
        <v>1407</v>
      </c>
      <c r="B35" s="225" t="s">
        <v>1518</v>
      </c>
      <c r="C35" s="248" t="s">
        <v>1519</v>
      </c>
      <c r="D35" s="259"/>
      <c r="E35" s="227" t="s">
        <v>1410</v>
      </c>
      <c r="F35" s="86" t="s">
        <v>75</v>
      </c>
      <c r="G35" s="56">
        <v>100.0</v>
      </c>
      <c r="H35" s="56"/>
      <c r="I35" s="82">
        <v>45894.0</v>
      </c>
      <c r="J35" s="59">
        <v>45947.0</v>
      </c>
      <c r="K35" s="59">
        <v>45901.0</v>
      </c>
      <c r="L35" s="59">
        <v>45947.0</v>
      </c>
      <c r="M35" s="77">
        <f>IF(ISBLANK(L35), NETWORKDAYS(J35, TODAY(),Hoja2!$A$1:$A$18), NETWORKDAYS(J35, L35, Hoja2!$A$1:$A$18))</f>
        <v>1</v>
      </c>
      <c r="N35" s="82"/>
      <c r="O35" s="60"/>
      <c r="P35" s="31" t="s">
        <v>1520</v>
      </c>
      <c r="Q35" s="231" t="s">
        <v>71</v>
      </c>
      <c r="R35" s="31"/>
    </row>
    <row r="36" ht="29.25" customHeight="1">
      <c r="A36" s="15" t="s">
        <v>1407</v>
      </c>
      <c r="B36" s="225" t="s">
        <v>1521</v>
      </c>
      <c r="C36" s="248" t="s">
        <v>1522</v>
      </c>
      <c r="D36" s="259"/>
      <c r="E36" s="227" t="s">
        <v>1491</v>
      </c>
      <c r="F36" s="260" t="s">
        <v>75</v>
      </c>
      <c r="G36" s="56">
        <v>100.0</v>
      </c>
      <c r="H36" s="56"/>
      <c r="I36" s="82">
        <v>45894.0</v>
      </c>
      <c r="J36" s="59">
        <v>45895.0</v>
      </c>
      <c r="K36" s="59">
        <v>45898.0</v>
      </c>
      <c r="L36" s="59">
        <v>45897.0</v>
      </c>
      <c r="M36" s="77">
        <f>IF(ISBLANK(L36), NETWORKDAYS(J36, TODAY(),Hoja2!$A$1:$A$18), NETWORKDAYS(J36, L36, Hoja2!$A$1:$A$18))</f>
        <v>3</v>
      </c>
      <c r="N36" s="82"/>
      <c r="O36" s="60"/>
      <c r="P36" s="31" t="s">
        <v>1523</v>
      </c>
      <c r="Q36" s="231" t="s">
        <v>71</v>
      </c>
      <c r="R36" s="31"/>
    </row>
    <row r="37" ht="29.25" customHeight="1">
      <c r="A37" s="15" t="s">
        <v>1407</v>
      </c>
      <c r="B37" s="225" t="s">
        <v>1524</v>
      </c>
      <c r="C37" s="248" t="s">
        <v>1525</v>
      </c>
      <c r="D37" s="259"/>
      <c r="E37" s="227" t="s">
        <v>1410</v>
      </c>
      <c r="F37" s="86" t="s">
        <v>75</v>
      </c>
      <c r="G37" s="56">
        <v>100.0</v>
      </c>
      <c r="H37" s="56"/>
      <c r="I37" s="82">
        <v>45894.0</v>
      </c>
      <c r="J37" s="59">
        <v>45930.0</v>
      </c>
      <c r="K37" s="59">
        <v>45902.0</v>
      </c>
      <c r="L37" s="59">
        <v>45930.0</v>
      </c>
      <c r="M37" s="77">
        <f>IF(ISBLANK(L37), NETWORKDAYS(J37, TODAY(),Hoja2!$A$1:$A$18), NETWORKDAYS(J37, L37, Hoja2!$A$1:$A$18))</f>
        <v>1</v>
      </c>
      <c r="N37" s="262"/>
      <c r="O37" s="60"/>
      <c r="P37" s="31" t="s">
        <v>1526</v>
      </c>
      <c r="Q37" s="231" t="s">
        <v>71</v>
      </c>
      <c r="R37" s="31"/>
    </row>
    <row r="38" ht="29.25" customHeight="1">
      <c r="A38" s="15" t="s">
        <v>1407</v>
      </c>
      <c r="B38" s="225" t="s">
        <v>1527</v>
      </c>
      <c r="C38" s="248" t="s">
        <v>1528</v>
      </c>
      <c r="D38" s="259"/>
      <c r="E38" s="227" t="s">
        <v>1410</v>
      </c>
      <c r="F38" s="86" t="s">
        <v>75</v>
      </c>
      <c r="G38" s="56">
        <v>100.0</v>
      </c>
      <c r="H38" s="56"/>
      <c r="I38" s="82">
        <v>45894.0</v>
      </c>
      <c r="J38" s="59">
        <v>45938.0</v>
      </c>
      <c r="K38" s="59">
        <v>45940.0</v>
      </c>
      <c r="L38" s="59">
        <v>45947.0</v>
      </c>
      <c r="M38" s="77">
        <f>IF(ISBLANK(L38), NETWORKDAYS(J38, TODAY(),Hoja2!$A$1:$A$18), NETWORKDAYS(J38, L38, Hoja2!$A$1:$A$18))</f>
        <v>8</v>
      </c>
      <c r="N38" s="82"/>
      <c r="O38" s="60"/>
      <c r="P38" s="31" t="s">
        <v>1529</v>
      </c>
      <c r="Q38" s="231" t="s">
        <v>71</v>
      </c>
      <c r="R38" s="31"/>
    </row>
    <row r="39" ht="29.25" customHeight="1">
      <c r="A39" s="263" t="s">
        <v>1407</v>
      </c>
      <c r="B39" s="264" t="s">
        <v>1530</v>
      </c>
      <c r="C39" s="265" t="s">
        <v>1531</v>
      </c>
      <c r="D39" s="266" t="s">
        <v>1532</v>
      </c>
      <c r="E39" s="267" t="s">
        <v>1491</v>
      </c>
      <c r="F39" s="268" t="s">
        <v>75</v>
      </c>
      <c r="G39" s="269">
        <v>100.0</v>
      </c>
      <c r="H39" s="270"/>
      <c r="I39" s="271">
        <v>45901.0</v>
      </c>
      <c r="J39" s="272">
        <v>45901.0</v>
      </c>
      <c r="K39" s="272">
        <v>45903.0</v>
      </c>
      <c r="L39" s="272">
        <v>45919.0</v>
      </c>
      <c r="M39" s="273">
        <f>IF(ISBLANK(L39), NETWORKDAYS(J39, TODAY(),Hoja2!$A$1:$A$18), NETWORKDAYS(J39, L39, Hoja2!$A$1:$A$18))</f>
        <v>15</v>
      </c>
      <c r="N39" s="274"/>
      <c r="O39" s="275"/>
      <c r="P39" s="276" t="s">
        <v>1533</v>
      </c>
      <c r="Q39" s="277" t="s">
        <v>71</v>
      </c>
      <c r="R39" s="278"/>
    </row>
    <row r="40" ht="29.25" customHeight="1">
      <c r="A40" s="15" t="s">
        <v>1407</v>
      </c>
      <c r="B40" s="225" t="s">
        <v>1534</v>
      </c>
      <c r="C40" s="248" t="s">
        <v>1535</v>
      </c>
      <c r="D40" s="259" t="s">
        <v>1536</v>
      </c>
      <c r="E40" s="227" t="s">
        <v>1410</v>
      </c>
      <c r="F40" s="86" t="s">
        <v>75</v>
      </c>
      <c r="G40" s="56">
        <v>100.0</v>
      </c>
      <c r="H40" s="56">
        <v>10.0</v>
      </c>
      <c r="I40" s="82">
        <v>45898.0</v>
      </c>
      <c r="J40" s="59">
        <v>45898.0</v>
      </c>
      <c r="K40" s="272">
        <v>45903.0</v>
      </c>
      <c r="L40" s="59">
        <v>45932.0</v>
      </c>
      <c r="M40" s="77">
        <f>IF(ISBLANK(L40), NETWORKDAYS(J40, TODAY(),Hoja2!$A$1:$A$18), NETWORKDAYS(J40, L40, Hoja2!$A$1:$A$18))</f>
        <v>25</v>
      </c>
      <c r="N40" s="82"/>
      <c r="O40" s="60"/>
      <c r="P40" s="276" t="s">
        <v>1537</v>
      </c>
      <c r="Q40" s="231" t="s">
        <v>71</v>
      </c>
      <c r="R40" s="31"/>
    </row>
    <row r="41" ht="29.25" customHeight="1">
      <c r="A41" s="15" t="s">
        <v>1407</v>
      </c>
      <c r="B41" s="225" t="s">
        <v>1538</v>
      </c>
      <c r="C41" s="248" t="s">
        <v>1539</v>
      </c>
      <c r="D41" s="259" t="s">
        <v>1540</v>
      </c>
      <c r="E41" s="227" t="s">
        <v>1410</v>
      </c>
      <c r="F41" s="86" t="s">
        <v>75</v>
      </c>
      <c r="G41" s="56">
        <v>100.0</v>
      </c>
      <c r="H41" s="56"/>
      <c r="I41" s="82">
        <v>45901.0</v>
      </c>
      <c r="J41" s="59">
        <v>45901.0</v>
      </c>
      <c r="K41" s="272">
        <v>45903.0</v>
      </c>
      <c r="L41" s="59">
        <v>45903.0</v>
      </c>
      <c r="M41" s="77">
        <f>IF(ISBLANK(L41), NETWORKDAYS(J41, TODAY(),Hoja2!$A$1:$A$18), NETWORKDAYS(J41, L41, Hoja2!$A$1:$A$18))</f>
        <v>3</v>
      </c>
      <c r="N41" s="82"/>
      <c r="O41" s="60"/>
      <c r="P41" s="276" t="s">
        <v>1541</v>
      </c>
      <c r="Q41" s="231" t="s">
        <v>71</v>
      </c>
      <c r="R41" s="31"/>
    </row>
    <row r="42" ht="29.25" customHeight="1">
      <c r="A42" s="15" t="s">
        <v>1407</v>
      </c>
      <c r="B42" s="225" t="s">
        <v>1542</v>
      </c>
      <c r="C42" s="248" t="s">
        <v>1543</v>
      </c>
      <c r="D42" s="259"/>
      <c r="E42" s="264" t="s">
        <v>1474</v>
      </c>
      <c r="F42" s="86" t="s">
        <v>75</v>
      </c>
      <c r="G42" s="56">
        <v>100.0</v>
      </c>
      <c r="H42" s="56"/>
      <c r="I42" s="82">
        <v>45902.0</v>
      </c>
      <c r="J42" s="59">
        <v>45903.0</v>
      </c>
      <c r="K42" s="272">
        <v>45903.0</v>
      </c>
      <c r="L42" s="59">
        <v>45903.0</v>
      </c>
      <c r="M42" s="77">
        <f>IF(ISBLANK(L42), NETWORKDAYS(J42, TODAY(),Hoja2!$A$1:$A$18), NETWORKDAYS(J42, L42, Hoja2!$A$1:$A$18))</f>
        <v>1</v>
      </c>
      <c r="N42" s="82"/>
      <c r="O42" s="60"/>
      <c r="P42" s="276" t="s">
        <v>1544</v>
      </c>
      <c r="Q42" s="231" t="s">
        <v>71</v>
      </c>
      <c r="R42" s="31"/>
    </row>
    <row r="43" ht="29.25" customHeight="1">
      <c r="A43" s="263" t="s">
        <v>1407</v>
      </c>
      <c r="B43" s="264" t="s">
        <v>1545</v>
      </c>
      <c r="C43" s="265" t="s">
        <v>1546</v>
      </c>
      <c r="D43" s="279" t="s">
        <v>1547</v>
      </c>
      <c r="E43" s="267" t="s">
        <v>1410</v>
      </c>
      <c r="F43" s="268" t="s">
        <v>214</v>
      </c>
      <c r="G43" s="269">
        <v>95.0</v>
      </c>
      <c r="H43" s="270"/>
      <c r="I43" s="271">
        <v>45903.0</v>
      </c>
      <c r="J43" s="272">
        <v>45903.0</v>
      </c>
      <c r="K43" s="280">
        <v>45905.0</v>
      </c>
      <c r="L43" s="281"/>
      <c r="M43" s="273">
        <f>IF(ISBLANK(L43), NETWORKDAYS(J43, TODAY(),Hoja2!$A$1:$A$18), NETWORKDAYS(J43, L43, Hoja2!$A$1:$A$18))</f>
        <v>77</v>
      </c>
      <c r="N43" s="274"/>
      <c r="O43" s="275"/>
      <c r="P43" s="282" t="s">
        <v>1548</v>
      </c>
      <c r="Q43" s="277" t="s">
        <v>71</v>
      </c>
      <c r="R43" s="278"/>
    </row>
    <row r="44" ht="29.25" customHeight="1">
      <c r="A44" s="263" t="s">
        <v>1407</v>
      </c>
      <c r="B44" s="225" t="s">
        <v>1549</v>
      </c>
      <c r="C44" s="265" t="s">
        <v>1550</v>
      </c>
      <c r="D44" s="283"/>
      <c r="E44" s="284" t="s">
        <v>1474</v>
      </c>
      <c r="F44" s="268" t="s">
        <v>75</v>
      </c>
      <c r="G44" s="269">
        <v>100.0</v>
      </c>
      <c r="H44" s="270"/>
      <c r="I44" s="271">
        <v>45905.0</v>
      </c>
      <c r="J44" s="272">
        <v>45905.0</v>
      </c>
      <c r="K44" s="280">
        <v>45910.0</v>
      </c>
      <c r="L44" s="272">
        <v>45910.0</v>
      </c>
      <c r="M44" s="273">
        <f>IF(ISBLANK(L44), NETWORKDAYS(J44, TODAY(),Hoja2!$A$1:$A$18), NETWORKDAYS(J44, L44, Hoja2!$A$1:$A$18))</f>
        <v>4</v>
      </c>
      <c r="N44" s="274"/>
      <c r="O44" s="275"/>
      <c r="P44" s="282" t="s">
        <v>1551</v>
      </c>
      <c r="Q44" s="277" t="s">
        <v>71</v>
      </c>
      <c r="R44" s="278"/>
    </row>
    <row r="45" ht="29.25" customHeight="1">
      <c r="A45" s="263" t="s">
        <v>1407</v>
      </c>
      <c r="B45" s="225" t="s">
        <v>1552</v>
      </c>
      <c r="C45" s="265" t="s">
        <v>1550</v>
      </c>
      <c r="D45" s="283"/>
      <c r="E45" s="284" t="s">
        <v>1474</v>
      </c>
      <c r="F45" s="268" t="s">
        <v>75</v>
      </c>
      <c r="G45" s="269">
        <v>100.0</v>
      </c>
      <c r="H45" s="270"/>
      <c r="I45" s="271">
        <v>45905.0</v>
      </c>
      <c r="J45" s="272">
        <v>45905.0</v>
      </c>
      <c r="K45" s="280">
        <v>45910.0</v>
      </c>
      <c r="L45" s="272">
        <v>45910.0</v>
      </c>
      <c r="M45" s="273">
        <f>IF(ISBLANK(L45), NETWORKDAYS(J45, TODAY(),Hoja2!$A$1:$A$18), NETWORKDAYS(J45, L45, Hoja2!$A$1:$A$18))</f>
        <v>4</v>
      </c>
      <c r="N45" s="274"/>
      <c r="O45" s="275"/>
      <c r="P45" s="282" t="s">
        <v>1551</v>
      </c>
      <c r="Q45" s="277" t="s">
        <v>71</v>
      </c>
      <c r="R45" s="278"/>
    </row>
    <row r="46" ht="29.25" customHeight="1">
      <c r="A46" s="15" t="s">
        <v>1454</v>
      </c>
      <c r="B46" s="225" t="s">
        <v>1553</v>
      </c>
      <c r="C46" s="248" t="s">
        <v>1554</v>
      </c>
      <c r="D46" s="255"/>
      <c r="E46" s="254" t="s">
        <v>1410</v>
      </c>
      <c r="F46" s="86" t="s">
        <v>75</v>
      </c>
      <c r="G46" s="56">
        <v>100.0</v>
      </c>
      <c r="H46" s="56"/>
      <c r="I46" s="137">
        <v>45884.0</v>
      </c>
      <c r="J46" s="59">
        <v>45884.0</v>
      </c>
      <c r="K46" s="59"/>
      <c r="L46" s="59">
        <v>45888.0</v>
      </c>
      <c r="M46" s="77">
        <f>IF(ISBLANK(L46), NETWORKDAYS(J46, TODAY(),Hoja2!$A$1:$A$18), NETWORKDAYS(J46, L46, Hoja2!$A$1:$A$18))</f>
        <v>3</v>
      </c>
      <c r="N46" s="82"/>
      <c r="O46" s="102"/>
      <c r="P46" s="31" t="s">
        <v>1555</v>
      </c>
      <c r="Q46" s="231" t="s">
        <v>71</v>
      </c>
      <c r="R46" s="105"/>
    </row>
    <row r="47" ht="29.25" customHeight="1">
      <c r="A47" s="15" t="s">
        <v>1407</v>
      </c>
      <c r="B47" s="225" t="s">
        <v>1556</v>
      </c>
      <c r="C47" s="248" t="s">
        <v>1557</v>
      </c>
      <c r="D47" s="255"/>
      <c r="E47" s="254" t="s">
        <v>1410</v>
      </c>
      <c r="F47" s="86" t="s">
        <v>75</v>
      </c>
      <c r="G47" s="56">
        <v>100.0</v>
      </c>
      <c r="H47" s="56"/>
      <c r="I47" s="82">
        <v>45889.0</v>
      </c>
      <c r="J47" s="59">
        <v>45889.0</v>
      </c>
      <c r="K47" s="59">
        <v>45890.0</v>
      </c>
      <c r="L47" s="59">
        <v>45889.0</v>
      </c>
      <c r="M47" s="77">
        <f>IF(ISBLANK(L47), NETWORKDAYS(J47, TODAY(),Hoja2!$A$1:$A$18), NETWORKDAYS(J47, L47, Hoja2!$A$1:$A$18))</f>
        <v>1</v>
      </c>
      <c r="N47" s="82"/>
      <c r="O47" s="102"/>
      <c r="P47" s="31" t="s">
        <v>1558</v>
      </c>
      <c r="Q47" s="231" t="s">
        <v>71</v>
      </c>
      <c r="R47" s="105"/>
    </row>
    <row r="48" ht="29.25" customHeight="1">
      <c r="A48" s="15" t="s">
        <v>1407</v>
      </c>
      <c r="B48" s="225" t="s">
        <v>1559</v>
      </c>
      <c r="C48" s="248" t="s">
        <v>1560</v>
      </c>
      <c r="D48" s="255"/>
      <c r="E48" s="254" t="s">
        <v>1410</v>
      </c>
      <c r="F48" s="86" t="s">
        <v>75</v>
      </c>
      <c r="G48" s="56">
        <v>100.0</v>
      </c>
      <c r="H48" s="56"/>
      <c r="I48" s="82">
        <v>45889.0</v>
      </c>
      <c r="J48" s="59">
        <v>45889.0</v>
      </c>
      <c r="K48" s="59">
        <v>45890.0</v>
      </c>
      <c r="L48" s="59">
        <v>45889.0</v>
      </c>
      <c r="M48" s="25">
        <f>IF(ISBLANK(L48), NETWORKDAYS(J48, TODAY(),Hoja2!$A$1:$A$18), NETWORKDAYS(J48, L48, Hoja2!$A$1:$A$18))</f>
        <v>1</v>
      </c>
      <c r="N48" s="82"/>
      <c r="O48" s="102"/>
      <c r="P48" s="31" t="s">
        <v>1561</v>
      </c>
      <c r="Q48" s="231" t="s">
        <v>71</v>
      </c>
      <c r="R48" s="105"/>
    </row>
    <row r="49" ht="29.25" customHeight="1">
      <c r="A49" s="15" t="s">
        <v>1407</v>
      </c>
      <c r="B49" s="225" t="s">
        <v>1562</v>
      </c>
      <c r="C49" s="248" t="s">
        <v>1563</v>
      </c>
      <c r="D49" s="255"/>
      <c r="E49" s="254" t="s">
        <v>1410</v>
      </c>
      <c r="F49" s="86" t="s">
        <v>75</v>
      </c>
      <c r="G49" s="56">
        <v>100.0</v>
      </c>
      <c r="H49" s="56"/>
      <c r="I49" s="82">
        <v>45889.0</v>
      </c>
      <c r="J49" s="59">
        <v>45889.0</v>
      </c>
      <c r="K49" s="59">
        <v>45890.0</v>
      </c>
      <c r="L49" s="59">
        <v>45889.0</v>
      </c>
      <c r="M49" s="25">
        <f>IF(ISBLANK(L49), NETWORKDAYS(J49, TODAY(),Hoja2!$A$1:$A$18), NETWORKDAYS(J49, L49, Hoja2!$A$1:$A$18))</f>
        <v>1</v>
      </c>
      <c r="N49" s="82"/>
      <c r="O49" s="102"/>
      <c r="P49" s="31" t="s">
        <v>1564</v>
      </c>
      <c r="Q49" s="231" t="s">
        <v>71</v>
      </c>
      <c r="R49" s="105"/>
    </row>
    <row r="50" ht="29.25" customHeight="1">
      <c r="A50" s="15" t="s">
        <v>1407</v>
      </c>
      <c r="B50" s="225" t="s">
        <v>1565</v>
      </c>
      <c r="C50" s="248" t="s">
        <v>1566</v>
      </c>
      <c r="D50" s="255"/>
      <c r="E50" s="254" t="s">
        <v>1410</v>
      </c>
      <c r="F50" s="86" t="s">
        <v>75</v>
      </c>
      <c r="G50" s="56">
        <v>100.0</v>
      </c>
      <c r="H50" s="56"/>
      <c r="I50" s="82">
        <v>45889.0</v>
      </c>
      <c r="J50" s="59">
        <v>45889.0</v>
      </c>
      <c r="K50" s="59">
        <v>45890.0</v>
      </c>
      <c r="L50" s="59">
        <v>45889.0</v>
      </c>
      <c r="M50" s="25">
        <f>IF(ISBLANK(L50), NETWORKDAYS(J50, TODAY(),Hoja2!$A$1:$A$18), NETWORKDAYS(J50, L50, Hoja2!$A$1:$A$18))</f>
        <v>1</v>
      </c>
      <c r="N50" s="82"/>
      <c r="O50" s="102"/>
      <c r="P50" s="31" t="s">
        <v>1567</v>
      </c>
      <c r="Q50" s="231" t="s">
        <v>71</v>
      </c>
      <c r="R50" s="105"/>
    </row>
    <row r="51" ht="29.25" customHeight="1">
      <c r="A51" s="15" t="s">
        <v>1407</v>
      </c>
      <c r="B51" s="264" t="s">
        <v>1568</v>
      </c>
      <c r="C51" s="285" t="s">
        <v>1566</v>
      </c>
      <c r="D51" s="286"/>
      <c r="E51" s="287" t="s">
        <v>1410</v>
      </c>
      <c r="F51" s="288" t="s">
        <v>75</v>
      </c>
      <c r="G51" s="289">
        <v>100.0</v>
      </c>
      <c r="H51" s="290"/>
      <c r="I51" s="291">
        <v>45889.0</v>
      </c>
      <c r="J51" s="281">
        <v>45889.0</v>
      </c>
      <c r="K51" s="281">
        <v>45890.0</v>
      </c>
      <c r="L51" s="281">
        <v>45889.0</v>
      </c>
      <c r="M51" s="292">
        <f>IF(ISBLANK(L51), NETWORKDAYS(J51, TODAY(),Hoja2!$A$1:$A$18), NETWORKDAYS(J51, L51, Hoja2!$A$1:$A$18))</f>
        <v>1</v>
      </c>
      <c r="N51" s="274"/>
      <c r="O51" s="275"/>
      <c r="P51" s="31" t="s">
        <v>1569</v>
      </c>
      <c r="Q51" s="231" t="s">
        <v>71</v>
      </c>
      <c r="R51" s="293"/>
    </row>
    <row r="52" ht="29.25" customHeight="1">
      <c r="A52" s="15" t="s">
        <v>1407</v>
      </c>
      <c r="B52" s="264" t="s">
        <v>1570</v>
      </c>
      <c r="C52" s="285" t="s">
        <v>1566</v>
      </c>
      <c r="D52" s="286"/>
      <c r="E52" s="294" t="s">
        <v>1410</v>
      </c>
      <c r="F52" s="288" t="s">
        <v>75</v>
      </c>
      <c r="G52" s="289">
        <v>100.0</v>
      </c>
      <c r="H52" s="290"/>
      <c r="I52" s="291">
        <v>45889.0</v>
      </c>
      <c r="J52" s="281">
        <v>45889.0</v>
      </c>
      <c r="K52" s="281">
        <v>45890.0</v>
      </c>
      <c r="L52" s="281">
        <v>45889.0</v>
      </c>
      <c r="M52" s="292">
        <f>IF(ISBLANK(L52), NETWORKDAYS(J52, TODAY(),Hoja2!$A$1:$A$18), NETWORKDAYS(J52, L52, Hoja2!$A$1:$A$18))</f>
        <v>1</v>
      </c>
      <c r="N52" s="274"/>
      <c r="O52" s="275"/>
      <c r="P52" s="31" t="s">
        <v>1571</v>
      </c>
      <c r="Q52" s="231" t="s">
        <v>71</v>
      </c>
      <c r="R52" s="293"/>
    </row>
    <row r="53" ht="29.25" customHeight="1">
      <c r="A53" s="15" t="s">
        <v>1407</v>
      </c>
      <c r="B53" s="225" t="s">
        <v>1572</v>
      </c>
      <c r="C53" s="248" t="s">
        <v>1573</v>
      </c>
      <c r="D53" s="286"/>
      <c r="E53" s="227" t="s">
        <v>1474</v>
      </c>
      <c r="F53" s="288" t="s">
        <v>75</v>
      </c>
      <c r="G53" s="289">
        <v>100.0</v>
      </c>
      <c r="H53" s="290"/>
      <c r="I53" s="271">
        <v>45890.0</v>
      </c>
      <c r="J53" s="272">
        <v>45890.0</v>
      </c>
      <c r="K53" s="272">
        <v>45891.0</v>
      </c>
      <c r="L53" s="272">
        <v>45890.0</v>
      </c>
      <c r="M53" s="292">
        <f>IF(ISBLANK(L53), NETWORKDAYS(J53, TODAY(),Hoja2!$A$1:$A$18), NETWORKDAYS(J53, L53, Hoja2!$A$1:$A$18))</f>
        <v>1</v>
      </c>
      <c r="N53" s="274"/>
      <c r="O53" s="275"/>
      <c r="P53" s="31" t="s">
        <v>1574</v>
      </c>
      <c r="Q53" s="231" t="s">
        <v>71</v>
      </c>
      <c r="R53" s="293"/>
    </row>
    <row r="54" ht="29.25" customHeight="1">
      <c r="A54" s="15" t="s">
        <v>1407</v>
      </c>
      <c r="B54" s="225" t="s">
        <v>1575</v>
      </c>
      <c r="C54" s="248" t="s">
        <v>1576</v>
      </c>
      <c r="D54" s="259" t="s">
        <v>1577</v>
      </c>
      <c r="E54" s="227" t="s">
        <v>1474</v>
      </c>
      <c r="F54" s="295" t="s">
        <v>75</v>
      </c>
      <c r="G54" s="296">
        <v>100.0</v>
      </c>
      <c r="H54" s="290"/>
      <c r="I54" s="271">
        <v>45890.0</v>
      </c>
      <c r="J54" s="272">
        <v>45891.0</v>
      </c>
      <c r="K54" s="272">
        <v>45891.0</v>
      </c>
      <c r="L54" s="272">
        <v>45891.0</v>
      </c>
      <c r="M54" s="297">
        <f>IF(ISBLANK(L54), NETWORKDAYS(J54, TODAY(),Hoja2!$A$1:$A$18), NETWORKDAYS(J54, L54, Hoja2!$A$1:$A$18))</f>
        <v>1</v>
      </c>
      <c r="N54" s="274"/>
      <c r="O54" s="275"/>
      <c r="P54" s="31" t="s">
        <v>1578</v>
      </c>
      <c r="Q54" s="298" t="s">
        <v>71</v>
      </c>
      <c r="R54" s="293"/>
    </row>
    <row r="55" ht="29.25" customHeight="1">
      <c r="A55" s="15" t="s">
        <v>1407</v>
      </c>
      <c r="B55" s="225" t="s">
        <v>1579</v>
      </c>
      <c r="C55" s="248" t="s">
        <v>1580</v>
      </c>
      <c r="D55" s="286"/>
      <c r="E55" s="227" t="s">
        <v>1474</v>
      </c>
      <c r="F55" s="299" t="s">
        <v>75</v>
      </c>
      <c r="G55" s="300">
        <v>100.0</v>
      </c>
      <c r="H55" s="290"/>
      <c r="I55" s="271">
        <v>45890.0</v>
      </c>
      <c r="J55" s="272">
        <v>45890.0</v>
      </c>
      <c r="K55" s="272">
        <v>45891.0</v>
      </c>
      <c r="L55" s="272">
        <v>45890.0</v>
      </c>
      <c r="M55" s="297">
        <f>IF(ISBLANK(L55), NETWORKDAYS(J55, TODAY(),Hoja2!$A$1:$A$18), NETWORKDAYS(J55, L55, Hoja2!$A$1:$A$18))</f>
        <v>1</v>
      </c>
      <c r="N55" s="274"/>
      <c r="O55" s="275"/>
      <c r="P55" s="31" t="s">
        <v>1581</v>
      </c>
      <c r="Q55" s="298" t="s">
        <v>71</v>
      </c>
      <c r="R55" s="293"/>
    </row>
    <row r="56" ht="29.25" customHeight="1">
      <c r="A56" s="15" t="s">
        <v>1407</v>
      </c>
      <c r="B56" s="225" t="s">
        <v>1582</v>
      </c>
      <c r="C56" s="248" t="s">
        <v>1583</v>
      </c>
      <c r="D56" s="266" t="s">
        <v>1584</v>
      </c>
      <c r="E56" s="227" t="s">
        <v>1474</v>
      </c>
      <c r="F56" s="295" t="s">
        <v>75</v>
      </c>
      <c r="G56" s="296">
        <v>100.0</v>
      </c>
      <c r="H56" s="290"/>
      <c r="I56" s="271">
        <v>45890.0</v>
      </c>
      <c r="J56" s="272">
        <v>45890.0</v>
      </c>
      <c r="K56" s="272">
        <v>45892.0</v>
      </c>
      <c r="L56" s="272">
        <v>45892.0</v>
      </c>
      <c r="M56" s="297">
        <f>IF(ISBLANK(L56), NETWORKDAYS(J56, TODAY(),Hoja2!$A$1:$A$18), NETWORKDAYS(J56, L56, Hoja2!$A$1:$A$18))</f>
        <v>2</v>
      </c>
      <c r="N56" s="274"/>
      <c r="O56" s="275"/>
      <c r="P56" s="31" t="s">
        <v>1585</v>
      </c>
      <c r="Q56" s="298" t="s">
        <v>71</v>
      </c>
      <c r="R56" s="293"/>
    </row>
    <row r="57" ht="29.25" customHeight="1">
      <c r="A57" s="263" t="s">
        <v>1407</v>
      </c>
      <c r="B57" s="225" t="s">
        <v>1586</v>
      </c>
      <c r="C57" s="265" t="s">
        <v>1587</v>
      </c>
      <c r="D57" s="279" t="s">
        <v>1588</v>
      </c>
      <c r="E57" s="284" t="s">
        <v>1474</v>
      </c>
      <c r="F57" s="268" t="s">
        <v>75</v>
      </c>
      <c r="G57" s="269">
        <v>100.0</v>
      </c>
      <c r="H57" s="270"/>
      <c r="I57" s="271">
        <v>45910.0</v>
      </c>
      <c r="J57" s="272">
        <v>45910.0</v>
      </c>
      <c r="K57" s="280">
        <v>45912.0</v>
      </c>
      <c r="L57" s="272">
        <v>45937.0</v>
      </c>
      <c r="M57" s="273">
        <f>IF(ISBLANK(L57), NETWORKDAYS(J57, TODAY(),Hoja2!$A$1:$A$18), NETWORKDAYS(J57, L57, Hoja2!$A$1:$A$18))</f>
        <v>20</v>
      </c>
      <c r="N57" s="274"/>
      <c r="O57" s="275"/>
      <c r="P57" s="282" t="s">
        <v>1589</v>
      </c>
      <c r="Q57" s="277" t="s">
        <v>71</v>
      </c>
      <c r="R57" s="278"/>
    </row>
    <row r="58" ht="29.25" customHeight="1">
      <c r="A58" s="263" t="s">
        <v>1407</v>
      </c>
      <c r="B58" s="225" t="s">
        <v>1590</v>
      </c>
      <c r="C58" s="265" t="s">
        <v>1591</v>
      </c>
      <c r="D58" s="279" t="s">
        <v>1592</v>
      </c>
      <c r="E58" s="284" t="s">
        <v>1474</v>
      </c>
      <c r="F58" s="268" t="s">
        <v>75</v>
      </c>
      <c r="G58" s="269">
        <v>100.0</v>
      </c>
      <c r="H58" s="270"/>
      <c r="I58" s="271">
        <v>45912.0</v>
      </c>
      <c r="J58" s="272">
        <v>45912.0</v>
      </c>
      <c r="K58" s="280">
        <v>45915.0</v>
      </c>
      <c r="L58" s="272">
        <v>45937.0</v>
      </c>
      <c r="M58" s="273">
        <f>IF(ISBLANK(L58), NETWORKDAYS(J58, TODAY(),Hoja2!$A$1:$A$18), NETWORKDAYS(J58, L58, Hoja2!$A$1:$A$18))</f>
        <v>18</v>
      </c>
      <c r="N58" s="274"/>
      <c r="O58" s="275"/>
      <c r="P58" s="282" t="s">
        <v>1593</v>
      </c>
      <c r="Q58" s="277" t="s">
        <v>71</v>
      </c>
      <c r="R58" s="278"/>
    </row>
    <row r="59" ht="29.25" customHeight="1">
      <c r="A59" s="301" t="s">
        <v>1407</v>
      </c>
      <c r="B59" s="264" t="s">
        <v>1594</v>
      </c>
      <c r="C59" s="302" t="s">
        <v>1595</v>
      </c>
      <c r="D59" s="279" t="s">
        <v>1596</v>
      </c>
      <c r="E59" s="267" t="s">
        <v>1474</v>
      </c>
      <c r="F59" s="303" t="s">
        <v>75</v>
      </c>
      <c r="G59" s="304">
        <v>100.0</v>
      </c>
      <c r="H59" s="305"/>
      <c r="I59" s="271">
        <v>45912.0</v>
      </c>
      <c r="J59" s="272">
        <v>45912.0</v>
      </c>
      <c r="K59" s="280">
        <v>45915.0</v>
      </c>
      <c r="L59" s="272">
        <v>45937.0</v>
      </c>
      <c r="M59" s="306">
        <f>IF(ISBLANK(L59), NETWORKDAYS(J59, TODAY(),Hoja2!$A$1:$A$18), NETWORKDAYS(J59, L59, Hoja2!$A$1:$A$18))</f>
        <v>18</v>
      </c>
      <c r="N59" s="307"/>
      <c r="O59" s="308"/>
      <c r="P59" s="282" t="s">
        <v>1597</v>
      </c>
      <c r="Q59" s="277" t="s">
        <v>71</v>
      </c>
      <c r="R59" s="278"/>
    </row>
    <row r="60" ht="29.25" customHeight="1">
      <c r="A60" s="301" t="s">
        <v>1407</v>
      </c>
      <c r="B60" s="284" t="s">
        <v>1598</v>
      </c>
      <c r="C60" s="302" t="s">
        <v>1599</v>
      </c>
      <c r="D60" s="309" t="s">
        <v>1600</v>
      </c>
      <c r="E60" s="267" t="s">
        <v>1474</v>
      </c>
      <c r="F60" s="303" t="s">
        <v>75</v>
      </c>
      <c r="G60" s="304">
        <v>100.0</v>
      </c>
      <c r="H60" s="305"/>
      <c r="I60" s="310">
        <v>45917.0</v>
      </c>
      <c r="J60" s="280">
        <v>45917.0</v>
      </c>
      <c r="K60" s="280">
        <v>45919.0</v>
      </c>
      <c r="L60" s="272">
        <v>45937.0</v>
      </c>
      <c r="M60" s="306">
        <f>IF(ISBLANK(L60), NETWORKDAYS(J60, TODAY(),Hoja2!$A$1:$A$18), NETWORKDAYS(J60, L60, Hoja2!$A$1:$A$18))</f>
        <v>15</v>
      </c>
      <c r="N60" s="307"/>
      <c r="O60" s="308"/>
      <c r="P60" s="282" t="s">
        <v>1601</v>
      </c>
      <c r="Q60" s="277" t="s">
        <v>71</v>
      </c>
      <c r="R60" s="278"/>
    </row>
    <row r="61" ht="29.25" customHeight="1">
      <c r="A61" s="301" t="s">
        <v>1407</v>
      </c>
      <c r="B61" s="284" t="s">
        <v>1602</v>
      </c>
      <c r="C61" s="302" t="s">
        <v>1603</v>
      </c>
      <c r="D61" s="309" t="s">
        <v>1604</v>
      </c>
      <c r="E61" s="267" t="s">
        <v>1474</v>
      </c>
      <c r="F61" s="303" t="s">
        <v>75</v>
      </c>
      <c r="G61" s="304">
        <v>100.0</v>
      </c>
      <c r="H61" s="305"/>
      <c r="I61" s="310">
        <v>45917.0</v>
      </c>
      <c r="J61" s="280">
        <v>45917.0</v>
      </c>
      <c r="K61" s="280">
        <v>45919.0</v>
      </c>
      <c r="L61" s="272">
        <v>45937.0</v>
      </c>
      <c r="M61" s="306">
        <f>IF(ISBLANK(L61), NETWORKDAYS(J61, TODAY(),Hoja2!$A$1:$A$18), NETWORKDAYS(J61, L61, Hoja2!$A$1:$A$18))</f>
        <v>15</v>
      </c>
      <c r="N61" s="307"/>
      <c r="O61" s="308"/>
      <c r="P61" s="282" t="s">
        <v>1605</v>
      </c>
      <c r="Q61" s="277" t="s">
        <v>71</v>
      </c>
      <c r="R61" s="278"/>
    </row>
    <row r="62" ht="39.0" customHeight="1">
      <c r="A62" s="15" t="s">
        <v>1407</v>
      </c>
      <c r="B62" s="225" t="s">
        <v>1606</v>
      </c>
      <c r="C62" s="248" t="s">
        <v>1607</v>
      </c>
      <c r="D62" s="311" t="s">
        <v>1608</v>
      </c>
      <c r="E62" s="227" t="s">
        <v>1410</v>
      </c>
      <c r="F62" s="19" t="s">
        <v>75</v>
      </c>
      <c r="G62" s="56">
        <v>100.0</v>
      </c>
      <c r="H62" s="56">
        <v>2.0</v>
      </c>
      <c r="I62" s="82">
        <v>45919.0</v>
      </c>
      <c r="J62" s="59">
        <v>45919.0</v>
      </c>
      <c r="K62" s="59">
        <v>45919.0</v>
      </c>
      <c r="L62" s="59">
        <v>45919.0</v>
      </c>
      <c r="M62" s="25">
        <f>IF(ISBLANK(L62), NETWORKDAYS(J62, TODAY(),Hoja2!$A$1:$A$18), NETWORKDAYS(J62, L62, Hoja2!$A$1:$A$18))</f>
        <v>1</v>
      </c>
      <c r="N62" s="58"/>
      <c r="O62" s="69"/>
      <c r="P62" s="282" t="s">
        <v>1609</v>
      </c>
      <c r="Q62" s="231" t="s">
        <v>71</v>
      </c>
      <c r="R62" s="63"/>
    </row>
    <row r="63" ht="29.25" customHeight="1">
      <c r="A63" s="301" t="s">
        <v>1407</v>
      </c>
      <c r="B63" s="284" t="s">
        <v>1610</v>
      </c>
      <c r="C63" s="302" t="s">
        <v>1611</v>
      </c>
      <c r="D63" s="309" t="s">
        <v>1612</v>
      </c>
      <c r="E63" s="267" t="s">
        <v>1474</v>
      </c>
      <c r="F63" s="303" t="s">
        <v>75</v>
      </c>
      <c r="G63" s="304">
        <v>100.0</v>
      </c>
      <c r="H63" s="305"/>
      <c r="I63" s="310">
        <v>45922.0</v>
      </c>
      <c r="J63" s="280">
        <v>45922.0</v>
      </c>
      <c r="K63" s="280"/>
      <c r="L63" s="280">
        <v>45937.0</v>
      </c>
      <c r="M63" s="306">
        <f>IF(ISBLANK(L63), NETWORKDAYS(J63, TODAY(),Hoja2!$A$1:$A$18), NETWORKDAYS(J63, L63, Hoja2!$A$1:$A$18))</f>
        <v>12</v>
      </c>
      <c r="N63" s="307"/>
      <c r="O63" s="308"/>
      <c r="P63" s="282" t="s">
        <v>1613</v>
      </c>
      <c r="Q63" s="277" t="s">
        <v>71</v>
      </c>
      <c r="R63" s="278"/>
    </row>
    <row r="64" ht="29.25" customHeight="1">
      <c r="A64" s="301" t="s">
        <v>1407</v>
      </c>
      <c r="B64" s="284" t="s">
        <v>1614</v>
      </c>
      <c r="C64" s="302" t="s">
        <v>1611</v>
      </c>
      <c r="D64" s="309" t="s">
        <v>1615</v>
      </c>
      <c r="E64" s="267" t="s">
        <v>1474</v>
      </c>
      <c r="F64" s="303" t="s">
        <v>75</v>
      </c>
      <c r="G64" s="304">
        <v>100.0</v>
      </c>
      <c r="H64" s="305"/>
      <c r="I64" s="310">
        <v>45922.0</v>
      </c>
      <c r="J64" s="280">
        <v>45922.0</v>
      </c>
      <c r="K64" s="280"/>
      <c r="L64" s="280">
        <v>45937.0</v>
      </c>
      <c r="M64" s="306">
        <f>IF(ISBLANK(L64), NETWORKDAYS(J64, TODAY(),Hoja2!$A$1:$A$18), NETWORKDAYS(J64, L64, Hoja2!$A$1:$A$18))</f>
        <v>12</v>
      </c>
      <c r="N64" s="307"/>
      <c r="O64" s="308"/>
      <c r="P64" s="282" t="s">
        <v>1616</v>
      </c>
      <c r="Q64" s="277" t="s">
        <v>71</v>
      </c>
      <c r="R64" s="278"/>
    </row>
    <row r="65" ht="29.25" customHeight="1">
      <c r="A65" s="301" t="s">
        <v>1407</v>
      </c>
      <c r="B65" s="284" t="s">
        <v>1617</v>
      </c>
      <c r="C65" s="302" t="s">
        <v>1618</v>
      </c>
      <c r="D65" s="309" t="s">
        <v>1619</v>
      </c>
      <c r="E65" s="267" t="s">
        <v>1474</v>
      </c>
      <c r="F65" s="303" t="s">
        <v>75</v>
      </c>
      <c r="G65" s="304">
        <v>100.0</v>
      </c>
      <c r="H65" s="305"/>
      <c r="I65" s="310">
        <v>45925.0</v>
      </c>
      <c r="J65" s="280">
        <v>45925.0</v>
      </c>
      <c r="K65" s="280">
        <v>45925.0</v>
      </c>
      <c r="L65" s="280">
        <v>45925.0</v>
      </c>
      <c r="M65" s="306">
        <f>IF(ISBLANK(L65), NETWORKDAYS(J65, TODAY(),Hoja2!$A$1:$A$18), NETWORKDAYS(J65, L65, Hoja2!$A$1:$A$18))</f>
        <v>1</v>
      </c>
      <c r="N65" s="307"/>
      <c r="O65" s="308"/>
      <c r="P65" s="282" t="s">
        <v>1620</v>
      </c>
      <c r="Q65" s="277" t="s">
        <v>71</v>
      </c>
      <c r="R65" s="278"/>
    </row>
    <row r="66" ht="29.25" customHeight="1">
      <c r="A66" s="263" t="s">
        <v>1407</v>
      </c>
      <c r="B66" s="264" t="s">
        <v>1621</v>
      </c>
      <c r="C66" s="265" t="s">
        <v>1622</v>
      </c>
      <c r="D66" s="266" t="s">
        <v>1623</v>
      </c>
      <c r="E66" s="267" t="s">
        <v>1491</v>
      </c>
      <c r="F66" s="268" t="s">
        <v>75</v>
      </c>
      <c r="G66" s="269">
        <v>100.0</v>
      </c>
      <c r="H66" s="270"/>
      <c r="I66" s="271">
        <v>45931.0</v>
      </c>
      <c r="J66" s="272">
        <v>45932.0</v>
      </c>
      <c r="K66" s="272">
        <v>45932.0</v>
      </c>
      <c r="L66" s="272">
        <v>45932.0</v>
      </c>
      <c r="M66" s="273">
        <f>IF(ISBLANK(L66), NETWORKDAYS(J66, TODAY(),Hoja2!$A$1:$A$18), NETWORKDAYS(J66, L66, Hoja2!$A$1:$A$18))</f>
        <v>1</v>
      </c>
      <c r="N66" s="274"/>
      <c r="O66" s="275"/>
      <c r="P66" s="276" t="s">
        <v>1624</v>
      </c>
      <c r="Q66" s="277" t="s">
        <v>71</v>
      </c>
      <c r="R66" s="278"/>
    </row>
    <row r="67" ht="29.25" customHeight="1">
      <c r="A67" s="263" t="s">
        <v>1407</v>
      </c>
      <c r="B67" s="264" t="s">
        <v>1625</v>
      </c>
      <c r="C67" s="265" t="s">
        <v>1626</v>
      </c>
      <c r="D67" s="279" t="s">
        <v>1627</v>
      </c>
      <c r="E67" s="267" t="s">
        <v>1410</v>
      </c>
      <c r="F67" s="268" t="s">
        <v>75</v>
      </c>
      <c r="G67" s="269">
        <v>100.0</v>
      </c>
      <c r="H67" s="270"/>
      <c r="I67" s="271">
        <v>45932.0</v>
      </c>
      <c r="J67" s="272">
        <v>45934.0</v>
      </c>
      <c r="K67" s="272">
        <v>45934.0</v>
      </c>
      <c r="L67" s="272">
        <v>45934.0</v>
      </c>
      <c r="M67" s="273">
        <f>IF(ISBLANK(L67), NETWORKDAYS(J67, TODAY(),Hoja2!$A$1:$A$18), NETWORKDAYS(J67, L67, Hoja2!$A$1:$A$18))</f>
        <v>0</v>
      </c>
      <c r="N67" s="274"/>
      <c r="O67" s="275"/>
      <c r="P67" s="282" t="s">
        <v>1628</v>
      </c>
      <c r="Q67" s="277" t="s">
        <v>71</v>
      </c>
      <c r="R67" s="278"/>
    </row>
    <row r="68" ht="29.25" customHeight="1">
      <c r="A68" s="263" t="s">
        <v>1407</v>
      </c>
      <c r="B68" s="264" t="s">
        <v>1629</v>
      </c>
      <c r="C68" s="265" t="s">
        <v>1630</v>
      </c>
      <c r="D68" s="279" t="s">
        <v>1631</v>
      </c>
      <c r="E68" s="267" t="s">
        <v>1410</v>
      </c>
      <c r="F68" s="268" t="s">
        <v>75</v>
      </c>
      <c r="G68" s="269">
        <v>100.0</v>
      </c>
      <c r="H68" s="270"/>
      <c r="I68" s="271">
        <v>45932.0</v>
      </c>
      <c r="J68" s="272">
        <v>45934.0</v>
      </c>
      <c r="K68" s="272">
        <v>45934.0</v>
      </c>
      <c r="L68" s="272">
        <v>45934.0</v>
      </c>
      <c r="M68" s="273">
        <f>IF(ISBLANK(L68), NETWORKDAYS(J68, TODAY(),Hoja2!$A$1:$A$18), NETWORKDAYS(J68, L68, Hoja2!$A$1:$A$18))</f>
        <v>0</v>
      </c>
      <c r="N68" s="274"/>
      <c r="O68" s="275"/>
      <c r="P68" s="282" t="s">
        <v>1632</v>
      </c>
      <c r="Q68" s="277" t="s">
        <v>71</v>
      </c>
      <c r="R68" s="278"/>
    </row>
    <row r="69" ht="29.25" customHeight="1">
      <c r="A69" s="15" t="s">
        <v>1407</v>
      </c>
      <c r="B69" s="225" t="s">
        <v>1633</v>
      </c>
      <c r="C69" s="248" t="s">
        <v>1583</v>
      </c>
      <c r="D69" s="266" t="s">
        <v>1634</v>
      </c>
      <c r="E69" s="227" t="s">
        <v>1474</v>
      </c>
      <c r="F69" s="295" t="s">
        <v>75</v>
      </c>
      <c r="G69" s="296">
        <v>100.0</v>
      </c>
      <c r="H69" s="290"/>
      <c r="I69" s="271">
        <v>45932.0</v>
      </c>
      <c r="J69" s="272">
        <v>45934.0</v>
      </c>
      <c r="K69" s="272">
        <v>45934.0</v>
      </c>
      <c r="L69" s="272">
        <v>45934.0</v>
      </c>
      <c r="M69" s="297">
        <f>IF(ISBLANK(L69), NETWORKDAYS(J69, TODAY(),Hoja2!$A$1:$A$18), NETWORKDAYS(J69, L69, Hoja2!$A$1:$A$18))</f>
        <v>0</v>
      </c>
      <c r="N69" s="274"/>
      <c r="O69" s="275"/>
      <c r="P69" s="31" t="s">
        <v>1635</v>
      </c>
      <c r="Q69" s="298" t="s">
        <v>71</v>
      </c>
      <c r="R69" s="293"/>
    </row>
    <row r="70" ht="29.25" customHeight="1">
      <c r="A70" s="263" t="s">
        <v>1407</v>
      </c>
      <c r="B70" s="264" t="s">
        <v>1636</v>
      </c>
      <c r="C70" s="265" t="s">
        <v>1637</v>
      </c>
      <c r="D70" s="279"/>
      <c r="E70" s="267" t="s">
        <v>1410</v>
      </c>
      <c r="F70" s="268" t="s">
        <v>75</v>
      </c>
      <c r="G70" s="269">
        <v>100.0</v>
      </c>
      <c r="H70" s="270"/>
      <c r="I70" s="271">
        <v>45936.0</v>
      </c>
      <c r="J70" s="272">
        <v>45936.0</v>
      </c>
      <c r="K70" s="272">
        <v>45937.0</v>
      </c>
      <c r="L70" s="272">
        <v>45937.0</v>
      </c>
      <c r="M70" s="273">
        <f>IF(ISBLANK(L70), NETWORKDAYS(J70, TODAY(),Hoja2!$A$1:$A$18), NETWORKDAYS(J70, L70, Hoja2!$A$1:$A$18))</f>
        <v>2</v>
      </c>
      <c r="N70" s="274"/>
      <c r="O70" s="275"/>
      <c r="P70" s="282" t="s">
        <v>1638</v>
      </c>
      <c r="Q70" s="277" t="s">
        <v>71</v>
      </c>
      <c r="R70" s="278"/>
    </row>
    <row r="71" ht="29.25" customHeight="1">
      <c r="A71" s="263" t="s">
        <v>1407</v>
      </c>
      <c r="B71" s="264" t="s">
        <v>1639</v>
      </c>
      <c r="C71" s="265" t="s">
        <v>1640</v>
      </c>
      <c r="D71" s="279" t="s">
        <v>1641</v>
      </c>
      <c r="E71" s="267" t="s">
        <v>1410</v>
      </c>
      <c r="F71" s="268" t="s">
        <v>75</v>
      </c>
      <c r="G71" s="269">
        <v>100.0</v>
      </c>
      <c r="H71" s="270"/>
      <c r="I71" s="271">
        <v>45936.0</v>
      </c>
      <c r="J71" s="272">
        <v>45936.0</v>
      </c>
      <c r="K71" s="272">
        <v>45937.0</v>
      </c>
      <c r="L71" s="272">
        <v>45937.0</v>
      </c>
      <c r="M71" s="273">
        <f>IF(ISBLANK(L71), NETWORKDAYS(J71, TODAY(),Hoja2!$A$1:$A$18), NETWORKDAYS(J71, L71, Hoja2!$A$1:$A$18))</f>
        <v>2</v>
      </c>
      <c r="N71" s="274"/>
      <c r="O71" s="275"/>
      <c r="P71" s="282" t="s">
        <v>1642</v>
      </c>
      <c r="Q71" s="277" t="s">
        <v>71</v>
      </c>
      <c r="R71" s="278"/>
    </row>
    <row r="72" ht="29.25" customHeight="1">
      <c r="A72" s="301" t="s">
        <v>1407</v>
      </c>
      <c r="B72" s="284" t="s">
        <v>1643</v>
      </c>
      <c r="C72" s="302" t="s">
        <v>1644</v>
      </c>
      <c r="D72" s="279" t="s">
        <v>1645</v>
      </c>
      <c r="E72" s="267" t="s">
        <v>1474</v>
      </c>
      <c r="F72" s="303" t="s">
        <v>75</v>
      </c>
      <c r="G72" s="304">
        <v>100.0</v>
      </c>
      <c r="H72" s="305"/>
      <c r="I72" s="271">
        <v>45936.0</v>
      </c>
      <c r="J72" s="272">
        <v>45936.0</v>
      </c>
      <c r="K72" s="272">
        <v>45937.0</v>
      </c>
      <c r="L72" s="272">
        <v>45937.0</v>
      </c>
      <c r="M72" s="306">
        <f>IF(ISBLANK(L72), NETWORKDAYS(J72, TODAY(),Hoja2!$A$1:$A$18), NETWORKDAYS(J72, L72, Hoja2!$A$1:$A$18))</f>
        <v>2</v>
      </c>
      <c r="N72" s="307"/>
      <c r="O72" s="308"/>
      <c r="P72" s="282" t="s">
        <v>1646</v>
      </c>
      <c r="Q72" s="277" t="s">
        <v>71</v>
      </c>
      <c r="R72" s="278"/>
    </row>
    <row r="73" ht="29.25" customHeight="1">
      <c r="A73" s="312" t="s">
        <v>1407</v>
      </c>
      <c r="B73" s="313" t="s">
        <v>1647</v>
      </c>
      <c r="C73" s="314" t="s">
        <v>1611</v>
      </c>
      <c r="D73" s="309" t="s">
        <v>1648</v>
      </c>
      <c r="E73" s="315" t="s">
        <v>1474</v>
      </c>
      <c r="F73" s="316" t="s">
        <v>75</v>
      </c>
      <c r="G73" s="296">
        <v>100.0</v>
      </c>
      <c r="H73" s="270"/>
      <c r="I73" s="271">
        <v>45936.0</v>
      </c>
      <c r="J73" s="272">
        <v>45936.0</v>
      </c>
      <c r="K73" s="272">
        <v>45937.0</v>
      </c>
      <c r="L73" s="272">
        <v>45937.0</v>
      </c>
      <c r="M73" s="317">
        <f>IF(ISBLANK(L73), NETWORKDAYS(J73, TODAY(),Hoja2!$A$1:$A$18), NETWORKDAYS(J73, L73, Hoja2!$A$1:$A$18))</f>
        <v>2</v>
      </c>
      <c r="N73" s="274"/>
      <c r="O73" s="275"/>
      <c r="P73" s="282" t="s">
        <v>1649</v>
      </c>
      <c r="Q73" s="298" t="s">
        <v>71</v>
      </c>
      <c r="R73" s="318"/>
    </row>
    <row r="74" ht="29.25" customHeight="1">
      <c r="A74" s="301" t="s">
        <v>1407</v>
      </c>
      <c r="B74" s="284" t="s">
        <v>1650</v>
      </c>
      <c r="C74" s="302" t="s">
        <v>1611</v>
      </c>
      <c r="D74" s="309" t="s">
        <v>1651</v>
      </c>
      <c r="E74" s="267" t="s">
        <v>1474</v>
      </c>
      <c r="F74" s="303" t="s">
        <v>75</v>
      </c>
      <c r="G74" s="304">
        <v>100.0</v>
      </c>
      <c r="H74" s="305"/>
      <c r="I74" s="271">
        <v>45936.0</v>
      </c>
      <c r="J74" s="272">
        <v>45936.0</v>
      </c>
      <c r="K74" s="272">
        <v>45937.0</v>
      </c>
      <c r="L74" s="272">
        <v>45937.0</v>
      </c>
      <c r="M74" s="306">
        <f>IF(ISBLANK(L74), NETWORKDAYS(J74, TODAY(),Hoja2!$A$1:$A$18), NETWORKDAYS(J74, L74, Hoja2!$A$1:$A$18))</f>
        <v>2</v>
      </c>
      <c r="N74" s="307"/>
      <c r="O74" s="308"/>
      <c r="P74" s="282" t="s">
        <v>1652</v>
      </c>
      <c r="Q74" s="277" t="s">
        <v>71</v>
      </c>
      <c r="R74" s="278"/>
    </row>
    <row r="75" ht="29.25" customHeight="1">
      <c r="A75" s="263" t="s">
        <v>1407</v>
      </c>
      <c r="B75" s="264" t="s">
        <v>1653</v>
      </c>
      <c r="C75" s="265" t="s">
        <v>1654</v>
      </c>
      <c r="D75" s="279" t="s">
        <v>1655</v>
      </c>
      <c r="E75" s="267" t="s">
        <v>1410</v>
      </c>
      <c r="F75" s="268" t="s">
        <v>75</v>
      </c>
      <c r="G75" s="269">
        <v>100.0</v>
      </c>
      <c r="H75" s="270"/>
      <c r="I75" s="271">
        <v>45938.0</v>
      </c>
      <c r="J75" s="272">
        <v>45938.0</v>
      </c>
      <c r="K75" s="272">
        <v>45939.0</v>
      </c>
      <c r="L75" s="272">
        <v>45938.0</v>
      </c>
      <c r="M75" s="273">
        <f>IF(ISBLANK(L75), NETWORKDAYS(J75, TODAY(),Hoja2!$A$1:$A$18), NETWORKDAYS(J75, L75, Hoja2!$A$1:$A$18))</f>
        <v>1</v>
      </c>
      <c r="N75" s="274"/>
      <c r="O75" s="275"/>
      <c r="P75" s="282" t="s">
        <v>1656</v>
      </c>
      <c r="Q75" s="277" t="s">
        <v>71</v>
      </c>
      <c r="R75" s="278"/>
    </row>
    <row r="76" ht="29.25" customHeight="1">
      <c r="A76" s="263" t="s">
        <v>1407</v>
      </c>
      <c r="B76" s="264" t="s">
        <v>1657</v>
      </c>
      <c r="C76" s="265" t="s">
        <v>1658</v>
      </c>
      <c r="D76" s="279" t="s">
        <v>1659</v>
      </c>
      <c r="E76" s="267" t="s">
        <v>1410</v>
      </c>
      <c r="F76" s="268" t="s">
        <v>75</v>
      </c>
      <c r="G76" s="269">
        <v>100.0</v>
      </c>
      <c r="H76" s="270"/>
      <c r="I76" s="271">
        <v>45939.0</v>
      </c>
      <c r="J76" s="272">
        <v>45939.0</v>
      </c>
      <c r="K76" s="272">
        <v>45940.0</v>
      </c>
      <c r="L76" s="272">
        <v>45939.0</v>
      </c>
      <c r="M76" s="273">
        <f>IF(ISBLANK(L76), NETWORKDAYS(J76, TODAY(),Hoja2!$A$1:$A$18), NETWORKDAYS(J76, L76, Hoja2!$A$1:$A$18))</f>
        <v>1</v>
      </c>
      <c r="N76" s="274"/>
      <c r="O76" s="275"/>
      <c r="P76" s="282" t="s">
        <v>1660</v>
      </c>
      <c r="Q76" s="277" t="s">
        <v>71</v>
      </c>
      <c r="R76" s="278"/>
    </row>
    <row r="77" ht="29.25" customHeight="1">
      <c r="A77" s="301" t="s">
        <v>1407</v>
      </c>
      <c r="B77" s="284" t="s">
        <v>1661</v>
      </c>
      <c r="C77" s="302" t="s">
        <v>1662</v>
      </c>
      <c r="D77" s="309" t="s">
        <v>1663</v>
      </c>
      <c r="E77" s="267" t="s">
        <v>1474</v>
      </c>
      <c r="F77" s="319" t="s">
        <v>75</v>
      </c>
      <c r="G77" s="320">
        <v>100.0</v>
      </c>
      <c r="H77" s="305"/>
      <c r="I77" s="310">
        <v>45940.0</v>
      </c>
      <c r="J77" s="280">
        <v>45940.0</v>
      </c>
      <c r="K77" s="280">
        <v>45940.0</v>
      </c>
      <c r="L77" s="280">
        <v>45940.0</v>
      </c>
      <c r="M77" s="306">
        <f>IF(ISBLANK(L77), NETWORKDAYS(J77, TODAY(),Hoja2!$A$1:$A$18), NETWORKDAYS(J77, L77, Hoja2!$A$1:$A$18))</f>
        <v>1</v>
      </c>
      <c r="N77" s="307"/>
      <c r="O77" s="308"/>
      <c r="P77" s="282" t="s">
        <v>1664</v>
      </c>
      <c r="Q77" s="277" t="s">
        <v>71</v>
      </c>
      <c r="R77" s="278"/>
    </row>
    <row r="78" ht="29.25" customHeight="1">
      <c r="A78" s="301" t="s">
        <v>1407</v>
      </c>
      <c r="B78" s="284" t="s">
        <v>1665</v>
      </c>
      <c r="C78" s="302" t="s">
        <v>1666</v>
      </c>
      <c r="D78" s="321" t="s">
        <v>1667</v>
      </c>
      <c r="E78" s="267" t="s">
        <v>1491</v>
      </c>
      <c r="F78" s="319" t="s">
        <v>75</v>
      </c>
      <c r="G78" s="320">
        <v>100.0</v>
      </c>
      <c r="H78" s="305"/>
      <c r="I78" s="310">
        <v>45937.0</v>
      </c>
      <c r="J78" s="280">
        <v>45940.0</v>
      </c>
      <c r="K78" s="280">
        <v>45940.0</v>
      </c>
      <c r="L78" s="280">
        <v>45940.0</v>
      </c>
      <c r="M78" s="306">
        <f>IF(ISBLANK(L78), NETWORKDAYS(J78, TODAY(),Hoja2!$A$1:$A$18), NETWORKDAYS(J78, L78, Hoja2!$A$1:$A$18))</f>
        <v>1</v>
      </c>
      <c r="N78" s="307"/>
      <c r="O78" s="308"/>
      <c r="P78" s="282" t="s">
        <v>1668</v>
      </c>
      <c r="Q78" s="277" t="s">
        <v>71</v>
      </c>
      <c r="R78" s="278"/>
    </row>
    <row r="79" ht="29.25" customHeight="1">
      <c r="A79" s="312" t="s">
        <v>1407</v>
      </c>
      <c r="B79" s="313" t="s">
        <v>1669</v>
      </c>
      <c r="C79" s="314" t="s">
        <v>1670</v>
      </c>
      <c r="D79" s="322" t="s">
        <v>1671</v>
      </c>
      <c r="E79" s="294" t="s">
        <v>1410</v>
      </c>
      <c r="F79" s="299" t="s">
        <v>75</v>
      </c>
      <c r="G79" s="320">
        <v>100.0</v>
      </c>
      <c r="H79" s="290"/>
      <c r="I79" s="323">
        <v>45944.0</v>
      </c>
      <c r="J79" s="324">
        <v>45944.0</v>
      </c>
      <c r="K79" s="324">
        <v>45944.0</v>
      </c>
      <c r="L79" s="324">
        <v>45944.0</v>
      </c>
      <c r="M79" s="317">
        <f>IF(ISBLANK(L79), NETWORKDAYS(J79, TODAY(),Hoja2!$A$1:$A$18), NETWORKDAYS(J79, L79, Hoja2!$A$1:$A$18))</f>
        <v>1</v>
      </c>
      <c r="N79" s="274"/>
      <c r="O79" s="275"/>
      <c r="P79" s="325" t="s">
        <v>1672</v>
      </c>
      <c r="Q79" s="298" t="s">
        <v>71</v>
      </c>
      <c r="R79" s="293"/>
    </row>
    <row r="80" ht="29.25" customHeight="1">
      <c r="A80" s="301" t="s">
        <v>1407</v>
      </c>
      <c r="B80" s="284" t="s">
        <v>1673</v>
      </c>
      <c r="C80" s="326" t="s">
        <v>1611</v>
      </c>
      <c r="D80" s="309" t="s">
        <v>1674</v>
      </c>
      <c r="E80" s="287" t="s">
        <v>1474</v>
      </c>
      <c r="F80" s="319" t="s">
        <v>75</v>
      </c>
      <c r="G80" s="320">
        <v>100.0</v>
      </c>
      <c r="H80" s="327"/>
      <c r="I80" s="323">
        <v>45944.0</v>
      </c>
      <c r="J80" s="324">
        <v>45944.0</v>
      </c>
      <c r="K80" s="324">
        <v>45944.0</v>
      </c>
      <c r="L80" s="324">
        <v>45944.0</v>
      </c>
      <c r="M80" s="306">
        <f>IF(ISBLANK(L80), NETWORKDAYS(J80, TODAY(),Hoja2!$A$1:$A$18), NETWORKDAYS(J80, L80, Hoja2!$A$1:$A$18))</f>
        <v>1</v>
      </c>
      <c r="N80" s="307"/>
      <c r="O80" s="308"/>
      <c r="P80" s="325" t="s">
        <v>1675</v>
      </c>
      <c r="Q80" s="277" t="s">
        <v>71</v>
      </c>
      <c r="R80" s="328"/>
    </row>
    <row r="81" ht="29.25" customHeight="1">
      <c r="A81" s="301" t="s">
        <v>1407</v>
      </c>
      <c r="B81" s="284" t="s">
        <v>1676</v>
      </c>
      <c r="C81" s="314" t="s">
        <v>1677</v>
      </c>
      <c r="D81" s="309" t="s">
        <v>1678</v>
      </c>
      <c r="E81" s="287" t="s">
        <v>1410</v>
      </c>
      <c r="F81" s="319" t="s">
        <v>75</v>
      </c>
      <c r="G81" s="320">
        <v>100.0</v>
      </c>
      <c r="H81" s="327"/>
      <c r="I81" s="323">
        <v>45944.0</v>
      </c>
      <c r="J81" s="324">
        <v>45944.0</v>
      </c>
      <c r="K81" s="324">
        <v>45944.0</v>
      </c>
      <c r="L81" s="324">
        <v>45944.0</v>
      </c>
      <c r="M81" s="306">
        <f>IF(ISBLANK(L81), NETWORKDAYS(J81, TODAY(),Hoja2!$A$1:$A$18), NETWORKDAYS(J81, L81, Hoja2!$A$1:$A$18))</f>
        <v>1</v>
      </c>
      <c r="N81" s="307"/>
      <c r="O81" s="308"/>
      <c r="P81" s="325" t="s">
        <v>1679</v>
      </c>
      <c r="Q81" s="277" t="s">
        <v>71</v>
      </c>
      <c r="R81" s="328"/>
    </row>
    <row r="82" ht="29.25" customHeight="1">
      <c r="A82" s="301" t="s">
        <v>1407</v>
      </c>
      <c r="B82" s="284" t="s">
        <v>1680</v>
      </c>
      <c r="C82" s="314" t="s">
        <v>1681</v>
      </c>
      <c r="D82" s="309" t="s">
        <v>1682</v>
      </c>
      <c r="E82" s="287" t="s">
        <v>1410</v>
      </c>
      <c r="F82" s="319" t="s">
        <v>75</v>
      </c>
      <c r="G82" s="320">
        <v>100.0</v>
      </c>
      <c r="H82" s="327"/>
      <c r="I82" s="323">
        <v>45945.0</v>
      </c>
      <c r="J82" s="324">
        <v>45945.0</v>
      </c>
      <c r="K82" s="324">
        <v>45945.0</v>
      </c>
      <c r="L82" s="324">
        <v>45945.0</v>
      </c>
      <c r="M82" s="306">
        <f>IF(ISBLANK(L82), NETWORKDAYS(J82, TODAY(),Hoja2!$A$1:$A$18), NETWORKDAYS(J82, L82, Hoja2!$A$1:$A$18))</f>
        <v>1</v>
      </c>
      <c r="N82" s="307"/>
      <c r="O82" s="308"/>
      <c r="P82" s="325" t="s">
        <v>1683</v>
      </c>
      <c r="Q82" s="277" t="s">
        <v>71</v>
      </c>
      <c r="R82" s="328"/>
    </row>
    <row r="83" ht="29.25" customHeight="1">
      <c r="A83" s="301" t="s">
        <v>1407</v>
      </c>
      <c r="B83" s="284" t="s">
        <v>1684</v>
      </c>
      <c r="C83" s="314" t="s">
        <v>1685</v>
      </c>
      <c r="D83" s="309" t="s">
        <v>1686</v>
      </c>
      <c r="E83" s="287" t="s">
        <v>1410</v>
      </c>
      <c r="F83" s="329" t="s">
        <v>75</v>
      </c>
      <c r="G83" s="304">
        <v>100.0</v>
      </c>
      <c r="H83" s="327"/>
      <c r="I83" s="323">
        <v>45946.0</v>
      </c>
      <c r="J83" s="324">
        <v>45946.0</v>
      </c>
      <c r="K83" s="324">
        <v>45950.0</v>
      </c>
      <c r="L83" s="324">
        <v>45947.0</v>
      </c>
      <c r="M83" s="306">
        <f>IF(ISBLANK(L83), NETWORKDAYS(J83, TODAY(),Hoja2!$A$1:$A$18), NETWORKDAYS(J83, L83, Hoja2!$A$1:$A$18))</f>
        <v>2</v>
      </c>
      <c r="N83" s="307"/>
      <c r="O83" s="308"/>
      <c r="P83" s="325" t="s">
        <v>1687</v>
      </c>
      <c r="Q83" s="277" t="s">
        <v>71</v>
      </c>
      <c r="R83" s="328"/>
    </row>
    <row r="84" ht="29.25" customHeight="1">
      <c r="A84" s="301" t="s">
        <v>1407</v>
      </c>
      <c r="B84" s="284" t="s">
        <v>1688</v>
      </c>
      <c r="C84" s="314" t="s">
        <v>1689</v>
      </c>
      <c r="D84" s="309" t="s">
        <v>1690</v>
      </c>
      <c r="E84" s="287" t="s">
        <v>1410</v>
      </c>
      <c r="F84" s="329" t="s">
        <v>75</v>
      </c>
      <c r="G84" s="304">
        <v>100.0</v>
      </c>
      <c r="H84" s="327"/>
      <c r="I84" s="323">
        <v>45946.0</v>
      </c>
      <c r="J84" s="324">
        <v>45946.0</v>
      </c>
      <c r="K84" s="324">
        <v>45947.0</v>
      </c>
      <c r="L84" s="324">
        <v>45946.0</v>
      </c>
      <c r="M84" s="306">
        <f>IF(ISBLANK(L84), NETWORKDAYS(J84, TODAY(),Hoja2!$A$1:$A$18), NETWORKDAYS(J84, L84, Hoja2!$A$1:$A$18))</f>
        <v>1</v>
      </c>
      <c r="N84" s="307"/>
      <c r="O84" s="308"/>
      <c r="P84" s="325" t="s">
        <v>1691</v>
      </c>
      <c r="Q84" s="277" t="s">
        <v>71</v>
      </c>
      <c r="R84" s="328"/>
    </row>
    <row r="85" ht="29.25" customHeight="1">
      <c r="A85" s="301" t="s">
        <v>1407</v>
      </c>
      <c r="B85" s="284" t="s">
        <v>1692</v>
      </c>
      <c r="C85" s="314" t="s">
        <v>1693</v>
      </c>
      <c r="D85" s="309" t="s">
        <v>1694</v>
      </c>
      <c r="E85" s="287" t="s">
        <v>1410</v>
      </c>
      <c r="F85" s="329" t="s">
        <v>75</v>
      </c>
      <c r="G85" s="304">
        <v>100.0</v>
      </c>
      <c r="H85" s="327"/>
      <c r="I85" s="323">
        <v>45947.0</v>
      </c>
      <c r="J85" s="324">
        <v>45950.0</v>
      </c>
      <c r="K85" s="324">
        <v>45952.0</v>
      </c>
      <c r="L85" s="324">
        <v>45951.0</v>
      </c>
      <c r="M85" s="306">
        <f>IF(ISBLANK(L85), NETWORKDAYS(J85, TODAY(),Hoja2!$A$1:$A$18), NETWORKDAYS(J85, L85, Hoja2!$A$1:$A$18))</f>
        <v>2</v>
      </c>
      <c r="N85" s="307"/>
      <c r="O85" s="308"/>
      <c r="P85" s="325" t="s">
        <v>1695</v>
      </c>
      <c r="Q85" s="277" t="s">
        <v>71</v>
      </c>
      <c r="R85" s="328"/>
    </row>
    <row r="86" ht="29.25" customHeight="1">
      <c r="A86" s="312" t="s">
        <v>1407</v>
      </c>
      <c r="B86" s="313" t="s">
        <v>1696</v>
      </c>
      <c r="C86" s="330" t="s">
        <v>1689</v>
      </c>
      <c r="D86" s="331" t="s">
        <v>1690</v>
      </c>
      <c r="E86" s="294" t="s">
        <v>1410</v>
      </c>
      <c r="F86" s="299" t="s">
        <v>75</v>
      </c>
      <c r="G86" s="300">
        <v>100.0</v>
      </c>
      <c r="H86" s="290"/>
      <c r="I86" s="332">
        <v>45946.0</v>
      </c>
      <c r="J86" s="333">
        <v>45946.0</v>
      </c>
      <c r="K86" s="333">
        <v>45947.0</v>
      </c>
      <c r="L86" s="333">
        <v>45946.0</v>
      </c>
      <c r="M86" s="334">
        <f>IF(ISBLANK(L86), NETWORKDAYS(J86, TODAY(),Hoja2!$A$1:$A$18), NETWORKDAYS(J86, L86, Hoja2!$A$1:$A$18))</f>
        <v>1</v>
      </c>
      <c r="N86" s="274"/>
      <c r="O86" s="275"/>
      <c r="P86" s="335" t="s">
        <v>1691</v>
      </c>
      <c r="Q86" s="298" t="s">
        <v>71</v>
      </c>
      <c r="R86" s="293"/>
    </row>
    <row r="87" ht="29.25" customHeight="1">
      <c r="A87" s="263" t="s">
        <v>1407</v>
      </c>
      <c r="B87" s="264" t="s">
        <v>1697</v>
      </c>
      <c r="C87" s="265" t="s">
        <v>1654</v>
      </c>
      <c r="D87" s="279" t="s">
        <v>1698</v>
      </c>
      <c r="E87" s="267" t="s">
        <v>1410</v>
      </c>
      <c r="F87" s="268" t="s">
        <v>75</v>
      </c>
      <c r="G87" s="269">
        <v>100.0</v>
      </c>
      <c r="H87" s="270"/>
      <c r="I87" s="271">
        <v>45951.0</v>
      </c>
      <c r="J87" s="272">
        <v>45952.0</v>
      </c>
      <c r="K87" s="272">
        <v>45953.0</v>
      </c>
      <c r="L87" s="272">
        <v>45952.0</v>
      </c>
      <c r="M87" s="273">
        <f>IF(ISBLANK(L87), NETWORKDAYS(J87, TODAY(),Hoja2!$A$1:$A$18), NETWORKDAYS(J87, L87, Hoja2!$A$1:$A$18))</f>
        <v>1</v>
      </c>
      <c r="N87" s="274"/>
      <c r="O87" s="275"/>
      <c r="P87" s="282" t="s">
        <v>1699</v>
      </c>
      <c r="Q87" s="277" t="s">
        <v>71</v>
      </c>
      <c r="R87" s="278"/>
    </row>
    <row r="88" ht="29.25" customHeight="1">
      <c r="A88" s="263" t="s">
        <v>1407</v>
      </c>
      <c r="B88" s="264" t="s">
        <v>1700</v>
      </c>
      <c r="C88" s="265" t="s">
        <v>1654</v>
      </c>
      <c r="D88" s="279" t="s">
        <v>1701</v>
      </c>
      <c r="E88" s="267" t="s">
        <v>1410</v>
      </c>
      <c r="F88" s="268" t="s">
        <v>75</v>
      </c>
      <c r="G88" s="269">
        <v>100.0</v>
      </c>
      <c r="H88" s="270"/>
      <c r="I88" s="271">
        <v>45951.0</v>
      </c>
      <c r="J88" s="272">
        <v>45952.0</v>
      </c>
      <c r="K88" s="272">
        <v>45953.0</v>
      </c>
      <c r="L88" s="272">
        <v>45953.0</v>
      </c>
      <c r="M88" s="273">
        <f>IF(ISBLANK(L88), NETWORKDAYS(J88, TODAY(),Hoja2!$A$1:$A$18), NETWORKDAYS(J88, L88, Hoja2!$A$1:$A$18))</f>
        <v>2</v>
      </c>
      <c r="N88" s="274"/>
      <c r="O88" s="275"/>
      <c r="P88" s="282" t="s">
        <v>1702</v>
      </c>
      <c r="Q88" s="277" t="s">
        <v>71</v>
      </c>
      <c r="R88" s="278"/>
    </row>
    <row r="89" ht="29.25" customHeight="1">
      <c r="A89" s="263" t="s">
        <v>1407</v>
      </c>
      <c r="B89" s="264" t="s">
        <v>1703</v>
      </c>
      <c r="C89" s="265" t="s">
        <v>1704</v>
      </c>
      <c r="D89" s="279" t="s">
        <v>1705</v>
      </c>
      <c r="E89" s="267" t="s">
        <v>1410</v>
      </c>
      <c r="F89" s="268" t="s">
        <v>75</v>
      </c>
      <c r="G89" s="269">
        <v>100.0</v>
      </c>
      <c r="H89" s="270"/>
      <c r="I89" s="271">
        <v>45957.0</v>
      </c>
      <c r="J89" s="272">
        <v>45957.0</v>
      </c>
      <c r="K89" s="272">
        <v>45976.0</v>
      </c>
      <c r="L89" s="272">
        <v>45986.0</v>
      </c>
      <c r="M89" s="273">
        <f>IF(ISBLANK(L89), NETWORKDAYS(J89, TODAY(),Hoja2!$A$1:$A$18), NETWORKDAYS(J89, L89, Hoja2!$A$1:$A$18))</f>
        <v>22</v>
      </c>
      <c r="N89" s="274"/>
      <c r="O89" s="275"/>
      <c r="P89" s="282" t="s">
        <v>1706</v>
      </c>
      <c r="Q89" s="277" t="s">
        <v>71</v>
      </c>
      <c r="R89" s="278"/>
    </row>
    <row r="90" ht="29.25" customHeight="1">
      <c r="A90" s="301" t="s">
        <v>1407</v>
      </c>
      <c r="B90" s="284" t="s">
        <v>1707</v>
      </c>
      <c r="C90" s="302" t="s">
        <v>1618</v>
      </c>
      <c r="D90" s="309" t="s">
        <v>1708</v>
      </c>
      <c r="E90" s="284" t="s">
        <v>1709</v>
      </c>
      <c r="F90" s="303" t="s">
        <v>75</v>
      </c>
      <c r="G90" s="304">
        <v>100.0</v>
      </c>
      <c r="H90" s="305"/>
      <c r="I90" s="310">
        <v>45957.0</v>
      </c>
      <c r="J90" s="272">
        <v>45957.0</v>
      </c>
      <c r="K90" s="280">
        <v>45959.0</v>
      </c>
      <c r="L90" s="280">
        <v>45958.0</v>
      </c>
      <c r="M90" s="306">
        <f>IF(ISBLANK(L90), NETWORKDAYS(J90, TODAY(),Hoja2!$A$1:$A$18), NETWORKDAYS(J90, L90, Hoja2!$A$1:$A$18))</f>
        <v>2</v>
      </c>
      <c r="N90" s="307"/>
      <c r="O90" s="308"/>
      <c r="P90" s="282" t="s">
        <v>1710</v>
      </c>
      <c r="Q90" s="277" t="s">
        <v>71</v>
      </c>
      <c r="R90" s="278"/>
    </row>
    <row r="91" ht="29.25" customHeight="1">
      <c r="A91" s="301" t="s">
        <v>1407</v>
      </c>
      <c r="B91" s="284" t="s">
        <v>1711</v>
      </c>
      <c r="C91" s="302" t="s">
        <v>1618</v>
      </c>
      <c r="D91" s="309"/>
      <c r="E91" s="284" t="s">
        <v>1428</v>
      </c>
      <c r="F91" s="303" t="s">
        <v>75</v>
      </c>
      <c r="G91" s="304">
        <v>100.0</v>
      </c>
      <c r="H91" s="305"/>
      <c r="I91" s="310">
        <v>45961.0</v>
      </c>
      <c r="J91" s="280">
        <v>45961.0</v>
      </c>
      <c r="K91" s="280">
        <v>45961.0</v>
      </c>
      <c r="L91" s="280">
        <v>45961.0</v>
      </c>
      <c r="M91" s="306">
        <f>IF(ISBLANK(L91), NETWORKDAYS(J91, TODAY(),Hoja2!$A$1:$A$18), NETWORKDAYS(J91, L91, Hoja2!$A$1:$A$18))</f>
        <v>1</v>
      </c>
      <c r="N91" s="307"/>
      <c r="O91" s="308"/>
      <c r="P91" s="282" t="s">
        <v>1712</v>
      </c>
      <c r="Q91" s="277" t="s">
        <v>71</v>
      </c>
      <c r="R91" s="278"/>
    </row>
    <row r="92" ht="29.25" customHeight="1">
      <c r="A92" s="301" t="s">
        <v>1407</v>
      </c>
      <c r="B92" s="284" t="s">
        <v>1713</v>
      </c>
      <c r="C92" s="302" t="s">
        <v>1714</v>
      </c>
      <c r="D92" s="321"/>
      <c r="E92" s="267" t="s">
        <v>1491</v>
      </c>
      <c r="F92" s="319" t="s">
        <v>75</v>
      </c>
      <c r="G92" s="320">
        <v>100.0</v>
      </c>
      <c r="H92" s="305"/>
      <c r="I92" s="310">
        <v>45961.0</v>
      </c>
      <c r="J92" s="280">
        <v>45965.0</v>
      </c>
      <c r="K92" s="280">
        <v>45966.0</v>
      </c>
      <c r="L92" s="280">
        <v>45965.0</v>
      </c>
      <c r="M92" s="306">
        <f>IF(ISBLANK(L92), NETWORKDAYS(J92, TODAY(),Hoja2!$A$1:$A$18), NETWORKDAYS(J92, L92, Hoja2!$A$1:$A$18))</f>
        <v>1</v>
      </c>
      <c r="N92" s="307"/>
      <c r="O92" s="308"/>
      <c r="P92" s="282" t="s">
        <v>1715</v>
      </c>
      <c r="Q92" s="277" t="s">
        <v>71</v>
      </c>
      <c r="R92" s="278"/>
    </row>
    <row r="93" ht="29.25" customHeight="1">
      <c r="A93" s="301" t="s">
        <v>1407</v>
      </c>
      <c r="B93" s="284" t="s">
        <v>1716</v>
      </c>
      <c r="C93" s="302" t="s">
        <v>1717</v>
      </c>
      <c r="D93" s="309"/>
      <c r="E93" s="287" t="s">
        <v>1474</v>
      </c>
      <c r="F93" s="319" t="s">
        <v>75</v>
      </c>
      <c r="G93" s="320">
        <v>100.0</v>
      </c>
      <c r="H93" s="327"/>
      <c r="I93" s="323">
        <v>45965.0</v>
      </c>
      <c r="J93" s="324">
        <v>45966.0</v>
      </c>
      <c r="K93" s="324">
        <v>45966.0</v>
      </c>
      <c r="L93" s="324">
        <v>45966.0</v>
      </c>
      <c r="M93" s="306">
        <f>IF(ISBLANK(L93), NETWORKDAYS(J93, TODAY(),Hoja2!$A$1:$A$18), NETWORKDAYS(J93, L93, Hoja2!$A$1:$A$18))</f>
        <v>1</v>
      </c>
      <c r="N93" s="307"/>
      <c r="O93" s="308"/>
      <c r="P93" s="282" t="s">
        <v>1718</v>
      </c>
      <c r="Q93" s="277" t="s">
        <v>71</v>
      </c>
      <c r="R93" s="328"/>
    </row>
    <row r="94" ht="29.25" customHeight="1">
      <c r="A94" s="301" t="s">
        <v>1407</v>
      </c>
      <c r="B94" s="284" t="s">
        <v>1719</v>
      </c>
      <c r="C94" s="302" t="s">
        <v>1717</v>
      </c>
      <c r="D94" s="309"/>
      <c r="E94" s="287" t="s">
        <v>1474</v>
      </c>
      <c r="F94" s="319" t="s">
        <v>75</v>
      </c>
      <c r="G94" s="320">
        <v>100.0</v>
      </c>
      <c r="H94" s="327"/>
      <c r="I94" s="323">
        <v>45967.0</v>
      </c>
      <c r="J94" s="324">
        <v>45967.0</v>
      </c>
      <c r="K94" s="324">
        <v>45967.0</v>
      </c>
      <c r="L94" s="324">
        <v>45967.0</v>
      </c>
      <c r="M94" s="306">
        <f>IF(ISBLANK(L94), NETWORKDAYS(J94, TODAY(),Hoja2!$A$1:$A$18), NETWORKDAYS(J94, L94, Hoja2!$A$1:$A$18))</f>
        <v>1</v>
      </c>
      <c r="N94" s="307"/>
      <c r="O94" s="308"/>
      <c r="P94" s="282" t="s">
        <v>1720</v>
      </c>
      <c r="Q94" s="277" t="s">
        <v>71</v>
      </c>
      <c r="R94" s="328"/>
    </row>
    <row r="95" ht="29.25" customHeight="1">
      <c r="A95" s="301" t="s">
        <v>1407</v>
      </c>
      <c r="B95" s="284" t="s">
        <v>1721</v>
      </c>
      <c r="C95" s="302" t="s">
        <v>1722</v>
      </c>
      <c r="D95" s="309"/>
      <c r="E95" s="287" t="s">
        <v>1474</v>
      </c>
      <c r="F95" s="319" t="s">
        <v>75</v>
      </c>
      <c r="G95" s="320">
        <v>100.0</v>
      </c>
      <c r="H95" s="327"/>
      <c r="I95" s="323">
        <v>45967.0</v>
      </c>
      <c r="J95" s="324">
        <v>45967.0</v>
      </c>
      <c r="K95" s="324">
        <v>45967.0</v>
      </c>
      <c r="L95" s="324">
        <v>45967.0</v>
      </c>
      <c r="M95" s="306">
        <f>IF(ISBLANK(L95), NETWORKDAYS(J95, TODAY(),Hoja2!$A$1:$A$18), NETWORKDAYS(J95, L95, Hoja2!$A$1:$A$18))</f>
        <v>1</v>
      </c>
      <c r="N95" s="307"/>
      <c r="O95" s="308"/>
      <c r="P95" s="282" t="s">
        <v>1723</v>
      </c>
      <c r="Q95" s="277" t="s">
        <v>71</v>
      </c>
      <c r="R95" s="328"/>
    </row>
    <row r="96" ht="29.25" customHeight="1">
      <c r="A96" s="301" t="s">
        <v>1407</v>
      </c>
      <c r="B96" s="284" t="s">
        <v>1724</v>
      </c>
      <c r="C96" s="302" t="s">
        <v>1714</v>
      </c>
      <c r="D96" s="321" t="s">
        <v>1725</v>
      </c>
      <c r="E96" s="267" t="s">
        <v>1491</v>
      </c>
      <c r="F96" s="319" t="s">
        <v>75</v>
      </c>
      <c r="G96" s="320">
        <v>100.0</v>
      </c>
      <c r="H96" s="305"/>
      <c r="I96" s="310">
        <v>45968.0</v>
      </c>
      <c r="J96" s="280">
        <v>45968.0</v>
      </c>
      <c r="K96" s="280">
        <v>45968.0</v>
      </c>
      <c r="L96" s="280">
        <v>45968.0</v>
      </c>
      <c r="M96" s="306">
        <f>IF(ISBLANK(L96), NETWORKDAYS(J96, TODAY(),Hoja2!$A$1:$A$18), NETWORKDAYS(J96, L96, Hoja2!$A$1:$A$18))</f>
        <v>1</v>
      </c>
      <c r="N96" s="307"/>
      <c r="O96" s="308"/>
      <c r="P96" s="282" t="s">
        <v>1726</v>
      </c>
      <c r="Q96" s="277" t="s">
        <v>71</v>
      </c>
      <c r="R96" s="278"/>
    </row>
    <row r="97" ht="29.25" customHeight="1">
      <c r="A97" s="301" t="s">
        <v>1407</v>
      </c>
      <c r="B97" s="284" t="s">
        <v>1727</v>
      </c>
      <c r="C97" s="302" t="s">
        <v>1618</v>
      </c>
      <c r="D97" s="309"/>
      <c r="E97" s="284" t="s">
        <v>1428</v>
      </c>
      <c r="F97" s="303" t="s">
        <v>75</v>
      </c>
      <c r="G97" s="304">
        <v>100.0</v>
      </c>
      <c r="H97" s="305"/>
      <c r="I97" s="310">
        <v>45968.0</v>
      </c>
      <c r="J97" s="280">
        <v>45968.0</v>
      </c>
      <c r="K97" s="280">
        <v>45968.0</v>
      </c>
      <c r="L97" s="280">
        <v>45968.0</v>
      </c>
      <c r="M97" s="306">
        <f>IF(ISBLANK(L97), NETWORKDAYS(J97, TODAY(),Hoja2!$A$1:$A$18), NETWORKDAYS(J97, L97, Hoja2!$A$1:$A$18))</f>
        <v>1</v>
      </c>
      <c r="N97" s="307"/>
      <c r="O97" s="308"/>
      <c r="P97" s="282" t="s">
        <v>1728</v>
      </c>
      <c r="Q97" s="277" t="s">
        <v>71</v>
      </c>
      <c r="R97" s="278"/>
    </row>
    <row r="98" ht="29.25" customHeight="1">
      <c r="A98" s="301" t="s">
        <v>1407</v>
      </c>
      <c r="B98" s="284" t="s">
        <v>1729</v>
      </c>
      <c r="C98" s="302" t="s">
        <v>1730</v>
      </c>
      <c r="D98" s="309" t="s">
        <v>1731</v>
      </c>
      <c r="E98" s="287" t="s">
        <v>1474</v>
      </c>
      <c r="F98" s="319" t="s">
        <v>75</v>
      </c>
      <c r="G98" s="320">
        <v>100.0</v>
      </c>
      <c r="H98" s="327"/>
      <c r="I98" s="323">
        <v>45970.0</v>
      </c>
      <c r="J98" s="324">
        <v>45970.0</v>
      </c>
      <c r="K98" s="324">
        <v>45970.0</v>
      </c>
      <c r="L98" s="324">
        <v>45970.0</v>
      </c>
      <c r="M98" s="306">
        <f>IF(ISBLANK(L98), NETWORKDAYS(J98, TODAY(),Hoja2!$A$1:$A$18), NETWORKDAYS(J98, L98, Hoja2!$A$1:$A$18))</f>
        <v>0</v>
      </c>
      <c r="N98" s="307"/>
      <c r="O98" s="308"/>
      <c r="P98" s="282" t="s">
        <v>1732</v>
      </c>
      <c r="Q98" s="277" t="s">
        <v>71</v>
      </c>
      <c r="R98" s="328"/>
    </row>
    <row r="99" ht="29.25" customHeight="1">
      <c r="A99" s="301" t="s">
        <v>1407</v>
      </c>
      <c r="B99" s="284" t="s">
        <v>1733</v>
      </c>
      <c r="C99" s="302" t="s">
        <v>1734</v>
      </c>
      <c r="D99" s="309" t="s">
        <v>1735</v>
      </c>
      <c r="E99" s="287" t="s">
        <v>1474</v>
      </c>
      <c r="F99" s="319" t="s">
        <v>75</v>
      </c>
      <c r="G99" s="320">
        <v>100.0</v>
      </c>
      <c r="H99" s="327"/>
      <c r="I99" s="323">
        <v>45972.0</v>
      </c>
      <c r="J99" s="324">
        <v>45972.0</v>
      </c>
      <c r="K99" s="324">
        <v>45972.0</v>
      </c>
      <c r="L99" s="324">
        <v>45972.0</v>
      </c>
      <c r="M99" s="306">
        <f>IF(ISBLANK(L99), NETWORKDAYS(J99, TODAY(),Hoja2!$A$1:$A$18), NETWORKDAYS(J99, L99, Hoja2!$A$1:$A$18))</f>
        <v>1</v>
      </c>
      <c r="N99" s="307"/>
      <c r="O99" s="308"/>
      <c r="P99" s="282" t="s">
        <v>1736</v>
      </c>
      <c r="Q99" s="277" t="s">
        <v>71</v>
      </c>
      <c r="R99" s="328"/>
    </row>
    <row r="100" ht="29.25" customHeight="1">
      <c r="A100" s="301" t="s">
        <v>1407</v>
      </c>
      <c r="B100" s="284" t="s">
        <v>1737</v>
      </c>
      <c r="C100" s="302" t="s">
        <v>1714</v>
      </c>
      <c r="D100" s="321" t="s">
        <v>1738</v>
      </c>
      <c r="E100" s="267" t="s">
        <v>1491</v>
      </c>
      <c r="F100" s="329" t="s">
        <v>214</v>
      </c>
      <c r="G100" s="304">
        <v>80.0</v>
      </c>
      <c r="H100" s="305"/>
      <c r="I100" s="310">
        <v>45974.0</v>
      </c>
      <c r="J100" s="280">
        <v>45974.0</v>
      </c>
      <c r="K100" s="280">
        <v>45979.0</v>
      </c>
      <c r="L100" s="280"/>
      <c r="M100" s="306">
        <f>IF(ISBLANK(L100), NETWORKDAYS(J100, TODAY(),Hoja2!$A$1:$A$18), NETWORKDAYS(J100, L100, Hoja2!$A$1:$A$18))</f>
        <v>26</v>
      </c>
      <c r="N100" s="307"/>
      <c r="O100" s="308"/>
      <c r="P100" s="282" t="s">
        <v>1739</v>
      </c>
      <c r="Q100" s="277" t="s">
        <v>71</v>
      </c>
      <c r="R100" s="278"/>
    </row>
    <row r="101" ht="29.25" customHeight="1">
      <c r="A101" s="301" t="s">
        <v>1407</v>
      </c>
      <c r="B101" s="284" t="s">
        <v>1740</v>
      </c>
      <c r="C101" s="302" t="s">
        <v>1618</v>
      </c>
      <c r="D101" s="309" t="s">
        <v>1741</v>
      </c>
      <c r="E101" s="284" t="s">
        <v>1428</v>
      </c>
      <c r="F101" s="303" t="s">
        <v>75</v>
      </c>
      <c r="G101" s="304">
        <v>100.0</v>
      </c>
      <c r="H101" s="305"/>
      <c r="I101" s="310">
        <v>45974.0</v>
      </c>
      <c r="J101" s="280">
        <v>45974.0</v>
      </c>
      <c r="K101" s="280">
        <v>45974.0</v>
      </c>
      <c r="L101" s="280">
        <v>45974.0</v>
      </c>
      <c r="M101" s="306">
        <f>IF(ISBLANK(L101), NETWORKDAYS(J101, TODAY(),Hoja2!$A$1:$A$18), NETWORKDAYS(J101, L101, Hoja2!$A$1:$A$18))</f>
        <v>1</v>
      </c>
      <c r="N101" s="307"/>
      <c r="O101" s="308"/>
      <c r="P101" s="282" t="s">
        <v>1742</v>
      </c>
      <c r="Q101" s="277" t="s">
        <v>71</v>
      </c>
      <c r="R101" s="278"/>
    </row>
    <row r="102" ht="29.25" customHeight="1">
      <c r="A102" s="312" t="s">
        <v>1407</v>
      </c>
      <c r="B102" s="313" t="s">
        <v>1743</v>
      </c>
      <c r="C102" s="330" t="s">
        <v>1717</v>
      </c>
      <c r="D102" s="266" t="s">
        <v>1744</v>
      </c>
      <c r="E102" s="315" t="s">
        <v>1474</v>
      </c>
      <c r="F102" s="299" t="s">
        <v>75</v>
      </c>
      <c r="G102" s="300">
        <v>100.0</v>
      </c>
      <c r="H102" s="290"/>
      <c r="I102" s="323">
        <v>45979.0</v>
      </c>
      <c r="J102" s="324">
        <v>45979.0</v>
      </c>
      <c r="K102" s="324">
        <v>45979.0</v>
      </c>
      <c r="L102" s="324">
        <v>45979.0</v>
      </c>
      <c r="M102" s="317">
        <f>IF(ISBLANK(L102), NETWORKDAYS(J102, TODAY(),Hoja2!$A$1:$A$18), NETWORKDAYS(J102, L102, Hoja2!$A$1:$A$18))</f>
        <v>1</v>
      </c>
      <c r="N102" s="274"/>
      <c r="O102" s="275"/>
      <c r="P102" s="325" t="s">
        <v>1745</v>
      </c>
      <c r="Q102" s="298" t="s">
        <v>71</v>
      </c>
      <c r="R102" s="318"/>
    </row>
    <row r="103" ht="29.25" customHeight="1">
      <c r="A103" s="301" t="s">
        <v>1407</v>
      </c>
      <c r="B103" s="284" t="s">
        <v>1746</v>
      </c>
      <c r="C103" s="302" t="s">
        <v>1714</v>
      </c>
      <c r="D103" s="321" t="s">
        <v>1747</v>
      </c>
      <c r="E103" s="267" t="s">
        <v>1491</v>
      </c>
      <c r="F103" s="329" t="s">
        <v>75</v>
      </c>
      <c r="G103" s="304">
        <v>100.0</v>
      </c>
      <c r="H103" s="305"/>
      <c r="I103" s="310">
        <v>45980.0</v>
      </c>
      <c r="J103" s="280">
        <v>45980.0</v>
      </c>
      <c r="K103" s="280">
        <v>45980.0</v>
      </c>
      <c r="L103" s="280">
        <v>45980.0</v>
      </c>
      <c r="M103" s="306">
        <f>IF(ISBLANK(L103), NETWORKDAYS(J103, TODAY(),Hoja2!$A$1:$A$18), NETWORKDAYS(J103, L103, Hoja2!$A$1:$A$18))</f>
        <v>1</v>
      </c>
      <c r="N103" s="307"/>
      <c r="O103" s="308"/>
      <c r="P103" s="282" t="s">
        <v>1748</v>
      </c>
      <c r="Q103" s="277" t="s">
        <v>71</v>
      </c>
      <c r="R103" s="278"/>
    </row>
    <row r="104" ht="29.25" customHeight="1">
      <c r="A104" s="301" t="s">
        <v>1407</v>
      </c>
      <c r="B104" s="284" t="s">
        <v>1749</v>
      </c>
      <c r="C104" s="302" t="s">
        <v>1714</v>
      </c>
      <c r="D104" s="321" t="s">
        <v>1750</v>
      </c>
      <c r="E104" s="267" t="s">
        <v>1491</v>
      </c>
      <c r="F104" s="329" t="s">
        <v>75</v>
      </c>
      <c r="G104" s="304">
        <v>100.0</v>
      </c>
      <c r="H104" s="305"/>
      <c r="I104" s="310">
        <v>45981.0</v>
      </c>
      <c r="J104" s="280">
        <v>45981.0</v>
      </c>
      <c r="K104" s="280">
        <v>45981.0</v>
      </c>
      <c r="L104" s="280">
        <v>45981.0</v>
      </c>
      <c r="M104" s="306">
        <f>IF(ISBLANK(L104), NETWORKDAYS(J104, TODAY(),Hoja2!$A$1:$A$18), NETWORKDAYS(J104, L104, Hoja2!$A$1:$A$18))</f>
        <v>1</v>
      </c>
      <c r="N104" s="307"/>
      <c r="O104" s="308"/>
      <c r="P104" s="282" t="s">
        <v>1751</v>
      </c>
      <c r="Q104" s="277" t="s">
        <v>71</v>
      </c>
      <c r="R104" s="278"/>
    </row>
    <row r="105" ht="29.25" customHeight="1">
      <c r="A105" s="301" t="s">
        <v>1407</v>
      </c>
      <c r="B105" s="284" t="s">
        <v>1752</v>
      </c>
      <c r="C105" s="302" t="s">
        <v>1753</v>
      </c>
      <c r="D105" s="309" t="s">
        <v>1754</v>
      </c>
      <c r="E105" s="267" t="s">
        <v>1410</v>
      </c>
      <c r="F105" s="303" t="s">
        <v>214</v>
      </c>
      <c r="G105" s="304">
        <v>80.0</v>
      </c>
      <c r="H105" s="305"/>
      <c r="I105" s="310">
        <v>45981.0</v>
      </c>
      <c r="J105" s="280">
        <v>45981.0</v>
      </c>
      <c r="K105" s="280">
        <v>45989.0</v>
      </c>
      <c r="L105" s="280"/>
      <c r="M105" s="306">
        <f>IF(ISBLANK(L105), NETWORKDAYS(J105, TODAY(),Hoja2!$A$1:$A$18), NETWORKDAYS(J105, L105, Hoja2!$A$1:$A$18))</f>
        <v>21</v>
      </c>
      <c r="N105" s="307"/>
      <c r="O105" s="308"/>
      <c r="P105" s="282" t="s">
        <v>1755</v>
      </c>
      <c r="Q105" s="277" t="s">
        <v>71</v>
      </c>
      <c r="R105" s="278"/>
    </row>
    <row r="106" ht="29.25" customHeight="1">
      <c r="A106" s="312" t="s">
        <v>1407</v>
      </c>
      <c r="B106" s="313" t="s">
        <v>1756</v>
      </c>
      <c r="C106" s="314" t="s">
        <v>1757</v>
      </c>
      <c r="D106" s="266" t="s">
        <v>1758</v>
      </c>
      <c r="E106" s="315" t="s">
        <v>1474</v>
      </c>
      <c r="F106" s="299" t="s">
        <v>75</v>
      </c>
      <c r="G106" s="300">
        <v>100.0</v>
      </c>
      <c r="H106" s="290"/>
      <c r="I106" s="323">
        <v>45982.0</v>
      </c>
      <c r="J106" s="324">
        <v>45982.0</v>
      </c>
      <c r="K106" s="324">
        <v>45982.0</v>
      </c>
      <c r="L106" s="324">
        <v>45982.0</v>
      </c>
      <c r="M106" s="317">
        <f>IF(ISBLANK(L106), NETWORKDAYS(J106, TODAY(),Hoja2!$A$1:$A$18), NETWORKDAYS(J106, L106, Hoja2!$A$1:$A$18))</f>
        <v>1</v>
      </c>
      <c r="N106" s="274"/>
      <c r="O106" s="275"/>
      <c r="P106" s="325" t="s">
        <v>1759</v>
      </c>
      <c r="Q106" s="298" t="s">
        <v>71</v>
      </c>
      <c r="R106" s="318"/>
    </row>
    <row r="107" ht="29.25" customHeight="1">
      <c r="A107" s="312" t="s">
        <v>1407</v>
      </c>
      <c r="B107" s="313" t="s">
        <v>1760</v>
      </c>
      <c r="C107" s="330" t="s">
        <v>1717</v>
      </c>
      <c r="D107" s="266" t="s">
        <v>1744</v>
      </c>
      <c r="E107" s="315" t="s">
        <v>1474</v>
      </c>
      <c r="F107" s="299" t="s">
        <v>75</v>
      </c>
      <c r="G107" s="300">
        <v>100.0</v>
      </c>
      <c r="H107" s="290"/>
      <c r="I107" s="323">
        <v>45981.0</v>
      </c>
      <c r="J107" s="324">
        <v>45981.0</v>
      </c>
      <c r="K107" s="324">
        <v>45981.0</v>
      </c>
      <c r="L107" s="324">
        <v>45981.0</v>
      </c>
      <c r="M107" s="317">
        <f>IF(ISBLANK(L107), NETWORKDAYS(J107, TODAY(),Hoja2!$A$1:$A$18), NETWORKDAYS(J107, L107, Hoja2!$A$1:$A$18))</f>
        <v>1</v>
      </c>
      <c r="N107" s="274"/>
      <c r="O107" s="275"/>
      <c r="P107" s="325" t="s">
        <v>1761</v>
      </c>
      <c r="Q107" s="298" t="s">
        <v>71</v>
      </c>
      <c r="R107" s="318"/>
    </row>
    <row r="108" ht="29.25" customHeight="1">
      <c r="A108" s="312" t="s">
        <v>1407</v>
      </c>
      <c r="B108" s="313" t="s">
        <v>1762</v>
      </c>
      <c r="C108" s="314" t="s">
        <v>1763</v>
      </c>
      <c r="D108" s="266" t="s">
        <v>1764</v>
      </c>
      <c r="E108" s="315" t="s">
        <v>1474</v>
      </c>
      <c r="F108" s="295" t="s">
        <v>75</v>
      </c>
      <c r="G108" s="296">
        <v>100.0</v>
      </c>
      <c r="H108" s="290"/>
      <c r="I108" s="323">
        <v>45986.0</v>
      </c>
      <c r="J108" s="324">
        <v>45986.0</v>
      </c>
      <c r="K108" s="324">
        <v>45987.0</v>
      </c>
      <c r="L108" s="324">
        <v>45986.0</v>
      </c>
      <c r="M108" s="317">
        <f>IF(ISBLANK(L108), NETWORKDAYS(J108, TODAY(),Hoja2!$A$1:$A$18), NETWORKDAYS(J108, L108, Hoja2!$A$1:$A$18))</f>
        <v>1</v>
      </c>
      <c r="N108" s="274"/>
      <c r="O108" s="275"/>
      <c r="P108" s="325" t="s">
        <v>1765</v>
      </c>
      <c r="Q108" s="298" t="s">
        <v>71</v>
      </c>
      <c r="R108" s="318"/>
    </row>
    <row r="109" ht="29.25" customHeight="1">
      <c r="A109" s="312" t="s">
        <v>1407</v>
      </c>
      <c r="B109" s="284" t="s">
        <v>1766</v>
      </c>
      <c r="C109" s="265" t="s">
        <v>1767</v>
      </c>
      <c r="D109" s="279" t="s">
        <v>1768</v>
      </c>
      <c r="E109" s="267" t="s">
        <v>1410</v>
      </c>
      <c r="F109" s="295" t="s">
        <v>75</v>
      </c>
      <c r="G109" s="296">
        <v>100.0</v>
      </c>
      <c r="H109" s="290"/>
      <c r="I109" s="323">
        <v>45987.0</v>
      </c>
      <c r="J109" s="324">
        <v>45987.0</v>
      </c>
      <c r="K109" s="324">
        <v>45988.0</v>
      </c>
      <c r="L109" s="324">
        <v>45995.0</v>
      </c>
      <c r="M109" s="317">
        <f>IF(ISBLANK(L109), NETWORKDAYS(J109, TODAY(),Hoja2!$A$1:$A$18), NETWORKDAYS(J109, L109, Hoja2!$A$1:$A$18))</f>
        <v>7</v>
      </c>
      <c r="N109" s="274"/>
      <c r="O109" s="275"/>
      <c r="P109" s="325" t="s">
        <v>1769</v>
      </c>
      <c r="Q109" s="298" t="s">
        <v>71</v>
      </c>
      <c r="R109" s="318"/>
    </row>
    <row r="110" ht="29.25" customHeight="1">
      <c r="A110" s="312" t="s">
        <v>1407</v>
      </c>
      <c r="B110" s="313" t="s">
        <v>1770</v>
      </c>
      <c r="C110" s="314" t="s">
        <v>1771</v>
      </c>
      <c r="D110" s="266" t="s">
        <v>1772</v>
      </c>
      <c r="E110" s="315" t="s">
        <v>1474</v>
      </c>
      <c r="F110" s="295" t="s">
        <v>205</v>
      </c>
      <c r="G110" s="296">
        <v>0.0</v>
      </c>
      <c r="H110" s="290"/>
      <c r="I110" s="323">
        <v>45989.0</v>
      </c>
      <c r="J110" s="324">
        <v>45989.0</v>
      </c>
      <c r="K110" s="324"/>
      <c r="L110" s="324"/>
      <c r="M110" s="317">
        <f>IF(ISBLANK(L110), NETWORKDAYS(J110, TODAY(),Hoja2!$A$1:$A$18), NETWORKDAYS(J110, L110, Hoja2!$A$1:$A$18))</f>
        <v>15</v>
      </c>
      <c r="N110" s="274"/>
      <c r="O110" s="275"/>
      <c r="P110" s="325" t="s">
        <v>1773</v>
      </c>
      <c r="Q110" s="298" t="s">
        <v>71</v>
      </c>
      <c r="R110" s="318"/>
    </row>
    <row r="111" ht="29.25" customHeight="1">
      <c r="A111" s="301" t="s">
        <v>1407</v>
      </c>
      <c r="B111" s="284" t="s">
        <v>1774</v>
      </c>
      <c r="C111" s="302" t="s">
        <v>1775</v>
      </c>
      <c r="D111" s="321" t="s">
        <v>1776</v>
      </c>
      <c r="E111" s="267" t="s">
        <v>1491</v>
      </c>
      <c r="F111" s="329" t="s">
        <v>75</v>
      </c>
      <c r="G111" s="304">
        <v>100.0</v>
      </c>
      <c r="H111" s="305"/>
      <c r="I111" s="310">
        <v>45992.0</v>
      </c>
      <c r="J111" s="280">
        <v>45992.0</v>
      </c>
      <c r="K111" s="280">
        <v>45996.0</v>
      </c>
      <c r="L111" s="280">
        <v>45994.0</v>
      </c>
      <c r="M111" s="306">
        <f>IF(ISBLANK(L111), NETWORKDAYS(J111, TODAY(),Hoja2!$A$1:$A$18), NETWORKDAYS(J111, L111, Hoja2!$A$1:$A$18))</f>
        <v>3</v>
      </c>
      <c r="N111" s="307"/>
      <c r="O111" s="308"/>
      <c r="P111" s="282" t="s">
        <v>1777</v>
      </c>
      <c r="Q111" s="277" t="s">
        <v>71</v>
      </c>
      <c r="R111" s="278"/>
    </row>
    <row r="112" ht="29.25" customHeight="1">
      <c r="A112" s="312" t="s">
        <v>1407</v>
      </c>
      <c r="B112" s="313" t="s">
        <v>1778</v>
      </c>
      <c r="C112" s="314" t="s">
        <v>1779</v>
      </c>
      <c r="D112" s="266" t="s">
        <v>1772</v>
      </c>
      <c r="E112" s="315" t="s">
        <v>1474</v>
      </c>
      <c r="F112" s="295" t="s">
        <v>75</v>
      </c>
      <c r="G112" s="296">
        <v>100.0</v>
      </c>
      <c r="H112" s="290"/>
      <c r="I112" s="323">
        <v>45994.0</v>
      </c>
      <c r="J112" s="324">
        <v>45994.0</v>
      </c>
      <c r="K112" s="324">
        <v>45994.0</v>
      </c>
      <c r="L112" s="324">
        <v>45994.0</v>
      </c>
      <c r="M112" s="317">
        <f>IF(ISBLANK(L112), NETWORKDAYS(J112, TODAY(),Hoja2!$A$1:$A$18), NETWORKDAYS(J112, L112, Hoja2!$A$1:$A$18))</f>
        <v>1</v>
      </c>
      <c r="N112" s="274"/>
      <c r="O112" s="275"/>
      <c r="P112" s="325" t="s">
        <v>1780</v>
      </c>
      <c r="Q112" s="298" t="s">
        <v>71</v>
      </c>
      <c r="R112" s="318"/>
    </row>
    <row r="113" ht="29.25" customHeight="1">
      <c r="A113" s="312" t="s">
        <v>1407</v>
      </c>
      <c r="B113" s="284" t="s">
        <v>1781</v>
      </c>
      <c r="C113" s="265" t="s">
        <v>1782</v>
      </c>
      <c r="D113" s="279" t="s">
        <v>1783</v>
      </c>
      <c r="E113" s="267" t="s">
        <v>1410</v>
      </c>
      <c r="F113" s="295" t="s">
        <v>75</v>
      </c>
      <c r="G113" s="296">
        <v>100.0</v>
      </c>
      <c r="H113" s="290"/>
      <c r="I113" s="323">
        <v>45994.0</v>
      </c>
      <c r="J113" s="324">
        <v>45994.0</v>
      </c>
      <c r="K113" s="324">
        <v>45994.0</v>
      </c>
      <c r="L113" s="324">
        <v>45994.0</v>
      </c>
      <c r="M113" s="317">
        <f>IF(ISBLANK(L113), NETWORKDAYS(J113, TODAY(),Hoja2!$A$1:$A$18), NETWORKDAYS(J113, L113, Hoja2!$A$1:$A$18))</f>
        <v>1</v>
      </c>
      <c r="N113" s="274"/>
      <c r="O113" s="275"/>
      <c r="P113" s="325" t="s">
        <v>1784</v>
      </c>
      <c r="Q113" s="298" t="s">
        <v>71</v>
      </c>
      <c r="R113" s="318"/>
    </row>
    <row r="114" ht="29.25" customHeight="1">
      <c r="A114" s="301" t="s">
        <v>1407</v>
      </c>
      <c r="B114" s="284" t="s">
        <v>1785</v>
      </c>
      <c r="C114" s="302" t="s">
        <v>1786</v>
      </c>
      <c r="D114" s="321" t="s">
        <v>1787</v>
      </c>
      <c r="E114" s="267" t="s">
        <v>1491</v>
      </c>
      <c r="F114" s="329" t="s">
        <v>75</v>
      </c>
      <c r="G114" s="304">
        <v>100.0</v>
      </c>
      <c r="H114" s="305"/>
      <c r="I114" s="310">
        <v>45995.0</v>
      </c>
      <c r="J114" s="280">
        <v>45995.0</v>
      </c>
      <c r="K114" s="280">
        <v>45996.0</v>
      </c>
      <c r="L114" s="280">
        <v>45996.0</v>
      </c>
      <c r="M114" s="306">
        <f>IF(ISBLANK(L114), NETWORKDAYS(J114, TODAY(),Hoja2!$A$1:$A$18), NETWORKDAYS(J114, L114, Hoja2!$A$1:$A$18))</f>
        <v>2</v>
      </c>
      <c r="N114" s="307"/>
      <c r="O114" s="308"/>
      <c r="P114" s="282" t="s">
        <v>1788</v>
      </c>
      <c r="Q114" s="277" t="s">
        <v>71</v>
      </c>
      <c r="R114" s="278"/>
    </row>
    <row r="115" ht="29.25" customHeight="1">
      <c r="A115" s="312" t="s">
        <v>1407</v>
      </c>
      <c r="B115" s="284" t="s">
        <v>1789</v>
      </c>
      <c r="C115" s="265" t="s">
        <v>1790</v>
      </c>
      <c r="D115" s="279" t="s">
        <v>1791</v>
      </c>
      <c r="E115" s="267" t="s">
        <v>1410</v>
      </c>
      <c r="F115" s="295" t="s">
        <v>75</v>
      </c>
      <c r="G115" s="296">
        <v>100.0</v>
      </c>
      <c r="H115" s="290"/>
      <c r="I115" s="323">
        <v>45996.0</v>
      </c>
      <c r="J115" s="324">
        <v>45996.0</v>
      </c>
      <c r="K115" s="324">
        <v>45996.0</v>
      </c>
      <c r="L115" s="324">
        <v>45996.0</v>
      </c>
      <c r="M115" s="317">
        <f>IF(ISBLANK(L115), NETWORKDAYS(J115, TODAY(),Hoja2!$A$1:$A$18), NETWORKDAYS(J115, L115, Hoja2!$A$1:$A$18))</f>
        <v>1</v>
      </c>
      <c r="N115" s="274"/>
      <c r="O115" s="275"/>
      <c r="P115" s="325" t="s">
        <v>1792</v>
      </c>
      <c r="Q115" s="298" t="s">
        <v>71</v>
      </c>
      <c r="R115" s="318"/>
    </row>
    <row r="116" ht="29.25" customHeight="1">
      <c r="A116" s="301" t="s">
        <v>1407</v>
      </c>
      <c r="B116" s="284" t="s">
        <v>1793</v>
      </c>
      <c r="C116" s="302" t="s">
        <v>1794</v>
      </c>
      <c r="D116" s="321" t="s">
        <v>1795</v>
      </c>
      <c r="E116" s="267" t="s">
        <v>1491</v>
      </c>
      <c r="F116" s="329" t="s">
        <v>214</v>
      </c>
      <c r="G116" s="304">
        <v>70.0</v>
      </c>
      <c r="H116" s="305"/>
      <c r="I116" s="310">
        <v>46001.0</v>
      </c>
      <c r="J116" s="280">
        <v>46001.0</v>
      </c>
      <c r="K116" s="280"/>
      <c r="L116" s="280"/>
      <c r="M116" s="306">
        <f>IF(ISBLANK(L116), NETWORKDAYS(J116, TODAY(),Hoja2!$A$1:$A$18), NETWORKDAYS(J116, L116, Hoja2!$A$1:$A$18))</f>
        <v>7</v>
      </c>
      <c r="N116" s="307"/>
      <c r="O116" s="308"/>
      <c r="P116" s="282" t="s">
        <v>1796</v>
      </c>
      <c r="Q116" s="277" t="s">
        <v>71</v>
      </c>
      <c r="R116" s="278"/>
    </row>
    <row r="117" ht="29.25" customHeight="1">
      <c r="A117" s="312" t="s">
        <v>1407</v>
      </c>
      <c r="B117" s="284" t="s">
        <v>1797</v>
      </c>
      <c r="C117" s="265" t="s">
        <v>1767</v>
      </c>
      <c r="D117" s="279" t="s">
        <v>1798</v>
      </c>
      <c r="E117" s="267" t="s">
        <v>1410</v>
      </c>
      <c r="F117" s="295" t="s">
        <v>214</v>
      </c>
      <c r="G117" s="296">
        <v>70.0</v>
      </c>
      <c r="H117" s="290"/>
      <c r="I117" s="310">
        <v>46001.0</v>
      </c>
      <c r="J117" s="280">
        <v>46001.0</v>
      </c>
      <c r="K117" s="324"/>
      <c r="L117" s="324"/>
      <c r="M117" s="317">
        <f>IF(ISBLANK(L117), NETWORKDAYS(J117, TODAY(),Hoja2!$A$1:$A$18), NETWORKDAYS(J117, L117, Hoja2!$A$1:$A$18))</f>
        <v>7</v>
      </c>
      <c r="N117" s="274"/>
      <c r="O117" s="275"/>
      <c r="P117" s="325" t="s">
        <v>1799</v>
      </c>
      <c r="Q117" s="298" t="s">
        <v>71</v>
      </c>
      <c r="R117" s="318"/>
    </row>
    <row r="118" ht="29.25" customHeight="1">
      <c r="A118" s="312" t="s">
        <v>1407</v>
      </c>
      <c r="B118" s="284" t="s">
        <v>1800</v>
      </c>
      <c r="C118" s="265" t="s">
        <v>1801</v>
      </c>
      <c r="D118" s="279" t="s">
        <v>1802</v>
      </c>
      <c r="E118" s="267" t="s">
        <v>1410</v>
      </c>
      <c r="F118" s="295" t="s">
        <v>214</v>
      </c>
      <c r="G118" s="296">
        <v>5.0</v>
      </c>
      <c r="H118" s="290"/>
      <c r="I118" s="310">
        <v>46003.0</v>
      </c>
      <c r="J118" s="280">
        <v>46003.0</v>
      </c>
      <c r="K118" s="324"/>
      <c r="L118" s="324"/>
      <c r="M118" s="317">
        <f>IF(ISBLANK(L118), NETWORKDAYS(J118, TODAY(),Hoja2!$A$1:$A$18), NETWORKDAYS(J118, L118, Hoja2!$A$1:$A$18))</f>
        <v>5</v>
      </c>
      <c r="N118" s="274"/>
      <c r="O118" s="275"/>
      <c r="P118" s="325" t="s">
        <v>1803</v>
      </c>
      <c r="Q118" s="298" t="s">
        <v>71</v>
      </c>
      <c r="R118" s="318"/>
    </row>
    <row r="119" ht="29.25" customHeight="1">
      <c r="A119" s="301" t="s">
        <v>1407</v>
      </c>
      <c r="B119" s="284" t="s">
        <v>1804</v>
      </c>
      <c r="C119" s="265" t="s">
        <v>1805</v>
      </c>
      <c r="D119" s="279" t="s">
        <v>1806</v>
      </c>
      <c r="E119" s="267" t="s">
        <v>1491</v>
      </c>
      <c r="F119" s="329" t="s">
        <v>214</v>
      </c>
      <c r="G119" s="304">
        <v>80.0</v>
      </c>
      <c r="H119" s="305"/>
      <c r="I119" s="310">
        <v>46009.0</v>
      </c>
      <c r="J119" s="280">
        <v>46009.0</v>
      </c>
      <c r="K119" s="280"/>
      <c r="L119" s="280"/>
      <c r="M119" s="306">
        <f>IF(ISBLANK(L119), NETWORKDAYS(J119, TODAY(),Hoja2!$A$1:$A$18), NETWORKDAYS(J119, L119, Hoja2!$A$1:$A$18))</f>
        <v>1</v>
      </c>
      <c r="N119" s="307"/>
      <c r="O119" s="308"/>
      <c r="P119" s="282" t="s">
        <v>1807</v>
      </c>
      <c r="Q119" s="277" t="s">
        <v>71</v>
      </c>
      <c r="R119" s="278"/>
    </row>
    <row r="120" ht="29.25" customHeight="1">
      <c r="A120" s="336"/>
      <c r="B120" s="337"/>
      <c r="C120" s="338"/>
      <c r="D120" s="339"/>
      <c r="E120" s="340"/>
      <c r="F120" s="341"/>
      <c r="G120" s="342"/>
      <c r="H120" s="342"/>
      <c r="I120" s="343"/>
      <c r="J120" s="344"/>
      <c r="K120" s="344"/>
      <c r="L120" s="344"/>
      <c r="M120" s="345"/>
      <c r="N120" s="343"/>
      <c r="O120" s="171"/>
      <c r="P120" s="346"/>
      <c r="Q120" s="347"/>
      <c r="R120" s="106"/>
    </row>
    <row r="121" ht="29.25" customHeight="1">
      <c r="A121" s="336"/>
      <c r="B121" s="337"/>
      <c r="C121" s="338"/>
      <c r="D121" s="339"/>
      <c r="E121" s="340"/>
      <c r="F121" s="341"/>
      <c r="G121" s="342"/>
      <c r="H121" s="342"/>
      <c r="I121" s="343"/>
      <c r="J121" s="344"/>
      <c r="K121" s="344"/>
      <c r="L121" s="344"/>
      <c r="M121" s="348"/>
      <c r="N121" s="343"/>
      <c r="O121" s="171"/>
      <c r="P121" s="106"/>
      <c r="Q121" s="347"/>
      <c r="R121" s="106"/>
    </row>
    <row r="122" ht="29.25" customHeight="1">
      <c r="A122" s="336"/>
      <c r="B122" s="337"/>
      <c r="C122" s="338"/>
      <c r="D122" s="339"/>
      <c r="E122" s="340"/>
      <c r="F122" s="341"/>
      <c r="G122" s="342"/>
      <c r="H122" s="342"/>
      <c r="I122" s="343"/>
      <c r="J122" s="344"/>
      <c r="K122" s="344"/>
      <c r="L122" s="344"/>
      <c r="M122" s="348"/>
      <c r="N122" s="343"/>
      <c r="O122" s="171"/>
      <c r="P122" s="106"/>
      <c r="Q122" s="347"/>
      <c r="R122" s="106"/>
    </row>
    <row r="123" ht="29.25" customHeight="1">
      <c r="A123" s="336"/>
      <c r="B123" s="337"/>
      <c r="C123" s="338"/>
      <c r="D123" s="339"/>
      <c r="E123" s="340"/>
      <c r="F123" s="341"/>
      <c r="G123" s="342"/>
      <c r="H123" s="342"/>
      <c r="I123" s="343"/>
      <c r="J123" s="344"/>
      <c r="K123" s="344"/>
      <c r="L123" s="344"/>
      <c r="M123" s="348"/>
      <c r="N123" s="343"/>
      <c r="O123" s="171"/>
      <c r="P123" s="106"/>
      <c r="Q123" s="347"/>
      <c r="R123" s="106"/>
    </row>
    <row r="124" ht="29.25" customHeight="1">
      <c r="A124" s="336"/>
      <c r="B124" s="337"/>
      <c r="C124" s="338"/>
      <c r="D124" s="339"/>
      <c r="E124" s="340"/>
      <c r="F124" s="341"/>
      <c r="G124" s="342"/>
      <c r="H124" s="342"/>
      <c r="I124" s="343"/>
      <c r="J124" s="344"/>
      <c r="K124" s="344"/>
      <c r="L124" s="344"/>
      <c r="M124" s="348"/>
      <c r="N124" s="343"/>
      <c r="O124" s="171"/>
      <c r="P124" s="106"/>
      <c r="Q124" s="347"/>
      <c r="R124" s="106"/>
    </row>
    <row r="125" ht="29.25" customHeight="1">
      <c r="A125" s="336"/>
      <c r="B125" s="337"/>
      <c r="C125" s="338"/>
      <c r="D125" s="339"/>
      <c r="E125" s="340"/>
      <c r="F125" s="341"/>
      <c r="G125" s="342"/>
      <c r="H125" s="342"/>
      <c r="I125" s="343"/>
      <c r="J125" s="344"/>
      <c r="K125" s="344"/>
      <c r="L125" s="344"/>
      <c r="M125" s="348"/>
      <c r="N125" s="343"/>
      <c r="O125" s="171"/>
      <c r="P125" s="106"/>
      <c r="Q125" s="347"/>
      <c r="R125" s="106"/>
    </row>
    <row r="126" ht="29.25" customHeight="1">
      <c r="A126" s="336"/>
      <c r="B126" s="337"/>
      <c r="C126" s="338"/>
      <c r="D126" s="339"/>
      <c r="E126" s="340"/>
      <c r="F126" s="341"/>
      <c r="G126" s="342"/>
      <c r="H126" s="342"/>
      <c r="I126" s="343"/>
      <c r="J126" s="344"/>
      <c r="K126" s="344"/>
      <c r="L126" s="344"/>
      <c r="M126" s="348"/>
      <c r="N126" s="343"/>
      <c r="O126" s="171"/>
      <c r="P126" s="106"/>
      <c r="Q126" s="347"/>
      <c r="R126" s="106"/>
    </row>
    <row r="127" ht="29.25" customHeight="1">
      <c r="A127" s="336"/>
      <c r="B127" s="337"/>
      <c r="C127" s="338"/>
      <c r="D127" s="339"/>
      <c r="E127" s="340"/>
      <c r="F127" s="341"/>
      <c r="G127" s="342"/>
      <c r="H127" s="342"/>
      <c r="I127" s="343"/>
      <c r="J127" s="344"/>
      <c r="K127" s="344"/>
      <c r="L127" s="344"/>
      <c r="M127" s="348"/>
      <c r="N127" s="343"/>
      <c r="O127" s="171"/>
      <c r="P127" s="106"/>
      <c r="Q127" s="347"/>
      <c r="R127" s="106"/>
    </row>
    <row r="128" ht="29.25" customHeight="1">
      <c r="A128" s="336"/>
      <c r="B128" s="337"/>
      <c r="C128" s="338"/>
      <c r="D128" s="339"/>
      <c r="E128" s="340"/>
      <c r="F128" s="341"/>
      <c r="G128" s="342"/>
      <c r="H128" s="342"/>
      <c r="I128" s="343"/>
      <c r="J128" s="344"/>
      <c r="K128" s="344"/>
      <c r="L128" s="344"/>
      <c r="M128" s="348"/>
      <c r="N128" s="343"/>
      <c r="O128" s="171"/>
      <c r="P128" s="106"/>
      <c r="Q128" s="347"/>
      <c r="R128" s="106"/>
    </row>
    <row r="129" ht="29.25" customHeight="1">
      <c r="A129" s="336"/>
      <c r="B129" s="337"/>
      <c r="C129" s="338"/>
      <c r="D129" s="339"/>
      <c r="E129" s="340"/>
      <c r="F129" s="341"/>
      <c r="G129" s="342"/>
      <c r="H129" s="342"/>
      <c r="I129" s="343"/>
      <c r="J129" s="344"/>
      <c r="K129" s="344"/>
      <c r="L129" s="344"/>
      <c r="M129" s="348"/>
      <c r="N129" s="343"/>
      <c r="O129" s="171"/>
      <c r="P129" s="106"/>
      <c r="Q129" s="347"/>
      <c r="R129" s="106"/>
    </row>
    <row r="130" ht="29.25" customHeight="1">
      <c r="A130" s="336"/>
      <c r="B130" s="337"/>
      <c r="C130" s="338"/>
      <c r="D130" s="339"/>
      <c r="E130" s="340"/>
      <c r="F130" s="341"/>
      <c r="G130" s="342"/>
      <c r="H130" s="342"/>
      <c r="I130" s="343"/>
      <c r="J130" s="344"/>
      <c r="K130" s="344"/>
      <c r="L130" s="344"/>
      <c r="M130" s="348"/>
      <c r="N130" s="343"/>
      <c r="O130" s="171"/>
      <c r="P130" s="106"/>
      <c r="Q130" s="347"/>
      <c r="R130" s="106"/>
    </row>
    <row r="131" ht="29.25" customHeight="1">
      <c r="A131" s="336"/>
      <c r="B131" s="337"/>
      <c r="C131" s="338"/>
      <c r="D131" s="339"/>
      <c r="E131" s="340"/>
      <c r="F131" s="341"/>
      <c r="G131" s="342"/>
      <c r="H131" s="342"/>
      <c r="I131" s="343"/>
      <c r="J131" s="344"/>
      <c r="K131" s="344"/>
      <c r="L131" s="344"/>
      <c r="M131" s="348"/>
      <c r="N131" s="343"/>
      <c r="O131" s="171"/>
      <c r="P131" s="106"/>
      <c r="Q131" s="347"/>
      <c r="R131" s="106"/>
    </row>
    <row r="132" ht="29.25" customHeight="1">
      <c r="A132" s="216"/>
      <c r="B132" s="349"/>
      <c r="C132" s="350"/>
      <c r="D132" s="351"/>
      <c r="E132" s="340"/>
      <c r="F132" s="173"/>
      <c r="G132" s="168"/>
      <c r="H132" s="168"/>
      <c r="I132" s="169"/>
      <c r="J132" s="170"/>
      <c r="K132" s="170"/>
      <c r="L132" s="170"/>
      <c r="M132" s="167"/>
      <c r="N132" s="169"/>
      <c r="O132" s="171"/>
      <c r="P132" s="106"/>
      <c r="Q132" s="347"/>
      <c r="R132" s="106"/>
    </row>
    <row r="133" ht="29.25" customHeight="1">
      <c r="A133" s="216"/>
      <c r="B133" s="349"/>
      <c r="C133" s="350"/>
      <c r="D133" s="351"/>
      <c r="E133" s="352"/>
      <c r="F133" s="173"/>
      <c r="G133" s="168"/>
      <c r="H133" s="168"/>
      <c r="I133" s="169"/>
      <c r="J133" s="170"/>
      <c r="K133" s="170"/>
      <c r="L133" s="170"/>
      <c r="M133" s="167"/>
      <c r="N133" s="169"/>
      <c r="O133" s="171"/>
      <c r="P133" s="106"/>
      <c r="Q133" s="353"/>
      <c r="R133" s="106"/>
    </row>
    <row r="134" ht="29.25" customHeight="1">
      <c r="A134" s="216"/>
      <c r="B134" s="349"/>
      <c r="C134" s="350"/>
      <c r="D134" s="351"/>
      <c r="E134" s="340"/>
      <c r="F134" s="173"/>
      <c r="G134" s="168"/>
      <c r="H134" s="168"/>
      <c r="I134" s="169"/>
      <c r="J134" s="170"/>
      <c r="K134" s="170"/>
      <c r="L134" s="170"/>
      <c r="M134" s="167"/>
      <c r="N134" s="169"/>
      <c r="O134" s="171"/>
      <c r="P134" s="106"/>
      <c r="Q134" s="347"/>
      <c r="R134" s="106"/>
    </row>
    <row r="135" ht="29.25" customHeight="1">
      <c r="A135" s="216"/>
      <c r="B135" s="349"/>
      <c r="C135" s="350"/>
      <c r="D135" s="351"/>
      <c r="E135" s="352"/>
      <c r="F135" s="173"/>
      <c r="G135" s="168"/>
      <c r="H135" s="168"/>
      <c r="I135" s="169"/>
      <c r="J135" s="170"/>
      <c r="K135" s="170"/>
      <c r="L135" s="170"/>
      <c r="M135" s="167"/>
      <c r="N135" s="169"/>
      <c r="O135" s="171"/>
      <c r="P135" s="106"/>
      <c r="Q135" s="353"/>
      <c r="R135" s="106"/>
    </row>
    <row r="136" ht="29.25" customHeight="1">
      <c r="A136" s="216"/>
      <c r="B136" s="349"/>
      <c r="C136" s="350"/>
      <c r="D136" s="351"/>
      <c r="E136" s="340"/>
      <c r="F136" s="173"/>
      <c r="G136" s="168"/>
      <c r="H136" s="168"/>
      <c r="I136" s="169"/>
      <c r="J136" s="170"/>
      <c r="K136" s="170"/>
      <c r="L136" s="170"/>
      <c r="M136" s="167"/>
      <c r="N136" s="169"/>
      <c r="O136" s="171"/>
      <c r="P136" s="106"/>
      <c r="Q136" s="347"/>
      <c r="R136" s="106"/>
    </row>
    <row r="137" ht="29.25" customHeight="1">
      <c r="A137" s="216"/>
      <c r="B137" s="349"/>
      <c r="C137" s="350"/>
      <c r="D137" s="351"/>
      <c r="E137" s="352"/>
      <c r="F137" s="173"/>
      <c r="G137" s="168"/>
      <c r="H137" s="168"/>
      <c r="I137" s="169"/>
      <c r="J137" s="170"/>
      <c r="K137" s="170"/>
      <c r="L137" s="170"/>
      <c r="M137" s="167"/>
      <c r="N137" s="169"/>
      <c r="O137" s="171"/>
      <c r="P137" s="106"/>
      <c r="Q137" s="353"/>
      <c r="R137" s="106"/>
    </row>
    <row r="138" ht="29.25" customHeight="1">
      <c r="A138" s="216"/>
      <c r="B138" s="349"/>
      <c r="C138" s="350"/>
      <c r="D138" s="351"/>
      <c r="E138" s="340"/>
      <c r="F138" s="173"/>
      <c r="G138" s="168"/>
      <c r="H138" s="168"/>
      <c r="I138" s="169"/>
      <c r="J138" s="170"/>
      <c r="K138" s="170"/>
      <c r="L138" s="170"/>
      <c r="M138" s="167"/>
      <c r="N138" s="169"/>
      <c r="O138" s="171"/>
      <c r="P138" s="106"/>
      <c r="Q138" s="347"/>
      <c r="R138" s="106"/>
    </row>
    <row r="139" ht="29.25" customHeight="1">
      <c r="A139" s="216"/>
      <c r="B139" s="349"/>
      <c r="C139" s="350"/>
      <c r="D139" s="351"/>
      <c r="E139" s="352"/>
      <c r="F139" s="173"/>
      <c r="G139" s="168"/>
      <c r="H139" s="168"/>
      <c r="I139" s="169"/>
      <c r="J139" s="170"/>
      <c r="K139" s="170"/>
      <c r="L139" s="170"/>
      <c r="M139" s="167"/>
      <c r="N139" s="169"/>
      <c r="O139" s="171"/>
      <c r="P139" s="106"/>
      <c r="Q139" s="353"/>
      <c r="R139" s="106"/>
    </row>
    <row r="140" ht="29.25" customHeight="1">
      <c r="A140" s="216"/>
      <c r="B140" s="349"/>
      <c r="C140" s="350"/>
      <c r="D140" s="351"/>
      <c r="E140" s="340"/>
      <c r="F140" s="173"/>
      <c r="G140" s="168"/>
      <c r="H140" s="168"/>
      <c r="I140" s="169"/>
      <c r="J140" s="170"/>
      <c r="K140" s="170"/>
      <c r="L140" s="170"/>
      <c r="M140" s="167"/>
      <c r="N140" s="169"/>
      <c r="O140" s="171"/>
      <c r="P140" s="106"/>
      <c r="Q140" s="347"/>
      <c r="R140" s="106"/>
    </row>
    <row r="141" ht="29.25" customHeight="1">
      <c r="A141" s="216"/>
      <c r="B141" s="349"/>
      <c r="C141" s="350"/>
      <c r="D141" s="351"/>
      <c r="E141" s="352"/>
      <c r="F141" s="173"/>
      <c r="G141" s="168"/>
      <c r="H141" s="168"/>
      <c r="I141" s="169"/>
      <c r="J141" s="170"/>
      <c r="K141" s="170"/>
      <c r="L141" s="170"/>
      <c r="M141" s="167"/>
      <c r="N141" s="169"/>
      <c r="O141" s="171"/>
      <c r="P141" s="106"/>
      <c r="Q141" s="353"/>
      <c r="R141" s="106"/>
    </row>
    <row r="142" ht="29.25" customHeight="1">
      <c r="A142" s="216"/>
      <c r="B142" s="349"/>
      <c r="C142" s="350"/>
      <c r="D142" s="351"/>
      <c r="E142" s="340"/>
      <c r="F142" s="173"/>
      <c r="G142" s="168"/>
      <c r="H142" s="168"/>
      <c r="I142" s="169"/>
      <c r="J142" s="170"/>
      <c r="K142" s="170"/>
      <c r="L142" s="170"/>
      <c r="M142" s="167"/>
      <c r="N142" s="169"/>
      <c r="O142" s="171"/>
      <c r="P142" s="106"/>
      <c r="Q142" s="347"/>
      <c r="R142" s="106"/>
    </row>
    <row r="143" ht="29.25" customHeight="1">
      <c r="A143" s="216"/>
      <c r="B143" s="349"/>
      <c r="C143" s="350"/>
      <c r="D143" s="351"/>
      <c r="E143" s="352"/>
      <c r="F143" s="173"/>
      <c r="G143" s="168"/>
      <c r="H143" s="168"/>
      <c r="I143" s="169"/>
      <c r="J143" s="170"/>
      <c r="K143" s="170"/>
      <c r="L143" s="170"/>
      <c r="M143" s="167"/>
      <c r="N143" s="169"/>
      <c r="O143" s="171"/>
      <c r="P143" s="106"/>
      <c r="Q143" s="353"/>
      <c r="R143" s="106"/>
    </row>
    <row r="144" ht="29.25" customHeight="1">
      <c r="A144" s="216"/>
      <c r="B144" s="349"/>
      <c r="C144" s="350"/>
      <c r="D144" s="351"/>
      <c r="E144" s="340"/>
      <c r="F144" s="173"/>
      <c r="G144" s="168"/>
      <c r="H144" s="168"/>
      <c r="I144" s="169"/>
      <c r="J144" s="170"/>
      <c r="K144" s="170"/>
      <c r="L144" s="170"/>
      <c r="M144" s="167"/>
      <c r="N144" s="169"/>
      <c r="O144" s="171"/>
      <c r="P144" s="106"/>
      <c r="Q144" s="347"/>
      <c r="R144" s="106"/>
    </row>
    <row r="145" ht="29.25" customHeight="1">
      <c r="A145" s="216"/>
      <c r="B145" s="349"/>
      <c r="C145" s="350"/>
      <c r="D145" s="351"/>
      <c r="E145" s="352"/>
      <c r="F145" s="173"/>
      <c r="G145" s="168"/>
      <c r="H145" s="168"/>
      <c r="I145" s="169"/>
      <c r="J145" s="170"/>
      <c r="K145" s="170"/>
      <c r="L145" s="170"/>
      <c r="M145" s="167"/>
      <c r="N145" s="169"/>
      <c r="O145" s="171"/>
      <c r="P145" s="106"/>
      <c r="Q145" s="353"/>
      <c r="R145" s="106"/>
    </row>
    <row r="146" ht="29.25" customHeight="1">
      <c r="A146" s="216"/>
      <c r="B146" s="349"/>
      <c r="C146" s="350"/>
      <c r="D146" s="351"/>
      <c r="E146" s="340"/>
      <c r="F146" s="173"/>
      <c r="G146" s="168"/>
      <c r="H146" s="168"/>
      <c r="I146" s="169"/>
      <c r="J146" s="170"/>
      <c r="K146" s="170"/>
      <c r="L146" s="170"/>
      <c r="M146" s="167"/>
      <c r="N146" s="169"/>
      <c r="O146" s="171"/>
      <c r="P146" s="106"/>
      <c r="Q146" s="347"/>
      <c r="R146" s="106"/>
    </row>
    <row r="147" ht="29.25" customHeight="1">
      <c r="A147" s="216"/>
      <c r="B147" s="349"/>
      <c r="C147" s="350"/>
      <c r="D147" s="351"/>
      <c r="E147" s="352"/>
      <c r="F147" s="173"/>
      <c r="G147" s="168"/>
      <c r="H147" s="168"/>
      <c r="I147" s="169"/>
      <c r="J147" s="170"/>
      <c r="K147" s="170"/>
      <c r="L147" s="170"/>
      <c r="M147" s="167"/>
      <c r="N147" s="169"/>
      <c r="O147" s="171"/>
      <c r="P147" s="106"/>
      <c r="Q147" s="353"/>
      <c r="R147" s="106"/>
    </row>
    <row r="148" ht="29.25" customHeight="1">
      <c r="A148" s="216"/>
      <c r="B148" s="349"/>
      <c r="C148" s="350"/>
      <c r="D148" s="351"/>
      <c r="E148" s="340"/>
      <c r="F148" s="173"/>
      <c r="G148" s="168"/>
      <c r="H148" s="168"/>
      <c r="I148" s="169"/>
      <c r="J148" s="170"/>
      <c r="K148" s="170"/>
      <c r="L148" s="170"/>
      <c r="M148" s="167"/>
      <c r="N148" s="169"/>
      <c r="O148" s="171"/>
      <c r="P148" s="106"/>
      <c r="Q148" s="347"/>
      <c r="R148" s="106"/>
    </row>
    <row r="149" ht="29.25" customHeight="1">
      <c r="A149" s="216"/>
      <c r="B149" s="349"/>
      <c r="C149" s="350"/>
      <c r="D149" s="351"/>
      <c r="E149" s="352"/>
      <c r="F149" s="173"/>
      <c r="G149" s="168"/>
      <c r="H149" s="168"/>
      <c r="I149" s="169"/>
      <c r="J149" s="170"/>
      <c r="K149" s="170"/>
      <c r="L149" s="170"/>
      <c r="M149" s="167"/>
      <c r="N149" s="169"/>
      <c r="O149" s="171"/>
      <c r="P149" s="106"/>
      <c r="Q149" s="353"/>
      <c r="R149" s="106"/>
    </row>
    <row r="150" ht="29.25" customHeight="1">
      <c r="A150" s="216"/>
      <c r="B150" s="349"/>
      <c r="C150" s="350"/>
      <c r="D150" s="351"/>
      <c r="E150" s="340"/>
      <c r="F150" s="173"/>
      <c r="G150" s="168"/>
      <c r="H150" s="168"/>
      <c r="I150" s="169"/>
      <c r="J150" s="170"/>
      <c r="K150" s="170"/>
      <c r="L150" s="170"/>
      <c r="M150" s="167"/>
      <c r="N150" s="169"/>
      <c r="O150" s="171"/>
      <c r="P150" s="106"/>
      <c r="Q150" s="347"/>
      <c r="R150" s="106"/>
    </row>
    <row r="151" ht="29.25" customHeight="1">
      <c r="A151" s="216"/>
      <c r="B151" s="349"/>
      <c r="C151" s="350"/>
      <c r="D151" s="351"/>
      <c r="E151" s="352"/>
      <c r="F151" s="173"/>
      <c r="G151" s="168"/>
      <c r="H151" s="168"/>
      <c r="I151" s="169"/>
      <c r="J151" s="170"/>
      <c r="K151" s="170"/>
      <c r="L151" s="170"/>
      <c r="M151" s="167"/>
      <c r="N151" s="169"/>
      <c r="O151" s="171"/>
      <c r="P151" s="106"/>
      <c r="Q151" s="353"/>
      <c r="R151" s="106"/>
    </row>
    <row r="152" ht="29.25" customHeight="1">
      <c r="A152" s="216"/>
      <c r="B152" s="349"/>
      <c r="C152" s="350"/>
      <c r="D152" s="351"/>
      <c r="E152" s="340"/>
      <c r="F152" s="173"/>
      <c r="G152" s="168"/>
      <c r="H152" s="168"/>
      <c r="I152" s="169"/>
      <c r="J152" s="170"/>
      <c r="K152" s="170"/>
      <c r="L152" s="170"/>
      <c r="M152" s="167"/>
      <c r="N152" s="169"/>
      <c r="O152" s="171"/>
      <c r="P152" s="106"/>
      <c r="Q152" s="347"/>
      <c r="R152" s="106"/>
    </row>
    <row r="153" ht="29.25" customHeight="1">
      <c r="A153" s="216"/>
      <c r="B153" s="349"/>
      <c r="C153" s="350"/>
      <c r="D153" s="351"/>
      <c r="E153" s="352"/>
      <c r="F153" s="173"/>
      <c r="G153" s="168"/>
      <c r="H153" s="168"/>
      <c r="I153" s="169"/>
      <c r="J153" s="170"/>
      <c r="K153" s="170"/>
      <c r="L153" s="170"/>
      <c r="M153" s="167"/>
      <c r="N153" s="169"/>
      <c r="O153" s="171"/>
      <c r="P153" s="106"/>
      <c r="Q153" s="353"/>
      <c r="R153" s="106"/>
    </row>
    <row r="154" ht="29.25" customHeight="1">
      <c r="A154" s="216"/>
      <c r="B154" s="349"/>
      <c r="C154" s="350"/>
      <c r="D154" s="351"/>
      <c r="E154" s="340"/>
      <c r="F154" s="173"/>
      <c r="G154" s="168"/>
      <c r="H154" s="168"/>
      <c r="I154" s="169"/>
      <c r="J154" s="170"/>
      <c r="K154" s="170"/>
      <c r="L154" s="170"/>
      <c r="M154" s="167"/>
      <c r="N154" s="169"/>
      <c r="O154" s="171"/>
      <c r="P154" s="106"/>
      <c r="Q154" s="347"/>
      <c r="R154" s="106"/>
    </row>
    <row r="155" ht="29.25" customHeight="1">
      <c r="A155" s="216"/>
      <c r="B155" s="349"/>
      <c r="C155" s="350"/>
      <c r="D155" s="351"/>
      <c r="E155" s="352"/>
      <c r="F155" s="173"/>
      <c r="G155" s="168"/>
      <c r="H155" s="168"/>
      <c r="I155" s="169"/>
      <c r="J155" s="170"/>
      <c r="K155" s="170"/>
      <c r="L155" s="170"/>
      <c r="M155" s="167"/>
      <c r="N155" s="169"/>
      <c r="O155" s="171"/>
      <c r="P155" s="106"/>
      <c r="Q155" s="353"/>
      <c r="R155" s="106"/>
    </row>
    <row r="156" ht="29.25" customHeight="1">
      <c r="A156" s="216"/>
      <c r="B156" s="349"/>
      <c r="C156" s="350"/>
      <c r="D156" s="351"/>
      <c r="E156" s="340"/>
      <c r="F156" s="173"/>
      <c r="G156" s="168"/>
      <c r="H156" s="168"/>
      <c r="I156" s="169"/>
      <c r="J156" s="170"/>
      <c r="K156" s="170"/>
      <c r="L156" s="170"/>
      <c r="M156" s="167"/>
      <c r="N156" s="169"/>
      <c r="O156" s="171"/>
      <c r="P156" s="106"/>
      <c r="Q156" s="347"/>
      <c r="R156" s="106"/>
    </row>
    <row r="157" ht="29.25" customHeight="1">
      <c r="A157" s="216"/>
      <c r="B157" s="349"/>
      <c r="C157" s="350"/>
      <c r="D157" s="351"/>
      <c r="E157" s="352"/>
      <c r="F157" s="173"/>
      <c r="G157" s="168"/>
      <c r="H157" s="168"/>
      <c r="I157" s="169"/>
      <c r="J157" s="170"/>
      <c r="K157" s="170"/>
      <c r="L157" s="170"/>
      <c r="M157" s="167"/>
      <c r="N157" s="169"/>
      <c r="O157" s="171"/>
      <c r="P157" s="106"/>
      <c r="Q157" s="353"/>
      <c r="R157" s="106"/>
    </row>
    <row r="158" ht="29.25" customHeight="1">
      <c r="A158" s="216"/>
      <c r="B158" s="349"/>
      <c r="C158" s="350"/>
      <c r="D158" s="351"/>
      <c r="E158" s="340"/>
      <c r="F158" s="173"/>
      <c r="G158" s="168"/>
      <c r="H158" s="168"/>
      <c r="I158" s="169"/>
      <c r="J158" s="170"/>
      <c r="K158" s="170"/>
      <c r="L158" s="170"/>
      <c r="M158" s="167"/>
      <c r="N158" s="169"/>
      <c r="O158" s="171"/>
      <c r="P158" s="106"/>
      <c r="Q158" s="347"/>
      <c r="R158" s="106"/>
    </row>
    <row r="159" ht="29.25" customHeight="1">
      <c r="A159" s="216"/>
      <c r="B159" s="349"/>
      <c r="C159" s="350"/>
      <c r="D159" s="351"/>
      <c r="E159" s="352"/>
      <c r="F159" s="173"/>
      <c r="G159" s="168"/>
      <c r="H159" s="168"/>
      <c r="I159" s="169"/>
      <c r="J159" s="170"/>
      <c r="K159" s="170"/>
      <c r="L159" s="170"/>
      <c r="M159" s="167"/>
      <c r="N159" s="169"/>
      <c r="O159" s="171"/>
      <c r="P159" s="106"/>
      <c r="Q159" s="353"/>
      <c r="R159" s="106"/>
    </row>
    <row r="160" ht="29.25" customHeight="1">
      <c r="A160" s="216"/>
      <c r="B160" s="349"/>
      <c r="C160" s="350"/>
      <c r="D160" s="351"/>
      <c r="E160" s="340"/>
      <c r="F160" s="173"/>
      <c r="G160" s="168"/>
      <c r="H160" s="168"/>
      <c r="I160" s="169"/>
      <c r="J160" s="170"/>
      <c r="K160" s="170"/>
      <c r="L160" s="170"/>
      <c r="M160" s="167"/>
      <c r="N160" s="169"/>
      <c r="O160" s="171"/>
      <c r="P160" s="106"/>
      <c r="Q160" s="347"/>
      <c r="R160" s="106"/>
    </row>
    <row r="161" ht="29.25" customHeight="1">
      <c r="A161" s="216"/>
      <c r="B161" s="349"/>
      <c r="C161" s="350"/>
      <c r="D161" s="351"/>
      <c r="E161" s="352"/>
      <c r="F161" s="173"/>
      <c r="G161" s="168"/>
      <c r="H161" s="168"/>
      <c r="I161" s="169"/>
      <c r="J161" s="170"/>
      <c r="K161" s="170"/>
      <c r="L161" s="170"/>
      <c r="M161" s="167"/>
      <c r="N161" s="169"/>
      <c r="O161" s="171"/>
      <c r="P161" s="106"/>
      <c r="Q161" s="353"/>
      <c r="R161" s="106"/>
    </row>
    <row r="162" ht="29.25" customHeight="1">
      <c r="A162" s="216"/>
      <c r="B162" s="349"/>
      <c r="C162" s="350"/>
      <c r="D162" s="351"/>
      <c r="E162" s="340"/>
      <c r="F162" s="173"/>
      <c r="G162" s="168"/>
      <c r="H162" s="168"/>
      <c r="I162" s="169"/>
      <c r="J162" s="170"/>
      <c r="K162" s="170"/>
      <c r="L162" s="170"/>
      <c r="M162" s="167"/>
      <c r="N162" s="169"/>
      <c r="O162" s="171"/>
      <c r="P162" s="106"/>
      <c r="Q162" s="347"/>
      <c r="R162" s="106"/>
    </row>
    <row r="163" ht="29.25" customHeight="1">
      <c r="A163" s="216"/>
      <c r="B163" s="349"/>
      <c r="C163" s="350"/>
      <c r="D163" s="351"/>
      <c r="E163" s="352"/>
      <c r="F163" s="173"/>
      <c r="G163" s="168"/>
      <c r="H163" s="168"/>
      <c r="I163" s="169"/>
      <c r="J163" s="170"/>
      <c r="K163" s="170"/>
      <c r="L163" s="170"/>
      <c r="M163" s="167"/>
      <c r="N163" s="169"/>
      <c r="O163" s="171"/>
      <c r="P163" s="106"/>
      <c r="Q163" s="353"/>
      <c r="R163" s="106"/>
    </row>
    <row r="164" ht="29.25" customHeight="1">
      <c r="A164" s="216"/>
      <c r="B164" s="349"/>
      <c r="C164" s="350"/>
      <c r="D164" s="351"/>
      <c r="E164" s="340"/>
      <c r="F164" s="173"/>
      <c r="G164" s="168"/>
      <c r="H164" s="168"/>
      <c r="I164" s="169"/>
      <c r="J164" s="170"/>
      <c r="K164" s="170"/>
      <c r="L164" s="170"/>
      <c r="M164" s="167"/>
      <c r="N164" s="169"/>
      <c r="O164" s="171"/>
      <c r="P164" s="106"/>
      <c r="Q164" s="347"/>
      <c r="R164" s="106"/>
    </row>
    <row r="165" ht="29.25" customHeight="1">
      <c r="A165" s="216"/>
      <c r="B165" s="349"/>
      <c r="C165" s="350"/>
      <c r="D165" s="351"/>
      <c r="E165" s="352"/>
      <c r="F165" s="173"/>
      <c r="G165" s="168"/>
      <c r="H165" s="168"/>
      <c r="I165" s="169"/>
      <c r="J165" s="170"/>
      <c r="K165" s="170"/>
      <c r="L165" s="170"/>
      <c r="M165" s="167"/>
      <c r="N165" s="169"/>
      <c r="O165" s="171"/>
      <c r="P165" s="106"/>
      <c r="Q165" s="353"/>
      <c r="R165" s="106"/>
    </row>
    <row r="166" ht="29.25" customHeight="1">
      <c r="A166" s="216"/>
      <c r="B166" s="349"/>
      <c r="C166" s="350"/>
      <c r="D166" s="351"/>
      <c r="E166" s="340"/>
      <c r="F166" s="173"/>
      <c r="G166" s="168"/>
      <c r="H166" s="168"/>
      <c r="I166" s="169"/>
      <c r="J166" s="170"/>
      <c r="K166" s="170"/>
      <c r="L166" s="170"/>
      <c r="M166" s="167"/>
      <c r="N166" s="169"/>
      <c r="O166" s="171"/>
      <c r="P166" s="106"/>
      <c r="Q166" s="347"/>
      <c r="R166" s="106"/>
    </row>
    <row r="167" ht="29.25" customHeight="1">
      <c r="A167" s="216"/>
      <c r="B167" s="349"/>
      <c r="C167" s="350"/>
      <c r="D167" s="351"/>
      <c r="E167" s="352"/>
      <c r="F167" s="173"/>
      <c r="G167" s="168"/>
      <c r="H167" s="168"/>
      <c r="I167" s="169"/>
      <c r="J167" s="170"/>
      <c r="K167" s="170"/>
      <c r="L167" s="170"/>
      <c r="M167" s="167"/>
      <c r="N167" s="169"/>
      <c r="O167" s="171"/>
      <c r="P167" s="106"/>
      <c r="Q167" s="353"/>
      <c r="R167" s="106"/>
    </row>
    <row r="168" ht="29.25" customHeight="1">
      <c r="A168" s="216"/>
      <c r="B168" s="349"/>
      <c r="C168" s="350"/>
      <c r="D168" s="351"/>
      <c r="E168" s="340"/>
      <c r="F168" s="173"/>
      <c r="G168" s="168"/>
      <c r="H168" s="168"/>
      <c r="I168" s="169"/>
      <c r="J168" s="170"/>
      <c r="K168" s="170"/>
      <c r="L168" s="170"/>
      <c r="M168" s="167"/>
      <c r="N168" s="169"/>
      <c r="O168" s="171"/>
      <c r="P168" s="106"/>
      <c r="Q168" s="347"/>
      <c r="R168" s="106"/>
    </row>
    <row r="169" ht="29.25" customHeight="1">
      <c r="A169" s="216"/>
      <c r="B169" s="349"/>
      <c r="C169" s="350"/>
      <c r="D169" s="351"/>
      <c r="E169" s="352"/>
      <c r="F169" s="173"/>
      <c r="G169" s="168"/>
      <c r="H169" s="168"/>
      <c r="I169" s="169"/>
      <c r="J169" s="170"/>
      <c r="K169" s="170"/>
      <c r="L169" s="170"/>
      <c r="M169" s="167"/>
      <c r="N169" s="169"/>
      <c r="O169" s="171"/>
      <c r="P169" s="106"/>
      <c r="Q169" s="353"/>
      <c r="R169" s="106"/>
    </row>
    <row r="170" ht="29.25" customHeight="1">
      <c r="A170" s="216"/>
      <c r="B170" s="349"/>
      <c r="C170" s="350"/>
      <c r="D170" s="351"/>
      <c r="E170" s="340"/>
      <c r="F170" s="173"/>
      <c r="G170" s="168"/>
      <c r="H170" s="168"/>
      <c r="I170" s="169"/>
      <c r="J170" s="170"/>
      <c r="K170" s="170"/>
      <c r="L170" s="170"/>
      <c r="M170" s="167"/>
      <c r="N170" s="169"/>
      <c r="O170" s="171"/>
      <c r="P170" s="106"/>
      <c r="Q170" s="347"/>
      <c r="R170" s="106"/>
    </row>
    <row r="171" ht="29.25" customHeight="1">
      <c r="A171" s="216"/>
      <c r="B171" s="349"/>
      <c r="C171" s="350"/>
      <c r="D171" s="351"/>
      <c r="E171" s="352"/>
      <c r="F171" s="173"/>
      <c r="G171" s="168"/>
      <c r="H171" s="168"/>
      <c r="I171" s="169"/>
      <c r="J171" s="170"/>
      <c r="K171" s="170"/>
      <c r="L171" s="170"/>
      <c r="M171" s="167"/>
      <c r="N171" s="169"/>
      <c r="O171" s="171"/>
      <c r="P171" s="106"/>
      <c r="Q171" s="353"/>
      <c r="R171" s="106"/>
    </row>
    <row r="172" ht="29.25" customHeight="1">
      <c r="A172" s="216"/>
      <c r="B172" s="349"/>
      <c r="C172" s="350"/>
      <c r="D172" s="351"/>
      <c r="E172" s="340"/>
      <c r="F172" s="173"/>
      <c r="G172" s="168"/>
      <c r="H172" s="168"/>
      <c r="I172" s="169"/>
      <c r="J172" s="170"/>
      <c r="K172" s="170"/>
      <c r="L172" s="170"/>
      <c r="M172" s="167"/>
      <c r="N172" s="169"/>
      <c r="O172" s="171"/>
      <c r="P172" s="106"/>
      <c r="Q172" s="347"/>
      <c r="R172" s="106"/>
    </row>
    <row r="173" ht="29.25" customHeight="1">
      <c r="A173" s="216"/>
      <c r="B173" s="349"/>
      <c r="C173" s="350"/>
      <c r="D173" s="351"/>
      <c r="E173" s="352"/>
      <c r="F173" s="173"/>
      <c r="G173" s="168"/>
      <c r="H173" s="168"/>
      <c r="I173" s="169"/>
      <c r="J173" s="170"/>
      <c r="K173" s="170"/>
      <c r="L173" s="170"/>
      <c r="M173" s="167"/>
      <c r="N173" s="169"/>
      <c r="O173" s="171"/>
      <c r="P173" s="106"/>
      <c r="Q173" s="353"/>
      <c r="R173" s="106"/>
    </row>
    <row r="174" ht="29.25" customHeight="1">
      <c r="A174" s="216"/>
      <c r="B174" s="349"/>
      <c r="C174" s="350"/>
      <c r="D174" s="351"/>
      <c r="E174" s="340"/>
      <c r="F174" s="173"/>
      <c r="G174" s="168"/>
      <c r="H174" s="168"/>
      <c r="I174" s="169"/>
      <c r="J174" s="170"/>
      <c r="K174" s="170"/>
      <c r="L174" s="170"/>
      <c r="M174" s="167"/>
      <c r="N174" s="169"/>
      <c r="O174" s="171"/>
      <c r="P174" s="106"/>
      <c r="Q174" s="347"/>
      <c r="R174" s="106"/>
    </row>
    <row r="175" ht="29.25" customHeight="1">
      <c r="A175" s="216"/>
      <c r="B175" s="349"/>
      <c r="C175" s="350"/>
      <c r="D175" s="351"/>
      <c r="E175" s="352"/>
      <c r="F175" s="173"/>
      <c r="G175" s="168"/>
      <c r="H175" s="168"/>
      <c r="I175" s="169"/>
      <c r="J175" s="170"/>
      <c r="K175" s="170"/>
      <c r="L175" s="170"/>
      <c r="M175" s="167"/>
      <c r="N175" s="169"/>
      <c r="O175" s="171"/>
      <c r="P175" s="106"/>
      <c r="Q175" s="353"/>
      <c r="R175" s="106"/>
    </row>
    <row r="176" ht="29.25" customHeight="1">
      <c r="A176" s="216"/>
      <c r="B176" s="349"/>
      <c r="C176" s="350"/>
      <c r="D176" s="351"/>
      <c r="E176" s="340"/>
      <c r="F176" s="173"/>
      <c r="G176" s="168"/>
      <c r="H176" s="168"/>
      <c r="I176" s="169"/>
      <c r="J176" s="170"/>
      <c r="K176" s="170"/>
      <c r="L176" s="170"/>
      <c r="M176" s="167"/>
      <c r="N176" s="169"/>
      <c r="O176" s="171"/>
      <c r="P176" s="106"/>
      <c r="Q176" s="347"/>
      <c r="R176" s="106"/>
    </row>
    <row r="177" ht="29.25" customHeight="1">
      <c r="A177" s="216"/>
      <c r="B177" s="349"/>
      <c r="C177" s="350"/>
      <c r="D177" s="351"/>
      <c r="E177" s="352"/>
      <c r="F177" s="173"/>
      <c r="G177" s="168"/>
      <c r="H177" s="168"/>
      <c r="I177" s="169"/>
      <c r="J177" s="170"/>
      <c r="K177" s="170"/>
      <c r="L177" s="170"/>
      <c r="M177" s="167"/>
      <c r="N177" s="169"/>
      <c r="O177" s="171"/>
      <c r="P177" s="106"/>
      <c r="Q177" s="353"/>
      <c r="R177" s="106"/>
    </row>
    <row r="178" ht="29.25" customHeight="1">
      <c r="A178" s="216"/>
      <c r="B178" s="349"/>
      <c r="C178" s="350"/>
      <c r="D178" s="351"/>
      <c r="E178" s="340"/>
      <c r="F178" s="173"/>
      <c r="G178" s="168"/>
      <c r="H178" s="168"/>
      <c r="I178" s="169"/>
      <c r="J178" s="170"/>
      <c r="K178" s="170"/>
      <c r="L178" s="170"/>
      <c r="M178" s="167"/>
      <c r="N178" s="169"/>
      <c r="O178" s="171"/>
      <c r="P178" s="106"/>
      <c r="Q178" s="347"/>
      <c r="R178" s="106"/>
    </row>
    <row r="179" ht="29.25" customHeight="1">
      <c r="A179" s="216"/>
      <c r="B179" s="349"/>
      <c r="C179" s="350"/>
      <c r="D179" s="351"/>
      <c r="E179" s="352"/>
      <c r="F179" s="173"/>
      <c r="G179" s="168"/>
      <c r="H179" s="168"/>
      <c r="I179" s="169"/>
      <c r="J179" s="170"/>
      <c r="K179" s="170"/>
      <c r="L179" s="170"/>
      <c r="M179" s="167"/>
      <c r="N179" s="169"/>
      <c r="O179" s="171"/>
      <c r="P179" s="106"/>
      <c r="Q179" s="353"/>
      <c r="R179" s="106"/>
    </row>
    <row r="180" ht="29.25" customHeight="1">
      <c r="A180" s="216"/>
      <c r="B180" s="349"/>
      <c r="C180" s="350"/>
      <c r="D180" s="351"/>
      <c r="E180" s="340"/>
      <c r="F180" s="173"/>
      <c r="G180" s="168"/>
      <c r="H180" s="168"/>
      <c r="I180" s="169"/>
      <c r="J180" s="170"/>
      <c r="K180" s="170"/>
      <c r="L180" s="170"/>
      <c r="M180" s="167"/>
      <c r="N180" s="169"/>
      <c r="O180" s="171"/>
      <c r="P180" s="106"/>
      <c r="Q180" s="347"/>
      <c r="R180" s="106"/>
    </row>
    <row r="181" ht="29.25" customHeight="1">
      <c r="A181" s="216"/>
      <c r="B181" s="349"/>
      <c r="C181" s="350"/>
      <c r="D181" s="351"/>
      <c r="E181" s="352"/>
      <c r="F181" s="173"/>
      <c r="G181" s="168"/>
      <c r="H181" s="168"/>
      <c r="I181" s="169"/>
      <c r="J181" s="170"/>
      <c r="K181" s="170"/>
      <c r="L181" s="170"/>
      <c r="M181" s="167"/>
      <c r="N181" s="169"/>
      <c r="O181" s="171"/>
      <c r="P181" s="106"/>
      <c r="Q181" s="353"/>
      <c r="R181" s="106"/>
    </row>
    <row r="182" ht="29.25" customHeight="1">
      <c r="A182" s="216"/>
      <c r="B182" s="349"/>
      <c r="C182" s="350"/>
      <c r="D182" s="351"/>
      <c r="E182" s="340"/>
      <c r="F182" s="173"/>
      <c r="G182" s="168"/>
      <c r="H182" s="168"/>
      <c r="I182" s="169"/>
      <c r="J182" s="170"/>
      <c r="K182" s="170"/>
      <c r="L182" s="170"/>
      <c r="M182" s="167"/>
      <c r="N182" s="169"/>
      <c r="O182" s="171"/>
      <c r="P182" s="106"/>
      <c r="Q182" s="347"/>
      <c r="R182" s="106"/>
    </row>
    <row r="183" ht="29.25" customHeight="1">
      <c r="A183" s="216"/>
      <c r="B183" s="349"/>
      <c r="C183" s="350"/>
      <c r="D183" s="351"/>
      <c r="E183" s="352"/>
      <c r="F183" s="173"/>
      <c r="G183" s="168"/>
      <c r="H183" s="168"/>
      <c r="I183" s="169"/>
      <c r="J183" s="170"/>
      <c r="K183" s="170"/>
      <c r="L183" s="170"/>
      <c r="M183" s="167"/>
      <c r="N183" s="169"/>
      <c r="O183" s="171"/>
      <c r="P183" s="106"/>
      <c r="Q183" s="353"/>
      <c r="R183" s="106"/>
    </row>
    <row r="184" ht="29.25" customHeight="1">
      <c r="A184" s="216"/>
      <c r="B184" s="349"/>
      <c r="C184" s="350"/>
      <c r="D184" s="351"/>
      <c r="E184" s="340"/>
      <c r="F184" s="173"/>
      <c r="G184" s="168"/>
      <c r="H184" s="168"/>
      <c r="I184" s="169"/>
      <c r="J184" s="170"/>
      <c r="K184" s="170"/>
      <c r="L184" s="170"/>
      <c r="M184" s="167"/>
      <c r="N184" s="169"/>
      <c r="O184" s="171"/>
      <c r="P184" s="106"/>
      <c r="Q184" s="347"/>
      <c r="R184" s="106"/>
    </row>
    <row r="185" ht="29.25" customHeight="1">
      <c r="A185" s="216"/>
      <c r="B185" s="349"/>
      <c r="C185" s="350"/>
      <c r="D185" s="351"/>
      <c r="E185" s="352"/>
      <c r="F185" s="173"/>
      <c r="G185" s="168"/>
      <c r="H185" s="168"/>
      <c r="I185" s="169"/>
      <c r="J185" s="170"/>
      <c r="K185" s="170"/>
      <c r="L185" s="170"/>
      <c r="M185" s="167"/>
      <c r="N185" s="169"/>
      <c r="O185" s="171"/>
      <c r="P185" s="106"/>
      <c r="Q185" s="353"/>
      <c r="R185" s="106"/>
    </row>
    <row r="186" ht="29.25" customHeight="1">
      <c r="A186" s="216"/>
      <c r="B186" s="349"/>
      <c r="C186" s="350"/>
      <c r="D186" s="351"/>
      <c r="E186" s="340"/>
      <c r="F186" s="173"/>
      <c r="G186" s="168"/>
      <c r="H186" s="168"/>
      <c r="I186" s="169"/>
      <c r="J186" s="170"/>
      <c r="K186" s="170"/>
      <c r="L186" s="170"/>
      <c r="M186" s="167"/>
      <c r="N186" s="169"/>
      <c r="O186" s="171"/>
      <c r="P186" s="106"/>
      <c r="Q186" s="347"/>
      <c r="R186" s="106"/>
    </row>
    <row r="187" ht="29.25" customHeight="1">
      <c r="A187" s="216"/>
      <c r="B187" s="349"/>
      <c r="C187" s="350"/>
      <c r="D187" s="351"/>
      <c r="E187" s="352"/>
      <c r="F187" s="173"/>
      <c r="G187" s="168"/>
      <c r="H187" s="168"/>
      <c r="I187" s="169"/>
      <c r="J187" s="170"/>
      <c r="K187" s="170"/>
      <c r="L187" s="170"/>
      <c r="M187" s="167"/>
      <c r="N187" s="169"/>
      <c r="O187" s="171"/>
      <c r="P187" s="106"/>
      <c r="Q187" s="353"/>
      <c r="R187" s="106"/>
    </row>
    <row r="188" ht="29.25" customHeight="1">
      <c r="A188" s="216"/>
      <c r="B188" s="349"/>
      <c r="C188" s="350"/>
      <c r="D188" s="351"/>
      <c r="E188" s="340"/>
      <c r="F188" s="173"/>
      <c r="G188" s="168"/>
      <c r="H188" s="168"/>
      <c r="I188" s="169"/>
      <c r="J188" s="170"/>
      <c r="K188" s="170"/>
      <c r="L188" s="170"/>
      <c r="M188" s="167"/>
      <c r="N188" s="169"/>
      <c r="O188" s="171"/>
      <c r="P188" s="106"/>
      <c r="Q188" s="347"/>
      <c r="R188" s="106"/>
    </row>
    <row r="189" ht="29.25" customHeight="1">
      <c r="A189" s="216"/>
      <c r="B189" s="349"/>
      <c r="C189" s="350"/>
      <c r="D189" s="351"/>
      <c r="E189" s="352"/>
      <c r="F189" s="173"/>
      <c r="G189" s="168"/>
      <c r="H189" s="168"/>
      <c r="I189" s="169"/>
      <c r="J189" s="170"/>
      <c r="K189" s="170"/>
      <c r="L189" s="170"/>
      <c r="M189" s="167"/>
      <c r="N189" s="169"/>
      <c r="O189" s="171"/>
      <c r="P189" s="106"/>
      <c r="Q189" s="353"/>
      <c r="R189" s="106"/>
    </row>
    <row r="190" ht="29.25" customHeight="1">
      <c r="A190" s="216"/>
      <c r="B190" s="349"/>
      <c r="C190" s="350"/>
      <c r="D190" s="351"/>
      <c r="E190" s="340"/>
      <c r="F190" s="173"/>
      <c r="G190" s="168"/>
      <c r="H190" s="168"/>
      <c r="I190" s="169"/>
      <c r="J190" s="170"/>
      <c r="K190" s="170"/>
      <c r="L190" s="170"/>
      <c r="M190" s="167"/>
      <c r="N190" s="169"/>
      <c r="O190" s="171"/>
      <c r="P190" s="106"/>
      <c r="Q190" s="347"/>
      <c r="R190" s="106"/>
    </row>
    <row r="191" ht="29.25" customHeight="1">
      <c r="A191" s="216"/>
      <c r="B191" s="349"/>
      <c r="C191" s="350"/>
      <c r="D191" s="351"/>
      <c r="E191" s="352"/>
      <c r="F191" s="173"/>
      <c r="G191" s="168"/>
      <c r="H191" s="168"/>
      <c r="I191" s="169"/>
      <c r="J191" s="170"/>
      <c r="K191" s="170"/>
      <c r="L191" s="170"/>
      <c r="M191" s="167"/>
      <c r="N191" s="169"/>
      <c r="O191" s="171"/>
      <c r="P191" s="106"/>
      <c r="Q191" s="353"/>
      <c r="R191" s="106"/>
    </row>
    <row r="192" ht="29.25" customHeight="1">
      <c r="A192" s="216"/>
      <c r="B192" s="349"/>
      <c r="C192" s="350"/>
      <c r="D192" s="351"/>
      <c r="E192" s="340"/>
      <c r="F192" s="173"/>
      <c r="G192" s="168"/>
      <c r="H192" s="168"/>
      <c r="I192" s="169"/>
      <c r="J192" s="170"/>
      <c r="K192" s="170"/>
      <c r="L192" s="170"/>
      <c r="M192" s="167"/>
      <c r="N192" s="169"/>
      <c r="O192" s="171"/>
      <c r="P192" s="106"/>
      <c r="Q192" s="347"/>
      <c r="R192" s="106"/>
    </row>
    <row r="193" ht="29.25" customHeight="1">
      <c r="A193" s="216"/>
      <c r="B193" s="349"/>
      <c r="C193" s="350"/>
      <c r="D193" s="351"/>
      <c r="E193" s="352"/>
      <c r="F193" s="173"/>
      <c r="G193" s="168"/>
      <c r="H193" s="168"/>
      <c r="I193" s="169"/>
      <c r="J193" s="170"/>
      <c r="K193" s="170"/>
      <c r="L193" s="170"/>
      <c r="M193" s="167"/>
      <c r="N193" s="169"/>
      <c r="O193" s="171"/>
      <c r="P193" s="106"/>
      <c r="Q193" s="353"/>
      <c r="R193" s="106"/>
    </row>
    <row r="194" ht="29.25" customHeight="1">
      <c r="A194" s="216"/>
      <c r="B194" s="349"/>
      <c r="C194" s="350"/>
      <c r="D194" s="351"/>
      <c r="E194" s="340"/>
      <c r="F194" s="173"/>
      <c r="G194" s="168"/>
      <c r="H194" s="168"/>
      <c r="I194" s="169"/>
      <c r="J194" s="170"/>
      <c r="K194" s="170"/>
      <c r="L194" s="170"/>
      <c r="M194" s="167"/>
      <c r="N194" s="169"/>
      <c r="O194" s="171"/>
      <c r="P194" s="106"/>
      <c r="Q194" s="347"/>
      <c r="R194" s="106"/>
    </row>
    <row r="195" ht="29.25" customHeight="1">
      <c r="A195" s="216"/>
      <c r="B195" s="349"/>
      <c r="C195" s="350"/>
      <c r="D195" s="351"/>
      <c r="E195" s="352"/>
      <c r="F195" s="173"/>
      <c r="G195" s="168"/>
      <c r="H195" s="168"/>
      <c r="I195" s="169"/>
      <c r="J195" s="170"/>
      <c r="K195" s="170"/>
      <c r="L195" s="170"/>
      <c r="M195" s="167"/>
      <c r="N195" s="169"/>
      <c r="O195" s="171"/>
      <c r="P195" s="106"/>
      <c r="Q195" s="353"/>
      <c r="R195" s="106"/>
    </row>
    <row r="196" ht="29.25" customHeight="1">
      <c r="A196" s="216"/>
      <c r="B196" s="349"/>
      <c r="C196" s="350"/>
      <c r="D196" s="351"/>
      <c r="E196" s="340"/>
      <c r="F196" s="173"/>
      <c r="G196" s="168"/>
      <c r="H196" s="168"/>
      <c r="I196" s="169"/>
      <c r="J196" s="170"/>
      <c r="K196" s="170"/>
      <c r="L196" s="170"/>
      <c r="M196" s="167"/>
      <c r="N196" s="169"/>
      <c r="O196" s="171"/>
      <c r="P196" s="106"/>
      <c r="Q196" s="347"/>
      <c r="R196" s="106"/>
    </row>
    <row r="197" ht="29.25" customHeight="1">
      <c r="A197" s="216"/>
      <c r="B197" s="349"/>
      <c r="C197" s="350"/>
      <c r="D197" s="351"/>
      <c r="E197" s="352"/>
      <c r="F197" s="173"/>
      <c r="G197" s="168"/>
      <c r="H197" s="168"/>
      <c r="I197" s="169"/>
      <c r="J197" s="170"/>
      <c r="K197" s="170"/>
      <c r="L197" s="170"/>
      <c r="M197" s="167"/>
      <c r="N197" s="169"/>
      <c r="O197" s="171"/>
      <c r="P197" s="106"/>
      <c r="Q197" s="353"/>
      <c r="R197" s="106"/>
    </row>
    <row r="198" ht="29.25" customHeight="1">
      <c r="A198" s="216"/>
      <c r="B198" s="349"/>
      <c r="C198" s="350"/>
      <c r="D198" s="351"/>
      <c r="E198" s="340"/>
      <c r="F198" s="173"/>
      <c r="G198" s="168"/>
      <c r="H198" s="168"/>
      <c r="I198" s="169"/>
      <c r="J198" s="170"/>
      <c r="K198" s="170"/>
      <c r="L198" s="170"/>
      <c r="M198" s="167"/>
      <c r="N198" s="169"/>
      <c r="O198" s="171"/>
      <c r="P198" s="106"/>
      <c r="Q198" s="347"/>
      <c r="R198" s="106"/>
    </row>
    <row r="199" ht="29.25" customHeight="1">
      <c r="A199" s="216"/>
      <c r="B199" s="349"/>
      <c r="C199" s="350"/>
      <c r="D199" s="351"/>
      <c r="E199" s="352"/>
      <c r="F199" s="173"/>
      <c r="G199" s="168"/>
      <c r="H199" s="168"/>
      <c r="I199" s="169"/>
      <c r="J199" s="170"/>
      <c r="K199" s="170"/>
      <c r="L199" s="170"/>
      <c r="M199" s="167"/>
      <c r="N199" s="169"/>
      <c r="O199" s="171"/>
      <c r="P199" s="106"/>
      <c r="Q199" s="353"/>
      <c r="R199" s="106"/>
    </row>
    <row r="200" ht="29.25" customHeight="1">
      <c r="A200" s="216"/>
      <c r="B200" s="349"/>
      <c r="C200" s="350"/>
      <c r="D200" s="351"/>
      <c r="E200" s="340"/>
      <c r="F200" s="173"/>
      <c r="G200" s="168"/>
      <c r="H200" s="168"/>
      <c r="I200" s="169"/>
      <c r="J200" s="170"/>
      <c r="K200" s="170"/>
      <c r="L200" s="170"/>
      <c r="M200" s="167"/>
      <c r="N200" s="169"/>
      <c r="O200" s="171"/>
      <c r="P200" s="106"/>
      <c r="Q200" s="347"/>
      <c r="R200" s="106"/>
    </row>
    <row r="201" ht="29.25" customHeight="1">
      <c r="A201" s="216"/>
      <c r="B201" s="349"/>
      <c r="C201" s="350"/>
      <c r="D201" s="351"/>
      <c r="E201" s="352"/>
      <c r="F201" s="173"/>
      <c r="G201" s="168"/>
      <c r="H201" s="168"/>
      <c r="I201" s="169"/>
      <c r="J201" s="170"/>
      <c r="K201" s="170"/>
      <c r="L201" s="170"/>
      <c r="M201" s="167"/>
      <c r="N201" s="169"/>
      <c r="O201" s="171"/>
      <c r="P201" s="106"/>
      <c r="Q201" s="353"/>
      <c r="R201" s="106"/>
    </row>
    <row r="202" ht="29.25" customHeight="1">
      <c r="A202" s="216"/>
      <c r="B202" s="349"/>
      <c r="C202" s="350"/>
      <c r="D202" s="351"/>
      <c r="E202" s="340"/>
      <c r="F202" s="173"/>
      <c r="G202" s="168"/>
      <c r="H202" s="168"/>
      <c r="I202" s="169"/>
      <c r="J202" s="170"/>
      <c r="K202" s="170"/>
      <c r="L202" s="170"/>
      <c r="M202" s="167"/>
      <c r="N202" s="169"/>
      <c r="O202" s="171"/>
      <c r="P202" s="106"/>
      <c r="Q202" s="347"/>
      <c r="R202" s="106"/>
    </row>
    <row r="203" ht="29.25" customHeight="1">
      <c r="A203" s="216"/>
      <c r="B203" s="349"/>
      <c r="C203" s="350"/>
      <c r="D203" s="351"/>
      <c r="E203" s="352"/>
      <c r="F203" s="173"/>
      <c r="G203" s="168"/>
      <c r="H203" s="168"/>
      <c r="I203" s="169"/>
      <c r="J203" s="170"/>
      <c r="K203" s="170"/>
      <c r="L203" s="170"/>
      <c r="M203" s="167"/>
      <c r="N203" s="169"/>
      <c r="O203" s="171"/>
      <c r="P203" s="106"/>
      <c r="Q203" s="353"/>
      <c r="R203" s="106"/>
    </row>
    <row r="204" ht="29.25" customHeight="1">
      <c r="A204" s="216"/>
      <c r="B204" s="349"/>
      <c r="C204" s="350"/>
      <c r="D204" s="351"/>
      <c r="E204" s="340"/>
      <c r="F204" s="173"/>
      <c r="G204" s="168"/>
      <c r="H204" s="168"/>
      <c r="I204" s="169"/>
      <c r="J204" s="170"/>
      <c r="K204" s="170"/>
      <c r="L204" s="170"/>
      <c r="M204" s="167"/>
      <c r="N204" s="169"/>
      <c r="O204" s="171"/>
      <c r="P204" s="106"/>
      <c r="Q204" s="347"/>
      <c r="R204" s="106"/>
    </row>
    <row r="205" ht="29.25" customHeight="1">
      <c r="A205" s="216"/>
      <c r="B205" s="349"/>
      <c r="C205" s="350"/>
      <c r="D205" s="351"/>
      <c r="E205" s="352"/>
      <c r="F205" s="173"/>
      <c r="G205" s="168"/>
      <c r="H205" s="168"/>
      <c r="I205" s="169"/>
      <c r="J205" s="170"/>
      <c r="K205" s="170"/>
      <c r="L205" s="170"/>
      <c r="M205" s="167"/>
      <c r="N205" s="169"/>
      <c r="O205" s="171"/>
      <c r="P205" s="106"/>
      <c r="Q205" s="353"/>
      <c r="R205" s="106"/>
    </row>
    <row r="206" ht="29.25" customHeight="1">
      <c r="A206" s="216"/>
      <c r="B206" s="349"/>
      <c r="C206" s="350"/>
      <c r="D206" s="351"/>
      <c r="E206" s="340"/>
      <c r="F206" s="173"/>
      <c r="G206" s="168"/>
      <c r="H206" s="168"/>
      <c r="I206" s="169"/>
      <c r="J206" s="170"/>
      <c r="K206" s="170"/>
      <c r="L206" s="170"/>
      <c r="M206" s="167"/>
      <c r="N206" s="169"/>
      <c r="O206" s="171"/>
      <c r="P206" s="106"/>
      <c r="Q206" s="347"/>
      <c r="R206" s="106"/>
    </row>
    <row r="207" ht="29.25" customHeight="1">
      <c r="A207" s="216"/>
      <c r="B207" s="349"/>
      <c r="C207" s="350"/>
      <c r="D207" s="351"/>
      <c r="E207" s="352"/>
      <c r="F207" s="173"/>
      <c r="G207" s="168"/>
      <c r="H207" s="168"/>
      <c r="I207" s="169"/>
      <c r="J207" s="170"/>
      <c r="K207" s="170"/>
      <c r="L207" s="170"/>
      <c r="M207" s="167"/>
      <c r="N207" s="169"/>
      <c r="O207" s="171"/>
      <c r="P207" s="106"/>
      <c r="Q207" s="353"/>
      <c r="R207" s="106"/>
    </row>
    <row r="208" ht="29.25" customHeight="1">
      <c r="A208" s="216"/>
      <c r="B208" s="349"/>
      <c r="C208" s="350"/>
      <c r="D208" s="351"/>
      <c r="E208" s="340"/>
      <c r="F208" s="173"/>
      <c r="G208" s="168"/>
      <c r="H208" s="168"/>
      <c r="I208" s="169"/>
      <c r="J208" s="170"/>
      <c r="K208" s="170"/>
      <c r="L208" s="170"/>
      <c r="M208" s="167"/>
      <c r="N208" s="169"/>
      <c r="O208" s="171"/>
      <c r="P208" s="106"/>
      <c r="Q208" s="347"/>
      <c r="R208" s="106"/>
    </row>
    <row r="209" ht="29.25" customHeight="1">
      <c r="A209" s="216"/>
      <c r="B209" s="349"/>
      <c r="C209" s="350"/>
      <c r="D209" s="351"/>
      <c r="E209" s="352"/>
      <c r="F209" s="173"/>
      <c r="G209" s="168"/>
      <c r="H209" s="168"/>
      <c r="I209" s="169"/>
      <c r="J209" s="170"/>
      <c r="K209" s="170"/>
      <c r="L209" s="170"/>
      <c r="M209" s="167"/>
      <c r="N209" s="169"/>
      <c r="O209" s="171"/>
      <c r="P209" s="106"/>
      <c r="Q209" s="353"/>
      <c r="R209" s="106"/>
    </row>
    <row r="210" ht="29.25" customHeight="1">
      <c r="A210" s="216"/>
      <c r="B210" s="349"/>
      <c r="C210" s="350"/>
      <c r="D210" s="351"/>
      <c r="E210" s="340"/>
      <c r="F210" s="173"/>
      <c r="G210" s="168"/>
      <c r="H210" s="168"/>
      <c r="I210" s="169"/>
      <c r="J210" s="170"/>
      <c r="K210" s="170"/>
      <c r="L210" s="170"/>
      <c r="M210" s="167"/>
      <c r="N210" s="169"/>
      <c r="O210" s="171"/>
      <c r="P210" s="106"/>
      <c r="Q210" s="347"/>
      <c r="R210" s="106"/>
    </row>
    <row r="211" ht="29.25" customHeight="1">
      <c r="A211" s="216"/>
      <c r="B211" s="349"/>
      <c r="C211" s="350"/>
      <c r="D211" s="351"/>
      <c r="E211" s="352"/>
      <c r="F211" s="173"/>
      <c r="G211" s="168"/>
      <c r="H211" s="168"/>
      <c r="I211" s="169"/>
      <c r="J211" s="170"/>
      <c r="K211" s="170"/>
      <c r="L211" s="170"/>
      <c r="M211" s="167"/>
      <c r="N211" s="169"/>
      <c r="O211" s="171"/>
      <c r="P211" s="106"/>
      <c r="Q211" s="353"/>
      <c r="R211" s="106"/>
    </row>
    <row r="212" ht="29.25" customHeight="1">
      <c r="A212" s="216"/>
      <c r="B212" s="349"/>
      <c r="C212" s="350"/>
      <c r="D212" s="351"/>
      <c r="E212" s="340"/>
      <c r="F212" s="173"/>
      <c r="G212" s="168"/>
      <c r="H212" s="168"/>
      <c r="I212" s="169"/>
      <c r="J212" s="170"/>
      <c r="K212" s="170"/>
      <c r="L212" s="170"/>
      <c r="M212" s="167"/>
      <c r="N212" s="169"/>
      <c r="O212" s="171"/>
      <c r="P212" s="106"/>
      <c r="Q212" s="347"/>
      <c r="R212" s="106"/>
    </row>
    <row r="213" ht="29.25" customHeight="1">
      <c r="A213" s="216"/>
      <c r="B213" s="349"/>
      <c r="C213" s="350"/>
      <c r="D213" s="351"/>
      <c r="E213" s="352"/>
      <c r="F213" s="173"/>
      <c r="G213" s="168"/>
      <c r="H213" s="168"/>
      <c r="I213" s="169"/>
      <c r="J213" s="170"/>
      <c r="K213" s="170"/>
      <c r="L213" s="170"/>
      <c r="M213" s="167"/>
      <c r="N213" s="169"/>
      <c r="O213" s="171"/>
      <c r="P213" s="106"/>
      <c r="Q213" s="353"/>
      <c r="R213" s="106"/>
    </row>
    <row r="214" ht="29.25" customHeight="1">
      <c r="A214" s="216"/>
      <c r="B214" s="349"/>
      <c r="C214" s="350"/>
      <c r="D214" s="351"/>
      <c r="E214" s="340"/>
      <c r="F214" s="173"/>
      <c r="G214" s="168"/>
      <c r="H214" s="168"/>
      <c r="I214" s="169"/>
      <c r="J214" s="170"/>
      <c r="K214" s="170"/>
      <c r="L214" s="170"/>
      <c r="M214" s="167"/>
      <c r="N214" s="169"/>
      <c r="O214" s="171"/>
      <c r="P214" s="106"/>
      <c r="Q214" s="347"/>
      <c r="R214" s="106"/>
    </row>
    <row r="215" ht="29.25" customHeight="1">
      <c r="A215" s="216"/>
      <c r="B215" s="349"/>
      <c r="C215" s="350"/>
      <c r="D215" s="351"/>
      <c r="E215" s="352"/>
      <c r="F215" s="173"/>
      <c r="G215" s="168"/>
      <c r="H215" s="168"/>
      <c r="I215" s="169"/>
      <c r="J215" s="170"/>
      <c r="K215" s="170"/>
      <c r="L215" s="170"/>
      <c r="M215" s="167"/>
      <c r="N215" s="169"/>
      <c r="O215" s="171"/>
      <c r="P215" s="106"/>
      <c r="Q215" s="353"/>
      <c r="R215" s="106"/>
    </row>
    <row r="216" ht="29.25" customHeight="1">
      <c r="A216" s="216"/>
      <c r="B216" s="349"/>
      <c r="C216" s="350"/>
      <c r="D216" s="351"/>
      <c r="E216" s="340"/>
      <c r="F216" s="173"/>
      <c r="G216" s="168"/>
      <c r="H216" s="168"/>
      <c r="I216" s="169"/>
      <c r="J216" s="170"/>
      <c r="K216" s="170"/>
      <c r="L216" s="170"/>
      <c r="M216" s="167"/>
      <c r="N216" s="169"/>
      <c r="O216" s="171"/>
      <c r="P216" s="106"/>
      <c r="Q216" s="347"/>
      <c r="R216" s="106"/>
    </row>
    <row r="217" ht="29.25" customHeight="1">
      <c r="A217" s="216"/>
      <c r="B217" s="349"/>
      <c r="C217" s="350"/>
      <c r="D217" s="351"/>
      <c r="E217" s="352"/>
      <c r="F217" s="173"/>
      <c r="G217" s="168"/>
      <c r="H217" s="168"/>
      <c r="I217" s="169"/>
      <c r="J217" s="170"/>
      <c r="K217" s="170"/>
      <c r="L217" s="170"/>
      <c r="M217" s="167"/>
      <c r="N217" s="169"/>
      <c r="O217" s="171"/>
      <c r="P217" s="106"/>
      <c r="Q217" s="353"/>
      <c r="R217" s="106"/>
    </row>
    <row r="218" ht="29.25" customHeight="1">
      <c r="A218" s="216"/>
      <c r="B218" s="349"/>
      <c r="C218" s="350"/>
      <c r="D218" s="351"/>
      <c r="E218" s="340"/>
      <c r="F218" s="173"/>
      <c r="G218" s="168"/>
      <c r="H218" s="168"/>
      <c r="I218" s="169"/>
      <c r="J218" s="170"/>
      <c r="K218" s="170"/>
      <c r="L218" s="170"/>
      <c r="M218" s="167"/>
      <c r="N218" s="169"/>
      <c r="O218" s="171"/>
      <c r="P218" s="106"/>
      <c r="Q218" s="347"/>
      <c r="R218" s="106"/>
    </row>
    <row r="219" ht="29.25" customHeight="1">
      <c r="A219" s="216"/>
      <c r="B219" s="349"/>
      <c r="C219" s="350"/>
      <c r="D219" s="351"/>
      <c r="E219" s="352"/>
      <c r="F219" s="173"/>
      <c r="G219" s="168"/>
      <c r="H219" s="168"/>
      <c r="I219" s="169"/>
      <c r="J219" s="170"/>
      <c r="K219" s="170"/>
      <c r="L219" s="170"/>
      <c r="M219" s="167"/>
      <c r="N219" s="169"/>
      <c r="O219" s="171"/>
      <c r="P219" s="106"/>
      <c r="Q219" s="353"/>
      <c r="R219" s="106"/>
    </row>
    <row r="220" ht="29.25" customHeight="1">
      <c r="A220" s="216"/>
      <c r="B220" s="349"/>
      <c r="C220" s="350"/>
      <c r="D220" s="351"/>
      <c r="E220" s="340"/>
      <c r="F220" s="173"/>
      <c r="G220" s="168"/>
      <c r="H220" s="168"/>
      <c r="I220" s="169"/>
      <c r="J220" s="170"/>
      <c r="K220" s="170"/>
      <c r="L220" s="170"/>
      <c r="M220" s="167"/>
      <c r="N220" s="169"/>
      <c r="O220" s="171"/>
      <c r="P220" s="106"/>
      <c r="Q220" s="347"/>
      <c r="R220" s="106"/>
    </row>
    <row r="221" ht="29.25" customHeight="1">
      <c r="A221" s="216"/>
      <c r="B221" s="349"/>
      <c r="C221" s="350"/>
      <c r="D221" s="351"/>
      <c r="E221" s="352"/>
      <c r="F221" s="173"/>
      <c r="G221" s="168"/>
      <c r="H221" s="168"/>
      <c r="I221" s="169"/>
      <c r="J221" s="170"/>
      <c r="K221" s="170"/>
      <c r="L221" s="170"/>
      <c r="M221" s="167"/>
      <c r="N221" s="169"/>
      <c r="O221" s="171"/>
      <c r="P221" s="106"/>
      <c r="Q221" s="353"/>
      <c r="R221" s="106"/>
    </row>
    <row r="222" ht="29.25" customHeight="1">
      <c r="A222" s="216"/>
      <c r="B222" s="349"/>
      <c r="C222" s="350"/>
      <c r="D222" s="351"/>
      <c r="E222" s="340"/>
      <c r="F222" s="173"/>
      <c r="G222" s="168"/>
      <c r="H222" s="168"/>
      <c r="I222" s="169"/>
      <c r="J222" s="170"/>
      <c r="K222" s="170"/>
      <c r="L222" s="170"/>
      <c r="M222" s="167"/>
      <c r="N222" s="169"/>
      <c r="O222" s="171"/>
      <c r="P222" s="106"/>
      <c r="Q222" s="347"/>
      <c r="R222" s="106"/>
    </row>
    <row r="223" ht="29.25" customHeight="1">
      <c r="A223" s="216"/>
      <c r="B223" s="349"/>
      <c r="C223" s="350"/>
      <c r="D223" s="351"/>
      <c r="E223" s="352"/>
      <c r="F223" s="173"/>
      <c r="G223" s="168"/>
      <c r="H223" s="168"/>
      <c r="I223" s="169"/>
      <c r="J223" s="170"/>
      <c r="K223" s="170"/>
      <c r="L223" s="170"/>
      <c r="M223" s="167"/>
      <c r="N223" s="169"/>
      <c r="O223" s="171"/>
      <c r="P223" s="106"/>
      <c r="Q223" s="353"/>
      <c r="R223" s="106"/>
    </row>
    <row r="224" ht="29.25" customHeight="1">
      <c r="A224" s="216"/>
      <c r="B224" s="349"/>
      <c r="C224" s="350"/>
      <c r="D224" s="351"/>
      <c r="E224" s="340"/>
      <c r="F224" s="173"/>
      <c r="G224" s="168"/>
      <c r="H224" s="168"/>
      <c r="I224" s="169"/>
      <c r="J224" s="170"/>
      <c r="K224" s="170"/>
      <c r="L224" s="170"/>
      <c r="M224" s="167"/>
      <c r="N224" s="169"/>
      <c r="O224" s="171"/>
      <c r="P224" s="106"/>
      <c r="Q224" s="347"/>
      <c r="R224" s="106"/>
    </row>
    <row r="225" ht="29.25" customHeight="1">
      <c r="A225" s="216"/>
      <c r="B225" s="349"/>
      <c r="C225" s="350"/>
      <c r="D225" s="351"/>
      <c r="E225" s="352"/>
      <c r="F225" s="173"/>
      <c r="G225" s="168"/>
      <c r="H225" s="168"/>
      <c r="I225" s="169"/>
      <c r="J225" s="170"/>
      <c r="K225" s="170"/>
      <c r="L225" s="170"/>
      <c r="M225" s="167"/>
      <c r="N225" s="169"/>
      <c r="O225" s="171"/>
      <c r="P225" s="106"/>
      <c r="Q225" s="353"/>
      <c r="R225" s="106"/>
    </row>
    <row r="226" ht="29.25" customHeight="1">
      <c r="A226" s="216"/>
      <c r="B226" s="349"/>
      <c r="C226" s="350"/>
      <c r="D226" s="351"/>
      <c r="E226" s="340"/>
      <c r="F226" s="173"/>
      <c r="G226" s="168"/>
      <c r="H226" s="168"/>
      <c r="I226" s="169"/>
      <c r="J226" s="170"/>
      <c r="K226" s="170"/>
      <c r="L226" s="170"/>
      <c r="M226" s="167"/>
      <c r="N226" s="169"/>
      <c r="O226" s="171"/>
      <c r="P226" s="106"/>
      <c r="Q226" s="347"/>
      <c r="R226" s="106"/>
    </row>
    <row r="227" ht="29.25" customHeight="1">
      <c r="A227" s="216"/>
      <c r="B227" s="349"/>
      <c r="C227" s="350"/>
      <c r="D227" s="351"/>
      <c r="E227" s="352"/>
      <c r="F227" s="173"/>
      <c r="G227" s="168"/>
      <c r="H227" s="168"/>
      <c r="I227" s="169"/>
      <c r="J227" s="170"/>
      <c r="K227" s="170"/>
      <c r="L227" s="170"/>
      <c r="M227" s="167"/>
      <c r="N227" s="169"/>
      <c r="O227" s="171"/>
      <c r="P227" s="106"/>
      <c r="Q227" s="353"/>
      <c r="R227" s="106"/>
    </row>
    <row r="228" ht="29.25" customHeight="1">
      <c r="A228" s="216"/>
      <c r="B228" s="349"/>
      <c r="C228" s="350"/>
      <c r="D228" s="351"/>
      <c r="E228" s="340"/>
      <c r="F228" s="173"/>
      <c r="G228" s="168"/>
      <c r="H228" s="168"/>
      <c r="I228" s="169"/>
      <c r="J228" s="170"/>
      <c r="K228" s="170"/>
      <c r="L228" s="170"/>
      <c r="M228" s="167"/>
      <c r="N228" s="169"/>
      <c r="O228" s="171"/>
      <c r="P228" s="106"/>
      <c r="Q228" s="347"/>
      <c r="R228" s="106"/>
    </row>
    <row r="229" ht="29.25" customHeight="1">
      <c r="A229" s="216"/>
      <c r="B229" s="349"/>
      <c r="C229" s="350"/>
      <c r="D229" s="351"/>
      <c r="E229" s="352"/>
      <c r="F229" s="173"/>
      <c r="G229" s="168"/>
      <c r="H229" s="168"/>
      <c r="I229" s="169"/>
      <c r="J229" s="170"/>
      <c r="K229" s="170"/>
      <c r="L229" s="170"/>
      <c r="M229" s="167"/>
      <c r="N229" s="169"/>
      <c r="O229" s="171"/>
      <c r="P229" s="106"/>
      <c r="Q229" s="353"/>
      <c r="R229" s="106"/>
    </row>
    <row r="230" ht="29.25" customHeight="1">
      <c r="A230" s="216"/>
      <c r="B230" s="349"/>
      <c r="C230" s="350"/>
      <c r="D230" s="351"/>
      <c r="E230" s="340"/>
      <c r="F230" s="173"/>
      <c r="G230" s="168"/>
      <c r="H230" s="168"/>
      <c r="I230" s="169"/>
      <c r="J230" s="170"/>
      <c r="K230" s="170"/>
      <c r="L230" s="170"/>
      <c r="M230" s="167"/>
      <c r="N230" s="169"/>
      <c r="O230" s="171"/>
      <c r="P230" s="106"/>
      <c r="Q230" s="347"/>
      <c r="R230" s="106"/>
    </row>
    <row r="231" ht="29.25" customHeight="1">
      <c r="A231" s="216"/>
      <c r="B231" s="349"/>
      <c r="C231" s="350"/>
      <c r="D231" s="351"/>
      <c r="E231" s="352"/>
      <c r="F231" s="173"/>
      <c r="G231" s="168"/>
      <c r="H231" s="168"/>
      <c r="I231" s="169"/>
      <c r="J231" s="170"/>
      <c r="K231" s="170"/>
      <c r="L231" s="170"/>
      <c r="M231" s="167"/>
      <c r="N231" s="169"/>
      <c r="O231" s="171"/>
      <c r="P231" s="106"/>
      <c r="Q231" s="353"/>
      <c r="R231" s="106"/>
    </row>
    <row r="232" ht="29.25" customHeight="1">
      <c r="A232" s="216"/>
      <c r="B232" s="349"/>
      <c r="C232" s="350"/>
      <c r="D232" s="351"/>
      <c r="E232" s="340"/>
      <c r="F232" s="173"/>
      <c r="G232" s="168"/>
      <c r="H232" s="168"/>
      <c r="I232" s="169"/>
      <c r="J232" s="170"/>
      <c r="K232" s="170"/>
      <c r="L232" s="170"/>
      <c r="M232" s="167"/>
      <c r="N232" s="169"/>
      <c r="O232" s="171"/>
      <c r="P232" s="106"/>
      <c r="Q232" s="347"/>
      <c r="R232" s="106"/>
    </row>
    <row r="233" ht="29.25" customHeight="1">
      <c r="A233" s="216"/>
      <c r="B233" s="349"/>
      <c r="C233" s="350"/>
      <c r="D233" s="351"/>
      <c r="E233" s="352"/>
      <c r="F233" s="173"/>
      <c r="G233" s="168"/>
      <c r="H233" s="168"/>
      <c r="I233" s="169"/>
      <c r="J233" s="170"/>
      <c r="K233" s="170"/>
      <c r="L233" s="170"/>
      <c r="M233" s="167"/>
      <c r="N233" s="169"/>
      <c r="O233" s="171"/>
      <c r="P233" s="106"/>
      <c r="Q233" s="353"/>
      <c r="R233" s="106"/>
    </row>
    <row r="234" ht="29.25" customHeight="1">
      <c r="A234" s="216"/>
      <c r="B234" s="349"/>
      <c r="C234" s="350"/>
      <c r="D234" s="351"/>
      <c r="E234" s="340"/>
      <c r="F234" s="173"/>
      <c r="G234" s="168"/>
      <c r="H234" s="168"/>
      <c r="I234" s="169"/>
      <c r="J234" s="170"/>
      <c r="K234" s="170"/>
      <c r="L234" s="170"/>
      <c r="M234" s="167"/>
      <c r="N234" s="169"/>
      <c r="O234" s="171"/>
      <c r="P234" s="106"/>
      <c r="Q234" s="347"/>
      <c r="R234" s="106"/>
    </row>
    <row r="235" ht="29.25" customHeight="1">
      <c r="A235" s="216"/>
      <c r="B235" s="349"/>
      <c r="C235" s="350"/>
      <c r="D235" s="351"/>
      <c r="E235" s="352"/>
      <c r="F235" s="173"/>
      <c r="G235" s="168"/>
      <c r="H235" s="168"/>
      <c r="I235" s="169"/>
      <c r="J235" s="170"/>
      <c r="K235" s="170"/>
      <c r="L235" s="170"/>
      <c r="M235" s="167"/>
      <c r="N235" s="169"/>
      <c r="O235" s="171"/>
      <c r="P235" s="106"/>
      <c r="Q235" s="353"/>
      <c r="R235" s="106"/>
    </row>
    <row r="236" ht="29.25" customHeight="1">
      <c r="A236" s="216"/>
      <c r="B236" s="349"/>
      <c r="C236" s="350"/>
      <c r="D236" s="351"/>
      <c r="E236" s="340"/>
      <c r="F236" s="173"/>
      <c r="G236" s="168"/>
      <c r="H236" s="168"/>
      <c r="I236" s="169"/>
      <c r="J236" s="170"/>
      <c r="K236" s="170"/>
      <c r="L236" s="170"/>
      <c r="M236" s="167"/>
      <c r="N236" s="169"/>
      <c r="O236" s="171"/>
      <c r="P236" s="106"/>
      <c r="Q236" s="347"/>
      <c r="R236" s="106"/>
    </row>
    <row r="237" ht="29.25" customHeight="1">
      <c r="A237" s="216"/>
      <c r="B237" s="349"/>
      <c r="C237" s="350"/>
      <c r="D237" s="351"/>
      <c r="E237" s="352"/>
      <c r="F237" s="173"/>
      <c r="G237" s="168"/>
      <c r="H237" s="168"/>
      <c r="I237" s="169"/>
      <c r="J237" s="170"/>
      <c r="K237" s="170"/>
      <c r="L237" s="170"/>
      <c r="M237" s="167"/>
      <c r="N237" s="169"/>
      <c r="O237" s="171"/>
      <c r="P237" s="106"/>
      <c r="Q237" s="353"/>
      <c r="R237" s="106"/>
    </row>
    <row r="238" ht="29.25" customHeight="1">
      <c r="A238" s="216"/>
      <c r="B238" s="349"/>
      <c r="C238" s="350"/>
      <c r="D238" s="351"/>
      <c r="E238" s="340"/>
      <c r="F238" s="173"/>
      <c r="G238" s="168"/>
      <c r="H238" s="168"/>
      <c r="I238" s="169"/>
      <c r="J238" s="170"/>
      <c r="K238" s="170"/>
      <c r="L238" s="170"/>
      <c r="M238" s="167"/>
      <c r="N238" s="169"/>
      <c r="O238" s="171"/>
      <c r="P238" s="106"/>
      <c r="Q238" s="347"/>
      <c r="R238" s="106"/>
    </row>
    <row r="239" ht="29.25" customHeight="1">
      <c r="A239" s="216"/>
      <c r="B239" s="349"/>
      <c r="C239" s="350"/>
      <c r="D239" s="351"/>
      <c r="E239" s="352"/>
      <c r="F239" s="173"/>
      <c r="G239" s="168"/>
      <c r="H239" s="168"/>
      <c r="I239" s="169"/>
      <c r="J239" s="170"/>
      <c r="K239" s="170"/>
      <c r="L239" s="170"/>
      <c r="M239" s="167"/>
      <c r="N239" s="169"/>
      <c r="O239" s="171"/>
      <c r="P239" s="106"/>
      <c r="Q239" s="353"/>
      <c r="R239" s="106"/>
    </row>
    <row r="240" ht="29.25" customHeight="1">
      <c r="A240" s="216"/>
      <c r="B240" s="349"/>
      <c r="C240" s="350"/>
      <c r="D240" s="351"/>
      <c r="E240" s="340"/>
      <c r="F240" s="173"/>
      <c r="G240" s="168"/>
      <c r="H240" s="168"/>
      <c r="I240" s="169"/>
      <c r="J240" s="170"/>
      <c r="K240" s="170"/>
      <c r="L240" s="170"/>
      <c r="M240" s="167"/>
      <c r="N240" s="169"/>
      <c r="O240" s="171"/>
      <c r="P240" s="106"/>
      <c r="Q240" s="347"/>
      <c r="R240" s="106"/>
    </row>
    <row r="241" ht="29.25" customHeight="1">
      <c r="A241" s="216"/>
      <c r="B241" s="349"/>
      <c r="C241" s="350"/>
      <c r="D241" s="351"/>
      <c r="E241" s="352"/>
      <c r="F241" s="173"/>
      <c r="G241" s="168"/>
      <c r="H241" s="168"/>
      <c r="I241" s="169"/>
      <c r="J241" s="170"/>
      <c r="K241" s="170"/>
      <c r="L241" s="170"/>
      <c r="M241" s="167"/>
      <c r="N241" s="169"/>
      <c r="O241" s="171"/>
      <c r="P241" s="106"/>
      <c r="Q241" s="353"/>
      <c r="R241" s="106"/>
    </row>
    <row r="242" ht="29.25" customHeight="1">
      <c r="A242" s="216"/>
      <c r="B242" s="349"/>
      <c r="C242" s="350"/>
      <c r="D242" s="351"/>
      <c r="E242" s="340"/>
      <c r="F242" s="173"/>
      <c r="G242" s="168"/>
      <c r="H242" s="168"/>
      <c r="I242" s="169"/>
      <c r="J242" s="170"/>
      <c r="K242" s="170"/>
      <c r="L242" s="170"/>
      <c r="M242" s="167"/>
      <c r="N242" s="169"/>
      <c r="O242" s="171"/>
      <c r="P242" s="106"/>
      <c r="Q242" s="347"/>
      <c r="R242" s="106"/>
    </row>
    <row r="243" ht="29.25" customHeight="1">
      <c r="A243" s="216"/>
      <c r="B243" s="349"/>
      <c r="C243" s="350"/>
      <c r="D243" s="351"/>
      <c r="E243" s="352"/>
      <c r="F243" s="173"/>
      <c r="G243" s="168"/>
      <c r="H243" s="168"/>
      <c r="I243" s="169"/>
      <c r="J243" s="170"/>
      <c r="K243" s="170"/>
      <c r="L243" s="170"/>
      <c r="M243" s="167"/>
      <c r="N243" s="169"/>
      <c r="O243" s="171"/>
      <c r="P243" s="106"/>
      <c r="Q243" s="353"/>
      <c r="R243" s="106"/>
    </row>
    <row r="244" ht="29.25" customHeight="1">
      <c r="A244" s="216"/>
      <c r="B244" s="349"/>
      <c r="C244" s="350"/>
      <c r="D244" s="351"/>
      <c r="E244" s="340"/>
      <c r="F244" s="173"/>
      <c r="G244" s="168"/>
      <c r="H244" s="168"/>
      <c r="I244" s="169"/>
      <c r="J244" s="170"/>
      <c r="K244" s="170"/>
      <c r="L244" s="170"/>
      <c r="M244" s="167"/>
      <c r="N244" s="169"/>
      <c r="O244" s="171"/>
      <c r="P244" s="106"/>
      <c r="Q244" s="347"/>
      <c r="R244" s="106"/>
    </row>
    <row r="245" ht="29.25" customHeight="1">
      <c r="A245" s="216"/>
      <c r="B245" s="349"/>
      <c r="C245" s="350"/>
      <c r="D245" s="351"/>
      <c r="E245" s="352"/>
      <c r="F245" s="173"/>
      <c r="G245" s="168"/>
      <c r="H245" s="168"/>
      <c r="I245" s="169"/>
      <c r="J245" s="170"/>
      <c r="K245" s="170"/>
      <c r="L245" s="170"/>
      <c r="M245" s="167"/>
      <c r="N245" s="169"/>
      <c r="O245" s="171"/>
      <c r="P245" s="106"/>
      <c r="Q245" s="353"/>
      <c r="R245" s="106"/>
    </row>
    <row r="246" ht="29.25" customHeight="1">
      <c r="A246" s="216"/>
      <c r="B246" s="349"/>
      <c r="C246" s="350"/>
      <c r="D246" s="351"/>
      <c r="E246" s="340"/>
      <c r="F246" s="173"/>
      <c r="G246" s="168"/>
      <c r="H246" s="168"/>
      <c r="I246" s="169"/>
      <c r="J246" s="170"/>
      <c r="K246" s="170"/>
      <c r="L246" s="170"/>
      <c r="M246" s="167"/>
      <c r="N246" s="169"/>
      <c r="O246" s="171"/>
      <c r="P246" s="106"/>
      <c r="Q246" s="347"/>
      <c r="R246" s="106"/>
    </row>
    <row r="247" ht="29.25" customHeight="1">
      <c r="A247" s="216"/>
      <c r="B247" s="349"/>
      <c r="C247" s="350"/>
      <c r="D247" s="351"/>
      <c r="E247" s="352"/>
      <c r="F247" s="173"/>
      <c r="G247" s="168"/>
      <c r="H247" s="168"/>
      <c r="I247" s="169"/>
      <c r="J247" s="170"/>
      <c r="K247" s="170"/>
      <c r="L247" s="170"/>
      <c r="M247" s="167"/>
      <c r="N247" s="169"/>
      <c r="O247" s="171"/>
      <c r="P247" s="106"/>
      <c r="Q247" s="353"/>
      <c r="R247" s="106"/>
    </row>
    <row r="248" ht="29.25" customHeight="1">
      <c r="A248" s="216"/>
      <c r="B248" s="349"/>
      <c r="C248" s="350"/>
      <c r="D248" s="351"/>
      <c r="E248" s="340"/>
      <c r="F248" s="173"/>
      <c r="G248" s="168"/>
      <c r="H248" s="168"/>
      <c r="I248" s="169"/>
      <c r="J248" s="170"/>
      <c r="K248" s="170"/>
      <c r="L248" s="170"/>
      <c r="M248" s="167"/>
      <c r="N248" s="169"/>
      <c r="O248" s="171"/>
      <c r="P248" s="106"/>
      <c r="Q248" s="347"/>
      <c r="R248" s="106"/>
    </row>
    <row r="249" ht="29.25" customHeight="1">
      <c r="A249" s="216"/>
      <c r="B249" s="349"/>
      <c r="C249" s="350"/>
      <c r="D249" s="351"/>
      <c r="E249" s="352"/>
      <c r="F249" s="173"/>
      <c r="G249" s="168"/>
      <c r="H249" s="168"/>
      <c r="I249" s="169"/>
      <c r="J249" s="170"/>
      <c r="K249" s="170"/>
      <c r="L249" s="170"/>
      <c r="M249" s="167"/>
      <c r="N249" s="169"/>
      <c r="O249" s="171"/>
      <c r="P249" s="106"/>
      <c r="Q249" s="353"/>
      <c r="R249" s="106"/>
    </row>
    <row r="250" ht="29.25" customHeight="1">
      <c r="A250" s="216"/>
      <c r="B250" s="349"/>
      <c r="C250" s="350"/>
      <c r="D250" s="351"/>
      <c r="E250" s="340"/>
      <c r="F250" s="173"/>
      <c r="G250" s="168"/>
      <c r="H250" s="168"/>
      <c r="I250" s="169"/>
      <c r="J250" s="170"/>
      <c r="K250" s="170"/>
      <c r="L250" s="170"/>
      <c r="M250" s="167"/>
      <c r="N250" s="169"/>
      <c r="O250" s="171"/>
      <c r="P250" s="106"/>
      <c r="Q250" s="347"/>
      <c r="R250" s="106"/>
    </row>
    <row r="251" ht="29.25" customHeight="1">
      <c r="A251" s="216"/>
      <c r="B251" s="349"/>
      <c r="C251" s="350"/>
      <c r="D251" s="351"/>
      <c r="E251" s="352"/>
      <c r="F251" s="173"/>
      <c r="G251" s="168"/>
      <c r="H251" s="168"/>
      <c r="I251" s="169"/>
      <c r="J251" s="170"/>
      <c r="K251" s="170"/>
      <c r="L251" s="170"/>
      <c r="M251" s="167"/>
      <c r="N251" s="169"/>
      <c r="O251" s="171"/>
      <c r="P251" s="106"/>
      <c r="Q251" s="353"/>
      <c r="R251" s="106"/>
    </row>
    <row r="252" ht="29.25" customHeight="1">
      <c r="A252" s="216"/>
      <c r="B252" s="349"/>
      <c r="C252" s="350"/>
      <c r="D252" s="351"/>
      <c r="E252" s="340"/>
      <c r="F252" s="173"/>
      <c r="G252" s="168"/>
      <c r="H252" s="168"/>
      <c r="I252" s="169"/>
      <c r="J252" s="170"/>
      <c r="K252" s="170"/>
      <c r="L252" s="170"/>
      <c r="M252" s="167"/>
      <c r="N252" s="169"/>
      <c r="O252" s="171"/>
      <c r="P252" s="106"/>
      <c r="Q252" s="347"/>
      <c r="R252" s="106"/>
    </row>
    <row r="253" ht="29.25" customHeight="1">
      <c r="A253" s="216"/>
      <c r="B253" s="349"/>
      <c r="C253" s="350"/>
      <c r="D253" s="351"/>
      <c r="E253" s="352"/>
      <c r="F253" s="173"/>
      <c r="G253" s="168"/>
      <c r="H253" s="168"/>
      <c r="I253" s="169"/>
      <c r="J253" s="170"/>
      <c r="K253" s="170"/>
      <c r="L253" s="170"/>
      <c r="M253" s="167"/>
      <c r="N253" s="169"/>
      <c r="O253" s="171"/>
      <c r="P253" s="106"/>
      <c r="Q253" s="353"/>
      <c r="R253" s="106"/>
    </row>
    <row r="254" ht="29.25" customHeight="1">
      <c r="A254" s="216"/>
      <c r="B254" s="349"/>
      <c r="C254" s="350"/>
      <c r="D254" s="351"/>
      <c r="E254" s="340"/>
      <c r="F254" s="173"/>
      <c r="G254" s="168"/>
      <c r="H254" s="168"/>
      <c r="I254" s="169"/>
      <c r="J254" s="170"/>
      <c r="K254" s="170"/>
      <c r="L254" s="170"/>
      <c r="M254" s="167"/>
      <c r="N254" s="169"/>
      <c r="O254" s="171"/>
      <c r="P254" s="106"/>
      <c r="Q254" s="347"/>
      <c r="R254" s="106"/>
    </row>
    <row r="255" ht="29.25" customHeight="1">
      <c r="A255" s="216"/>
      <c r="B255" s="349"/>
      <c r="C255" s="350"/>
      <c r="D255" s="351"/>
      <c r="E255" s="352"/>
      <c r="F255" s="173"/>
      <c r="G255" s="168"/>
      <c r="H255" s="168"/>
      <c r="I255" s="169"/>
      <c r="J255" s="170"/>
      <c r="K255" s="170"/>
      <c r="L255" s="170"/>
      <c r="M255" s="167"/>
      <c r="N255" s="169"/>
      <c r="O255" s="171"/>
      <c r="P255" s="106"/>
      <c r="Q255" s="353"/>
      <c r="R255" s="106"/>
    </row>
    <row r="256" ht="29.25" customHeight="1">
      <c r="A256" s="216"/>
      <c r="B256" s="349"/>
      <c r="C256" s="350"/>
      <c r="D256" s="351"/>
      <c r="E256" s="340"/>
      <c r="F256" s="173"/>
      <c r="G256" s="168"/>
      <c r="H256" s="168"/>
      <c r="I256" s="169"/>
      <c r="J256" s="170"/>
      <c r="K256" s="170"/>
      <c r="L256" s="170"/>
      <c r="M256" s="167"/>
      <c r="N256" s="169"/>
      <c r="O256" s="171"/>
      <c r="P256" s="106"/>
      <c r="Q256" s="347"/>
      <c r="R256" s="106"/>
    </row>
    <row r="257" ht="29.25" customHeight="1">
      <c r="A257" s="216"/>
      <c r="B257" s="349"/>
      <c r="C257" s="350"/>
      <c r="D257" s="351"/>
      <c r="E257" s="352"/>
      <c r="F257" s="173"/>
      <c r="G257" s="168"/>
      <c r="H257" s="168"/>
      <c r="I257" s="169"/>
      <c r="J257" s="170"/>
      <c r="K257" s="170"/>
      <c r="L257" s="170"/>
      <c r="M257" s="167"/>
      <c r="N257" s="169"/>
      <c r="O257" s="171"/>
      <c r="P257" s="106"/>
      <c r="Q257" s="353"/>
      <c r="R257" s="106"/>
    </row>
    <row r="258" ht="29.25" customHeight="1">
      <c r="A258" s="216"/>
      <c r="B258" s="349"/>
      <c r="C258" s="350"/>
      <c r="D258" s="351"/>
      <c r="E258" s="340"/>
      <c r="F258" s="173"/>
      <c r="G258" s="168"/>
      <c r="H258" s="168"/>
      <c r="I258" s="169"/>
      <c r="J258" s="170"/>
      <c r="K258" s="170"/>
      <c r="L258" s="170"/>
      <c r="M258" s="167"/>
      <c r="N258" s="169"/>
      <c r="O258" s="171"/>
      <c r="P258" s="106"/>
      <c r="Q258" s="347"/>
      <c r="R258" s="106"/>
    </row>
    <row r="259" ht="29.25" customHeight="1">
      <c r="A259" s="216"/>
      <c r="B259" s="349"/>
      <c r="C259" s="350"/>
      <c r="D259" s="351"/>
      <c r="E259" s="352"/>
      <c r="F259" s="173"/>
      <c r="G259" s="168"/>
      <c r="H259" s="168"/>
      <c r="I259" s="169"/>
      <c r="J259" s="170"/>
      <c r="K259" s="170"/>
      <c r="L259" s="170"/>
      <c r="M259" s="167"/>
      <c r="N259" s="169"/>
      <c r="O259" s="171"/>
      <c r="P259" s="106"/>
      <c r="Q259" s="353"/>
      <c r="R259" s="106"/>
    </row>
    <row r="260" ht="29.25" customHeight="1">
      <c r="A260" s="216"/>
      <c r="B260" s="349"/>
      <c r="C260" s="350"/>
      <c r="D260" s="351"/>
      <c r="E260" s="340"/>
      <c r="F260" s="173"/>
      <c r="G260" s="168"/>
      <c r="H260" s="168"/>
      <c r="I260" s="169"/>
      <c r="J260" s="170"/>
      <c r="K260" s="170"/>
      <c r="L260" s="170"/>
      <c r="M260" s="167"/>
      <c r="N260" s="169"/>
      <c r="O260" s="171"/>
      <c r="P260" s="106"/>
      <c r="Q260" s="347"/>
      <c r="R260" s="106"/>
    </row>
    <row r="261" ht="29.25" customHeight="1">
      <c r="A261" s="216"/>
      <c r="B261" s="349"/>
      <c r="C261" s="350"/>
      <c r="D261" s="351"/>
      <c r="E261" s="352"/>
      <c r="F261" s="173"/>
      <c r="G261" s="168"/>
      <c r="H261" s="168"/>
      <c r="I261" s="169"/>
      <c r="J261" s="170"/>
      <c r="K261" s="170"/>
      <c r="L261" s="170"/>
      <c r="M261" s="167"/>
      <c r="N261" s="169"/>
      <c r="O261" s="171"/>
      <c r="P261" s="106"/>
      <c r="Q261" s="353"/>
      <c r="R261" s="106"/>
    </row>
    <row r="262" ht="29.25" customHeight="1">
      <c r="A262" s="216"/>
      <c r="B262" s="349"/>
      <c r="C262" s="350"/>
      <c r="D262" s="351"/>
      <c r="E262" s="340"/>
      <c r="F262" s="173"/>
      <c r="G262" s="168"/>
      <c r="H262" s="168"/>
      <c r="I262" s="169"/>
      <c r="J262" s="170"/>
      <c r="K262" s="170"/>
      <c r="L262" s="170"/>
      <c r="M262" s="167"/>
      <c r="N262" s="169"/>
      <c r="O262" s="171"/>
      <c r="P262" s="106"/>
      <c r="Q262" s="347"/>
      <c r="R262" s="106"/>
    </row>
    <row r="263" ht="29.25" customHeight="1">
      <c r="A263" s="216"/>
      <c r="B263" s="349"/>
      <c r="C263" s="350"/>
      <c r="D263" s="351"/>
      <c r="E263" s="352"/>
      <c r="F263" s="173"/>
      <c r="G263" s="168"/>
      <c r="H263" s="168"/>
      <c r="I263" s="169"/>
      <c r="J263" s="170"/>
      <c r="K263" s="170"/>
      <c r="L263" s="170"/>
      <c r="M263" s="167"/>
      <c r="N263" s="169"/>
      <c r="O263" s="171"/>
      <c r="P263" s="106"/>
      <c r="Q263" s="353"/>
      <c r="R263" s="106"/>
    </row>
    <row r="264" ht="29.25" customHeight="1">
      <c r="A264" s="216"/>
      <c r="B264" s="349"/>
      <c r="C264" s="350"/>
      <c r="D264" s="351"/>
      <c r="E264" s="340"/>
      <c r="F264" s="173"/>
      <c r="G264" s="168"/>
      <c r="H264" s="168"/>
      <c r="I264" s="169"/>
      <c r="J264" s="170"/>
      <c r="K264" s="170"/>
      <c r="L264" s="170"/>
      <c r="M264" s="167"/>
      <c r="N264" s="169"/>
      <c r="O264" s="171"/>
      <c r="P264" s="106"/>
      <c r="Q264" s="347"/>
      <c r="R264" s="106"/>
    </row>
    <row r="265" ht="29.25" customHeight="1">
      <c r="A265" s="216"/>
      <c r="B265" s="349"/>
      <c r="C265" s="350"/>
      <c r="D265" s="351"/>
      <c r="E265" s="352"/>
      <c r="F265" s="173"/>
      <c r="G265" s="168"/>
      <c r="H265" s="168"/>
      <c r="I265" s="169"/>
      <c r="J265" s="170"/>
      <c r="K265" s="170"/>
      <c r="L265" s="170"/>
      <c r="M265" s="167"/>
      <c r="N265" s="169"/>
      <c r="O265" s="171"/>
      <c r="P265" s="106"/>
      <c r="Q265" s="353"/>
      <c r="R265" s="106"/>
    </row>
    <row r="266" ht="29.25" customHeight="1">
      <c r="A266" s="216"/>
      <c r="B266" s="349"/>
      <c r="C266" s="350"/>
      <c r="D266" s="351"/>
      <c r="E266" s="340"/>
      <c r="F266" s="173"/>
      <c r="G266" s="168"/>
      <c r="H266" s="168"/>
      <c r="I266" s="169"/>
      <c r="J266" s="170"/>
      <c r="K266" s="170"/>
      <c r="L266" s="170"/>
      <c r="M266" s="167"/>
      <c r="N266" s="169"/>
      <c r="O266" s="171"/>
      <c r="P266" s="106"/>
      <c r="Q266" s="347"/>
      <c r="R266" s="106"/>
    </row>
    <row r="267" ht="29.25" customHeight="1">
      <c r="A267" s="216"/>
      <c r="B267" s="349"/>
      <c r="C267" s="350"/>
      <c r="D267" s="351"/>
      <c r="E267" s="352"/>
      <c r="F267" s="173"/>
      <c r="G267" s="168"/>
      <c r="H267" s="168"/>
      <c r="I267" s="169"/>
      <c r="J267" s="170"/>
      <c r="K267" s="170"/>
      <c r="L267" s="170"/>
      <c r="M267" s="167"/>
      <c r="N267" s="169"/>
      <c r="O267" s="171"/>
      <c r="P267" s="106"/>
      <c r="Q267" s="353"/>
      <c r="R267" s="106"/>
    </row>
    <row r="268" ht="29.25" customHeight="1">
      <c r="A268" s="216"/>
      <c r="B268" s="349"/>
      <c r="C268" s="350"/>
      <c r="D268" s="351"/>
      <c r="E268" s="340"/>
      <c r="F268" s="173"/>
      <c r="G268" s="168"/>
      <c r="H268" s="168"/>
      <c r="I268" s="169"/>
      <c r="J268" s="170"/>
      <c r="K268" s="170"/>
      <c r="L268" s="170"/>
      <c r="M268" s="167"/>
      <c r="N268" s="169"/>
      <c r="O268" s="171"/>
      <c r="P268" s="106"/>
      <c r="Q268" s="347"/>
      <c r="R268" s="106"/>
    </row>
    <row r="269" ht="29.25" customHeight="1">
      <c r="A269" s="216"/>
      <c r="B269" s="349"/>
      <c r="C269" s="350"/>
      <c r="D269" s="351"/>
      <c r="E269" s="352"/>
      <c r="F269" s="173"/>
      <c r="G269" s="168"/>
      <c r="H269" s="168"/>
      <c r="I269" s="169"/>
      <c r="J269" s="170"/>
      <c r="K269" s="170"/>
      <c r="L269" s="170"/>
      <c r="M269" s="167"/>
      <c r="N269" s="169"/>
      <c r="O269" s="171"/>
      <c r="P269" s="106"/>
      <c r="Q269" s="353"/>
      <c r="R269" s="106"/>
    </row>
    <row r="270" ht="29.25" customHeight="1">
      <c r="A270" s="216"/>
      <c r="B270" s="349"/>
      <c r="C270" s="350"/>
      <c r="D270" s="351"/>
      <c r="E270" s="340"/>
      <c r="F270" s="173"/>
      <c r="G270" s="168"/>
      <c r="H270" s="168"/>
      <c r="I270" s="169"/>
      <c r="J270" s="170"/>
      <c r="K270" s="170"/>
      <c r="L270" s="170"/>
      <c r="M270" s="167"/>
      <c r="N270" s="169"/>
      <c r="O270" s="171"/>
      <c r="P270" s="106"/>
      <c r="Q270" s="347"/>
      <c r="R270" s="106"/>
    </row>
    <row r="271" ht="29.25" customHeight="1">
      <c r="A271" s="216"/>
      <c r="B271" s="349"/>
      <c r="C271" s="350"/>
      <c r="D271" s="351"/>
      <c r="E271" s="352"/>
      <c r="F271" s="173"/>
      <c r="G271" s="168"/>
      <c r="H271" s="168"/>
      <c r="I271" s="169"/>
      <c r="J271" s="170"/>
      <c r="K271" s="170"/>
      <c r="L271" s="170"/>
      <c r="M271" s="167"/>
      <c r="N271" s="169"/>
      <c r="O271" s="171"/>
      <c r="P271" s="106"/>
      <c r="Q271" s="353"/>
      <c r="R271" s="106"/>
    </row>
    <row r="272" ht="29.25" customHeight="1">
      <c r="A272" s="216"/>
      <c r="B272" s="349"/>
      <c r="C272" s="350"/>
      <c r="D272" s="351"/>
      <c r="E272" s="340"/>
      <c r="F272" s="173"/>
      <c r="G272" s="168"/>
      <c r="H272" s="168"/>
      <c r="I272" s="169"/>
      <c r="J272" s="170"/>
      <c r="K272" s="170"/>
      <c r="L272" s="170"/>
      <c r="M272" s="167"/>
      <c r="N272" s="169"/>
      <c r="O272" s="171"/>
      <c r="P272" s="106"/>
      <c r="Q272" s="347"/>
      <c r="R272" s="106"/>
    </row>
    <row r="273" ht="29.25" customHeight="1">
      <c r="A273" s="216"/>
      <c r="B273" s="349"/>
      <c r="C273" s="350"/>
      <c r="D273" s="351"/>
      <c r="E273" s="352"/>
      <c r="F273" s="173"/>
      <c r="G273" s="168"/>
      <c r="H273" s="168"/>
      <c r="I273" s="169"/>
      <c r="J273" s="170"/>
      <c r="K273" s="170"/>
      <c r="L273" s="170"/>
      <c r="M273" s="167"/>
      <c r="N273" s="169"/>
      <c r="O273" s="171"/>
      <c r="P273" s="106"/>
      <c r="Q273" s="353"/>
      <c r="R273" s="106"/>
    </row>
    <row r="274" ht="29.25" customHeight="1">
      <c r="A274" s="216"/>
      <c r="B274" s="349"/>
      <c r="C274" s="350"/>
      <c r="D274" s="351"/>
      <c r="E274" s="340"/>
      <c r="F274" s="173"/>
      <c r="G274" s="168"/>
      <c r="H274" s="168"/>
      <c r="I274" s="169"/>
      <c r="J274" s="170"/>
      <c r="K274" s="170"/>
      <c r="L274" s="170"/>
      <c r="M274" s="167"/>
      <c r="N274" s="169"/>
      <c r="O274" s="171"/>
      <c r="P274" s="106"/>
      <c r="Q274" s="347"/>
      <c r="R274" s="106"/>
    </row>
    <row r="275" ht="29.25" customHeight="1">
      <c r="A275" s="216"/>
      <c r="B275" s="349"/>
      <c r="C275" s="350"/>
      <c r="D275" s="351"/>
      <c r="E275" s="352"/>
      <c r="F275" s="173"/>
      <c r="G275" s="168"/>
      <c r="H275" s="168"/>
      <c r="I275" s="169"/>
      <c r="J275" s="170"/>
      <c r="K275" s="170"/>
      <c r="L275" s="170"/>
      <c r="M275" s="167"/>
      <c r="N275" s="169"/>
      <c r="O275" s="171"/>
      <c r="P275" s="106"/>
      <c r="Q275" s="353"/>
      <c r="R275" s="106"/>
    </row>
    <row r="276" ht="29.25" customHeight="1">
      <c r="A276" s="216"/>
      <c r="B276" s="349"/>
      <c r="C276" s="350"/>
      <c r="D276" s="351"/>
      <c r="E276" s="340"/>
      <c r="F276" s="173"/>
      <c r="G276" s="168"/>
      <c r="H276" s="168"/>
      <c r="I276" s="169"/>
      <c r="J276" s="170"/>
      <c r="K276" s="170"/>
      <c r="L276" s="170"/>
      <c r="M276" s="167"/>
      <c r="N276" s="169"/>
      <c r="O276" s="171"/>
      <c r="P276" s="106"/>
      <c r="Q276" s="347"/>
      <c r="R276" s="106"/>
    </row>
    <row r="277" ht="29.25" customHeight="1">
      <c r="A277" s="216"/>
      <c r="B277" s="349"/>
      <c r="C277" s="350"/>
      <c r="D277" s="351"/>
      <c r="E277" s="352"/>
      <c r="F277" s="173"/>
      <c r="G277" s="168"/>
      <c r="H277" s="168"/>
      <c r="I277" s="169"/>
      <c r="J277" s="170"/>
      <c r="K277" s="170"/>
      <c r="L277" s="170"/>
      <c r="M277" s="167"/>
      <c r="N277" s="169"/>
      <c r="O277" s="171"/>
      <c r="P277" s="106"/>
      <c r="Q277" s="353"/>
      <c r="R277" s="106"/>
    </row>
    <row r="278" ht="29.25" customHeight="1">
      <c r="A278" s="216"/>
      <c r="B278" s="349"/>
      <c r="C278" s="350"/>
      <c r="D278" s="351"/>
      <c r="E278" s="340"/>
      <c r="F278" s="173"/>
      <c r="G278" s="168"/>
      <c r="H278" s="168"/>
      <c r="I278" s="169"/>
      <c r="J278" s="170"/>
      <c r="K278" s="170"/>
      <c r="L278" s="170"/>
      <c r="M278" s="167"/>
      <c r="N278" s="169"/>
      <c r="O278" s="171"/>
      <c r="P278" s="106"/>
      <c r="Q278" s="347"/>
      <c r="R278" s="106"/>
    </row>
    <row r="279" ht="29.25" customHeight="1">
      <c r="A279" s="216"/>
      <c r="B279" s="349"/>
      <c r="C279" s="350"/>
      <c r="D279" s="351"/>
      <c r="E279" s="352"/>
      <c r="F279" s="173"/>
      <c r="G279" s="168"/>
      <c r="H279" s="168"/>
      <c r="I279" s="169"/>
      <c r="J279" s="170"/>
      <c r="K279" s="170"/>
      <c r="L279" s="170"/>
      <c r="M279" s="167"/>
      <c r="N279" s="169"/>
      <c r="O279" s="171"/>
      <c r="P279" s="106"/>
      <c r="Q279" s="353"/>
      <c r="R279" s="106"/>
    </row>
    <row r="280" ht="29.25" customHeight="1">
      <c r="A280" s="216"/>
      <c r="B280" s="349"/>
      <c r="C280" s="350"/>
      <c r="D280" s="351"/>
      <c r="E280" s="340"/>
      <c r="F280" s="173"/>
      <c r="G280" s="168"/>
      <c r="H280" s="168"/>
      <c r="I280" s="169"/>
      <c r="J280" s="170"/>
      <c r="K280" s="170"/>
      <c r="L280" s="170"/>
      <c r="M280" s="167"/>
      <c r="N280" s="169"/>
      <c r="O280" s="171"/>
      <c r="P280" s="106"/>
      <c r="Q280" s="347"/>
      <c r="R280" s="106"/>
    </row>
    <row r="281" ht="29.25" customHeight="1">
      <c r="A281" s="216"/>
      <c r="B281" s="349"/>
      <c r="C281" s="350"/>
      <c r="D281" s="351"/>
      <c r="E281" s="352"/>
      <c r="F281" s="173"/>
      <c r="G281" s="168"/>
      <c r="H281" s="168"/>
      <c r="I281" s="169"/>
      <c r="J281" s="170"/>
      <c r="K281" s="170"/>
      <c r="L281" s="170"/>
      <c r="M281" s="167"/>
      <c r="N281" s="169"/>
      <c r="O281" s="171"/>
      <c r="P281" s="106"/>
      <c r="Q281" s="353"/>
      <c r="R281" s="106"/>
    </row>
    <row r="282" ht="29.25" customHeight="1">
      <c r="A282" s="216"/>
      <c r="B282" s="349"/>
      <c r="C282" s="350"/>
      <c r="D282" s="351"/>
      <c r="E282" s="340"/>
      <c r="F282" s="173"/>
      <c r="G282" s="168"/>
      <c r="H282" s="168"/>
      <c r="I282" s="169"/>
      <c r="J282" s="170"/>
      <c r="K282" s="170"/>
      <c r="L282" s="170"/>
      <c r="M282" s="167"/>
      <c r="N282" s="169"/>
      <c r="O282" s="171"/>
      <c r="P282" s="106"/>
      <c r="Q282" s="347"/>
      <c r="R282" s="106"/>
    </row>
    <row r="283" ht="29.25" customHeight="1">
      <c r="A283" s="216"/>
      <c r="B283" s="349"/>
      <c r="C283" s="350"/>
      <c r="D283" s="351"/>
      <c r="E283" s="352"/>
      <c r="F283" s="173"/>
      <c r="G283" s="168"/>
      <c r="H283" s="168"/>
      <c r="I283" s="169"/>
      <c r="J283" s="170"/>
      <c r="K283" s="170"/>
      <c r="L283" s="170"/>
      <c r="M283" s="167"/>
      <c r="N283" s="169"/>
      <c r="O283" s="171"/>
      <c r="P283" s="106"/>
      <c r="Q283" s="353"/>
      <c r="R283" s="106"/>
    </row>
    <row r="284" ht="29.25" customHeight="1">
      <c r="A284" s="216"/>
      <c r="B284" s="349"/>
      <c r="C284" s="350"/>
      <c r="D284" s="351"/>
      <c r="E284" s="340"/>
      <c r="F284" s="173"/>
      <c r="G284" s="168"/>
      <c r="H284" s="168"/>
      <c r="I284" s="169"/>
      <c r="J284" s="170"/>
      <c r="K284" s="170"/>
      <c r="L284" s="170"/>
      <c r="M284" s="167"/>
      <c r="N284" s="169"/>
      <c r="O284" s="171"/>
      <c r="P284" s="106"/>
      <c r="Q284" s="347"/>
      <c r="R284" s="106"/>
    </row>
    <row r="285" ht="29.25" customHeight="1">
      <c r="A285" s="216"/>
      <c r="B285" s="349"/>
      <c r="C285" s="350"/>
      <c r="D285" s="351"/>
      <c r="E285" s="352"/>
      <c r="F285" s="173"/>
      <c r="G285" s="168"/>
      <c r="H285" s="168"/>
      <c r="I285" s="169"/>
      <c r="J285" s="170"/>
      <c r="K285" s="170"/>
      <c r="L285" s="170"/>
      <c r="M285" s="167"/>
      <c r="N285" s="169"/>
      <c r="O285" s="171"/>
      <c r="P285" s="106"/>
      <c r="Q285" s="353"/>
      <c r="R285" s="106"/>
    </row>
    <row r="286" ht="29.25" customHeight="1">
      <c r="A286" s="216"/>
      <c r="B286" s="349"/>
      <c r="C286" s="350"/>
      <c r="D286" s="351"/>
      <c r="E286" s="340"/>
      <c r="F286" s="173"/>
      <c r="G286" s="168"/>
      <c r="H286" s="168"/>
      <c r="I286" s="169"/>
      <c r="J286" s="170"/>
      <c r="K286" s="170"/>
      <c r="L286" s="170"/>
      <c r="M286" s="167"/>
      <c r="N286" s="169"/>
      <c r="O286" s="171"/>
      <c r="P286" s="106"/>
      <c r="Q286" s="347"/>
      <c r="R286" s="106"/>
    </row>
    <row r="287" ht="29.25" customHeight="1">
      <c r="A287" s="216"/>
      <c r="B287" s="349"/>
      <c r="C287" s="350"/>
      <c r="D287" s="351"/>
      <c r="E287" s="352"/>
      <c r="F287" s="173"/>
      <c r="G287" s="168"/>
      <c r="H287" s="168"/>
      <c r="I287" s="169"/>
      <c r="J287" s="170"/>
      <c r="K287" s="170"/>
      <c r="L287" s="170"/>
      <c r="M287" s="167"/>
      <c r="N287" s="169"/>
      <c r="O287" s="171"/>
      <c r="P287" s="106"/>
      <c r="Q287" s="353"/>
      <c r="R287" s="106"/>
    </row>
    <row r="288" ht="29.25" customHeight="1">
      <c r="A288" s="216"/>
      <c r="B288" s="349"/>
      <c r="C288" s="350"/>
      <c r="D288" s="351"/>
      <c r="E288" s="340"/>
      <c r="F288" s="173"/>
      <c r="G288" s="168"/>
      <c r="H288" s="168"/>
      <c r="I288" s="169"/>
      <c r="J288" s="170"/>
      <c r="K288" s="170"/>
      <c r="L288" s="170"/>
      <c r="M288" s="167"/>
      <c r="N288" s="169"/>
      <c r="O288" s="171"/>
      <c r="P288" s="106"/>
      <c r="Q288" s="347"/>
      <c r="R288" s="106"/>
    </row>
    <row r="289" ht="29.25" customHeight="1">
      <c r="A289" s="216"/>
      <c r="B289" s="349"/>
      <c r="C289" s="350"/>
      <c r="D289" s="351"/>
      <c r="E289" s="352"/>
      <c r="F289" s="173"/>
      <c r="G289" s="168"/>
      <c r="H289" s="168"/>
      <c r="I289" s="169"/>
      <c r="J289" s="170"/>
      <c r="K289" s="170"/>
      <c r="L289" s="170"/>
      <c r="M289" s="167"/>
      <c r="N289" s="169"/>
      <c r="O289" s="171"/>
      <c r="P289" s="106"/>
      <c r="Q289" s="353"/>
      <c r="R289" s="106"/>
    </row>
    <row r="290" ht="29.25" customHeight="1">
      <c r="A290" s="216"/>
      <c r="B290" s="349"/>
      <c r="C290" s="350"/>
      <c r="D290" s="351"/>
      <c r="E290" s="340"/>
      <c r="F290" s="173"/>
      <c r="G290" s="168"/>
      <c r="H290" s="168"/>
      <c r="I290" s="169"/>
      <c r="J290" s="170"/>
      <c r="K290" s="170"/>
      <c r="L290" s="170"/>
      <c r="M290" s="167"/>
      <c r="N290" s="169"/>
      <c r="O290" s="171"/>
      <c r="P290" s="106"/>
      <c r="Q290" s="347"/>
      <c r="R290" s="106"/>
    </row>
    <row r="291" ht="29.25" customHeight="1">
      <c r="A291" s="216"/>
      <c r="B291" s="349"/>
      <c r="C291" s="350"/>
      <c r="D291" s="351"/>
      <c r="E291" s="352"/>
      <c r="F291" s="173"/>
      <c r="G291" s="168"/>
      <c r="H291" s="168"/>
      <c r="I291" s="169"/>
      <c r="J291" s="170"/>
      <c r="K291" s="170"/>
      <c r="L291" s="170"/>
      <c r="M291" s="167"/>
      <c r="N291" s="169"/>
      <c r="O291" s="171"/>
      <c r="P291" s="106"/>
      <c r="Q291" s="353"/>
      <c r="R291" s="106"/>
    </row>
    <row r="292" ht="29.25" customHeight="1">
      <c r="A292" s="216"/>
      <c r="B292" s="349"/>
      <c r="C292" s="350"/>
      <c r="D292" s="351"/>
      <c r="E292" s="340"/>
      <c r="F292" s="173"/>
      <c r="G292" s="168"/>
      <c r="H292" s="168"/>
      <c r="I292" s="169"/>
      <c r="J292" s="170"/>
      <c r="K292" s="170"/>
      <c r="L292" s="170"/>
      <c r="M292" s="167"/>
      <c r="N292" s="169"/>
      <c r="O292" s="171"/>
      <c r="P292" s="106"/>
      <c r="Q292" s="347"/>
      <c r="R292" s="106"/>
    </row>
    <row r="293" ht="29.25" customHeight="1">
      <c r="A293" s="216"/>
      <c r="B293" s="349"/>
      <c r="C293" s="350"/>
      <c r="D293" s="351"/>
      <c r="E293" s="352"/>
      <c r="F293" s="173"/>
      <c r="G293" s="168"/>
      <c r="H293" s="168"/>
      <c r="I293" s="169"/>
      <c r="J293" s="170"/>
      <c r="K293" s="170"/>
      <c r="L293" s="170"/>
      <c r="M293" s="167"/>
      <c r="N293" s="169"/>
      <c r="O293" s="171"/>
      <c r="P293" s="106"/>
      <c r="Q293" s="353"/>
      <c r="R293" s="106"/>
    </row>
    <row r="294" ht="29.25" customHeight="1">
      <c r="A294" s="216"/>
      <c r="B294" s="349"/>
      <c r="C294" s="350"/>
      <c r="D294" s="351"/>
      <c r="E294" s="340"/>
      <c r="F294" s="173"/>
      <c r="G294" s="168"/>
      <c r="H294" s="168"/>
      <c r="I294" s="169"/>
      <c r="J294" s="170"/>
      <c r="K294" s="170"/>
      <c r="L294" s="170"/>
      <c r="M294" s="167"/>
      <c r="N294" s="169"/>
      <c r="O294" s="171"/>
      <c r="P294" s="106"/>
      <c r="Q294" s="347"/>
      <c r="R294" s="106"/>
    </row>
    <row r="295" ht="29.25" customHeight="1">
      <c r="A295" s="216"/>
      <c r="B295" s="349"/>
      <c r="C295" s="350"/>
      <c r="D295" s="351"/>
      <c r="E295" s="352"/>
      <c r="F295" s="173"/>
      <c r="G295" s="168"/>
      <c r="H295" s="168"/>
      <c r="I295" s="169"/>
      <c r="J295" s="170"/>
      <c r="K295" s="170"/>
      <c r="L295" s="170"/>
      <c r="M295" s="167"/>
      <c r="N295" s="169"/>
      <c r="O295" s="171"/>
      <c r="P295" s="106"/>
      <c r="Q295" s="353"/>
      <c r="R295" s="106"/>
    </row>
    <row r="296" ht="29.25" customHeight="1">
      <c r="A296" s="216"/>
      <c r="B296" s="349"/>
      <c r="C296" s="350"/>
      <c r="D296" s="351"/>
      <c r="E296" s="340"/>
      <c r="F296" s="173"/>
      <c r="G296" s="168"/>
      <c r="H296" s="168"/>
      <c r="I296" s="169"/>
      <c r="J296" s="170"/>
      <c r="K296" s="170"/>
      <c r="L296" s="170"/>
      <c r="M296" s="167"/>
      <c r="N296" s="169"/>
      <c r="O296" s="171"/>
      <c r="P296" s="106"/>
      <c r="Q296" s="347"/>
      <c r="R296" s="106"/>
    </row>
    <row r="297" ht="29.25" customHeight="1">
      <c r="A297" s="216"/>
      <c r="B297" s="349"/>
      <c r="C297" s="350"/>
      <c r="D297" s="351"/>
      <c r="E297" s="352"/>
      <c r="F297" s="173"/>
      <c r="G297" s="168"/>
      <c r="H297" s="168"/>
      <c r="I297" s="169"/>
      <c r="J297" s="170"/>
      <c r="K297" s="170"/>
      <c r="L297" s="170"/>
      <c r="M297" s="167"/>
      <c r="N297" s="169"/>
      <c r="O297" s="171"/>
      <c r="P297" s="106"/>
      <c r="Q297" s="353"/>
      <c r="R297" s="106"/>
    </row>
    <row r="298" ht="29.25" customHeight="1">
      <c r="A298" s="216"/>
      <c r="B298" s="349"/>
      <c r="C298" s="350"/>
      <c r="D298" s="351"/>
      <c r="E298" s="340"/>
      <c r="F298" s="173"/>
      <c r="G298" s="168"/>
      <c r="H298" s="168"/>
      <c r="I298" s="169"/>
      <c r="J298" s="170"/>
      <c r="K298" s="170"/>
      <c r="L298" s="170"/>
      <c r="M298" s="167"/>
      <c r="N298" s="169"/>
      <c r="O298" s="171"/>
      <c r="P298" s="106"/>
      <c r="Q298" s="347"/>
      <c r="R298" s="106"/>
    </row>
    <row r="299" ht="29.25" customHeight="1">
      <c r="A299" s="216"/>
      <c r="B299" s="349"/>
      <c r="C299" s="350"/>
      <c r="D299" s="351"/>
      <c r="E299" s="352"/>
      <c r="F299" s="173"/>
      <c r="G299" s="168"/>
      <c r="H299" s="168"/>
      <c r="I299" s="169"/>
      <c r="J299" s="170"/>
      <c r="K299" s="170"/>
      <c r="L299" s="170"/>
      <c r="M299" s="167"/>
      <c r="N299" s="169"/>
      <c r="O299" s="171"/>
      <c r="P299" s="106"/>
      <c r="Q299" s="353"/>
      <c r="R299" s="106"/>
    </row>
    <row r="300" ht="29.25" customHeight="1">
      <c r="A300" s="216"/>
      <c r="B300" s="349"/>
      <c r="C300" s="350"/>
      <c r="D300" s="351"/>
      <c r="E300" s="340"/>
      <c r="F300" s="173"/>
      <c r="G300" s="168"/>
      <c r="H300" s="168"/>
      <c r="I300" s="169"/>
      <c r="J300" s="170"/>
      <c r="K300" s="170"/>
      <c r="L300" s="170"/>
      <c r="M300" s="167"/>
      <c r="N300" s="169"/>
      <c r="O300" s="171"/>
      <c r="P300" s="106"/>
      <c r="Q300" s="347"/>
      <c r="R300" s="106"/>
    </row>
    <row r="301" ht="29.25" customHeight="1">
      <c r="A301" s="216"/>
      <c r="B301" s="349"/>
      <c r="C301" s="350"/>
      <c r="D301" s="351"/>
      <c r="E301" s="352"/>
      <c r="F301" s="173"/>
      <c r="G301" s="168"/>
      <c r="H301" s="168"/>
      <c r="I301" s="169"/>
      <c r="J301" s="170"/>
      <c r="K301" s="170"/>
      <c r="L301" s="170"/>
      <c r="M301" s="167"/>
      <c r="N301" s="169"/>
      <c r="O301" s="171"/>
      <c r="P301" s="106"/>
      <c r="Q301" s="353"/>
      <c r="R301" s="106"/>
    </row>
    <row r="302" ht="29.25" customHeight="1">
      <c r="A302" s="216"/>
      <c r="B302" s="349"/>
      <c r="C302" s="350"/>
      <c r="D302" s="351"/>
      <c r="E302" s="340"/>
      <c r="F302" s="173"/>
      <c r="G302" s="168"/>
      <c r="H302" s="168"/>
      <c r="I302" s="169"/>
      <c r="J302" s="170"/>
      <c r="K302" s="170"/>
      <c r="L302" s="170"/>
      <c r="M302" s="167"/>
      <c r="N302" s="169"/>
      <c r="O302" s="171"/>
      <c r="P302" s="106"/>
      <c r="Q302" s="347"/>
      <c r="R302" s="106"/>
    </row>
    <row r="303" ht="29.25" customHeight="1">
      <c r="A303" s="216"/>
      <c r="B303" s="349"/>
      <c r="C303" s="350"/>
      <c r="D303" s="351"/>
      <c r="E303" s="352"/>
      <c r="F303" s="173"/>
      <c r="G303" s="168"/>
      <c r="H303" s="168"/>
      <c r="I303" s="169"/>
      <c r="J303" s="170"/>
      <c r="K303" s="170"/>
      <c r="L303" s="170"/>
      <c r="M303" s="167"/>
      <c r="N303" s="169"/>
      <c r="O303" s="171"/>
      <c r="P303" s="106"/>
      <c r="Q303" s="353"/>
      <c r="R303" s="106"/>
    </row>
    <row r="304" ht="29.25" customHeight="1">
      <c r="A304" s="216"/>
      <c r="B304" s="349"/>
      <c r="C304" s="350"/>
      <c r="D304" s="351"/>
      <c r="E304" s="340"/>
      <c r="F304" s="173"/>
      <c r="G304" s="168"/>
      <c r="H304" s="168"/>
      <c r="I304" s="169"/>
      <c r="J304" s="170"/>
      <c r="K304" s="170"/>
      <c r="L304" s="170"/>
      <c r="M304" s="167"/>
      <c r="N304" s="169"/>
      <c r="O304" s="171"/>
      <c r="P304" s="106"/>
      <c r="Q304" s="347"/>
      <c r="R304" s="106"/>
    </row>
    <row r="305" ht="29.25" customHeight="1">
      <c r="A305" s="216"/>
      <c r="B305" s="349"/>
      <c r="C305" s="350"/>
      <c r="D305" s="351"/>
      <c r="E305" s="352"/>
      <c r="F305" s="173"/>
      <c r="G305" s="168"/>
      <c r="H305" s="168"/>
      <c r="I305" s="169"/>
      <c r="J305" s="170"/>
      <c r="K305" s="170"/>
      <c r="L305" s="170"/>
      <c r="M305" s="167"/>
      <c r="N305" s="169"/>
      <c r="O305" s="171"/>
      <c r="P305" s="106"/>
      <c r="Q305" s="353"/>
      <c r="R305" s="106"/>
    </row>
    <row r="306" ht="29.25" customHeight="1">
      <c r="A306" s="216"/>
      <c r="B306" s="349"/>
      <c r="C306" s="350"/>
      <c r="D306" s="351"/>
      <c r="E306" s="340"/>
      <c r="F306" s="173"/>
      <c r="G306" s="168"/>
      <c r="H306" s="168"/>
      <c r="I306" s="169"/>
      <c r="J306" s="170"/>
      <c r="K306" s="170"/>
      <c r="L306" s="170"/>
      <c r="M306" s="167"/>
      <c r="N306" s="169"/>
      <c r="O306" s="171"/>
      <c r="P306" s="106"/>
      <c r="Q306" s="347"/>
      <c r="R306" s="106"/>
    </row>
    <row r="307" ht="29.25" customHeight="1">
      <c r="A307" s="216"/>
      <c r="B307" s="349"/>
      <c r="C307" s="350"/>
      <c r="D307" s="351"/>
      <c r="E307" s="352"/>
      <c r="F307" s="173"/>
      <c r="G307" s="168"/>
      <c r="H307" s="168"/>
      <c r="I307" s="169"/>
      <c r="J307" s="170"/>
      <c r="K307" s="170"/>
      <c r="L307" s="170"/>
      <c r="M307" s="167"/>
      <c r="N307" s="169"/>
      <c r="O307" s="171"/>
      <c r="P307" s="106"/>
      <c r="Q307" s="353"/>
      <c r="R307" s="106"/>
    </row>
    <row r="308" ht="29.25" customHeight="1">
      <c r="A308" s="216"/>
      <c r="B308" s="349"/>
      <c r="C308" s="350"/>
      <c r="D308" s="351"/>
      <c r="E308" s="340"/>
      <c r="F308" s="173"/>
      <c r="G308" s="168"/>
      <c r="H308" s="168"/>
      <c r="I308" s="169"/>
      <c r="J308" s="170"/>
      <c r="K308" s="170"/>
      <c r="L308" s="170"/>
      <c r="M308" s="167"/>
      <c r="N308" s="169"/>
      <c r="O308" s="171"/>
      <c r="P308" s="106"/>
      <c r="Q308" s="347"/>
      <c r="R308" s="106"/>
    </row>
    <row r="309" ht="29.25" customHeight="1">
      <c r="A309" s="216"/>
      <c r="B309" s="349"/>
      <c r="C309" s="350"/>
      <c r="D309" s="351"/>
      <c r="E309" s="352"/>
      <c r="F309" s="173"/>
      <c r="G309" s="168"/>
      <c r="H309" s="168"/>
      <c r="I309" s="169"/>
      <c r="J309" s="170"/>
      <c r="K309" s="170"/>
      <c r="L309" s="170"/>
      <c r="M309" s="167"/>
      <c r="N309" s="169"/>
      <c r="O309" s="171"/>
      <c r="P309" s="106"/>
      <c r="Q309" s="353"/>
      <c r="R309" s="106"/>
    </row>
    <row r="310" ht="29.25" customHeight="1">
      <c r="A310" s="216"/>
      <c r="B310" s="349"/>
      <c r="C310" s="350"/>
      <c r="D310" s="351"/>
      <c r="E310" s="340"/>
      <c r="F310" s="173"/>
      <c r="G310" s="168"/>
      <c r="H310" s="168"/>
      <c r="I310" s="169"/>
      <c r="J310" s="170"/>
      <c r="K310" s="170"/>
      <c r="L310" s="170"/>
      <c r="M310" s="167"/>
      <c r="N310" s="169"/>
      <c r="O310" s="171"/>
      <c r="P310" s="106"/>
      <c r="Q310" s="347"/>
      <c r="R310" s="106"/>
    </row>
    <row r="311" ht="29.25" customHeight="1">
      <c r="A311" s="216"/>
      <c r="B311" s="349"/>
      <c r="C311" s="350"/>
      <c r="D311" s="351"/>
      <c r="E311" s="352"/>
      <c r="F311" s="173"/>
      <c r="G311" s="168"/>
      <c r="H311" s="168"/>
      <c r="I311" s="169"/>
      <c r="J311" s="170"/>
      <c r="K311" s="170"/>
      <c r="L311" s="170"/>
      <c r="M311" s="167"/>
      <c r="N311" s="169"/>
      <c r="O311" s="171"/>
      <c r="P311" s="106"/>
      <c r="Q311" s="353"/>
      <c r="R311" s="106"/>
    </row>
    <row r="312" ht="29.25" customHeight="1">
      <c r="A312" s="216"/>
      <c r="B312" s="349"/>
      <c r="C312" s="350"/>
      <c r="D312" s="351"/>
      <c r="E312" s="340"/>
      <c r="F312" s="173"/>
      <c r="G312" s="168"/>
      <c r="H312" s="168"/>
      <c r="I312" s="169"/>
      <c r="J312" s="170"/>
      <c r="K312" s="170"/>
      <c r="L312" s="170"/>
      <c r="M312" s="167"/>
      <c r="N312" s="169"/>
      <c r="O312" s="171"/>
      <c r="P312" s="106"/>
      <c r="Q312" s="347"/>
      <c r="R312" s="106"/>
    </row>
    <row r="313" ht="29.25" customHeight="1">
      <c r="A313" s="216"/>
      <c r="B313" s="349"/>
      <c r="C313" s="350"/>
      <c r="D313" s="351"/>
      <c r="E313" s="352"/>
      <c r="F313" s="173"/>
      <c r="G313" s="168"/>
      <c r="H313" s="168"/>
      <c r="I313" s="169"/>
      <c r="J313" s="170"/>
      <c r="K313" s="170"/>
      <c r="L313" s="170"/>
      <c r="M313" s="167"/>
      <c r="N313" s="169"/>
      <c r="O313" s="171"/>
      <c r="P313" s="106"/>
      <c r="Q313" s="353"/>
      <c r="R313" s="106"/>
    </row>
    <row r="314" ht="29.25" customHeight="1">
      <c r="A314" s="216"/>
      <c r="B314" s="349"/>
      <c r="C314" s="350"/>
      <c r="D314" s="351"/>
      <c r="E314" s="340"/>
      <c r="F314" s="173"/>
      <c r="G314" s="168"/>
      <c r="H314" s="168"/>
      <c r="I314" s="169"/>
      <c r="J314" s="170"/>
      <c r="K314" s="170"/>
      <c r="L314" s="170"/>
      <c r="M314" s="167"/>
      <c r="N314" s="169"/>
      <c r="O314" s="171"/>
      <c r="P314" s="106"/>
      <c r="Q314" s="347"/>
      <c r="R314" s="106"/>
    </row>
    <row r="315" ht="29.25" customHeight="1">
      <c r="A315" s="216"/>
      <c r="B315" s="349"/>
      <c r="C315" s="350"/>
      <c r="D315" s="351"/>
      <c r="E315" s="352"/>
      <c r="F315" s="173"/>
      <c r="G315" s="168"/>
      <c r="H315" s="168"/>
      <c r="I315" s="169"/>
      <c r="J315" s="170"/>
      <c r="K315" s="170"/>
      <c r="L315" s="170"/>
      <c r="M315" s="167"/>
      <c r="N315" s="169"/>
      <c r="O315" s="171"/>
      <c r="P315" s="106"/>
      <c r="Q315" s="353"/>
      <c r="R315" s="106"/>
    </row>
    <row r="316" ht="29.25" customHeight="1">
      <c r="A316" s="216"/>
      <c r="B316" s="349"/>
      <c r="C316" s="350"/>
      <c r="D316" s="351"/>
      <c r="E316" s="340"/>
      <c r="F316" s="173"/>
      <c r="G316" s="168"/>
      <c r="H316" s="168"/>
      <c r="I316" s="169"/>
      <c r="J316" s="170"/>
      <c r="K316" s="170"/>
      <c r="L316" s="170"/>
      <c r="M316" s="167"/>
      <c r="N316" s="169"/>
      <c r="O316" s="171"/>
      <c r="P316" s="106"/>
      <c r="Q316" s="347"/>
      <c r="R316" s="106"/>
    </row>
    <row r="317" ht="29.25" customHeight="1">
      <c r="A317" s="216"/>
      <c r="B317" s="349"/>
      <c r="C317" s="350"/>
      <c r="D317" s="351"/>
      <c r="E317" s="352"/>
      <c r="F317" s="173"/>
      <c r="G317" s="168"/>
      <c r="H317" s="168"/>
      <c r="I317" s="169"/>
      <c r="J317" s="170"/>
      <c r="K317" s="170"/>
      <c r="L317" s="170"/>
      <c r="M317" s="167"/>
      <c r="N317" s="169"/>
      <c r="O317" s="171"/>
      <c r="P317" s="106"/>
      <c r="Q317" s="353"/>
      <c r="R317" s="106"/>
    </row>
    <row r="318" ht="29.25" customHeight="1">
      <c r="A318" s="216"/>
      <c r="B318" s="349"/>
      <c r="C318" s="350"/>
      <c r="D318" s="351"/>
      <c r="E318" s="340"/>
      <c r="F318" s="173"/>
      <c r="G318" s="168"/>
      <c r="H318" s="168"/>
      <c r="I318" s="169"/>
      <c r="J318" s="170"/>
      <c r="K318" s="170"/>
      <c r="L318" s="170"/>
      <c r="M318" s="167"/>
      <c r="N318" s="169"/>
      <c r="O318" s="171"/>
      <c r="P318" s="106"/>
      <c r="Q318" s="347"/>
      <c r="R318" s="106"/>
    </row>
    <row r="319" ht="29.25" customHeight="1">
      <c r="A319" s="216"/>
      <c r="B319" s="349"/>
      <c r="C319" s="350"/>
      <c r="D319" s="351"/>
      <c r="E319" s="352"/>
      <c r="F319" s="173"/>
      <c r="G319" s="168"/>
      <c r="H319" s="168"/>
      <c r="I319" s="169"/>
      <c r="J319" s="170"/>
      <c r="K319" s="170"/>
      <c r="L319" s="170"/>
      <c r="M319" s="167"/>
      <c r="N319" s="169"/>
      <c r="O319" s="171"/>
      <c r="P319" s="106"/>
      <c r="Q319" s="353"/>
      <c r="R319" s="106"/>
    </row>
    <row r="320" ht="29.25" customHeight="1">
      <c r="A320" s="216"/>
      <c r="B320" s="349"/>
      <c r="C320" s="350"/>
      <c r="D320" s="351"/>
      <c r="E320" s="340"/>
      <c r="F320" s="173"/>
      <c r="G320" s="168"/>
      <c r="H320" s="168"/>
      <c r="I320" s="169"/>
      <c r="J320" s="170"/>
      <c r="K320" s="170"/>
      <c r="L320" s="170"/>
      <c r="M320" s="167"/>
      <c r="N320" s="169"/>
      <c r="O320" s="171"/>
      <c r="P320" s="106"/>
      <c r="Q320" s="347"/>
      <c r="R320" s="106"/>
    </row>
    <row r="321" ht="29.25" customHeight="1">
      <c r="A321" s="216"/>
      <c r="B321" s="349"/>
      <c r="C321" s="350"/>
      <c r="D321" s="351"/>
      <c r="E321" s="352"/>
      <c r="F321" s="173"/>
      <c r="G321" s="168"/>
      <c r="H321" s="168"/>
      <c r="I321" s="169"/>
      <c r="J321" s="170"/>
      <c r="K321" s="170"/>
      <c r="L321" s="170"/>
      <c r="M321" s="167"/>
      <c r="N321" s="169"/>
      <c r="O321" s="171"/>
      <c r="P321" s="106"/>
      <c r="Q321" s="353"/>
      <c r="R321" s="106"/>
    </row>
    <row r="322" ht="29.25" customHeight="1">
      <c r="A322" s="216"/>
      <c r="B322" s="349"/>
      <c r="C322" s="350"/>
      <c r="D322" s="351"/>
      <c r="E322" s="340"/>
      <c r="F322" s="173"/>
      <c r="G322" s="168"/>
      <c r="H322" s="168"/>
      <c r="I322" s="169"/>
      <c r="J322" s="170"/>
      <c r="K322" s="170"/>
      <c r="L322" s="170"/>
      <c r="M322" s="167"/>
      <c r="N322" s="169"/>
      <c r="O322" s="171"/>
      <c r="P322" s="106"/>
      <c r="Q322" s="347"/>
      <c r="R322" s="106"/>
    </row>
    <row r="323" ht="29.25" customHeight="1">
      <c r="A323" s="216"/>
      <c r="B323" s="349"/>
      <c r="C323" s="350"/>
      <c r="D323" s="351"/>
      <c r="E323" s="352"/>
      <c r="F323" s="173"/>
      <c r="G323" s="168"/>
      <c r="H323" s="168"/>
      <c r="I323" s="169"/>
      <c r="J323" s="170"/>
      <c r="K323" s="170"/>
      <c r="L323" s="170"/>
      <c r="M323" s="167"/>
      <c r="N323" s="169"/>
      <c r="O323" s="171"/>
      <c r="P323" s="106"/>
      <c r="Q323" s="353"/>
      <c r="R323" s="106"/>
    </row>
    <row r="324" ht="29.25" customHeight="1">
      <c r="A324" s="216"/>
      <c r="B324" s="349"/>
      <c r="C324" s="350"/>
      <c r="D324" s="351"/>
      <c r="E324" s="340"/>
      <c r="F324" s="173"/>
      <c r="G324" s="168"/>
      <c r="H324" s="168"/>
      <c r="I324" s="169"/>
      <c r="J324" s="170"/>
      <c r="K324" s="170"/>
      <c r="L324" s="170"/>
      <c r="M324" s="167"/>
      <c r="N324" s="169"/>
      <c r="O324" s="171"/>
      <c r="P324" s="106"/>
      <c r="Q324" s="347"/>
      <c r="R324" s="106"/>
    </row>
    <row r="325" ht="29.25" customHeight="1">
      <c r="A325" s="216"/>
      <c r="B325" s="349"/>
      <c r="C325" s="350"/>
      <c r="D325" s="351"/>
      <c r="E325" s="352"/>
      <c r="F325" s="173"/>
      <c r="G325" s="168"/>
      <c r="H325" s="168"/>
      <c r="I325" s="169"/>
      <c r="J325" s="170"/>
      <c r="K325" s="170"/>
      <c r="L325" s="170"/>
      <c r="M325" s="167"/>
      <c r="N325" s="169"/>
      <c r="O325" s="171"/>
      <c r="P325" s="106"/>
      <c r="Q325" s="353"/>
      <c r="R325" s="106"/>
    </row>
    <row r="326" ht="29.25" customHeight="1">
      <c r="A326" s="216"/>
      <c r="B326" s="349"/>
      <c r="C326" s="350"/>
      <c r="D326" s="351"/>
      <c r="E326" s="340"/>
      <c r="F326" s="173"/>
      <c r="G326" s="168"/>
      <c r="H326" s="168"/>
      <c r="I326" s="169"/>
      <c r="J326" s="170"/>
      <c r="K326" s="170"/>
      <c r="L326" s="170"/>
      <c r="M326" s="167"/>
      <c r="N326" s="169"/>
      <c r="O326" s="171"/>
      <c r="P326" s="106"/>
      <c r="Q326" s="347"/>
      <c r="R326" s="106"/>
    </row>
    <row r="327" ht="29.25" customHeight="1">
      <c r="A327" s="216"/>
      <c r="B327" s="349"/>
      <c r="C327" s="350"/>
      <c r="D327" s="351"/>
      <c r="E327" s="352"/>
      <c r="F327" s="173"/>
      <c r="G327" s="168"/>
      <c r="H327" s="168"/>
      <c r="I327" s="169"/>
      <c r="J327" s="170"/>
      <c r="K327" s="170"/>
      <c r="L327" s="170"/>
      <c r="M327" s="167"/>
      <c r="N327" s="169"/>
      <c r="O327" s="171"/>
      <c r="P327" s="106"/>
      <c r="Q327" s="353"/>
      <c r="R327" s="106"/>
    </row>
    <row r="328" ht="29.25" customHeight="1">
      <c r="A328" s="216"/>
      <c r="B328" s="349"/>
      <c r="C328" s="350"/>
      <c r="D328" s="351"/>
      <c r="E328" s="340"/>
      <c r="F328" s="173"/>
      <c r="G328" s="168"/>
      <c r="H328" s="168"/>
      <c r="I328" s="169"/>
      <c r="J328" s="170"/>
      <c r="K328" s="170"/>
      <c r="L328" s="170"/>
      <c r="M328" s="167"/>
      <c r="N328" s="169"/>
      <c r="O328" s="171"/>
      <c r="P328" s="106"/>
      <c r="Q328" s="347"/>
      <c r="R328" s="106"/>
    </row>
    <row r="329" ht="29.25" customHeight="1">
      <c r="A329" s="216"/>
      <c r="B329" s="349"/>
      <c r="C329" s="350"/>
      <c r="D329" s="351"/>
      <c r="E329" s="352"/>
      <c r="F329" s="173"/>
      <c r="G329" s="168"/>
      <c r="H329" s="168"/>
      <c r="I329" s="169"/>
      <c r="J329" s="170"/>
      <c r="K329" s="170"/>
      <c r="L329" s="170"/>
      <c r="M329" s="167"/>
      <c r="N329" s="169"/>
      <c r="O329" s="171"/>
      <c r="P329" s="106"/>
      <c r="Q329" s="353"/>
      <c r="R329" s="106"/>
    </row>
    <row r="330" ht="29.25" customHeight="1">
      <c r="A330" s="216"/>
      <c r="B330" s="349"/>
      <c r="C330" s="350"/>
      <c r="D330" s="351"/>
      <c r="E330" s="340"/>
      <c r="F330" s="173"/>
      <c r="G330" s="168"/>
      <c r="H330" s="168"/>
      <c r="I330" s="169"/>
      <c r="J330" s="170"/>
      <c r="K330" s="170"/>
      <c r="L330" s="170"/>
      <c r="M330" s="167"/>
      <c r="N330" s="169"/>
      <c r="O330" s="171"/>
      <c r="P330" s="106"/>
      <c r="Q330" s="347"/>
      <c r="R330" s="106"/>
    </row>
    <row r="331" ht="29.25" customHeight="1">
      <c r="A331" s="216"/>
      <c r="B331" s="349"/>
      <c r="C331" s="350"/>
      <c r="D331" s="351"/>
      <c r="E331" s="352"/>
      <c r="F331" s="173"/>
      <c r="G331" s="168"/>
      <c r="H331" s="168"/>
      <c r="I331" s="169"/>
      <c r="J331" s="170"/>
      <c r="K331" s="170"/>
      <c r="L331" s="170"/>
      <c r="M331" s="167"/>
      <c r="N331" s="169"/>
      <c r="O331" s="171"/>
      <c r="P331" s="106"/>
      <c r="Q331" s="353"/>
      <c r="R331" s="106"/>
    </row>
    <row r="332" ht="29.25" customHeight="1">
      <c r="A332" s="216"/>
      <c r="B332" s="349"/>
      <c r="C332" s="350"/>
      <c r="D332" s="351"/>
      <c r="E332" s="340"/>
      <c r="F332" s="173"/>
      <c r="G332" s="168"/>
      <c r="H332" s="168"/>
      <c r="I332" s="169"/>
      <c r="J332" s="170"/>
      <c r="K332" s="170"/>
      <c r="L332" s="170"/>
      <c r="M332" s="167"/>
      <c r="N332" s="169"/>
      <c r="O332" s="171"/>
      <c r="P332" s="106"/>
      <c r="Q332" s="347"/>
      <c r="R332" s="106"/>
    </row>
    <row r="333" ht="29.25" customHeight="1">
      <c r="A333" s="216"/>
      <c r="B333" s="349"/>
      <c r="C333" s="350"/>
      <c r="D333" s="351"/>
      <c r="E333" s="352"/>
      <c r="F333" s="173"/>
      <c r="G333" s="168"/>
      <c r="H333" s="168"/>
      <c r="I333" s="169"/>
      <c r="J333" s="170"/>
      <c r="K333" s="170"/>
      <c r="L333" s="170"/>
      <c r="M333" s="167"/>
      <c r="N333" s="169"/>
      <c r="O333" s="171"/>
      <c r="P333" s="106"/>
      <c r="Q333" s="353"/>
      <c r="R333" s="106"/>
    </row>
    <row r="334" ht="29.25" customHeight="1">
      <c r="A334" s="216"/>
      <c r="B334" s="349"/>
      <c r="C334" s="350"/>
      <c r="D334" s="351"/>
      <c r="E334" s="340"/>
      <c r="F334" s="173"/>
      <c r="G334" s="168"/>
      <c r="H334" s="168"/>
      <c r="I334" s="169"/>
      <c r="J334" s="170"/>
      <c r="K334" s="170"/>
      <c r="L334" s="170"/>
      <c r="M334" s="167"/>
      <c r="N334" s="169"/>
      <c r="O334" s="171"/>
      <c r="P334" s="106"/>
      <c r="Q334" s="347"/>
      <c r="R334" s="106"/>
    </row>
    <row r="335" ht="29.25" customHeight="1">
      <c r="A335" s="216"/>
      <c r="B335" s="349"/>
      <c r="C335" s="350"/>
      <c r="D335" s="351"/>
      <c r="E335" s="352"/>
      <c r="F335" s="173"/>
      <c r="G335" s="168"/>
      <c r="H335" s="168"/>
      <c r="I335" s="169"/>
      <c r="J335" s="170"/>
      <c r="K335" s="170"/>
      <c r="L335" s="170"/>
      <c r="M335" s="167"/>
      <c r="N335" s="169"/>
      <c r="O335" s="171"/>
      <c r="P335" s="106"/>
      <c r="Q335" s="353"/>
      <c r="R335" s="106"/>
    </row>
    <row r="336" ht="29.25" customHeight="1">
      <c r="A336" s="216"/>
      <c r="B336" s="349"/>
      <c r="C336" s="350"/>
      <c r="D336" s="351"/>
      <c r="E336" s="340"/>
      <c r="F336" s="173"/>
      <c r="G336" s="168"/>
      <c r="H336" s="168"/>
      <c r="I336" s="169"/>
      <c r="J336" s="170"/>
      <c r="K336" s="170"/>
      <c r="L336" s="170"/>
      <c r="M336" s="167"/>
      <c r="N336" s="169"/>
      <c r="O336" s="171"/>
      <c r="P336" s="106"/>
      <c r="Q336" s="347"/>
      <c r="R336" s="106"/>
    </row>
    <row r="337" ht="29.25" customHeight="1">
      <c r="A337" s="216"/>
      <c r="B337" s="349"/>
      <c r="C337" s="350"/>
      <c r="D337" s="351"/>
      <c r="E337" s="352"/>
      <c r="F337" s="173"/>
      <c r="G337" s="168"/>
      <c r="H337" s="168"/>
      <c r="I337" s="169"/>
      <c r="J337" s="170"/>
      <c r="K337" s="170"/>
      <c r="L337" s="170"/>
      <c r="M337" s="167"/>
      <c r="N337" s="169"/>
      <c r="O337" s="171"/>
      <c r="P337" s="106"/>
      <c r="Q337" s="353"/>
      <c r="R337" s="106"/>
    </row>
    <row r="338" ht="29.25" customHeight="1">
      <c r="A338" s="216"/>
      <c r="B338" s="349"/>
      <c r="C338" s="350"/>
      <c r="D338" s="351"/>
      <c r="E338" s="340"/>
      <c r="F338" s="173"/>
      <c r="G338" s="168"/>
      <c r="H338" s="168"/>
      <c r="I338" s="169"/>
      <c r="J338" s="170"/>
      <c r="K338" s="170"/>
      <c r="L338" s="170"/>
      <c r="M338" s="167"/>
      <c r="N338" s="169"/>
      <c r="O338" s="171"/>
      <c r="P338" s="106"/>
      <c r="Q338" s="347"/>
      <c r="R338" s="106"/>
    </row>
    <row r="339" ht="29.25" customHeight="1">
      <c r="A339" s="216"/>
      <c r="B339" s="349"/>
      <c r="C339" s="350"/>
      <c r="D339" s="351"/>
      <c r="E339" s="352"/>
      <c r="F339" s="173"/>
      <c r="G339" s="168"/>
      <c r="H339" s="168"/>
      <c r="I339" s="169"/>
      <c r="J339" s="170"/>
      <c r="K339" s="170"/>
      <c r="L339" s="170"/>
      <c r="M339" s="167"/>
      <c r="N339" s="169"/>
      <c r="O339" s="171"/>
      <c r="P339" s="106"/>
      <c r="Q339" s="353"/>
      <c r="R339" s="106"/>
    </row>
    <row r="340" ht="29.25" customHeight="1">
      <c r="A340" s="216"/>
      <c r="B340" s="349"/>
      <c r="C340" s="350"/>
      <c r="D340" s="351"/>
      <c r="E340" s="340"/>
      <c r="F340" s="173"/>
      <c r="G340" s="168"/>
      <c r="H340" s="168"/>
      <c r="I340" s="169"/>
      <c r="J340" s="170"/>
      <c r="K340" s="170"/>
      <c r="L340" s="170"/>
      <c r="M340" s="167"/>
      <c r="N340" s="169"/>
      <c r="O340" s="171"/>
      <c r="P340" s="106"/>
      <c r="Q340" s="347"/>
      <c r="R340" s="106"/>
    </row>
    <row r="341" ht="29.25" customHeight="1">
      <c r="A341" s="216"/>
      <c r="B341" s="349"/>
      <c r="C341" s="350"/>
      <c r="D341" s="351"/>
      <c r="E341" s="352"/>
      <c r="F341" s="173"/>
      <c r="G341" s="168"/>
      <c r="H341" s="168"/>
      <c r="I341" s="169"/>
      <c r="J341" s="170"/>
      <c r="K341" s="170"/>
      <c r="L341" s="170"/>
      <c r="M341" s="167"/>
      <c r="N341" s="169"/>
      <c r="O341" s="171"/>
      <c r="P341" s="106"/>
      <c r="Q341" s="353"/>
      <c r="R341" s="106"/>
    </row>
    <row r="342" ht="29.25" customHeight="1">
      <c r="A342" s="216"/>
      <c r="B342" s="349"/>
      <c r="C342" s="350"/>
      <c r="D342" s="351"/>
      <c r="E342" s="340"/>
      <c r="F342" s="173"/>
      <c r="G342" s="168"/>
      <c r="H342" s="168"/>
      <c r="I342" s="169"/>
      <c r="J342" s="170"/>
      <c r="K342" s="170"/>
      <c r="L342" s="170"/>
      <c r="M342" s="167"/>
      <c r="N342" s="169"/>
      <c r="O342" s="171"/>
      <c r="P342" s="106"/>
      <c r="Q342" s="347"/>
      <c r="R342" s="106"/>
    </row>
    <row r="343" ht="29.25" customHeight="1">
      <c r="A343" s="216"/>
      <c r="B343" s="349"/>
      <c r="C343" s="350"/>
      <c r="D343" s="351"/>
      <c r="E343" s="352"/>
      <c r="F343" s="173"/>
      <c r="G343" s="168"/>
      <c r="H343" s="168"/>
      <c r="I343" s="169"/>
      <c r="J343" s="170"/>
      <c r="K343" s="170"/>
      <c r="L343" s="170"/>
      <c r="M343" s="167"/>
      <c r="N343" s="169"/>
      <c r="O343" s="171"/>
      <c r="P343" s="106"/>
      <c r="Q343" s="353"/>
      <c r="R343" s="106"/>
    </row>
    <row r="344" ht="29.25" customHeight="1">
      <c r="A344" s="216"/>
      <c r="B344" s="349"/>
      <c r="C344" s="350"/>
      <c r="D344" s="351"/>
      <c r="E344" s="340"/>
      <c r="F344" s="173"/>
      <c r="G344" s="168"/>
      <c r="H344" s="168"/>
      <c r="I344" s="169"/>
      <c r="J344" s="170"/>
      <c r="K344" s="170"/>
      <c r="L344" s="170"/>
      <c r="M344" s="167"/>
      <c r="N344" s="169"/>
      <c r="O344" s="171"/>
      <c r="P344" s="106"/>
      <c r="Q344" s="347"/>
      <c r="R344" s="106"/>
    </row>
    <row r="345" ht="29.25" customHeight="1">
      <c r="A345" s="216"/>
      <c r="B345" s="349"/>
      <c r="C345" s="350"/>
      <c r="D345" s="351"/>
      <c r="E345" s="352"/>
      <c r="F345" s="173"/>
      <c r="G345" s="168"/>
      <c r="H345" s="168"/>
      <c r="I345" s="169"/>
      <c r="J345" s="170"/>
      <c r="K345" s="170"/>
      <c r="L345" s="170"/>
      <c r="M345" s="167"/>
      <c r="N345" s="169"/>
      <c r="O345" s="171"/>
      <c r="P345" s="106"/>
      <c r="Q345" s="353"/>
      <c r="R345" s="106"/>
    </row>
    <row r="346" ht="29.25" customHeight="1">
      <c r="A346" s="216"/>
      <c r="B346" s="349"/>
      <c r="C346" s="350"/>
      <c r="D346" s="351"/>
      <c r="E346" s="340"/>
      <c r="F346" s="173"/>
      <c r="G346" s="168"/>
      <c r="H346" s="168"/>
      <c r="I346" s="169"/>
      <c r="J346" s="170"/>
      <c r="K346" s="170"/>
      <c r="L346" s="170"/>
      <c r="M346" s="167"/>
      <c r="N346" s="169"/>
      <c r="O346" s="171"/>
      <c r="P346" s="106"/>
      <c r="Q346" s="347"/>
      <c r="R346" s="106"/>
    </row>
    <row r="347" ht="29.25" customHeight="1">
      <c r="A347" s="216"/>
      <c r="B347" s="349"/>
      <c r="C347" s="350"/>
      <c r="D347" s="351"/>
      <c r="E347" s="352"/>
      <c r="F347" s="173"/>
      <c r="G347" s="168"/>
      <c r="H347" s="168"/>
      <c r="I347" s="169"/>
      <c r="J347" s="170"/>
      <c r="K347" s="170"/>
      <c r="L347" s="170"/>
      <c r="M347" s="167"/>
      <c r="N347" s="169"/>
      <c r="O347" s="171"/>
      <c r="P347" s="106"/>
      <c r="Q347" s="353"/>
      <c r="R347" s="106"/>
    </row>
    <row r="348" ht="29.25" customHeight="1">
      <c r="A348" s="216"/>
      <c r="B348" s="349"/>
      <c r="C348" s="350"/>
      <c r="D348" s="351"/>
      <c r="E348" s="340"/>
      <c r="F348" s="173"/>
      <c r="G348" s="168"/>
      <c r="H348" s="168"/>
      <c r="I348" s="169"/>
      <c r="J348" s="170"/>
      <c r="K348" s="170"/>
      <c r="L348" s="170"/>
      <c r="M348" s="167"/>
      <c r="N348" s="169"/>
      <c r="O348" s="171"/>
      <c r="P348" s="106"/>
      <c r="Q348" s="347"/>
      <c r="R348" s="106"/>
    </row>
    <row r="349" ht="29.25" customHeight="1">
      <c r="A349" s="216"/>
      <c r="B349" s="349"/>
      <c r="C349" s="350"/>
      <c r="D349" s="351"/>
      <c r="E349" s="352"/>
      <c r="F349" s="173"/>
      <c r="G349" s="168"/>
      <c r="H349" s="168"/>
      <c r="I349" s="169"/>
      <c r="J349" s="170"/>
      <c r="K349" s="170"/>
      <c r="L349" s="170"/>
      <c r="M349" s="167"/>
      <c r="N349" s="169"/>
      <c r="O349" s="171"/>
      <c r="P349" s="106"/>
      <c r="Q349" s="353"/>
      <c r="R349" s="106"/>
    </row>
    <row r="350" ht="29.25" customHeight="1">
      <c r="A350" s="216"/>
      <c r="B350" s="349"/>
      <c r="C350" s="350"/>
      <c r="D350" s="351"/>
      <c r="E350" s="340"/>
      <c r="F350" s="173"/>
      <c r="G350" s="168"/>
      <c r="H350" s="168"/>
      <c r="I350" s="169"/>
      <c r="J350" s="170"/>
      <c r="K350" s="170"/>
      <c r="L350" s="170"/>
      <c r="M350" s="167"/>
      <c r="N350" s="169"/>
      <c r="O350" s="171"/>
      <c r="P350" s="106"/>
      <c r="Q350" s="347"/>
      <c r="R350" s="106"/>
    </row>
    <row r="351" ht="29.25" customHeight="1">
      <c r="A351" s="216"/>
      <c r="B351" s="349"/>
      <c r="C351" s="350"/>
      <c r="D351" s="351"/>
      <c r="E351" s="352"/>
      <c r="F351" s="173"/>
      <c r="G351" s="168"/>
      <c r="H351" s="168"/>
      <c r="I351" s="169"/>
      <c r="J351" s="170"/>
      <c r="K351" s="170"/>
      <c r="L351" s="170"/>
      <c r="M351" s="167"/>
      <c r="N351" s="169"/>
      <c r="O351" s="171"/>
      <c r="P351" s="106"/>
      <c r="Q351" s="353"/>
      <c r="R351" s="106"/>
    </row>
    <row r="352" ht="29.25" customHeight="1">
      <c r="A352" s="216"/>
      <c r="B352" s="349"/>
      <c r="C352" s="350"/>
      <c r="D352" s="351"/>
      <c r="E352" s="340"/>
      <c r="F352" s="173"/>
      <c r="G352" s="168"/>
      <c r="H352" s="168"/>
      <c r="I352" s="169"/>
      <c r="J352" s="170"/>
      <c r="K352" s="170"/>
      <c r="L352" s="170"/>
      <c r="M352" s="167"/>
      <c r="N352" s="169"/>
      <c r="O352" s="171"/>
      <c r="P352" s="106"/>
      <c r="Q352" s="347"/>
      <c r="R352" s="106"/>
    </row>
    <row r="353" ht="29.25" customHeight="1">
      <c r="A353" s="216"/>
      <c r="B353" s="349"/>
      <c r="C353" s="350"/>
      <c r="D353" s="351"/>
      <c r="E353" s="352"/>
      <c r="F353" s="173"/>
      <c r="G353" s="168"/>
      <c r="H353" s="168"/>
      <c r="I353" s="169"/>
      <c r="J353" s="170"/>
      <c r="K353" s="170"/>
      <c r="L353" s="170"/>
      <c r="M353" s="167"/>
      <c r="N353" s="169"/>
      <c r="O353" s="171"/>
      <c r="P353" s="106"/>
      <c r="Q353" s="353"/>
      <c r="R353" s="106"/>
    </row>
    <row r="354" ht="29.25" customHeight="1">
      <c r="A354" s="216"/>
      <c r="B354" s="349"/>
      <c r="C354" s="350"/>
      <c r="D354" s="351"/>
      <c r="E354" s="340"/>
      <c r="F354" s="173"/>
      <c r="G354" s="168"/>
      <c r="H354" s="168"/>
      <c r="I354" s="169"/>
      <c r="J354" s="170"/>
      <c r="K354" s="170"/>
      <c r="L354" s="170"/>
      <c r="M354" s="167"/>
      <c r="N354" s="169"/>
      <c r="O354" s="171"/>
      <c r="P354" s="106"/>
      <c r="Q354" s="347"/>
      <c r="R354" s="106"/>
    </row>
    <row r="355" ht="29.25" customHeight="1">
      <c r="A355" s="216"/>
      <c r="B355" s="349"/>
      <c r="C355" s="350"/>
      <c r="D355" s="351"/>
      <c r="E355" s="352"/>
      <c r="F355" s="173"/>
      <c r="G355" s="168"/>
      <c r="H355" s="168"/>
      <c r="I355" s="169"/>
      <c r="J355" s="170"/>
      <c r="K355" s="170"/>
      <c r="L355" s="170"/>
      <c r="M355" s="167"/>
      <c r="N355" s="169"/>
      <c r="O355" s="171"/>
      <c r="P355" s="106"/>
      <c r="Q355" s="353"/>
      <c r="R355" s="106"/>
    </row>
    <row r="356" ht="29.25" customHeight="1">
      <c r="A356" s="216"/>
      <c r="B356" s="349"/>
      <c r="C356" s="350"/>
      <c r="D356" s="351"/>
      <c r="E356" s="340"/>
      <c r="F356" s="173"/>
      <c r="G356" s="168"/>
      <c r="H356" s="168"/>
      <c r="I356" s="169"/>
      <c r="J356" s="170"/>
      <c r="K356" s="170"/>
      <c r="L356" s="170"/>
      <c r="M356" s="167"/>
      <c r="N356" s="169"/>
      <c r="O356" s="171"/>
      <c r="P356" s="106"/>
      <c r="Q356" s="347"/>
      <c r="R356" s="106"/>
    </row>
    <row r="357" ht="29.25" customHeight="1">
      <c r="A357" s="216"/>
      <c r="B357" s="349"/>
      <c r="C357" s="350"/>
      <c r="D357" s="351"/>
      <c r="E357" s="352"/>
      <c r="F357" s="173"/>
      <c r="G357" s="168"/>
      <c r="H357" s="168"/>
      <c r="I357" s="169"/>
      <c r="J357" s="170"/>
      <c r="K357" s="170"/>
      <c r="L357" s="170"/>
      <c r="M357" s="167"/>
      <c r="N357" s="169"/>
      <c r="O357" s="171"/>
      <c r="P357" s="106"/>
      <c r="Q357" s="353"/>
      <c r="R357" s="106"/>
    </row>
    <row r="358" ht="29.25" customHeight="1">
      <c r="A358" s="216"/>
      <c r="B358" s="349"/>
      <c r="C358" s="350"/>
      <c r="D358" s="351"/>
      <c r="E358" s="340"/>
      <c r="F358" s="173"/>
      <c r="G358" s="168"/>
      <c r="H358" s="168"/>
      <c r="I358" s="169"/>
      <c r="J358" s="170"/>
      <c r="K358" s="170"/>
      <c r="L358" s="170"/>
      <c r="M358" s="167"/>
      <c r="N358" s="169"/>
      <c r="O358" s="171"/>
      <c r="P358" s="106"/>
      <c r="Q358" s="347"/>
      <c r="R358" s="106"/>
    </row>
    <row r="359" ht="29.25" customHeight="1">
      <c r="A359" s="216"/>
      <c r="B359" s="349"/>
      <c r="C359" s="350"/>
      <c r="D359" s="351"/>
      <c r="E359" s="352"/>
      <c r="F359" s="173"/>
      <c r="G359" s="168"/>
      <c r="H359" s="168"/>
      <c r="I359" s="169"/>
      <c r="J359" s="170"/>
      <c r="K359" s="170"/>
      <c r="L359" s="170"/>
      <c r="M359" s="167"/>
      <c r="N359" s="169"/>
      <c r="O359" s="171"/>
      <c r="P359" s="106"/>
      <c r="Q359" s="353"/>
      <c r="R359" s="106"/>
    </row>
    <row r="360" ht="29.25" customHeight="1">
      <c r="A360" s="216"/>
      <c r="B360" s="349"/>
      <c r="C360" s="350"/>
      <c r="D360" s="351"/>
      <c r="E360" s="340"/>
      <c r="F360" s="173"/>
      <c r="G360" s="168"/>
      <c r="H360" s="168"/>
      <c r="I360" s="169"/>
      <c r="J360" s="170"/>
      <c r="K360" s="170"/>
      <c r="L360" s="170"/>
      <c r="M360" s="167"/>
      <c r="N360" s="169"/>
      <c r="O360" s="171"/>
      <c r="P360" s="106"/>
      <c r="Q360" s="347"/>
      <c r="R360" s="106"/>
    </row>
    <row r="361" ht="29.25" customHeight="1">
      <c r="A361" s="216"/>
      <c r="B361" s="349"/>
      <c r="C361" s="350"/>
      <c r="D361" s="351"/>
      <c r="E361" s="352"/>
      <c r="F361" s="173"/>
      <c r="G361" s="168"/>
      <c r="H361" s="168"/>
      <c r="I361" s="169"/>
      <c r="J361" s="170"/>
      <c r="K361" s="170"/>
      <c r="L361" s="170"/>
      <c r="M361" s="167"/>
      <c r="N361" s="169"/>
      <c r="O361" s="171"/>
      <c r="P361" s="106"/>
      <c r="Q361" s="353"/>
      <c r="R361" s="106"/>
    </row>
    <row r="362" ht="29.25" customHeight="1">
      <c r="A362" s="216"/>
      <c r="B362" s="349"/>
      <c r="C362" s="350"/>
      <c r="D362" s="351"/>
      <c r="E362" s="340"/>
      <c r="F362" s="173"/>
      <c r="G362" s="168"/>
      <c r="H362" s="168"/>
      <c r="I362" s="169"/>
      <c r="J362" s="170"/>
      <c r="K362" s="170"/>
      <c r="L362" s="170"/>
      <c r="M362" s="167"/>
      <c r="N362" s="169"/>
      <c r="O362" s="171"/>
      <c r="P362" s="106"/>
      <c r="Q362" s="347"/>
      <c r="R362" s="106"/>
    </row>
    <row r="363" ht="29.25" customHeight="1">
      <c r="A363" s="216"/>
      <c r="B363" s="349"/>
      <c r="C363" s="350"/>
      <c r="D363" s="351"/>
      <c r="E363" s="352"/>
      <c r="F363" s="173"/>
      <c r="G363" s="168"/>
      <c r="H363" s="168"/>
      <c r="I363" s="169"/>
      <c r="J363" s="170"/>
      <c r="K363" s="170"/>
      <c r="L363" s="170"/>
      <c r="M363" s="167"/>
      <c r="N363" s="169"/>
      <c r="O363" s="171"/>
      <c r="P363" s="106"/>
      <c r="Q363" s="353"/>
      <c r="R363" s="106"/>
    </row>
    <row r="364" ht="29.25" customHeight="1">
      <c r="A364" s="216"/>
      <c r="B364" s="349"/>
      <c r="C364" s="350"/>
      <c r="D364" s="351"/>
      <c r="E364" s="340"/>
      <c r="F364" s="173"/>
      <c r="G364" s="168"/>
      <c r="H364" s="168"/>
      <c r="I364" s="169"/>
      <c r="J364" s="170"/>
      <c r="K364" s="170"/>
      <c r="L364" s="170"/>
      <c r="M364" s="167"/>
      <c r="N364" s="169"/>
      <c r="O364" s="171"/>
      <c r="P364" s="106"/>
      <c r="Q364" s="347"/>
      <c r="R364" s="106"/>
    </row>
    <row r="365" ht="29.25" customHeight="1">
      <c r="A365" s="216"/>
      <c r="B365" s="349"/>
      <c r="C365" s="350"/>
      <c r="D365" s="351"/>
      <c r="E365" s="352"/>
      <c r="F365" s="173"/>
      <c r="G365" s="168"/>
      <c r="H365" s="168"/>
      <c r="I365" s="169"/>
      <c r="J365" s="170"/>
      <c r="K365" s="170"/>
      <c r="L365" s="170"/>
      <c r="M365" s="167"/>
      <c r="N365" s="169"/>
      <c r="O365" s="171"/>
      <c r="P365" s="106"/>
      <c r="Q365" s="353"/>
      <c r="R365" s="106"/>
    </row>
    <row r="366" ht="29.25" customHeight="1">
      <c r="A366" s="216"/>
      <c r="B366" s="349"/>
      <c r="C366" s="350"/>
      <c r="D366" s="351"/>
      <c r="E366" s="340"/>
      <c r="F366" s="173"/>
      <c r="G366" s="168"/>
      <c r="H366" s="168"/>
      <c r="I366" s="169"/>
      <c r="J366" s="170"/>
      <c r="K366" s="170"/>
      <c r="L366" s="170"/>
      <c r="M366" s="167"/>
      <c r="N366" s="169"/>
      <c r="O366" s="171"/>
      <c r="P366" s="106"/>
      <c r="Q366" s="347"/>
      <c r="R366" s="106"/>
    </row>
    <row r="367" ht="29.25" customHeight="1">
      <c r="A367" s="216"/>
      <c r="B367" s="349"/>
      <c r="C367" s="350"/>
      <c r="D367" s="351"/>
      <c r="E367" s="352"/>
      <c r="F367" s="173"/>
      <c r="G367" s="168"/>
      <c r="H367" s="168"/>
      <c r="I367" s="169"/>
      <c r="J367" s="170"/>
      <c r="K367" s="170"/>
      <c r="L367" s="170"/>
      <c r="M367" s="167"/>
      <c r="N367" s="169"/>
      <c r="O367" s="171"/>
      <c r="P367" s="106"/>
      <c r="Q367" s="353"/>
      <c r="R367" s="106"/>
    </row>
    <row r="368" ht="29.25" customHeight="1">
      <c r="A368" s="216"/>
      <c r="B368" s="349"/>
      <c r="C368" s="350"/>
      <c r="D368" s="351"/>
      <c r="E368" s="340"/>
      <c r="F368" s="173"/>
      <c r="G368" s="168"/>
      <c r="H368" s="168"/>
      <c r="I368" s="169"/>
      <c r="J368" s="170"/>
      <c r="K368" s="170"/>
      <c r="L368" s="170"/>
      <c r="M368" s="167"/>
      <c r="N368" s="169"/>
      <c r="O368" s="171"/>
      <c r="P368" s="106"/>
      <c r="Q368" s="347"/>
      <c r="R368" s="106"/>
    </row>
    <row r="369" ht="29.25" customHeight="1">
      <c r="A369" s="216"/>
      <c r="B369" s="349"/>
      <c r="C369" s="350"/>
      <c r="D369" s="351"/>
      <c r="E369" s="352"/>
      <c r="F369" s="173"/>
      <c r="G369" s="168"/>
      <c r="H369" s="168"/>
      <c r="I369" s="169"/>
      <c r="J369" s="170"/>
      <c r="K369" s="170"/>
      <c r="L369" s="170"/>
      <c r="M369" s="167"/>
      <c r="N369" s="169"/>
      <c r="O369" s="171"/>
      <c r="P369" s="106"/>
      <c r="Q369" s="353"/>
      <c r="R369" s="106"/>
    </row>
    <row r="370" ht="29.25" customHeight="1">
      <c r="A370" s="216"/>
      <c r="B370" s="349"/>
      <c r="C370" s="350"/>
      <c r="D370" s="351"/>
      <c r="E370" s="340"/>
      <c r="F370" s="173"/>
      <c r="G370" s="168"/>
      <c r="H370" s="168"/>
      <c r="I370" s="169"/>
      <c r="J370" s="170"/>
      <c r="K370" s="170"/>
      <c r="L370" s="170"/>
      <c r="M370" s="167"/>
      <c r="N370" s="169"/>
      <c r="O370" s="171"/>
      <c r="P370" s="106"/>
      <c r="Q370" s="347"/>
      <c r="R370" s="106"/>
    </row>
    <row r="371" ht="29.25" customHeight="1">
      <c r="A371" s="216"/>
      <c r="B371" s="349"/>
      <c r="C371" s="350"/>
      <c r="D371" s="351"/>
      <c r="E371" s="352"/>
      <c r="F371" s="173"/>
      <c r="G371" s="168"/>
      <c r="H371" s="168"/>
      <c r="I371" s="169"/>
      <c r="J371" s="170"/>
      <c r="K371" s="170"/>
      <c r="L371" s="170"/>
      <c r="M371" s="167"/>
      <c r="N371" s="169"/>
      <c r="O371" s="171"/>
      <c r="P371" s="106"/>
      <c r="Q371" s="353"/>
      <c r="R371" s="106"/>
    </row>
    <row r="372" ht="29.25" customHeight="1">
      <c r="A372" s="216"/>
      <c r="B372" s="349"/>
      <c r="C372" s="350"/>
      <c r="D372" s="351"/>
      <c r="E372" s="340"/>
      <c r="F372" s="173"/>
      <c r="G372" s="168"/>
      <c r="H372" s="168"/>
      <c r="I372" s="169"/>
      <c r="J372" s="170"/>
      <c r="K372" s="170"/>
      <c r="L372" s="170"/>
      <c r="M372" s="167"/>
      <c r="N372" s="169"/>
      <c r="O372" s="171"/>
      <c r="P372" s="106"/>
      <c r="Q372" s="347"/>
      <c r="R372" s="106"/>
    </row>
    <row r="373" ht="29.25" customHeight="1">
      <c r="A373" s="216"/>
      <c r="B373" s="349"/>
      <c r="C373" s="350"/>
      <c r="D373" s="351"/>
      <c r="E373" s="352"/>
      <c r="F373" s="173"/>
      <c r="G373" s="168"/>
      <c r="H373" s="168"/>
      <c r="I373" s="169"/>
      <c r="J373" s="170"/>
      <c r="K373" s="170"/>
      <c r="L373" s="170"/>
      <c r="M373" s="167"/>
      <c r="N373" s="169"/>
      <c r="O373" s="171"/>
      <c r="P373" s="106"/>
      <c r="Q373" s="353"/>
      <c r="R373" s="106"/>
    </row>
    <row r="374" ht="29.25" customHeight="1">
      <c r="A374" s="216"/>
      <c r="B374" s="349"/>
      <c r="C374" s="350"/>
      <c r="D374" s="351"/>
      <c r="E374" s="340"/>
      <c r="F374" s="173"/>
      <c r="G374" s="168"/>
      <c r="H374" s="168"/>
      <c r="I374" s="169"/>
      <c r="J374" s="170"/>
      <c r="K374" s="170"/>
      <c r="L374" s="170"/>
      <c r="M374" s="167"/>
      <c r="N374" s="169"/>
      <c r="O374" s="171"/>
      <c r="P374" s="106"/>
      <c r="Q374" s="347"/>
      <c r="R374" s="106"/>
    </row>
    <row r="375" ht="29.25" customHeight="1">
      <c r="A375" s="216"/>
      <c r="B375" s="349"/>
      <c r="C375" s="350"/>
      <c r="D375" s="351"/>
      <c r="E375" s="352"/>
      <c r="F375" s="173"/>
      <c r="G375" s="168"/>
      <c r="H375" s="168"/>
      <c r="I375" s="169"/>
      <c r="J375" s="170"/>
      <c r="K375" s="170"/>
      <c r="L375" s="170"/>
      <c r="M375" s="167"/>
      <c r="N375" s="169"/>
      <c r="O375" s="171"/>
      <c r="P375" s="106"/>
      <c r="Q375" s="353"/>
      <c r="R375" s="106"/>
    </row>
    <row r="376" ht="29.25" customHeight="1">
      <c r="A376" s="216"/>
      <c r="B376" s="349"/>
      <c r="C376" s="350"/>
      <c r="D376" s="351"/>
      <c r="E376" s="340"/>
      <c r="F376" s="173"/>
      <c r="G376" s="168"/>
      <c r="H376" s="168"/>
      <c r="I376" s="169"/>
      <c r="J376" s="170"/>
      <c r="K376" s="170"/>
      <c r="L376" s="170"/>
      <c r="M376" s="167"/>
      <c r="N376" s="169"/>
      <c r="O376" s="171"/>
      <c r="P376" s="106"/>
      <c r="Q376" s="347"/>
      <c r="R376" s="106"/>
    </row>
    <row r="377" ht="29.25" customHeight="1">
      <c r="A377" s="216"/>
      <c r="B377" s="349"/>
      <c r="C377" s="350"/>
      <c r="D377" s="351"/>
      <c r="E377" s="352"/>
      <c r="F377" s="173"/>
      <c r="G377" s="168"/>
      <c r="H377" s="168"/>
      <c r="I377" s="169"/>
      <c r="J377" s="170"/>
      <c r="K377" s="170"/>
      <c r="L377" s="170"/>
      <c r="M377" s="167"/>
      <c r="N377" s="169"/>
      <c r="O377" s="171"/>
      <c r="P377" s="106"/>
      <c r="Q377" s="353"/>
      <c r="R377" s="106"/>
    </row>
    <row r="378" ht="29.25" customHeight="1">
      <c r="A378" s="216"/>
      <c r="B378" s="349"/>
      <c r="C378" s="350"/>
      <c r="D378" s="351"/>
      <c r="E378" s="340"/>
      <c r="F378" s="173"/>
      <c r="G378" s="168"/>
      <c r="H378" s="168"/>
      <c r="I378" s="169"/>
      <c r="J378" s="170"/>
      <c r="K378" s="170"/>
      <c r="L378" s="170"/>
      <c r="M378" s="167"/>
      <c r="N378" s="169"/>
      <c r="O378" s="171"/>
      <c r="P378" s="106"/>
      <c r="Q378" s="347"/>
      <c r="R378" s="106"/>
    </row>
    <row r="379" ht="29.25" customHeight="1">
      <c r="A379" s="216"/>
      <c r="B379" s="349"/>
      <c r="C379" s="350"/>
      <c r="D379" s="351"/>
      <c r="E379" s="352"/>
      <c r="F379" s="173"/>
      <c r="G379" s="168"/>
      <c r="H379" s="168"/>
      <c r="I379" s="169"/>
      <c r="J379" s="170"/>
      <c r="K379" s="170"/>
      <c r="L379" s="170"/>
      <c r="M379" s="167"/>
      <c r="N379" s="169"/>
      <c r="O379" s="171"/>
      <c r="P379" s="106"/>
      <c r="Q379" s="353"/>
      <c r="R379" s="106"/>
    </row>
    <row r="380" ht="29.25" customHeight="1">
      <c r="A380" s="216"/>
      <c r="B380" s="349"/>
      <c r="C380" s="350"/>
      <c r="D380" s="351"/>
      <c r="E380" s="340"/>
      <c r="F380" s="173"/>
      <c r="G380" s="168"/>
      <c r="H380" s="168"/>
      <c r="I380" s="169"/>
      <c r="J380" s="170"/>
      <c r="K380" s="170"/>
      <c r="L380" s="170"/>
      <c r="M380" s="167"/>
      <c r="N380" s="169"/>
      <c r="O380" s="171"/>
      <c r="P380" s="106"/>
      <c r="Q380" s="347"/>
      <c r="R380" s="106"/>
    </row>
    <row r="381" ht="29.25" customHeight="1">
      <c r="A381" s="216"/>
      <c r="B381" s="349"/>
      <c r="C381" s="350"/>
      <c r="D381" s="351"/>
      <c r="E381" s="352"/>
      <c r="F381" s="173"/>
      <c r="G381" s="168"/>
      <c r="H381" s="168"/>
      <c r="I381" s="169"/>
      <c r="J381" s="170"/>
      <c r="K381" s="170"/>
      <c r="L381" s="170"/>
      <c r="M381" s="167"/>
      <c r="N381" s="169"/>
      <c r="O381" s="171"/>
      <c r="P381" s="106"/>
      <c r="Q381" s="353"/>
      <c r="R381" s="106"/>
    </row>
    <row r="382" ht="29.25" customHeight="1">
      <c r="A382" s="216"/>
      <c r="B382" s="349"/>
      <c r="C382" s="350"/>
      <c r="D382" s="351"/>
      <c r="E382" s="340"/>
      <c r="F382" s="173"/>
      <c r="G382" s="168"/>
      <c r="H382" s="168"/>
      <c r="I382" s="169"/>
      <c r="J382" s="170"/>
      <c r="K382" s="170"/>
      <c r="L382" s="170"/>
      <c r="M382" s="167"/>
      <c r="N382" s="169"/>
      <c r="O382" s="171"/>
      <c r="P382" s="106"/>
      <c r="Q382" s="347"/>
      <c r="R382" s="106"/>
    </row>
    <row r="383" ht="29.25" customHeight="1">
      <c r="A383" s="216"/>
      <c r="B383" s="349"/>
      <c r="C383" s="350"/>
      <c r="D383" s="351"/>
      <c r="E383" s="352"/>
      <c r="F383" s="173"/>
      <c r="G383" s="168"/>
      <c r="H383" s="168"/>
      <c r="I383" s="169"/>
      <c r="J383" s="170"/>
      <c r="K383" s="170"/>
      <c r="L383" s="170"/>
      <c r="M383" s="167"/>
      <c r="N383" s="169"/>
      <c r="O383" s="171"/>
      <c r="P383" s="106"/>
      <c r="Q383" s="353"/>
      <c r="R383" s="106"/>
    </row>
    <row r="384" ht="29.25" customHeight="1">
      <c r="A384" s="216"/>
      <c r="B384" s="349"/>
      <c r="C384" s="350"/>
      <c r="D384" s="351"/>
      <c r="E384" s="340"/>
      <c r="F384" s="173"/>
      <c r="G384" s="168"/>
      <c r="H384" s="168"/>
      <c r="I384" s="169"/>
      <c r="J384" s="170"/>
      <c r="K384" s="170"/>
      <c r="L384" s="170"/>
      <c r="M384" s="167"/>
      <c r="N384" s="169"/>
      <c r="O384" s="171"/>
      <c r="P384" s="106"/>
      <c r="Q384" s="347"/>
      <c r="R384" s="106"/>
    </row>
    <row r="385" ht="29.25" customHeight="1">
      <c r="A385" s="216"/>
      <c r="B385" s="349"/>
      <c r="C385" s="350"/>
      <c r="D385" s="351"/>
      <c r="E385" s="352"/>
      <c r="F385" s="173"/>
      <c r="G385" s="168"/>
      <c r="H385" s="168"/>
      <c r="I385" s="169"/>
      <c r="J385" s="170"/>
      <c r="K385" s="170"/>
      <c r="L385" s="170"/>
      <c r="M385" s="167"/>
      <c r="N385" s="169"/>
      <c r="O385" s="171"/>
      <c r="P385" s="106"/>
      <c r="Q385" s="353"/>
      <c r="R385" s="106"/>
    </row>
    <row r="386" ht="29.25" customHeight="1">
      <c r="A386" s="216"/>
      <c r="B386" s="349"/>
      <c r="C386" s="350"/>
      <c r="D386" s="351"/>
      <c r="E386" s="340"/>
      <c r="F386" s="173"/>
      <c r="G386" s="168"/>
      <c r="H386" s="168"/>
      <c r="I386" s="169"/>
      <c r="J386" s="170"/>
      <c r="K386" s="170"/>
      <c r="L386" s="170"/>
      <c r="M386" s="167"/>
      <c r="N386" s="169"/>
      <c r="O386" s="171"/>
      <c r="P386" s="106"/>
      <c r="Q386" s="347"/>
      <c r="R386" s="106"/>
    </row>
    <row r="387" ht="29.25" customHeight="1">
      <c r="A387" s="216"/>
      <c r="B387" s="349"/>
      <c r="C387" s="350"/>
      <c r="D387" s="351"/>
      <c r="E387" s="352"/>
      <c r="F387" s="173"/>
      <c r="G387" s="168"/>
      <c r="H387" s="168"/>
      <c r="I387" s="169"/>
      <c r="J387" s="170"/>
      <c r="K387" s="170"/>
      <c r="L387" s="170"/>
      <c r="M387" s="167"/>
      <c r="N387" s="169"/>
      <c r="O387" s="171"/>
      <c r="P387" s="106"/>
      <c r="Q387" s="353"/>
      <c r="R387" s="106"/>
    </row>
    <row r="388" ht="29.25" customHeight="1">
      <c r="A388" s="216"/>
      <c r="B388" s="349"/>
      <c r="C388" s="350"/>
      <c r="D388" s="351"/>
      <c r="E388" s="340"/>
      <c r="F388" s="173"/>
      <c r="G388" s="168"/>
      <c r="H388" s="168"/>
      <c r="I388" s="169"/>
      <c r="J388" s="170"/>
      <c r="K388" s="170"/>
      <c r="L388" s="170"/>
      <c r="M388" s="167"/>
      <c r="N388" s="169"/>
      <c r="O388" s="171"/>
      <c r="P388" s="106"/>
      <c r="Q388" s="347"/>
      <c r="R388" s="106"/>
    </row>
    <row r="389" ht="29.25" customHeight="1">
      <c r="A389" s="216"/>
      <c r="B389" s="349"/>
      <c r="C389" s="350"/>
      <c r="D389" s="351"/>
      <c r="E389" s="352"/>
      <c r="F389" s="173"/>
      <c r="G389" s="168"/>
      <c r="H389" s="168"/>
      <c r="I389" s="169"/>
      <c r="J389" s="170"/>
      <c r="K389" s="170"/>
      <c r="L389" s="170"/>
      <c r="M389" s="167"/>
      <c r="N389" s="169"/>
      <c r="O389" s="171"/>
      <c r="P389" s="106"/>
      <c r="Q389" s="353"/>
      <c r="R389" s="106"/>
    </row>
    <row r="390" ht="29.25" customHeight="1">
      <c r="A390" s="216"/>
      <c r="B390" s="349"/>
      <c r="C390" s="350"/>
      <c r="D390" s="351"/>
      <c r="E390" s="340"/>
      <c r="F390" s="173"/>
      <c r="G390" s="168"/>
      <c r="H390" s="168"/>
      <c r="I390" s="169"/>
      <c r="J390" s="170"/>
      <c r="K390" s="170"/>
      <c r="L390" s="170"/>
      <c r="M390" s="167"/>
      <c r="N390" s="169"/>
      <c r="O390" s="171"/>
      <c r="P390" s="106"/>
      <c r="Q390" s="347"/>
      <c r="R390" s="106"/>
    </row>
    <row r="391" ht="29.25" customHeight="1">
      <c r="A391" s="216"/>
      <c r="B391" s="349"/>
      <c r="C391" s="350"/>
      <c r="D391" s="351"/>
      <c r="E391" s="352"/>
      <c r="F391" s="173"/>
      <c r="G391" s="168"/>
      <c r="H391" s="168"/>
      <c r="I391" s="169"/>
      <c r="J391" s="170"/>
      <c r="K391" s="170"/>
      <c r="L391" s="170"/>
      <c r="M391" s="167"/>
      <c r="N391" s="169"/>
      <c r="O391" s="171"/>
      <c r="P391" s="106"/>
      <c r="Q391" s="353"/>
      <c r="R391" s="106"/>
    </row>
    <row r="392" ht="29.25" customHeight="1">
      <c r="A392" s="216"/>
      <c r="B392" s="349"/>
      <c r="C392" s="350"/>
      <c r="D392" s="351"/>
      <c r="E392" s="340"/>
      <c r="F392" s="173"/>
      <c r="G392" s="168"/>
      <c r="H392" s="168"/>
      <c r="I392" s="169"/>
      <c r="J392" s="170"/>
      <c r="K392" s="170"/>
      <c r="L392" s="170"/>
      <c r="M392" s="167"/>
      <c r="N392" s="169"/>
      <c r="O392" s="171"/>
      <c r="P392" s="106"/>
      <c r="Q392" s="347"/>
      <c r="R392" s="106"/>
    </row>
    <row r="393" ht="29.25" customHeight="1">
      <c r="A393" s="216"/>
      <c r="B393" s="349"/>
      <c r="C393" s="350"/>
      <c r="D393" s="351"/>
      <c r="E393" s="352"/>
      <c r="F393" s="173"/>
      <c r="G393" s="168"/>
      <c r="H393" s="168"/>
      <c r="I393" s="169"/>
      <c r="J393" s="170"/>
      <c r="K393" s="170"/>
      <c r="L393" s="170"/>
      <c r="M393" s="167"/>
      <c r="N393" s="169"/>
      <c r="O393" s="171"/>
      <c r="P393" s="106"/>
      <c r="Q393" s="353"/>
      <c r="R393" s="106"/>
    </row>
    <row r="394" ht="29.25" customHeight="1">
      <c r="A394" s="216"/>
      <c r="B394" s="349"/>
      <c r="C394" s="350"/>
      <c r="D394" s="351"/>
      <c r="E394" s="340"/>
      <c r="F394" s="173"/>
      <c r="G394" s="168"/>
      <c r="H394" s="168"/>
      <c r="I394" s="169"/>
      <c r="J394" s="170"/>
      <c r="K394" s="170"/>
      <c r="L394" s="170"/>
      <c r="M394" s="167"/>
      <c r="N394" s="169"/>
      <c r="O394" s="171"/>
      <c r="P394" s="106"/>
      <c r="Q394" s="347"/>
      <c r="R394" s="106"/>
    </row>
    <row r="395" ht="29.25" customHeight="1">
      <c r="A395" s="216"/>
      <c r="B395" s="349"/>
      <c r="C395" s="350"/>
      <c r="D395" s="351"/>
      <c r="E395" s="352"/>
      <c r="F395" s="173"/>
      <c r="G395" s="168"/>
      <c r="H395" s="168"/>
      <c r="I395" s="169"/>
      <c r="J395" s="170"/>
      <c r="K395" s="170"/>
      <c r="L395" s="170"/>
      <c r="M395" s="167"/>
      <c r="N395" s="169"/>
      <c r="O395" s="171"/>
      <c r="P395" s="106"/>
      <c r="Q395" s="353"/>
      <c r="R395" s="106"/>
    </row>
    <row r="396" ht="29.25" customHeight="1">
      <c r="A396" s="216"/>
      <c r="B396" s="349"/>
      <c r="C396" s="350"/>
      <c r="D396" s="351"/>
      <c r="E396" s="340"/>
      <c r="F396" s="173"/>
      <c r="G396" s="168"/>
      <c r="H396" s="168"/>
      <c r="I396" s="169"/>
      <c r="J396" s="170"/>
      <c r="K396" s="170"/>
      <c r="L396" s="170"/>
      <c r="M396" s="167"/>
      <c r="N396" s="169"/>
      <c r="O396" s="171"/>
      <c r="P396" s="106"/>
      <c r="Q396" s="347"/>
      <c r="R396" s="106"/>
    </row>
    <row r="397" ht="29.25" customHeight="1">
      <c r="A397" s="216"/>
      <c r="B397" s="349"/>
      <c r="C397" s="350"/>
      <c r="D397" s="351"/>
      <c r="E397" s="352"/>
      <c r="F397" s="173"/>
      <c r="G397" s="168"/>
      <c r="H397" s="168"/>
      <c r="I397" s="169"/>
      <c r="J397" s="170"/>
      <c r="K397" s="170"/>
      <c r="L397" s="170"/>
      <c r="M397" s="167"/>
      <c r="N397" s="169"/>
      <c r="O397" s="171"/>
      <c r="P397" s="106"/>
      <c r="Q397" s="353"/>
      <c r="R397" s="106"/>
    </row>
    <row r="398" ht="29.25" customHeight="1">
      <c r="A398" s="216"/>
      <c r="B398" s="349"/>
      <c r="C398" s="350"/>
      <c r="D398" s="351"/>
      <c r="E398" s="340"/>
      <c r="F398" s="173"/>
      <c r="G398" s="168"/>
      <c r="H398" s="168"/>
      <c r="I398" s="169"/>
      <c r="J398" s="170"/>
      <c r="K398" s="170"/>
      <c r="L398" s="170"/>
      <c r="M398" s="167"/>
      <c r="N398" s="169"/>
      <c r="O398" s="171"/>
      <c r="P398" s="106"/>
      <c r="Q398" s="347"/>
      <c r="R398" s="106"/>
    </row>
    <row r="399" ht="29.25" customHeight="1">
      <c r="A399" s="216"/>
      <c r="B399" s="349"/>
      <c r="C399" s="350"/>
      <c r="D399" s="351"/>
      <c r="E399" s="352"/>
      <c r="F399" s="173"/>
      <c r="G399" s="168"/>
      <c r="H399" s="168"/>
      <c r="I399" s="169"/>
      <c r="J399" s="170"/>
      <c r="K399" s="170"/>
      <c r="L399" s="170"/>
      <c r="M399" s="167"/>
      <c r="N399" s="169"/>
      <c r="O399" s="171"/>
      <c r="P399" s="106"/>
      <c r="Q399" s="353"/>
      <c r="R399" s="106"/>
    </row>
    <row r="400" ht="29.25" customHeight="1">
      <c r="A400" s="216"/>
      <c r="B400" s="349"/>
      <c r="C400" s="350"/>
      <c r="D400" s="351"/>
      <c r="E400" s="340"/>
      <c r="F400" s="173"/>
      <c r="G400" s="168"/>
      <c r="H400" s="168"/>
      <c r="I400" s="169"/>
      <c r="J400" s="170"/>
      <c r="K400" s="170"/>
      <c r="L400" s="170"/>
      <c r="M400" s="167"/>
      <c r="N400" s="169"/>
      <c r="O400" s="171"/>
      <c r="P400" s="106"/>
      <c r="Q400" s="347"/>
      <c r="R400" s="106"/>
    </row>
    <row r="401" ht="29.25" customHeight="1">
      <c r="A401" s="216"/>
      <c r="B401" s="349"/>
      <c r="C401" s="350"/>
      <c r="D401" s="351"/>
      <c r="E401" s="352"/>
      <c r="F401" s="173"/>
      <c r="G401" s="168"/>
      <c r="H401" s="168"/>
      <c r="I401" s="169"/>
      <c r="J401" s="170"/>
      <c r="K401" s="170"/>
      <c r="L401" s="170"/>
      <c r="M401" s="167"/>
      <c r="N401" s="169"/>
      <c r="O401" s="171"/>
      <c r="P401" s="106"/>
      <c r="Q401" s="353"/>
      <c r="R401" s="106"/>
    </row>
    <row r="402" ht="29.25" customHeight="1">
      <c r="A402" s="216"/>
      <c r="B402" s="349"/>
      <c r="C402" s="350"/>
      <c r="D402" s="351"/>
      <c r="E402" s="340"/>
      <c r="F402" s="173"/>
      <c r="G402" s="168"/>
      <c r="H402" s="168"/>
      <c r="I402" s="169"/>
      <c r="J402" s="170"/>
      <c r="K402" s="170"/>
      <c r="L402" s="170"/>
      <c r="M402" s="167"/>
      <c r="N402" s="169"/>
      <c r="O402" s="171"/>
      <c r="P402" s="106"/>
      <c r="Q402" s="347"/>
      <c r="R402" s="106"/>
    </row>
    <row r="403" ht="29.25" customHeight="1">
      <c r="A403" s="216"/>
      <c r="B403" s="349"/>
      <c r="C403" s="350"/>
      <c r="D403" s="351"/>
      <c r="E403" s="352"/>
      <c r="F403" s="173"/>
      <c r="G403" s="168"/>
      <c r="H403" s="168"/>
      <c r="I403" s="169"/>
      <c r="J403" s="170"/>
      <c r="K403" s="170"/>
      <c r="L403" s="170"/>
      <c r="M403" s="167"/>
      <c r="N403" s="169"/>
      <c r="O403" s="171"/>
      <c r="P403" s="106"/>
      <c r="Q403" s="353"/>
      <c r="R403" s="106"/>
    </row>
    <row r="404" ht="29.25" customHeight="1">
      <c r="A404" s="216"/>
      <c r="B404" s="349"/>
      <c r="C404" s="350"/>
      <c r="D404" s="351"/>
      <c r="E404" s="340"/>
      <c r="F404" s="173"/>
      <c r="G404" s="168"/>
      <c r="H404" s="168"/>
      <c r="I404" s="169"/>
      <c r="J404" s="170"/>
      <c r="K404" s="170"/>
      <c r="L404" s="170"/>
      <c r="M404" s="167"/>
      <c r="N404" s="169"/>
      <c r="O404" s="171"/>
      <c r="P404" s="106"/>
      <c r="Q404" s="347"/>
      <c r="R404" s="106"/>
    </row>
    <row r="405" ht="29.25" customHeight="1">
      <c r="A405" s="216"/>
      <c r="B405" s="349"/>
      <c r="C405" s="350"/>
      <c r="D405" s="351"/>
      <c r="E405" s="352"/>
      <c r="F405" s="173"/>
      <c r="G405" s="168"/>
      <c r="H405" s="168"/>
      <c r="I405" s="169"/>
      <c r="J405" s="170"/>
      <c r="K405" s="170"/>
      <c r="L405" s="170"/>
      <c r="M405" s="167"/>
      <c r="N405" s="169"/>
      <c r="O405" s="171"/>
      <c r="P405" s="106"/>
      <c r="Q405" s="353"/>
      <c r="R405" s="106"/>
    </row>
    <row r="406" ht="29.25" customHeight="1">
      <c r="A406" s="216"/>
      <c r="B406" s="349"/>
      <c r="C406" s="350"/>
      <c r="D406" s="351"/>
      <c r="E406" s="340"/>
      <c r="F406" s="173"/>
      <c r="G406" s="168"/>
      <c r="H406" s="168"/>
      <c r="I406" s="169"/>
      <c r="J406" s="170"/>
      <c r="K406" s="170"/>
      <c r="L406" s="170"/>
      <c r="M406" s="167"/>
      <c r="N406" s="169"/>
      <c r="O406" s="171"/>
      <c r="P406" s="106"/>
      <c r="Q406" s="347"/>
      <c r="R406" s="106"/>
    </row>
    <row r="407" ht="29.25" customHeight="1">
      <c r="A407" s="216"/>
      <c r="B407" s="349"/>
      <c r="C407" s="350"/>
      <c r="D407" s="351"/>
      <c r="E407" s="352"/>
      <c r="F407" s="173"/>
      <c r="G407" s="168"/>
      <c r="H407" s="168"/>
      <c r="I407" s="169"/>
      <c r="J407" s="170"/>
      <c r="K407" s="170"/>
      <c r="L407" s="170"/>
      <c r="M407" s="167"/>
      <c r="N407" s="169"/>
      <c r="O407" s="171"/>
      <c r="P407" s="106"/>
      <c r="Q407" s="353"/>
      <c r="R407" s="106"/>
    </row>
    <row r="408" ht="29.25" customHeight="1">
      <c r="A408" s="216"/>
      <c r="B408" s="349"/>
      <c r="C408" s="350"/>
      <c r="D408" s="351"/>
      <c r="E408" s="340"/>
      <c r="F408" s="173"/>
      <c r="G408" s="168"/>
      <c r="H408" s="168"/>
      <c r="I408" s="169"/>
      <c r="J408" s="170"/>
      <c r="K408" s="170"/>
      <c r="L408" s="170"/>
      <c r="M408" s="167"/>
      <c r="N408" s="169"/>
      <c r="O408" s="171"/>
      <c r="P408" s="106"/>
      <c r="Q408" s="347"/>
      <c r="R408" s="106"/>
    </row>
    <row r="409" ht="29.25" customHeight="1">
      <c r="A409" s="216"/>
      <c r="B409" s="349"/>
      <c r="C409" s="350"/>
      <c r="D409" s="351"/>
      <c r="E409" s="352"/>
      <c r="F409" s="173"/>
      <c r="G409" s="168"/>
      <c r="H409" s="168"/>
      <c r="I409" s="169"/>
      <c r="J409" s="170"/>
      <c r="K409" s="170"/>
      <c r="L409" s="170"/>
      <c r="M409" s="167"/>
      <c r="N409" s="169"/>
      <c r="O409" s="171"/>
      <c r="P409" s="106"/>
      <c r="Q409" s="353"/>
      <c r="R409" s="106"/>
    </row>
    <row r="410" ht="29.25" customHeight="1">
      <c r="A410" s="216"/>
      <c r="B410" s="349"/>
      <c r="C410" s="350"/>
      <c r="D410" s="351"/>
      <c r="E410" s="340"/>
      <c r="F410" s="173"/>
      <c r="G410" s="168"/>
      <c r="H410" s="168"/>
      <c r="I410" s="169"/>
      <c r="J410" s="170"/>
      <c r="K410" s="170"/>
      <c r="L410" s="170"/>
      <c r="M410" s="167"/>
      <c r="N410" s="169"/>
      <c r="O410" s="171"/>
      <c r="P410" s="106"/>
      <c r="Q410" s="347"/>
      <c r="R410" s="106"/>
    </row>
    <row r="411" ht="29.25" customHeight="1">
      <c r="A411" s="216"/>
      <c r="B411" s="349"/>
      <c r="C411" s="350"/>
      <c r="D411" s="351"/>
      <c r="E411" s="352"/>
      <c r="F411" s="173"/>
      <c r="G411" s="168"/>
      <c r="H411" s="168"/>
      <c r="I411" s="169"/>
      <c r="J411" s="170"/>
      <c r="K411" s="170"/>
      <c r="L411" s="170"/>
      <c r="M411" s="167"/>
      <c r="N411" s="169"/>
      <c r="O411" s="171"/>
      <c r="P411" s="106"/>
      <c r="Q411" s="353"/>
      <c r="R411" s="106"/>
    </row>
    <row r="412" ht="29.25" customHeight="1">
      <c r="A412" s="216"/>
      <c r="B412" s="349"/>
      <c r="C412" s="350"/>
      <c r="D412" s="351"/>
      <c r="E412" s="340"/>
      <c r="F412" s="173"/>
      <c r="G412" s="168"/>
      <c r="H412" s="168"/>
      <c r="I412" s="169"/>
      <c r="J412" s="170"/>
      <c r="K412" s="170"/>
      <c r="L412" s="170"/>
      <c r="M412" s="167"/>
      <c r="N412" s="169"/>
      <c r="O412" s="171"/>
      <c r="P412" s="106"/>
      <c r="Q412" s="347"/>
      <c r="R412" s="106"/>
    </row>
    <row r="413" ht="29.25" customHeight="1">
      <c r="A413" s="216"/>
      <c r="B413" s="349"/>
      <c r="C413" s="350"/>
      <c r="D413" s="351"/>
      <c r="E413" s="352"/>
      <c r="F413" s="173"/>
      <c r="G413" s="168"/>
      <c r="H413" s="168"/>
      <c r="I413" s="169"/>
      <c r="J413" s="170"/>
      <c r="K413" s="170"/>
      <c r="L413" s="170"/>
      <c r="M413" s="167"/>
      <c r="N413" s="169"/>
      <c r="O413" s="171"/>
      <c r="P413" s="106"/>
      <c r="Q413" s="353"/>
      <c r="R413" s="106"/>
    </row>
    <row r="414" ht="29.25" customHeight="1">
      <c r="A414" s="216"/>
      <c r="B414" s="349"/>
      <c r="C414" s="350"/>
      <c r="D414" s="351"/>
      <c r="E414" s="340"/>
      <c r="F414" s="173"/>
      <c r="G414" s="168"/>
      <c r="H414" s="168"/>
      <c r="I414" s="169"/>
      <c r="J414" s="170"/>
      <c r="K414" s="170"/>
      <c r="L414" s="170"/>
      <c r="M414" s="167"/>
      <c r="N414" s="169"/>
      <c r="O414" s="171"/>
      <c r="P414" s="106"/>
      <c r="Q414" s="347"/>
      <c r="R414" s="106"/>
    </row>
    <row r="415" ht="29.25" customHeight="1">
      <c r="A415" s="216"/>
      <c r="B415" s="349"/>
      <c r="C415" s="350"/>
      <c r="D415" s="351"/>
      <c r="E415" s="352"/>
      <c r="F415" s="173"/>
      <c r="G415" s="168"/>
      <c r="H415" s="168"/>
      <c r="I415" s="169"/>
      <c r="J415" s="170"/>
      <c r="K415" s="170"/>
      <c r="L415" s="170"/>
      <c r="M415" s="167"/>
      <c r="N415" s="169"/>
      <c r="O415" s="171"/>
      <c r="P415" s="106"/>
      <c r="Q415" s="353"/>
      <c r="R415" s="106"/>
    </row>
    <row r="416" ht="29.25" customHeight="1">
      <c r="A416" s="216"/>
      <c r="B416" s="349"/>
      <c r="C416" s="350"/>
      <c r="D416" s="351"/>
      <c r="E416" s="340"/>
      <c r="F416" s="173"/>
      <c r="G416" s="168"/>
      <c r="H416" s="168"/>
      <c r="I416" s="169"/>
      <c r="J416" s="170"/>
      <c r="K416" s="170"/>
      <c r="L416" s="170"/>
      <c r="M416" s="167"/>
      <c r="N416" s="169"/>
      <c r="O416" s="171"/>
      <c r="P416" s="106"/>
      <c r="Q416" s="347"/>
      <c r="R416" s="106"/>
    </row>
    <row r="417" ht="29.25" customHeight="1">
      <c r="A417" s="216"/>
      <c r="B417" s="349"/>
      <c r="C417" s="350"/>
      <c r="D417" s="351"/>
      <c r="E417" s="352"/>
      <c r="F417" s="173"/>
      <c r="G417" s="168"/>
      <c r="H417" s="168"/>
      <c r="I417" s="169"/>
      <c r="J417" s="170"/>
      <c r="K417" s="170"/>
      <c r="L417" s="170"/>
      <c r="M417" s="167"/>
      <c r="N417" s="169"/>
      <c r="O417" s="171"/>
      <c r="P417" s="106"/>
      <c r="Q417" s="353"/>
      <c r="R417" s="106"/>
    </row>
    <row r="418" ht="29.25" customHeight="1">
      <c r="A418" s="216"/>
      <c r="B418" s="349"/>
      <c r="C418" s="350"/>
      <c r="D418" s="351"/>
      <c r="E418" s="340"/>
      <c r="F418" s="173"/>
      <c r="G418" s="168"/>
      <c r="H418" s="168"/>
      <c r="I418" s="169"/>
      <c r="J418" s="170"/>
      <c r="K418" s="170"/>
      <c r="L418" s="170"/>
      <c r="M418" s="167"/>
      <c r="N418" s="169"/>
      <c r="O418" s="171"/>
      <c r="P418" s="106"/>
      <c r="Q418" s="347"/>
      <c r="R418" s="106"/>
    </row>
    <row r="419" ht="29.25" customHeight="1">
      <c r="A419" s="216"/>
      <c r="B419" s="349"/>
      <c r="C419" s="350"/>
      <c r="D419" s="351"/>
      <c r="E419" s="352"/>
      <c r="F419" s="173"/>
      <c r="G419" s="168"/>
      <c r="H419" s="168"/>
      <c r="I419" s="169"/>
      <c r="J419" s="170"/>
      <c r="K419" s="170"/>
      <c r="L419" s="170"/>
      <c r="M419" s="167"/>
      <c r="N419" s="169"/>
      <c r="O419" s="171"/>
      <c r="P419" s="106"/>
      <c r="Q419" s="353"/>
      <c r="R419" s="106"/>
    </row>
    <row r="420" ht="29.25" customHeight="1">
      <c r="A420" s="216"/>
      <c r="B420" s="349"/>
      <c r="C420" s="350"/>
      <c r="D420" s="351"/>
      <c r="E420" s="340"/>
      <c r="F420" s="173"/>
      <c r="G420" s="168"/>
      <c r="H420" s="168"/>
      <c r="I420" s="169"/>
      <c r="J420" s="170"/>
      <c r="K420" s="170"/>
      <c r="L420" s="170"/>
      <c r="M420" s="167"/>
      <c r="N420" s="169"/>
      <c r="O420" s="171"/>
      <c r="P420" s="106"/>
      <c r="Q420" s="347"/>
      <c r="R420" s="106"/>
    </row>
    <row r="421" ht="29.25" customHeight="1">
      <c r="A421" s="216"/>
      <c r="B421" s="349"/>
      <c r="C421" s="350"/>
      <c r="D421" s="351"/>
      <c r="E421" s="352"/>
      <c r="F421" s="173"/>
      <c r="G421" s="168"/>
      <c r="H421" s="168"/>
      <c r="I421" s="169"/>
      <c r="J421" s="170"/>
      <c r="K421" s="170"/>
      <c r="L421" s="170"/>
      <c r="M421" s="167"/>
      <c r="N421" s="169"/>
      <c r="O421" s="171"/>
      <c r="P421" s="106"/>
      <c r="Q421" s="353"/>
      <c r="R421" s="106"/>
    </row>
    <row r="422" ht="29.25" customHeight="1">
      <c r="A422" s="216"/>
      <c r="B422" s="349"/>
      <c r="C422" s="350"/>
      <c r="D422" s="351"/>
      <c r="E422" s="340"/>
      <c r="F422" s="173"/>
      <c r="G422" s="168"/>
      <c r="H422" s="168"/>
      <c r="I422" s="169"/>
      <c r="J422" s="170"/>
      <c r="K422" s="170"/>
      <c r="L422" s="170"/>
      <c r="M422" s="167"/>
      <c r="N422" s="169"/>
      <c r="O422" s="171"/>
      <c r="P422" s="106"/>
      <c r="Q422" s="347"/>
      <c r="R422" s="106"/>
    </row>
    <row r="423" ht="29.25" customHeight="1">
      <c r="A423" s="216"/>
      <c r="B423" s="349"/>
      <c r="C423" s="350"/>
      <c r="D423" s="351"/>
      <c r="E423" s="352"/>
      <c r="F423" s="173"/>
      <c r="G423" s="168"/>
      <c r="H423" s="168"/>
      <c r="I423" s="169"/>
      <c r="J423" s="170"/>
      <c r="K423" s="170"/>
      <c r="L423" s="170"/>
      <c r="M423" s="167"/>
      <c r="N423" s="169"/>
      <c r="O423" s="171"/>
      <c r="P423" s="106"/>
      <c r="Q423" s="353"/>
      <c r="R423" s="106"/>
    </row>
    <row r="424" ht="29.25" customHeight="1">
      <c r="A424" s="216"/>
      <c r="B424" s="349"/>
      <c r="C424" s="350"/>
      <c r="D424" s="351"/>
      <c r="E424" s="340"/>
      <c r="F424" s="173"/>
      <c r="G424" s="168"/>
      <c r="H424" s="168"/>
      <c r="I424" s="169"/>
      <c r="J424" s="170"/>
      <c r="K424" s="170"/>
      <c r="L424" s="170"/>
      <c r="M424" s="167"/>
      <c r="N424" s="169"/>
      <c r="O424" s="171"/>
      <c r="P424" s="106"/>
      <c r="Q424" s="347"/>
      <c r="R424" s="106"/>
    </row>
    <row r="425" ht="29.25" customHeight="1">
      <c r="A425" s="216"/>
      <c r="B425" s="349"/>
      <c r="C425" s="350"/>
      <c r="D425" s="351"/>
      <c r="E425" s="352"/>
      <c r="F425" s="173"/>
      <c r="G425" s="168"/>
      <c r="H425" s="168"/>
      <c r="I425" s="169"/>
      <c r="J425" s="170"/>
      <c r="K425" s="170"/>
      <c r="L425" s="170"/>
      <c r="M425" s="167"/>
      <c r="N425" s="169"/>
      <c r="O425" s="171"/>
      <c r="P425" s="106"/>
      <c r="Q425" s="353"/>
      <c r="R425" s="106"/>
    </row>
    <row r="426" ht="29.25" customHeight="1">
      <c r="A426" s="216"/>
      <c r="B426" s="349"/>
      <c r="C426" s="350"/>
      <c r="D426" s="351"/>
      <c r="E426" s="340"/>
      <c r="F426" s="173"/>
      <c r="G426" s="168"/>
      <c r="H426" s="168"/>
      <c r="I426" s="169"/>
      <c r="J426" s="170"/>
      <c r="K426" s="170"/>
      <c r="L426" s="170"/>
      <c r="M426" s="167"/>
      <c r="N426" s="169"/>
      <c r="O426" s="171"/>
      <c r="P426" s="106"/>
      <c r="Q426" s="347"/>
      <c r="R426" s="106"/>
    </row>
    <row r="427" ht="29.25" customHeight="1">
      <c r="A427" s="216"/>
      <c r="B427" s="349"/>
      <c r="C427" s="350"/>
      <c r="D427" s="351"/>
      <c r="E427" s="352"/>
      <c r="F427" s="173"/>
      <c r="G427" s="168"/>
      <c r="H427" s="168"/>
      <c r="I427" s="169"/>
      <c r="J427" s="170"/>
      <c r="K427" s="170"/>
      <c r="L427" s="170"/>
      <c r="M427" s="167"/>
      <c r="N427" s="169"/>
      <c r="O427" s="171"/>
      <c r="P427" s="106"/>
      <c r="Q427" s="353"/>
      <c r="R427" s="106"/>
    </row>
    <row r="428" ht="29.25" customHeight="1">
      <c r="A428" s="216"/>
      <c r="B428" s="349"/>
      <c r="C428" s="350"/>
      <c r="D428" s="351"/>
      <c r="E428" s="340"/>
      <c r="F428" s="173"/>
      <c r="G428" s="168"/>
      <c r="H428" s="168"/>
      <c r="I428" s="169"/>
      <c r="J428" s="170"/>
      <c r="K428" s="170"/>
      <c r="L428" s="170"/>
      <c r="M428" s="167"/>
      <c r="N428" s="169"/>
      <c r="O428" s="171"/>
      <c r="P428" s="106"/>
      <c r="Q428" s="347"/>
      <c r="R428" s="106"/>
    </row>
    <row r="429" ht="29.25" customHeight="1">
      <c r="A429" s="216"/>
      <c r="B429" s="349"/>
      <c r="C429" s="350"/>
      <c r="D429" s="351"/>
      <c r="E429" s="352"/>
      <c r="F429" s="173"/>
      <c r="G429" s="168"/>
      <c r="H429" s="168"/>
      <c r="I429" s="169"/>
      <c r="J429" s="170"/>
      <c r="K429" s="170"/>
      <c r="L429" s="170"/>
      <c r="M429" s="167"/>
      <c r="N429" s="169"/>
      <c r="O429" s="171"/>
      <c r="P429" s="106"/>
      <c r="Q429" s="353"/>
      <c r="R429" s="106"/>
    </row>
    <row r="430" ht="29.25" customHeight="1">
      <c r="A430" s="216"/>
      <c r="B430" s="349"/>
      <c r="C430" s="350"/>
      <c r="D430" s="351"/>
      <c r="E430" s="340"/>
      <c r="F430" s="173"/>
      <c r="G430" s="168"/>
      <c r="H430" s="168"/>
      <c r="I430" s="169"/>
      <c r="J430" s="170"/>
      <c r="K430" s="170"/>
      <c r="L430" s="170"/>
      <c r="M430" s="167"/>
      <c r="N430" s="169"/>
      <c r="O430" s="171"/>
      <c r="P430" s="106"/>
      <c r="Q430" s="347"/>
      <c r="R430" s="106"/>
    </row>
    <row r="431" ht="29.25" customHeight="1">
      <c r="A431" s="216"/>
      <c r="B431" s="349"/>
      <c r="C431" s="350"/>
      <c r="D431" s="351"/>
      <c r="E431" s="352"/>
      <c r="F431" s="173"/>
      <c r="G431" s="168"/>
      <c r="H431" s="168"/>
      <c r="I431" s="169"/>
      <c r="J431" s="170"/>
      <c r="K431" s="170"/>
      <c r="L431" s="170"/>
      <c r="M431" s="167"/>
      <c r="N431" s="169"/>
      <c r="O431" s="171"/>
      <c r="P431" s="106"/>
      <c r="Q431" s="353"/>
      <c r="R431" s="106"/>
    </row>
    <row r="432" ht="29.25" customHeight="1">
      <c r="A432" s="216"/>
      <c r="B432" s="349"/>
      <c r="C432" s="350"/>
      <c r="D432" s="351"/>
      <c r="E432" s="340"/>
      <c r="F432" s="173"/>
      <c r="G432" s="168"/>
      <c r="H432" s="168"/>
      <c r="I432" s="169"/>
      <c r="J432" s="170"/>
      <c r="K432" s="170"/>
      <c r="L432" s="170"/>
      <c r="M432" s="167"/>
      <c r="N432" s="169"/>
      <c r="O432" s="171"/>
      <c r="P432" s="106"/>
      <c r="Q432" s="347"/>
      <c r="R432" s="106"/>
    </row>
    <row r="433" ht="29.25" customHeight="1">
      <c r="A433" s="216"/>
      <c r="B433" s="349"/>
      <c r="C433" s="350"/>
      <c r="D433" s="351"/>
      <c r="E433" s="352"/>
      <c r="F433" s="173"/>
      <c r="G433" s="168"/>
      <c r="H433" s="168"/>
      <c r="I433" s="169"/>
      <c r="J433" s="170"/>
      <c r="K433" s="170"/>
      <c r="L433" s="170"/>
      <c r="M433" s="167"/>
      <c r="N433" s="169"/>
      <c r="O433" s="171"/>
      <c r="P433" s="106"/>
      <c r="Q433" s="353"/>
      <c r="R433" s="106"/>
    </row>
    <row r="434" ht="29.25" customHeight="1">
      <c r="A434" s="216"/>
      <c r="B434" s="349"/>
      <c r="C434" s="350"/>
      <c r="D434" s="351"/>
      <c r="E434" s="340"/>
      <c r="F434" s="173"/>
      <c r="G434" s="168"/>
      <c r="H434" s="168"/>
      <c r="I434" s="169"/>
      <c r="J434" s="170"/>
      <c r="K434" s="170"/>
      <c r="L434" s="170"/>
      <c r="M434" s="167"/>
      <c r="N434" s="169"/>
      <c r="O434" s="171"/>
      <c r="P434" s="106"/>
      <c r="Q434" s="347"/>
      <c r="R434" s="106"/>
    </row>
    <row r="435" ht="29.25" customHeight="1">
      <c r="A435" s="216"/>
      <c r="B435" s="349"/>
      <c r="C435" s="350"/>
      <c r="D435" s="351"/>
      <c r="E435" s="352"/>
      <c r="F435" s="173"/>
      <c r="G435" s="168"/>
      <c r="H435" s="168"/>
      <c r="I435" s="169"/>
      <c r="J435" s="170"/>
      <c r="K435" s="170"/>
      <c r="L435" s="170"/>
      <c r="M435" s="167"/>
      <c r="N435" s="169"/>
      <c r="O435" s="171"/>
      <c r="P435" s="106"/>
      <c r="Q435" s="353"/>
      <c r="R435" s="106"/>
    </row>
    <row r="436" ht="29.25" customHeight="1">
      <c r="A436" s="216"/>
      <c r="B436" s="349"/>
      <c r="C436" s="350"/>
      <c r="D436" s="351"/>
      <c r="E436" s="340"/>
      <c r="F436" s="173"/>
      <c r="G436" s="168"/>
      <c r="H436" s="168"/>
      <c r="I436" s="169"/>
      <c r="J436" s="170"/>
      <c r="K436" s="170"/>
      <c r="L436" s="170"/>
      <c r="M436" s="167"/>
      <c r="N436" s="169"/>
      <c r="O436" s="171"/>
      <c r="P436" s="106"/>
      <c r="Q436" s="347"/>
      <c r="R436" s="106"/>
    </row>
    <row r="437" ht="29.25" customHeight="1">
      <c r="A437" s="216"/>
      <c r="B437" s="349"/>
      <c r="C437" s="350"/>
      <c r="D437" s="351"/>
      <c r="E437" s="352"/>
      <c r="F437" s="173"/>
      <c r="G437" s="168"/>
      <c r="H437" s="168"/>
      <c r="I437" s="169"/>
      <c r="J437" s="170"/>
      <c r="K437" s="170"/>
      <c r="L437" s="170"/>
      <c r="M437" s="167"/>
      <c r="N437" s="169"/>
      <c r="O437" s="171"/>
      <c r="P437" s="106"/>
      <c r="Q437" s="353"/>
      <c r="R437" s="106"/>
    </row>
    <row r="438" ht="29.25" customHeight="1">
      <c r="A438" s="216"/>
      <c r="B438" s="349"/>
      <c r="C438" s="350"/>
      <c r="D438" s="351"/>
      <c r="E438" s="340"/>
      <c r="F438" s="173"/>
      <c r="G438" s="168"/>
      <c r="H438" s="168"/>
      <c r="I438" s="169"/>
      <c r="J438" s="170"/>
      <c r="K438" s="170"/>
      <c r="L438" s="170"/>
      <c r="M438" s="167"/>
      <c r="N438" s="169"/>
      <c r="O438" s="171"/>
      <c r="P438" s="106"/>
      <c r="Q438" s="347"/>
      <c r="R438" s="106"/>
    </row>
    <row r="439" ht="29.25" customHeight="1">
      <c r="A439" s="216"/>
      <c r="B439" s="349"/>
      <c r="C439" s="350"/>
      <c r="D439" s="351"/>
      <c r="E439" s="352"/>
      <c r="F439" s="173"/>
      <c r="G439" s="168"/>
      <c r="H439" s="168"/>
      <c r="I439" s="169"/>
      <c r="J439" s="170"/>
      <c r="K439" s="170"/>
      <c r="L439" s="170"/>
      <c r="M439" s="167"/>
      <c r="N439" s="169"/>
      <c r="O439" s="171"/>
      <c r="P439" s="106"/>
      <c r="Q439" s="353"/>
      <c r="R439" s="106"/>
    </row>
    <row r="440" ht="29.25" customHeight="1">
      <c r="A440" s="216"/>
      <c r="B440" s="349"/>
      <c r="C440" s="350"/>
      <c r="D440" s="351"/>
      <c r="E440" s="340"/>
      <c r="F440" s="173"/>
      <c r="G440" s="168"/>
      <c r="H440" s="168"/>
      <c r="I440" s="169"/>
      <c r="J440" s="170"/>
      <c r="K440" s="170"/>
      <c r="L440" s="170"/>
      <c r="M440" s="167"/>
      <c r="N440" s="169"/>
      <c r="O440" s="171"/>
      <c r="P440" s="106"/>
      <c r="Q440" s="347"/>
      <c r="R440" s="106"/>
    </row>
    <row r="441" ht="29.25" customHeight="1">
      <c r="A441" s="216"/>
      <c r="B441" s="349"/>
      <c r="C441" s="350"/>
      <c r="D441" s="351"/>
      <c r="E441" s="352"/>
      <c r="F441" s="173"/>
      <c r="G441" s="168"/>
      <c r="H441" s="168"/>
      <c r="I441" s="169"/>
      <c r="J441" s="170"/>
      <c r="K441" s="170"/>
      <c r="L441" s="170"/>
      <c r="M441" s="167"/>
      <c r="N441" s="169"/>
      <c r="O441" s="171"/>
      <c r="P441" s="106"/>
      <c r="Q441" s="353"/>
      <c r="R441" s="106"/>
    </row>
    <row r="442" ht="29.25" customHeight="1">
      <c r="A442" s="216"/>
      <c r="B442" s="349"/>
      <c r="C442" s="350"/>
      <c r="D442" s="351"/>
      <c r="E442" s="340"/>
      <c r="F442" s="173"/>
      <c r="G442" s="168"/>
      <c r="H442" s="168"/>
      <c r="I442" s="169"/>
      <c r="J442" s="170"/>
      <c r="K442" s="170"/>
      <c r="L442" s="170"/>
      <c r="M442" s="167"/>
      <c r="N442" s="169"/>
      <c r="O442" s="171"/>
      <c r="P442" s="106"/>
      <c r="Q442" s="347"/>
      <c r="R442" s="106"/>
    </row>
    <row r="443" ht="29.25" customHeight="1">
      <c r="A443" s="216"/>
      <c r="B443" s="349"/>
      <c r="C443" s="350"/>
      <c r="D443" s="351"/>
      <c r="E443" s="352"/>
      <c r="F443" s="173"/>
      <c r="G443" s="168"/>
      <c r="H443" s="168"/>
      <c r="I443" s="169"/>
      <c r="J443" s="170"/>
      <c r="K443" s="170"/>
      <c r="L443" s="170"/>
      <c r="M443" s="167"/>
      <c r="N443" s="169"/>
      <c r="O443" s="171"/>
      <c r="P443" s="106"/>
      <c r="Q443" s="353"/>
      <c r="R443" s="106"/>
    </row>
    <row r="444" ht="29.25" customHeight="1">
      <c r="A444" s="216"/>
      <c r="B444" s="349"/>
      <c r="C444" s="350"/>
      <c r="D444" s="351"/>
      <c r="E444" s="340"/>
      <c r="F444" s="173"/>
      <c r="G444" s="168"/>
      <c r="H444" s="168"/>
      <c r="I444" s="169"/>
      <c r="J444" s="170"/>
      <c r="K444" s="170"/>
      <c r="L444" s="170"/>
      <c r="M444" s="167"/>
      <c r="N444" s="169"/>
      <c r="O444" s="171"/>
      <c r="P444" s="106"/>
      <c r="Q444" s="347"/>
      <c r="R444" s="106"/>
    </row>
    <row r="445" ht="29.25" customHeight="1">
      <c r="A445" s="216"/>
      <c r="B445" s="349"/>
      <c r="C445" s="350"/>
      <c r="D445" s="351"/>
      <c r="E445" s="352"/>
      <c r="F445" s="173"/>
      <c r="G445" s="168"/>
      <c r="H445" s="168"/>
      <c r="I445" s="169"/>
      <c r="J445" s="170"/>
      <c r="K445" s="170"/>
      <c r="L445" s="170"/>
      <c r="M445" s="167"/>
      <c r="N445" s="169"/>
      <c r="O445" s="171"/>
      <c r="P445" s="106"/>
      <c r="Q445" s="353"/>
      <c r="R445" s="106"/>
    </row>
    <row r="446" ht="29.25" customHeight="1">
      <c r="A446" s="216"/>
      <c r="B446" s="349"/>
      <c r="C446" s="350"/>
      <c r="D446" s="351"/>
      <c r="E446" s="340"/>
      <c r="F446" s="173"/>
      <c r="G446" s="168"/>
      <c r="H446" s="168"/>
      <c r="I446" s="169"/>
      <c r="J446" s="170"/>
      <c r="K446" s="170"/>
      <c r="L446" s="170"/>
      <c r="M446" s="167"/>
      <c r="N446" s="169"/>
      <c r="O446" s="171"/>
      <c r="P446" s="106"/>
      <c r="Q446" s="347"/>
      <c r="R446" s="106"/>
    </row>
    <row r="447" ht="29.25" customHeight="1">
      <c r="A447" s="216"/>
      <c r="B447" s="349"/>
      <c r="C447" s="350"/>
      <c r="D447" s="351"/>
      <c r="E447" s="352"/>
      <c r="F447" s="173"/>
      <c r="G447" s="168"/>
      <c r="H447" s="168"/>
      <c r="I447" s="169"/>
      <c r="J447" s="170"/>
      <c r="K447" s="170"/>
      <c r="L447" s="170"/>
      <c r="M447" s="167"/>
      <c r="N447" s="169"/>
      <c r="O447" s="171"/>
      <c r="P447" s="106"/>
      <c r="Q447" s="353"/>
      <c r="R447" s="106"/>
    </row>
    <row r="448" ht="29.25" customHeight="1">
      <c r="A448" s="216"/>
      <c r="B448" s="349"/>
      <c r="C448" s="350"/>
      <c r="D448" s="351"/>
      <c r="E448" s="340"/>
      <c r="F448" s="173"/>
      <c r="G448" s="168"/>
      <c r="H448" s="168"/>
      <c r="I448" s="169"/>
      <c r="J448" s="170"/>
      <c r="K448" s="170"/>
      <c r="L448" s="170"/>
      <c r="M448" s="167"/>
      <c r="N448" s="169"/>
      <c r="O448" s="171"/>
      <c r="P448" s="106"/>
      <c r="Q448" s="347"/>
      <c r="R448" s="106"/>
    </row>
    <row r="449" ht="29.25" customHeight="1">
      <c r="A449" s="216"/>
      <c r="B449" s="349"/>
      <c r="C449" s="350"/>
      <c r="D449" s="351"/>
      <c r="E449" s="352"/>
      <c r="F449" s="173"/>
      <c r="G449" s="168"/>
      <c r="H449" s="168"/>
      <c r="I449" s="169"/>
      <c r="J449" s="170"/>
      <c r="K449" s="170"/>
      <c r="L449" s="170"/>
      <c r="M449" s="167"/>
      <c r="N449" s="169"/>
      <c r="O449" s="171"/>
      <c r="P449" s="106"/>
      <c r="Q449" s="353"/>
      <c r="R449" s="106"/>
    </row>
    <row r="450" ht="29.25" customHeight="1">
      <c r="A450" s="216"/>
      <c r="B450" s="349"/>
      <c r="C450" s="350"/>
      <c r="D450" s="351"/>
      <c r="E450" s="340"/>
      <c r="F450" s="173"/>
      <c r="G450" s="168"/>
      <c r="H450" s="168"/>
      <c r="I450" s="169"/>
      <c r="J450" s="170"/>
      <c r="K450" s="170"/>
      <c r="L450" s="170"/>
      <c r="M450" s="167"/>
      <c r="N450" s="169"/>
      <c r="O450" s="171"/>
      <c r="P450" s="106"/>
      <c r="Q450" s="347"/>
      <c r="R450" s="106"/>
    </row>
    <row r="451" ht="29.25" customHeight="1">
      <c r="A451" s="216"/>
      <c r="B451" s="349"/>
      <c r="C451" s="350"/>
      <c r="D451" s="351"/>
      <c r="E451" s="352"/>
      <c r="F451" s="173"/>
      <c r="G451" s="168"/>
      <c r="H451" s="168"/>
      <c r="I451" s="169"/>
      <c r="J451" s="170"/>
      <c r="K451" s="170"/>
      <c r="L451" s="170"/>
      <c r="M451" s="167"/>
      <c r="N451" s="169"/>
      <c r="O451" s="171"/>
      <c r="P451" s="106"/>
      <c r="Q451" s="353"/>
      <c r="R451" s="106"/>
    </row>
    <row r="452" ht="29.25" customHeight="1">
      <c r="A452" s="216"/>
      <c r="B452" s="349"/>
      <c r="C452" s="350"/>
      <c r="D452" s="351"/>
      <c r="E452" s="340"/>
      <c r="F452" s="173"/>
      <c r="G452" s="168"/>
      <c r="H452" s="168"/>
      <c r="I452" s="169"/>
      <c r="J452" s="170"/>
      <c r="K452" s="170"/>
      <c r="L452" s="170"/>
      <c r="M452" s="167"/>
      <c r="N452" s="169"/>
      <c r="O452" s="171"/>
      <c r="P452" s="106"/>
      <c r="Q452" s="347"/>
      <c r="R452" s="106"/>
    </row>
    <row r="453" ht="29.25" customHeight="1">
      <c r="A453" s="216"/>
      <c r="B453" s="349"/>
      <c r="C453" s="350"/>
      <c r="D453" s="351"/>
      <c r="E453" s="352"/>
      <c r="F453" s="173"/>
      <c r="G453" s="168"/>
      <c r="H453" s="168"/>
      <c r="I453" s="169"/>
      <c r="J453" s="170"/>
      <c r="K453" s="170"/>
      <c r="L453" s="170"/>
      <c r="M453" s="167"/>
      <c r="N453" s="169"/>
      <c r="O453" s="171"/>
      <c r="P453" s="106"/>
      <c r="Q453" s="353"/>
      <c r="R453" s="106"/>
    </row>
    <row r="454" ht="29.25" customHeight="1">
      <c r="A454" s="216"/>
      <c r="B454" s="349"/>
      <c r="C454" s="350"/>
      <c r="D454" s="351"/>
      <c r="E454" s="340"/>
      <c r="F454" s="173"/>
      <c r="G454" s="168"/>
      <c r="H454" s="168"/>
      <c r="I454" s="169"/>
      <c r="J454" s="170"/>
      <c r="K454" s="170"/>
      <c r="L454" s="170"/>
      <c r="M454" s="167"/>
      <c r="N454" s="169"/>
      <c r="O454" s="171"/>
      <c r="P454" s="106"/>
      <c r="Q454" s="347"/>
      <c r="R454" s="106"/>
    </row>
    <row r="455" ht="29.25" customHeight="1">
      <c r="A455" s="216"/>
      <c r="B455" s="349"/>
      <c r="C455" s="350"/>
      <c r="D455" s="351"/>
      <c r="E455" s="352"/>
      <c r="F455" s="173"/>
      <c r="G455" s="168"/>
      <c r="H455" s="168"/>
      <c r="I455" s="169"/>
      <c r="J455" s="170"/>
      <c r="K455" s="170"/>
      <c r="L455" s="170"/>
      <c r="M455" s="167"/>
      <c r="N455" s="169"/>
      <c r="O455" s="171"/>
      <c r="P455" s="106"/>
      <c r="Q455" s="353"/>
      <c r="R455" s="106"/>
    </row>
    <row r="456" ht="29.25" customHeight="1">
      <c r="A456" s="216"/>
      <c r="B456" s="349"/>
      <c r="C456" s="350"/>
      <c r="D456" s="351"/>
      <c r="E456" s="340"/>
      <c r="F456" s="173"/>
      <c r="G456" s="168"/>
      <c r="H456" s="168"/>
      <c r="I456" s="169"/>
      <c r="J456" s="170"/>
      <c r="K456" s="170"/>
      <c r="L456" s="170"/>
      <c r="M456" s="167"/>
      <c r="N456" s="169"/>
      <c r="O456" s="171"/>
      <c r="P456" s="106"/>
      <c r="Q456" s="347"/>
      <c r="R456" s="106"/>
    </row>
    <row r="457" ht="29.25" customHeight="1">
      <c r="A457" s="216"/>
      <c r="B457" s="349"/>
      <c r="C457" s="350"/>
      <c r="D457" s="351"/>
      <c r="E457" s="352"/>
      <c r="F457" s="173"/>
      <c r="G457" s="168"/>
      <c r="H457" s="168"/>
      <c r="I457" s="169"/>
      <c r="J457" s="170"/>
      <c r="K457" s="170"/>
      <c r="L457" s="170"/>
      <c r="M457" s="167"/>
      <c r="N457" s="169"/>
      <c r="O457" s="171"/>
      <c r="P457" s="106"/>
      <c r="Q457" s="353"/>
      <c r="R457" s="106"/>
    </row>
    <row r="458" ht="29.25" customHeight="1">
      <c r="A458" s="216"/>
      <c r="B458" s="349"/>
      <c r="C458" s="350"/>
      <c r="D458" s="351"/>
      <c r="E458" s="340"/>
      <c r="F458" s="173"/>
      <c r="G458" s="168"/>
      <c r="H458" s="168"/>
      <c r="I458" s="169"/>
      <c r="J458" s="170"/>
      <c r="K458" s="170"/>
      <c r="L458" s="170"/>
      <c r="M458" s="167"/>
      <c r="N458" s="169"/>
      <c r="O458" s="171"/>
      <c r="P458" s="106"/>
      <c r="Q458" s="347"/>
      <c r="R458" s="106"/>
    </row>
    <row r="459" ht="29.25" customHeight="1">
      <c r="A459" s="216"/>
      <c r="B459" s="349"/>
      <c r="C459" s="350"/>
      <c r="D459" s="351"/>
      <c r="E459" s="352"/>
      <c r="F459" s="173"/>
      <c r="G459" s="168"/>
      <c r="H459" s="168"/>
      <c r="I459" s="169"/>
      <c r="J459" s="170"/>
      <c r="K459" s="170"/>
      <c r="L459" s="170"/>
      <c r="M459" s="167"/>
      <c r="N459" s="169"/>
      <c r="O459" s="171"/>
      <c r="P459" s="106"/>
      <c r="Q459" s="353"/>
      <c r="R459" s="106"/>
    </row>
    <row r="460" ht="29.25" customHeight="1">
      <c r="A460" s="216"/>
      <c r="B460" s="349"/>
      <c r="C460" s="350"/>
      <c r="D460" s="351"/>
      <c r="E460" s="340"/>
      <c r="F460" s="173"/>
      <c r="G460" s="168"/>
      <c r="H460" s="168"/>
      <c r="I460" s="169"/>
      <c r="J460" s="170"/>
      <c r="K460" s="170"/>
      <c r="L460" s="170"/>
      <c r="M460" s="167"/>
      <c r="N460" s="169"/>
      <c r="O460" s="171"/>
      <c r="P460" s="106"/>
      <c r="Q460" s="347"/>
      <c r="R460" s="106"/>
    </row>
    <row r="461" ht="29.25" customHeight="1">
      <c r="A461" s="216"/>
      <c r="B461" s="349"/>
      <c r="C461" s="350"/>
      <c r="D461" s="351"/>
      <c r="E461" s="352"/>
      <c r="F461" s="173"/>
      <c r="G461" s="168"/>
      <c r="H461" s="168"/>
      <c r="I461" s="169"/>
      <c r="J461" s="170"/>
      <c r="K461" s="170"/>
      <c r="L461" s="170"/>
      <c r="M461" s="167"/>
      <c r="N461" s="169"/>
      <c r="O461" s="171"/>
      <c r="P461" s="106"/>
      <c r="Q461" s="353"/>
      <c r="R461" s="106"/>
    </row>
    <row r="462" ht="29.25" customHeight="1">
      <c r="A462" s="216"/>
      <c r="B462" s="349"/>
      <c r="C462" s="350"/>
      <c r="D462" s="351"/>
      <c r="E462" s="340"/>
      <c r="F462" s="173"/>
      <c r="G462" s="168"/>
      <c r="H462" s="168"/>
      <c r="I462" s="169"/>
      <c r="J462" s="170"/>
      <c r="K462" s="170"/>
      <c r="L462" s="170"/>
      <c r="M462" s="167"/>
      <c r="N462" s="169"/>
      <c r="O462" s="171"/>
      <c r="P462" s="106"/>
      <c r="Q462" s="347"/>
      <c r="R462" s="106"/>
    </row>
    <row r="463" ht="29.25" customHeight="1">
      <c r="A463" s="216"/>
      <c r="B463" s="349"/>
      <c r="C463" s="350"/>
      <c r="D463" s="351"/>
      <c r="E463" s="352"/>
      <c r="F463" s="173"/>
      <c r="G463" s="168"/>
      <c r="H463" s="168"/>
      <c r="I463" s="169"/>
      <c r="J463" s="170"/>
      <c r="K463" s="170"/>
      <c r="L463" s="170"/>
      <c r="M463" s="167"/>
      <c r="N463" s="169"/>
      <c r="O463" s="171"/>
      <c r="P463" s="106"/>
      <c r="Q463" s="353"/>
      <c r="R463" s="106"/>
    </row>
    <row r="464" ht="29.25" customHeight="1">
      <c r="A464" s="216"/>
      <c r="B464" s="349"/>
      <c r="C464" s="350"/>
      <c r="D464" s="351"/>
      <c r="E464" s="340"/>
      <c r="F464" s="173"/>
      <c r="G464" s="168"/>
      <c r="H464" s="168"/>
      <c r="I464" s="169"/>
      <c r="J464" s="170"/>
      <c r="K464" s="170"/>
      <c r="L464" s="170"/>
      <c r="M464" s="167"/>
      <c r="N464" s="169"/>
      <c r="O464" s="171"/>
      <c r="P464" s="106"/>
      <c r="Q464" s="347"/>
      <c r="R464" s="106"/>
    </row>
    <row r="465" ht="29.25" customHeight="1">
      <c r="A465" s="216"/>
      <c r="B465" s="349"/>
      <c r="C465" s="350"/>
      <c r="D465" s="351"/>
      <c r="E465" s="352"/>
      <c r="F465" s="173"/>
      <c r="G465" s="168"/>
      <c r="H465" s="168"/>
      <c r="I465" s="169"/>
      <c r="J465" s="170"/>
      <c r="K465" s="170"/>
      <c r="L465" s="170"/>
      <c r="M465" s="167"/>
      <c r="N465" s="169"/>
      <c r="O465" s="171"/>
      <c r="P465" s="106"/>
      <c r="Q465" s="353"/>
      <c r="R465" s="106"/>
    </row>
    <row r="466" ht="29.25" customHeight="1">
      <c r="A466" s="216"/>
      <c r="B466" s="349"/>
      <c r="C466" s="350"/>
      <c r="D466" s="351"/>
      <c r="E466" s="340"/>
      <c r="F466" s="173"/>
      <c r="G466" s="168"/>
      <c r="H466" s="168"/>
      <c r="I466" s="169"/>
      <c r="J466" s="170"/>
      <c r="K466" s="170"/>
      <c r="L466" s="170"/>
      <c r="M466" s="167"/>
      <c r="N466" s="169"/>
      <c r="O466" s="171"/>
      <c r="P466" s="106"/>
      <c r="Q466" s="347"/>
      <c r="R466" s="106"/>
    </row>
    <row r="467" ht="29.25" customHeight="1">
      <c r="A467" s="216"/>
      <c r="B467" s="349"/>
      <c r="C467" s="350"/>
      <c r="D467" s="351"/>
      <c r="E467" s="352"/>
      <c r="F467" s="173"/>
      <c r="G467" s="168"/>
      <c r="H467" s="168"/>
      <c r="I467" s="169"/>
      <c r="J467" s="170"/>
      <c r="K467" s="170"/>
      <c r="L467" s="170"/>
      <c r="M467" s="167"/>
      <c r="N467" s="169"/>
      <c r="O467" s="171"/>
      <c r="P467" s="106"/>
      <c r="Q467" s="353"/>
      <c r="R467" s="106"/>
    </row>
    <row r="468" ht="29.25" customHeight="1">
      <c r="A468" s="216"/>
      <c r="B468" s="349"/>
      <c r="C468" s="350"/>
      <c r="D468" s="351"/>
      <c r="E468" s="340"/>
      <c r="F468" s="173"/>
      <c r="G468" s="168"/>
      <c r="H468" s="168"/>
      <c r="I468" s="169"/>
      <c r="J468" s="170"/>
      <c r="K468" s="170"/>
      <c r="L468" s="170"/>
      <c r="M468" s="167"/>
      <c r="N468" s="169"/>
      <c r="O468" s="171"/>
      <c r="P468" s="106"/>
      <c r="Q468" s="347"/>
      <c r="R468" s="106"/>
    </row>
    <row r="469" ht="29.25" customHeight="1">
      <c r="A469" s="216"/>
      <c r="B469" s="349"/>
      <c r="C469" s="350"/>
      <c r="D469" s="351"/>
      <c r="E469" s="352"/>
      <c r="F469" s="173"/>
      <c r="G469" s="168"/>
      <c r="H469" s="168"/>
      <c r="I469" s="169"/>
      <c r="J469" s="170"/>
      <c r="K469" s="170"/>
      <c r="L469" s="170"/>
      <c r="M469" s="167"/>
      <c r="N469" s="169"/>
      <c r="O469" s="171"/>
      <c r="P469" s="106"/>
      <c r="Q469" s="353"/>
      <c r="R469" s="106"/>
    </row>
    <row r="470" ht="29.25" customHeight="1">
      <c r="A470" s="216"/>
      <c r="B470" s="349"/>
      <c r="C470" s="350"/>
      <c r="D470" s="351"/>
      <c r="E470" s="340"/>
      <c r="F470" s="173"/>
      <c r="G470" s="168"/>
      <c r="H470" s="168"/>
      <c r="I470" s="169"/>
      <c r="J470" s="170"/>
      <c r="K470" s="170"/>
      <c r="L470" s="170"/>
      <c r="M470" s="167"/>
      <c r="N470" s="169"/>
      <c r="O470" s="171"/>
      <c r="P470" s="106"/>
      <c r="Q470" s="347"/>
      <c r="R470" s="106"/>
    </row>
    <row r="471" ht="29.25" customHeight="1">
      <c r="A471" s="216"/>
      <c r="B471" s="349"/>
      <c r="C471" s="350"/>
      <c r="D471" s="351"/>
      <c r="E471" s="352"/>
      <c r="F471" s="173"/>
      <c r="G471" s="168"/>
      <c r="H471" s="168"/>
      <c r="I471" s="169"/>
      <c r="J471" s="170"/>
      <c r="K471" s="170"/>
      <c r="L471" s="170"/>
      <c r="M471" s="167"/>
      <c r="N471" s="169"/>
      <c r="O471" s="171"/>
      <c r="P471" s="106"/>
      <c r="Q471" s="353"/>
      <c r="R471" s="106"/>
    </row>
    <row r="472" ht="29.25" customHeight="1">
      <c r="A472" s="216"/>
      <c r="B472" s="349"/>
      <c r="C472" s="350"/>
      <c r="D472" s="351"/>
      <c r="E472" s="340"/>
      <c r="F472" s="173"/>
      <c r="G472" s="168"/>
      <c r="H472" s="168"/>
      <c r="I472" s="169"/>
      <c r="J472" s="170"/>
      <c r="K472" s="170"/>
      <c r="L472" s="170"/>
      <c r="M472" s="167"/>
      <c r="N472" s="169"/>
      <c r="O472" s="171"/>
      <c r="P472" s="106"/>
      <c r="Q472" s="347"/>
      <c r="R472" s="106"/>
    </row>
    <row r="473" ht="29.25" customHeight="1">
      <c r="A473" s="216"/>
      <c r="B473" s="349"/>
      <c r="C473" s="350"/>
      <c r="D473" s="351"/>
      <c r="E473" s="352"/>
      <c r="F473" s="173"/>
      <c r="G473" s="168"/>
      <c r="H473" s="168"/>
      <c r="I473" s="169"/>
      <c r="J473" s="170"/>
      <c r="K473" s="170"/>
      <c r="L473" s="170"/>
      <c r="M473" s="167"/>
      <c r="N473" s="169"/>
      <c r="O473" s="171"/>
      <c r="P473" s="106"/>
      <c r="Q473" s="353"/>
      <c r="R473" s="106"/>
    </row>
    <row r="474" ht="29.25" customHeight="1">
      <c r="A474" s="216"/>
      <c r="B474" s="349"/>
      <c r="C474" s="350"/>
      <c r="D474" s="351"/>
      <c r="E474" s="340"/>
      <c r="F474" s="173"/>
      <c r="G474" s="168"/>
      <c r="H474" s="168"/>
      <c r="I474" s="169"/>
      <c r="J474" s="170"/>
      <c r="K474" s="170"/>
      <c r="L474" s="170"/>
      <c r="M474" s="167"/>
      <c r="N474" s="169"/>
      <c r="O474" s="171"/>
      <c r="P474" s="106"/>
      <c r="Q474" s="347"/>
      <c r="R474" s="106"/>
    </row>
    <row r="475" ht="29.25" customHeight="1">
      <c r="A475" s="216"/>
      <c r="B475" s="349"/>
      <c r="C475" s="350"/>
      <c r="D475" s="351"/>
      <c r="E475" s="352"/>
      <c r="F475" s="173"/>
      <c r="G475" s="168"/>
      <c r="H475" s="168"/>
      <c r="I475" s="169"/>
      <c r="J475" s="170"/>
      <c r="K475" s="170"/>
      <c r="L475" s="170"/>
      <c r="M475" s="167"/>
      <c r="N475" s="169"/>
      <c r="O475" s="171"/>
      <c r="P475" s="106"/>
      <c r="Q475" s="353"/>
      <c r="R475" s="106"/>
    </row>
    <row r="476" ht="29.25" customHeight="1">
      <c r="A476" s="216"/>
      <c r="B476" s="349"/>
      <c r="C476" s="350"/>
      <c r="D476" s="351"/>
      <c r="E476" s="340"/>
      <c r="F476" s="173"/>
      <c r="G476" s="168"/>
      <c r="H476" s="168"/>
      <c r="I476" s="169"/>
      <c r="J476" s="170"/>
      <c r="K476" s="170"/>
      <c r="L476" s="170"/>
      <c r="M476" s="167"/>
      <c r="N476" s="169"/>
      <c r="O476" s="171"/>
      <c r="P476" s="106"/>
      <c r="Q476" s="347"/>
      <c r="R476" s="106"/>
    </row>
    <row r="477" ht="29.25" customHeight="1">
      <c r="A477" s="216"/>
      <c r="B477" s="349"/>
      <c r="C477" s="350"/>
      <c r="D477" s="351"/>
      <c r="E477" s="352"/>
      <c r="F477" s="173"/>
      <c r="G477" s="168"/>
      <c r="H477" s="168"/>
      <c r="I477" s="169"/>
      <c r="J477" s="170"/>
      <c r="K477" s="170"/>
      <c r="L477" s="170"/>
      <c r="M477" s="167"/>
      <c r="N477" s="169"/>
      <c r="O477" s="171"/>
      <c r="P477" s="106"/>
      <c r="Q477" s="353"/>
      <c r="R477" s="106"/>
    </row>
    <row r="478" ht="29.25" customHeight="1">
      <c r="A478" s="216"/>
      <c r="B478" s="349"/>
      <c r="C478" s="350"/>
      <c r="D478" s="351"/>
      <c r="E478" s="340"/>
      <c r="F478" s="173"/>
      <c r="G478" s="168"/>
      <c r="H478" s="168"/>
      <c r="I478" s="169"/>
      <c r="J478" s="170"/>
      <c r="K478" s="170"/>
      <c r="L478" s="170"/>
      <c r="M478" s="167"/>
      <c r="N478" s="169"/>
      <c r="O478" s="171"/>
      <c r="P478" s="106"/>
      <c r="Q478" s="347"/>
      <c r="R478" s="106"/>
    </row>
    <row r="479" ht="29.25" customHeight="1">
      <c r="A479" s="216"/>
      <c r="B479" s="349"/>
      <c r="C479" s="350"/>
      <c r="D479" s="351"/>
      <c r="E479" s="352"/>
      <c r="F479" s="173"/>
      <c r="G479" s="168"/>
      <c r="H479" s="168"/>
      <c r="I479" s="169"/>
      <c r="J479" s="170"/>
      <c r="K479" s="170"/>
      <c r="L479" s="170"/>
      <c r="M479" s="167"/>
      <c r="N479" s="169"/>
      <c r="O479" s="171"/>
      <c r="P479" s="106"/>
      <c r="Q479" s="353"/>
      <c r="R479" s="106"/>
    </row>
    <row r="480" ht="29.25" customHeight="1">
      <c r="A480" s="216"/>
      <c r="B480" s="349"/>
      <c r="C480" s="350"/>
      <c r="D480" s="351"/>
      <c r="E480" s="340"/>
      <c r="F480" s="173"/>
      <c r="G480" s="168"/>
      <c r="H480" s="168"/>
      <c r="I480" s="169"/>
      <c r="J480" s="170"/>
      <c r="K480" s="170"/>
      <c r="L480" s="170"/>
      <c r="M480" s="167"/>
      <c r="N480" s="169"/>
      <c r="O480" s="171"/>
      <c r="P480" s="106"/>
      <c r="Q480" s="347"/>
      <c r="R480" s="106"/>
    </row>
    <row r="481" ht="29.25" customHeight="1">
      <c r="A481" s="216"/>
      <c r="B481" s="349"/>
      <c r="C481" s="350"/>
      <c r="D481" s="351"/>
      <c r="E481" s="352"/>
      <c r="F481" s="173"/>
      <c r="G481" s="168"/>
      <c r="H481" s="168"/>
      <c r="I481" s="169"/>
      <c r="J481" s="170"/>
      <c r="K481" s="170"/>
      <c r="L481" s="170"/>
      <c r="M481" s="167"/>
      <c r="N481" s="169"/>
      <c r="O481" s="171"/>
      <c r="P481" s="106"/>
      <c r="Q481" s="353"/>
      <c r="R481" s="106"/>
    </row>
    <row r="482" ht="29.25" customHeight="1">
      <c r="A482" s="216"/>
      <c r="B482" s="349"/>
      <c r="C482" s="350"/>
      <c r="D482" s="351"/>
      <c r="E482" s="340"/>
      <c r="F482" s="173"/>
      <c r="G482" s="168"/>
      <c r="H482" s="168"/>
      <c r="I482" s="169"/>
      <c r="J482" s="170"/>
      <c r="K482" s="170"/>
      <c r="L482" s="170"/>
      <c r="M482" s="167"/>
      <c r="N482" s="169"/>
      <c r="O482" s="171"/>
      <c r="P482" s="106"/>
      <c r="Q482" s="347"/>
      <c r="R482" s="106"/>
    </row>
    <row r="483" ht="29.25" customHeight="1">
      <c r="A483" s="216"/>
      <c r="B483" s="349"/>
      <c r="C483" s="350"/>
      <c r="D483" s="351"/>
      <c r="E483" s="352"/>
      <c r="F483" s="173"/>
      <c r="G483" s="168"/>
      <c r="H483" s="168"/>
      <c r="I483" s="169"/>
      <c r="J483" s="170"/>
      <c r="K483" s="170"/>
      <c r="L483" s="170"/>
      <c r="M483" s="167"/>
      <c r="N483" s="169"/>
      <c r="O483" s="171"/>
      <c r="P483" s="106"/>
      <c r="Q483" s="353"/>
      <c r="R483" s="106"/>
    </row>
    <row r="484" ht="29.25" customHeight="1">
      <c r="A484" s="216"/>
      <c r="B484" s="349"/>
      <c r="C484" s="350"/>
      <c r="D484" s="351"/>
      <c r="E484" s="340"/>
      <c r="F484" s="173"/>
      <c r="G484" s="168"/>
      <c r="H484" s="168"/>
      <c r="I484" s="169"/>
      <c r="J484" s="170"/>
      <c r="K484" s="170"/>
      <c r="L484" s="170"/>
      <c r="M484" s="167"/>
      <c r="N484" s="169"/>
      <c r="O484" s="171"/>
      <c r="P484" s="106"/>
      <c r="Q484" s="347"/>
      <c r="R484" s="106"/>
    </row>
    <row r="485" ht="29.25" customHeight="1">
      <c r="A485" s="216"/>
      <c r="B485" s="349"/>
      <c r="C485" s="350"/>
      <c r="D485" s="351"/>
      <c r="E485" s="352"/>
      <c r="F485" s="173"/>
      <c r="G485" s="168"/>
      <c r="H485" s="168"/>
      <c r="I485" s="169"/>
      <c r="J485" s="170"/>
      <c r="K485" s="170"/>
      <c r="L485" s="170"/>
      <c r="M485" s="167"/>
      <c r="N485" s="169"/>
      <c r="O485" s="171"/>
      <c r="P485" s="106"/>
      <c r="Q485" s="353"/>
      <c r="R485" s="106"/>
    </row>
    <row r="486" ht="29.25" customHeight="1">
      <c r="A486" s="216"/>
      <c r="B486" s="349"/>
      <c r="C486" s="350"/>
      <c r="D486" s="351"/>
      <c r="E486" s="340"/>
      <c r="F486" s="173"/>
      <c r="G486" s="168"/>
      <c r="H486" s="168"/>
      <c r="I486" s="169"/>
      <c r="J486" s="170"/>
      <c r="K486" s="170"/>
      <c r="L486" s="170"/>
      <c r="M486" s="167"/>
      <c r="N486" s="169"/>
      <c r="O486" s="171"/>
      <c r="P486" s="106"/>
      <c r="Q486" s="347"/>
      <c r="R486" s="106"/>
    </row>
    <row r="487" ht="29.25" customHeight="1">
      <c r="A487" s="216"/>
      <c r="B487" s="349"/>
      <c r="C487" s="350"/>
      <c r="D487" s="351"/>
      <c r="E487" s="352"/>
      <c r="F487" s="173"/>
      <c r="G487" s="168"/>
      <c r="H487" s="168"/>
      <c r="I487" s="169"/>
      <c r="J487" s="170"/>
      <c r="K487" s="170"/>
      <c r="L487" s="170"/>
      <c r="M487" s="167"/>
      <c r="N487" s="169"/>
      <c r="O487" s="171"/>
      <c r="P487" s="106"/>
      <c r="Q487" s="353"/>
      <c r="R487" s="106"/>
    </row>
    <row r="488" ht="29.25" customHeight="1">
      <c r="A488" s="216"/>
      <c r="B488" s="349"/>
      <c r="C488" s="350"/>
      <c r="D488" s="351"/>
      <c r="E488" s="340"/>
      <c r="F488" s="173"/>
      <c r="G488" s="168"/>
      <c r="H488" s="168"/>
      <c r="I488" s="169"/>
      <c r="J488" s="170"/>
      <c r="K488" s="170"/>
      <c r="L488" s="170"/>
      <c r="M488" s="167"/>
      <c r="N488" s="169"/>
      <c r="O488" s="171"/>
      <c r="P488" s="106"/>
      <c r="Q488" s="347"/>
      <c r="R488" s="106"/>
    </row>
    <row r="489" ht="29.25" customHeight="1">
      <c r="A489" s="216"/>
      <c r="B489" s="349"/>
      <c r="C489" s="350"/>
      <c r="D489" s="351"/>
      <c r="E489" s="352"/>
      <c r="F489" s="173"/>
      <c r="G489" s="168"/>
      <c r="H489" s="168"/>
      <c r="I489" s="169"/>
      <c r="J489" s="170"/>
      <c r="K489" s="170"/>
      <c r="L489" s="170"/>
      <c r="M489" s="167"/>
      <c r="N489" s="169"/>
      <c r="O489" s="171"/>
      <c r="P489" s="106"/>
      <c r="Q489" s="353"/>
      <c r="R489" s="106"/>
    </row>
    <row r="490" ht="29.25" customHeight="1">
      <c r="A490" s="216"/>
      <c r="B490" s="349"/>
      <c r="C490" s="350"/>
      <c r="D490" s="351"/>
      <c r="E490" s="340"/>
      <c r="F490" s="173"/>
      <c r="G490" s="168"/>
      <c r="H490" s="168"/>
      <c r="I490" s="169"/>
      <c r="J490" s="170"/>
      <c r="K490" s="170"/>
      <c r="L490" s="170"/>
      <c r="M490" s="167"/>
      <c r="N490" s="169"/>
      <c r="O490" s="171"/>
      <c r="P490" s="106"/>
      <c r="Q490" s="347"/>
      <c r="R490" s="106"/>
    </row>
    <row r="491" ht="29.25" customHeight="1">
      <c r="A491" s="216"/>
      <c r="B491" s="349"/>
      <c r="C491" s="350"/>
      <c r="D491" s="351"/>
      <c r="E491" s="352"/>
      <c r="F491" s="173"/>
      <c r="G491" s="168"/>
      <c r="H491" s="168"/>
      <c r="I491" s="169"/>
      <c r="J491" s="170"/>
      <c r="K491" s="170"/>
      <c r="L491" s="170"/>
      <c r="M491" s="167"/>
      <c r="N491" s="169"/>
      <c r="O491" s="171"/>
      <c r="P491" s="106"/>
      <c r="Q491" s="353"/>
      <c r="R491" s="106"/>
    </row>
    <row r="492" ht="29.25" customHeight="1">
      <c r="A492" s="216"/>
      <c r="B492" s="349"/>
      <c r="C492" s="350"/>
      <c r="D492" s="351"/>
      <c r="E492" s="340"/>
      <c r="F492" s="173"/>
      <c r="G492" s="168"/>
      <c r="H492" s="168"/>
      <c r="I492" s="169"/>
      <c r="J492" s="170"/>
      <c r="K492" s="170"/>
      <c r="L492" s="170"/>
      <c r="M492" s="167"/>
      <c r="N492" s="169"/>
      <c r="O492" s="171"/>
      <c r="P492" s="106"/>
      <c r="Q492" s="347"/>
      <c r="R492" s="106"/>
    </row>
    <row r="493" ht="29.25" customHeight="1">
      <c r="A493" s="216"/>
      <c r="B493" s="349"/>
      <c r="C493" s="350"/>
      <c r="D493" s="351"/>
      <c r="E493" s="352"/>
      <c r="F493" s="173"/>
      <c r="G493" s="168"/>
      <c r="H493" s="168"/>
      <c r="I493" s="169"/>
      <c r="J493" s="170"/>
      <c r="K493" s="170"/>
      <c r="L493" s="170"/>
      <c r="M493" s="167"/>
      <c r="N493" s="169"/>
      <c r="O493" s="171"/>
      <c r="P493" s="106"/>
      <c r="Q493" s="353"/>
      <c r="R493" s="106"/>
    </row>
    <row r="494" ht="29.25" customHeight="1">
      <c r="A494" s="216"/>
      <c r="B494" s="349"/>
      <c r="C494" s="350"/>
      <c r="D494" s="351"/>
      <c r="E494" s="340"/>
      <c r="F494" s="173"/>
      <c r="G494" s="168"/>
      <c r="H494" s="168"/>
      <c r="I494" s="169"/>
      <c r="J494" s="170"/>
      <c r="K494" s="170"/>
      <c r="L494" s="170"/>
      <c r="M494" s="167"/>
      <c r="N494" s="169"/>
      <c r="O494" s="171"/>
      <c r="P494" s="106"/>
      <c r="Q494" s="347"/>
      <c r="R494" s="106"/>
    </row>
    <row r="495" ht="29.25" customHeight="1">
      <c r="A495" s="216"/>
      <c r="B495" s="349"/>
      <c r="C495" s="350"/>
      <c r="D495" s="351"/>
      <c r="E495" s="352"/>
      <c r="F495" s="173"/>
      <c r="G495" s="168"/>
      <c r="H495" s="168"/>
      <c r="I495" s="169"/>
      <c r="J495" s="170"/>
      <c r="K495" s="170"/>
      <c r="L495" s="170"/>
      <c r="M495" s="167"/>
      <c r="N495" s="169"/>
      <c r="O495" s="171"/>
      <c r="P495" s="106"/>
      <c r="Q495" s="353"/>
      <c r="R495" s="106"/>
    </row>
    <row r="496" ht="29.25" customHeight="1">
      <c r="A496" s="216"/>
      <c r="B496" s="349"/>
      <c r="C496" s="350"/>
      <c r="D496" s="351"/>
      <c r="E496" s="340"/>
      <c r="F496" s="173"/>
      <c r="G496" s="168"/>
      <c r="H496" s="168"/>
      <c r="I496" s="169"/>
      <c r="J496" s="170"/>
      <c r="K496" s="170"/>
      <c r="L496" s="170"/>
      <c r="M496" s="167"/>
      <c r="N496" s="169"/>
      <c r="O496" s="171"/>
      <c r="P496" s="106"/>
      <c r="Q496" s="347"/>
      <c r="R496" s="106"/>
    </row>
    <row r="497" ht="29.25" customHeight="1">
      <c r="A497" s="216"/>
      <c r="B497" s="349"/>
      <c r="C497" s="350"/>
      <c r="D497" s="351"/>
      <c r="E497" s="352"/>
      <c r="F497" s="173"/>
      <c r="G497" s="168"/>
      <c r="H497" s="168"/>
      <c r="I497" s="169"/>
      <c r="J497" s="170"/>
      <c r="K497" s="170"/>
      <c r="L497" s="170"/>
      <c r="M497" s="167"/>
      <c r="N497" s="169"/>
      <c r="O497" s="171"/>
      <c r="P497" s="106"/>
      <c r="Q497" s="353"/>
      <c r="R497" s="106"/>
    </row>
    <row r="498" ht="29.25" customHeight="1">
      <c r="A498" s="216"/>
      <c r="B498" s="349"/>
      <c r="C498" s="350"/>
      <c r="D498" s="351"/>
      <c r="E498" s="340"/>
      <c r="F498" s="173"/>
      <c r="G498" s="168"/>
      <c r="H498" s="168"/>
      <c r="I498" s="169"/>
      <c r="J498" s="170"/>
      <c r="K498" s="170"/>
      <c r="L498" s="170"/>
      <c r="M498" s="167"/>
      <c r="N498" s="169"/>
      <c r="O498" s="171"/>
      <c r="P498" s="106"/>
      <c r="Q498" s="347"/>
      <c r="R498" s="106"/>
    </row>
    <row r="499" ht="29.25" customHeight="1">
      <c r="A499" s="216"/>
      <c r="B499" s="349"/>
      <c r="C499" s="350"/>
      <c r="D499" s="351"/>
      <c r="E499" s="352"/>
      <c r="F499" s="173"/>
      <c r="G499" s="168"/>
      <c r="H499" s="168"/>
      <c r="I499" s="169"/>
      <c r="J499" s="170"/>
      <c r="K499" s="170"/>
      <c r="L499" s="170"/>
      <c r="M499" s="167"/>
      <c r="N499" s="169"/>
      <c r="O499" s="171"/>
      <c r="P499" s="106"/>
      <c r="Q499" s="353"/>
      <c r="R499" s="106"/>
    </row>
    <row r="500" ht="29.25" customHeight="1">
      <c r="A500" s="216"/>
      <c r="B500" s="349"/>
      <c r="C500" s="350"/>
      <c r="D500" s="351"/>
      <c r="E500" s="340"/>
      <c r="F500" s="173"/>
      <c r="G500" s="168"/>
      <c r="H500" s="168"/>
      <c r="I500" s="169"/>
      <c r="J500" s="170"/>
      <c r="K500" s="170"/>
      <c r="L500" s="170"/>
      <c r="M500" s="167"/>
      <c r="N500" s="169"/>
      <c r="O500" s="171"/>
      <c r="P500" s="106"/>
      <c r="Q500" s="347"/>
      <c r="R500" s="106"/>
    </row>
    <row r="501" ht="29.25" customHeight="1">
      <c r="A501" s="216"/>
      <c r="B501" s="349"/>
      <c r="C501" s="350"/>
      <c r="D501" s="351"/>
      <c r="E501" s="352"/>
      <c r="F501" s="173"/>
      <c r="G501" s="168"/>
      <c r="H501" s="168"/>
      <c r="I501" s="169"/>
      <c r="J501" s="170"/>
      <c r="K501" s="170"/>
      <c r="L501" s="170"/>
      <c r="M501" s="167"/>
      <c r="N501" s="169"/>
      <c r="O501" s="171"/>
      <c r="P501" s="106"/>
      <c r="Q501" s="353"/>
      <c r="R501" s="106"/>
    </row>
    <row r="502" ht="29.25" customHeight="1">
      <c r="A502" s="216"/>
      <c r="B502" s="349"/>
      <c r="C502" s="350"/>
      <c r="D502" s="351"/>
      <c r="E502" s="340"/>
      <c r="F502" s="173"/>
      <c r="G502" s="168"/>
      <c r="H502" s="168"/>
      <c r="I502" s="169"/>
      <c r="J502" s="170"/>
      <c r="K502" s="170"/>
      <c r="L502" s="170"/>
      <c r="M502" s="167"/>
      <c r="N502" s="169"/>
      <c r="O502" s="171"/>
      <c r="P502" s="106"/>
      <c r="Q502" s="347"/>
      <c r="R502" s="106"/>
    </row>
    <row r="503" ht="29.25" customHeight="1">
      <c r="A503" s="216"/>
      <c r="B503" s="349"/>
      <c r="C503" s="350"/>
      <c r="D503" s="351"/>
      <c r="E503" s="352"/>
      <c r="F503" s="173"/>
      <c r="G503" s="168"/>
      <c r="H503" s="168"/>
      <c r="I503" s="169"/>
      <c r="J503" s="170"/>
      <c r="K503" s="170"/>
      <c r="L503" s="170"/>
      <c r="M503" s="167"/>
      <c r="N503" s="169"/>
      <c r="O503" s="171"/>
      <c r="P503" s="106"/>
      <c r="Q503" s="353"/>
      <c r="R503" s="106"/>
    </row>
    <row r="504" ht="29.25" customHeight="1">
      <c r="A504" s="216"/>
      <c r="B504" s="349"/>
      <c r="C504" s="350"/>
      <c r="D504" s="351"/>
      <c r="E504" s="340"/>
      <c r="F504" s="173"/>
      <c r="G504" s="168"/>
      <c r="H504" s="168"/>
      <c r="I504" s="169"/>
      <c r="J504" s="170"/>
      <c r="K504" s="170"/>
      <c r="L504" s="170"/>
      <c r="M504" s="167"/>
      <c r="N504" s="169"/>
      <c r="O504" s="171"/>
      <c r="P504" s="106"/>
      <c r="Q504" s="347"/>
      <c r="R504" s="106"/>
    </row>
    <row r="505" ht="29.25" customHeight="1">
      <c r="A505" s="216"/>
      <c r="B505" s="349"/>
      <c r="C505" s="350"/>
      <c r="D505" s="351"/>
      <c r="E505" s="352"/>
      <c r="F505" s="173"/>
      <c r="G505" s="168"/>
      <c r="H505" s="168"/>
      <c r="I505" s="169"/>
      <c r="J505" s="170"/>
      <c r="K505" s="170"/>
      <c r="L505" s="170"/>
      <c r="M505" s="167"/>
      <c r="N505" s="169"/>
      <c r="O505" s="171"/>
      <c r="P505" s="106"/>
      <c r="Q505" s="353"/>
      <c r="R505" s="106"/>
    </row>
    <row r="506" ht="29.25" customHeight="1">
      <c r="A506" s="216"/>
      <c r="B506" s="349"/>
      <c r="C506" s="350"/>
      <c r="D506" s="351"/>
      <c r="E506" s="340"/>
      <c r="F506" s="173"/>
      <c r="G506" s="168"/>
      <c r="H506" s="168"/>
      <c r="I506" s="169"/>
      <c r="J506" s="170"/>
      <c r="K506" s="170"/>
      <c r="L506" s="170"/>
      <c r="M506" s="167"/>
      <c r="N506" s="169"/>
      <c r="O506" s="171"/>
      <c r="P506" s="106"/>
      <c r="Q506" s="347"/>
      <c r="R506" s="106"/>
    </row>
    <row r="507" ht="29.25" customHeight="1">
      <c r="A507" s="216"/>
      <c r="B507" s="349"/>
      <c r="C507" s="350"/>
      <c r="D507" s="351"/>
      <c r="E507" s="352"/>
      <c r="F507" s="173"/>
      <c r="G507" s="168"/>
      <c r="H507" s="168"/>
      <c r="I507" s="169"/>
      <c r="J507" s="170"/>
      <c r="K507" s="170"/>
      <c r="L507" s="170"/>
      <c r="M507" s="167"/>
      <c r="N507" s="169"/>
      <c r="O507" s="171"/>
      <c r="P507" s="106"/>
      <c r="Q507" s="353"/>
      <c r="R507" s="106"/>
    </row>
    <row r="508" ht="29.25" customHeight="1">
      <c r="A508" s="216"/>
      <c r="B508" s="349"/>
      <c r="C508" s="350"/>
      <c r="D508" s="351"/>
      <c r="E508" s="340"/>
      <c r="F508" s="173"/>
      <c r="G508" s="168"/>
      <c r="H508" s="168"/>
      <c r="I508" s="169"/>
      <c r="J508" s="170"/>
      <c r="K508" s="170"/>
      <c r="L508" s="170"/>
      <c r="M508" s="167"/>
      <c r="N508" s="169"/>
      <c r="O508" s="171"/>
      <c r="P508" s="106"/>
      <c r="Q508" s="347"/>
      <c r="R508" s="106"/>
    </row>
    <row r="509" ht="29.25" customHeight="1">
      <c r="A509" s="216"/>
      <c r="B509" s="349"/>
      <c r="C509" s="350"/>
      <c r="D509" s="351"/>
      <c r="E509" s="352"/>
      <c r="F509" s="173"/>
      <c r="G509" s="168"/>
      <c r="H509" s="168"/>
      <c r="I509" s="169"/>
      <c r="J509" s="170"/>
      <c r="K509" s="170"/>
      <c r="L509" s="170"/>
      <c r="M509" s="167"/>
      <c r="N509" s="169"/>
      <c r="O509" s="171"/>
      <c r="P509" s="106"/>
      <c r="Q509" s="353"/>
      <c r="R509" s="106"/>
    </row>
    <row r="510" ht="29.25" customHeight="1">
      <c r="A510" s="216"/>
      <c r="B510" s="349"/>
      <c r="C510" s="350"/>
      <c r="D510" s="351"/>
      <c r="E510" s="340"/>
      <c r="F510" s="173"/>
      <c r="G510" s="168"/>
      <c r="H510" s="168"/>
      <c r="I510" s="169"/>
      <c r="J510" s="170"/>
      <c r="K510" s="170"/>
      <c r="L510" s="170"/>
      <c r="M510" s="167"/>
      <c r="N510" s="169"/>
      <c r="O510" s="171"/>
      <c r="P510" s="106"/>
      <c r="Q510" s="347"/>
      <c r="R510" s="106"/>
    </row>
    <row r="511" ht="29.25" customHeight="1">
      <c r="A511" s="216"/>
      <c r="B511" s="349"/>
      <c r="C511" s="350"/>
      <c r="D511" s="351"/>
      <c r="E511" s="352"/>
      <c r="F511" s="173"/>
      <c r="G511" s="168"/>
      <c r="H511" s="168"/>
      <c r="I511" s="169"/>
      <c r="J511" s="170"/>
      <c r="K511" s="170"/>
      <c r="L511" s="170"/>
      <c r="M511" s="167"/>
      <c r="N511" s="169"/>
      <c r="O511" s="171"/>
      <c r="P511" s="106"/>
      <c r="Q511" s="353"/>
      <c r="R511" s="106"/>
    </row>
    <row r="512" ht="29.25" customHeight="1">
      <c r="A512" s="216"/>
      <c r="B512" s="349"/>
      <c r="C512" s="350"/>
      <c r="D512" s="351"/>
      <c r="E512" s="340"/>
      <c r="F512" s="173"/>
      <c r="G512" s="168"/>
      <c r="H512" s="168"/>
      <c r="I512" s="169"/>
      <c r="J512" s="170"/>
      <c r="K512" s="170"/>
      <c r="L512" s="170"/>
      <c r="M512" s="167"/>
      <c r="N512" s="169"/>
      <c r="O512" s="171"/>
      <c r="P512" s="106"/>
      <c r="Q512" s="347"/>
      <c r="R512" s="106"/>
    </row>
    <row r="513" ht="29.25" customHeight="1">
      <c r="A513" s="216"/>
      <c r="B513" s="349"/>
      <c r="C513" s="350"/>
      <c r="D513" s="351"/>
      <c r="E513" s="352"/>
      <c r="F513" s="173"/>
      <c r="G513" s="168"/>
      <c r="H513" s="168"/>
      <c r="I513" s="169"/>
      <c r="J513" s="170"/>
      <c r="K513" s="170"/>
      <c r="L513" s="170"/>
      <c r="M513" s="167"/>
      <c r="N513" s="169"/>
      <c r="O513" s="171"/>
      <c r="P513" s="106"/>
      <c r="Q513" s="353"/>
      <c r="R513" s="106"/>
    </row>
    <row r="514" ht="29.25" customHeight="1">
      <c r="A514" s="216"/>
      <c r="B514" s="349"/>
      <c r="C514" s="350"/>
      <c r="D514" s="351"/>
      <c r="E514" s="340"/>
      <c r="F514" s="173"/>
      <c r="G514" s="168"/>
      <c r="H514" s="168"/>
      <c r="I514" s="169"/>
      <c r="J514" s="170"/>
      <c r="K514" s="170"/>
      <c r="L514" s="170"/>
      <c r="M514" s="167"/>
      <c r="N514" s="169"/>
      <c r="O514" s="171"/>
      <c r="P514" s="106"/>
      <c r="Q514" s="347"/>
      <c r="R514" s="106"/>
    </row>
    <row r="515" ht="29.25" customHeight="1">
      <c r="A515" s="216"/>
      <c r="B515" s="349"/>
      <c r="C515" s="350"/>
      <c r="D515" s="351"/>
      <c r="E515" s="352"/>
      <c r="F515" s="173"/>
      <c r="G515" s="168"/>
      <c r="H515" s="168"/>
      <c r="I515" s="169"/>
      <c r="J515" s="170"/>
      <c r="K515" s="170"/>
      <c r="L515" s="170"/>
      <c r="M515" s="167"/>
      <c r="N515" s="169"/>
      <c r="O515" s="171"/>
      <c r="P515" s="106"/>
      <c r="Q515" s="353"/>
      <c r="R515" s="106"/>
    </row>
    <row r="516" ht="29.25" customHeight="1">
      <c r="A516" s="216"/>
      <c r="B516" s="349"/>
      <c r="C516" s="350"/>
      <c r="D516" s="351"/>
      <c r="E516" s="340"/>
      <c r="F516" s="173"/>
      <c r="G516" s="168"/>
      <c r="H516" s="168"/>
      <c r="I516" s="169"/>
      <c r="J516" s="170"/>
      <c r="K516" s="170"/>
      <c r="L516" s="170"/>
      <c r="M516" s="167"/>
      <c r="N516" s="169"/>
      <c r="O516" s="171"/>
      <c r="P516" s="106"/>
      <c r="Q516" s="347"/>
      <c r="R516" s="106"/>
    </row>
    <row r="517" ht="29.25" customHeight="1">
      <c r="A517" s="216"/>
      <c r="B517" s="349"/>
      <c r="C517" s="350"/>
      <c r="D517" s="351"/>
      <c r="E517" s="352"/>
      <c r="F517" s="173"/>
      <c r="G517" s="168"/>
      <c r="H517" s="168"/>
      <c r="I517" s="169"/>
      <c r="J517" s="170"/>
      <c r="K517" s="170"/>
      <c r="L517" s="170"/>
      <c r="M517" s="167"/>
      <c r="N517" s="169"/>
      <c r="O517" s="171"/>
      <c r="P517" s="106"/>
      <c r="Q517" s="353"/>
      <c r="R517" s="106"/>
    </row>
    <row r="518" ht="29.25" customHeight="1">
      <c r="A518" s="216"/>
      <c r="B518" s="349"/>
      <c r="C518" s="350"/>
      <c r="D518" s="351"/>
      <c r="E518" s="340"/>
      <c r="F518" s="173"/>
      <c r="G518" s="168"/>
      <c r="H518" s="168"/>
      <c r="I518" s="169"/>
      <c r="J518" s="170"/>
      <c r="K518" s="170"/>
      <c r="L518" s="170"/>
      <c r="M518" s="167"/>
      <c r="N518" s="169"/>
      <c r="O518" s="171"/>
      <c r="P518" s="106"/>
      <c r="Q518" s="347"/>
      <c r="R518" s="106"/>
    </row>
    <row r="519" ht="29.25" customHeight="1">
      <c r="A519" s="216"/>
      <c r="B519" s="349"/>
      <c r="C519" s="350"/>
      <c r="D519" s="351"/>
      <c r="E519" s="352"/>
      <c r="F519" s="173"/>
      <c r="G519" s="168"/>
      <c r="H519" s="168"/>
      <c r="I519" s="169"/>
      <c r="J519" s="170"/>
      <c r="K519" s="170"/>
      <c r="L519" s="170"/>
      <c r="M519" s="167"/>
      <c r="N519" s="169"/>
      <c r="O519" s="171"/>
      <c r="P519" s="106"/>
      <c r="Q519" s="353"/>
      <c r="R519" s="106"/>
    </row>
    <row r="520" ht="29.25" customHeight="1">
      <c r="A520" s="216"/>
      <c r="B520" s="349"/>
      <c r="C520" s="350"/>
      <c r="D520" s="351"/>
      <c r="E520" s="340"/>
      <c r="F520" s="173"/>
      <c r="G520" s="168"/>
      <c r="H520" s="168"/>
      <c r="I520" s="169"/>
      <c r="J520" s="170"/>
      <c r="K520" s="170"/>
      <c r="L520" s="170"/>
      <c r="M520" s="167"/>
      <c r="N520" s="169"/>
      <c r="O520" s="171"/>
      <c r="P520" s="106"/>
      <c r="Q520" s="347"/>
      <c r="R520" s="106"/>
    </row>
    <row r="521" ht="29.25" customHeight="1">
      <c r="A521" s="216"/>
      <c r="B521" s="349"/>
      <c r="C521" s="350"/>
      <c r="D521" s="351"/>
      <c r="E521" s="352"/>
      <c r="F521" s="173"/>
      <c r="G521" s="168"/>
      <c r="H521" s="168"/>
      <c r="I521" s="169"/>
      <c r="J521" s="170"/>
      <c r="K521" s="170"/>
      <c r="L521" s="170"/>
      <c r="M521" s="167"/>
      <c r="N521" s="169"/>
      <c r="O521" s="171"/>
      <c r="P521" s="106"/>
      <c r="Q521" s="353"/>
      <c r="R521" s="106"/>
    </row>
    <row r="522" ht="29.25" customHeight="1">
      <c r="A522" s="216"/>
      <c r="B522" s="349"/>
      <c r="C522" s="350"/>
      <c r="D522" s="351"/>
      <c r="E522" s="340"/>
      <c r="F522" s="173"/>
      <c r="G522" s="168"/>
      <c r="H522" s="168"/>
      <c r="I522" s="169"/>
      <c r="J522" s="170"/>
      <c r="K522" s="170"/>
      <c r="L522" s="170"/>
      <c r="M522" s="167"/>
      <c r="N522" s="169"/>
      <c r="O522" s="171"/>
      <c r="P522" s="106"/>
      <c r="Q522" s="347"/>
      <c r="R522" s="106"/>
    </row>
    <row r="523" ht="29.25" customHeight="1">
      <c r="A523" s="216"/>
      <c r="B523" s="349"/>
      <c r="C523" s="350"/>
      <c r="D523" s="351"/>
      <c r="E523" s="352"/>
      <c r="F523" s="173"/>
      <c r="G523" s="168"/>
      <c r="H523" s="168"/>
      <c r="I523" s="169"/>
      <c r="J523" s="170"/>
      <c r="K523" s="170"/>
      <c r="L523" s="170"/>
      <c r="M523" s="167"/>
      <c r="N523" s="169"/>
      <c r="O523" s="171"/>
      <c r="P523" s="106"/>
      <c r="Q523" s="353"/>
      <c r="R523" s="106"/>
    </row>
    <row r="524" ht="29.25" customHeight="1">
      <c r="A524" s="216"/>
      <c r="B524" s="349"/>
      <c r="C524" s="350"/>
      <c r="D524" s="351"/>
      <c r="E524" s="340"/>
      <c r="F524" s="173"/>
      <c r="G524" s="168"/>
      <c r="H524" s="168"/>
      <c r="I524" s="169"/>
      <c r="J524" s="170"/>
      <c r="K524" s="170"/>
      <c r="L524" s="170"/>
      <c r="M524" s="167"/>
      <c r="N524" s="169"/>
      <c r="O524" s="171"/>
      <c r="P524" s="106"/>
      <c r="Q524" s="347"/>
      <c r="R524" s="106"/>
    </row>
    <row r="525" ht="29.25" customHeight="1">
      <c r="A525" s="216"/>
      <c r="B525" s="349"/>
      <c r="C525" s="350"/>
      <c r="D525" s="351"/>
      <c r="E525" s="352"/>
      <c r="F525" s="173"/>
      <c r="G525" s="168"/>
      <c r="H525" s="168"/>
      <c r="I525" s="169"/>
      <c r="J525" s="170"/>
      <c r="K525" s="170"/>
      <c r="L525" s="170"/>
      <c r="M525" s="167"/>
      <c r="N525" s="169"/>
      <c r="O525" s="171"/>
      <c r="P525" s="106"/>
      <c r="Q525" s="353"/>
      <c r="R525" s="106"/>
    </row>
    <row r="526" ht="29.25" customHeight="1">
      <c r="A526" s="216"/>
      <c r="B526" s="349"/>
      <c r="C526" s="350"/>
      <c r="D526" s="351"/>
      <c r="E526" s="340"/>
      <c r="F526" s="173"/>
      <c r="G526" s="168"/>
      <c r="H526" s="168"/>
      <c r="I526" s="169"/>
      <c r="J526" s="170"/>
      <c r="K526" s="170"/>
      <c r="L526" s="170"/>
      <c r="M526" s="167"/>
      <c r="N526" s="169"/>
      <c r="O526" s="171"/>
      <c r="P526" s="106"/>
      <c r="Q526" s="347"/>
      <c r="R526" s="106"/>
    </row>
    <row r="527" ht="29.25" customHeight="1">
      <c r="A527" s="216"/>
      <c r="B527" s="349"/>
      <c r="C527" s="350"/>
      <c r="D527" s="351"/>
      <c r="E527" s="352"/>
      <c r="F527" s="173"/>
      <c r="G527" s="168"/>
      <c r="H527" s="168"/>
      <c r="I527" s="169"/>
      <c r="J527" s="170"/>
      <c r="K527" s="170"/>
      <c r="L527" s="170"/>
      <c r="M527" s="167"/>
      <c r="N527" s="169"/>
      <c r="O527" s="171"/>
      <c r="P527" s="106"/>
      <c r="Q527" s="353"/>
      <c r="R527" s="106"/>
    </row>
    <row r="528" ht="29.25" customHeight="1">
      <c r="A528" s="216"/>
      <c r="B528" s="349"/>
      <c r="C528" s="350"/>
      <c r="D528" s="351"/>
      <c r="E528" s="340"/>
      <c r="F528" s="173"/>
      <c r="G528" s="168"/>
      <c r="H528" s="168"/>
      <c r="I528" s="169"/>
      <c r="J528" s="170"/>
      <c r="K528" s="170"/>
      <c r="L528" s="170"/>
      <c r="M528" s="167"/>
      <c r="N528" s="169"/>
      <c r="O528" s="171"/>
      <c r="P528" s="106"/>
      <c r="Q528" s="347"/>
      <c r="R528" s="106"/>
    </row>
    <row r="529" ht="29.25" customHeight="1">
      <c r="A529" s="216"/>
      <c r="B529" s="349"/>
      <c r="C529" s="350"/>
      <c r="D529" s="351"/>
      <c r="E529" s="352"/>
      <c r="F529" s="173"/>
      <c r="G529" s="168"/>
      <c r="H529" s="168"/>
      <c r="I529" s="169"/>
      <c r="J529" s="170"/>
      <c r="K529" s="170"/>
      <c r="L529" s="170"/>
      <c r="M529" s="167"/>
      <c r="N529" s="169"/>
      <c r="O529" s="171"/>
      <c r="P529" s="106"/>
      <c r="Q529" s="353"/>
      <c r="R529" s="106"/>
    </row>
    <row r="530" ht="29.25" customHeight="1">
      <c r="A530" s="216"/>
      <c r="B530" s="349"/>
      <c r="C530" s="350"/>
      <c r="D530" s="351"/>
      <c r="E530" s="340"/>
      <c r="F530" s="173"/>
      <c r="G530" s="168"/>
      <c r="H530" s="168"/>
      <c r="I530" s="169"/>
      <c r="J530" s="170"/>
      <c r="K530" s="170"/>
      <c r="L530" s="170"/>
      <c r="M530" s="167"/>
      <c r="N530" s="169"/>
      <c r="O530" s="171"/>
      <c r="P530" s="106"/>
      <c r="Q530" s="347"/>
      <c r="R530" s="106"/>
    </row>
    <row r="531" ht="29.25" customHeight="1">
      <c r="A531" s="216"/>
      <c r="B531" s="349"/>
      <c r="C531" s="350"/>
      <c r="D531" s="351"/>
      <c r="E531" s="352"/>
      <c r="F531" s="173"/>
      <c r="G531" s="168"/>
      <c r="H531" s="168"/>
      <c r="I531" s="169"/>
      <c r="J531" s="170"/>
      <c r="K531" s="170"/>
      <c r="L531" s="170"/>
      <c r="M531" s="167"/>
      <c r="N531" s="169"/>
      <c r="O531" s="171"/>
      <c r="P531" s="106"/>
      <c r="Q531" s="353"/>
      <c r="R531" s="106"/>
    </row>
    <row r="532" ht="29.25" customHeight="1">
      <c r="A532" s="216"/>
      <c r="B532" s="349"/>
      <c r="C532" s="350"/>
      <c r="D532" s="351"/>
      <c r="E532" s="340"/>
      <c r="F532" s="173"/>
      <c r="G532" s="168"/>
      <c r="H532" s="168"/>
      <c r="I532" s="169"/>
      <c r="J532" s="170"/>
      <c r="K532" s="170"/>
      <c r="L532" s="170"/>
      <c r="M532" s="167"/>
      <c r="N532" s="169"/>
      <c r="O532" s="171"/>
      <c r="P532" s="106"/>
      <c r="Q532" s="347"/>
      <c r="R532" s="106"/>
    </row>
    <row r="533" ht="29.25" customHeight="1">
      <c r="A533" s="216"/>
      <c r="B533" s="349"/>
      <c r="C533" s="350"/>
      <c r="D533" s="351"/>
      <c r="E533" s="352"/>
      <c r="F533" s="173"/>
      <c r="G533" s="168"/>
      <c r="H533" s="168"/>
      <c r="I533" s="169"/>
      <c r="J533" s="170"/>
      <c r="K533" s="170"/>
      <c r="L533" s="170"/>
      <c r="M533" s="167"/>
      <c r="N533" s="169"/>
      <c r="O533" s="171"/>
      <c r="P533" s="106"/>
      <c r="Q533" s="353"/>
      <c r="R533" s="106"/>
    </row>
    <row r="534" ht="29.25" customHeight="1">
      <c r="A534" s="216"/>
      <c r="B534" s="349"/>
      <c r="C534" s="350"/>
      <c r="D534" s="351"/>
      <c r="E534" s="340"/>
      <c r="F534" s="173"/>
      <c r="G534" s="168"/>
      <c r="H534" s="168"/>
      <c r="I534" s="169"/>
      <c r="J534" s="170"/>
      <c r="K534" s="170"/>
      <c r="L534" s="170"/>
      <c r="M534" s="167"/>
      <c r="N534" s="169"/>
      <c r="O534" s="171"/>
      <c r="P534" s="106"/>
      <c r="Q534" s="347"/>
      <c r="R534" s="106"/>
    </row>
    <row r="535" ht="29.25" customHeight="1">
      <c r="A535" s="216"/>
      <c r="B535" s="349"/>
      <c r="C535" s="350"/>
      <c r="D535" s="351"/>
      <c r="E535" s="352"/>
      <c r="F535" s="173"/>
      <c r="G535" s="168"/>
      <c r="H535" s="168"/>
      <c r="I535" s="169"/>
      <c r="J535" s="170"/>
      <c r="K535" s="170"/>
      <c r="L535" s="170"/>
      <c r="M535" s="167"/>
      <c r="N535" s="169"/>
      <c r="O535" s="171"/>
      <c r="P535" s="106"/>
      <c r="Q535" s="353"/>
      <c r="R535" s="106"/>
    </row>
    <row r="536" ht="29.25" customHeight="1">
      <c r="A536" s="216"/>
      <c r="B536" s="349"/>
      <c r="C536" s="350"/>
      <c r="D536" s="351"/>
      <c r="E536" s="340"/>
      <c r="F536" s="173"/>
      <c r="G536" s="168"/>
      <c r="H536" s="168"/>
      <c r="I536" s="169"/>
      <c r="J536" s="170"/>
      <c r="K536" s="170"/>
      <c r="L536" s="170"/>
      <c r="M536" s="167"/>
      <c r="N536" s="169"/>
      <c r="O536" s="171"/>
      <c r="P536" s="106"/>
      <c r="Q536" s="347"/>
      <c r="R536" s="106"/>
    </row>
    <row r="537" ht="29.25" customHeight="1">
      <c r="A537" s="216"/>
      <c r="B537" s="349"/>
      <c r="C537" s="350"/>
      <c r="D537" s="351"/>
      <c r="E537" s="352"/>
      <c r="F537" s="173"/>
      <c r="G537" s="168"/>
      <c r="H537" s="168"/>
      <c r="I537" s="169"/>
      <c r="J537" s="170"/>
      <c r="K537" s="170"/>
      <c r="L537" s="170"/>
      <c r="M537" s="167"/>
      <c r="N537" s="169"/>
      <c r="O537" s="171"/>
      <c r="P537" s="106"/>
      <c r="Q537" s="353"/>
      <c r="R537" s="106"/>
    </row>
    <row r="538" ht="29.25" customHeight="1">
      <c r="A538" s="216"/>
      <c r="B538" s="349"/>
      <c r="C538" s="350"/>
      <c r="D538" s="351"/>
      <c r="E538" s="340"/>
      <c r="F538" s="173"/>
      <c r="G538" s="168"/>
      <c r="H538" s="168"/>
      <c r="I538" s="169"/>
      <c r="J538" s="170"/>
      <c r="K538" s="170"/>
      <c r="L538" s="170"/>
      <c r="M538" s="167"/>
      <c r="N538" s="169"/>
      <c r="O538" s="171"/>
      <c r="P538" s="106"/>
      <c r="Q538" s="347"/>
      <c r="R538" s="106"/>
    </row>
    <row r="539" ht="29.25" customHeight="1">
      <c r="A539" s="216"/>
      <c r="B539" s="349"/>
      <c r="C539" s="350"/>
      <c r="D539" s="351"/>
      <c r="E539" s="352"/>
      <c r="F539" s="173"/>
      <c r="G539" s="168"/>
      <c r="H539" s="168"/>
      <c r="I539" s="169"/>
      <c r="J539" s="170"/>
      <c r="K539" s="170"/>
      <c r="L539" s="170"/>
      <c r="M539" s="167"/>
      <c r="N539" s="169"/>
      <c r="O539" s="171"/>
      <c r="P539" s="106"/>
      <c r="Q539" s="353"/>
      <c r="R539" s="106"/>
    </row>
    <row r="540" ht="29.25" customHeight="1">
      <c r="A540" s="216"/>
      <c r="B540" s="349"/>
      <c r="C540" s="350"/>
      <c r="D540" s="351"/>
      <c r="E540" s="340"/>
      <c r="F540" s="173"/>
      <c r="G540" s="168"/>
      <c r="H540" s="168"/>
      <c r="I540" s="169"/>
      <c r="J540" s="170"/>
      <c r="K540" s="170"/>
      <c r="L540" s="170"/>
      <c r="M540" s="167"/>
      <c r="N540" s="169"/>
      <c r="O540" s="171"/>
      <c r="P540" s="106"/>
      <c r="Q540" s="347"/>
      <c r="R540" s="106"/>
    </row>
    <row r="541" ht="29.25" customHeight="1">
      <c r="A541" s="216"/>
      <c r="B541" s="349"/>
      <c r="C541" s="350"/>
      <c r="D541" s="351"/>
      <c r="E541" s="352"/>
      <c r="F541" s="173"/>
      <c r="G541" s="168"/>
      <c r="H541" s="168"/>
      <c r="I541" s="169"/>
      <c r="J541" s="170"/>
      <c r="K541" s="170"/>
      <c r="L541" s="170"/>
      <c r="M541" s="167"/>
      <c r="N541" s="169"/>
      <c r="O541" s="171"/>
      <c r="P541" s="106"/>
      <c r="Q541" s="353"/>
      <c r="R541" s="106"/>
    </row>
    <row r="542" ht="29.25" customHeight="1">
      <c r="A542" s="216"/>
      <c r="B542" s="349"/>
      <c r="C542" s="350"/>
      <c r="D542" s="351"/>
      <c r="E542" s="340"/>
      <c r="F542" s="173"/>
      <c r="G542" s="168"/>
      <c r="H542" s="168"/>
      <c r="I542" s="169"/>
      <c r="J542" s="170"/>
      <c r="K542" s="170"/>
      <c r="L542" s="170"/>
      <c r="M542" s="167"/>
      <c r="N542" s="169"/>
      <c r="O542" s="171"/>
      <c r="P542" s="106"/>
      <c r="Q542" s="347"/>
      <c r="R542" s="106"/>
    </row>
    <row r="543" ht="29.25" customHeight="1">
      <c r="A543" s="216"/>
      <c r="B543" s="349"/>
      <c r="C543" s="350"/>
      <c r="D543" s="351"/>
      <c r="E543" s="352"/>
      <c r="F543" s="173"/>
      <c r="G543" s="168"/>
      <c r="H543" s="168"/>
      <c r="I543" s="169"/>
      <c r="J543" s="170"/>
      <c r="K543" s="170"/>
      <c r="L543" s="170"/>
      <c r="M543" s="167"/>
      <c r="N543" s="169"/>
      <c r="O543" s="171"/>
      <c r="P543" s="106"/>
      <c r="Q543" s="353"/>
      <c r="R543" s="106"/>
    </row>
    <row r="544" ht="29.25" customHeight="1">
      <c r="A544" s="216"/>
      <c r="B544" s="349"/>
      <c r="C544" s="350"/>
      <c r="D544" s="351"/>
      <c r="E544" s="340"/>
      <c r="F544" s="173"/>
      <c r="G544" s="168"/>
      <c r="H544" s="168"/>
      <c r="I544" s="169"/>
      <c r="J544" s="170"/>
      <c r="K544" s="170"/>
      <c r="L544" s="170"/>
      <c r="M544" s="167"/>
      <c r="N544" s="169"/>
      <c r="O544" s="171"/>
      <c r="P544" s="106"/>
      <c r="Q544" s="347"/>
      <c r="R544" s="106"/>
    </row>
    <row r="545" ht="29.25" customHeight="1">
      <c r="A545" s="216"/>
      <c r="B545" s="349"/>
      <c r="C545" s="350"/>
      <c r="D545" s="351"/>
      <c r="E545" s="352"/>
      <c r="F545" s="173"/>
      <c r="G545" s="168"/>
      <c r="H545" s="168"/>
      <c r="I545" s="169"/>
      <c r="J545" s="170"/>
      <c r="K545" s="170"/>
      <c r="L545" s="170"/>
      <c r="M545" s="167"/>
      <c r="N545" s="169"/>
      <c r="O545" s="171"/>
      <c r="P545" s="106"/>
      <c r="Q545" s="353"/>
      <c r="R545" s="106"/>
    </row>
    <row r="546" ht="29.25" customHeight="1">
      <c r="A546" s="216"/>
      <c r="B546" s="349"/>
      <c r="C546" s="350"/>
      <c r="D546" s="351"/>
      <c r="E546" s="340"/>
      <c r="F546" s="173"/>
      <c r="G546" s="168"/>
      <c r="H546" s="168"/>
      <c r="I546" s="169"/>
      <c r="J546" s="170"/>
      <c r="K546" s="170"/>
      <c r="L546" s="170"/>
      <c r="M546" s="167"/>
      <c r="N546" s="169"/>
      <c r="O546" s="171"/>
      <c r="P546" s="106"/>
      <c r="Q546" s="347"/>
      <c r="R546" s="106"/>
    </row>
    <row r="547" ht="29.25" customHeight="1">
      <c r="A547" s="216"/>
      <c r="B547" s="349"/>
      <c r="C547" s="350"/>
      <c r="D547" s="351"/>
      <c r="E547" s="352"/>
      <c r="F547" s="173"/>
      <c r="G547" s="168"/>
      <c r="H547" s="168"/>
      <c r="I547" s="169"/>
      <c r="J547" s="170"/>
      <c r="K547" s="170"/>
      <c r="L547" s="170"/>
      <c r="M547" s="167"/>
      <c r="N547" s="169"/>
      <c r="O547" s="171"/>
      <c r="P547" s="106"/>
      <c r="Q547" s="353"/>
      <c r="R547" s="106"/>
    </row>
    <row r="548" ht="29.25" customHeight="1">
      <c r="A548" s="216"/>
      <c r="B548" s="349"/>
      <c r="C548" s="350"/>
      <c r="D548" s="351"/>
      <c r="E548" s="340"/>
      <c r="F548" s="173"/>
      <c r="G548" s="168"/>
      <c r="H548" s="168"/>
      <c r="I548" s="169"/>
      <c r="J548" s="170"/>
      <c r="K548" s="170"/>
      <c r="L548" s="170"/>
      <c r="M548" s="167"/>
      <c r="N548" s="169"/>
      <c r="O548" s="171"/>
      <c r="P548" s="106"/>
      <c r="Q548" s="347"/>
      <c r="R548" s="106"/>
    </row>
    <row r="549" ht="29.25" customHeight="1">
      <c r="A549" s="216"/>
      <c r="B549" s="349"/>
      <c r="C549" s="350"/>
      <c r="D549" s="351"/>
      <c r="E549" s="352"/>
      <c r="F549" s="173"/>
      <c r="G549" s="168"/>
      <c r="H549" s="168"/>
      <c r="I549" s="169"/>
      <c r="J549" s="170"/>
      <c r="K549" s="170"/>
      <c r="L549" s="170"/>
      <c r="M549" s="167"/>
      <c r="N549" s="169"/>
      <c r="O549" s="171"/>
      <c r="P549" s="106"/>
      <c r="Q549" s="353"/>
      <c r="R549" s="106"/>
    </row>
    <row r="550" ht="29.25" customHeight="1">
      <c r="A550" s="216"/>
      <c r="B550" s="349"/>
      <c r="C550" s="350"/>
      <c r="D550" s="351"/>
      <c r="E550" s="340"/>
      <c r="F550" s="173"/>
      <c r="G550" s="168"/>
      <c r="H550" s="168"/>
      <c r="I550" s="169"/>
      <c r="J550" s="170"/>
      <c r="K550" s="170"/>
      <c r="L550" s="170"/>
      <c r="M550" s="167"/>
      <c r="N550" s="169"/>
      <c r="O550" s="171"/>
      <c r="P550" s="106"/>
      <c r="Q550" s="347"/>
      <c r="R550" s="106"/>
    </row>
    <row r="551" ht="29.25" customHeight="1">
      <c r="A551" s="216"/>
      <c r="B551" s="349"/>
      <c r="C551" s="350"/>
      <c r="D551" s="351"/>
      <c r="E551" s="352"/>
      <c r="F551" s="173"/>
      <c r="G551" s="168"/>
      <c r="H551" s="168"/>
      <c r="I551" s="169"/>
      <c r="J551" s="170"/>
      <c r="K551" s="170"/>
      <c r="L551" s="170"/>
      <c r="M551" s="167"/>
      <c r="N551" s="169"/>
      <c r="O551" s="171"/>
      <c r="P551" s="106"/>
      <c r="Q551" s="353"/>
      <c r="R551" s="106"/>
    </row>
    <row r="552" ht="29.25" customHeight="1">
      <c r="A552" s="216"/>
      <c r="B552" s="349"/>
      <c r="C552" s="350"/>
      <c r="D552" s="351"/>
      <c r="E552" s="340"/>
      <c r="F552" s="173"/>
      <c r="G552" s="168"/>
      <c r="H552" s="168"/>
      <c r="I552" s="169"/>
      <c r="J552" s="170"/>
      <c r="K552" s="170"/>
      <c r="L552" s="170"/>
      <c r="M552" s="167"/>
      <c r="N552" s="169"/>
      <c r="O552" s="171"/>
      <c r="P552" s="106"/>
      <c r="Q552" s="347"/>
      <c r="R552" s="106"/>
    </row>
    <row r="553" ht="29.25" customHeight="1">
      <c r="A553" s="216"/>
      <c r="B553" s="349"/>
      <c r="C553" s="350"/>
      <c r="D553" s="351"/>
      <c r="E553" s="352"/>
      <c r="F553" s="173"/>
      <c r="G553" s="168"/>
      <c r="H553" s="168"/>
      <c r="I553" s="169"/>
      <c r="J553" s="170"/>
      <c r="K553" s="170"/>
      <c r="L553" s="170"/>
      <c r="M553" s="167"/>
      <c r="N553" s="169"/>
      <c r="O553" s="171"/>
      <c r="P553" s="106"/>
      <c r="Q553" s="353"/>
      <c r="R553" s="106"/>
    </row>
    <row r="554" ht="29.25" customHeight="1">
      <c r="A554" s="216"/>
      <c r="B554" s="349"/>
      <c r="C554" s="350"/>
      <c r="D554" s="351"/>
      <c r="E554" s="340"/>
      <c r="F554" s="173"/>
      <c r="G554" s="168"/>
      <c r="H554" s="168"/>
      <c r="I554" s="169"/>
      <c r="J554" s="170"/>
      <c r="K554" s="170"/>
      <c r="L554" s="170"/>
      <c r="M554" s="167"/>
      <c r="N554" s="169"/>
      <c r="O554" s="171"/>
      <c r="P554" s="106"/>
      <c r="Q554" s="347"/>
      <c r="R554" s="106"/>
    </row>
    <row r="555" ht="29.25" customHeight="1">
      <c r="A555" s="216"/>
      <c r="B555" s="349"/>
      <c r="C555" s="350"/>
      <c r="D555" s="351"/>
      <c r="E555" s="352"/>
      <c r="F555" s="173"/>
      <c r="G555" s="168"/>
      <c r="H555" s="168"/>
      <c r="I555" s="169"/>
      <c r="J555" s="170"/>
      <c r="K555" s="170"/>
      <c r="L555" s="170"/>
      <c r="M555" s="167"/>
      <c r="N555" s="169"/>
      <c r="O555" s="171"/>
      <c r="P555" s="106"/>
      <c r="Q555" s="353"/>
      <c r="R555" s="106"/>
    </row>
    <row r="556" ht="29.25" customHeight="1">
      <c r="A556" s="216"/>
      <c r="B556" s="349"/>
      <c r="C556" s="350"/>
      <c r="D556" s="351"/>
      <c r="E556" s="340"/>
      <c r="F556" s="173"/>
      <c r="G556" s="168"/>
      <c r="H556" s="168"/>
      <c r="I556" s="169"/>
      <c r="J556" s="170"/>
      <c r="K556" s="170"/>
      <c r="L556" s="170"/>
      <c r="M556" s="167"/>
      <c r="N556" s="169"/>
      <c r="O556" s="171"/>
      <c r="P556" s="106"/>
      <c r="Q556" s="347"/>
      <c r="R556" s="106"/>
    </row>
    <row r="557" ht="29.25" customHeight="1">
      <c r="A557" s="216"/>
      <c r="B557" s="349"/>
      <c r="C557" s="350"/>
      <c r="D557" s="351"/>
      <c r="E557" s="352"/>
      <c r="F557" s="173"/>
      <c r="G557" s="168"/>
      <c r="H557" s="168"/>
      <c r="I557" s="169"/>
      <c r="J557" s="170"/>
      <c r="K557" s="170"/>
      <c r="L557" s="170"/>
      <c r="M557" s="167"/>
      <c r="N557" s="169"/>
      <c r="O557" s="171"/>
      <c r="P557" s="106"/>
      <c r="Q557" s="353"/>
      <c r="R557" s="106"/>
    </row>
    <row r="558" ht="29.25" customHeight="1">
      <c r="A558" s="216"/>
      <c r="B558" s="349"/>
      <c r="C558" s="350"/>
      <c r="D558" s="351"/>
      <c r="E558" s="340"/>
      <c r="F558" s="173"/>
      <c r="G558" s="168"/>
      <c r="H558" s="168"/>
      <c r="I558" s="169"/>
      <c r="J558" s="170"/>
      <c r="K558" s="170"/>
      <c r="L558" s="170"/>
      <c r="M558" s="167"/>
      <c r="N558" s="169"/>
      <c r="O558" s="171"/>
      <c r="P558" s="106"/>
      <c r="Q558" s="347"/>
      <c r="R558" s="106"/>
    </row>
    <row r="559" ht="29.25" customHeight="1">
      <c r="A559" s="216"/>
      <c r="B559" s="349"/>
      <c r="C559" s="350"/>
      <c r="D559" s="351"/>
      <c r="E559" s="352"/>
      <c r="F559" s="173"/>
      <c r="G559" s="168"/>
      <c r="H559" s="168"/>
      <c r="I559" s="169"/>
      <c r="J559" s="170"/>
      <c r="K559" s="170"/>
      <c r="L559" s="170"/>
      <c r="M559" s="167"/>
      <c r="N559" s="169"/>
      <c r="O559" s="171"/>
      <c r="P559" s="106"/>
      <c r="Q559" s="353"/>
      <c r="R559" s="106"/>
    </row>
    <row r="560" ht="29.25" customHeight="1">
      <c r="A560" s="216"/>
      <c r="B560" s="349"/>
      <c r="C560" s="350"/>
      <c r="D560" s="351"/>
      <c r="E560" s="340"/>
      <c r="F560" s="173"/>
      <c r="G560" s="168"/>
      <c r="H560" s="168"/>
      <c r="I560" s="169"/>
      <c r="J560" s="170"/>
      <c r="K560" s="170"/>
      <c r="L560" s="170"/>
      <c r="M560" s="167"/>
      <c r="N560" s="169"/>
      <c r="O560" s="171"/>
      <c r="P560" s="106"/>
      <c r="Q560" s="347"/>
      <c r="R560" s="106"/>
    </row>
    <row r="561" ht="29.25" customHeight="1">
      <c r="A561" s="216"/>
      <c r="B561" s="349"/>
      <c r="C561" s="350"/>
      <c r="D561" s="351"/>
      <c r="E561" s="352"/>
      <c r="F561" s="173"/>
      <c r="G561" s="168"/>
      <c r="H561" s="168"/>
      <c r="I561" s="169"/>
      <c r="J561" s="170"/>
      <c r="K561" s="170"/>
      <c r="L561" s="170"/>
      <c r="M561" s="167"/>
      <c r="N561" s="169"/>
      <c r="O561" s="171"/>
      <c r="P561" s="106"/>
      <c r="Q561" s="353"/>
      <c r="R561" s="106"/>
    </row>
    <row r="562" ht="29.25" customHeight="1">
      <c r="A562" s="216"/>
      <c r="B562" s="349"/>
      <c r="C562" s="350"/>
      <c r="D562" s="351"/>
      <c r="E562" s="340"/>
      <c r="F562" s="173"/>
      <c r="G562" s="168"/>
      <c r="H562" s="168"/>
      <c r="I562" s="169"/>
      <c r="J562" s="170"/>
      <c r="K562" s="170"/>
      <c r="L562" s="170"/>
      <c r="M562" s="167"/>
      <c r="N562" s="169"/>
      <c r="O562" s="171"/>
      <c r="P562" s="106"/>
      <c r="Q562" s="347"/>
      <c r="R562" s="106"/>
    </row>
    <row r="563" ht="29.25" customHeight="1">
      <c r="A563" s="216"/>
      <c r="B563" s="349"/>
      <c r="C563" s="350"/>
      <c r="D563" s="351"/>
      <c r="E563" s="352"/>
      <c r="F563" s="173"/>
      <c r="G563" s="168"/>
      <c r="H563" s="168"/>
      <c r="I563" s="169"/>
      <c r="J563" s="170"/>
      <c r="K563" s="170"/>
      <c r="L563" s="170"/>
      <c r="M563" s="167"/>
      <c r="N563" s="169"/>
      <c r="O563" s="171"/>
      <c r="P563" s="106"/>
      <c r="Q563" s="353"/>
      <c r="R563" s="106"/>
    </row>
    <row r="564" ht="29.25" customHeight="1">
      <c r="A564" s="216"/>
      <c r="B564" s="349"/>
      <c r="C564" s="350"/>
      <c r="D564" s="351"/>
      <c r="E564" s="340"/>
      <c r="F564" s="173"/>
      <c r="G564" s="168"/>
      <c r="H564" s="168"/>
      <c r="I564" s="169"/>
      <c r="J564" s="170"/>
      <c r="K564" s="170"/>
      <c r="L564" s="170"/>
      <c r="M564" s="167"/>
      <c r="N564" s="169"/>
      <c r="O564" s="171"/>
      <c r="P564" s="106"/>
      <c r="Q564" s="347"/>
      <c r="R564" s="106"/>
    </row>
    <row r="565" ht="29.25" customHeight="1">
      <c r="A565" s="216"/>
      <c r="B565" s="349"/>
      <c r="C565" s="350"/>
      <c r="D565" s="351"/>
      <c r="E565" s="352"/>
      <c r="F565" s="173"/>
      <c r="G565" s="168"/>
      <c r="H565" s="168"/>
      <c r="I565" s="169"/>
      <c r="J565" s="170"/>
      <c r="K565" s="170"/>
      <c r="L565" s="170"/>
      <c r="M565" s="167"/>
      <c r="N565" s="169"/>
      <c r="O565" s="171"/>
      <c r="P565" s="106"/>
      <c r="Q565" s="353"/>
      <c r="R565" s="106"/>
    </row>
    <row r="566" ht="29.25" customHeight="1">
      <c r="A566" s="216"/>
      <c r="B566" s="349"/>
      <c r="C566" s="350"/>
      <c r="D566" s="351"/>
      <c r="E566" s="340"/>
      <c r="F566" s="173"/>
      <c r="G566" s="168"/>
      <c r="H566" s="168"/>
      <c r="I566" s="169"/>
      <c r="J566" s="170"/>
      <c r="K566" s="170"/>
      <c r="L566" s="170"/>
      <c r="M566" s="167"/>
      <c r="N566" s="169"/>
      <c r="O566" s="171"/>
      <c r="P566" s="106"/>
      <c r="Q566" s="347"/>
      <c r="R566" s="106"/>
    </row>
    <row r="567" ht="29.25" customHeight="1">
      <c r="A567" s="216"/>
      <c r="B567" s="349"/>
      <c r="C567" s="350"/>
      <c r="D567" s="351"/>
      <c r="E567" s="352"/>
      <c r="F567" s="173"/>
      <c r="G567" s="168"/>
      <c r="H567" s="168"/>
      <c r="I567" s="169"/>
      <c r="J567" s="170"/>
      <c r="K567" s="170"/>
      <c r="L567" s="170"/>
      <c r="M567" s="167"/>
      <c r="N567" s="169"/>
      <c r="O567" s="171"/>
      <c r="P567" s="106"/>
      <c r="Q567" s="353"/>
      <c r="R567" s="106"/>
    </row>
    <row r="568" ht="29.25" customHeight="1">
      <c r="A568" s="216"/>
      <c r="B568" s="349"/>
      <c r="C568" s="350"/>
      <c r="D568" s="351"/>
      <c r="E568" s="340"/>
      <c r="F568" s="173"/>
      <c r="G568" s="168"/>
      <c r="H568" s="168"/>
      <c r="I568" s="169"/>
      <c r="J568" s="170"/>
      <c r="K568" s="170"/>
      <c r="L568" s="170"/>
      <c r="M568" s="167"/>
      <c r="N568" s="169"/>
      <c r="O568" s="171"/>
      <c r="P568" s="106"/>
      <c r="Q568" s="347"/>
      <c r="R568" s="106"/>
    </row>
    <row r="569" ht="29.25" customHeight="1">
      <c r="A569" s="216"/>
      <c r="B569" s="349"/>
      <c r="C569" s="350"/>
      <c r="D569" s="351"/>
      <c r="E569" s="352"/>
      <c r="F569" s="173"/>
      <c r="G569" s="168"/>
      <c r="H569" s="168"/>
      <c r="I569" s="169"/>
      <c r="J569" s="170"/>
      <c r="K569" s="170"/>
      <c r="L569" s="170"/>
      <c r="M569" s="167"/>
      <c r="N569" s="169"/>
      <c r="O569" s="171"/>
      <c r="P569" s="106"/>
      <c r="Q569" s="353"/>
      <c r="R569" s="106"/>
    </row>
    <row r="570" ht="29.25" customHeight="1">
      <c r="A570" s="216"/>
      <c r="B570" s="349"/>
      <c r="C570" s="350"/>
      <c r="D570" s="351"/>
      <c r="E570" s="340"/>
      <c r="F570" s="173"/>
      <c r="G570" s="168"/>
      <c r="H570" s="168"/>
      <c r="I570" s="169"/>
      <c r="J570" s="170"/>
      <c r="K570" s="170"/>
      <c r="L570" s="170"/>
      <c r="M570" s="167"/>
      <c r="N570" s="169"/>
      <c r="O570" s="171"/>
      <c r="P570" s="106"/>
      <c r="Q570" s="347"/>
      <c r="R570" s="106"/>
    </row>
    <row r="571" ht="29.25" customHeight="1">
      <c r="A571" s="216"/>
      <c r="B571" s="349"/>
      <c r="C571" s="350"/>
      <c r="D571" s="351"/>
      <c r="E571" s="352"/>
      <c r="F571" s="173"/>
      <c r="G571" s="168"/>
      <c r="H571" s="168"/>
      <c r="I571" s="169"/>
      <c r="J571" s="170"/>
      <c r="K571" s="170"/>
      <c r="L571" s="170"/>
      <c r="M571" s="167"/>
      <c r="N571" s="169"/>
      <c r="O571" s="171"/>
      <c r="P571" s="106"/>
      <c r="Q571" s="353"/>
      <c r="R571" s="106"/>
    </row>
    <row r="572" ht="29.25" customHeight="1">
      <c r="A572" s="216"/>
      <c r="B572" s="349"/>
      <c r="C572" s="350"/>
      <c r="D572" s="351"/>
      <c r="E572" s="340"/>
      <c r="F572" s="173"/>
      <c r="G572" s="168"/>
      <c r="H572" s="168"/>
      <c r="I572" s="169"/>
      <c r="J572" s="170"/>
      <c r="K572" s="170"/>
      <c r="L572" s="170"/>
      <c r="M572" s="167"/>
      <c r="N572" s="169"/>
      <c r="O572" s="171"/>
      <c r="P572" s="106"/>
      <c r="Q572" s="347"/>
      <c r="R572" s="106"/>
    </row>
    <row r="573" ht="29.25" customHeight="1">
      <c r="A573" s="216"/>
      <c r="B573" s="349"/>
      <c r="C573" s="350"/>
      <c r="D573" s="351"/>
      <c r="E573" s="352"/>
      <c r="F573" s="173"/>
      <c r="G573" s="168"/>
      <c r="H573" s="168"/>
      <c r="I573" s="169"/>
      <c r="J573" s="170"/>
      <c r="K573" s="170"/>
      <c r="L573" s="170"/>
      <c r="M573" s="167"/>
      <c r="N573" s="169"/>
      <c r="O573" s="171"/>
      <c r="P573" s="106"/>
      <c r="Q573" s="353"/>
      <c r="R573" s="106"/>
    </row>
    <row r="574" ht="29.25" customHeight="1">
      <c r="A574" s="216"/>
      <c r="B574" s="349"/>
      <c r="C574" s="350"/>
      <c r="D574" s="351"/>
      <c r="E574" s="340"/>
      <c r="F574" s="173"/>
      <c r="G574" s="168"/>
      <c r="H574" s="168"/>
      <c r="I574" s="169"/>
      <c r="J574" s="170"/>
      <c r="K574" s="170"/>
      <c r="L574" s="170"/>
      <c r="M574" s="167"/>
      <c r="N574" s="169"/>
      <c r="O574" s="171"/>
      <c r="P574" s="106"/>
      <c r="Q574" s="347"/>
      <c r="R574" s="106"/>
    </row>
    <row r="575" ht="29.25" customHeight="1">
      <c r="A575" s="216"/>
      <c r="B575" s="349"/>
      <c r="C575" s="350"/>
      <c r="D575" s="351"/>
      <c r="E575" s="352"/>
      <c r="F575" s="173"/>
      <c r="G575" s="168"/>
      <c r="H575" s="168"/>
      <c r="I575" s="169"/>
      <c r="J575" s="170"/>
      <c r="K575" s="170"/>
      <c r="L575" s="170"/>
      <c r="M575" s="167"/>
      <c r="N575" s="169"/>
      <c r="O575" s="171"/>
      <c r="P575" s="106"/>
      <c r="Q575" s="353"/>
      <c r="R575" s="106"/>
    </row>
    <row r="576" ht="29.25" customHeight="1">
      <c r="A576" s="216"/>
      <c r="B576" s="349"/>
      <c r="C576" s="350"/>
      <c r="D576" s="351"/>
      <c r="E576" s="340"/>
      <c r="F576" s="173"/>
      <c r="G576" s="168"/>
      <c r="H576" s="168"/>
      <c r="I576" s="169"/>
      <c r="J576" s="170"/>
      <c r="K576" s="170"/>
      <c r="L576" s="170"/>
      <c r="M576" s="167"/>
      <c r="N576" s="169"/>
      <c r="O576" s="171"/>
      <c r="P576" s="106"/>
      <c r="Q576" s="347"/>
      <c r="R576" s="106"/>
    </row>
    <row r="577" ht="29.25" customHeight="1">
      <c r="A577" s="216"/>
      <c r="B577" s="349"/>
      <c r="C577" s="350"/>
      <c r="D577" s="351"/>
      <c r="E577" s="352"/>
      <c r="F577" s="173"/>
      <c r="G577" s="168"/>
      <c r="H577" s="168"/>
      <c r="I577" s="169"/>
      <c r="J577" s="170"/>
      <c r="K577" s="170"/>
      <c r="L577" s="170"/>
      <c r="M577" s="167"/>
      <c r="N577" s="169"/>
      <c r="O577" s="171"/>
      <c r="P577" s="106"/>
      <c r="Q577" s="353"/>
      <c r="R577" s="106"/>
    </row>
    <row r="578" ht="29.25" customHeight="1">
      <c r="A578" s="216"/>
      <c r="B578" s="349"/>
      <c r="C578" s="350"/>
      <c r="D578" s="351"/>
      <c r="E578" s="340"/>
      <c r="F578" s="173"/>
      <c r="G578" s="168"/>
      <c r="H578" s="168"/>
      <c r="I578" s="169"/>
      <c r="J578" s="170"/>
      <c r="K578" s="170"/>
      <c r="L578" s="170"/>
      <c r="M578" s="167"/>
      <c r="N578" s="169"/>
      <c r="O578" s="171"/>
      <c r="P578" s="106"/>
      <c r="Q578" s="347"/>
      <c r="R578" s="106"/>
    </row>
    <row r="579" ht="29.25" customHeight="1">
      <c r="A579" s="216"/>
      <c r="B579" s="349"/>
      <c r="C579" s="350"/>
      <c r="D579" s="351"/>
      <c r="E579" s="352"/>
      <c r="F579" s="173"/>
      <c r="G579" s="168"/>
      <c r="H579" s="168"/>
      <c r="I579" s="169"/>
      <c r="J579" s="170"/>
      <c r="K579" s="170"/>
      <c r="L579" s="170"/>
      <c r="M579" s="167"/>
      <c r="N579" s="169"/>
      <c r="O579" s="171"/>
      <c r="P579" s="106"/>
      <c r="Q579" s="353"/>
      <c r="R579" s="106"/>
    </row>
    <row r="580" ht="29.25" customHeight="1">
      <c r="A580" s="216"/>
      <c r="B580" s="349"/>
      <c r="C580" s="350"/>
      <c r="D580" s="351"/>
      <c r="E580" s="340"/>
      <c r="F580" s="173"/>
      <c r="G580" s="168"/>
      <c r="H580" s="168"/>
      <c r="I580" s="169"/>
      <c r="J580" s="170"/>
      <c r="K580" s="170"/>
      <c r="L580" s="170"/>
      <c r="M580" s="167"/>
      <c r="N580" s="169"/>
      <c r="O580" s="171"/>
      <c r="P580" s="106"/>
      <c r="Q580" s="347"/>
      <c r="R580" s="106"/>
    </row>
    <row r="581" ht="29.25" customHeight="1">
      <c r="A581" s="216"/>
      <c r="B581" s="349"/>
      <c r="C581" s="350"/>
      <c r="D581" s="351"/>
      <c r="E581" s="352"/>
      <c r="F581" s="173"/>
      <c r="G581" s="168"/>
      <c r="H581" s="168"/>
      <c r="I581" s="169"/>
      <c r="J581" s="170"/>
      <c r="K581" s="170"/>
      <c r="L581" s="170"/>
      <c r="M581" s="167"/>
      <c r="N581" s="169"/>
      <c r="O581" s="171"/>
      <c r="P581" s="106"/>
      <c r="Q581" s="353"/>
      <c r="R581" s="106"/>
    </row>
    <row r="582" ht="29.25" customHeight="1">
      <c r="A582" s="216"/>
      <c r="B582" s="349"/>
      <c r="C582" s="350"/>
      <c r="D582" s="351"/>
      <c r="E582" s="340"/>
      <c r="F582" s="173"/>
      <c r="G582" s="168"/>
      <c r="H582" s="168"/>
      <c r="I582" s="169"/>
      <c r="J582" s="170"/>
      <c r="K582" s="170"/>
      <c r="L582" s="170"/>
      <c r="M582" s="167"/>
      <c r="N582" s="169"/>
      <c r="O582" s="171"/>
      <c r="P582" s="106"/>
      <c r="Q582" s="347"/>
      <c r="R582" s="106"/>
    </row>
    <row r="583" ht="29.25" customHeight="1">
      <c r="A583" s="216"/>
      <c r="B583" s="349"/>
      <c r="C583" s="350"/>
      <c r="D583" s="351"/>
      <c r="E583" s="352"/>
      <c r="F583" s="173"/>
      <c r="G583" s="168"/>
      <c r="H583" s="168"/>
      <c r="I583" s="169"/>
      <c r="J583" s="170"/>
      <c r="K583" s="170"/>
      <c r="L583" s="170"/>
      <c r="M583" s="167"/>
      <c r="N583" s="169"/>
      <c r="O583" s="171"/>
      <c r="P583" s="106"/>
      <c r="Q583" s="353"/>
      <c r="R583" s="106"/>
    </row>
    <row r="584" ht="29.25" customHeight="1">
      <c r="A584" s="216"/>
      <c r="B584" s="349"/>
      <c r="C584" s="350"/>
      <c r="D584" s="351"/>
      <c r="E584" s="340"/>
      <c r="F584" s="173"/>
      <c r="G584" s="168"/>
      <c r="H584" s="168"/>
      <c r="I584" s="169"/>
      <c r="J584" s="170"/>
      <c r="K584" s="170"/>
      <c r="L584" s="170"/>
      <c r="M584" s="167"/>
      <c r="N584" s="169"/>
      <c r="O584" s="171"/>
      <c r="P584" s="106"/>
      <c r="Q584" s="347"/>
      <c r="R584" s="106"/>
    </row>
    <row r="585" ht="29.25" customHeight="1">
      <c r="A585" s="216"/>
      <c r="B585" s="349"/>
      <c r="C585" s="350"/>
      <c r="D585" s="351"/>
      <c r="E585" s="352"/>
      <c r="F585" s="173"/>
      <c r="G585" s="168"/>
      <c r="H585" s="168"/>
      <c r="I585" s="169"/>
      <c r="J585" s="170"/>
      <c r="K585" s="170"/>
      <c r="L585" s="170"/>
      <c r="M585" s="167"/>
      <c r="N585" s="169"/>
      <c r="O585" s="171"/>
      <c r="P585" s="106"/>
      <c r="Q585" s="353"/>
      <c r="R585" s="106"/>
    </row>
    <row r="586" ht="29.25" customHeight="1">
      <c r="A586" s="216"/>
      <c r="B586" s="349"/>
      <c r="C586" s="350"/>
      <c r="D586" s="351"/>
      <c r="E586" s="340"/>
      <c r="F586" s="173"/>
      <c r="G586" s="168"/>
      <c r="H586" s="168"/>
      <c r="I586" s="169"/>
      <c r="J586" s="170"/>
      <c r="K586" s="170"/>
      <c r="L586" s="170"/>
      <c r="M586" s="167"/>
      <c r="N586" s="169"/>
      <c r="O586" s="171"/>
      <c r="P586" s="106"/>
      <c r="Q586" s="347"/>
      <c r="R586" s="106"/>
    </row>
    <row r="587" ht="29.25" customHeight="1">
      <c r="A587" s="216"/>
      <c r="B587" s="349"/>
      <c r="C587" s="350"/>
      <c r="D587" s="351"/>
      <c r="E587" s="352"/>
      <c r="F587" s="173"/>
      <c r="G587" s="168"/>
      <c r="H587" s="168"/>
      <c r="I587" s="169"/>
      <c r="J587" s="170"/>
      <c r="K587" s="170"/>
      <c r="L587" s="170"/>
      <c r="M587" s="167"/>
      <c r="N587" s="169"/>
      <c r="O587" s="171"/>
      <c r="P587" s="106"/>
      <c r="Q587" s="353"/>
      <c r="R587" s="106"/>
    </row>
    <row r="588" ht="29.25" customHeight="1">
      <c r="A588" s="216"/>
      <c r="B588" s="349"/>
      <c r="C588" s="350"/>
      <c r="D588" s="351"/>
      <c r="E588" s="340"/>
      <c r="F588" s="173"/>
      <c r="G588" s="168"/>
      <c r="H588" s="168"/>
      <c r="I588" s="169"/>
      <c r="J588" s="170"/>
      <c r="K588" s="170"/>
      <c r="L588" s="170"/>
      <c r="M588" s="167"/>
      <c r="N588" s="169"/>
      <c r="O588" s="171"/>
      <c r="P588" s="106"/>
      <c r="Q588" s="347"/>
      <c r="R588" s="106"/>
    </row>
    <row r="589" ht="29.25" customHeight="1">
      <c r="A589" s="216"/>
      <c r="B589" s="349"/>
      <c r="C589" s="350"/>
      <c r="D589" s="351"/>
      <c r="E589" s="352"/>
      <c r="F589" s="173"/>
      <c r="G589" s="168"/>
      <c r="H589" s="168"/>
      <c r="I589" s="169"/>
      <c r="J589" s="170"/>
      <c r="K589" s="170"/>
      <c r="L589" s="170"/>
      <c r="M589" s="167"/>
      <c r="N589" s="169"/>
      <c r="O589" s="171"/>
      <c r="P589" s="106"/>
      <c r="Q589" s="353"/>
      <c r="R589" s="106"/>
    </row>
    <row r="590" ht="29.25" customHeight="1">
      <c r="A590" s="216"/>
      <c r="B590" s="349"/>
      <c r="C590" s="350"/>
      <c r="D590" s="351"/>
      <c r="E590" s="340"/>
      <c r="F590" s="173"/>
      <c r="G590" s="168"/>
      <c r="H590" s="168"/>
      <c r="I590" s="169"/>
      <c r="J590" s="170"/>
      <c r="K590" s="170"/>
      <c r="L590" s="170"/>
      <c r="M590" s="167"/>
      <c r="N590" s="169"/>
      <c r="O590" s="171"/>
      <c r="P590" s="106"/>
      <c r="Q590" s="347"/>
      <c r="R590" s="106"/>
    </row>
    <row r="591" ht="29.25" customHeight="1">
      <c r="A591" s="216"/>
      <c r="B591" s="349"/>
      <c r="C591" s="350"/>
      <c r="D591" s="351"/>
      <c r="E591" s="352"/>
      <c r="F591" s="173"/>
      <c r="G591" s="168"/>
      <c r="H591" s="168"/>
      <c r="I591" s="169"/>
      <c r="J591" s="170"/>
      <c r="K591" s="170"/>
      <c r="L591" s="170"/>
      <c r="M591" s="167"/>
      <c r="N591" s="169"/>
      <c r="O591" s="171"/>
      <c r="P591" s="106"/>
      <c r="Q591" s="353"/>
      <c r="R591" s="106"/>
    </row>
    <row r="592" ht="29.25" customHeight="1">
      <c r="A592" s="216"/>
      <c r="B592" s="349"/>
      <c r="C592" s="350"/>
      <c r="D592" s="351"/>
      <c r="E592" s="340"/>
      <c r="F592" s="173"/>
      <c r="G592" s="168"/>
      <c r="H592" s="168"/>
      <c r="I592" s="169"/>
      <c r="J592" s="170"/>
      <c r="K592" s="170"/>
      <c r="L592" s="170"/>
      <c r="M592" s="167"/>
      <c r="N592" s="169"/>
      <c r="O592" s="171"/>
      <c r="P592" s="106"/>
      <c r="Q592" s="347"/>
      <c r="R592" s="106"/>
    </row>
    <row r="593" ht="29.25" customHeight="1">
      <c r="A593" s="216"/>
      <c r="B593" s="349"/>
      <c r="C593" s="350"/>
      <c r="D593" s="351"/>
      <c r="E593" s="352"/>
      <c r="F593" s="173"/>
      <c r="G593" s="168"/>
      <c r="H593" s="168"/>
      <c r="I593" s="169"/>
      <c r="J593" s="170"/>
      <c r="K593" s="170"/>
      <c r="L593" s="170"/>
      <c r="M593" s="167"/>
      <c r="N593" s="169"/>
      <c r="O593" s="171"/>
      <c r="P593" s="106"/>
      <c r="Q593" s="353"/>
      <c r="R593" s="106"/>
    </row>
    <row r="594" ht="29.25" customHeight="1">
      <c r="A594" s="216"/>
      <c r="B594" s="349"/>
      <c r="C594" s="350"/>
      <c r="D594" s="351"/>
      <c r="E594" s="340"/>
      <c r="F594" s="173"/>
      <c r="G594" s="168"/>
      <c r="H594" s="168"/>
      <c r="I594" s="169"/>
      <c r="J594" s="170"/>
      <c r="K594" s="170"/>
      <c r="L594" s="170"/>
      <c r="M594" s="167"/>
      <c r="N594" s="169"/>
      <c r="O594" s="171"/>
      <c r="P594" s="106"/>
      <c r="Q594" s="347"/>
      <c r="R594" s="106"/>
    </row>
    <row r="595" ht="29.25" customHeight="1">
      <c r="A595" s="216"/>
      <c r="B595" s="349"/>
      <c r="C595" s="350"/>
      <c r="D595" s="351"/>
      <c r="E595" s="352"/>
      <c r="F595" s="173"/>
      <c r="G595" s="168"/>
      <c r="H595" s="168"/>
      <c r="I595" s="169"/>
      <c r="J595" s="170"/>
      <c r="K595" s="170"/>
      <c r="L595" s="170"/>
      <c r="M595" s="167"/>
      <c r="N595" s="169"/>
      <c r="O595" s="171"/>
      <c r="P595" s="106"/>
      <c r="Q595" s="353"/>
      <c r="R595" s="106"/>
    </row>
    <row r="596" ht="29.25" customHeight="1">
      <c r="A596" s="216"/>
      <c r="B596" s="349"/>
      <c r="C596" s="350"/>
      <c r="D596" s="351"/>
      <c r="E596" s="340"/>
      <c r="F596" s="173"/>
      <c r="G596" s="168"/>
      <c r="H596" s="168"/>
      <c r="I596" s="169"/>
      <c r="J596" s="170"/>
      <c r="K596" s="170"/>
      <c r="L596" s="170"/>
      <c r="M596" s="167"/>
      <c r="N596" s="169"/>
      <c r="O596" s="171"/>
      <c r="P596" s="106"/>
      <c r="Q596" s="347"/>
      <c r="R596" s="106"/>
    </row>
    <row r="597" ht="29.25" customHeight="1">
      <c r="A597" s="216"/>
      <c r="B597" s="349"/>
      <c r="C597" s="350"/>
      <c r="D597" s="351"/>
      <c r="E597" s="352"/>
      <c r="F597" s="173"/>
      <c r="G597" s="168"/>
      <c r="H597" s="168"/>
      <c r="I597" s="169"/>
      <c r="J597" s="170"/>
      <c r="K597" s="170"/>
      <c r="L597" s="170"/>
      <c r="M597" s="167"/>
      <c r="N597" s="169"/>
      <c r="O597" s="171"/>
      <c r="P597" s="106"/>
      <c r="Q597" s="353"/>
      <c r="R597" s="106"/>
    </row>
    <row r="598" ht="29.25" customHeight="1">
      <c r="A598" s="216"/>
      <c r="B598" s="349"/>
      <c r="C598" s="350"/>
      <c r="D598" s="351"/>
      <c r="E598" s="340"/>
      <c r="F598" s="173"/>
      <c r="G598" s="168"/>
      <c r="H598" s="168"/>
      <c r="I598" s="169"/>
      <c r="J598" s="170"/>
      <c r="K598" s="170"/>
      <c r="L598" s="170"/>
      <c r="M598" s="167"/>
      <c r="N598" s="169"/>
      <c r="O598" s="171"/>
      <c r="P598" s="106"/>
      <c r="Q598" s="347"/>
      <c r="R598" s="106"/>
    </row>
    <row r="599" ht="29.25" customHeight="1">
      <c r="A599" s="216"/>
      <c r="B599" s="349"/>
      <c r="C599" s="350"/>
      <c r="D599" s="351"/>
      <c r="E599" s="352"/>
      <c r="F599" s="173"/>
      <c r="G599" s="168"/>
      <c r="H599" s="168"/>
      <c r="I599" s="169"/>
      <c r="J599" s="170"/>
      <c r="K599" s="170"/>
      <c r="L599" s="170"/>
      <c r="M599" s="167"/>
      <c r="N599" s="169"/>
      <c r="O599" s="171"/>
      <c r="P599" s="106"/>
      <c r="Q599" s="353"/>
      <c r="R599" s="106"/>
    </row>
    <row r="600" ht="29.25" customHeight="1">
      <c r="A600" s="216"/>
      <c r="B600" s="349"/>
      <c r="C600" s="350"/>
      <c r="D600" s="351"/>
      <c r="E600" s="340"/>
      <c r="F600" s="173"/>
      <c r="G600" s="168"/>
      <c r="H600" s="168"/>
      <c r="I600" s="169"/>
      <c r="J600" s="170"/>
      <c r="K600" s="170"/>
      <c r="L600" s="170"/>
      <c r="M600" s="167"/>
      <c r="N600" s="169"/>
      <c r="O600" s="171"/>
      <c r="P600" s="106"/>
      <c r="Q600" s="347"/>
      <c r="R600" s="106"/>
    </row>
    <row r="601" ht="29.25" customHeight="1">
      <c r="A601" s="216"/>
      <c r="B601" s="349"/>
      <c r="C601" s="350"/>
      <c r="D601" s="351"/>
      <c r="E601" s="352"/>
      <c r="F601" s="173"/>
      <c r="G601" s="168"/>
      <c r="H601" s="168"/>
      <c r="I601" s="169"/>
      <c r="J601" s="170"/>
      <c r="K601" s="170"/>
      <c r="L601" s="170"/>
      <c r="M601" s="167"/>
      <c r="N601" s="169"/>
      <c r="O601" s="171"/>
      <c r="P601" s="106"/>
      <c r="Q601" s="353"/>
      <c r="R601" s="106"/>
    </row>
    <row r="602" ht="29.25" customHeight="1">
      <c r="A602" s="216"/>
      <c r="B602" s="349"/>
      <c r="C602" s="350"/>
      <c r="D602" s="351"/>
      <c r="E602" s="340"/>
      <c r="F602" s="173"/>
      <c r="G602" s="168"/>
      <c r="H602" s="168"/>
      <c r="I602" s="169"/>
      <c r="J602" s="170"/>
      <c r="K602" s="170"/>
      <c r="L602" s="170"/>
      <c r="M602" s="167"/>
      <c r="N602" s="169"/>
      <c r="O602" s="171"/>
      <c r="P602" s="106"/>
      <c r="Q602" s="347"/>
      <c r="R602" s="106"/>
    </row>
    <row r="603" ht="29.25" customHeight="1">
      <c r="A603" s="216"/>
      <c r="B603" s="349"/>
      <c r="C603" s="350"/>
      <c r="D603" s="351"/>
      <c r="E603" s="352"/>
      <c r="F603" s="173"/>
      <c r="G603" s="168"/>
      <c r="H603" s="168"/>
      <c r="I603" s="169"/>
      <c r="J603" s="170"/>
      <c r="K603" s="170"/>
      <c r="L603" s="170"/>
      <c r="M603" s="167"/>
      <c r="N603" s="169"/>
      <c r="O603" s="171"/>
      <c r="P603" s="106"/>
      <c r="Q603" s="353"/>
      <c r="R603" s="106"/>
    </row>
    <row r="604" ht="29.25" customHeight="1">
      <c r="A604" s="216"/>
      <c r="B604" s="349"/>
      <c r="C604" s="350"/>
      <c r="D604" s="351"/>
      <c r="E604" s="340"/>
      <c r="F604" s="173"/>
      <c r="G604" s="168"/>
      <c r="H604" s="168"/>
      <c r="I604" s="169"/>
      <c r="J604" s="170"/>
      <c r="K604" s="170"/>
      <c r="L604" s="170"/>
      <c r="M604" s="167"/>
      <c r="N604" s="169"/>
      <c r="O604" s="171"/>
      <c r="P604" s="106"/>
      <c r="Q604" s="347"/>
      <c r="R604" s="106"/>
    </row>
    <row r="605" ht="29.25" customHeight="1">
      <c r="A605" s="216"/>
      <c r="B605" s="349"/>
      <c r="C605" s="350"/>
      <c r="D605" s="351"/>
      <c r="E605" s="352"/>
      <c r="F605" s="173"/>
      <c r="G605" s="168"/>
      <c r="H605" s="168"/>
      <c r="I605" s="169"/>
      <c r="J605" s="170"/>
      <c r="K605" s="170"/>
      <c r="L605" s="170"/>
      <c r="M605" s="167"/>
      <c r="N605" s="169"/>
      <c r="O605" s="171"/>
      <c r="P605" s="106"/>
      <c r="Q605" s="353"/>
      <c r="R605" s="106"/>
    </row>
    <row r="606" ht="29.25" customHeight="1">
      <c r="A606" s="216"/>
      <c r="B606" s="349"/>
      <c r="C606" s="350"/>
      <c r="D606" s="351"/>
      <c r="E606" s="340"/>
      <c r="F606" s="173"/>
      <c r="G606" s="168"/>
      <c r="H606" s="168"/>
      <c r="I606" s="169"/>
      <c r="J606" s="170"/>
      <c r="K606" s="170"/>
      <c r="L606" s="170"/>
      <c r="M606" s="167"/>
      <c r="N606" s="169"/>
      <c r="O606" s="171"/>
      <c r="P606" s="106"/>
      <c r="Q606" s="347"/>
      <c r="R606" s="106"/>
    </row>
    <row r="607" ht="29.25" customHeight="1">
      <c r="A607" s="216"/>
      <c r="B607" s="349"/>
      <c r="C607" s="350"/>
      <c r="D607" s="351"/>
      <c r="E607" s="352"/>
      <c r="F607" s="173"/>
      <c r="G607" s="168"/>
      <c r="H607" s="168"/>
      <c r="I607" s="169"/>
      <c r="J607" s="170"/>
      <c r="K607" s="170"/>
      <c r="L607" s="170"/>
      <c r="M607" s="167"/>
      <c r="N607" s="169"/>
      <c r="O607" s="171"/>
      <c r="P607" s="106"/>
      <c r="Q607" s="353"/>
      <c r="R607" s="106"/>
    </row>
    <row r="608" ht="29.25" customHeight="1">
      <c r="A608" s="216"/>
      <c r="B608" s="349"/>
      <c r="C608" s="350"/>
      <c r="D608" s="351"/>
      <c r="E608" s="340"/>
      <c r="F608" s="173"/>
      <c r="G608" s="168"/>
      <c r="H608" s="168"/>
      <c r="I608" s="169"/>
      <c r="J608" s="170"/>
      <c r="K608" s="170"/>
      <c r="L608" s="170"/>
      <c r="M608" s="167"/>
      <c r="N608" s="169"/>
      <c r="O608" s="171"/>
      <c r="P608" s="106"/>
      <c r="Q608" s="347"/>
      <c r="R608" s="106"/>
    </row>
    <row r="609" ht="29.25" customHeight="1">
      <c r="A609" s="216"/>
      <c r="B609" s="349"/>
      <c r="C609" s="350"/>
      <c r="D609" s="351"/>
      <c r="E609" s="352"/>
      <c r="F609" s="173"/>
      <c r="G609" s="168"/>
      <c r="H609" s="168"/>
      <c r="I609" s="169"/>
      <c r="J609" s="170"/>
      <c r="K609" s="170"/>
      <c r="L609" s="170"/>
      <c r="M609" s="167"/>
      <c r="N609" s="169"/>
      <c r="O609" s="171"/>
      <c r="P609" s="106"/>
      <c r="Q609" s="353"/>
      <c r="R609" s="106"/>
    </row>
    <row r="610" ht="29.25" customHeight="1">
      <c r="A610" s="216"/>
      <c r="B610" s="349"/>
      <c r="C610" s="350"/>
      <c r="D610" s="351"/>
      <c r="E610" s="340"/>
      <c r="F610" s="173"/>
      <c r="G610" s="168"/>
      <c r="H610" s="168"/>
      <c r="I610" s="169"/>
      <c r="J610" s="170"/>
      <c r="K610" s="170"/>
      <c r="L610" s="170"/>
      <c r="M610" s="167"/>
      <c r="N610" s="169"/>
      <c r="O610" s="171"/>
      <c r="P610" s="106"/>
      <c r="Q610" s="347"/>
      <c r="R610" s="106"/>
    </row>
    <row r="611" ht="29.25" customHeight="1">
      <c r="A611" s="216"/>
      <c r="B611" s="349"/>
      <c r="C611" s="350"/>
      <c r="D611" s="351"/>
      <c r="E611" s="352"/>
      <c r="F611" s="173"/>
      <c r="G611" s="168"/>
      <c r="H611" s="168"/>
      <c r="I611" s="169"/>
      <c r="J611" s="170"/>
      <c r="K611" s="170"/>
      <c r="L611" s="170"/>
      <c r="M611" s="167"/>
      <c r="N611" s="169"/>
      <c r="O611" s="171"/>
      <c r="P611" s="106"/>
      <c r="Q611" s="353"/>
      <c r="R611" s="106"/>
    </row>
    <row r="612" ht="29.25" customHeight="1">
      <c r="A612" s="216"/>
      <c r="B612" s="349"/>
      <c r="C612" s="350"/>
      <c r="D612" s="351"/>
      <c r="E612" s="340"/>
      <c r="F612" s="173"/>
      <c r="G612" s="168"/>
      <c r="H612" s="168"/>
      <c r="I612" s="169"/>
      <c r="J612" s="170"/>
      <c r="K612" s="170"/>
      <c r="L612" s="170"/>
      <c r="M612" s="167"/>
      <c r="N612" s="169"/>
      <c r="O612" s="171"/>
      <c r="P612" s="106"/>
      <c r="Q612" s="347"/>
      <c r="R612" s="106"/>
    </row>
    <row r="613" ht="29.25" customHeight="1">
      <c r="A613" s="216"/>
      <c r="B613" s="349"/>
      <c r="C613" s="350"/>
      <c r="D613" s="351"/>
      <c r="E613" s="352"/>
      <c r="F613" s="173"/>
      <c r="G613" s="168"/>
      <c r="H613" s="168"/>
      <c r="I613" s="169"/>
      <c r="J613" s="170"/>
      <c r="K613" s="170"/>
      <c r="L613" s="170"/>
      <c r="M613" s="167"/>
      <c r="N613" s="169"/>
      <c r="O613" s="171"/>
      <c r="P613" s="106"/>
      <c r="Q613" s="353"/>
      <c r="R613" s="106"/>
    </row>
    <row r="614" ht="29.25" customHeight="1">
      <c r="A614" s="216"/>
      <c r="B614" s="349"/>
      <c r="C614" s="350"/>
      <c r="D614" s="351"/>
      <c r="E614" s="340"/>
      <c r="F614" s="173"/>
      <c r="G614" s="168"/>
      <c r="H614" s="168"/>
      <c r="I614" s="169"/>
      <c r="J614" s="170"/>
      <c r="K614" s="170"/>
      <c r="L614" s="170"/>
      <c r="M614" s="167"/>
      <c r="N614" s="169"/>
      <c r="O614" s="171"/>
      <c r="P614" s="106"/>
      <c r="Q614" s="347"/>
      <c r="R614" s="106"/>
    </row>
    <row r="615" ht="29.25" customHeight="1">
      <c r="A615" s="216"/>
      <c r="B615" s="349"/>
      <c r="C615" s="350"/>
      <c r="D615" s="351"/>
      <c r="E615" s="352"/>
      <c r="F615" s="173"/>
      <c r="G615" s="168"/>
      <c r="H615" s="168"/>
      <c r="I615" s="169"/>
      <c r="J615" s="170"/>
      <c r="K615" s="170"/>
      <c r="L615" s="170"/>
      <c r="M615" s="167"/>
      <c r="N615" s="169"/>
      <c r="O615" s="171"/>
      <c r="P615" s="106"/>
      <c r="Q615" s="353"/>
      <c r="R615" s="106"/>
    </row>
    <row r="616" ht="29.25" customHeight="1">
      <c r="A616" s="216"/>
      <c r="B616" s="349"/>
      <c r="C616" s="350"/>
      <c r="D616" s="351"/>
      <c r="E616" s="340"/>
      <c r="F616" s="173"/>
      <c r="G616" s="168"/>
      <c r="H616" s="168"/>
      <c r="I616" s="169"/>
      <c r="J616" s="170"/>
      <c r="K616" s="170"/>
      <c r="L616" s="170"/>
      <c r="M616" s="167"/>
      <c r="N616" s="169"/>
      <c r="O616" s="171"/>
      <c r="P616" s="106"/>
      <c r="Q616" s="347"/>
      <c r="R616" s="106"/>
    </row>
    <row r="617" ht="29.25" customHeight="1">
      <c r="A617" s="216"/>
      <c r="B617" s="349"/>
      <c r="C617" s="350"/>
      <c r="D617" s="351"/>
      <c r="E617" s="352"/>
      <c r="F617" s="173"/>
      <c r="G617" s="168"/>
      <c r="H617" s="168"/>
      <c r="I617" s="169"/>
      <c r="J617" s="170"/>
      <c r="K617" s="170"/>
      <c r="L617" s="170"/>
      <c r="M617" s="167"/>
      <c r="N617" s="169"/>
      <c r="O617" s="171"/>
      <c r="P617" s="106"/>
      <c r="Q617" s="353"/>
      <c r="R617" s="106"/>
    </row>
    <row r="618" ht="29.25" customHeight="1">
      <c r="A618" s="216"/>
      <c r="B618" s="349"/>
      <c r="C618" s="350"/>
      <c r="D618" s="351"/>
      <c r="E618" s="340"/>
      <c r="F618" s="173"/>
      <c r="G618" s="168"/>
      <c r="H618" s="168"/>
      <c r="I618" s="169"/>
      <c r="J618" s="170"/>
      <c r="K618" s="170"/>
      <c r="L618" s="170"/>
      <c r="M618" s="167"/>
      <c r="N618" s="169"/>
      <c r="O618" s="171"/>
      <c r="P618" s="106"/>
      <c r="Q618" s="347"/>
      <c r="R618" s="106"/>
    </row>
    <row r="619" ht="29.25" customHeight="1">
      <c r="A619" s="216"/>
      <c r="B619" s="349"/>
      <c r="C619" s="350"/>
      <c r="D619" s="351"/>
      <c r="E619" s="352"/>
      <c r="F619" s="173"/>
      <c r="G619" s="168"/>
      <c r="H619" s="168"/>
      <c r="I619" s="169"/>
      <c r="J619" s="170"/>
      <c r="K619" s="170"/>
      <c r="L619" s="170"/>
      <c r="M619" s="167"/>
      <c r="N619" s="169"/>
      <c r="O619" s="171"/>
      <c r="P619" s="106"/>
      <c r="Q619" s="353"/>
      <c r="R619" s="106"/>
    </row>
    <row r="620" ht="29.25" customHeight="1">
      <c r="A620" s="216"/>
      <c r="B620" s="349"/>
      <c r="C620" s="350"/>
      <c r="D620" s="351"/>
      <c r="E620" s="340"/>
      <c r="F620" s="173"/>
      <c r="G620" s="168"/>
      <c r="H620" s="168"/>
      <c r="I620" s="169"/>
      <c r="J620" s="170"/>
      <c r="K620" s="170"/>
      <c r="L620" s="170"/>
      <c r="M620" s="167"/>
      <c r="N620" s="169"/>
      <c r="O620" s="171"/>
      <c r="P620" s="106"/>
      <c r="Q620" s="347"/>
      <c r="R620" s="106"/>
    </row>
    <row r="621" ht="29.25" customHeight="1">
      <c r="A621" s="216"/>
      <c r="B621" s="349"/>
      <c r="C621" s="350"/>
      <c r="D621" s="351"/>
      <c r="E621" s="352"/>
      <c r="F621" s="173"/>
      <c r="G621" s="168"/>
      <c r="H621" s="168"/>
      <c r="I621" s="169"/>
      <c r="J621" s="170"/>
      <c r="K621" s="170"/>
      <c r="L621" s="170"/>
      <c r="M621" s="167"/>
      <c r="N621" s="169"/>
      <c r="O621" s="171"/>
      <c r="P621" s="106"/>
      <c r="Q621" s="353"/>
      <c r="R621" s="106"/>
    </row>
    <row r="622" ht="29.25" customHeight="1">
      <c r="A622" s="216"/>
      <c r="B622" s="349"/>
      <c r="C622" s="350"/>
      <c r="D622" s="351"/>
      <c r="E622" s="340"/>
      <c r="F622" s="173"/>
      <c r="G622" s="168"/>
      <c r="H622" s="168"/>
      <c r="I622" s="169"/>
      <c r="J622" s="170"/>
      <c r="K622" s="170"/>
      <c r="L622" s="170"/>
      <c r="M622" s="167"/>
      <c r="N622" s="169"/>
      <c r="O622" s="171"/>
      <c r="P622" s="106"/>
      <c r="Q622" s="347"/>
      <c r="R622" s="106"/>
    </row>
    <row r="623" ht="29.25" customHeight="1">
      <c r="A623" s="216"/>
      <c r="B623" s="349"/>
      <c r="C623" s="350"/>
      <c r="D623" s="351"/>
      <c r="E623" s="352"/>
      <c r="F623" s="173"/>
      <c r="G623" s="168"/>
      <c r="H623" s="168"/>
      <c r="I623" s="169"/>
      <c r="J623" s="170"/>
      <c r="K623" s="170"/>
      <c r="L623" s="170"/>
      <c r="M623" s="167"/>
      <c r="N623" s="169"/>
      <c r="O623" s="171"/>
      <c r="P623" s="106"/>
      <c r="Q623" s="353"/>
      <c r="R623" s="106"/>
    </row>
    <row r="624" ht="29.25" customHeight="1">
      <c r="A624" s="216"/>
      <c r="B624" s="349"/>
      <c r="C624" s="350"/>
      <c r="D624" s="351"/>
      <c r="E624" s="340"/>
      <c r="F624" s="173"/>
      <c r="G624" s="168"/>
      <c r="H624" s="168"/>
      <c r="I624" s="169"/>
      <c r="J624" s="170"/>
      <c r="K624" s="170"/>
      <c r="L624" s="170"/>
      <c r="M624" s="167"/>
      <c r="N624" s="169"/>
      <c r="O624" s="171"/>
      <c r="P624" s="106"/>
      <c r="Q624" s="347"/>
      <c r="R624" s="106"/>
    </row>
    <row r="625" ht="29.25" customHeight="1">
      <c r="A625" s="216"/>
      <c r="B625" s="349"/>
      <c r="C625" s="350"/>
      <c r="D625" s="351"/>
      <c r="E625" s="352"/>
      <c r="F625" s="173"/>
      <c r="G625" s="168"/>
      <c r="H625" s="168"/>
      <c r="I625" s="169"/>
      <c r="J625" s="170"/>
      <c r="K625" s="170"/>
      <c r="L625" s="170"/>
      <c r="M625" s="167"/>
      <c r="N625" s="169"/>
      <c r="O625" s="171"/>
      <c r="P625" s="106"/>
      <c r="Q625" s="353"/>
      <c r="R625" s="106"/>
    </row>
    <row r="626" ht="29.25" customHeight="1">
      <c r="A626" s="216"/>
      <c r="B626" s="349"/>
      <c r="C626" s="350"/>
      <c r="D626" s="351"/>
      <c r="E626" s="340"/>
      <c r="F626" s="173"/>
      <c r="G626" s="168"/>
      <c r="H626" s="168"/>
      <c r="I626" s="169"/>
      <c r="J626" s="170"/>
      <c r="K626" s="170"/>
      <c r="L626" s="170"/>
      <c r="M626" s="167"/>
      <c r="N626" s="169"/>
      <c r="O626" s="171"/>
      <c r="P626" s="106"/>
      <c r="Q626" s="347"/>
      <c r="R626" s="106"/>
    </row>
    <row r="627" ht="29.25" customHeight="1">
      <c r="A627" s="216"/>
      <c r="B627" s="349"/>
      <c r="C627" s="350"/>
      <c r="D627" s="351"/>
      <c r="E627" s="352"/>
      <c r="F627" s="173"/>
      <c r="G627" s="168"/>
      <c r="H627" s="168"/>
      <c r="I627" s="169"/>
      <c r="J627" s="170"/>
      <c r="K627" s="170"/>
      <c r="L627" s="170"/>
      <c r="M627" s="167"/>
      <c r="N627" s="169"/>
      <c r="O627" s="171"/>
      <c r="P627" s="106"/>
      <c r="Q627" s="353"/>
      <c r="R627" s="106"/>
    </row>
    <row r="628" ht="29.25" customHeight="1">
      <c r="A628" s="216"/>
      <c r="B628" s="349"/>
      <c r="C628" s="350"/>
      <c r="D628" s="351"/>
      <c r="E628" s="340"/>
      <c r="F628" s="173"/>
      <c r="G628" s="168"/>
      <c r="H628" s="168"/>
      <c r="I628" s="169"/>
      <c r="J628" s="170"/>
      <c r="K628" s="170"/>
      <c r="L628" s="170"/>
      <c r="M628" s="167"/>
      <c r="N628" s="169"/>
      <c r="O628" s="171"/>
      <c r="P628" s="106"/>
      <c r="Q628" s="347"/>
      <c r="R628" s="106"/>
    </row>
    <row r="629" ht="29.25" customHeight="1">
      <c r="A629" s="216"/>
      <c r="B629" s="349"/>
      <c r="C629" s="350"/>
      <c r="D629" s="351"/>
      <c r="E629" s="352"/>
      <c r="F629" s="173"/>
      <c r="G629" s="168"/>
      <c r="H629" s="168"/>
      <c r="I629" s="169"/>
      <c r="J629" s="170"/>
      <c r="K629" s="170"/>
      <c r="L629" s="170"/>
      <c r="M629" s="167"/>
      <c r="N629" s="169"/>
      <c r="O629" s="171"/>
      <c r="P629" s="106"/>
      <c r="Q629" s="353"/>
      <c r="R629" s="106"/>
    </row>
    <row r="630" ht="29.25" customHeight="1">
      <c r="A630" s="216"/>
      <c r="B630" s="349"/>
      <c r="C630" s="350"/>
      <c r="D630" s="351"/>
      <c r="E630" s="340"/>
      <c r="F630" s="173"/>
      <c r="G630" s="168"/>
      <c r="H630" s="168"/>
      <c r="I630" s="169"/>
      <c r="J630" s="170"/>
      <c r="K630" s="170"/>
      <c r="L630" s="170"/>
      <c r="M630" s="167"/>
      <c r="N630" s="169"/>
      <c r="O630" s="171"/>
      <c r="P630" s="106"/>
      <c r="Q630" s="347"/>
      <c r="R630" s="106"/>
    </row>
    <row r="631" ht="29.25" customHeight="1">
      <c r="A631" s="216"/>
      <c r="B631" s="349"/>
      <c r="C631" s="350"/>
      <c r="D631" s="351"/>
      <c r="E631" s="352"/>
      <c r="F631" s="173"/>
      <c r="G631" s="168"/>
      <c r="H631" s="168"/>
      <c r="I631" s="169"/>
      <c r="J631" s="170"/>
      <c r="K631" s="170"/>
      <c r="L631" s="170"/>
      <c r="M631" s="167"/>
      <c r="N631" s="169"/>
      <c r="O631" s="171"/>
      <c r="P631" s="106"/>
      <c r="Q631" s="353"/>
      <c r="R631" s="106"/>
    </row>
    <row r="632" ht="29.25" customHeight="1">
      <c r="A632" s="216"/>
      <c r="B632" s="349"/>
      <c r="C632" s="350"/>
      <c r="D632" s="351"/>
      <c r="E632" s="340"/>
      <c r="F632" s="173"/>
      <c r="G632" s="168"/>
      <c r="H632" s="168"/>
      <c r="I632" s="169"/>
      <c r="J632" s="170"/>
      <c r="K632" s="170"/>
      <c r="L632" s="170"/>
      <c r="M632" s="167"/>
      <c r="N632" s="169"/>
      <c r="O632" s="171"/>
      <c r="P632" s="106"/>
      <c r="Q632" s="347"/>
      <c r="R632" s="106"/>
    </row>
    <row r="633" ht="29.25" customHeight="1">
      <c r="A633" s="216"/>
      <c r="B633" s="349"/>
      <c r="C633" s="350"/>
      <c r="D633" s="351"/>
      <c r="E633" s="352"/>
      <c r="F633" s="173"/>
      <c r="G633" s="168"/>
      <c r="H633" s="168"/>
      <c r="I633" s="169"/>
      <c r="J633" s="170"/>
      <c r="K633" s="170"/>
      <c r="L633" s="170"/>
      <c r="M633" s="167"/>
      <c r="N633" s="169"/>
      <c r="O633" s="171"/>
      <c r="P633" s="106"/>
      <c r="Q633" s="353"/>
      <c r="R633" s="106"/>
    </row>
    <row r="634" ht="29.25" customHeight="1">
      <c r="A634" s="216"/>
      <c r="B634" s="349"/>
      <c r="C634" s="350"/>
      <c r="D634" s="351"/>
      <c r="E634" s="340"/>
      <c r="F634" s="173"/>
      <c r="G634" s="168"/>
      <c r="H634" s="168"/>
      <c r="I634" s="169"/>
      <c r="J634" s="170"/>
      <c r="K634" s="170"/>
      <c r="L634" s="170"/>
      <c r="M634" s="167"/>
      <c r="N634" s="169"/>
      <c r="O634" s="171"/>
      <c r="P634" s="106"/>
      <c r="Q634" s="347"/>
      <c r="R634" s="106"/>
    </row>
    <row r="635" ht="29.25" customHeight="1">
      <c r="A635" s="216"/>
      <c r="B635" s="349"/>
      <c r="C635" s="350"/>
      <c r="D635" s="351"/>
      <c r="E635" s="352"/>
      <c r="F635" s="173"/>
      <c r="G635" s="168"/>
      <c r="H635" s="168"/>
      <c r="I635" s="169"/>
      <c r="J635" s="170"/>
      <c r="K635" s="170"/>
      <c r="L635" s="170"/>
      <c r="M635" s="167"/>
      <c r="N635" s="169"/>
      <c r="O635" s="171"/>
      <c r="P635" s="106"/>
      <c r="Q635" s="353"/>
      <c r="R635" s="106"/>
    </row>
    <row r="636" ht="29.25" customHeight="1">
      <c r="A636" s="216"/>
      <c r="B636" s="349"/>
      <c r="C636" s="350"/>
      <c r="D636" s="351"/>
      <c r="E636" s="340"/>
      <c r="F636" s="173"/>
      <c r="G636" s="168"/>
      <c r="H636" s="168"/>
      <c r="I636" s="169"/>
      <c r="J636" s="170"/>
      <c r="K636" s="170"/>
      <c r="L636" s="170"/>
      <c r="M636" s="167"/>
      <c r="N636" s="169"/>
      <c r="O636" s="171"/>
      <c r="P636" s="106"/>
      <c r="Q636" s="347"/>
      <c r="R636" s="106"/>
    </row>
    <row r="637" ht="29.25" customHeight="1">
      <c r="A637" s="216"/>
      <c r="B637" s="349"/>
      <c r="C637" s="350"/>
      <c r="D637" s="351"/>
      <c r="E637" s="352"/>
      <c r="F637" s="173"/>
      <c r="G637" s="168"/>
      <c r="H637" s="168"/>
      <c r="I637" s="169"/>
      <c r="J637" s="170"/>
      <c r="K637" s="170"/>
      <c r="L637" s="170"/>
      <c r="M637" s="167"/>
      <c r="N637" s="169"/>
      <c r="O637" s="171"/>
      <c r="P637" s="106"/>
      <c r="Q637" s="353"/>
      <c r="R637" s="106"/>
    </row>
    <row r="638" ht="29.25" customHeight="1">
      <c r="A638" s="216"/>
      <c r="B638" s="349"/>
      <c r="C638" s="350"/>
      <c r="D638" s="351"/>
      <c r="E638" s="340"/>
      <c r="F638" s="173"/>
      <c r="G638" s="168"/>
      <c r="H638" s="168"/>
      <c r="I638" s="169"/>
      <c r="J638" s="170"/>
      <c r="K638" s="170"/>
      <c r="L638" s="170"/>
      <c r="M638" s="167"/>
      <c r="N638" s="169"/>
      <c r="O638" s="171"/>
      <c r="P638" s="106"/>
      <c r="Q638" s="347"/>
      <c r="R638" s="106"/>
    </row>
    <row r="639" ht="29.25" customHeight="1">
      <c r="A639" s="216"/>
      <c r="B639" s="349"/>
      <c r="C639" s="350"/>
      <c r="D639" s="351"/>
      <c r="E639" s="352"/>
      <c r="F639" s="173"/>
      <c r="G639" s="168"/>
      <c r="H639" s="168"/>
      <c r="I639" s="169"/>
      <c r="J639" s="170"/>
      <c r="K639" s="170"/>
      <c r="L639" s="170"/>
      <c r="M639" s="167"/>
      <c r="N639" s="169"/>
      <c r="O639" s="171"/>
      <c r="P639" s="106"/>
      <c r="Q639" s="353"/>
      <c r="R639" s="106"/>
    </row>
    <row r="640" ht="29.25" customHeight="1">
      <c r="A640" s="216"/>
      <c r="B640" s="349"/>
      <c r="C640" s="350"/>
      <c r="D640" s="351"/>
      <c r="E640" s="340"/>
      <c r="F640" s="173"/>
      <c r="G640" s="168"/>
      <c r="H640" s="168"/>
      <c r="I640" s="169"/>
      <c r="J640" s="170"/>
      <c r="K640" s="170"/>
      <c r="L640" s="170"/>
      <c r="M640" s="167"/>
      <c r="N640" s="169"/>
      <c r="O640" s="171"/>
      <c r="P640" s="106"/>
      <c r="Q640" s="347"/>
      <c r="R640" s="106"/>
    </row>
    <row r="641" ht="29.25" customHeight="1">
      <c r="A641" s="216"/>
      <c r="B641" s="349"/>
      <c r="C641" s="350"/>
      <c r="D641" s="351"/>
      <c r="E641" s="352"/>
      <c r="F641" s="173"/>
      <c r="G641" s="168"/>
      <c r="H641" s="168"/>
      <c r="I641" s="169"/>
      <c r="J641" s="170"/>
      <c r="K641" s="170"/>
      <c r="L641" s="170"/>
      <c r="M641" s="167"/>
      <c r="N641" s="169"/>
      <c r="O641" s="171"/>
      <c r="P641" s="106"/>
      <c r="Q641" s="353"/>
      <c r="R641" s="106"/>
    </row>
    <row r="642" ht="29.25" customHeight="1">
      <c r="A642" s="216"/>
      <c r="B642" s="349"/>
      <c r="C642" s="350"/>
      <c r="D642" s="351"/>
      <c r="E642" s="340"/>
      <c r="F642" s="173"/>
      <c r="G642" s="168"/>
      <c r="H642" s="168"/>
      <c r="I642" s="169"/>
      <c r="J642" s="170"/>
      <c r="K642" s="170"/>
      <c r="L642" s="170"/>
      <c r="M642" s="167"/>
      <c r="N642" s="169"/>
      <c r="O642" s="171"/>
      <c r="P642" s="106"/>
      <c r="Q642" s="347"/>
      <c r="R642" s="106"/>
    </row>
    <row r="643" ht="29.25" customHeight="1">
      <c r="A643" s="216"/>
      <c r="B643" s="349"/>
      <c r="C643" s="350"/>
      <c r="D643" s="351"/>
      <c r="E643" s="352"/>
      <c r="F643" s="173"/>
      <c r="G643" s="168"/>
      <c r="H643" s="168"/>
      <c r="I643" s="169"/>
      <c r="J643" s="170"/>
      <c r="K643" s="170"/>
      <c r="L643" s="170"/>
      <c r="M643" s="167"/>
      <c r="N643" s="169"/>
      <c r="O643" s="171"/>
      <c r="P643" s="106"/>
      <c r="Q643" s="353"/>
      <c r="R643" s="106"/>
    </row>
    <row r="644" ht="29.25" customHeight="1">
      <c r="A644" s="216"/>
      <c r="B644" s="349"/>
      <c r="C644" s="350"/>
      <c r="D644" s="351"/>
      <c r="E644" s="340"/>
      <c r="F644" s="173"/>
      <c r="G644" s="168"/>
      <c r="H644" s="168"/>
      <c r="I644" s="169"/>
      <c r="J644" s="170"/>
      <c r="K644" s="170"/>
      <c r="L644" s="170"/>
      <c r="M644" s="167"/>
      <c r="N644" s="169"/>
      <c r="O644" s="171"/>
      <c r="P644" s="106"/>
      <c r="Q644" s="347"/>
      <c r="R644" s="106"/>
    </row>
    <row r="645" ht="29.25" customHeight="1">
      <c r="A645" s="216"/>
      <c r="B645" s="349"/>
      <c r="C645" s="350"/>
      <c r="D645" s="351"/>
      <c r="E645" s="352"/>
      <c r="F645" s="173"/>
      <c r="G645" s="168"/>
      <c r="H645" s="168"/>
      <c r="I645" s="169"/>
      <c r="J645" s="170"/>
      <c r="K645" s="170"/>
      <c r="L645" s="170"/>
      <c r="M645" s="167"/>
      <c r="N645" s="169"/>
      <c r="O645" s="171"/>
      <c r="P645" s="106"/>
      <c r="Q645" s="353"/>
      <c r="R645" s="106"/>
    </row>
    <row r="646" ht="29.25" customHeight="1">
      <c r="A646" s="216"/>
      <c r="B646" s="349"/>
      <c r="C646" s="350"/>
      <c r="D646" s="351"/>
      <c r="E646" s="340"/>
      <c r="F646" s="173"/>
      <c r="G646" s="168"/>
      <c r="H646" s="168"/>
      <c r="I646" s="169"/>
      <c r="J646" s="170"/>
      <c r="K646" s="170"/>
      <c r="L646" s="170"/>
      <c r="M646" s="167"/>
      <c r="N646" s="169"/>
      <c r="O646" s="171"/>
      <c r="P646" s="106"/>
      <c r="Q646" s="347"/>
      <c r="R646" s="106"/>
    </row>
    <row r="647" ht="29.25" customHeight="1">
      <c r="A647" s="216"/>
      <c r="B647" s="349"/>
      <c r="C647" s="350"/>
      <c r="D647" s="351"/>
      <c r="E647" s="352"/>
      <c r="F647" s="173"/>
      <c r="G647" s="168"/>
      <c r="H647" s="168"/>
      <c r="I647" s="169"/>
      <c r="J647" s="170"/>
      <c r="K647" s="170"/>
      <c r="L647" s="170"/>
      <c r="M647" s="167"/>
      <c r="N647" s="169"/>
      <c r="O647" s="171"/>
      <c r="P647" s="106"/>
      <c r="Q647" s="353"/>
      <c r="R647" s="106"/>
    </row>
    <row r="648" ht="29.25" customHeight="1">
      <c r="A648" s="216"/>
      <c r="B648" s="349"/>
      <c r="C648" s="350"/>
      <c r="D648" s="351"/>
      <c r="E648" s="340"/>
      <c r="F648" s="173"/>
      <c r="G648" s="168"/>
      <c r="H648" s="168"/>
      <c r="I648" s="169"/>
      <c r="J648" s="170"/>
      <c r="K648" s="170"/>
      <c r="L648" s="170"/>
      <c r="M648" s="167"/>
      <c r="N648" s="169"/>
      <c r="O648" s="171"/>
      <c r="P648" s="106"/>
      <c r="Q648" s="347"/>
      <c r="R648" s="106"/>
    </row>
    <row r="649" ht="29.25" customHeight="1">
      <c r="A649" s="216"/>
      <c r="B649" s="349"/>
      <c r="C649" s="350"/>
      <c r="D649" s="351"/>
      <c r="E649" s="352"/>
      <c r="F649" s="173"/>
      <c r="G649" s="168"/>
      <c r="H649" s="168"/>
      <c r="I649" s="169"/>
      <c r="J649" s="170"/>
      <c r="K649" s="170"/>
      <c r="L649" s="170"/>
      <c r="M649" s="167"/>
      <c r="N649" s="169"/>
      <c r="O649" s="171"/>
      <c r="P649" s="106"/>
      <c r="Q649" s="353"/>
      <c r="R649" s="106"/>
    </row>
    <row r="650" ht="29.25" customHeight="1">
      <c r="A650" s="216"/>
      <c r="B650" s="349"/>
      <c r="C650" s="350"/>
      <c r="D650" s="351"/>
      <c r="E650" s="340"/>
      <c r="F650" s="173"/>
      <c r="G650" s="168"/>
      <c r="H650" s="168"/>
      <c r="I650" s="169"/>
      <c r="J650" s="170"/>
      <c r="K650" s="170"/>
      <c r="L650" s="170"/>
      <c r="M650" s="167"/>
      <c r="N650" s="169"/>
      <c r="O650" s="171"/>
      <c r="P650" s="106"/>
      <c r="Q650" s="347"/>
      <c r="R650" s="106"/>
    </row>
    <row r="651" ht="29.25" customHeight="1">
      <c r="A651" s="216"/>
      <c r="B651" s="349"/>
      <c r="C651" s="350"/>
      <c r="D651" s="351"/>
      <c r="E651" s="352"/>
      <c r="F651" s="173"/>
      <c r="G651" s="168"/>
      <c r="H651" s="168"/>
      <c r="I651" s="169"/>
      <c r="J651" s="170"/>
      <c r="K651" s="170"/>
      <c r="L651" s="170"/>
      <c r="M651" s="167"/>
      <c r="N651" s="169"/>
      <c r="O651" s="171"/>
      <c r="P651" s="106"/>
      <c r="Q651" s="353"/>
      <c r="R651" s="106"/>
    </row>
    <row r="652" ht="29.25" customHeight="1">
      <c r="A652" s="216"/>
      <c r="B652" s="349"/>
      <c r="C652" s="350"/>
      <c r="D652" s="351"/>
      <c r="E652" s="340"/>
      <c r="F652" s="173"/>
      <c r="G652" s="168"/>
      <c r="H652" s="168"/>
      <c r="I652" s="169"/>
      <c r="J652" s="170"/>
      <c r="K652" s="170"/>
      <c r="L652" s="170"/>
      <c r="M652" s="167"/>
      <c r="N652" s="169"/>
      <c r="O652" s="171"/>
      <c r="P652" s="106"/>
      <c r="Q652" s="347"/>
      <c r="R652" s="106"/>
    </row>
    <row r="653" ht="29.25" customHeight="1">
      <c r="A653" s="216"/>
      <c r="B653" s="349"/>
      <c r="C653" s="350"/>
      <c r="D653" s="351"/>
      <c r="E653" s="352"/>
      <c r="F653" s="173"/>
      <c r="G653" s="168"/>
      <c r="H653" s="168"/>
      <c r="I653" s="169"/>
      <c r="J653" s="170"/>
      <c r="K653" s="170"/>
      <c r="L653" s="170"/>
      <c r="M653" s="167"/>
      <c r="N653" s="169"/>
      <c r="O653" s="171"/>
      <c r="P653" s="106"/>
      <c r="Q653" s="353"/>
      <c r="R653" s="106"/>
    </row>
    <row r="654" ht="29.25" customHeight="1">
      <c r="A654" s="216"/>
      <c r="B654" s="349"/>
      <c r="C654" s="350"/>
      <c r="D654" s="351"/>
      <c r="E654" s="340"/>
      <c r="F654" s="173"/>
      <c r="G654" s="168"/>
      <c r="H654" s="168"/>
      <c r="I654" s="169"/>
      <c r="J654" s="170"/>
      <c r="K654" s="170"/>
      <c r="L654" s="170"/>
      <c r="M654" s="167"/>
      <c r="N654" s="169"/>
      <c r="O654" s="171"/>
      <c r="P654" s="106"/>
      <c r="Q654" s="347"/>
      <c r="R654" s="106"/>
    </row>
    <row r="655" ht="29.25" customHeight="1">
      <c r="A655" s="216"/>
      <c r="B655" s="349"/>
      <c r="C655" s="350"/>
      <c r="D655" s="351"/>
      <c r="E655" s="352"/>
      <c r="F655" s="173"/>
      <c r="G655" s="168"/>
      <c r="H655" s="168"/>
      <c r="I655" s="169"/>
      <c r="J655" s="170"/>
      <c r="K655" s="170"/>
      <c r="L655" s="170"/>
      <c r="M655" s="167"/>
      <c r="N655" s="169"/>
      <c r="O655" s="171"/>
      <c r="P655" s="106"/>
      <c r="Q655" s="353"/>
      <c r="R655" s="106"/>
    </row>
    <row r="656" ht="29.25" customHeight="1">
      <c r="A656" s="216"/>
      <c r="B656" s="349"/>
      <c r="C656" s="350"/>
      <c r="D656" s="351"/>
      <c r="E656" s="340"/>
      <c r="F656" s="173"/>
      <c r="G656" s="168"/>
      <c r="H656" s="168"/>
      <c r="I656" s="169"/>
      <c r="J656" s="170"/>
      <c r="K656" s="170"/>
      <c r="L656" s="170"/>
      <c r="M656" s="167"/>
      <c r="N656" s="169"/>
      <c r="O656" s="171"/>
      <c r="P656" s="106"/>
      <c r="Q656" s="347"/>
      <c r="R656" s="106"/>
    </row>
    <row r="657" ht="29.25" customHeight="1">
      <c r="A657" s="216"/>
      <c r="B657" s="349"/>
      <c r="C657" s="350"/>
      <c r="D657" s="351"/>
      <c r="E657" s="352"/>
      <c r="F657" s="173"/>
      <c r="G657" s="168"/>
      <c r="H657" s="168"/>
      <c r="I657" s="169"/>
      <c r="J657" s="170"/>
      <c r="K657" s="170"/>
      <c r="L657" s="170"/>
      <c r="M657" s="167"/>
      <c r="N657" s="169"/>
      <c r="O657" s="171"/>
      <c r="P657" s="106"/>
      <c r="Q657" s="353"/>
      <c r="R657" s="106"/>
    </row>
    <row r="658" ht="29.25" customHeight="1">
      <c r="A658" s="216"/>
      <c r="B658" s="349"/>
      <c r="C658" s="350"/>
      <c r="D658" s="351"/>
      <c r="E658" s="340"/>
      <c r="F658" s="173"/>
      <c r="G658" s="168"/>
      <c r="H658" s="168"/>
      <c r="I658" s="169"/>
      <c r="J658" s="170"/>
      <c r="K658" s="170"/>
      <c r="L658" s="170"/>
      <c r="M658" s="167"/>
      <c r="N658" s="169"/>
      <c r="O658" s="171"/>
      <c r="P658" s="106"/>
      <c r="Q658" s="347"/>
      <c r="R658" s="106"/>
    </row>
    <row r="659" ht="29.25" customHeight="1">
      <c r="A659" s="216"/>
      <c r="B659" s="349"/>
      <c r="C659" s="350"/>
      <c r="D659" s="351"/>
      <c r="E659" s="352"/>
      <c r="F659" s="173"/>
      <c r="G659" s="168"/>
      <c r="H659" s="168"/>
      <c r="I659" s="169"/>
      <c r="J659" s="170"/>
      <c r="K659" s="170"/>
      <c r="L659" s="170"/>
      <c r="M659" s="167"/>
      <c r="N659" s="169"/>
      <c r="O659" s="171"/>
      <c r="P659" s="106"/>
      <c r="Q659" s="353"/>
      <c r="R659" s="106"/>
    </row>
    <row r="660" ht="29.25" customHeight="1">
      <c r="A660" s="216"/>
      <c r="B660" s="349"/>
      <c r="C660" s="350"/>
      <c r="D660" s="351"/>
      <c r="E660" s="340"/>
      <c r="F660" s="173"/>
      <c r="G660" s="168"/>
      <c r="H660" s="168"/>
      <c r="I660" s="169"/>
      <c r="J660" s="170"/>
      <c r="K660" s="170"/>
      <c r="L660" s="170"/>
      <c r="M660" s="167"/>
      <c r="N660" s="169"/>
      <c r="O660" s="171"/>
      <c r="P660" s="106"/>
      <c r="Q660" s="347"/>
      <c r="R660" s="106"/>
    </row>
    <row r="661" ht="29.25" customHeight="1">
      <c r="A661" s="216"/>
      <c r="B661" s="349"/>
      <c r="C661" s="350"/>
      <c r="D661" s="351"/>
      <c r="E661" s="352"/>
      <c r="F661" s="173"/>
      <c r="G661" s="168"/>
      <c r="H661" s="168"/>
      <c r="I661" s="169"/>
      <c r="J661" s="170"/>
      <c r="K661" s="170"/>
      <c r="L661" s="170"/>
      <c r="M661" s="167"/>
      <c r="N661" s="169"/>
      <c r="O661" s="171"/>
      <c r="P661" s="106"/>
      <c r="Q661" s="353"/>
      <c r="R661" s="106"/>
    </row>
    <row r="662" ht="29.25" customHeight="1">
      <c r="A662" s="216"/>
      <c r="B662" s="349"/>
      <c r="C662" s="350"/>
      <c r="D662" s="351"/>
      <c r="E662" s="340"/>
      <c r="F662" s="173"/>
      <c r="G662" s="168"/>
      <c r="H662" s="168"/>
      <c r="I662" s="169"/>
      <c r="J662" s="170"/>
      <c r="K662" s="170"/>
      <c r="L662" s="170"/>
      <c r="M662" s="167"/>
      <c r="N662" s="169"/>
      <c r="O662" s="171"/>
      <c r="P662" s="106"/>
      <c r="Q662" s="347"/>
      <c r="R662" s="106"/>
    </row>
    <row r="663" ht="29.25" customHeight="1">
      <c r="A663" s="216"/>
      <c r="B663" s="349"/>
      <c r="C663" s="350"/>
      <c r="D663" s="351"/>
      <c r="E663" s="352"/>
      <c r="F663" s="173"/>
      <c r="G663" s="168"/>
      <c r="H663" s="168"/>
      <c r="I663" s="169"/>
      <c r="J663" s="170"/>
      <c r="K663" s="170"/>
      <c r="L663" s="170"/>
      <c r="M663" s="167"/>
      <c r="N663" s="169"/>
      <c r="O663" s="171"/>
      <c r="P663" s="106"/>
      <c r="Q663" s="353"/>
      <c r="R663" s="106"/>
    </row>
    <row r="664" ht="29.25" customHeight="1">
      <c r="A664" s="216"/>
      <c r="B664" s="349"/>
      <c r="C664" s="350"/>
      <c r="D664" s="351"/>
      <c r="E664" s="340"/>
      <c r="F664" s="173"/>
      <c r="G664" s="168"/>
      <c r="H664" s="168"/>
      <c r="I664" s="169"/>
      <c r="J664" s="170"/>
      <c r="K664" s="170"/>
      <c r="L664" s="170"/>
      <c r="M664" s="167"/>
      <c r="N664" s="169"/>
      <c r="O664" s="171"/>
      <c r="P664" s="106"/>
      <c r="Q664" s="347"/>
      <c r="R664" s="106"/>
    </row>
    <row r="665" ht="29.25" customHeight="1">
      <c r="A665" s="216"/>
      <c r="B665" s="349"/>
      <c r="C665" s="350"/>
      <c r="D665" s="351"/>
      <c r="E665" s="352"/>
      <c r="F665" s="173"/>
      <c r="G665" s="168"/>
      <c r="H665" s="168"/>
      <c r="I665" s="169"/>
      <c r="J665" s="170"/>
      <c r="K665" s="170"/>
      <c r="L665" s="170"/>
      <c r="M665" s="167"/>
      <c r="N665" s="169"/>
      <c r="O665" s="171"/>
      <c r="P665" s="106"/>
      <c r="Q665" s="353"/>
      <c r="R665" s="106"/>
    </row>
    <row r="666" ht="29.25" customHeight="1">
      <c r="A666" s="216"/>
      <c r="B666" s="349"/>
      <c r="C666" s="350"/>
      <c r="D666" s="351"/>
      <c r="E666" s="340"/>
      <c r="F666" s="173"/>
      <c r="G666" s="168"/>
      <c r="H666" s="168"/>
      <c r="I666" s="169"/>
      <c r="J666" s="170"/>
      <c r="K666" s="170"/>
      <c r="L666" s="170"/>
      <c r="M666" s="167"/>
      <c r="N666" s="169"/>
      <c r="O666" s="171"/>
      <c r="P666" s="106"/>
      <c r="Q666" s="347"/>
      <c r="R666" s="106"/>
    </row>
    <row r="667" ht="29.25" customHeight="1">
      <c r="A667" s="216"/>
      <c r="B667" s="349"/>
      <c r="C667" s="350"/>
      <c r="D667" s="351"/>
      <c r="E667" s="352"/>
      <c r="F667" s="173"/>
      <c r="G667" s="168"/>
      <c r="H667" s="168"/>
      <c r="I667" s="169"/>
      <c r="J667" s="170"/>
      <c r="K667" s="170"/>
      <c r="L667" s="170"/>
      <c r="M667" s="167"/>
      <c r="N667" s="169"/>
      <c r="O667" s="171"/>
      <c r="P667" s="106"/>
      <c r="Q667" s="353"/>
      <c r="R667" s="106"/>
    </row>
    <row r="668" ht="29.25" customHeight="1">
      <c r="A668" s="216"/>
      <c r="B668" s="349"/>
      <c r="C668" s="350"/>
      <c r="D668" s="351"/>
      <c r="E668" s="340"/>
      <c r="F668" s="173"/>
      <c r="G668" s="168"/>
      <c r="H668" s="168"/>
      <c r="I668" s="169"/>
      <c r="J668" s="170"/>
      <c r="K668" s="170"/>
      <c r="L668" s="170"/>
      <c r="M668" s="167"/>
      <c r="N668" s="169"/>
      <c r="O668" s="171"/>
      <c r="P668" s="106"/>
      <c r="Q668" s="347"/>
      <c r="R668" s="106"/>
    </row>
    <row r="669" ht="29.25" customHeight="1">
      <c r="A669" s="216"/>
      <c r="B669" s="349"/>
      <c r="C669" s="350"/>
      <c r="D669" s="351"/>
      <c r="E669" s="352"/>
      <c r="F669" s="173"/>
      <c r="G669" s="168"/>
      <c r="H669" s="168"/>
      <c r="I669" s="169"/>
      <c r="J669" s="170"/>
      <c r="K669" s="170"/>
      <c r="L669" s="170"/>
      <c r="M669" s="167"/>
      <c r="N669" s="169"/>
      <c r="O669" s="171"/>
      <c r="P669" s="106"/>
      <c r="Q669" s="353"/>
      <c r="R669" s="106"/>
    </row>
    <row r="670" ht="29.25" customHeight="1">
      <c r="A670" s="216"/>
      <c r="B670" s="349"/>
      <c r="C670" s="350"/>
      <c r="D670" s="351"/>
      <c r="E670" s="340"/>
      <c r="F670" s="173"/>
      <c r="G670" s="168"/>
      <c r="H670" s="168"/>
      <c r="I670" s="169"/>
      <c r="J670" s="170"/>
      <c r="K670" s="170"/>
      <c r="L670" s="170"/>
      <c r="M670" s="167"/>
      <c r="N670" s="169"/>
      <c r="O670" s="171"/>
      <c r="P670" s="106"/>
      <c r="Q670" s="347"/>
      <c r="R670" s="106"/>
    </row>
    <row r="671" ht="29.25" customHeight="1">
      <c r="A671" s="216"/>
      <c r="B671" s="349"/>
      <c r="C671" s="350"/>
      <c r="D671" s="351"/>
      <c r="E671" s="352"/>
      <c r="F671" s="173"/>
      <c r="G671" s="168"/>
      <c r="H671" s="168"/>
      <c r="I671" s="169"/>
      <c r="J671" s="170"/>
      <c r="K671" s="170"/>
      <c r="L671" s="170"/>
      <c r="M671" s="167"/>
      <c r="N671" s="169"/>
      <c r="O671" s="171"/>
      <c r="P671" s="106"/>
      <c r="Q671" s="353"/>
      <c r="R671" s="106"/>
    </row>
    <row r="672" ht="29.25" customHeight="1">
      <c r="A672" s="216"/>
      <c r="B672" s="349"/>
      <c r="C672" s="350"/>
      <c r="D672" s="351"/>
      <c r="E672" s="340"/>
      <c r="F672" s="173"/>
      <c r="G672" s="168"/>
      <c r="H672" s="168"/>
      <c r="I672" s="169"/>
      <c r="J672" s="170"/>
      <c r="K672" s="170"/>
      <c r="L672" s="170"/>
      <c r="M672" s="167"/>
      <c r="N672" s="169"/>
      <c r="O672" s="171"/>
      <c r="P672" s="106"/>
      <c r="Q672" s="347"/>
      <c r="R672" s="106"/>
    </row>
    <row r="673" ht="29.25" customHeight="1">
      <c r="A673" s="216"/>
      <c r="B673" s="349"/>
      <c r="C673" s="350"/>
      <c r="D673" s="351"/>
      <c r="E673" s="352"/>
      <c r="F673" s="173"/>
      <c r="G673" s="168"/>
      <c r="H673" s="168"/>
      <c r="I673" s="169"/>
      <c r="J673" s="170"/>
      <c r="K673" s="170"/>
      <c r="L673" s="170"/>
      <c r="M673" s="167"/>
      <c r="N673" s="169"/>
      <c r="O673" s="171"/>
      <c r="P673" s="106"/>
      <c r="Q673" s="353"/>
      <c r="R673" s="106"/>
    </row>
    <row r="674" ht="29.25" customHeight="1">
      <c r="A674" s="216"/>
      <c r="B674" s="349"/>
      <c r="C674" s="350"/>
      <c r="D674" s="351"/>
      <c r="E674" s="340"/>
      <c r="F674" s="173"/>
      <c r="G674" s="168"/>
      <c r="H674" s="168"/>
      <c r="I674" s="169"/>
      <c r="J674" s="170"/>
      <c r="K674" s="170"/>
      <c r="L674" s="170"/>
      <c r="M674" s="167"/>
      <c r="N674" s="169"/>
      <c r="O674" s="171"/>
      <c r="P674" s="106"/>
      <c r="Q674" s="347"/>
      <c r="R674" s="106"/>
    </row>
    <row r="675" ht="29.25" customHeight="1">
      <c r="A675" s="216"/>
      <c r="B675" s="349"/>
      <c r="C675" s="350"/>
      <c r="D675" s="351"/>
      <c r="E675" s="352"/>
      <c r="F675" s="173"/>
      <c r="G675" s="168"/>
      <c r="H675" s="168"/>
      <c r="I675" s="169"/>
      <c r="J675" s="170"/>
      <c r="K675" s="170"/>
      <c r="L675" s="170"/>
      <c r="M675" s="167"/>
      <c r="N675" s="169"/>
      <c r="O675" s="171"/>
      <c r="P675" s="106"/>
      <c r="Q675" s="353"/>
      <c r="R675" s="106"/>
    </row>
    <row r="676" ht="29.25" customHeight="1">
      <c r="A676" s="216"/>
      <c r="B676" s="349"/>
      <c r="C676" s="350"/>
      <c r="D676" s="351"/>
      <c r="E676" s="340"/>
      <c r="F676" s="173"/>
      <c r="G676" s="168"/>
      <c r="H676" s="168"/>
      <c r="I676" s="169"/>
      <c r="J676" s="170"/>
      <c r="K676" s="170"/>
      <c r="L676" s="170"/>
      <c r="M676" s="167"/>
      <c r="N676" s="169"/>
      <c r="O676" s="171"/>
      <c r="P676" s="106"/>
      <c r="Q676" s="347"/>
      <c r="R676" s="106"/>
    </row>
    <row r="677" ht="29.25" customHeight="1">
      <c r="A677" s="216"/>
      <c r="B677" s="349"/>
      <c r="C677" s="350"/>
      <c r="D677" s="351"/>
      <c r="E677" s="352"/>
      <c r="F677" s="173"/>
      <c r="G677" s="168"/>
      <c r="H677" s="168"/>
      <c r="I677" s="169"/>
      <c r="J677" s="170"/>
      <c r="K677" s="170"/>
      <c r="L677" s="170"/>
      <c r="M677" s="167"/>
      <c r="N677" s="169"/>
      <c r="O677" s="171"/>
      <c r="P677" s="106"/>
      <c r="Q677" s="353"/>
      <c r="R677" s="106"/>
    </row>
    <row r="678" ht="29.25" customHeight="1">
      <c r="A678" s="216"/>
      <c r="B678" s="349"/>
      <c r="C678" s="350"/>
      <c r="D678" s="351"/>
      <c r="E678" s="340"/>
      <c r="F678" s="173"/>
      <c r="G678" s="168"/>
      <c r="H678" s="168"/>
      <c r="I678" s="169"/>
      <c r="J678" s="170"/>
      <c r="K678" s="170"/>
      <c r="L678" s="170"/>
      <c r="M678" s="167"/>
      <c r="N678" s="169"/>
      <c r="O678" s="171"/>
      <c r="P678" s="106"/>
      <c r="Q678" s="347"/>
      <c r="R678" s="106"/>
    </row>
    <row r="679" ht="29.25" customHeight="1">
      <c r="A679" s="216"/>
      <c r="B679" s="349"/>
      <c r="C679" s="350"/>
      <c r="D679" s="351"/>
      <c r="E679" s="352"/>
      <c r="F679" s="173"/>
      <c r="G679" s="168"/>
      <c r="H679" s="168"/>
      <c r="I679" s="169"/>
      <c r="J679" s="170"/>
      <c r="K679" s="170"/>
      <c r="L679" s="170"/>
      <c r="M679" s="167"/>
      <c r="N679" s="169"/>
      <c r="O679" s="171"/>
      <c r="P679" s="106"/>
      <c r="Q679" s="353"/>
      <c r="R679" s="106"/>
    </row>
    <row r="680" ht="29.25" customHeight="1">
      <c r="A680" s="216"/>
      <c r="B680" s="349"/>
      <c r="C680" s="350"/>
      <c r="D680" s="351"/>
      <c r="E680" s="340"/>
      <c r="F680" s="173"/>
      <c r="G680" s="168"/>
      <c r="H680" s="168"/>
      <c r="I680" s="169"/>
      <c r="J680" s="170"/>
      <c r="K680" s="170"/>
      <c r="L680" s="170"/>
      <c r="M680" s="167"/>
      <c r="N680" s="169"/>
      <c r="O680" s="171"/>
      <c r="P680" s="106"/>
      <c r="Q680" s="347"/>
      <c r="R680" s="106"/>
    </row>
    <row r="681" ht="29.25" customHeight="1">
      <c r="A681" s="216"/>
      <c r="B681" s="349"/>
      <c r="C681" s="350"/>
      <c r="D681" s="351"/>
      <c r="E681" s="352"/>
      <c r="F681" s="173"/>
      <c r="G681" s="168"/>
      <c r="H681" s="168"/>
      <c r="I681" s="169"/>
      <c r="J681" s="170"/>
      <c r="K681" s="170"/>
      <c r="L681" s="170"/>
      <c r="M681" s="167"/>
      <c r="N681" s="169"/>
      <c r="O681" s="171"/>
      <c r="P681" s="106"/>
      <c r="Q681" s="353"/>
      <c r="R681" s="106"/>
    </row>
    <row r="682" ht="29.25" customHeight="1">
      <c r="A682" s="216"/>
      <c r="B682" s="349"/>
      <c r="C682" s="350"/>
      <c r="D682" s="351"/>
      <c r="E682" s="340"/>
      <c r="F682" s="173"/>
      <c r="G682" s="168"/>
      <c r="H682" s="168"/>
      <c r="I682" s="169"/>
      <c r="J682" s="170"/>
      <c r="K682" s="170"/>
      <c r="L682" s="170"/>
      <c r="M682" s="167"/>
      <c r="N682" s="169"/>
      <c r="O682" s="171"/>
      <c r="P682" s="106"/>
      <c r="Q682" s="347"/>
      <c r="R682" s="106"/>
    </row>
    <row r="683" ht="29.25" customHeight="1">
      <c r="A683" s="216"/>
      <c r="B683" s="349"/>
      <c r="C683" s="350"/>
      <c r="D683" s="351"/>
      <c r="E683" s="352"/>
      <c r="F683" s="173"/>
      <c r="G683" s="168"/>
      <c r="H683" s="168"/>
      <c r="I683" s="169"/>
      <c r="J683" s="170"/>
      <c r="K683" s="170"/>
      <c r="L683" s="170"/>
      <c r="M683" s="167"/>
      <c r="N683" s="169"/>
      <c r="O683" s="171"/>
      <c r="P683" s="106"/>
      <c r="Q683" s="353"/>
      <c r="R683" s="106"/>
    </row>
    <row r="684" ht="29.25" customHeight="1">
      <c r="A684" s="216"/>
      <c r="B684" s="349"/>
      <c r="C684" s="350"/>
      <c r="D684" s="351"/>
      <c r="E684" s="340"/>
      <c r="F684" s="173"/>
      <c r="G684" s="168"/>
      <c r="H684" s="168"/>
      <c r="I684" s="169"/>
      <c r="J684" s="170"/>
      <c r="K684" s="170"/>
      <c r="L684" s="170"/>
      <c r="M684" s="167"/>
      <c r="N684" s="169"/>
      <c r="O684" s="171"/>
      <c r="P684" s="106"/>
      <c r="Q684" s="347"/>
      <c r="R684" s="106"/>
    </row>
    <row r="685" ht="29.25" customHeight="1">
      <c r="A685" s="216"/>
      <c r="B685" s="349"/>
      <c r="C685" s="350"/>
      <c r="D685" s="351"/>
      <c r="E685" s="352"/>
      <c r="F685" s="173"/>
      <c r="G685" s="168"/>
      <c r="H685" s="168"/>
      <c r="I685" s="169"/>
      <c r="J685" s="170"/>
      <c r="K685" s="170"/>
      <c r="L685" s="170"/>
      <c r="M685" s="167"/>
      <c r="N685" s="169"/>
      <c r="O685" s="171"/>
      <c r="P685" s="106"/>
      <c r="Q685" s="353"/>
      <c r="R685" s="106"/>
    </row>
    <row r="686" ht="29.25" customHeight="1">
      <c r="A686" s="216"/>
      <c r="B686" s="349"/>
      <c r="C686" s="350"/>
      <c r="D686" s="351"/>
      <c r="E686" s="340"/>
      <c r="F686" s="173"/>
      <c r="G686" s="168"/>
      <c r="H686" s="168"/>
      <c r="I686" s="169"/>
      <c r="J686" s="170"/>
      <c r="K686" s="170"/>
      <c r="L686" s="170"/>
      <c r="M686" s="167"/>
      <c r="N686" s="169"/>
      <c r="O686" s="171"/>
      <c r="P686" s="106"/>
      <c r="Q686" s="347"/>
      <c r="R686" s="106"/>
    </row>
    <row r="687" ht="29.25" customHeight="1">
      <c r="A687" s="216"/>
      <c r="B687" s="349"/>
      <c r="C687" s="350"/>
      <c r="D687" s="351"/>
      <c r="E687" s="352"/>
      <c r="F687" s="173"/>
      <c r="G687" s="168"/>
      <c r="H687" s="168"/>
      <c r="I687" s="169"/>
      <c r="J687" s="170"/>
      <c r="K687" s="170"/>
      <c r="L687" s="170"/>
      <c r="M687" s="167"/>
      <c r="N687" s="169"/>
      <c r="O687" s="171"/>
      <c r="P687" s="106"/>
      <c r="Q687" s="353"/>
      <c r="R687" s="106"/>
    </row>
    <row r="688" ht="29.25" customHeight="1">
      <c r="A688" s="216"/>
      <c r="B688" s="349"/>
      <c r="C688" s="350"/>
      <c r="D688" s="351"/>
      <c r="E688" s="340"/>
      <c r="F688" s="173"/>
      <c r="G688" s="168"/>
      <c r="H688" s="168"/>
      <c r="I688" s="169"/>
      <c r="J688" s="170"/>
      <c r="K688" s="170"/>
      <c r="L688" s="170"/>
      <c r="M688" s="167"/>
      <c r="N688" s="169"/>
      <c r="O688" s="171"/>
      <c r="P688" s="106"/>
      <c r="Q688" s="347"/>
      <c r="R688" s="106"/>
    </row>
    <row r="689" ht="29.25" customHeight="1">
      <c r="A689" s="216"/>
      <c r="B689" s="349"/>
      <c r="C689" s="350"/>
      <c r="D689" s="351"/>
      <c r="E689" s="352"/>
      <c r="F689" s="173"/>
      <c r="G689" s="168"/>
      <c r="H689" s="168"/>
      <c r="I689" s="169"/>
      <c r="J689" s="170"/>
      <c r="K689" s="170"/>
      <c r="L689" s="170"/>
      <c r="M689" s="167"/>
      <c r="N689" s="169"/>
      <c r="O689" s="171"/>
      <c r="P689" s="106"/>
      <c r="Q689" s="353"/>
      <c r="R689" s="106"/>
    </row>
    <row r="690" ht="29.25" customHeight="1">
      <c r="A690" s="216"/>
      <c r="B690" s="349"/>
      <c r="C690" s="350"/>
      <c r="D690" s="351"/>
      <c r="E690" s="340"/>
      <c r="F690" s="173"/>
      <c r="G690" s="168"/>
      <c r="H690" s="168"/>
      <c r="I690" s="169"/>
      <c r="J690" s="170"/>
      <c r="K690" s="170"/>
      <c r="L690" s="170"/>
      <c r="M690" s="167"/>
      <c r="N690" s="169"/>
      <c r="O690" s="171"/>
      <c r="P690" s="106"/>
      <c r="Q690" s="347"/>
      <c r="R690" s="106"/>
    </row>
    <row r="691" ht="29.25" customHeight="1">
      <c r="A691" s="216"/>
      <c r="B691" s="349"/>
      <c r="C691" s="350"/>
      <c r="D691" s="351"/>
      <c r="E691" s="352"/>
      <c r="F691" s="173"/>
      <c r="G691" s="168"/>
      <c r="H691" s="168"/>
      <c r="I691" s="169"/>
      <c r="J691" s="170"/>
      <c r="K691" s="170"/>
      <c r="L691" s="170"/>
      <c r="M691" s="167"/>
      <c r="N691" s="169"/>
      <c r="O691" s="171"/>
      <c r="P691" s="106"/>
      <c r="Q691" s="353"/>
      <c r="R691" s="106"/>
    </row>
    <row r="692" ht="29.25" customHeight="1">
      <c r="A692" s="216"/>
      <c r="B692" s="349"/>
      <c r="C692" s="350"/>
      <c r="D692" s="351"/>
      <c r="E692" s="340"/>
      <c r="F692" s="173"/>
      <c r="G692" s="168"/>
      <c r="H692" s="168"/>
      <c r="I692" s="169"/>
      <c r="J692" s="170"/>
      <c r="K692" s="170"/>
      <c r="L692" s="170"/>
      <c r="M692" s="167"/>
      <c r="N692" s="169"/>
      <c r="O692" s="171"/>
      <c r="P692" s="106"/>
      <c r="Q692" s="347"/>
      <c r="R692" s="106"/>
    </row>
    <row r="693" ht="29.25" customHeight="1">
      <c r="A693" s="216"/>
      <c r="B693" s="349"/>
      <c r="C693" s="350"/>
      <c r="D693" s="351"/>
      <c r="E693" s="352"/>
      <c r="F693" s="173"/>
      <c r="G693" s="168"/>
      <c r="H693" s="168"/>
      <c r="I693" s="169"/>
      <c r="J693" s="170"/>
      <c r="K693" s="170"/>
      <c r="L693" s="170"/>
      <c r="M693" s="167"/>
      <c r="N693" s="169"/>
      <c r="O693" s="171"/>
      <c r="P693" s="106"/>
      <c r="Q693" s="353"/>
      <c r="R693" s="106"/>
    </row>
    <row r="694" ht="29.25" customHeight="1">
      <c r="A694" s="216"/>
      <c r="B694" s="349"/>
      <c r="C694" s="350"/>
      <c r="D694" s="351"/>
      <c r="E694" s="340"/>
      <c r="F694" s="173"/>
      <c r="G694" s="168"/>
      <c r="H694" s="168"/>
      <c r="I694" s="169"/>
      <c r="J694" s="170"/>
      <c r="K694" s="170"/>
      <c r="L694" s="170"/>
      <c r="M694" s="167"/>
      <c r="N694" s="169"/>
      <c r="O694" s="171"/>
      <c r="P694" s="106"/>
      <c r="Q694" s="347"/>
      <c r="R694" s="106"/>
    </row>
    <row r="695" ht="29.25" customHeight="1">
      <c r="A695" s="216"/>
      <c r="B695" s="349"/>
      <c r="C695" s="350"/>
      <c r="D695" s="351"/>
      <c r="E695" s="352"/>
      <c r="F695" s="173"/>
      <c r="G695" s="168"/>
      <c r="H695" s="168"/>
      <c r="I695" s="169"/>
      <c r="J695" s="170"/>
      <c r="K695" s="170"/>
      <c r="L695" s="170"/>
      <c r="M695" s="167"/>
      <c r="N695" s="169"/>
      <c r="O695" s="171"/>
      <c r="P695" s="106"/>
      <c r="Q695" s="353"/>
      <c r="R695" s="106"/>
    </row>
    <row r="696" ht="29.25" customHeight="1">
      <c r="A696" s="216"/>
      <c r="B696" s="349"/>
      <c r="C696" s="350"/>
      <c r="D696" s="351"/>
      <c r="E696" s="340"/>
      <c r="F696" s="173"/>
      <c r="G696" s="168"/>
      <c r="H696" s="168"/>
      <c r="I696" s="169"/>
      <c r="J696" s="170"/>
      <c r="K696" s="170"/>
      <c r="L696" s="170"/>
      <c r="M696" s="167"/>
      <c r="N696" s="169"/>
      <c r="O696" s="171"/>
      <c r="P696" s="106"/>
      <c r="Q696" s="347"/>
      <c r="R696" s="106"/>
    </row>
    <row r="697" ht="29.25" customHeight="1">
      <c r="A697" s="216"/>
      <c r="B697" s="349"/>
      <c r="C697" s="350"/>
      <c r="D697" s="351"/>
      <c r="E697" s="352"/>
      <c r="F697" s="173"/>
      <c r="G697" s="168"/>
      <c r="H697" s="168"/>
      <c r="I697" s="169"/>
      <c r="J697" s="170"/>
      <c r="K697" s="170"/>
      <c r="L697" s="170"/>
      <c r="M697" s="167"/>
      <c r="N697" s="169"/>
      <c r="O697" s="171"/>
      <c r="P697" s="106"/>
      <c r="Q697" s="353"/>
      <c r="R697" s="106"/>
    </row>
    <row r="698" ht="29.25" customHeight="1">
      <c r="A698" s="216"/>
      <c r="B698" s="349"/>
      <c r="C698" s="350"/>
      <c r="D698" s="351"/>
      <c r="E698" s="340"/>
      <c r="F698" s="173"/>
      <c r="G698" s="168"/>
      <c r="H698" s="168"/>
      <c r="I698" s="169"/>
      <c r="J698" s="170"/>
      <c r="K698" s="170"/>
      <c r="L698" s="170"/>
      <c r="M698" s="167"/>
      <c r="N698" s="169"/>
      <c r="O698" s="171"/>
      <c r="P698" s="106"/>
      <c r="Q698" s="347"/>
      <c r="R698" s="106"/>
    </row>
    <row r="699" ht="29.25" customHeight="1">
      <c r="A699" s="216"/>
      <c r="B699" s="349"/>
      <c r="C699" s="350"/>
      <c r="D699" s="351"/>
      <c r="E699" s="352"/>
      <c r="F699" s="173"/>
      <c r="G699" s="168"/>
      <c r="H699" s="168"/>
      <c r="I699" s="169"/>
      <c r="J699" s="170"/>
      <c r="K699" s="170"/>
      <c r="L699" s="170"/>
      <c r="M699" s="167"/>
      <c r="N699" s="169"/>
      <c r="O699" s="171"/>
      <c r="P699" s="106"/>
      <c r="Q699" s="353"/>
      <c r="R699" s="106"/>
    </row>
    <row r="700" ht="29.25" customHeight="1">
      <c r="A700" s="216"/>
      <c r="B700" s="349"/>
      <c r="C700" s="350"/>
      <c r="D700" s="351"/>
      <c r="E700" s="340"/>
      <c r="F700" s="173"/>
      <c r="G700" s="168"/>
      <c r="H700" s="168"/>
      <c r="I700" s="169"/>
      <c r="J700" s="170"/>
      <c r="K700" s="170"/>
      <c r="L700" s="170"/>
      <c r="M700" s="167"/>
      <c r="N700" s="169"/>
      <c r="O700" s="171"/>
      <c r="P700" s="106"/>
      <c r="Q700" s="347"/>
      <c r="R700" s="106"/>
    </row>
    <row r="701" ht="29.25" customHeight="1">
      <c r="A701" s="216"/>
      <c r="B701" s="349"/>
      <c r="C701" s="350"/>
      <c r="D701" s="351"/>
      <c r="E701" s="352"/>
      <c r="F701" s="173"/>
      <c r="G701" s="168"/>
      <c r="H701" s="168"/>
      <c r="I701" s="169"/>
      <c r="J701" s="170"/>
      <c r="K701" s="170"/>
      <c r="L701" s="170"/>
      <c r="M701" s="167"/>
      <c r="N701" s="169"/>
      <c r="O701" s="171"/>
      <c r="P701" s="106"/>
      <c r="Q701" s="353"/>
      <c r="R701" s="106"/>
    </row>
    <row r="702" ht="29.25" customHeight="1">
      <c r="A702" s="216"/>
      <c r="B702" s="349"/>
      <c r="C702" s="350"/>
      <c r="D702" s="351"/>
      <c r="E702" s="340"/>
      <c r="F702" s="173"/>
      <c r="G702" s="168"/>
      <c r="H702" s="168"/>
      <c r="I702" s="169"/>
      <c r="J702" s="170"/>
      <c r="K702" s="170"/>
      <c r="L702" s="170"/>
      <c r="M702" s="167"/>
      <c r="N702" s="169"/>
      <c r="O702" s="171"/>
      <c r="P702" s="106"/>
      <c r="Q702" s="347"/>
      <c r="R702" s="106"/>
    </row>
    <row r="703" ht="29.25" customHeight="1">
      <c r="A703" s="216"/>
      <c r="B703" s="349"/>
      <c r="C703" s="350"/>
      <c r="D703" s="351"/>
      <c r="E703" s="352"/>
      <c r="F703" s="173"/>
      <c r="G703" s="168"/>
      <c r="H703" s="168"/>
      <c r="I703" s="169"/>
      <c r="J703" s="170"/>
      <c r="K703" s="170"/>
      <c r="L703" s="170"/>
      <c r="M703" s="167"/>
      <c r="N703" s="169"/>
      <c r="O703" s="171"/>
      <c r="P703" s="106"/>
      <c r="Q703" s="353"/>
      <c r="R703" s="106"/>
    </row>
    <row r="704" ht="29.25" customHeight="1">
      <c r="A704" s="216"/>
      <c r="B704" s="349"/>
      <c r="C704" s="350"/>
      <c r="D704" s="351"/>
      <c r="E704" s="340"/>
      <c r="F704" s="173"/>
      <c r="G704" s="168"/>
      <c r="H704" s="168"/>
      <c r="I704" s="169"/>
      <c r="J704" s="170"/>
      <c r="K704" s="170"/>
      <c r="L704" s="170"/>
      <c r="M704" s="167"/>
      <c r="N704" s="169"/>
      <c r="O704" s="171"/>
      <c r="P704" s="106"/>
      <c r="Q704" s="347"/>
      <c r="R704" s="106"/>
    </row>
    <row r="705" ht="29.25" customHeight="1">
      <c r="A705" s="216"/>
      <c r="B705" s="349"/>
      <c r="C705" s="350"/>
      <c r="D705" s="351"/>
      <c r="E705" s="352"/>
      <c r="F705" s="173"/>
      <c r="G705" s="168"/>
      <c r="H705" s="168"/>
      <c r="I705" s="169"/>
      <c r="J705" s="170"/>
      <c r="K705" s="170"/>
      <c r="L705" s="170"/>
      <c r="M705" s="167"/>
      <c r="N705" s="169"/>
      <c r="O705" s="171"/>
      <c r="P705" s="106"/>
      <c r="Q705" s="353"/>
      <c r="R705" s="106"/>
    </row>
    <row r="706" ht="29.25" customHeight="1">
      <c r="A706" s="216"/>
      <c r="B706" s="349"/>
      <c r="C706" s="350"/>
      <c r="D706" s="351"/>
      <c r="E706" s="340"/>
      <c r="F706" s="173"/>
      <c r="G706" s="168"/>
      <c r="H706" s="168"/>
      <c r="I706" s="169"/>
      <c r="J706" s="170"/>
      <c r="K706" s="170"/>
      <c r="L706" s="170"/>
      <c r="M706" s="167"/>
      <c r="N706" s="169"/>
      <c r="O706" s="171"/>
      <c r="P706" s="106"/>
      <c r="Q706" s="347"/>
      <c r="R706" s="106"/>
    </row>
    <row r="707" ht="29.25" customHeight="1">
      <c r="A707" s="216"/>
      <c r="B707" s="349"/>
      <c r="C707" s="350"/>
      <c r="D707" s="351"/>
      <c r="E707" s="352"/>
      <c r="F707" s="173"/>
      <c r="G707" s="168"/>
      <c r="H707" s="168"/>
      <c r="I707" s="169"/>
      <c r="J707" s="170"/>
      <c r="K707" s="170"/>
      <c r="L707" s="170"/>
      <c r="M707" s="167"/>
      <c r="N707" s="169"/>
      <c r="O707" s="171"/>
      <c r="P707" s="106"/>
      <c r="Q707" s="353"/>
      <c r="R707" s="106"/>
    </row>
    <row r="708" ht="29.25" customHeight="1">
      <c r="A708" s="216"/>
      <c r="B708" s="349"/>
      <c r="C708" s="350"/>
      <c r="D708" s="351"/>
      <c r="E708" s="340"/>
      <c r="F708" s="173"/>
      <c r="G708" s="168"/>
      <c r="H708" s="168"/>
      <c r="I708" s="169"/>
      <c r="J708" s="170"/>
      <c r="K708" s="170"/>
      <c r="L708" s="170"/>
      <c r="M708" s="167"/>
      <c r="N708" s="169"/>
      <c r="O708" s="171"/>
      <c r="P708" s="106"/>
      <c r="Q708" s="347"/>
      <c r="R708" s="106"/>
    </row>
    <row r="709" ht="29.25" customHeight="1">
      <c r="A709" s="216"/>
      <c r="B709" s="349"/>
      <c r="C709" s="350"/>
      <c r="D709" s="351"/>
      <c r="E709" s="352"/>
      <c r="F709" s="173"/>
      <c r="G709" s="168"/>
      <c r="H709" s="168"/>
      <c r="I709" s="169"/>
      <c r="J709" s="170"/>
      <c r="K709" s="170"/>
      <c r="L709" s="170"/>
      <c r="M709" s="167"/>
      <c r="N709" s="169"/>
      <c r="O709" s="171"/>
      <c r="P709" s="106"/>
      <c r="Q709" s="353"/>
      <c r="R709" s="106"/>
    </row>
    <row r="710" ht="29.25" customHeight="1">
      <c r="A710" s="216"/>
      <c r="B710" s="349"/>
      <c r="C710" s="350"/>
      <c r="D710" s="351"/>
      <c r="E710" s="340"/>
      <c r="F710" s="173"/>
      <c r="G710" s="168"/>
      <c r="H710" s="168"/>
      <c r="I710" s="169"/>
      <c r="J710" s="170"/>
      <c r="K710" s="170"/>
      <c r="L710" s="170"/>
      <c r="M710" s="167"/>
      <c r="N710" s="169"/>
      <c r="O710" s="171"/>
      <c r="P710" s="106"/>
      <c r="Q710" s="347"/>
      <c r="R710" s="106"/>
    </row>
    <row r="711" ht="29.25" customHeight="1">
      <c r="A711" s="216"/>
      <c r="B711" s="349"/>
      <c r="C711" s="350"/>
      <c r="D711" s="351"/>
      <c r="E711" s="352"/>
      <c r="F711" s="173"/>
      <c r="G711" s="168"/>
      <c r="H711" s="168"/>
      <c r="I711" s="169"/>
      <c r="J711" s="170"/>
      <c r="K711" s="170"/>
      <c r="L711" s="170"/>
      <c r="M711" s="167"/>
      <c r="N711" s="169"/>
      <c r="O711" s="171"/>
      <c r="P711" s="106"/>
      <c r="Q711" s="353"/>
      <c r="R711" s="106"/>
    </row>
    <row r="712" ht="29.25" customHeight="1">
      <c r="A712" s="216"/>
      <c r="B712" s="349"/>
      <c r="C712" s="350"/>
      <c r="D712" s="351"/>
      <c r="E712" s="340"/>
      <c r="F712" s="173"/>
      <c r="G712" s="168"/>
      <c r="H712" s="168"/>
      <c r="I712" s="169"/>
      <c r="J712" s="170"/>
      <c r="K712" s="170"/>
      <c r="L712" s="170"/>
      <c r="M712" s="167"/>
      <c r="N712" s="169"/>
      <c r="O712" s="171"/>
      <c r="P712" s="106"/>
      <c r="Q712" s="347"/>
      <c r="R712" s="106"/>
    </row>
    <row r="713" ht="29.25" customHeight="1">
      <c r="A713" s="216"/>
      <c r="B713" s="349"/>
      <c r="C713" s="350"/>
      <c r="D713" s="351"/>
      <c r="E713" s="352"/>
      <c r="F713" s="173"/>
      <c r="G713" s="168"/>
      <c r="H713" s="168"/>
      <c r="I713" s="169"/>
      <c r="J713" s="170"/>
      <c r="K713" s="170"/>
      <c r="L713" s="170"/>
      <c r="M713" s="167"/>
      <c r="N713" s="169"/>
      <c r="O713" s="171"/>
      <c r="P713" s="106"/>
      <c r="Q713" s="353"/>
      <c r="R713" s="106"/>
    </row>
    <row r="714" ht="29.25" customHeight="1">
      <c r="A714" s="216"/>
      <c r="B714" s="349"/>
      <c r="C714" s="350"/>
      <c r="D714" s="351"/>
      <c r="E714" s="340"/>
      <c r="F714" s="173"/>
      <c r="G714" s="168"/>
      <c r="H714" s="168"/>
      <c r="I714" s="169"/>
      <c r="J714" s="170"/>
      <c r="K714" s="170"/>
      <c r="L714" s="170"/>
      <c r="M714" s="167"/>
      <c r="N714" s="169"/>
      <c r="O714" s="171"/>
      <c r="P714" s="106"/>
      <c r="Q714" s="347"/>
      <c r="R714" s="106"/>
    </row>
    <row r="715" ht="29.25" customHeight="1">
      <c r="A715" s="216"/>
      <c r="B715" s="349"/>
      <c r="C715" s="350"/>
      <c r="D715" s="351"/>
      <c r="E715" s="352"/>
      <c r="F715" s="173"/>
      <c r="G715" s="168"/>
      <c r="H715" s="168"/>
      <c r="I715" s="169"/>
      <c r="J715" s="170"/>
      <c r="K715" s="170"/>
      <c r="L715" s="170"/>
      <c r="M715" s="167"/>
      <c r="N715" s="169"/>
      <c r="O715" s="171"/>
      <c r="P715" s="106"/>
      <c r="Q715" s="353"/>
      <c r="R715" s="106"/>
    </row>
    <row r="716" ht="29.25" customHeight="1">
      <c r="A716" s="216"/>
      <c r="B716" s="349"/>
      <c r="C716" s="350"/>
      <c r="D716" s="351"/>
      <c r="E716" s="340"/>
      <c r="F716" s="173"/>
      <c r="G716" s="168"/>
      <c r="H716" s="168"/>
      <c r="I716" s="169"/>
      <c r="J716" s="170"/>
      <c r="K716" s="170"/>
      <c r="L716" s="170"/>
      <c r="M716" s="167"/>
      <c r="N716" s="169"/>
      <c r="O716" s="171"/>
      <c r="P716" s="106"/>
      <c r="Q716" s="347"/>
      <c r="R716" s="106"/>
    </row>
    <row r="717" ht="29.25" customHeight="1">
      <c r="A717" s="216"/>
      <c r="B717" s="349"/>
      <c r="C717" s="350"/>
      <c r="D717" s="351"/>
      <c r="E717" s="352"/>
      <c r="F717" s="173"/>
      <c r="G717" s="168"/>
      <c r="H717" s="168"/>
      <c r="I717" s="169"/>
      <c r="J717" s="170"/>
      <c r="K717" s="170"/>
      <c r="L717" s="170"/>
      <c r="M717" s="167"/>
      <c r="N717" s="169"/>
      <c r="O717" s="171"/>
      <c r="P717" s="106"/>
      <c r="Q717" s="353"/>
      <c r="R717" s="106"/>
    </row>
    <row r="718" ht="29.25" customHeight="1">
      <c r="A718" s="216"/>
      <c r="B718" s="349"/>
      <c r="C718" s="350"/>
      <c r="D718" s="351"/>
      <c r="E718" s="340"/>
      <c r="F718" s="173"/>
      <c r="G718" s="168"/>
      <c r="H718" s="168"/>
      <c r="I718" s="169"/>
      <c r="J718" s="170"/>
      <c r="K718" s="170"/>
      <c r="L718" s="170"/>
      <c r="M718" s="167"/>
      <c r="N718" s="169"/>
      <c r="O718" s="171"/>
      <c r="P718" s="106"/>
      <c r="Q718" s="347"/>
      <c r="R718" s="106"/>
    </row>
    <row r="719" ht="29.25" customHeight="1">
      <c r="A719" s="216"/>
      <c r="B719" s="349"/>
      <c r="C719" s="350"/>
      <c r="D719" s="351"/>
      <c r="E719" s="352"/>
      <c r="F719" s="173"/>
      <c r="G719" s="168"/>
      <c r="H719" s="168"/>
      <c r="I719" s="169"/>
      <c r="J719" s="170"/>
      <c r="K719" s="170"/>
      <c r="L719" s="170"/>
      <c r="M719" s="167"/>
      <c r="N719" s="169"/>
      <c r="O719" s="171"/>
      <c r="P719" s="106"/>
      <c r="Q719" s="353"/>
      <c r="R719" s="106"/>
    </row>
    <row r="720" ht="29.25" customHeight="1">
      <c r="A720" s="216"/>
      <c r="B720" s="349"/>
      <c r="C720" s="350"/>
      <c r="D720" s="351"/>
      <c r="E720" s="340"/>
      <c r="F720" s="173"/>
      <c r="G720" s="168"/>
      <c r="H720" s="168"/>
      <c r="I720" s="169"/>
      <c r="J720" s="170"/>
      <c r="K720" s="170"/>
      <c r="L720" s="170"/>
      <c r="M720" s="167"/>
      <c r="N720" s="169"/>
      <c r="O720" s="171"/>
      <c r="P720" s="106"/>
      <c r="Q720" s="347"/>
      <c r="R720" s="106"/>
    </row>
    <row r="721" ht="29.25" customHeight="1">
      <c r="A721" s="216"/>
      <c r="B721" s="349"/>
      <c r="C721" s="350"/>
      <c r="D721" s="351"/>
      <c r="E721" s="352"/>
      <c r="F721" s="173"/>
      <c r="G721" s="168"/>
      <c r="H721" s="168"/>
      <c r="I721" s="169"/>
      <c r="J721" s="170"/>
      <c r="K721" s="170"/>
      <c r="L721" s="170"/>
      <c r="M721" s="167"/>
      <c r="N721" s="169"/>
      <c r="O721" s="171"/>
      <c r="P721" s="106"/>
      <c r="Q721" s="353"/>
      <c r="R721" s="106"/>
    </row>
    <row r="722" ht="29.25" customHeight="1">
      <c r="A722" s="216"/>
      <c r="B722" s="349"/>
      <c r="C722" s="350"/>
      <c r="D722" s="351"/>
      <c r="E722" s="340"/>
      <c r="F722" s="173"/>
      <c r="G722" s="168"/>
      <c r="H722" s="168"/>
      <c r="I722" s="169"/>
      <c r="J722" s="170"/>
      <c r="K722" s="170"/>
      <c r="L722" s="170"/>
      <c r="M722" s="167"/>
      <c r="N722" s="169"/>
      <c r="O722" s="171"/>
      <c r="P722" s="106"/>
      <c r="Q722" s="347"/>
      <c r="R722" s="106"/>
    </row>
    <row r="723" ht="29.25" customHeight="1">
      <c r="A723" s="216"/>
      <c r="B723" s="349"/>
      <c r="C723" s="350"/>
      <c r="D723" s="351"/>
      <c r="E723" s="352"/>
      <c r="F723" s="173"/>
      <c r="G723" s="168"/>
      <c r="H723" s="168"/>
      <c r="I723" s="169"/>
      <c r="J723" s="170"/>
      <c r="K723" s="170"/>
      <c r="L723" s="170"/>
      <c r="M723" s="167"/>
      <c r="N723" s="169"/>
      <c r="O723" s="171"/>
      <c r="P723" s="106"/>
      <c r="Q723" s="353"/>
      <c r="R723" s="106"/>
    </row>
    <row r="724" ht="29.25" customHeight="1">
      <c r="A724" s="216"/>
      <c r="B724" s="349"/>
      <c r="C724" s="350"/>
      <c r="D724" s="351"/>
      <c r="E724" s="340"/>
      <c r="F724" s="173"/>
      <c r="G724" s="168"/>
      <c r="H724" s="168"/>
      <c r="I724" s="169"/>
      <c r="J724" s="170"/>
      <c r="K724" s="170"/>
      <c r="L724" s="170"/>
      <c r="M724" s="167"/>
      <c r="N724" s="169"/>
      <c r="O724" s="171"/>
      <c r="P724" s="106"/>
      <c r="Q724" s="347"/>
      <c r="R724" s="106"/>
    </row>
    <row r="725" ht="29.25" customHeight="1">
      <c r="A725" s="216"/>
      <c r="B725" s="349"/>
      <c r="C725" s="350"/>
      <c r="D725" s="351"/>
      <c r="E725" s="352"/>
      <c r="F725" s="173"/>
      <c r="G725" s="168"/>
      <c r="H725" s="168"/>
      <c r="I725" s="169"/>
      <c r="J725" s="170"/>
      <c r="K725" s="170"/>
      <c r="L725" s="170"/>
      <c r="M725" s="167"/>
      <c r="N725" s="169"/>
      <c r="O725" s="171"/>
      <c r="P725" s="106"/>
      <c r="Q725" s="353"/>
      <c r="R725" s="106"/>
    </row>
    <row r="726" ht="29.25" customHeight="1">
      <c r="A726" s="216"/>
      <c r="B726" s="349"/>
      <c r="C726" s="350"/>
      <c r="D726" s="351"/>
      <c r="E726" s="340"/>
      <c r="F726" s="173"/>
      <c r="G726" s="168"/>
      <c r="H726" s="168"/>
      <c r="I726" s="169"/>
      <c r="J726" s="170"/>
      <c r="K726" s="170"/>
      <c r="L726" s="170"/>
      <c r="M726" s="167"/>
      <c r="N726" s="169"/>
      <c r="O726" s="171"/>
      <c r="P726" s="106"/>
      <c r="Q726" s="347"/>
      <c r="R726" s="106"/>
    </row>
    <row r="727" ht="29.25" customHeight="1">
      <c r="A727" s="216"/>
      <c r="B727" s="349"/>
      <c r="C727" s="350"/>
      <c r="D727" s="351"/>
      <c r="E727" s="352"/>
      <c r="F727" s="173"/>
      <c r="G727" s="168"/>
      <c r="H727" s="168"/>
      <c r="I727" s="169"/>
      <c r="J727" s="170"/>
      <c r="K727" s="170"/>
      <c r="L727" s="170"/>
      <c r="M727" s="167"/>
      <c r="N727" s="169"/>
      <c r="O727" s="171"/>
      <c r="P727" s="106"/>
      <c r="Q727" s="353"/>
      <c r="R727" s="106"/>
    </row>
    <row r="728" ht="29.25" customHeight="1">
      <c r="A728" s="216"/>
      <c r="B728" s="349"/>
      <c r="C728" s="350"/>
      <c r="D728" s="351"/>
      <c r="E728" s="340"/>
      <c r="F728" s="173"/>
      <c r="G728" s="168"/>
      <c r="H728" s="168"/>
      <c r="I728" s="169"/>
      <c r="J728" s="170"/>
      <c r="K728" s="170"/>
      <c r="L728" s="170"/>
      <c r="M728" s="167"/>
      <c r="N728" s="169"/>
      <c r="O728" s="171"/>
      <c r="P728" s="106"/>
      <c r="Q728" s="347"/>
      <c r="R728" s="106"/>
    </row>
    <row r="729" ht="29.25" customHeight="1">
      <c r="A729" s="216"/>
      <c r="B729" s="349"/>
      <c r="C729" s="350"/>
      <c r="D729" s="351"/>
      <c r="E729" s="352"/>
      <c r="F729" s="173"/>
      <c r="G729" s="168"/>
      <c r="H729" s="168"/>
      <c r="I729" s="169"/>
      <c r="J729" s="170"/>
      <c r="K729" s="170"/>
      <c r="L729" s="170"/>
      <c r="M729" s="167"/>
      <c r="N729" s="169"/>
      <c r="O729" s="171"/>
      <c r="P729" s="106"/>
      <c r="Q729" s="353"/>
      <c r="R729" s="106"/>
    </row>
    <row r="730" ht="29.25" customHeight="1">
      <c r="A730" s="216"/>
      <c r="B730" s="349"/>
      <c r="C730" s="350"/>
      <c r="D730" s="351"/>
      <c r="E730" s="340"/>
      <c r="F730" s="173"/>
      <c r="G730" s="168"/>
      <c r="H730" s="168"/>
      <c r="I730" s="169"/>
      <c r="J730" s="170"/>
      <c r="K730" s="170"/>
      <c r="L730" s="170"/>
      <c r="M730" s="167"/>
      <c r="N730" s="169"/>
      <c r="O730" s="171"/>
      <c r="P730" s="106"/>
      <c r="Q730" s="347"/>
      <c r="R730" s="106"/>
    </row>
    <row r="731" ht="29.25" customHeight="1">
      <c r="A731" s="216"/>
      <c r="B731" s="349"/>
      <c r="C731" s="350"/>
      <c r="D731" s="351"/>
      <c r="E731" s="352"/>
      <c r="F731" s="173"/>
      <c r="G731" s="168"/>
      <c r="H731" s="168"/>
      <c r="I731" s="169"/>
      <c r="J731" s="170"/>
      <c r="K731" s="170"/>
      <c r="L731" s="170"/>
      <c r="M731" s="167"/>
      <c r="N731" s="169"/>
      <c r="O731" s="171"/>
      <c r="P731" s="106"/>
      <c r="Q731" s="353"/>
      <c r="R731" s="106"/>
    </row>
    <row r="732" ht="29.25" customHeight="1">
      <c r="A732" s="216"/>
      <c r="B732" s="349"/>
      <c r="C732" s="350"/>
      <c r="D732" s="351"/>
      <c r="E732" s="340"/>
      <c r="F732" s="173"/>
      <c r="G732" s="168"/>
      <c r="H732" s="168"/>
      <c r="I732" s="169"/>
      <c r="J732" s="170"/>
      <c r="K732" s="170"/>
      <c r="L732" s="170"/>
      <c r="M732" s="167"/>
      <c r="N732" s="169"/>
      <c r="O732" s="171"/>
      <c r="P732" s="106"/>
      <c r="Q732" s="347"/>
      <c r="R732" s="106"/>
    </row>
    <row r="733" ht="29.25" customHeight="1">
      <c r="A733" s="216"/>
      <c r="B733" s="349"/>
      <c r="C733" s="350"/>
      <c r="D733" s="351"/>
      <c r="E733" s="352"/>
      <c r="F733" s="173"/>
      <c r="G733" s="168"/>
      <c r="H733" s="168"/>
      <c r="I733" s="169"/>
      <c r="J733" s="170"/>
      <c r="K733" s="170"/>
      <c r="L733" s="170"/>
      <c r="M733" s="167"/>
      <c r="N733" s="169"/>
      <c r="O733" s="171"/>
      <c r="P733" s="106"/>
      <c r="Q733" s="353"/>
      <c r="R733" s="106"/>
    </row>
    <row r="734" ht="29.25" customHeight="1">
      <c r="A734" s="216"/>
      <c r="B734" s="349"/>
      <c r="C734" s="350"/>
      <c r="D734" s="351"/>
      <c r="E734" s="340"/>
      <c r="F734" s="173"/>
      <c r="G734" s="168"/>
      <c r="H734" s="168"/>
      <c r="I734" s="169"/>
      <c r="J734" s="170"/>
      <c r="K734" s="170"/>
      <c r="L734" s="170"/>
      <c r="M734" s="167"/>
      <c r="N734" s="169"/>
      <c r="O734" s="171"/>
      <c r="P734" s="106"/>
      <c r="Q734" s="347"/>
      <c r="R734" s="106"/>
    </row>
    <row r="735" ht="29.25" customHeight="1">
      <c r="A735" s="216"/>
      <c r="B735" s="349"/>
      <c r="C735" s="350"/>
      <c r="D735" s="351"/>
      <c r="E735" s="352"/>
      <c r="F735" s="173"/>
      <c r="G735" s="168"/>
      <c r="H735" s="168"/>
      <c r="I735" s="169"/>
      <c r="J735" s="170"/>
      <c r="K735" s="170"/>
      <c r="L735" s="170"/>
      <c r="M735" s="167"/>
      <c r="N735" s="169"/>
      <c r="O735" s="171"/>
      <c r="P735" s="106"/>
      <c r="Q735" s="353"/>
      <c r="R735" s="106"/>
    </row>
    <row r="736" ht="29.25" customHeight="1">
      <c r="A736" s="216"/>
      <c r="B736" s="349"/>
      <c r="C736" s="350"/>
      <c r="D736" s="351"/>
      <c r="E736" s="340"/>
      <c r="F736" s="173"/>
      <c r="G736" s="168"/>
      <c r="H736" s="168"/>
      <c r="I736" s="169"/>
      <c r="J736" s="170"/>
      <c r="K736" s="170"/>
      <c r="L736" s="170"/>
      <c r="M736" s="167"/>
      <c r="N736" s="169"/>
      <c r="O736" s="171"/>
      <c r="P736" s="106"/>
      <c r="Q736" s="347"/>
      <c r="R736" s="106"/>
    </row>
    <row r="737" ht="29.25" customHeight="1">
      <c r="A737" s="216"/>
      <c r="B737" s="349"/>
      <c r="C737" s="350"/>
      <c r="D737" s="351"/>
      <c r="E737" s="352"/>
      <c r="F737" s="173"/>
      <c r="G737" s="168"/>
      <c r="H737" s="168"/>
      <c r="I737" s="169"/>
      <c r="J737" s="170"/>
      <c r="K737" s="170"/>
      <c r="L737" s="170"/>
      <c r="M737" s="167"/>
      <c r="N737" s="169"/>
      <c r="O737" s="171"/>
      <c r="P737" s="106"/>
      <c r="Q737" s="353"/>
      <c r="R737" s="106"/>
    </row>
    <row r="738" ht="29.25" customHeight="1">
      <c r="A738" s="216"/>
      <c r="B738" s="349"/>
      <c r="C738" s="350"/>
      <c r="D738" s="351"/>
      <c r="E738" s="340"/>
      <c r="F738" s="173"/>
      <c r="G738" s="168"/>
      <c r="H738" s="168"/>
      <c r="I738" s="169"/>
      <c r="J738" s="170"/>
      <c r="K738" s="170"/>
      <c r="L738" s="170"/>
      <c r="M738" s="167"/>
      <c r="N738" s="169"/>
      <c r="O738" s="171"/>
      <c r="P738" s="106"/>
      <c r="Q738" s="347"/>
      <c r="R738" s="106"/>
    </row>
    <row r="739" ht="29.25" customHeight="1">
      <c r="A739" s="216"/>
      <c r="B739" s="349"/>
      <c r="C739" s="350"/>
      <c r="D739" s="351"/>
      <c r="E739" s="352"/>
      <c r="F739" s="173"/>
      <c r="G739" s="168"/>
      <c r="H739" s="168"/>
      <c r="I739" s="169"/>
      <c r="J739" s="170"/>
      <c r="K739" s="170"/>
      <c r="L739" s="170"/>
      <c r="M739" s="167"/>
      <c r="N739" s="169"/>
      <c r="O739" s="171"/>
      <c r="P739" s="106"/>
      <c r="Q739" s="353"/>
      <c r="R739" s="106"/>
    </row>
    <row r="740" ht="29.25" customHeight="1">
      <c r="A740" s="216"/>
      <c r="B740" s="349"/>
      <c r="C740" s="350"/>
      <c r="D740" s="351"/>
      <c r="E740" s="340"/>
      <c r="F740" s="173"/>
      <c r="G740" s="168"/>
      <c r="H740" s="168"/>
      <c r="I740" s="169"/>
      <c r="J740" s="170"/>
      <c r="K740" s="170"/>
      <c r="L740" s="170"/>
      <c r="M740" s="167"/>
      <c r="N740" s="169"/>
      <c r="O740" s="171"/>
      <c r="P740" s="106"/>
      <c r="Q740" s="347"/>
      <c r="R740" s="106"/>
    </row>
    <row r="741" ht="29.25" customHeight="1">
      <c r="A741" s="216"/>
      <c r="B741" s="349"/>
      <c r="C741" s="350"/>
      <c r="D741" s="351"/>
      <c r="E741" s="352"/>
      <c r="F741" s="173"/>
      <c r="G741" s="168"/>
      <c r="H741" s="168"/>
      <c r="I741" s="169"/>
      <c r="J741" s="170"/>
      <c r="K741" s="170"/>
      <c r="L741" s="170"/>
      <c r="M741" s="167"/>
      <c r="N741" s="169"/>
      <c r="O741" s="171"/>
      <c r="P741" s="106"/>
      <c r="Q741" s="353"/>
      <c r="R741" s="106"/>
    </row>
    <row r="742" ht="29.25" customHeight="1">
      <c r="A742" s="216"/>
      <c r="B742" s="349"/>
      <c r="C742" s="350"/>
      <c r="D742" s="351"/>
      <c r="E742" s="340"/>
      <c r="F742" s="173"/>
      <c r="G742" s="168"/>
      <c r="H742" s="168"/>
      <c r="I742" s="169"/>
      <c r="J742" s="170"/>
      <c r="K742" s="170"/>
      <c r="L742" s="170"/>
      <c r="M742" s="167"/>
      <c r="N742" s="169"/>
      <c r="O742" s="171"/>
      <c r="P742" s="106"/>
      <c r="Q742" s="347"/>
      <c r="R742" s="106"/>
    </row>
    <row r="743" ht="29.25" customHeight="1">
      <c r="A743" s="216"/>
      <c r="B743" s="349"/>
      <c r="C743" s="350"/>
      <c r="D743" s="351"/>
      <c r="E743" s="352"/>
      <c r="F743" s="173"/>
      <c r="G743" s="168"/>
      <c r="H743" s="168"/>
      <c r="I743" s="169"/>
      <c r="J743" s="170"/>
      <c r="K743" s="170"/>
      <c r="L743" s="170"/>
      <c r="M743" s="167"/>
      <c r="N743" s="169"/>
      <c r="O743" s="171"/>
      <c r="P743" s="106"/>
      <c r="Q743" s="353"/>
      <c r="R743" s="106"/>
    </row>
    <row r="744" ht="29.25" customHeight="1">
      <c r="A744" s="216"/>
      <c r="B744" s="349"/>
      <c r="C744" s="350"/>
      <c r="D744" s="351"/>
      <c r="E744" s="340"/>
      <c r="F744" s="173"/>
      <c r="G744" s="168"/>
      <c r="H744" s="168"/>
      <c r="I744" s="169"/>
      <c r="J744" s="170"/>
      <c r="K744" s="170"/>
      <c r="L744" s="170"/>
      <c r="M744" s="167"/>
      <c r="N744" s="169"/>
      <c r="O744" s="171"/>
      <c r="P744" s="106"/>
      <c r="Q744" s="347"/>
      <c r="R744" s="106"/>
    </row>
    <row r="745" ht="29.25" customHeight="1">
      <c r="A745" s="216"/>
      <c r="B745" s="349"/>
      <c r="C745" s="350"/>
      <c r="D745" s="351"/>
      <c r="E745" s="352"/>
      <c r="F745" s="173"/>
      <c r="G745" s="168"/>
      <c r="H745" s="168"/>
      <c r="I745" s="169"/>
      <c r="J745" s="170"/>
      <c r="K745" s="170"/>
      <c r="L745" s="170"/>
      <c r="M745" s="167"/>
      <c r="N745" s="169"/>
      <c r="O745" s="171"/>
      <c r="P745" s="106"/>
      <c r="Q745" s="353"/>
      <c r="R745" s="106"/>
    </row>
    <row r="746" ht="29.25" customHeight="1">
      <c r="A746" s="216"/>
      <c r="B746" s="349"/>
      <c r="C746" s="350"/>
      <c r="D746" s="351"/>
      <c r="E746" s="340"/>
      <c r="F746" s="173"/>
      <c r="G746" s="168"/>
      <c r="H746" s="168"/>
      <c r="I746" s="169"/>
      <c r="J746" s="170"/>
      <c r="K746" s="170"/>
      <c r="L746" s="170"/>
      <c r="M746" s="167"/>
      <c r="N746" s="169"/>
      <c r="O746" s="171"/>
      <c r="P746" s="106"/>
      <c r="Q746" s="347"/>
      <c r="R746" s="106"/>
    </row>
    <row r="747" ht="29.25" customHeight="1">
      <c r="A747" s="216"/>
      <c r="B747" s="349"/>
      <c r="C747" s="350"/>
      <c r="D747" s="351"/>
      <c r="E747" s="352"/>
      <c r="F747" s="173"/>
      <c r="G747" s="168"/>
      <c r="H747" s="168"/>
      <c r="I747" s="169"/>
      <c r="J747" s="170"/>
      <c r="K747" s="170"/>
      <c r="L747" s="170"/>
      <c r="M747" s="167"/>
      <c r="N747" s="169"/>
      <c r="O747" s="171"/>
      <c r="P747" s="106"/>
      <c r="Q747" s="353"/>
      <c r="R747" s="106"/>
    </row>
    <row r="748" ht="29.25" customHeight="1">
      <c r="A748" s="216"/>
      <c r="B748" s="349"/>
      <c r="C748" s="350"/>
      <c r="D748" s="351"/>
      <c r="E748" s="340"/>
      <c r="F748" s="173"/>
      <c r="G748" s="168"/>
      <c r="H748" s="168"/>
      <c r="I748" s="169"/>
      <c r="J748" s="170"/>
      <c r="K748" s="170"/>
      <c r="L748" s="170"/>
      <c r="M748" s="167"/>
      <c r="N748" s="169"/>
      <c r="O748" s="171"/>
      <c r="P748" s="106"/>
      <c r="Q748" s="347"/>
      <c r="R748" s="106"/>
    </row>
    <row r="749" ht="29.25" customHeight="1">
      <c r="A749" s="216"/>
      <c r="B749" s="349"/>
      <c r="C749" s="350"/>
      <c r="D749" s="351"/>
      <c r="E749" s="352"/>
      <c r="F749" s="173"/>
      <c r="G749" s="168"/>
      <c r="H749" s="168"/>
      <c r="I749" s="169"/>
      <c r="J749" s="170"/>
      <c r="K749" s="170"/>
      <c r="L749" s="170"/>
      <c r="M749" s="167"/>
      <c r="N749" s="169"/>
      <c r="O749" s="171"/>
      <c r="P749" s="106"/>
      <c r="Q749" s="353"/>
      <c r="R749" s="106"/>
    </row>
    <row r="750" ht="29.25" customHeight="1">
      <c r="A750" s="216"/>
      <c r="B750" s="349"/>
      <c r="C750" s="350"/>
      <c r="D750" s="351"/>
      <c r="E750" s="340"/>
      <c r="F750" s="173"/>
      <c r="G750" s="168"/>
      <c r="H750" s="168"/>
      <c r="I750" s="169"/>
      <c r="J750" s="170"/>
      <c r="K750" s="170"/>
      <c r="L750" s="170"/>
      <c r="M750" s="167"/>
      <c r="N750" s="169"/>
      <c r="O750" s="171"/>
      <c r="P750" s="106"/>
      <c r="Q750" s="347"/>
      <c r="R750" s="106"/>
    </row>
    <row r="751" ht="29.25" customHeight="1">
      <c r="A751" s="216"/>
      <c r="B751" s="349"/>
      <c r="C751" s="350"/>
      <c r="D751" s="351"/>
      <c r="E751" s="352"/>
      <c r="F751" s="173"/>
      <c r="G751" s="168"/>
      <c r="H751" s="168"/>
      <c r="I751" s="169"/>
      <c r="J751" s="170"/>
      <c r="K751" s="170"/>
      <c r="L751" s="170"/>
      <c r="M751" s="167"/>
      <c r="N751" s="169"/>
      <c r="O751" s="171"/>
      <c r="P751" s="106"/>
      <c r="Q751" s="353"/>
      <c r="R751" s="106"/>
    </row>
    <row r="752" ht="29.25" customHeight="1">
      <c r="A752" s="216"/>
      <c r="B752" s="349"/>
      <c r="C752" s="350"/>
      <c r="D752" s="351"/>
      <c r="E752" s="340"/>
      <c r="F752" s="173"/>
      <c r="G752" s="168"/>
      <c r="H752" s="168"/>
      <c r="I752" s="169"/>
      <c r="J752" s="170"/>
      <c r="K752" s="170"/>
      <c r="L752" s="170"/>
      <c r="M752" s="167"/>
      <c r="N752" s="169"/>
      <c r="O752" s="171"/>
      <c r="P752" s="106"/>
      <c r="Q752" s="347"/>
      <c r="R752" s="106"/>
    </row>
    <row r="753" ht="29.25" customHeight="1">
      <c r="A753" s="216"/>
      <c r="B753" s="349"/>
      <c r="C753" s="350"/>
      <c r="D753" s="351"/>
      <c r="E753" s="352"/>
      <c r="F753" s="173"/>
      <c r="G753" s="168"/>
      <c r="H753" s="168"/>
      <c r="I753" s="169"/>
      <c r="J753" s="170"/>
      <c r="K753" s="170"/>
      <c r="L753" s="170"/>
      <c r="M753" s="167"/>
      <c r="N753" s="169"/>
      <c r="O753" s="171"/>
      <c r="P753" s="106"/>
      <c r="Q753" s="353"/>
      <c r="R753" s="106"/>
    </row>
    <row r="754" ht="29.25" customHeight="1">
      <c r="A754" s="216"/>
      <c r="B754" s="349"/>
      <c r="C754" s="350"/>
      <c r="D754" s="351"/>
      <c r="E754" s="340"/>
      <c r="F754" s="173"/>
      <c r="G754" s="168"/>
      <c r="H754" s="168"/>
      <c r="I754" s="169"/>
      <c r="J754" s="170"/>
      <c r="K754" s="170"/>
      <c r="L754" s="170"/>
      <c r="M754" s="167"/>
      <c r="N754" s="169"/>
      <c r="O754" s="171"/>
      <c r="P754" s="106"/>
      <c r="Q754" s="347"/>
      <c r="R754" s="106"/>
    </row>
    <row r="755" ht="29.25" customHeight="1">
      <c r="A755" s="216"/>
      <c r="B755" s="349"/>
      <c r="C755" s="350"/>
      <c r="D755" s="351"/>
      <c r="E755" s="352"/>
      <c r="F755" s="173"/>
      <c r="G755" s="168"/>
      <c r="H755" s="168"/>
      <c r="I755" s="169"/>
      <c r="J755" s="170"/>
      <c r="K755" s="170"/>
      <c r="L755" s="170"/>
      <c r="M755" s="167"/>
      <c r="N755" s="169"/>
      <c r="O755" s="171"/>
      <c r="P755" s="106"/>
      <c r="Q755" s="353"/>
      <c r="R755" s="106"/>
    </row>
    <row r="756" ht="29.25" customHeight="1">
      <c r="A756" s="216"/>
      <c r="B756" s="349"/>
      <c r="C756" s="350"/>
      <c r="D756" s="351"/>
      <c r="E756" s="340"/>
      <c r="F756" s="173"/>
      <c r="G756" s="168"/>
      <c r="H756" s="168"/>
      <c r="I756" s="169"/>
      <c r="J756" s="170"/>
      <c r="K756" s="170"/>
      <c r="L756" s="170"/>
      <c r="M756" s="167"/>
      <c r="N756" s="169"/>
      <c r="O756" s="171"/>
      <c r="P756" s="106"/>
      <c r="Q756" s="347"/>
      <c r="R756" s="106"/>
    </row>
    <row r="757" ht="29.25" customHeight="1">
      <c r="A757" s="216"/>
      <c r="B757" s="349"/>
      <c r="C757" s="350"/>
      <c r="D757" s="351"/>
      <c r="E757" s="352"/>
      <c r="F757" s="173"/>
      <c r="G757" s="168"/>
      <c r="H757" s="168"/>
      <c r="I757" s="169"/>
      <c r="J757" s="170"/>
      <c r="K757" s="170"/>
      <c r="L757" s="170"/>
      <c r="M757" s="167"/>
      <c r="N757" s="169"/>
      <c r="O757" s="171"/>
      <c r="P757" s="106"/>
      <c r="Q757" s="353"/>
      <c r="R757" s="106"/>
    </row>
    <row r="758" ht="29.25" customHeight="1">
      <c r="A758" s="216"/>
      <c r="B758" s="349"/>
      <c r="C758" s="350"/>
      <c r="D758" s="351"/>
      <c r="E758" s="340"/>
      <c r="F758" s="173"/>
      <c r="G758" s="168"/>
      <c r="H758" s="168"/>
      <c r="I758" s="169"/>
      <c r="J758" s="170"/>
      <c r="K758" s="170"/>
      <c r="L758" s="170"/>
      <c r="M758" s="167"/>
      <c r="N758" s="169"/>
      <c r="O758" s="171"/>
      <c r="P758" s="106"/>
      <c r="Q758" s="347"/>
      <c r="R758" s="106"/>
    </row>
    <row r="759" ht="29.25" customHeight="1">
      <c r="A759" s="216"/>
      <c r="B759" s="349"/>
      <c r="C759" s="350"/>
      <c r="D759" s="351"/>
      <c r="E759" s="352"/>
      <c r="F759" s="173"/>
      <c r="G759" s="168"/>
      <c r="H759" s="168"/>
      <c r="I759" s="169"/>
      <c r="J759" s="170"/>
      <c r="K759" s="170"/>
      <c r="L759" s="170"/>
      <c r="M759" s="167"/>
      <c r="N759" s="169"/>
      <c r="O759" s="171"/>
      <c r="P759" s="106"/>
      <c r="Q759" s="353"/>
      <c r="R759" s="106"/>
    </row>
    <row r="760" ht="29.25" customHeight="1">
      <c r="A760" s="216"/>
      <c r="B760" s="349"/>
      <c r="C760" s="350"/>
      <c r="D760" s="351"/>
      <c r="E760" s="340"/>
      <c r="F760" s="173"/>
      <c r="G760" s="168"/>
      <c r="H760" s="168"/>
      <c r="I760" s="169"/>
      <c r="J760" s="170"/>
      <c r="K760" s="170"/>
      <c r="L760" s="170"/>
      <c r="M760" s="167"/>
      <c r="N760" s="169"/>
      <c r="O760" s="171"/>
      <c r="P760" s="106"/>
      <c r="Q760" s="347"/>
      <c r="R760" s="106"/>
    </row>
    <row r="761" ht="29.25" customHeight="1">
      <c r="A761" s="216"/>
      <c r="B761" s="349"/>
      <c r="C761" s="350"/>
      <c r="D761" s="351"/>
      <c r="E761" s="352"/>
      <c r="F761" s="173"/>
      <c r="G761" s="168"/>
      <c r="H761" s="168"/>
      <c r="I761" s="169"/>
      <c r="J761" s="170"/>
      <c r="K761" s="170"/>
      <c r="L761" s="170"/>
      <c r="M761" s="167"/>
      <c r="N761" s="169"/>
      <c r="O761" s="171"/>
      <c r="P761" s="106"/>
      <c r="Q761" s="353"/>
      <c r="R761" s="106"/>
    </row>
    <row r="762" ht="29.25" customHeight="1">
      <c r="A762" s="216"/>
      <c r="B762" s="349"/>
      <c r="C762" s="350"/>
      <c r="D762" s="351"/>
      <c r="E762" s="340"/>
      <c r="F762" s="173"/>
      <c r="G762" s="168"/>
      <c r="H762" s="168"/>
      <c r="I762" s="169"/>
      <c r="J762" s="170"/>
      <c r="K762" s="170"/>
      <c r="L762" s="170"/>
      <c r="M762" s="167"/>
      <c r="N762" s="169"/>
      <c r="O762" s="171"/>
      <c r="P762" s="106"/>
      <c r="Q762" s="347"/>
      <c r="R762" s="106"/>
    </row>
    <row r="763" ht="29.25" customHeight="1">
      <c r="A763" s="216"/>
      <c r="B763" s="349"/>
      <c r="C763" s="350"/>
      <c r="D763" s="351"/>
      <c r="E763" s="352"/>
      <c r="F763" s="173"/>
      <c r="G763" s="168"/>
      <c r="H763" s="168"/>
      <c r="I763" s="169"/>
      <c r="J763" s="170"/>
      <c r="K763" s="170"/>
      <c r="L763" s="170"/>
      <c r="M763" s="167"/>
      <c r="N763" s="169"/>
      <c r="O763" s="171"/>
      <c r="P763" s="106"/>
      <c r="Q763" s="353"/>
      <c r="R763" s="106"/>
    </row>
    <row r="764" ht="29.25" customHeight="1">
      <c r="A764" s="216"/>
      <c r="B764" s="349"/>
      <c r="C764" s="350"/>
      <c r="D764" s="351"/>
      <c r="E764" s="340"/>
      <c r="F764" s="173"/>
      <c r="G764" s="168"/>
      <c r="H764" s="168"/>
      <c r="I764" s="169"/>
      <c r="J764" s="170"/>
      <c r="K764" s="170"/>
      <c r="L764" s="170"/>
      <c r="M764" s="167"/>
      <c r="N764" s="169"/>
      <c r="O764" s="171"/>
      <c r="P764" s="106"/>
      <c r="Q764" s="347"/>
      <c r="R764" s="106"/>
    </row>
    <row r="765" ht="29.25" customHeight="1">
      <c r="A765" s="216"/>
      <c r="B765" s="349"/>
      <c r="C765" s="350"/>
      <c r="D765" s="351"/>
      <c r="E765" s="352"/>
      <c r="F765" s="173"/>
      <c r="G765" s="168"/>
      <c r="H765" s="168"/>
      <c r="I765" s="169"/>
      <c r="J765" s="170"/>
      <c r="K765" s="170"/>
      <c r="L765" s="170"/>
      <c r="M765" s="167"/>
      <c r="N765" s="169"/>
      <c r="O765" s="171"/>
      <c r="P765" s="106"/>
      <c r="Q765" s="353"/>
      <c r="R765" s="106"/>
    </row>
    <row r="766" ht="29.25" customHeight="1">
      <c r="A766" s="216"/>
      <c r="B766" s="349"/>
      <c r="C766" s="350"/>
      <c r="D766" s="351"/>
      <c r="E766" s="340"/>
      <c r="F766" s="173"/>
      <c r="G766" s="168"/>
      <c r="H766" s="168"/>
      <c r="I766" s="169"/>
      <c r="J766" s="170"/>
      <c r="K766" s="170"/>
      <c r="L766" s="170"/>
      <c r="M766" s="167"/>
      <c r="N766" s="169"/>
      <c r="O766" s="171"/>
      <c r="P766" s="106"/>
      <c r="Q766" s="347"/>
      <c r="R766" s="106"/>
    </row>
    <row r="767" ht="29.25" customHeight="1">
      <c r="A767" s="216"/>
      <c r="B767" s="349"/>
      <c r="C767" s="350"/>
      <c r="D767" s="351"/>
      <c r="E767" s="352"/>
      <c r="F767" s="173"/>
      <c r="G767" s="168"/>
      <c r="H767" s="168"/>
      <c r="I767" s="169"/>
      <c r="J767" s="170"/>
      <c r="K767" s="170"/>
      <c r="L767" s="170"/>
      <c r="M767" s="167"/>
      <c r="N767" s="169"/>
      <c r="O767" s="171"/>
      <c r="P767" s="106"/>
      <c r="Q767" s="353"/>
      <c r="R767" s="106"/>
    </row>
    <row r="768" ht="29.25" customHeight="1">
      <c r="A768" s="216"/>
      <c r="B768" s="349"/>
      <c r="C768" s="350"/>
      <c r="D768" s="351"/>
      <c r="E768" s="340"/>
      <c r="F768" s="173"/>
      <c r="G768" s="168"/>
      <c r="H768" s="168"/>
      <c r="I768" s="169"/>
      <c r="J768" s="170"/>
      <c r="K768" s="170"/>
      <c r="L768" s="170"/>
      <c r="M768" s="167"/>
      <c r="N768" s="169"/>
      <c r="O768" s="171"/>
      <c r="P768" s="106"/>
      <c r="Q768" s="347"/>
      <c r="R768" s="106"/>
    </row>
    <row r="769" ht="29.25" customHeight="1">
      <c r="A769" s="216"/>
      <c r="B769" s="349"/>
      <c r="C769" s="350"/>
      <c r="D769" s="351"/>
      <c r="E769" s="352"/>
      <c r="F769" s="173"/>
      <c r="G769" s="168"/>
      <c r="H769" s="168"/>
      <c r="I769" s="169"/>
      <c r="J769" s="170"/>
      <c r="K769" s="170"/>
      <c r="L769" s="170"/>
      <c r="M769" s="167"/>
      <c r="N769" s="169"/>
      <c r="O769" s="171"/>
      <c r="P769" s="106"/>
      <c r="Q769" s="353"/>
      <c r="R769" s="106"/>
    </row>
    <row r="770" ht="29.25" customHeight="1">
      <c r="A770" s="216"/>
      <c r="B770" s="349"/>
      <c r="C770" s="350"/>
      <c r="D770" s="351"/>
      <c r="E770" s="340"/>
      <c r="F770" s="173"/>
      <c r="G770" s="168"/>
      <c r="H770" s="168"/>
      <c r="I770" s="169"/>
      <c r="J770" s="170"/>
      <c r="K770" s="170"/>
      <c r="L770" s="170"/>
      <c r="M770" s="167"/>
      <c r="N770" s="169"/>
      <c r="O770" s="171"/>
      <c r="P770" s="106"/>
      <c r="Q770" s="347"/>
      <c r="R770" s="106"/>
    </row>
    <row r="771" ht="29.25" customHeight="1">
      <c r="A771" s="216"/>
      <c r="B771" s="349"/>
      <c r="C771" s="350"/>
      <c r="D771" s="351"/>
      <c r="E771" s="352"/>
      <c r="F771" s="173"/>
      <c r="G771" s="168"/>
      <c r="H771" s="168"/>
      <c r="I771" s="169"/>
      <c r="J771" s="170"/>
      <c r="K771" s="170"/>
      <c r="L771" s="170"/>
      <c r="M771" s="167"/>
      <c r="N771" s="169"/>
      <c r="O771" s="171"/>
      <c r="P771" s="106"/>
      <c r="Q771" s="353"/>
      <c r="R771" s="106"/>
    </row>
    <row r="772" ht="29.25" customHeight="1">
      <c r="A772" s="216"/>
      <c r="B772" s="349"/>
      <c r="C772" s="350"/>
      <c r="D772" s="351"/>
      <c r="E772" s="340"/>
      <c r="F772" s="173"/>
      <c r="G772" s="168"/>
      <c r="H772" s="168"/>
      <c r="I772" s="169"/>
      <c r="J772" s="170"/>
      <c r="K772" s="170"/>
      <c r="L772" s="170"/>
      <c r="M772" s="167"/>
      <c r="N772" s="169"/>
      <c r="O772" s="171"/>
      <c r="P772" s="106"/>
      <c r="Q772" s="347"/>
      <c r="R772" s="106"/>
    </row>
    <row r="773" ht="29.25" customHeight="1">
      <c r="A773" s="216"/>
      <c r="B773" s="349"/>
      <c r="C773" s="350"/>
      <c r="D773" s="351"/>
      <c r="E773" s="352"/>
      <c r="F773" s="173"/>
      <c r="G773" s="168"/>
      <c r="H773" s="168"/>
      <c r="I773" s="169"/>
      <c r="J773" s="170"/>
      <c r="K773" s="170"/>
      <c r="L773" s="170"/>
      <c r="M773" s="167"/>
      <c r="N773" s="169"/>
      <c r="O773" s="171"/>
      <c r="P773" s="106"/>
      <c r="Q773" s="353"/>
      <c r="R773" s="106"/>
    </row>
    <row r="774" ht="29.25" customHeight="1">
      <c r="A774" s="216"/>
      <c r="B774" s="349"/>
      <c r="C774" s="350"/>
      <c r="D774" s="351"/>
      <c r="E774" s="340"/>
      <c r="F774" s="173"/>
      <c r="G774" s="168"/>
      <c r="H774" s="168"/>
      <c r="I774" s="169"/>
      <c r="J774" s="170"/>
      <c r="K774" s="170"/>
      <c r="L774" s="170"/>
      <c r="M774" s="167"/>
      <c r="N774" s="169"/>
      <c r="O774" s="171"/>
      <c r="P774" s="106"/>
      <c r="Q774" s="347"/>
      <c r="R774" s="106"/>
    </row>
    <row r="775" ht="29.25" customHeight="1">
      <c r="A775" s="216"/>
      <c r="B775" s="349"/>
      <c r="C775" s="350"/>
      <c r="D775" s="351"/>
      <c r="E775" s="352"/>
      <c r="F775" s="173"/>
      <c r="G775" s="168"/>
      <c r="H775" s="168"/>
      <c r="I775" s="169"/>
      <c r="J775" s="170"/>
      <c r="K775" s="170"/>
      <c r="L775" s="170"/>
      <c r="M775" s="167"/>
      <c r="N775" s="169"/>
      <c r="O775" s="171"/>
      <c r="P775" s="106"/>
      <c r="Q775" s="353"/>
      <c r="R775" s="106"/>
    </row>
    <row r="776" ht="29.25" customHeight="1">
      <c r="A776" s="216"/>
      <c r="B776" s="349"/>
      <c r="C776" s="350"/>
      <c r="D776" s="351"/>
      <c r="E776" s="340"/>
      <c r="F776" s="173"/>
      <c r="G776" s="168"/>
      <c r="H776" s="168"/>
      <c r="I776" s="169"/>
      <c r="J776" s="170"/>
      <c r="K776" s="170"/>
      <c r="L776" s="170"/>
      <c r="M776" s="167"/>
      <c r="N776" s="169"/>
      <c r="O776" s="171"/>
      <c r="P776" s="106"/>
      <c r="Q776" s="347"/>
      <c r="R776" s="106"/>
    </row>
    <row r="777" ht="29.25" customHeight="1">
      <c r="A777" s="216"/>
      <c r="B777" s="349"/>
      <c r="C777" s="350"/>
      <c r="D777" s="351"/>
      <c r="E777" s="352"/>
      <c r="F777" s="173"/>
      <c r="G777" s="168"/>
      <c r="H777" s="168"/>
      <c r="I777" s="169"/>
      <c r="J777" s="170"/>
      <c r="K777" s="170"/>
      <c r="L777" s="170"/>
      <c r="M777" s="167"/>
      <c r="N777" s="169"/>
      <c r="O777" s="171"/>
      <c r="P777" s="106"/>
      <c r="Q777" s="353"/>
      <c r="R777" s="106"/>
    </row>
    <row r="778" ht="29.25" customHeight="1">
      <c r="A778" s="216"/>
      <c r="B778" s="349"/>
      <c r="C778" s="350"/>
      <c r="D778" s="351"/>
      <c r="E778" s="340"/>
      <c r="F778" s="173"/>
      <c r="G778" s="168"/>
      <c r="H778" s="168"/>
      <c r="I778" s="169"/>
      <c r="J778" s="170"/>
      <c r="K778" s="170"/>
      <c r="L778" s="170"/>
      <c r="M778" s="167"/>
      <c r="N778" s="169"/>
      <c r="O778" s="171"/>
      <c r="P778" s="106"/>
      <c r="Q778" s="347"/>
      <c r="R778" s="106"/>
    </row>
    <row r="779" ht="29.25" customHeight="1">
      <c r="A779" s="216"/>
      <c r="B779" s="349"/>
      <c r="C779" s="350"/>
      <c r="D779" s="351"/>
      <c r="E779" s="352"/>
      <c r="F779" s="173"/>
      <c r="G779" s="168"/>
      <c r="H779" s="168"/>
      <c r="I779" s="169"/>
      <c r="J779" s="170"/>
      <c r="K779" s="170"/>
      <c r="L779" s="170"/>
      <c r="M779" s="167"/>
      <c r="N779" s="169"/>
      <c r="O779" s="171"/>
      <c r="P779" s="106"/>
      <c r="Q779" s="353"/>
      <c r="R779" s="106"/>
    </row>
    <row r="780" ht="29.25" customHeight="1">
      <c r="A780" s="216"/>
      <c r="B780" s="349"/>
      <c r="C780" s="350"/>
      <c r="D780" s="351"/>
      <c r="E780" s="340"/>
      <c r="F780" s="173"/>
      <c r="G780" s="168"/>
      <c r="H780" s="168"/>
      <c r="I780" s="169"/>
      <c r="J780" s="170"/>
      <c r="K780" s="170"/>
      <c r="L780" s="170"/>
      <c r="M780" s="167"/>
      <c r="N780" s="169"/>
      <c r="O780" s="171"/>
      <c r="P780" s="106"/>
      <c r="Q780" s="347"/>
      <c r="R780" s="106"/>
    </row>
    <row r="781" ht="29.25" customHeight="1">
      <c r="A781" s="216"/>
      <c r="B781" s="349"/>
      <c r="C781" s="350"/>
      <c r="D781" s="351"/>
      <c r="E781" s="352"/>
      <c r="F781" s="173"/>
      <c r="G781" s="168"/>
      <c r="H781" s="168"/>
      <c r="I781" s="169"/>
      <c r="J781" s="170"/>
      <c r="K781" s="170"/>
      <c r="L781" s="170"/>
      <c r="M781" s="167"/>
      <c r="N781" s="169"/>
      <c r="O781" s="171"/>
      <c r="P781" s="106"/>
      <c r="Q781" s="353"/>
      <c r="R781" s="106"/>
    </row>
    <row r="782" ht="29.25" customHeight="1">
      <c r="A782" s="216"/>
      <c r="B782" s="349"/>
      <c r="C782" s="350"/>
      <c r="D782" s="351"/>
      <c r="E782" s="340"/>
      <c r="F782" s="173"/>
      <c r="G782" s="168"/>
      <c r="H782" s="168"/>
      <c r="I782" s="169"/>
      <c r="J782" s="170"/>
      <c r="K782" s="170"/>
      <c r="L782" s="170"/>
      <c r="M782" s="167"/>
      <c r="N782" s="169"/>
      <c r="O782" s="171"/>
      <c r="P782" s="106"/>
      <c r="Q782" s="347"/>
      <c r="R782" s="106"/>
    </row>
    <row r="783" ht="29.25" customHeight="1">
      <c r="A783" s="216"/>
      <c r="B783" s="349"/>
      <c r="C783" s="350"/>
      <c r="D783" s="351"/>
      <c r="E783" s="352"/>
      <c r="F783" s="173"/>
      <c r="G783" s="168"/>
      <c r="H783" s="168"/>
      <c r="I783" s="169"/>
      <c r="J783" s="170"/>
      <c r="K783" s="170"/>
      <c r="L783" s="170"/>
      <c r="M783" s="167"/>
      <c r="N783" s="169"/>
      <c r="O783" s="171"/>
      <c r="P783" s="106"/>
      <c r="Q783" s="353"/>
      <c r="R783" s="106"/>
    </row>
    <row r="784" ht="29.25" customHeight="1">
      <c r="A784" s="216"/>
      <c r="B784" s="349"/>
      <c r="C784" s="350"/>
      <c r="D784" s="351"/>
      <c r="E784" s="340"/>
      <c r="F784" s="173"/>
      <c r="G784" s="168"/>
      <c r="H784" s="168"/>
      <c r="I784" s="169"/>
      <c r="J784" s="170"/>
      <c r="K784" s="170"/>
      <c r="L784" s="170"/>
      <c r="M784" s="167"/>
      <c r="N784" s="169"/>
      <c r="O784" s="171"/>
      <c r="P784" s="106"/>
      <c r="Q784" s="347"/>
      <c r="R784" s="106"/>
    </row>
    <row r="785" ht="29.25" customHeight="1">
      <c r="A785" s="216"/>
      <c r="B785" s="349"/>
      <c r="C785" s="350"/>
      <c r="D785" s="351"/>
      <c r="E785" s="352"/>
      <c r="F785" s="173"/>
      <c r="G785" s="168"/>
      <c r="H785" s="168"/>
      <c r="I785" s="169"/>
      <c r="J785" s="170"/>
      <c r="K785" s="170"/>
      <c r="L785" s="170"/>
      <c r="M785" s="167"/>
      <c r="N785" s="169"/>
      <c r="O785" s="171"/>
      <c r="P785" s="106"/>
      <c r="Q785" s="353"/>
      <c r="R785" s="106"/>
    </row>
    <row r="786" ht="29.25" customHeight="1">
      <c r="A786" s="216"/>
      <c r="B786" s="349"/>
      <c r="C786" s="350"/>
      <c r="D786" s="351"/>
      <c r="E786" s="340"/>
      <c r="F786" s="173"/>
      <c r="G786" s="168"/>
      <c r="H786" s="168"/>
      <c r="I786" s="169"/>
      <c r="J786" s="170"/>
      <c r="K786" s="170"/>
      <c r="L786" s="170"/>
      <c r="M786" s="167"/>
      <c r="N786" s="169"/>
      <c r="O786" s="171"/>
      <c r="P786" s="106"/>
      <c r="Q786" s="347"/>
      <c r="R786" s="106"/>
    </row>
    <row r="787" ht="29.25" customHeight="1">
      <c r="A787" s="216"/>
      <c r="B787" s="349"/>
      <c r="C787" s="350"/>
      <c r="D787" s="351"/>
      <c r="E787" s="352"/>
      <c r="F787" s="173"/>
      <c r="G787" s="168"/>
      <c r="H787" s="168"/>
      <c r="I787" s="169"/>
      <c r="J787" s="170"/>
      <c r="K787" s="170"/>
      <c r="L787" s="170"/>
      <c r="M787" s="167"/>
      <c r="N787" s="169"/>
      <c r="O787" s="171"/>
      <c r="P787" s="106"/>
      <c r="Q787" s="353"/>
      <c r="R787" s="106"/>
    </row>
    <row r="788" ht="29.25" customHeight="1">
      <c r="A788" s="216"/>
      <c r="B788" s="349"/>
      <c r="C788" s="350"/>
      <c r="D788" s="351"/>
      <c r="E788" s="340"/>
      <c r="F788" s="173"/>
      <c r="G788" s="168"/>
      <c r="H788" s="168"/>
      <c r="I788" s="169"/>
      <c r="J788" s="170"/>
      <c r="K788" s="170"/>
      <c r="L788" s="170"/>
      <c r="M788" s="167"/>
      <c r="N788" s="169"/>
      <c r="O788" s="171"/>
      <c r="P788" s="106"/>
      <c r="Q788" s="347"/>
      <c r="R788" s="106"/>
    </row>
    <row r="789" ht="29.25" customHeight="1">
      <c r="A789" s="216"/>
      <c r="B789" s="349"/>
      <c r="C789" s="350"/>
      <c r="D789" s="351"/>
      <c r="E789" s="352"/>
      <c r="F789" s="173"/>
      <c r="G789" s="168"/>
      <c r="H789" s="168"/>
      <c r="I789" s="169"/>
      <c r="J789" s="170"/>
      <c r="K789" s="170"/>
      <c r="L789" s="170"/>
      <c r="M789" s="167"/>
      <c r="N789" s="169"/>
      <c r="O789" s="171"/>
      <c r="P789" s="106"/>
      <c r="Q789" s="353"/>
      <c r="R789" s="106"/>
    </row>
    <row r="790" ht="29.25" customHeight="1">
      <c r="A790" s="216"/>
      <c r="B790" s="349"/>
      <c r="C790" s="350"/>
      <c r="D790" s="351"/>
      <c r="E790" s="340"/>
      <c r="F790" s="173"/>
      <c r="G790" s="168"/>
      <c r="H790" s="168"/>
      <c r="I790" s="169"/>
      <c r="J790" s="170"/>
      <c r="K790" s="170"/>
      <c r="L790" s="170"/>
      <c r="M790" s="167"/>
      <c r="N790" s="169"/>
      <c r="O790" s="171"/>
      <c r="P790" s="106"/>
      <c r="Q790" s="347"/>
      <c r="R790" s="106"/>
    </row>
    <row r="791" ht="29.25" customHeight="1">
      <c r="A791" s="216"/>
      <c r="B791" s="349"/>
      <c r="C791" s="350"/>
      <c r="D791" s="351"/>
      <c r="E791" s="352"/>
      <c r="F791" s="173"/>
      <c r="G791" s="168"/>
      <c r="H791" s="168"/>
      <c r="I791" s="169"/>
      <c r="J791" s="170"/>
      <c r="K791" s="170"/>
      <c r="L791" s="170"/>
      <c r="M791" s="167"/>
      <c r="N791" s="169"/>
      <c r="O791" s="171"/>
      <c r="P791" s="106"/>
      <c r="Q791" s="353"/>
      <c r="R791" s="106"/>
    </row>
    <row r="792" ht="29.25" customHeight="1">
      <c r="A792" s="216"/>
      <c r="B792" s="349"/>
      <c r="C792" s="350"/>
      <c r="D792" s="351"/>
      <c r="E792" s="340"/>
      <c r="F792" s="173"/>
      <c r="G792" s="168"/>
      <c r="H792" s="168"/>
      <c r="I792" s="169"/>
      <c r="J792" s="170"/>
      <c r="K792" s="170"/>
      <c r="L792" s="170"/>
      <c r="M792" s="167"/>
      <c r="N792" s="169"/>
      <c r="O792" s="171"/>
      <c r="P792" s="106"/>
      <c r="Q792" s="347"/>
      <c r="R792" s="106"/>
    </row>
    <row r="793" ht="29.25" customHeight="1">
      <c r="A793" s="216"/>
      <c r="B793" s="349"/>
      <c r="C793" s="350"/>
      <c r="D793" s="351"/>
      <c r="E793" s="352"/>
      <c r="F793" s="173"/>
      <c r="G793" s="168"/>
      <c r="H793" s="168"/>
      <c r="I793" s="169"/>
      <c r="J793" s="170"/>
      <c r="K793" s="170"/>
      <c r="L793" s="170"/>
      <c r="M793" s="167"/>
      <c r="N793" s="169"/>
      <c r="O793" s="171"/>
      <c r="P793" s="106"/>
      <c r="Q793" s="353"/>
      <c r="R793" s="106"/>
    </row>
    <row r="794" ht="29.25" customHeight="1">
      <c r="A794" s="216"/>
      <c r="B794" s="349"/>
      <c r="C794" s="350"/>
      <c r="D794" s="351"/>
      <c r="E794" s="340"/>
      <c r="F794" s="173"/>
      <c r="G794" s="168"/>
      <c r="H794" s="168"/>
      <c r="I794" s="169"/>
      <c r="J794" s="170"/>
      <c r="K794" s="170"/>
      <c r="L794" s="170"/>
      <c r="M794" s="167"/>
      <c r="N794" s="169"/>
      <c r="O794" s="171"/>
      <c r="P794" s="106"/>
      <c r="Q794" s="347"/>
      <c r="R794" s="106"/>
    </row>
    <row r="795" ht="29.25" customHeight="1">
      <c r="A795" s="216"/>
      <c r="B795" s="349"/>
      <c r="C795" s="350"/>
      <c r="D795" s="351"/>
      <c r="E795" s="352"/>
      <c r="F795" s="173"/>
      <c r="G795" s="168"/>
      <c r="H795" s="168"/>
      <c r="I795" s="169"/>
      <c r="J795" s="170"/>
      <c r="K795" s="170"/>
      <c r="L795" s="170"/>
      <c r="M795" s="167"/>
      <c r="N795" s="169"/>
      <c r="O795" s="171"/>
      <c r="P795" s="106"/>
      <c r="Q795" s="353"/>
      <c r="R795" s="106"/>
    </row>
    <row r="796" ht="29.25" customHeight="1">
      <c r="A796" s="216"/>
      <c r="B796" s="349"/>
      <c r="C796" s="350"/>
      <c r="D796" s="351"/>
      <c r="E796" s="340"/>
      <c r="F796" s="173"/>
      <c r="G796" s="168"/>
      <c r="H796" s="168"/>
      <c r="I796" s="169"/>
      <c r="J796" s="170"/>
      <c r="K796" s="170"/>
      <c r="L796" s="170"/>
      <c r="M796" s="167"/>
      <c r="N796" s="169"/>
      <c r="O796" s="171"/>
      <c r="P796" s="106"/>
      <c r="Q796" s="347"/>
      <c r="R796" s="106"/>
    </row>
    <row r="797" ht="29.25" customHeight="1">
      <c r="A797" s="216"/>
      <c r="B797" s="349"/>
      <c r="C797" s="350"/>
      <c r="D797" s="351"/>
      <c r="E797" s="352"/>
      <c r="F797" s="173"/>
      <c r="G797" s="168"/>
      <c r="H797" s="168"/>
      <c r="I797" s="169"/>
      <c r="J797" s="170"/>
      <c r="K797" s="170"/>
      <c r="L797" s="170"/>
      <c r="M797" s="167"/>
      <c r="N797" s="169"/>
      <c r="O797" s="171"/>
      <c r="P797" s="106"/>
      <c r="Q797" s="353"/>
      <c r="R797" s="106"/>
    </row>
    <row r="798" ht="29.25" customHeight="1">
      <c r="A798" s="216"/>
      <c r="B798" s="349"/>
      <c r="C798" s="350"/>
      <c r="D798" s="351"/>
      <c r="E798" s="340"/>
      <c r="F798" s="173"/>
      <c r="G798" s="168"/>
      <c r="H798" s="168"/>
      <c r="I798" s="169"/>
      <c r="J798" s="170"/>
      <c r="K798" s="170"/>
      <c r="L798" s="170"/>
      <c r="M798" s="167"/>
      <c r="N798" s="169"/>
      <c r="O798" s="171"/>
      <c r="P798" s="106"/>
      <c r="Q798" s="347"/>
      <c r="R798" s="106"/>
    </row>
    <row r="799" ht="29.25" customHeight="1">
      <c r="A799" s="216"/>
      <c r="B799" s="349"/>
      <c r="C799" s="350"/>
      <c r="D799" s="351"/>
      <c r="E799" s="352"/>
      <c r="F799" s="173"/>
      <c r="G799" s="168"/>
      <c r="H799" s="168"/>
      <c r="I799" s="169"/>
      <c r="J799" s="170"/>
      <c r="K799" s="170"/>
      <c r="L799" s="170"/>
      <c r="M799" s="167"/>
      <c r="N799" s="169"/>
      <c r="O799" s="171"/>
      <c r="P799" s="106"/>
      <c r="Q799" s="353"/>
      <c r="R799" s="106"/>
    </row>
    <row r="800" ht="29.25" customHeight="1">
      <c r="A800" s="216"/>
      <c r="B800" s="349"/>
      <c r="C800" s="350"/>
      <c r="D800" s="351"/>
      <c r="E800" s="340"/>
      <c r="F800" s="173"/>
      <c r="G800" s="168"/>
      <c r="H800" s="168"/>
      <c r="I800" s="169"/>
      <c r="J800" s="170"/>
      <c r="K800" s="170"/>
      <c r="L800" s="170"/>
      <c r="M800" s="167"/>
      <c r="N800" s="169"/>
      <c r="O800" s="171"/>
      <c r="P800" s="106"/>
      <c r="Q800" s="347"/>
      <c r="R800" s="106"/>
    </row>
    <row r="801" ht="29.25" customHeight="1">
      <c r="A801" s="216"/>
      <c r="B801" s="349"/>
      <c r="C801" s="350"/>
      <c r="D801" s="351"/>
      <c r="E801" s="352"/>
      <c r="F801" s="173"/>
      <c r="G801" s="168"/>
      <c r="H801" s="168"/>
      <c r="I801" s="169"/>
      <c r="J801" s="170"/>
      <c r="K801" s="170"/>
      <c r="L801" s="170"/>
      <c r="M801" s="167"/>
      <c r="N801" s="169"/>
      <c r="O801" s="171"/>
      <c r="P801" s="106"/>
      <c r="Q801" s="353"/>
      <c r="R801" s="106"/>
    </row>
    <row r="802" ht="29.25" customHeight="1">
      <c r="A802" s="216"/>
      <c r="B802" s="349"/>
      <c r="C802" s="350"/>
      <c r="D802" s="351"/>
      <c r="E802" s="340"/>
      <c r="F802" s="173"/>
      <c r="G802" s="168"/>
      <c r="H802" s="168"/>
      <c r="I802" s="169"/>
      <c r="J802" s="170"/>
      <c r="K802" s="170"/>
      <c r="L802" s="170"/>
      <c r="M802" s="167"/>
      <c r="N802" s="169"/>
      <c r="O802" s="171"/>
      <c r="P802" s="106"/>
      <c r="Q802" s="347"/>
      <c r="R802" s="106"/>
    </row>
    <row r="803" ht="29.25" customHeight="1">
      <c r="A803" s="216"/>
      <c r="B803" s="349"/>
      <c r="C803" s="350"/>
      <c r="D803" s="351"/>
      <c r="E803" s="352"/>
      <c r="F803" s="173"/>
      <c r="G803" s="168"/>
      <c r="H803" s="168"/>
      <c r="I803" s="169"/>
      <c r="J803" s="170"/>
      <c r="K803" s="170"/>
      <c r="L803" s="170"/>
      <c r="M803" s="167"/>
      <c r="N803" s="169"/>
      <c r="O803" s="171"/>
      <c r="P803" s="106"/>
      <c r="Q803" s="353"/>
      <c r="R803" s="106"/>
    </row>
    <row r="804" ht="29.25" customHeight="1">
      <c r="A804" s="216"/>
      <c r="B804" s="349"/>
      <c r="C804" s="350"/>
      <c r="D804" s="351"/>
      <c r="E804" s="340"/>
      <c r="F804" s="173"/>
      <c r="G804" s="168"/>
      <c r="H804" s="168"/>
      <c r="I804" s="169"/>
      <c r="J804" s="170"/>
      <c r="K804" s="170"/>
      <c r="L804" s="170"/>
      <c r="M804" s="167"/>
      <c r="N804" s="169"/>
      <c r="O804" s="171"/>
      <c r="P804" s="106"/>
      <c r="Q804" s="347"/>
      <c r="R804" s="106"/>
    </row>
    <row r="805" ht="29.25" customHeight="1">
      <c r="A805" s="216"/>
      <c r="B805" s="349"/>
      <c r="C805" s="350"/>
      <c r="D805" s="351"/>
      <c r="E805" s="352"/>
      <c r="F805" s="173"/>
      <c r="G805" s="168"/>
      <c r="H805" s="168"/>
      <c r="I805" s="169"/>
      <c r="J805" s="170"/>
      <c r="K805" s="170"/>
      <c r="L805" s="170"/>
      <c r="M805" s="167"/>
      <c r="N805" s="169"/>
      <c r="O805" s="171"/>
      <c r="P805" s="106"/>
      <c r="Q805" s="353"/>
      <c r="R805" s="106"/>
    </row>
    <row r="806" ht="29.25" customHeight="1">
      <c r="A806" s="216"/>
      <c r="B806" s="349"/>
      <c r="C806" s="350"/>
      <c r="D806" s="351"/>
      <c r="E806" s="340"/>
      <c r="F806" s="173"/>
      <c r="G806" s="168"/>
      <c r="H806" s="168"/>
      <c r="I806" s="169"/>
      <c r="J806" s="170"/>
      <c r="K806" s="170"/>
      <c r="L806" s="170"/>
      <c r="M806" s="167"/>
      <c r="N806" s="169"/>
      <c r="O806" s="171"/>
      <c r="P806" s="106"/>
      <c r="Q806" s="347"/>
      <c r="R806" s="106"/>
    </row>
    <row r="807" ht="29.25" customHeight="1">
      <c r="A807" s="216"/>
      <c r="B807" s="349"/>
      <c r="C807" s="350"/>
      <c r="D807" s="351"/>
      <c r="E807" s="352"/>
      <c r="F807" s="173"/>
      <c r="G807" s="168"/>
      <c r="H807" s="168"/>
      <c r="I807" s="169"/>
      <c r="J807" s="170"/>
      <c r="K807" s="170"/>
      <c r="L807" s="170"/>
      <c r="M807" s="167"/>
      <c r="N807" s="169"/>
      <c r="O807" s="171"/>
      <c r="P807" s="106"/>
      <c r="Q807" s="353"/>
      <c r="R807" s="106"/>
    </row>
    <row r="808" ht="29.25" customHeight="1">
      <c r="A808" s="216"/>
      <c r="B808" s="349"/>
      <c r="C808" s="350"/>
      <c r="D808" s="351"/>
      <c r="E808" s="340"/>
      <c r="F808" s="173"/>
      <c r="G808" s="168"/>
      <c r="H808" s="168"/>
      <c r="I808" s="169"/>
      <c r="J808" s="170"/>
      <c r="K808" s="170"/>
      <c r="L808" s="170"/>
      <c r="M808" s="167"/>
      <c r="N808" s="169"/>
      <c r="O808" s="171"/>
      <c r="P808" s="106"/>
      <c r="Q808" s="347"/>
      <c r="R808" s="106"/>
    </row>
    <row r="809" ht="29.25" customHeight="1">
      <c r="A809" s="216"/>
      <c r="B809" s="349"/>
      <c r="C809" s="350"/>
      <c r="D809" s="351"/>
      <c r="E809" s="352"/>
      <c r="F809" s="173"/>
      <c r="G809" s="168"/>
      <c r="H809" s="168"/>
      <c r="I809" s="169"/>
      <c r="J809" s="170"/>
      <c r="K809" s="170"/>
      <c r="L809" s="170"/>
      <c r="M809" s="167"/>
      <c r="N809" s="169"/>
      <c r="O809" s="171"/>
      <c r="P809" s="106"/>
      <c r="Q809" s="353"/>
      <c r="R809" s="106"/>
    </row>
    <row r="810" ht="29.25" customHeight="1">
      <c r="A810" s="216"/>
      <c r="B810" s="349"/>
      <c r="C810" s="350"/>
      <c r="D810" s="351"/>
      <c r="E810" s="340"/>
      <c r="F810" s="173"/>
      <c r="G810" s="168"/>
      <c r="H810" s="168"/>
      <c r="I810" s="169"/>
      <c r="J810" s="170"/>
      <c r="K810" s="170"/>
      <c r="L810" s="170"/>
      <c r="M810" s="167"/>
      <c r="N810" s="169"/>
      <c r="O810" s="171"/>
      <c r="P810" s="106"/>
      <c r="Q810" s="347"/>
      <c r="R810" s="106"/>
    </row>
    <row r="811" ht="29.25" customHeight="1">
      <c r="A811" s="216"/>
      <c r="B811" s="349"/>
      <c r="C811" s="350"/>
      <c r="D811" s="351"/>
      <c r="E811" s="352"/>
      <c r="F811" s="173"/>
      <c r="G811" s="168"/>
      <c r="H811" s="168"/>
      <c r="I811" s="169"/>
      <c r="J811" s="170"/>
      <c r="K811" s="170"/>
      <c r="L811" s="170"/>
      <c r="M811" s="167"/>
      <c r="N811" s="169"/>
      <c r="O811" s="171"/>
      <c r="P811" s="106"/>
      <c r="Q811" s="353"/>
      <c r="R811" s="106"/>
    </row>
    <row r="812" ht="29.25" customHeight="1">
      <c r="A812" s="216"/>
      <c r="B812" s="349"/>
      <c r="C812" s="350"/>
      <c r="D812" s="351"/>
      <c r="E812" s="340"/>
      <c r="F812" s="173"/>
      <c r="G812" s="168"/>
      <c r="H812" s="168"/>
      <c r="I812" s="169"/>
      <c r="J812" s="170"/>
      <c r="K812" s="170"/>
      <c r="L812" s="170"/>
      <c r="M812" s="167"/>
      <c r="N812" s="169"/>
      <c r="O812" s="171"/>
      <c r="P812" s="106"/>
      <c r="Q812" s="347"/>
      <c r="R812" s="106"/>
    </row>
    <row r="813" ht="29.25" customHeight="1">
      <c r="A813" s="216"/>
      <c r="B813" s="349"/>
      <c r="C813" s="350"/>
      <c r="D813" s="351"/>
      <c r="E813" s="352"/>
      <c r="F813" s="173"/>
      <c r="G813" s="168"/>
      <c r="H813" s="168"/>
      <c r="I813" s="169"/>
      <c r="J813" s="170"/>
      <c r="K813" s="170"/>
      <c r="L813" s="170"/>
      <c r="M813" s="167"/>
      <c r="N813" s="169"/>
      <c r="O813" s="171"/>
      <c r="P813" s="106"/>
      <c r="Q813" s="353"/>
      <c r="R813" s="106"/>
    </row>
    <row r="814" ht="29.25" customHeight="1">
      <c r="A814" s="216"/>
      <c r="B814" s="349"/>
      <c r="C814" s="350"/>
      <c r="D814" s="351"/>
      <c r="E814" s="340"/>
      <c r="F814" s="173"/>
      <c r="G814" s="168"/>
      <c r="H814" s="168"/>
      <c r="I814" s="169"/>
      <c r="J814" s="170"/>
      <c r="K814" s="170"/>
      <c r="L814" s="170"/>
      <c r="M814" s="167"/>
      <c r="N814" s="169"/>
      <c r="O814" s="171"/>
      <c r="P814" s="106"/>
      <c r="Q814" s="347"/>
      <c r="R814" s="106"/>
    </row>
    <row r="815" ht="29.25" customHeight="1">
      <c r="A815" s="216"/>
      <c r="B815" s="349"/>
      <c r="C815" s="350"/>
      <c r="D815" s="351"/>
      <c r="E815" s="352"/>
      <c r="F815" s="173"/>
      <c r="G815" s="168"/>
      <c r="H815" s="168"/>
      <c r="I815" s="169"/>
      <c r="J815" s="170"/>
      <c r="K815" s="170"/>
      <c r="L815" s="170"/>
      <c r="M815" s="167"/>
      <c r="N815" s="169"/>
      <c r="O815" s="171"/>
      <c r="P815" s="106"/>
      <c r="Q815" s="353"/>
      <c r="R815" s="106"/>
    </row>
    <row r="816" ht="29.25" customHeight="1">
      <c r="A816" s="216"/>
      <c r="B816" s="349"/>
      <c r="C816" s="350"/>
      <c r="D816" s="351"/>
      <c r="E816" s="340"/>
      <c r="F816" s="173"/>
      <c r="G816" s="168"/>
      <c r="H816" s="168"/>
      <c r="I816" s="169"/>
      <c r="J816" s="170"/>
      <c r="K816" s="170"/>
      <c r="L816" s="170"/>
      <c r="M816" s="167"/>
      <c r="N816" s="169"/>
      <c r="O816" s="171"/>
      <c r="P816" s="106"/>
      <c r="Q816" s="347"/>
      <c r="R816" s="106"/>
    </row>
    <row r="817" ht="29.25" customHeight="1">
      <c r="A817" s="216"/>
      <c r="B817" s="349"/>
      <c r="C817" s="350"/>
      <c r="D817" s="351"/>
      <c r="E817" s="352"/>
      <c r="F817" s="173"/>
      <c r="G817" s="168"/>
      <c r="H817" s="168"/>
      <c r="I817" s="169"/>
      <c r="J817" s="170"/>
      <c r="K817" s="170"/>
      <c r="L817" s="170"/>
      <c r="M817" s="167"/>
      <c r="N817" s="169"/>
      <c r="O817" s="171"/>
      <c r="P817" s="106"/>
      <c r="Q817" s="353"/>
      <c r="R817" s="106"/>
    </row>
    <row r="818" ht="29.25" customHeight="1">
      <c r="A818" s="216"/>
      <c r="B818" s="349"/>
      <c r="C818" s="350"/>
      <c r="D818" s="351"/>
      <c r="E818" s="340"/>
      <c r="F818" s="173"/>
      <c r="G818" s="168"/>
      <c r="H818" s="168"/>
      <c r="I818" s="169"/>
      <c r="J818" s="170"/>
      <c r="K818" s="170"/>
      <c r="L818" s="170"/>
      <c r="M818" s="167"/>
      <c r="N818" s="169"/>
      <c r="O818" s="171"/>
      <c r="P818" s="106"/>
      <c r="Q818" s="347"/>
      <c r="R818" s="106"/>
    </row>
    <row r="819" ht="29.25" customHeight="1">
      <c r="A819" s="216"/>
      <c r="B819" s="349"/>
      <c r="C819" s="350"/>
      <c r="D819" s="351"/>
      <c r="E819" s="352"/>
      <c r="F819" s="173"/>
      <c r="G819" s="168"/>
      <c r="H819" s="168"/>
      <c r="I819" s="169"/>
      <c r="J819" s="170"/>
      <c r="K819" s="170"/>
      <c r="L819" s="170"/>
      <c r="M819" s="167"/>
      <c r="N819" s="169"/>
      <c r="O819" s="171"/>
      <c r="P819" s="106"/>
      <c r="Q819" s="353"/>
      <c r="R819" s="106"/>
    </row>
    <row r="820" ht="29.25" customHeight="1">
      <c r="A820" s="216"/>
      <c r="B820" s="349"/>
      <c r="C820" s="350"/>
      <c r="D820" s="351"/>
      <c r="E820" s="340"/>
      <c r="F820" s="173"/>
      <c r="G820" s="168"/>
      <c r="H820" s="168"/>
      <c r="I820" s="169"/>
      <c r="J820" s="170"/>
      <c r="K820" s="170"/>
      <c r="L820" s="170"/>
      <c r="M820" s="167"/>
      <c r="N820" s="169"/>
      <c r="O820" s="171"/>
      <c r="P820" s="106"/>
      <c r="Q820" s="347"/>
      <c r="R820" s="106"/>
    </row>
    <row r="821" ht="29.25" customHeight="1">
      <c r="A821" s="216"/>
      <c r="B821" s="349"/>
      <c r="C821" s="350"/>
      <c r="D821" s="351"/>
      <c r="E821" s="352"/>
      <c r="F821" s="173"/>
      <c r="G821" s="168"/>
      <c r="H821" s="168"/>
      <c r="I821" s="169"/>
      <c r="J821" s="170"/>
      <c r="K821" s="170"/>
      <c r="L821" s="170"/>
      <c r="M821" s="167"/>
      <c r="N821" s="169"/>
      <c r="O821" s="171"/>
      <c r="P821" s="106"/>
      <c r="Q821" s="353"/>
      <c r="R821" s="106"/>
    </row>
    <row r="822" ht="29.25" customHeight="1">
      <c r="A822" s="216"/>
      <c r="B822" s="349"/>
      <c r="C822" s="350"/>
      <c r="D822" s="351"/>
      <c r="E822" s="340"/>
      <c r="F822" s="173"/>
      <c r="G822" s="168"/>
      <c r="H822" s="168"/>
      <c r="I822" s="169"/>
      <c r="J822" s="170"/>
      <c r="K822" s="170"/>
      <c r="L822" s="170"/>
      <c r="M822" s="167"/>
      <c r="N822" s="169"/>
      <c r="O822" s="171"/>
      <c r="P822" s="106"/>
      <c r="Q822" s="347"/>
      <c r="R822" s="106"/>
    </row>
    <row r="823" ht="29.25" customHeight="1">
      <c r="A823" s="216"/>
      <c r="B823" s="349"/>
      <c r="C823" s="350"/>
      <c r="D823" s="351"/>
      <c r="E823" s="352"/>
      <c r="F823" s="173"/>
      <c r="G823" s="168"/>
      <c r="H823" s="168"/>
      <c r="I823" s="169"/>
      <c r="J823" s="170"/>
      <c r="K823" s="170"/>
      <c r="L823" s="170"/>
      <c r="M823" s="167"/>
      <c r="N823" s="169"/>
      <c r="O823" s="171"/>
      <c r="P823" s="106"/>
      <c r="Q823" s="353"/>
      <c r="R823" s="106"/>
    </row>
    <row r="824" ht="29.25" customHeight="1">
      <c r="A824" s="216"/>
      <c r="B824" s="349"/>
      <c r="C824" s="350"/>
      <c r="D824" s="351"/>
      <c r="E824" s="340"/>
      <c r="F824" s="173"/>
      <c r="G824" s="168"/>
      <c r="H824" s="168"/>
      <c r="I824" s="169"/>
      <c r="J824" s="170"/>
      <c r="K824" s="170"/>
      <c r="L824" s="170"/>
      <c r="M824" s="167"/>
      <c r="N824" s="169"/>
      <c r="O824" s="171"/>
      <c r="P824" s="106"/>
      <c r="Q824" s="347"/>
      <c r="R824" s="106"/>
    </row>
    <row r="825" ht="29.25" customHeight="1">
      <c r="A825" s="216"/>
      <c r="B825" s="349"/>
      <c r="C825" s="350"/>
      <c r="D825" s="351"/>
      <c r="E825" s="352"/>
      <c r="F825" s="173"/>
      <c r="G825" s="168"/>
      <c r="H825" s="168"/>
      <c r="I825" s="169"/>
      <c r="J825" s="170"/>
      <c r="K825" s="170"/>
      <c r="L825" s="170"/>
      <c r="M825" s="167"/>
      <c r="N825" s="169"/>
      <c r="O825" s="171"/>
      <c r="P825" s="106"/>
      <c r="Q825" s="353"/>
      <c r="R825" s="106"/>
    </row>
    <row r="826" ht="29.25" customHeight="1">
      <c r="A826" s="216"/>
      <c r="B826" s="349"/>
      <c r="C826" s="350"/>
      <c r="D826" s="351"/>
      <c r="E826" s="340"/>
      <c r="F826" s="173"/>
      <c r="G826" s="168"/>
      <c r="H826" s="168"/>
      <c r="I826" s="169"/>
      <c r="J826" s="170"/>
      <c r="K826" s="170"/>
      <c r="L826" s="170"/>
      <c r="M826" s="167"/>
      <c r="N826" s="169"/>
      <c r="O826" s="171"/>
      <c r="P826" s="106"/>
      <c r="Q826" s="347"/>
      <c r="R826" s="106"/>
    </row>
    <row r="827" ht="29.25" customHeight="1">
      <c r="A827" s="216"/>
      <c r="B827" s="349"/>
      <c r="C827" s="350"/>
      <c r="D827" s="351"/>
      <c r="E827" s="352"/>
      <c r="F827" s="173"/>
      <c r="G827" s="168"/>
      <c r="H827" s="168"/>
      <c r="I827" s="169"/>
      <c r="J827" s="170"/>
      <c r="K827" s="170"/>
      <c r="L827" s="170"/>
      <c r="M827" s="167"/>
      <c r="N827" s="169"/>
      <c r="O827" s="171"/>
      <c r="P827" s="106"/>
      <c r="Q827" s="353"/>
      <c r="R827" s="106"/>
    </row>
    <row r="828" ht="29.25" customHeight="1">
      <c r="A828" s="216"/>
      <c r="B828" s="349"/>
      <c r="C828" s="350"/>
      <c r="D828" s="351"/>
      <c r="E828" s="340"/>
      <c r="F828" s="173"/>
      <c r="G828" s="168"/>
      <c r="H828" s="168"/>
      <c r="I828" s="169"/>
      <c r="J828" s="170"/>
      <c r="K828" s="170"/>
      <c r="L828" s="170"/>
      <c r="M828" s="167"/>
      <c r="N828" s="169"/>
      <c r="O828" s="171"/>
      <c r="P828" s="106"/>
      <c r="Q828" s="347"/>
      <c r="R828" s="106"/>
    </row>
    <row r="829" ht="29.25" customHeight="1">
      <c r="A829" s="216"/>
      <c r="B829" s="349"/>
      <c r="C829" s="350"/>
      <c r="D829" s="351"/>
      <c r="E829" s="352"/>
      <c r="F829" s="173"/>
      <c r="G829" s="168"/>
      <c r="H829" s="168"/>
      <c r="I829" s="169"/>
      <c r="J829" s="170"/>
      <c r="K829" s="170"/>
      <c r="L829" s="170"/>
      <c r="M829" s="167"/>
      <c r="N829" s="169"/>
      <c r="O829" s="171"/>
      <c r="P829" s="106"/>
      <c r="Q829" s="353"/>
      <c r="R829" s="106"/>
    </row>
    <row r="830" ht="29.25" customHeight="1">
      <c r="A830" s="216"/>
      <c r="B830" s="349"/>
      <c r="C830" s="350"/>
      <c r="D830" s="351"/>
      <c r="E830" s="340"/>
      <c r="F830" s="173"/>
      <c r="G830" s="168"/>
      <c r="H830" s="168"/>
      <c r="I830" s="169"/>
      <c r="J830" s="170"/>
      <c r="K830" s="170"/>
      <c r="L830" s="170"/>
      <c r="M830" s="167"/>
      <c r="N830" s="169"/>
      <c r="O830" s="171"/>
      <c r="P830" s="106"/>
      <c r="Q830" s="347"/>
      <c r="R830" s="106"/>
    </row>
    <row r="831" ht="29.25" customHeight="1">
      <c r="A831" s="216"/>
      <c r="B831" s="349"/>
      <c r="C831" s="350"/>
      <c r="D831" s="351"/>
      <c r="E831" s="352"/>
      <c r="F831" s="173"/>
      <c r="G831" s="168"/>
      <c r="H831" s="168"/>
      <c r="I831" s="169"/>
      <c r="J831" s="170"/>
      <c r="K831" s="170"/>
      <c r="L831" s="170"/>
      <c r="M831" s="167"/>
      <c r="N831" s="169"/>
      <c r="O831" s="171"/>
      <c r="P831" s="106"/>
      <c r="Q831" s="353"/>
      <c r="R831" s="106"/>
    </row>
    <row r="832" ht="29.25" customHeight="1">
      <c r="A832" s="216"/>
      <c r="B832" s="349"/>
      <c r="C832" s="350"/>
      <c r="D832" s="351"/>
      <c r="E832" s="340"/>
      <c r="F832" s="173"/>
      <c r="G832" s="168"/>
      <c r="H832" s="168"/>
      <c r="I832" s="169"/>
      <c r="J832" s="170"/>
      <c r="K832" s="170"/>
      <c r="L832" s="170"/>
      <c r="M832" s="167"/>
      <c r="N832" s="169"/>
      <c r="O832" s="171"/>
      <c r="P832" s="106"/>
      <c r="Q832" s="347"/>
      <c r="R832" s="106"/>
    </row>
    <row r="833" ht="29.25" customHeight="1">
      <c r="A833" s="216"/>
      <c r="B833" s="349"/>
      <c r="C833" s="350"/>
      <c r="D833" s="351"/>
      <c r="E833" s="352"/>
      <c r="F833" s="173"/>
      <c r="G833" s="168"/>
      <c r="H833" s="168"/>
      <c r="I833" s="169"/>
      <c r="J833" s="170"/>
      <c r="K833" s="170"/>
      <c r="L833" s="170"/>
      <c r="M833" s="167"/>
      <c r="N833" s="169"/>
      <c r="O833" s="171"/>
      <c r="P833" s="106"/>
      <c r="Q833" s="353"/>
      <c r="R833" s="106"/>
    </row>
    <row r="834" ht="29.25" customHeight="1">
      <c r="A834" s="216"/>
      <c r="B834" s="349"/>
      <c r="C834" s="350"/>
      <c r="D834" s="351"/>
      <c r="E834" s="340"/>
      <c r="F834" s="173"/>
      <c r="G834" s="168"/>
      <c r="H834" s="168"/>
      <c r="I834" s="169"/>
      <c r="J834" s="170"/>
      <c r="K834" s="170"/>
      <c r="L834" s="170"/>
      <c r="M834" s="167"/>
      <c r="N834" s="169"/>
      <c r="O834" s="171"/>
      <c r="P834" s="106"/>
      <c r="Q834" s="347"/>
      <c r="R834" s="106"/>
    </row>
    <row r="835" ht="29.25" customHeight="1">
      <c r="A835" s="216"/>
      <c r="B835" s="349"/>
      <c r="C835" s="350"/>
      <c r="D835" s="351"/>
      <c r="E835" s="352"/>
      <c r="F835" s="173"/>
      <c r="G835" s="168"/>
      <c r="H835" s="168"/>
      <c r="I835" s="169"/>
      <c r="J835" s="170"/>
      <c r="K835" s="170"/>
      <c r="L835" s="170"/>
      <c r="M835" s="167"/>
      <c r="N835" s="169"/>
      <c r="O835" s="171"/>
      <c r="P835" s="106"/>
      <c r="Q835" s="353"/>
      <c r="R835" s="106"/>
    </row>
    <row r="836" ht="29.25" customHeight="1">
      <c r="A836" s="216"/>
      <c r="B836" s="349"/>
      <c r="C836" s="350"/>
      <c r="D836" s="351"/>
      <c r="E836" s="340"/>
      <c r="F836" s="173"/>
      <c r="G836" s="168"/>
      <c r="H836" s="168"/>
      <c r="I836" s="169"/>
      <c r="J836" s="170"/>
      <c r="K836" s="170"/>
      <c r="L836" s="170"/>
      <c r="M836" s="167"/>
      <c r="N836" s="169"/>
      <c r="O836" s="171"/>
      <c r="P836" s="106"/>
      <c r="Q836" s="347"/>
      <c r="R836" s="106"/>
    </row>
    <row r="837" ht="29.25" customHeight="1">
      <c r="A837" s="216"/>
      <c r="B837" s="349"/>
      <c r="C837" s="350"/>
      <c r="D837" s="351"/>
      <c r="E837" s="352"/>
      <c r="F837" s="173"/>
      <c r="G837" s="168"/>
      <c r="H837" s="168"/>
      <c r="I837" s="169"/>
      <c r="J837" s="170"/>
      <c r="K837" s="170"/>
      <c r="L837" s="170"/>
      <c r="M837" s="167"/>
      <c r="N837" s="169"/>
      <c r="O837" s="171"/>
      <c r="P837" s="106"/>
      <c r="Q837" s="353"/>
      <c r="R837" s="106"/>
    </row>
    <row r="838" ht="29.25" customHeight="1">
      <c r="A838" s="216"/>
      <c r="B838" s="349"/>
      <c r="C838" s="350"/>
      <c r="D838" s="351"/>
      <c r="E838" s="340"/>
      <c r="F838" s="173"/>
      <c r="G838" s="168"/>
      <c r="H838" s="168"/>
      <c r="I838" s="169"/>
      <c r="J838" s="170"/>
      <c r="K838" s="170"/>
      <c r="L838" s="170"/>
      <c r="M838" s="167"/>
      <c r="N838" s="169"/>
      <c r="O838" s="171"/>
      <c r="P838" s="106"/>
      <c r="Q838" s="347"/>
      <c r="R838" s="106"/>
    </row>
    <row r="839" ht="29.25" customHeight="1">
      <c r="A839" s="216"/>
      <c r="B839" s="349"/>
      <c r="C839" s="350"/>
      <c r="D839" s="351"/>
      <c r="E839" s="352"/>
      <c r="F839" s="173"/>
      <c r="G839" s="168"/>
      <c r="H839" s="168"/>
      <c r="I839" s="169"/>
      <c r="J839" s="170"/>
      <c r="K839" s="170"/>
      <c r="L839" s="170"/>
      <c r="M839" s="167"/>
      <c r="N839" s="169"/>
      <c r="O839" s="171"/>
      <c r="P839" s="106"/>
      <c r="Q839" s="353"/>
      <c r="R839" s="106"/>
    </row>
    <row r="840" ht="29.25" customHeight="1">
      <c r="A840" s="216"/>
      <c r="B840" s="349"/>
      <c r="C840" s="350"/>
      <c r="D840" s="351"/>
      <c r="E840" s="340"/>
      <c r="F840" s="173"/>
      <c r="G840" s="168"/>
      <c r="H840" s="168"/>
      <c r="I840" s="169"/>
      <c r="J840" s="170"/>
      <c r="K840" s="170"/>
      <c r="L840" s="170"/>
      <c r="M840" s="167"/>
      <c r="N840" s="169"/>
      <c r="O840" s="171"/>
      <c r="P840" s="106"/>
      <c r="Q840" s="347"/>
      <c r="R840" s="106"/>
    </row>
    <row r="841" ht="29.25" customHeight="1">
      <c r="A841" s="216"/>
      <c r="B841" s="349"/>
      <c r="C841" s="350"/>
      <c r="D841" s="351"/>
      <c r="E841" s="352"/>
      <c r="F841" s="173"/>
      <c r="G841" s="168"/>
      <c r="H841" s="168"/>
      <c r="I841" s="169"/>
      <c r="J841" s="170"/>
      <c r="K841" s="170"/>
      <c r="L841" s="170"/>
      <c r="M841" s="167"/>
      <c r="N841" s="169"/>
      <c r="O841" s="171"/>
      <c r="P841" s="106"/>
      <c r="Q841" s="353"/>
      <c r="R841" s="106"/>
    </row>
    <row r="842" ht="29.25" customHeight="1">
      <c r="A842" s="216"/>
      <c r="B842" s="349"/>
      <c r="C842" s="350"/>
      <c r="D842" s="351"/>
      <c r="E842" s="340"/>
      <c r="F842" s="173"/>
      <c r="G842" s="168"/>
      <c r="H842" s="168"/>
      <c r="I842" s="169"/>
      <c r="J842" s="170"/>
      <c r="K842" s="170"/>
      <c r="L842" s="170"/>
      <c r="M842" s="167"/>
      <c r="N842" s="169"/>
      <c r="O842" s="171"/>
      <c r="P842" s="106"/>
      <c r="Q842" s="347"/>
      <c r="R842" s="106"/>
    </row>
    <row r="843" ht="29.25" customHeight="1">
      <c r="A843" s="216"/>
      <c r="B843" s="349"/>
      <c r="C843" s="350"/>
      <c r="D843" s="351"/>
      <c r="E843" s="352"/>
      <c r="F843" s="173"/>
      <c r="G843" s="168"/>
      <c r="H843" s="168"/>
      <c r="I843" s="169"/>
      <c r="J843" s="170"/>
      <c r="K843" s="170"/>
      <c r="L843" s="170"/>
      <c r="M843" s="167"/>
      <c r="N843" s="169"/>
      <c r="O843" s="171"/>
      <c r="P843" s="106"/>
      <c r="Q843" s="353"/>
      <c r="R843" s="106"/>
    </row>
    <row r="844" ht="29.25" customHeight="1">
      <c r="A844" s="216"/>
      <c r="B844" s="349"/>
      <c r="C844" s="350"/>
      <c r="D844" s="351"/>
      <c r="E844" s="340"/>
      <c r="F844" s="173"/>
      <c r="G844" s="168"/>
      <c r="H844" s="168"/>
      <c r="I844" s="169"/>
      <c r="J844" s="170"/>
      <c r="K844" s="170"/>
      <c r="L844" s="170"/>
      <c r="M844" s="167"/>
      <c r="N844" s="169"/>
      <c r="O844" s="171"/>
      <c r="P844" s="106"/>
      <c r="Q844" s="347"/>
      <c r="R844" s="106"/>
    </row>
    <row r="845" ht="29.25" customHeight="1">
      <c r="A845" s="216"/>
      <c r="B845" s="349"/>
      <c r="C845" s="350"/>
      <c r="D845" s="351"/>
      <c r="E845" s="352"/>
      <c r="F845" s="173"/>
      <c r="G845" s="168"/>
      <c r="H845" s="168"/>
      <c r="I845" s="169"/>
      <c r="J845" s="170"/>
      <c r="K845" s="170"/>
      <c r="L845" s="170"/>
      <c r="M845" s="167"/>
      <c r="N845" s="169"/>
      <c r="O845" s="171"/>
      <c r="P845" s="106"/>
      <c r="Q845" s="353"/>
      <c r="R845" s="106"/>
    </row>
    <row r="846" ht="29.25" customHeight="1">
      <c r="A846" s="216"/>
      <c r="B846" s="349"/>
      <c r="C846" s="350"/>
      <c r="D846" s="351"/>
      <c r="E846" s="340"/>
      <c r="F846" s="173"/>
      <c r="G846" s="168"/>
      <c r="H846" s="168"/>
      <c r="I846" s="169"/>
      <c r="J846" s="170"/>
      <c r="K846" s="170"/>
      <c r="L846" s="170"/>
      <c r="M846" s="167"/>
      <c r="N846" s="169"/>
      <c r="O846" s="171"/>
      <c r="P846" s="106"/>
      <c r="Q846" s="347"/>
      <c r="R846" s="106"/>
    </row>
    <row r="847" ht="29.25" customHeight="1">
      <c r="A847" s="216"/>
      <c r="B847" s="349"/>
      <c r="C847" s="350"/>
      <c r="D847" s="351"/>
      <c r="E847" s="352"/>
      <c r="F847" s="173"/>
      <c r="G847" s="168"/>
      <c r="H847" s="168"/>
      <c r="I847" s="169"/>
      <c r="J847" s="170"/>
      <c r="K847" s="170"/>
      <c r="L847" s="170"/>
      <c r="M847" s="167"/>
      <c r="N847" s="169"/>
      <c r="O847" s="171"/>
      <c r="P847" s="106"/>
      <c r="Q847" s="353"/>
      <c r="R847" s="106"/>
    </row>
    <row r="848" ht="29.25" customHeight="1">
      <c r="A848" s="216"/>
      <c r="B848" s="349"/>
      <c r="C848" s="350"/>
      <c r="D848" s="351"/>
      <c r="E848" s="340"/>
      <c r="F848" s="173"/>
      <c r="G848" s="168"/>
      <c r="H848" s="168"/>
      <c r="I848" s="169"/>
      <c r="J848" s="170"/>
      <c r="K848" s="170"/>
      <c r="L848" s="170"/>
      <c r="M848" s="167"/>
      <c r="N848" s="169"/>
      <c r="O848" s="171"/>
      <c r="P848" s="106"/>
      <c r="Q848" s="347"/>
      <c r="R848" s="106"/>
    </row>
    <row r="849" ht="29.25" customHeight="1">
      <c r="A849" s="216"/>
      <c r="B849" s="349"/>
      <c r="C849" s="350"/>
      <c r="D849" s="351"/>
      <c r="E849" s="352"/>
      <c r="F849" s="173"/>
      <c r="G849" s="168"/>
      <c r="H849" s="168"/>
      <c r="I849" s="169"/>
      <c r="J849" s="170"/>
      <c r="K849" s="170"/>
      <c r="L849" s="170"/>
      <c r="M849" s="167"/>
      <c r="N849" s="169"/>
      <c r="O849" s="171"/>
      <c r="P849" s="106"/>
      <c r="Q849" s="353"/>
      <c r="R849" s="106"/>
    </row>
    <row r="850" ht="29.25" customHeight="1">
      <c r="A850" s="216"/>
      <c r="B850" s="349"/>
      <c r="C850" s="350"/>
      <c r="D850" s="351"/>
      <c r="E850" s="340"/>
      <c r="F850" s="173"/>
      <c r="G850" s="168"/>
      <c r="H850" s="168"/>
      <c r="I850" s="169"/>
      <c r="J850" s="170"/>
      <c r="K850" s="170"/>
      <c r="L850" s="170"/>
      <c r="M850" s="167"/>
      <c r="N850" s="169"/>
      <c r="O850" s="171"/>
      <c r="P850" s="106"/>
      <c r="Q850" s="347"/>
      <c r="R850" s="106"/>
    </row>
    <row r="851" ht="29.25" customHeight="1">
      <c r="A851" s="216"/>
      <c r="B851" s="349"/>
      <c r="C851" s="350"/>
      <c r="D851" s="351"/>
      <c r="E851" s="352"/>
      <c r="F851" s="173"/>
      <c r="G851" s="168"/>
      <c r="H851" s="168"/>
      <c r="I851" s="169"/>
      <c r="J851" s="170"/>
      <c r="K851" s="170"/>
      <c r="L851" s="170"/>
      <c r="M851" s="167"/>
      <c r="N851" s="169"/>
      <c r="O851" s="171"/>
      <c r="P851" s="106"/>
      <c r="Q851" s="353"/>
      <c r="R851" s="106"/>
    </row>
    <row r="852" ht="29.25" customHeight="1">
      <c r="A852" s="216"/>
      <c r="B852" s="349"/>
      <c r="C852" s="350"/>
      <c r="D852" s="351"/>
      <c r="E852" s="340"/>
      <c r="F852" s="173"/>
      <c r="G852" s="168"/>
      <c r="H852" s="168"/>
      <c r="I852" s="169"/>
      <c r="J852" s="170"/>
      <c r="K852" s="170"/>
      <c r="L852" s="170"/>
      <c r="M852" s="167"/>
      <c r="N852" s="169"/>
      <c r="O852" s="171"/>
      <c r="P852" s="106"/>
      <c r="Q852" s="347"/>
      <c r="R852" s="106"/>
    </row>
    <row r="853" ht="29.25" customHeight="1">
      <c r="A853" s="216"/>
      <c r="B853" s="349"/>
      <c r="C853" s="350"/>
      <c r="D853" s="351"/>
      <c r="E853" s="352"/>
      <c r="F853" s="173"/>
      <c r="G853" s="168"/>
      <c r="H853" s="168"/>
      <c r="I853" s="169"/>
      <c r="J853" s="170"/>
      <c r="K853" s="170"/>
      <c r="L853" s="170"/>
      <c r="M853" s="167"/>
      <c r="N853" s="169"/>
      <c r="O853" s="171"/>
      <c r="P853" s="106"/>
      <c r="Q853" s="353"/>
      <c r="R853" s="106"/>
    </row>
    <row r="854" ht="29.25" customHeight="1">
      <c r="A854" s="216"/>
      <c r="B854" s="349"/>
      <c r="C854" s="350"/>
      <c r="D854" s="351"/>
      <c r="E854" s="340"/>
      <c r="F854" s="173"/>
      <c r="G854" s="168"/>
      <c r="H854" s="168"/>
      <c r="I854" s="169"/>
      <c r="J854" s="170"/>
      <c r="K854" s="170"/>
      <c r="L854" s="170"/>
      <c r="M854" s="167"/>
      <c r="N854" s="169"/>
      <c r="O854" s="171"/>
      <c r="P854" s="106"/>
      <c r="Q854" s="347"/>
      <c r="R854" s="106"/>
    </row>
    <row r="855" ht="29.25" customHeight="1">
      <c r="A855" s="216"/>
      <c r="B855" s="349"/>
      <c r="C855" s="350"/>
      <c r="D855" s="351"/>
      <c r="E855" s="352"/>
      <c r="F855" s="173"/>
      <c r="G855" s="168"/>
      <c r="H855" s="168"/>
      <c r="I855" s="169"/>
      <c r="J855" s="170"/>
      <c r="K855" s="170"/>
      <c r="L855" s="170"/>
      <c r="M855" s="167"/>
      <c r="N855" s="169"/>
      <c r="O855" s="171"/>
      <c r="P855" s="106"/>
      <c r="Q855" s="353"/>
      <c r="R855" s="106"/>
    </row>
    <row r="856" ht="29.25" customHeight="1">
      <c r="A856" s="216"/>
      <c r="B856" s="349"/>
      <c r="C856" s="350"/>
      <c r="D856" s="351"/>
      <c r="E856" s="340"/>
      <c r="F856" s="173"/>
      <c r="G856" s="168"/>
      <c r="H856" s="168"/>
      <c r="I856" s="169"/>
      <c r="J856" s="170"/>
      <c r="K856" s="170"/>
      <c r="L856" s="170"/>
      <c r="M856" s="167"/>
      <c r="N856" s="169"/>
      <c r="O856" s="171"/>
      <c r="P856" s="106"/>
      <c r="Q856" s="347"/>
      <c r="R856" s="106"/>
    </row>
    <row r="857" ht="29.25" customHeight="1">
      <c r="A857" s="216"/>
      <c r="B857" s="349"/>
      <c r="C857" s="350"/>
      <c r="D857" s="351"/>
      <c r="E857" s="352"/>
      <c r="F857" s="173"/>
      <c r="G857" s="168"/>
      <c r="H857" s="168"/>
      <c r="I857" s="169"/>
      <c r="J857" s="170"/>
      <c r="K857" s="170"/>
      <c r="L857" s="170"/>
      <c r="M857" s="167"/>
      <c r="N857" s="169"/>
      <c r="O857" s="171"/>
      <c r="P857" s="106"/>
      <c r="Q857" s="353"/>
      <c r="R857" s="106"/>
    </row>
    <row r="858" ht="29.25" customHeight="1">
      <c r="A858" s="216"/>
      <c r="B858" s="349"/>
      <c r="C858" s="350"/>
      <c r="D858" s="351"/>
      <c r="E858" s="340"/>
      <c r="F858" s="173"/>
      <c r="G858" s="168"/>
      <c r="H858" s="168"/>
      <c r="I858" s="169"/>
      <c r="J858" s="170"/>
      <c r="K858" s="170"/>
      <c r="L858" s="170"/>
      <c r="M858" s="167"/>
      <c r="N858" s="169"/>
      <c r="O858" s="171"/>
      <c r="P858" s="106"/>
      <c r="Q858" s="347"/>
      <c r="R858" s="106"/>
    </row>
    <row r="859" ht="29.25" customHeight="1">
      <c r="A859" s="216"/>
      <c r="B859" s="349"/>
      <c r="C859" s="350"/>
      <c r="D859" s="351"/>
      <c r="E859" s="352"/>
      <c r="F859" s="173"/>
      <c r="G859" s="168"/>
      <c r="H859" s="168"/>
      <c r="I859" s="169"/>
      <c r="J859" s="170"/>
      <c r="K859" s="170"/>
      <c r="L859" s="170"/>
      <c r="M859" s="167"/>
      <c r="N859" s="169"/>
      <c r="O859" s="171"/>
      <c r="P859" s="106"/>
      <c r="Q859" s="353"/>
      <c r="R859" s="106"/>
    </row>
    <row r="860" ht="29.25" customHeight="1">
      <c r="A860" s="216"/>
      <c r="B860" s="349"/>
      <c r="C860" s="350"/>
      <c r="D860" s="351"/>
      <c r="E860" s="340"/>
      <c r="F860" s="173"/>
      <c r="G860" s="168"/>
      <c r="H860" s="168"/>
      <c r="I860" s="169"/>
      <c r="J860" s="170"/>
      <c r="K860" s="170"/>
      <c r="L860" s="170"/>
      <c r="M860" s="167"/>
      <c r="N860" s="169"/>
      <c r="O860" s="171"/>
      <c r="P860" s="106"/>
      <c r="Q860" s="347"/>
      <c r="R860" s="106"/>
    </row>
    <row r="861" ht="29.25" customHeight="1">
      <c r="A861" s="216"/>
      <c r="B861" s="349"/>
      <c r="C861" s="350"/>
      <c r="D861" s="351"/>
      <c r="E861" s="352"/>
      <c r="F861" s="173"/>
      <c r="G861" s="168"/>
      <c r="H861" s="168"/>
      <c r="I861" s="169"/>
      <c r="J861" s="170"/>
      <c r="K861" s="170"/>
      <c r="L861" s="170"/>
      <c r="M861" s="167"/>
      <c r="N861" s="169"/>
      <c r="O861" s="171"/>
      <c r="P861" s="106"/>
      <c r="Q861" s="353"/>
      <c r="R861" s="106"/>
    </row>
    <row r="862" ht="29.25" customHeight="1">
      <c r="A862" s="216"/>
      <c r="B862" s="349"/>
      <c r="C862" s="350"/>
      <c r="D862" s="351"/>
      <c r="E862" s="340"/>
      <c r="F862" s="173"/>
      <c r="G862" s="168"/>
      <c r="H862" s="168"/>
      <c r="I862" s="169"/>
      <c r="J862" s="170"/>
      <c r="K862" s="170"/>
      <c r="L862" s="170"/>
      <c r="M862" s="167"/>
      <c r="N862" s="169"/>
      <c r="O862" s="171"/>
      <c r="P862" s="106"/>
      <c r="Q862" s="347"/>
      <c r="R862" s="106"/>
    </row>
    <row r="863" ht="29.25" customHeight="1">
      <c r="A863" s="216"/>
      <c r="B863" s="349"/>
      <c r="C863" s="350"/>
      <c r="D863" s="351"/>
      <c r="E863" s="352"/>
      <c r="F863" s="173"/>
      <c r="G863" s="168"/>
      <c r="H863" s="168"/>
      <c r="I863" s="169"/>
      <c r="J863" s="170"/>
      <c r="K863" s="170"/>
      <c r="L863" s="170"/>
      <c r="M863" s="167"/>
      <c r="N863" s="169"/>
      <c r="O863" s="171"/>
      <c r="P863" s="106"/>
      <c r="Q863" s="353"/>
      <c r="R863" s="106"/>
    </row>
    <row r="864" ht="29.25" customHeight="1">
      <c r="A864" s="216"/>
      <c r="B864" s="349"/>
      <c r="C864" s="350"/>
      <c r="D864" s="351"/>
      <c r="E864" s="340"/>
      <c r="F864" s="173"/>
      <c r="G864" s="168"/>
      <c r="H864" s="168"/>
      <c r="I864" s="169"/>
      <c r="J864" s="170"/>
      <c r="K864" s="170"/>
      <c r="L864" s="170"/>
      <c r="M864" s="167"/>
      <c r="N864" s="169"/>
      <c r="O864" s="171"/>
      <c r="P864" s="106"/>
      <c r="Q864" s="347"/>
      <c r="R864" s="106"/>
    </row>
    <row r="865" ht="29.25" customHeight="1">
      <c r="A865" s="216"/>
      <c r="B865" s="349"/>
      <c r="C865" s="350"/>
      <c r="D865" s="351"/>
      <c r="E865" s="352"/>
      <c r="F865" s="173"/>
      <c r="G865" s="168"/>
      <c r="H865" s="168"/>
      <c r="I865" s="169"/>
      <c r="J865" s="170"/>
      <c r="K865" s="170"/>
      <c r="L865" s="170"/>
      <c r="M865" s="167"/>
      <c r="N865" s="169"/>
      <c r="O865" s="171"/>
      <c r="P865" s="106"/>
      <c r="Q865" s="353"/>
      <c r="R865" s="106"/>
    </row>
    <row r="866" ht="29.25" customHeight="1">
      <c r="A866" s="216"/>
      <c r="B866" s="349"/>
      <c r="C866" s="350"/>
      <c r="D866" s="351"/>
      <c r="E866" s="340"/>
      <c r="F866" s="173"/>
      <c r="G866" s="168"/>
      <c r="H866" s="168"/>
      <c r="I866" s="169"/>
      <c r="J866" s="170"/>
      <c r="K866" s="170"/>
      <c r="L866" s="170"/>
      <c r="M866" s="167"/>
      <c r="N866" s="169"/>
      <c r="O866" s="171"/>
      <c r="P866" s="106"/>
      <c r="Q866" s="347"/>
      <c r="R866" s="106"/>
    </row>
    <row r="867" ht="29.25" customHeight="1">
      <c r="A867" s="216"/>
      <c r="B867" s="349"/>
      <c r="C867" s="350"/>
      <c r="D867" s="351"/>
      <c r="E867" s="352"/>
      <c r="F867" s="173"/>
      <c r="G867" s="168"/>
      <c r="H867" s="168"/>
      <c r="I867" s="169"/>
      <c r="J867" s="170"/>
      <c r="K867" s="170"/>
      <c r="L867" s="170"/>
      <c r="M867" s="167"/>
      <c r="N867" s="169"/>
      <c r="O867" s="171"/>
      <c r="P867" s="106"/>
      <c r="Q867" s="353"/>
      <c r="R867" s="106"/>
    </row>
    <row r="868" ht="29.25" customHeight="1">
      <c r="A868" s="216"/>
      <c r="B868" s="349"/>
      <c r="C868" s="350"/>
      <c r="D868" s="351"/>
      <c r="E868" s="340"/>
      <c r="F868" s="173"/>
      <c r="G868" s="168"/>
      <c r="H868" s="168"/>
      <c r="I868" s="169"/>
      <c r="J868" s="170"/>
      <c r="K868" s="170"/>
      <c r="L868" s="170"/>
      <c r="M868" s="167"/>
      <c r="N868" s="169"/>
      <c r="O868" s="171"/>
      <c r="P868" s="106"/>
      <c r="Q868" s="347"/>
      <c r="R868" s="106"/>
    </row>
    <row r="869" ht="29.25" customHeight="1">
      <c r="A869" s="216"/>
      <c r="B869" s="349"/>
      <c r="C869" s="350"/>
      <c r="D869" s="351"/>
      <c r="E869" s="352"/>
      <c r="F869" s="173"/>
      <c r="G869" s="168"/>
      <c r="H869" s="168"/>
      <c r="I869" s="169"/>
      <c r="J869" s="170"/>
      <c r="K869" s="170"/>
      <c r="L869" s="170"/>
      <c r="M869" s="167"/>
      <c r="N869" s="169"/>
      <c r="O869" s="171"/>
      <c r="P869" s="106"/>
      <c r="Q869" s="353"/>
      <c r="R869" s="106"/>
    </row>
    <row r="870" ht="29.25" customHeight="1">
      <c r="A870" s="216"/>
      <c r="B870" s="349"/>
      <c r="C870" s="350"/>
      <c r="D870" s="351"/>
      <c r="E870" s="340"/>
      <c r="F870" s="173"/>
      <c r="G870" s="168"/>
      <c r="H870" s="168"/>
      <c r="I870" s="169"/>
      <c r="J870" s="170"/>
      <c r="K870" s="170"/>
      <c r="L870" s="170"/>
      <c r="M870" s="167"/>
      <c r="N870" s="169"/>
      <c r="O870" s="171"/>
      <c r="P870" s="106"/>
      <c r="Q870" s="347"/>
      <c r="R870" s="106"/>
    </row>
    <row r="871" ht="29.25" customHeight="1">
      <c r="A871" s="216"/>
      <c r="B871" s="349"/>
      <c r="C871" s="350"/>
      <c r="D871" s="351"/>
      <c r="E871" s="352"/>
      <c r="F871" s="173"/>
      <c r="G871" s="168"/>
      <c r="H871" s="168"/>
      <c r="I871" s="169"/>
      <c r="J871" s="170"/>
      <c r="K871" s="170"/>
      <c r="L871" s="170"/>
      <c r="M871" s="167"/>
      <c r="N871" s="169"/>
      <c r="O871" s="171"/>
      <c r="P871" s="106"/>
      <c r="Q871" s="353"/>
      <c r="R871" s="106"/>
    </row>
    <row r="872" ht="29.25" customHeight="1">
      <c r="A872" s="216"/>
      <c r="B872" s="349"/>
      <c r="C872" s="350"/>
      <c r="D872" s="351"/>
      <c r="E872" s="340"/>
      <c r="F872" s="173"/>
      <c r="G872" s="168"/>
      <c r="H872" s="168"/>
      <c r="I872" s="169"/>
      <c r="J872" s="170"/>
      <c r="K872" s="170"/>
      <c r="L872" s="170"/>
      <c r="M872" s="167"/>
      <c r="N872" s="169"/>
      <c r="O872" s="171"/>
      <c r="P872" s="106"/>
      <c r="Q872" s="347"/>
      <c r="R872" s="106"/>
    </row>
    <row r="873" ht="29.25" customHeight="1">
      <c r="A873" s="216"/>
      <c r="B873" s="349"/>
      <c r="C873" s="350"/>
      <c r="D873" s="351"/>
      <c r="E873" s="352"/>
      <c r="F873" s="173"/>
      <c r="G873" s="168"/>
      <c r="H873" s="168"/>
      <c r="I873" s="169"/>
      <c r="J873" s="170"/>
      <c r="K873" s="170"/>
      <c r="L873" s="170"/>
      <c r="M873" s="167"/>
      <c r="N873" s="169"/>
      <c r="O873" s="171"/>
      <c r="P873" s="106"/>
      <c r="Q873" s="353"/>
      <c r="R873" s="106"/>
    </row>
    <row r="874" ht="29.25" customHeight="1">
      <c r="A874" s="216"/>
      <c r="B874" s="349"/>
      <c r="C874" s="350"/>
      <c r="D874" s="351"/>
      <c r="E874" s="340"/>
      <c r="F874" s="173"/>
      <c r="G874" s="168"/>
      <c r="H874" s="168"/>
      <c r="I874" s="169"/>
      <c r="J874" s="170"/>
      <c r="K874" s="170"/>
      <c r="L874" s="170"/>
      <c r="M874" s="167"/>
      <c r="N874" s="169"/>
      <c r="O874" s="171"/>
      <c r="P874" s="106"/>
      <c r="Q874" s="347"/>
      <c r="R874" s="106"/>
    </row>
    <row r="875" ht="29.25" customHeight="1">
      <c r="A875" s="216"/>
      <c r="B875" s="349"/>
      <c r="C875" s="350"/>
      <c r="D875" s="351"/>
      <c r="E875" s="352"/>
      <c r="F875" s="173"/>
      <c r="G875" s="168"/>
      <c r="H875" s="168"/>
      <c r="I875" s="169"/>
      <c r="J875" s="170"/>
      <c r="K875" s="170"/>
      <c r="L875" s="170"/>
      <c r="M875" s="167"/>
      <c r="N875" s="169"/>
      <c r="O875" s="171"/>
      <c r="P875" s="106"/>
      <c r="Q875" s="353"/>
      <c r="R875" s="106"/>
    </row>
    <row r="876" ht="29.25" customHeight="1">
      <c r="A876" s="216"/>
      <c r="B876" s="349"/>
      <c r="C876" s="350"/>
      <c r="D876" s="351"/>
      <c r="E876" s="340"/>
      <c r="F876" s="173"/>
      <c r="G876" s="168"/>
      <c r="H876" s="168"/>
      <c r="I876" s="169"/>
      <c r="J876" s="170"/>
      <c r="K876" s="170"/>
      <c r="L876" s="170"/>
      <c r="M876" s="167"/>
      <c r="N876" s="169"/>
      <c r="O876" s="171"/>
      <c r="P876" s="106"/>
      <c r="Q876" s="347"/>
      <c r="R876" s="106"/>
    </row>
    <row r="877" ht="29.25" customHeight="1">
      <c r="A877" s="216"/>
      <c r="B877" s="349"/>
      <c r="C877" s="350"/>
      <c r="D877" s="351"/>
      <c r="E877" s="352"/>
      <c r="F877" s="173"/>
      <c r="G877" s="168"/>
      <c r="H877" s="168"/>
      <c r="I877" s="169"/>
      <c r="J877" s="170"/>
      <c r="K877" s="170"/>
      <c r="L877" s="170"/>
      <c r="M877" s="167"/>
      <c r="N877" s="169"/>
      <c r="O877" s="171"/>
      <c r="P877" s="106"/>
      <c r="Q877" s="353"/>
      <c r="R877" s="106"/>
    </row>
    <row r="878" ht="29.25" customHeight="1">
      <c r="A878" s="216"/>
      <c r="B878" s="349"/>
      <c r="C878" s="350"/>
      <c r="D878" s="351"/>
      <c r="E878" s="340"/>
      <c r="F878" s="173"/>
      <c r="G878" s="168"/>
      <c r="H878" s="168"/>
      <c r="I878" s="169"/>
      <c r="J878" s="170"/>
      <c r="K878" s="170"/>
      <c r="L878" s="170"/>
      <c r="M878" s="167"/>
      <c r="N878" s="169"/>
      <c r="O878" s="171"/>
      <c r="P878" s="106"/>
      <c r="Q878" s="347"/>
      <c r="R878" s="106"/>
    </row>
    <row r="879" ht="29.25" customHeight="1">
      <c r="A879" s="216"/>
      <c r="B879" s="349"/>
      <c r="C879" s="350"/>
      <c r="D879" s="351"/>
      <c r="E879" s="352"/>
      <c r="F879" s="173"/>
      <c r="G879" s="168"/>
      <c r="H879" s="168"/>
      <c r="I879" s="169"/>
      <c r="J879" s="170"/>
      <c r="K879" s="170"/>
      <c r="L879" s="170"/>
      <c r="M879" s="167"/>
      <c r="N879" s="169"/>
      <c r="O879" s="171"/>
      <c r="P879" s="106"/>
      <c r="Q879" s="353"/>
      <c r="R879" s="106"/>
    </row>
    <row r="880" ht="29.25" customHeight="1">
      <c r="A880" s="216"/>
      <c r="B880" s="349"/>
      <c r="C880" s="350"/>
      <c r="D880" s="351"/>
      <c r="E880" s="340"/>
      <c r="F880" s="173"/>
      <c r="G880" s="168"/>
      <c r="H880" s="168"/>
      <c r="I880" s="169"/>
      <c r="J880" s="170"/>
      <c r="K880" s="170"/>
      <c r="L880" s="170"/>
      <c r="M880" s="167"/>
      <c r="N880" s="169"/>
      <c r="O880" s="171"/>
      <c r="P880" s="106"/>
      <c r="Q880" s="347"/>
      <c r="R880" s="106"/>
    </row>
    <row r="881" ht="29.25" customHeight="1">
      <c r="A881" s="216"/>
      <c r="B881" s="349"/>
      <c r="C881" s="350"/>
      <c r="D881" s="351"/>
      <c r="E881" s="352"/>
      <c r="F881" s="173"/>
      <c r="G881" s="168"/>
      <c r="H881" s="168"/>
      <c r="I881" s="169"/>
      <c r="J881" s="170"/>
      <c r="K881" s="170"/>
      <c r="L881" s="170"/>
      <c r="M881" s="167"/>
      <c r="N881" s="169"/>
      <c r="O881" s="171"/>
      <c r="P881" s="106"/>
      <c r="Q881" s="353"/>
      <c r="R881" s="106"/>
    </row>
    <row r="882" ht="29.25" customHeight="1">
      <c r="A882" s="216"/>
      <c r="B882" s="349"/>
      <c r="C882" s="350"/>
      <c r="D882" s="351"/>
      <c r="E882" s="340"/>
      <c r="F882" s="173"/>
      <c r="G882" s="168"/>
      <c r="H882" s="168"/>
      <c r="I882" s="169"/>
      <c r="J882" s="170"/>
      <c r="K882" s="170"/>
      <c r="L882" s="170"/>
      <c r="M882" s="167"/>
      <c r="N882" s="169"/>
      <c r="O882" s="171"/>
      <c r="P882" s="106"/>
      <c r="Q882" s="347"/>
      <c r="R882" s="106"/>
    </row>
    <row r="883" ht="29.25" customHeight="1">
      <c r="A883" s="216"/>
      <c r="B883" s="349"/>
      <c r="C883" s="350"/>
      <c r="D883" s="351"/>
      <c r="E883" s="352"/>
      <c r="F883" s="173"/>
      <c r="G883" s="168"/>
      <c r="H883" s="168"/>
      <c r="I883" s="169"/>
      <c r="J883" s="170"/>
      <c r="K883" s="170"/>
      <c r="L883" s="170"/>
      <c r="M883" s="167"/>
      <c r="N883" s="169"/>
      <c r="O883" s="171"/>
      <c r="P883" s="106"/>
      <c r="Q883" s="353"/>
      <c r="R883" s="106"/>
    </row>
    <row r="884" ht="29.25" customHeight="1">
      <c r="A884" s="216"/>
      <c r="B884" s="349"/>
      <c r="C884" s="350"/>
      <c r="D884" s="351"/>
      <c r="E884" s="340"/>
      <c r="F884" s="173"/>
      <c r="G884" s="168"/>
      <c r="H884" s="168"/>
      <c r="I884" s="169"/>
      <c r="J884" s="170"/>
      <c r="K884" s="170"/>
      <c r="L884" s="170"/>
      <c r="M884" s="167"/>
      <c r="N884" s="169"/>
      <c r="O884" s="171"/>
      <c r="P884" s="106"/>
      <c r="Q884" s="347"/>
      <c r="R884" s="106"/>
    </row>
    <row r="885" ht="29.25" customHeight="1">
      <c r="A885" s="216"/>
      <c r="B885" s="349"/>
      <c r="C885" s="350"/>
      <c r="D885" s="351"/>
      <c r="E885" s="352"/>
      <c r="F885" s="173"/>
      <c r="G885" s="168"/>
      <c r="H885" s="168"/>
      <c r="I885" s="169"/>
      <c r="J885" s="170"/>
      <c r="K885" s="170"/>
      <c r="L885" s="170"/>
      <c r="M885" s="167"/>
      <c r="N885" s="169"/>
      <c r="O885" s="171"/>
      <c r="P885" s="106"/>
      <c r="Q885" s="353"/>
      <c r="R885" s="106"/>
    </row>
    <row r="886" ht="29.25" customHeight="1">
      <c r="A886" s="216"/>
      <c r="B886" s="349"/>
      <c r="C886" s="350"/>
      <c r="D886" s="351"/>
      <c r="E886" s="340"/>
      <c r="F886" s="173"/>
      <c r="G886" s="168"/>
      <c r="H886" s="168"/>
      <c r="I886" s="169"/>
      <c r="J886" s="170"/>
      <c r="K886" s="170"/>
      <c r="L886" s="170"/>
      <c r="M886" s="167"/>
      <c r="N886" s="169"/>
      <c r="O886" s="171"/>
      <c r="P886" s="106"/>
      <c r="Q886" s="347"/>
      <c r="R886" s="106"/>
    </row>
    <row r="887" ht="29.25" customHeight="1">
      <c r="A887" s="216"/>
      <c r="B887" s="349"/>
      <c r="C887" s="350"/>
      <c r="D887" s="351"/>
      <c r="E887" s="352"/>
      <c r="F887" s="173"/>
      <c r="G887" s="168"/>
      <c r="H887" s="168"/>
      <c r="I887" s="169"/>
      <c r="J887" s="170"/>
      <c r="K887" s="170"/>
      <c r="L887" s="170"/>
      <c r="M887" s="167"/>
      <c r="N887" s="169"/>
      <c r="O887" s="171"/>
      <c r="P887" s="106"/>
      <c r="Q887" s="353"/>
      <c r="R887" s="106"/>
    </row>
    <row r="888" ht="29.25" customHeight="1">
      <c r="A888" s="216"/>
      <c r="B888" s="349"/>
      <c r="C888" s="350"/>
      <c r="D888" s="351"/>
      <c r="E888" s="340"/>
      <c r="F888" s="173"/>
      <c r="G888" s="168"/>
      <c r="H888" s="168"/>
      <c r="I888" s="169"/>
      <c r="J888" s="170"/>
      <c r="K888" s="170"/>
      <c r="L888" s="170"/>
      <c r="M888" s="167"/>
      <c r="N888" s="169"/>
      <c r="O888" s="171"/>
      <c r="P888" s="106"/>
      <c r="Q888" s="347"/>
      <c r="R888" s="106"/>
    </row>
    <row r="889" ht="29.25" customHeight="1">
      <c r="A889" s="216"/>
      <c r="B889" s="349"/>
      <c r="C889" s="350"/>
      <c r="D889" s="351"/>
      <c r="E889" s="352"/>
      <c r="F889" s="173"/>
      <c r="G889" s="168"/>
      <c r="H889" s="168"/>
      <c r="I889" s="169"/>
      <c r="J889" s="170"/>
      <c r="K889" s="170"/>
      <c r="L889" s="170"/>
      <c r="M889" s="167"/>
      <c r="N889" s="169"/>
      <c r="O889" s="171"/>
      <c r="P889" s="106"/>
      <c r="Q889" s="353"/>
      <c r="R889" s="106"/>
    </row>
    <row r="890" ht="29.25" customHeight="1">
      <c r="A890" s="216"/>
      <c r="B890" s="349"/>
      <c r="C890" s="350"/>
      <c r="D890" s="351"/>
      <c r="E890" s="340"/>
      <c r="F890" s="173"/>
      <c r="G890" s="168"/>
      <c r="H890" s="168"/>
      <c r="I890" s="169"/>
      <c r="J890" s="170"/>
      <c r="K890" s="170"/>
      <c r="L890" s="170"/>
      <c r="M890" s="167"/>
      <c r="N890" s="169"/>
      <c r="O890" s="171"/>
      <c r="P890" s="106"/>
      <c r="Q890" s="347"/>
      <c r="R890" s="106"/>
    </row>
    <row r="891" ht="29.25" customHeight="1">
      <c r="A891" s="216"/>
      <c r="B891" s="349"/>
      <c r="C891" s="350"/>
      <c r="D891" s="351"/>
      <c r="E891" s="352"/>
      <c r="F891" s="173"/>
      <c r="G891" s="168"/>
      <c r="H891" s="168"/>
      <c r="I891" s="169"/>
      <c r="J891" s="170"/>
      <c r="K891" s="170"/>
      <c r="L891" s="170"/>
      <c r="M891" s="167"/>
      <c r="N891" s="169"/>
      <c r="O891" s="171"/>
      <c r="P891" s="106"/>
      <c r="Q891" s="353"/>
      <c r="R891" s="106"/>
    </row>
    <row r="892" ht="29.25" customHeight="1">
      <c r="A892" s="216"/>
      <c r="B892" s="349"/>
      <c r="C892" s="350"/>
      <c r="D892" s="351"/>
      <c r="E892" s="340"/>
      <c r="F892" s="173"/>
      <c r="G892" s="168"/>
      <c r="H892" s="168"/>
      <c r="I892" s="169"/>
      <c r="J892" s="170"/>
      <c r="K892" s="170"/>
      <c r="L892" s="170"/>
      <c r="M892" s="167"/>
      <c r="N892" s="169"/>
      <c r="O892" s="171"/>
      <c r="P892" s="106"/>
      <c r="Q892" s="347"/>
      <c r="R892" s="106"/>
    </row>
    <row r="893" ht="29.25" customHeight="1">
      <c r="A893" s="216"/>
      <c r="B893" s="349"/>
      <c r="C893" s="350"/>
      <c r="D893" s="351"/>
      <c r="E893" s="352"/>
      <c r="F893" s="173"/>
      <c r="G893" s="168"/>
      <c r="H893" s="168"/>
      <c r="I893" s="169"/>
      <c r="J893" s="170"/>
      <c r="K893" s="170"/>
      <c r="L893" s="170"/>
      <c r="M893" s="167"/>
      <c r="N893" s="169"/>
      <c r="O893" s="171"/>
      <c r="P893" s="106"/>
      <c r="Q893" s="353"/>
      <c r="R893" s="106"/>
    </row>
    <row r="894" ht="29.25" customHeight="1">
      <c r="A894" s="216"/>
      <c r="B894" s="349"/>
      <c r="C894" s="350"/>
      <c r="D894" s="351"/>
      <c r="E894" s="340"/>
      <c r="F894" s="173"/>
      <c r="G894" s="168"/>
      <c r="H894" s="168"/>
      <c r="I894" s="169"/>
      <c r="J894" s="170"/>
      <c r="K894" s="170"/>
      <c r="L894" s="170"/>
      <c r="M894" s="167"/>
      <c r="N894" s="169"/>
      <c r="O894" s="171"/>
      <c r="P894" s="106"/>
      <c r="Q894" s="347"/>
      <c r="R894" s="106"/>
    </row>
    <row r="895" ht="29.25" customHeight="1">
      <c r="A895" s="216"/>
      <c r="B895" s="349"/>
      <c r="C895" s="350"/>
      <c r="D895" s="351"/>
      <c r="E895" s="352"/>
      <c r="F895" s="173"/>
      <c r="G895" s="168"/>
      <c r="H895" s="168"/>
      <c r="I895" s="169"/>
      <c r="J895" s="170"/>
      <c r="K895" s="170"/>
      <c r="L895" s="170"/>
      <c r="M895" s="167"/>
      <c r="N895" s="169"/>
      <c r="O895" s="171"/>
      <c r="P895" s="106"/>
      <c r="Q895" s="353"/>
      <c r="R895" s="106"/>
    </row>
    <row r="896" ht="29.25" customHeight="1">
      <c r="A896" s="216"/>
      <c r="B896" s="349"/>
      <c r="C896" s="350"/>
      <c r="D896" s="351"/>
      <c r="E896" s="340"/>
      <c r="F896" s="173"/>
      <c r="G896" s="168"/>
      <c r="H896" s="168"/>
      <c r="I896" s="169"/>
      <c r="J896" s="170"/>
      <c r="K896" s="170"/>
      <c r="L896" s="170"/>
      <c r="M896" s="167"/>
      <c r="N896" s="169"/>
      <c r="O896" s="171"/>
      <c r="P896" s="106"/>
      <c r="Q896" s="347"/>
      <c r="R896" s="106"/>
    </row>
    <row r="897" ht="29.25" customHeight="1">
      <c r="A897" s="216"/>
      <c r="B897" s="349"/>
      <c r="C897" s="350"/>
      <c r="D897" s="351"/>
      <c r="E897" s="352"/>
      <c r="F897" s="173"/>
      <c r="G897" s="168"/>
      <c r="H897" s="168"/>
      <c r="I897" s="169"/>
      <c r="J897" s="170"/>
      <c r="K897" s="170"/>
      <c r="L897" s="170"/>
      <c r="M897" s="167"/>
      <c r="N897" s="169"/>
      <c r="O897" s="171"/>
      <c r="P897" s="106"/>
      <c r="Q897" s="353"/>
      <c r="R897" s="106"/>
    </row>
    <row r="898" ht="29.25" customHeight="1">
      <c r="A898" s="216"/>
      <c r="B898" s="349"/>
      <c r="C898" s="350"/>
      <c r="D898" s="351"/>
      <c r="E898" s="340"/>
      <c r="F898" s="173"/>
      <c r="G898" s="168"/>
      <c r="H898" s="168"/>
      <c r="I898" s="169"/>
      <c r="J898" s="170"/>
      <c r="K898" s="170"/>
      <c r="L898" s="170"/>
      <c r="M898" s="167"/>
      <c r="N898" s="169"/>
      <c r="O898" s="171"/>
      <c r="P898" s="106"/>
      <c r="Q898" s="347"/>
      <c r="R898" s="106"/>
    </row>
    <row r="899" ht="29.25" customHeight="1">
      <c r="A899" s="216"/>
      <c r="B899" s="349"/>
      <c r="C899" s="350"/>
      <c r="D899" s="351"/>
      <c r="E899" s="352"/>
      <c r="F899" s="173"/>
      <c r="G899" s="168"/>
      <c r="H899" s="168"/>
      <c r="I899" s="169"/>
      <c r="J899" s="170"/>
      <c r="K899" s="170"/>
      <c r="L899" s="170"/>
      <c r="M899" s="167"/>
      <c r="N899" s="169"/>
      <c r="O899" s="171"/>
      <c r="P899" s="106"/>
      <c r="Q899" s="353"/>
      <c r="R899" s="106"/>
    </row>
    <row r="900" ht="29.25" customHeight="1">
      <c r="A900" s="216"/>
      <c r="B900" s="349"/>
      <c r="C900" s="350"/>
      <c r="D900" s="351"/>
      <c r="E900" s="340"/>
      <c r="F900" s="173"/>
      <c r="G900" s="168"/>
      <c r="H900" s="168"/>
      <c r="I900" s="169"/>
      <c r="J900" s="170"/>
      <c r="K900" s="170"/>
      <c r="L900" s="170"/>
      <c r="M900" s="167"/>
      <c r="N900" s="169"/>
      <c r="O900" s="171"/>
      <c r="P900" s="106"/>
      <c r="Q900" s="347"/>
      <c r="R900" s="106"/>
    </row>
    <row r="901" ht="29.25" customHeight="1">
      <c r="A901" s="216"/>
      <c r="B901" s="349"/>
      <c r="C901" s="350"/>
      <c r="D901" s="351"/>
      <c r="E901" s="352"/>
      <c r="F901" s="173"/>
      <c r="G901" s="168"/>
      <c r="H901" s="168"/>
      <c r="I901" s="169"/>
      <c r="J901" s="170"/>
      <c r="K901" s="170"/>
      <c r="L901" s="170"/>
      <c r="M901" s="167"/>
      <c r="N901" s="169"/>
      <c r="O901" s="171"/>
      <c r="P901" s="106"/>
      <c r="Q901" s="353"/>
      <c r="R901" s="106"/>
    </row>
    <row r="902" ht="29.25" customHeight="1">
      <c r="A902" s="216"/>
      <c r="B902" s="349"/>
      <c r="C902" s="350"/>
      <c r="D902" s="351"/>
      <c r="E902" s="340"/>
      <c r="F902" s="173"/>
      <c r="G902" s="168"/>
      <c r="H902" s="168"/>
      <c r="I902" s="169"/>
      <c r="J902" s="170"/>
      <c r="K902" s="170"/>
      <c r="L902" s="170"/>
      <c r="M902" s="167"/>
      <c r="N902" s="169"/>
      <c r="O902" s="171"/>
      <c r="P902" s="106"/>
      <c r="Q902" s="347"/>
      <c r="R902" s="106"/>
    </row>
    <row r="903" ht="29.25" customHeight="1">
      <c r="A903" s="216"/>
      <c r="B903" s="349"/>
      <c r="C903" s="350"/>
      <c r="D903" s="351"/>
      <c r="E903" s="352"/>
      <c r="F903" s="173"/>
      <c r="G903" s="168"/>
      <c r="H903" s="168"/>
      <c r="I903" s="169"/>
      <c r="J903" s="170"/>
      <c r="K903" s="170"/>
      <c r="L903" s="170"/>
      <c r="M903" s="167"/>
      <c r="N903" s="169"/>
      <c r="O903" s="171"/>
      <c r="P903" s="106"/>
      <c r="Q903" s="353"/>
      <c r="R903" s="106"/>
    </row>
    <row r="904" ht="29.25" customHeight="1">
      <c r="A904" s="216"/>
      <c r="B904" s="349"/>
      <c r="C904" s="350"/>
      <c r="D904" s="351"/>
      <c r="E904" s="340"/>
      <c r="F904" s="173"/>
      <c r="G904" s="168"/>
      <c r="H904" s="168"/>
      <c r="I904" s="169"/>
      <c r="J904" s="170"/>
      <c r="K904" s="170"/>
      <c r="L904" s="170"/>
      <c r="M904" s="167"/>
      <c r="N904" s="169"/>
      <c r="O904" s="171"/>
      <c r="P904" s="106"/>
      <c r="Q904" s="347"/>
      <c r="R904" s="106"/>
    </row>
    <row r="905" ht="29.25" customHeight="1">
      <c r="A905" s="216"/>
      <c r="B905" s="349"/>
      <c r="C905" s="350"/>
      <c r="D905" s="351"/>
      <c r="E905" s="352"/>
      <c r="F905" s="173"/>
      <c r="G905" s="168"/>
      <c r="H905" s="168"/>
      <c r="I905" s="169"/>
      <c r="J905" s="170"/>
      <c r="K905" s="170"/>
      <c r="L905" s="170"/>
      <c r="M905" s="167"/>
      <c r="N905" s="169"/>
      <c r="O905" s="171"/>
      <c r="P905" s="106"/>
      <c r="Q905" s="353"/>
      <c r="R905" s="106"/>
    </row>
    <row r="906" ht="29.25" customHeight="1">
      <c r="A906" s="216"/>
      <c r="B906" s="349"/>
      <c r="C906" s="350"/>
      <c r="D906" s="351"/>
      <c r="E906" s="340"/>
      <c r="F906" s="173"/>
      <c r="G906" s="168"/>
      <c r="H906" s="168"/>
      <c r="I906" s="169"/>
      <c r="J906" s="170"/>
      <c r="K906" s="170"/>
      <c r="L906" s="170"/>
      <c r="M906" s="167"/>
      <c r="N906" s="169"/>
      <c r="O906" s="171"/>
      <c r="P906" s="106"/>
      <c r="Q906" s="347"/>
      <c r="R906" s="106"/>
    </row>
    <row r="907" ht="29.25" customHeight="1">
      <c r="A907" s="216"/>
      <c r="B907" s="349"/>
      <c r="C907" s="350"/>
      <c r="D907" s="351"/>
      <c r="E907" s="352"/>
      <c r="F907" s="173"/>
      <c r="G907" s="168"/>
      <c r="H907" s="168"/>
      <c r="I907" s="169"/>
      <c r="J907" s="170"/>
      <c r="K907" s="170"/>
      <c r="L907" s="170"/>
      <c r="M907" s="167"/>
      <c r="N907" s="169"/>
      <c r="O907" s="171"/>
      <c r="P907" s="106"/>
      <c r="Q907" s="353"/>
      <c r="R907" s="106"/>
    </row>
    <row r="908" ht="29.25" customHeight="1">
      <c r="A908" s="216"/>
      <c r="B908" s="349"/>
      <c r="C908" s="350"/>
      <c r="D908" s="351"/>
      <c r="E908" s="340"/>
      <c r="F908" s="173"/>
      <c r="G908" s="168"/>
      <c r="H908" s="168"/>
      <c r="I908" s="169"/>
      <c r="J908" s="170"/>
      <c r="K908" s="170"/>
      <c r="L908" s="170"/>
      <c r="M908" s="167"/>
      <c r="N908" s="169"/>
      <c r="O908" s="171"/>
      <c r="P908" s="106"/>
      <c r="Q908" s="347"/>
      <c r="R908" s="106"/>
    </row>
    <row r="909" ht="29.25" customHeight="1">
      <c r="A909" s="216"/>
      <c r="B909" s="349"/>
      <c r="C909" s="350"/>
      <c r="D909" s="351"/>
      <c r="E909" s="352"/>
      <c r="F909" s="173"/>
      <c r="G909" s="168"/>
      <c r="H909" s="168"/>
      <c r="I909" s="169"/>
      <c r="J909" s="170"/>
      <c r="K909" s="170"/>
      <c r="L909" s="170"/>
      <c r="M909" s="167"/>
      <c r="N909" s="169"/>
      <c r="O909" s="171"/>
      <c r="P909" s="106"/>
      <c r="Q909" s="353"/>
      <c r="R909" s="106"/>
    </row>
    <row r="910" ht="29.25" customHeight="1">
      <c r="A910" s="216"/>
      <c r="B910" s="349"/>
      <c r="C910" s="350"/>
      <c r="D910" s="351"/>
      <c r="E910" s="340"/>
      <c r="F910" s="173"/>
      <c r="G910" s="168"/>
      <c r="H910" s="168"/>
      <c r="I910" s="169"/>
      <c r="J910" s="170"/>
      <c r="K910" s="170"/>
      <c r="L910" s="170"/>
      <c r="M910" s="167"/>
      <c r="N910" s="169"/>
      <c r="O910" s="171"/>
      <c r="P910" s="106"/>
      <c r="Q910" s="347"/>
      <c r="R910" s="106"/>
    </row>
    <row r="911" ht="29.25" customHeight="1">
      <c r="A911" s="216"/>
      <c r="B911" s="349"/>
      <c r="C911" s="350"/>
      <c r="D911" s="351"/>
      <c r="E911" s="352"/>
      <c r="F911" s="173"/>
      <c r="G911" s="168"/>
      <c r="H911" s="168"/>
      <c r="I911" s="169"/>
      <c r="J911" s="170"/>
      <c r="K911" s="170"/>
      <c r="L911" s="170"/>
      <c r="M911" s="167"/>
      <c r="N911" s="169"/>
      <c r="O911" s="171"/>
      <c r="P911" s="106"/>
      <c r="Q911" s="353"/>
      <c r="R911" s="106"/>
    </row>
    <row r="912" ht="29.25" customHeight="1">
      <c r="A912" s="216"/>
      <c r="B912" s="349"/>
      <c r="C912" s="350"/>
      <c r="D912" s="351"/>
      <c r="E912" s="340"/>
      <c r="F912" s="173"/>
      <c r="G912" s="168"/>
      <c r="H912" s="168"/>
      <c r="I912" s="169"/>
      <c r="J912" s="170"/>
      <c r="K912" s="170"/>
      <c r="L912" s="170"/>
      <c r="M912" s="167"/>
      <c r="N912" s="169"/>
      <c r="O912" s="171"/>
      <c r="P912" s="106"/>
      <c r="Q912" s="347"/>
      <c r="R912" s="106"/>
    </row>
    <row r="913" ht="29.25" customHeight="1">
      <c r="A913" s="216"/>
      <c r="B913" s="349"/>
      <c r="C913" s="350"/>
      <c r="D913" s="351"/>
      <c r="E913" s="352"/>
      <c r="F913" s="173"/>
      <c r="G913" s="168"/>
      <c r="H913" s="168"/>
      <c r="I913" s="169"/>
      <c r="J913" s="170"/>
      <c r="K913" s="170"/>
      <c r="L913" s="170"/>
      <c r="M913" s="167"/>
      <c r="N913" s="169"/>
      <c r="O913" s="171"/>
      <c r="P913" s="106"/>
      <c r="Q913" s="353"/>
      <c r="R913" s="106"/>
    </row>
    <row r="914" ht="29.25" customHeight="1">
      <c r="A914" s="216"/>
      <c r="B914" s="349"/>
      <c r="C914" s="350"/>
      <c r="D914" s="351"/>
      <c r="E914" s="340"/>
      <c r="F914" s="173"/>
      <c r="G914" s="168"/>
      <c r="H914" s="168"/>
      <c r="I914" s="169"/>
      <c r="J914" s="170"/>
      <c r="K914" s="170"/>
      <c r="L914" s="170"/>
      <c r="M914" s="167"/>
      <c r="N914" s="169"/>
      <c r="O914" s="171"/>
      <c r="P914" s="106"/>
      <c r="Q914" s="347"/>
      <c r="R914" s="106"/>
    </row>
    <row r="915" ht="29.25" customHeight="1">
      <c r="A915" s="216"/>
      <c r="B915" s="349"/>
      <c r="C915" s="350"/>
      <c r="D915" s="351"/>
      <c r="E915" s="352"/>
      <c r="F915" s="173"/>
      <c r="G915" s="168"/>
      <c r="H915" s="168"/>
      <c r="I915" s="169"/>
      <c r="J915" s="170"/>
      <c r="K915" s="170"/>
      <c r="L915" s="170"/>
      <c r="M915" s="167"/>
      <c r="N915" s="169"/>
      <c r="O915" s="171"/>
      <c r="P915" s="106"/>
      <c r="Q915" s="353"/>
      <c r="R915" s="106"/>
    </row>
    <row r="916" ht="29.25" customHeight="1">
      <c r="A916" s="216"/>
      <c r="B916" s="349"/>
      <c r="C916" s="350"/>
      <c r="D916" s="351"/>
      <c r="E916" s="340"/>
      <c r="F916" s="173"/>
      <c r="G916" s="168"/>
      <c r="H916" s="168"/>
      <c r="I916" s="169"/>
      <c r="J916" s="170"/>
      <c r="K916" s="170"/>
      <c r="L916" s="170"/>
      <c r="M916" s="167"/>
      <c r="N916" s="169"/>
      <c r="O916" s="171"/>
      <c r="P916" s="106"/>
      <c r="Q916" s="347"/>
      <c r="R916" s="106"/>
    </row>
    <row r="917" ht="29.25" customHeight="1">
      <c r="A917" s="216"/>
      <c r="B917" s="349"/>
      <c r="C917" s="350"/>
      <c r="D917" s="351"/>
      <c r="E917" s="352"/>
      <c r="F917" s="173"/>
      <c r="G917" s="168"/>
      <c r="H917" s="168"/>
      <c r="I917" s="169"/>
      <c r="J917" s="170"/>
      <c r="K917" s="170"/>
      <c r="L917" s="170"/>
      <c r="M917" s="167"/>
      <c r="N917" s="169"/>
      <c r="O917" s="171"/>
      <c r="P917" s="106"/>
      <c r="Q917" s="353"/>
      <c r="R917" s="106"/>
    </row>
    <row r="918" ht="29.25" customHeight="1">
      <c r="A918" s="216"/>
      <c r="B918" s="349"/>
      <c r="C918" s="350"/>
      <c r="D918" s="351"/>
      <c r="E918" s="340"/>
      <c r="F918" s="173"/>
      <c r="G918" s="168"/>
      <c r="H918" s="168"/>
      <c r="I918" s="169"/>
      <c r="J918" s="170"/>
      <c r="K918" s="170"/>
      <c r="L918" s="170"/>
      <c r="M918" s="167"/>
      <c r="N918" s="169"/>
      <c r="O918" s="171"/>
      <c r="P918" s="106"/>
      <c r="Q918" s="347"/>
      <c r="R918" s="106"/>
    </row>
    <row r="919" ht="29.25" customHeight="1">
      <c r="A919" s="216"/>
      <c r="B919" s="349"/>
      <c r="C919" s="350"/>
      <c r="D919" s="351"/>
      <c r="E919" s="352"/>
      <c r="F919" s="173"/>
      <c r="G919" s="168"/>
      <c r="H919" s="168"/>
      <c r="I919" s="169"/>
      <c r="J919" s="170"/>
      <c r="K919" s="170"/>
      <c r="L919" s="170"/>
      <c r="M919" s="167"/>
      <c r="N919" s="169"/>
      <c r="O919" s="171"/>
      <c r="P919" s="106"/>
      <c r="Q919" s="353"/>
      <c r="R919" s="106"/>
    </row>
    <row r="920" ht="29.25" customHeight="1">
      <c r="A920" s="216"/>
      <c r="B920" s="349"/>
      <c r="C920" s="350"/>
      <c r="D920" s="351"/>
      <c r="E920" s="340"/>
      <c r="F920" s="173"/>
      <c r="G920" s="168"/>
      <c r="H920" s="168"/>
      <c r="I920" s="169"/>
      <c r="J920" s="170"/>
      <c r="K920" s="170"/>
      <c r="L920" s="170"/>
      <c r="M920" s="167"/>
      <c r="N920" s="169"/>
      <c r="O920" s="171"/>
      <c r="P920" s="106"/>
      <c r="Q920" s="347"/>
      <c r="R920" s="106"/>
    </row>
    <row r="921" ht="29.25" customHeight="1">
      <c r="A921" s="216"/>
      <c r="B921" s="349"/>
      <c r="C921" s="350"/>
      <c r="D921" s="351"/>
      <c r="E921" s="352"/>
      <c r="F921" s="173"/>
      <c r="G921" s="168"/>
      <c r="H921" s="168"/>
      <c r="I921" s="169"/>
      <c r="J921" s="170"/>
      <c r="K921" s="170"/>
      <c r="L921" s="170"/>
      <c r="M921" s="167"/>
      <c r="N921" s="169"/>
      <c r="O921" s="171"/>
      <c r="P921" s="106"/>
      <c r="Q921" s="353"/>
      <c r="R921" s="106"/>
    </row>
    <row r="922" ht="29.25" customHeight="1">
      <c r="A922" s="216"/>
      <c r="B922" s="349"/>
      <c r="C922" s="350"/>
      <c r="D922" s="351"/>
      <c r="E922" s="340"/>
      <c r="F922" s="173"/>
      <c r="G922" s="168"/>
      <c r="H922" s="168"/>
      <c r="I922" s="169"/>
      <c r="J922" s="170"/>
      <c r="K922" s="170"/>
      <c r="L922" s="170"/>
      <c r="M922" s="167"/>
      <c r="N922" s="169"/>
      <c r="O922" s="171"/>
      <c r="P922" s="106"/>
      <c r="Q922" s="347"/>
      <c r="R922" s="106"/>
    </row>
    <row r="923" ht="29.25" customHeight="1">
      <c r="A923" s="216"/>
      <c r="B923" s="349"/>
      <c r="C923" s="350"/>
      <c r="D923" s="351"/>
      <c r="E923" s="352"/>
      <c r="F923" s="173"/>
      <c r="G923" s="168"/>
      <c r="H923" s="168"/>
      <c r="I923" s="169"/>
      <c r="J923" s="170"/>
      <c r="K923" s="170"/>
      <c r="L923" s="170"/>
      <c r="M923" s="167"/>
      <c r="N923" s="169"/>
      <c r="O923" s="171"/>
      <c r="P923" s="106"/>
      <c r="Q923" s="353"/>
      <c r="R923" s="106"/>
    </row>
    <row r="924" ht="29.25" customHeight="1">
      <c r="A924" s="216"/>
      <c r="B924" s="349"/>
      <c r="C924" s="350"/>
      <c r="D924" s="351"/>
      <c r="E924" s="340"/>
      <c r="F924" s="173"/>
      <c r="G924" s="168"/>
      <c r="H924" s="168"/>
      <c r="I924" s="169"/>
      <c r="J924" s="170"/>
      <c r="K924" s="170"/>
      <c r="L924" s="170"/>
      <c r="M924" s="167"/>
      <c r="N924" s="169"/>
      <c r="O924" s="171"/>
      <c r="P924" s="106"/>
      <c r="Q924" s="347"/>
      <c r="R924" s="106"/>
    </row>
    <row r="925" ht="29.25" customHeight="1">
      <c r="A925" s="216"/>
      <c r="B925" s="349"/>
      <c r="C925" s="350"/>
      <c r="D925" s="351"/>
      <c r="E925" s="352"/>
      <c r="F925" s="173"/>
      <c r="G925" s="168"/>
      <c r="H925" s="168"/>
      <c r="I925" s="169"/>
      <c r="J925" s="170"/>
      <c r="K925" s="170"/>
      <c r="L925" s="170"/>
      <c r="M925" s="167"/>
      <c r="N925" s="169"/>
      <c r="O925" s="171"/>
      <c r="P925" s="106"/>
      <c r="Q925" s="353"/>
      <c r="R925" s="106"/>
    </row>
    <row r="926" ht="29.25" customHeight="1">
      <c r="A926" s="216"/>
      <c r="B926" s="349"/>
      <c r="C926" s="350"/>
      <c r="D926" s="351"/>
      <c r="E926" s="340"/>
      <c r="F926" s="173"/>
      <c r="G926" s="168"/>
      <c r="H926" s="168"/>
      <c r="I926" s="169"/>
      <c r="J926" s="170"/>
      <c r="K926" s="170"/>
      <c r="L926" s="170"/>
      <c r="M926" s="167"/>
      <c r="N926" s="169"/>
      <c r="O926" s="171"/>
      <c r="P926" s="106"/>
      <c r="Q926" s="347"/>
      <c r="R926" s="106"/>
    </row>
    <row r="927" ht="29.25" customHeight="1">
      <c r="A927" s="216"/>
      <c r="B927" s="349"/>
      <c r="C927" s="350"/>
      <c r="D927" s="351"/>
      <c r="E927" s="352"/>
      <c r="F927" s="173"/>
      <c r="G927" s="168"/>
      <c r="H927" s="168"/>
      <c r="I927" s="169"/>
      <c r="J927" s="170"/>
      <c r="K927" s="170"/>
      <c r="L927" s="170"/>
      <c r="M927" s="167"/>
      <c r="N927" s="169"/>
      <c r="O927" s="171"/>
      <c r="P927" s="106"/>
      <c r="Q927" s="353"/>
      <c r="R927" s="106"/>
    </row>
    <row r="928" ht="29.25" customHeight="1">
      <c r="A928" s="216"/>
      <c r="B928" s="349"/>
      <c r="C928" s="350"/>
      <c r="D928" s="351"/>
      <c r="E928" s="340"/>
      <c r="F928" s="173"/>
      <c r="G928" s="168"/>
      <c r="H928" s="168"/>
      <c r="I928" s="169"/>
      <c r="J928" s="170"/>
      <c r="K928" s="170"/>
      <c r="L928" s="170"/>
      <c r="M928" s="167"/>
      <c r="N928" s="169"/>
      <c r="O928" s="171"/>
      <c r="P928" s="106"/>
      <c r="Q928" s="347"/>
      <c r="R928" s="106"/>
    </row>
    <row r="929" ht="29.25" customHeight="1">
      <c r="A929" s="216"/>
      <c r="B929" s="349"/>
      <c r="C929" s="350"/>
      <c r="D929" s="351"/>
      <c r="E929" s="352"/>
      <c r="F929" s="173"/>
      <c r="G929" s="168"/>
      <c r="H929" s="168"/>
      <c r="I929" s="169"/>
      <c r="J929" s="170"/>
      <c r="K929" s="170"/>
      <c r="L929" s="170"/>
      <c r="M929" s="167"/>
      <c r="N929" s="169"/>
      <c r="O929" s="171"/>
      <c r="P929" s="106"/>
      <c r="Q929" s="353"/>
      <c r="R929" s="106"/>
    </row>
    <row r="930" ht="29.25" customHeight="1">
      <c r="A930" s="216"/>
      <c r="B930" s="349"/>
      <c r="C930" s="350"/>
      <c r="D930" s="351"/>
      <c r="E930" s="340"/>
      <c r="F930" s="173"/>
      <c r="G930" s="168"/>
      <c r="H930" s="168"/>
      <c r="I930" s="169"/>
      <c r="J930" s="170"/>
      <c r="K930" s="170"/>
      <c r="L930" s="170"/>
      <c r="M930" s="167"/>
      <c r="N930" s="169"/>
      <c r="O930" s="171"/>
      <c r="P930" s="106"/>
      <c r="Q930" s="347"/>
      <c r="R930" s="106"/>
    </row>
    <row r="931" ht="29.25" customHeight="1">
      <c r="A931" s="216"/>
      <c r="B931" s="349"/>
      <c r="C931" s="350"/>
      <c r="D931" s="351"/>
      <c r="E931" s="352"/>
      <c r="F931" s="173"/>
      <c r="G931" s="168"/>
      <c r="H931" s="168"/>
      <c r="I931" s="169"/>
      <c r="J931" s="170"/>
      <c r="K931" s="170"/>
      <c r="L931" s="170"/>
      <c r="M931" s="167"/>
      <c r="N931" s="169"/>
      <c r="O931" s="171"/>
      <c r="P931" s="106"/>
      <c r="Q931" s="353"/>
      <c r="R931" s="106"/>
    </row>
    <row r="932" ht="29.25" customHeight="1">
      <c r="A932" s="216"/>
      <c r="B932" s="349"/>
      <c r="C932" s="350"/>
      <c r="D932" s="351"/>
      <c r="E932" s="340"/>
      <c r="F932" s="173"/>
      <c r="G932" s="168"/>
      <c r="H932" s="168"/>
      <c r="I932" s="169"/>
      <c r="J932" s="170"/>
      <c r="K932" s="170"/>
      <c r="L932" s="170"/>
      <c r="M932" s="167"/>
      <c r="N932" s="169"/>
      <c r="O932" s="171"/>
      <c r="P932" s="106"/>
      <c r="Q932" s="347"/>
      <c r="R932" s="106"/>
    </row>
    <row r="933" ht="29.25" customHeight="1">
      <c r="A933" s="216"/>
      <c r="B933" s="349"/>
      <c r="C933" s="350"/>
      <c r="D933" s="351"/>
      <c r="E933" s="352"/>
      <c r="F933" s="173"/>
      <c r="G933" s="168"/>
      <c r="H933" s="168"/>
      <c r="I933" s="169"/>
      <c r="J933" s="170"/>
      <c r="K933" s="170"/>
      <c r="L933" s="170"/>
      <c r="M933" s="167"/>
      <c r="N933" s="169"/>
      <c r="O933" s="171"/>
      <c r="P933" s="106"/>
      <c r="Q933" s="353"/>
      <c r="R933" s="106"/>
    </row>
    <row r="934" ht="29.25" customHeight="1">
      <c r="A934" s="216"/>
      <c r="B934" s="349"/>
      <c r="C934" s="350"/>
      <c r="D934" s="351"/>
      <c r="E934" s="340"/>
      <c r="F934" s="173"/>
      <c r="G934" s="168"/>
      <c r="H934" s="168"/>
      <c r="I934" s="169"/>
      <c r="J934" s="170"/>
      <c r="K934" s="170"/>
      <c r="L934" s="170"/>
      <c r="M934" s="167"/>
      <c r="N934" s="169"/>
      <c r="O934" s="171"/>
      <c r="P934" s="106"/>
      <c r="Q934" s="347"/>
      <c r="R934" s="106"/>
    </row>
    <row r="935" ht="29.25" customHeight="1">
      <c r="A935" s="216"/>
      <c r="B935" s="349"/>
      <c r="C935" s="350"/>
      <c r="D935" s="351"/>
      <c r="E935" s="352"/>
      <c r="F935" s="173"/>
      <c r="G935" s="168"/>
      <c r="H935" s="168"/>
      <c r="I935" s="169"/>
      <c r="J935" s="170"/>
      <c r="K935" s="170"/>
      <c r="L935" s="170"/>
      <c r="M935" s="167"/>
      <c r="N935" s="169"/>
      <c r="O935" s="171"/>
      <c r="P935" s="106"/>
      <c r="Q935" s="353"/>
      <c r="R935" s="106"/>
    </row>
    <row r="936" ht="29.25" customHeight="1">
      <c r="A936" s="216"/>
      <c r="B936" s="349"/>
      <c r="C936" s="350"/>
      <c r="D936" s="351"/>
      <c r="E936" s="340"/>
      <c r="F936" s="173"/>
      <c r="G936" s="168"/>
      <c r="H936" s="168"/>
      <c r="I936" s="169"/>
      <c r="J936" s="170"/>
      <c r="K936" s="170"/>
      <c r="L936" s="170"/>
      <c r="M936" s="167"/>
      <c r="N936" s="169"/>
      <c r="O936" s="171"/>
      <c r="P936" s="106"/>
      <c r="Q936" s="347"/>
      <c r="R936" s="106"/>
    </row>
    <row r="937" ht="29.25" customHeight="1">
      <c r="A937" s="216"/>
      <c r="B937" s="349"/>
      <c r="C937" s="350"/>
      <c r="D937" s="351"/>
      <c r="E937" s="352"/>
      <c r="F937" s="173"/>
      <c r="G937" s="168"/>
      <c r="H937" s="168"/>
      <c r="I937" s="169"/>
      <c r="J937" s="170"/>
      <c r="K937" s="170"/>
      <c r="L937" s="170"/>
      <c r="M937" s="167"/>
      <c r="N937" s="169"/>
      <c r="O937" s="171"/>
      <c r="P937" s="106"/>
      <c r="Q937" s="353"/>
      <c r="R937" s="106"/>
    </row>
    <row r="938" ht="29.25" customHeight="1">
      <c r="A938" s="216"/>
      <c r="B938" s="349"/>
      <c r="C938" s="350"/>
      <c r="D938" s="351"/>
      <c r="E938" s="340"/>
      <c r="F938" s="173"/>
      <c r="G938" s="168"/>
      <c r="H938" s="168"/>
      <c r="I938" s="169"/>
      <c r="J938" s="170"/>
      <c r="K938" s="170"/>
      <c r="L938" s="170"/>
      <c r="M938" s="167"/>
      <c r="N938" s="169"/>
      <c r="O938" s="171"/>
      <c r="P938" s="106"/>
      <c r="Q938" s="347"/>
      <c r="R938" s="106"/>
    </row>
    <row r="939" ht="29.25" customHeight="1">
      <c r="A939" s="216"/>
      <c r="B939" s="349"/>
      <c r="C939" s="350"/>
      <c r="D939" s="351"/>
      <c r="E939" s="352"/>
      <c r="F939" s="173"/>
      <c r="G939" s="168"/>
      <c r="H939" s="168"/>
      <c r="I939" s="169"/>
      <c r="J939" s="170"/>
      <c r="K939" s="170"/>
      <c r="L939" s="170"/>
      <c r="M939" s="167"/>
      <c r="N939" s="169"/>
      <c r="O939" s="171"/>
      <c r="P939" s="106"/>
      <c r="Q939" s="353"/>
      <c r="R939" s="106"/>
    </row>
    <row r="940" ht="29.25" customHeight="1">
      <c r="A940" s="216"/>
      <c r="B940" s="349"/>
      <c r="C940" s="350"/>
      <c r="D940" s="351"/>
      <c r="E940" s="340"/>
      <c r="F940" s="173"/>
      <c r="G940" s="168"/>
      <c r="H940" s="168"/>
      <c r="I940" s="169"/>
      <c r="J940" s="170"/>
      <c r="K940" s="170"/>
      <c r="L940" s="170"/>
      <c r="M940" s="167"/>
      <c r="N940" s="169"/>
      <c r="O940" s="171"/>
      <c r="P940" s="106"/>
      <c r="Q940" s="347"/>
      <c r="R940" s="106"/>
    </row>
    <row r="941" ht="29.25" customHeight="1">
      <c r="A941" s="216"/>
      <c r="B941" s="349"/>
      <c r="C941" s="350"/>
      <c r="D941" s="351"/>
      <c r="E941" s="352"/>
      <c r="F941" s="173"/>
      <c r="G941" s="168"/>
      <c r="H941" s="168"/>
      <c r="I941" s="169"/>
      <c r="J941" s="170"/>
      <c r="K941" s="170"/>
      <c r="L941" s="170"/>
      <c r="M941" s="167"/>
      <c r="N941" s="169"/>
      <c r="O941" s="171"/>
      <c r="P941" s="106"/>
      <c r="Q941" s="353"/>
      <c r="R941" s="106"/>
    </row>
    <row r="942" ht="29.25" customHeight="1">
      <c r="A942" s="216"/>
      <c r="B942" s="349"/>
      <c r="C942" s="350"/>
      <c r="D942" s="351"/>
      <c r="E942" s="340"/>
      <c r="F942" s="173"/>
      <c r="G942" s="168"/>
      <c r="H942" s="168"/>
      <c r="I942" s="169"/>
      <c r="J942" s="170"/>
      <c r="K942" s="170"/>
      <c r="L942" s="170"/>
      <c r="M942" s="167"/>
      <c r="N942" s="169"/>
      <c r="O942" s="171"/>
      <c r="P942" s="106"/>
      <c r="Q942" s="347"/>
      <c r="R942" s="106"/>
    </row>
    <row r="943" ht="29.25" customHeight="1">
      <c r="A943" s="216"/>
      <c r="B943" s="349"/>
      <c r="C943" s="350"/>
      <c r="D943" s="351"/>
      <c r="E943" s="352"/>
      <c r="F943" s="173"/>
      <c r="G943" s="168"/>
      <c r="H943" s="168"/>
      <c r="I943" s="169"/>
      <c r="J943" s="170"/>
      <c r="K943" s="170"/>
      <c r="L943" s="170"/>
      <c r="M943" s="167"/>
      <c r="N943" s="169"/>
      <c r="O943" s="171"/>
      <c r="P943" s="106"/>
      <c r="Q943" s="353"/>
      <c r="R943" s="106"/>
    </row>
    <row r="944" ht="29.25" customHeight="1">
      <c r="A944" s="216"/>
      <c r="B944" s="349"/>
      <c r="C944" s="350"/>
      <c r="D944" s="351"/>
      <c r="E944" s="340"/>
      <c r="F944" s="173"/>
      <c r="G944" s="168"/>
      <c r="H944" s="168"/>
      <c r="I944" s="169"/>
      <c r="J944" s="170"/>
      <c r="K944" s="170"/>
      <c r="L944" s="170"/>
      <c r="M944" s="167"/>
      <c r="N944" s="169"/>
      <c r="O944" s="171"/>
      <c r="P944" s="106"/>
      <c r="Q944" s="347"/>
      <c r="R944" s="106"/>
    </row>
    <row r="945" ht="29.25" customHeight="1">
      <c r="A945" s="216"/>
      <c r="B945" s="349"/>
      <c r="C945" s="350"/>
      <c r="D945" s="351"/>
      <c r="E945" s="352"/>
      <c r="F945" s="173"/>
      <c r="G945" s="168"/>
      <c r="H945" s="168"/>
      <c r="I945" s="169"/>
      <c r="J945" s="170"/>
      <c r="K945" s="170"/>
      <c r="L945" s="170"/>
      <c r="M945" s="167"/>
      <c r="N945" s="169"/>
      <c r="O945" s="171"/>
      <c r="P945" s="106"/>
      <c r="Q945" s="353"/>
      <c r="R945" s="106"/>
    </row>
    <row r="946" ht="29.25" customHeight="1">
      <c r="A946" s="216"/>
      <c r="B946" s="349"/>
      <c r="C946" s="350"/>
      <c r="D946" s="351"/>
      <c r="E946" s="340"/>
      <c r="F946" s="173"/>
      <c r="G946" s="168"/>
      <c r="H946" s="168"/>
      <c r="I946" s="169"/>
      <c r="J946" s="170"/>
      <c r="K946" s="170"/>
      <c r="L946" s="170"/>
      <c r="M946" s="167"/>
      <c r="N946" s="169"/>
      <c r="O946" s="171"/>
      <c r="P946" s="106"/>
      <c r="Q946" s="347"/>
      <c r="R946" s="106"/>
    </row>
    <row r="947" ht="29.25" customHeight="1">
      <c r="A947" s="216"/>
      <c r="B947" s="349"/>
      <c r="C947" s="350"/>
      <c r="D947" s="351"/>
      <c r="E947" s="352"/>
      <c r="F947" s="173"/>
      <c r="G947" s="168"/>
      <c r="H947" s="168"/>
      <c r="I947" s="169"/>
      <c r="J947" s="170"/>
      <c r="K947" s="170"/>
      <c r="L947" s="170"/>
      <c r="M947" s="167"/>
      <c r="N947" s="169"/>
      <c r="O947" s="171"/>
      <c r="P947" s="106"/>
      <c r="Q947" s="353"/>
      <c r="R947" s="106"/>
    </row>
    <row r="948" ht="29.25" customHeight="1">
      <c r="A948" s="216"/>
      <c r="B948" s="349"/>
      <c r="C948" s="350"/>
      <c r="D948" s="351"/>
      <c r="E948" s="340"/>
      <c r="F948" s="173"/>
      <c r="G948" s="168"/>
      <c r="H948" s="168"/>
      <c r="I948" s="169"/>
      <c r="J948" s="170"/>
      <c r="K948" s="170"/>
      <c r="L948" s="170"/>
      <c r="M948" s="167"/>
      <c r="N948" s="169"/>
      <c r="O948" s="171"/>
      <c r="P948" s="106"/>
      <c r="Q948" s="347"/>
      <c r="R948" s="106"/>
    </row>
    <row r="949" ht="29.25" customHeight="1">
      <c r="A949" s="216"/>
      <c r="B949" s="349"/>
      <c r="C949" s="350"/>
      <c r="D949" s="351"/>
      <c r="E949" s="352"/>
      <c r="F949" s="173"/>
      <c r="G949" s="168"/>
      <c r="H949" s="168"/>
      <c r="I949" s="169"/>
      <c r="J949" s="170"/>
      <c r="K949" s="170"/>
      <c r="L949" s="170"/>
      <c r="M949" s="167"/>
      <c r="N949" s="169"/>
      <c r="O949" s="171"/>
      <c r="P949" s="106"/>
      <c r="Q949" s="353"/>
      <c r="R949" s="106"/>
    </row>
    <row r="950" ht="29.25" customHeight="1">
      <c r="A950" s="216"/>
      <c r="B950" s="349"/>
      <c r="C950" s="350"/>
      <c r="D950" s="351"/>
      <c r="E950" s="340"/>
      <c r="F950" s="173"/>
      <c r="G950" s="168"/>
      <c r="H950" s="168"/>
      <c r="I950" s="169"/>
      <c r="J950" s="170"/>
      <c r="K950" s="170"/>
      <c r="L950" s="170"/>
      <c r="M950" s="167"/>
      <c r="N950" s="169"/>
      <c r="O950" s="171"/>
      <c r="P950" s="106"/>
      <c r="Q950" s="347"/>
      <c r="R950" s="106"/>
    </row>
    <row r="951" ht="29.25" customHeight="1">
      <c r="A951" s="216"/>
      <c r="B951" s="349"/>
      <c r="C951" s="350"/>
      <c r="D951" s="351"/>
      <c r="E951" s="352"/>
      <c r="F951" s="173"/>
      <c r="G951" s="168"/>
      <c r="H951" s="168"/>
      <c r="I951" s="169"/>
      <c r="J951" s="170"/>
      <c r="K951" s="170"/>
      <c r="L951" s="170"/>
      <c r="M951" s="167"/>
      <c r="N951" s="169"/>
      <c r="O951" s="171"/>
      <c r="P951" s="106"/>
      <c r="Q951" s="353"/>
      <c r="R951" s="106"/>
    </row>
    <row r="952" ht="29.25" customHeight="1">
      <c r="A952" s="216"/>
      <c r="B952" s="349"/>
      <c r="C952" s="350"/>
      <c r="D952" s="351"/>
      <c r="E952" s="340"/>
      <c r="F952" s="173"/>
      <c r="G952" s="168"/>
      <c r="H952" s="168"/>
      <c r="I952" s="169"/>
      <c r="J952" s="170"/>
      <c r="K952" s="170"/>
      <c r="L952" s="170"/>
      <c r="M952" s="167"/>
      <c r="N952" s="169"/>
      <c r="O952" s="171"/>
      <c r="P952" s="106"/>
      <c r="Q952" s="347"/>
      <c r="R952" s="106"/>
    </row>
    <row r="953" ht="29.25" customHeight="1">
      <c r="A953" s="216"/>
      <c r="B953" s="349"/>
      <c r="C953" s="350"/>
      <c r="D953" s="351"/>
      <c r="E953" s="352"/>
      <c r="F953" s="173"/>
      <c r="G953" s="168"/>
      <c r="H953" s="168"/>
      <c r="I953" s="169"/>
      <c r="J953" s="170"/>
      <c r="K953" s="170"/>
      <c r="L953" s="170"/>
      <c r="M953" s="167"/>
      <c r="N953" s="169"/>
      <c r="O953" s="171"/>
      <c r="P953" s="106"/>
      <c r="Q953" s="353"/>
      <c r="R953" s="106"/>
    </row>
    <row r="954" ht="29.25" customHeight="1">
      <c r="A954" s="216"/>
      <c r="B954" s="349"/>
      <c r="C954" s="350"/>
      <c r="D954" s="351"/>
      <c r="E954" s="340"/>
      <c r="F954" s="173"/>
      <c r="G954" s="168"/>
      <c r="H954" s="168"/>
      <c r="I954" s="169"/>
      <c r="J954" s="170"/>
      <c r="K954" s="170"/>
      <c r="L954" s="170"/>
      <c r="M954" s="167"/>
      <c r="N954" s="169"/>
      <c r="O954" s="171"/>
      <c r="P954" s="106"/>
      <c r="Q954" s="347"/>
      <c r="R954" s="106"/>
    </row>
    <row r="955" ht="29.25" customHeight="1">
      <c r="A955" s="216"/>
      <c r="B955" s="349"/>
      <c r="C955" s="350"/>
      <c r="D955" s="351"/>
      <c r="E955" s="352"/>
      <c r="F955" s="173"/>
      <c r="G955" s="168"/>
      <c r="H955" s="168"/>
      <c r="I955" s="169"/>
      <c r="J955" s="170"/>
      <c r="K955" s="170"/>
      <c r="L955" s="170"/>
      <c r="M955" s="167"/>
      <c r="N955" s="169"/>
      <c r="O955" s="171"/>
      <c r="P955" s="106"/>
      <c r="Q955" s="353"/>
      <c r="R955" s="106"/>
    </row>
    <row r="956" ht="29.25" customHeight="1">
      <c r="A956" s="216"/>
      <c r="B956" s="349"/>
      <c r="C956" s="350"/>
      <c r="D956" s="351"/>
      <c r="E956" s="340"/>
      <c r="F956" s="173"/>
      <c r="G956" s="168"/>
      <c r="H956" s="168"/>
      <c r="I956" s="169"/>
      <c r="J956" s="170"/>
      <c r="K956" s="170"/>
      <c r="L956" s="170"/>
      <c r="M956" s="167"/>
      <c r="N956" s="169"/>
      <c r="O956" s="171"/>
      <c r="P956" s="106"/>
      <c r="Q956" s="347"/>
      <c r="R956" s="106"/>
    </row>
    <row r="957" ht="29.25" customHeight="1">
      <c r="A957" s="216"/>
      <c r="B957" s="349"/>
      <c r="C957" s="350"/>
      <c r="D957" s="351"/>
      <c r="E957" s="352"/>
      <c r="F957" s="173"/>
      <c r="G957" s="168"/>
      <c r="H957" s="168"/>
      <c r="I957" s="169"/>
      <c r="J957" s="170"/>
      <c r="K957" s="170"/>
      <c r="L957" s="170"/>
      <c r="M957" s="167"/>
      <c r="N957" s="169"/>
      <c r="O957" s="171"/>
      <c r="P957" s="106"/>
      <c r="Q957" s="353"/>
      <c r="R957" s="106"/>
    </row>
    <row r="958" ht="29.25" customHeight="1">
      <c r="A958" s="216"/>
      <c r="B958" s="349"/>
      <c r="C958" s="350"/>
      <c r="D958" s="351"/>
      <c r="E958" s="340"/>
      <c r="F958" s="173"/>
      <c r="G958" s="168"/>
      <c r="H958" s="168"/>
      <c r="I958" s="169"/>
      <c r="J958" s="170"/>
      <c r="K958" s="170"/>
      <c r="L958" s="170"/>
      <c r="M958" s="167"/>
      <c r="N958" s="169"/>
      <c r="O958" s="171"/>
      <c r="P958" s="106"/>
      <c r="Q958" s="347"/>
      <c r="R958" s="106"/>
    </row>
    <row r="959" ht="29.25" customHeight="1">
      <c r="A959" s="216"/>
      <c r="B959" s="349"/>
      <c r="C959" s="350"/>
      <c r="D959" s="351"/>
      <c r="E959" s="352"/>
      <c r="F959" s="173"/>
      <c r="G959" s="168"/>
      <c r="H959" s="168"/>
      <c r="I959" s="169"/>
      <c r="J959" s="170"/>
      <c r="K959" s="170"/>
      <c r="L959" s="170"/>
      <c r="M959" s="167"/>
      <c r="N959" s="169"/>
      <c r="O959" s="171"/>
      <c r="P959" s="106"/>
      <c r="Q959" s="353"/>
      <c r="R959" s="106"/>
    </row>
    <row r="960" ht="29.25" customHeight="1">
      <c r="A960" s="216"/>
      <c r="B960" s="349"/>
      <c r="C960" s="350"/>
      <c r="D960" s="351"/>
      <c r="E960" s="340"/>
      <c r="F960" s="173"/>
      <c r="G960" s="168"/>
      <c r="H960" s="168"/>
      <c r="I960" s="169"/>
      <c r="J960" s="170"/>
      <c r="K960" s="170"/>
      <c r="L960" s="170"/>
      <c r="M960" s="167"/>
      <c r="N960" s="169"/>
      <c r="O960" s="171"/>
      <c r="P960" s="106"/>
      <c r="Q960" s="347"/>
      <c r="R960" s="106"/>
    </row>
    <row r="961" ht="29.25" customHeight="1">
      <c r="A961" s="216"/>
      <c r="B961" s="349"/>
      <c r="C961" s="350"/>
      <c r="D961" s="351"/>
      <c r="E961" s="352"/>
      <c r="F961" s="173"/>
      <c r="G961" s="168"/>
      <c r="H961" s="168"/>
      <c r="I961" s="169"/>
      <c r="J961" s="170"/>
      <c r="K961" s="170"/>
      <c r="L961" s="170"/>
      <c r="M961" s="167"/>
      <c r="N961" s="169"/>
      <c r="O961" s="171"/>
      <c r="P961" s="106"/>
      <c r="Q961" s="353"/>
      <c r="R961" s="106"/>
    </row>
    <row r="962" ht="29.25" customHeight="1">
      <c r="A962" s="216"/>
      <c r="B962" s="349"/>
      <c r="C962" s="350"/>
      <c r="D962" s="351"/>
      <c r="E962" s="340"/>
      <c r="F962" s="173"/>
      <c r="G962" s="168"/>
      <c r="H962" s="168"/>
      <c r="I962" s="169"/>
      <c r="J962" s="170"/>
      <c r="K962" s="170"/>
      <c r="L962" s="170"/>
      <c r="M962" s="167"/>
      <c r="N962" s="169"/>
      <c r="O962" s="171"/>
      <c r="P962" s="106"/>
      <c r="Q962" s="347"/>
      <c r="R962" s="106"/>
    </row>
    <row r="963" ht="29.25" customHeight="1">
      <c r="A963" s="216"/>
      <c r="B963" s="349"/>
      <c r="C963" s="350"/>
      <c r="D963" s="351"/>
      <c r="E963" s="352"/>
      <c r="F963" s="173"/>
      <c r="G963" s="168"/>
      <c r="H963" s="168"/>
      <c r="I963" s="169"/>
      <c r="J963" s="170"/>
      <c r="K963" s="170"/>
      <c r="L963" s="170"/>
      <c r="M963" s="167"/>
      <c r="N963" s="169"/>
      <c r="O963" s="171"/>
      <c r="P963" s="106"/>
      <c r="Q963" s="353"/>
      <c r="R963" s="106"/>
    </row>
    <row r="964" ht="29.25" customHeight="1">
      <c r="A964" s="216"/>
      <c r="B964" s="349"/>
      <c r="C964" s="350"/>
      <c r="D964" s="351"/>
      <c r="E964" s="340"/>
      <c r="F964" s="173"/>
      <c r="G964" s="168"/>
      <c r="H964" s="168"/>
      <c r="I964" s="169"/>
      <c r="J964" s="170"/>
      <c r="K964" s="170"/>
      <c r="L964" s="170"/>
      <c r="M964" s="167"/>
      <c r="N964" s="169"/>
      <c r="O964" s="171"/>
      <c r="P964" s="106"/>
      <c r="Q964" s="347"/>
      <c r="R964" s="106"/>
    </row>
    <row r="965" ht="29.25" customHeight="1">
      <c r="A965" s="216"/>
      <c r="B965" s="349"/>
      <c r="C965" s="350"/>
      <c r="D965" s="351"/>
      <c r="E965" s="352"/>
      <c r="F965" s="173"/>
      <c r="G965" s="168"/>
      <c r="H965" s="168"/>
      <c r="I965" s="169"/>
      <c r="J965" s="170"/>
      <c r="K965" s="170"/>
      <c r="L965" s="170"/>
      <c r="M965" s="167"/>
      <c r="N965" s="169"/>
      <c r="O965" s="171"/>
      <c r="P965" s="106"/>
      <c r="Q965" s="353"/>
      <c r="R965" s="106"/>
    </row>
    <row r="966" ht="29.25" customHeight="1">
      <c r="A966" s="216"/>
      <c r="B966" s="349"/>
      <c r="C966" s="350"/>
      <c r="D966" s="351"/>
      <c r="E966" s="340"/>
      <c r="F966" s="173"/>
      <c r="G966" s="168"/>
      <c r="H966" s="168"/>
      <c r="I966" s="169"/>
      <c r="J966" s="170"/>
      <c r="K966" s="170"/>
      <c r="L966" s="170"/>
      <c r="M966" s="167"/>
      <c r="N966" s="169"/>
      <c r="O966" s="171"/>
      <c r="P966" s="106"/>
      <c r="Q966" s="347"/>
      <c r="R966" s="106"/>
    </row>
    <row r="967" ht="29.25" customHeight="1">
      <c r="A967" s="216"/>
      <c r="B967" s="349"/>
      <c r="C967" s="350"/>
      <c r="D967" s="351"/>
      <c r="E967" s="352"/>
      <c r="F967" s="173"/>
      <c r="G967" s="168"/>
      <c r="H967" s="168"/>
      <c r="I967" s="169"/>
      <c r="J967" s="170"/>
      <c r="K967" s="170"/>
      <c r="L967" s="170"/>
      <c r="M967" s="167"/>
      <c r="N967" s="169"/>
      <c r="O967" s="171"/>
      <c r="P967" s="106"/>
      <c r="Q967" s="353"/>
      <c r="R967" s="106"/>
    </row>
    <row r="968" ht="29.25" customHeight="1">
      <c r="A968" s="216"/>
      <c r="B968" s="349"/>
      <c r="C968" s="350"/>
      <c r="D968" s="351"/>
      <c r="E968" s="340"/>
      <c r="F968" s="173"/>
      <c r="G968" s="168"/>
      <c r="H968" s="168"/>
      <c r="I968" s="169"/>
      <c r="J968" s="170"/>
      <c r="K968" s="170"/>
      <c r="L968" s="170"/>
      <c r="M968" s="167"/>
      <c r="N968" s="169"/>
      <c r="O968" s="171"/>
      <c r="P968" s="106"/>
      <c r="Q968" s="347"/>
      <c r="R968" s="106"/>
    </row>
    <row r="969" ht="29.25" customHeight="1">
      <c r="A969" s="216"/>
      <c r="B969" s="349"/>
      <c r="C969" s="350"/>
      <c r="D969" s="351"/>
      <c r="E969" s="352"/>
      <c r="F969" s="173"/>
      <c r="G969" s="168"/>
      <c r="H969" s="168"/>
      <c r="I969" s="169"/>
      <c r="J969" s="170"/>
      <c r="K969" s="170"/>
      <c r="L969" s="170"/>
      <c r="M969" s="167"/>
      <c r="N969" s="169"/>
      <c r="O969" s="171"/>
      <c r="P969" s="106"/>
      <c r="Q969" s="353"/>
      <c r="R969" s="106"/>
    </row>
    <row r="970" ht="29.25" customHeight="1">
      <c r="A970" s="216"/>
      <c r="B970" s="349"/>
      <c r="C970" s="350"/>
      <c r="D970" s="351"/>
      <c r="E970" s="340"/>
      <c r="F970" s="173"/>
      <c r="G970" s="168"/>
      <c r="H970" s="168"/>
      <c r="I970" s="169"/>
      <c r="J970" s="170"/>
      <c r="K970" s="170"/>
      <c r="L970" s="170"/>
      <c r="M970" s="167"/>
      <c r="N970" s="169"/>
      <c r="O970" s="171"/>
      <c r="P970" s="106"/>
      <c r="Q970" s="347"/>
      <c r="R970" s="106"/>
    </row>
    <row r="971" ht="29.25" customHeight="1">
      <c r="A971" s="216"/>
      <c r="B971" s="349"/>
      <c r="C971" s="350"/>
      <c r="D971" s="351"/>
      <c r="E971" s="352"/>
      <c r="F971" s="173"/>
      <c r="G971" s="168"/>
      <c r="H971" s="168"/>
      <c r="I971" s="169"/>
      <c r="J971" s="170"/>
      <c r="K971" s="170"/>
      <c r="L971" s="170"/>
      <c r="M971" s="167"/>
      <c r="N971" s="169"/>
      <c r="O971" s="171"/>
      <c r="P971" s="106"/>
      <c r="Q971" s="353"/>
      <c r="R971" s="106"/>
    </row>
    <row r="972" ht="29.25" customHeight="1">
      <c r="A972" s="216"/>
      <c r="B972" s="349"/>
      <c r="C972" s="350"/>
      <c r="D972" s="351"/>
      <c r="E972" s="340"/>
      <c r="F972" s="173"/>
      <c r="G972" s="168"/>
      <c r="H972" s="168"/>
      <c r="I972" s="169"/>
      <c r="J972" s="170"/>
      <c r="K972" s="170"/>
      <c r="L972" s="170"/>
      <c r="M972" s="167"/>
      <c r="N972" s="169"/>
      <c r="O972" s="171"/>
      <c r="P972" s="106"/>
      <c r="Q972" s="347"/>
      <c r="R972" s="106"/>
    </row>
    <row r="973" ht="29.25" customHeight="1">
      <c r="A973" s="216"/>
      <c r="B973" s="349"/>
      <c r="C973" s="350"/>
      <c r="D973" s="351"/>
      <c r="E973" s="352"/>
      <c r="F973" s="173"/>
      <c r="G973" s="168"/>
      <c r="H973" s="168"/>
      <c r="I973" s="169"/>
      <c r="J973" s="170"/>
      <c r="K973" s="170"/>
      <c r="L973" s="170"/>
      <c r="M973" s="167"/>
      <c r="N973" s="169"/>
      <c r="O973" s="171"/>
      <c r="P973" s="106"/>
      <c r="Q973" s="353"/>
      <c r="R973" s="106"/>
    </row>
    <row r="974" ht="29.25" customHeight="1">
      <c r="A974" s="216"/>
      <c r="B974" s="349"/>
      <c r="C974" s="350"/>
      <c r="D974" s="351"/>
      <c r="E974" s="340"/>
      <c r="F974" s="173"/>
      <c r="G974" s="168"/>
      <c r="H974" s="168"/>
      <c r="I974" s="169"/>
      <c r="J974" s="170"/>
      <c r="K974" s="170"/>
      <c r="L974" s="170"/>
      <c r="M974" s="167"/>
      <c r="N974" s="169"/>
      <c r="O974" s="171"/>
      <c r="P974" s="106"/>
      <c r="Q974" s="347"/>
      <c r="R974" s="106"/>
    </row>
    <row r="975" ht="29.25" customHeight="1">
      <c r="A975" s="216"/>
      <c r="B975" s="349"/>
      <c r="C975" s="350"/>
      <c r="D975" s="351"/>
      <c r="E975" s="352"/>
      <c r="F975" s="173"/>
      <c r="G975" s="168"/>
      <c r="H975" s="168"/>
      <c r="I975" s="169"/>
      <c r="J975" s="170"/>
      <c r="K975" s="170"/>
      <c r="L975" s="170"/>
      <c r="M975" s="167"/>
      <c r="N975" s="169"/>
      <c r="O975" s="171"/>
      <c r="P975" s="106"/>
      <c r="Q975" s="353"/>
      <c r="R975" s="106"/>
    </row>
    <row r="976" ht="29.25" customHeight="1">
      <c r="A976" s="216"/>
      <c r="B976" s="349"/>
      <c r="C976" s="350"/>
      <c r="D976" s="351"/>
      <c r="E976" s="340"/>
      <c r="F976" s="173"/>
      <c r="G976" s="168"/>
      <c r="H976" s="168"/>
      <c r="I976" s="169"/>
      <c r="J976" s="170"/>
      <c r="K976" s="170"/>
      <c r="L976" s="170"/>
      <c r="M976" s="167"/>
      <c r="N976" s="169"/>
      <c r="O976" s="171"/>
      <c r="P976" s="106"/>
      <c r="Q976" s="347"/>
      <c r="R976" s="106"/>
    </row>
    <row r="977" ht="29.25" customHeight="1">
      <c r="A977" s="216"/>
      <c r="B977" s="349"/>
      <c r="C977" s="350"/>
      <c r="D977" s="351"/>
      <c r="E977" s="352"/>
      <c r="F977" s="173"/>
      <c r="G977" s="168"/>
      <c r="H977" s="168"/>
      <c r="I977" s="169"/>
      <c r="J977" s="170"/>
      <c r="K977" s="170"/>
      <c r="L977" s="170"/>
      <c r="M977" s="167"/>
      <c r="N977" s="169"/>
      <c r="O977" s="171"/>
      <c r="P977" s="106"/>
      <c r="Q977" s="353"/>
      <c r="R977" s="106"/>
    </row>
    <row r="978" ht="29.25" customHeight="1">
      <c r="A978" s="216"/>
      <c r="B978" s="349"/>
      <c r="C978" s="350"/>
      <c r="D978" s="351"/>
      <c r="E978" s="340"/>
      <c r="F978" s="173"/>
      <c r="G978" s="168"/>
      <c r="H978" s="168"/>
      <c r="I978" s="169"/>
      <c r="J978" s="170"/>
      <c r="K978" s="170"/>
      <c r="L978" s="170"/>
      <c r="M978" s="167"/>
      <c r="N978" s="169"/>
      <c r="O978" s="171"/>
      <c r="P978" s="106"/>
      <c r="Q978" s="347"/>
      <c r="R978" s="106"/>
    </row>
    <row r="979" ht="29.25" customHeight="1">
      <c r="A979" s="216"/>
      <c r="B979" s="349"/>
      <c r="C979" s="350"/>
      <c r="D979" s="351"/>
      <c r="E979" s="352"/>
      <c r="F979" s="173"/>
      <c r="G979" s="168"/>
      <c r="H979" s="168"/>
      <c r="I979" s="169"/>
      <c r="J979" s="170"/>
      <c r="K979" s="170"/>
      <c r="L979" s="170"/>
      <c r="M979" s="167"/>
      <c r="N979" s="169"/>
      <c r="O979" s="171"/>
      <c r="P979" s="106"/>
      <c r="Q979" s="353"/>
      <c r="R979" s="106"/>
    </row>
    <row r="980" ht="29.25" customHeight="1">
      <c r="A980" s="216"/>
      <c r="B980" s="349"/>
      <c r="C980" s="350"/>
      <c r="D980" s="351"/>
      <c r="E980" s="340"/>
      <c r="F980" s="173"/>
      <c r="G980" s="168"/>
      <c r="H980" s="168"/>
      <c r="I980" s="169"/>
      <c r="J980" s="170"/>
      <c r="K980" s="170"/>
      <c r="L980" s="170"/>
      <c r="M980" s="167"/>
      <c r="N980" s="169"/>
      <c r="O980" s="171"/>
      <c r="P980" s="106"/>
      <c r="Q980" s="347"/>
      <c r="R980" s="106"/>
    </row>
    <row r="981" ht="29.25" customHeight="1">
      <c r="A981" s="216"/>
      <c r="B981" s="349"/>
      <c r="C981" s="350"/>
      <c r="D981" s="351"/>
      <c r="E981" s="352"/>
      <c r="F981" s="173"/>
      <c r="G981" s="168"/>
      <c r="H981" s="168"/>
      <c r="I981" s="169"/>
      <c r="J981" s="170"/>
      <c r="K981" s="170"/>
      <c r="L981" s="170"/>
      <c r="M981" s="167"/>
      <c r="N981" s="169"/>
      <c r="O981" s="171"/>
      <c r="P981" s="106"/>
      <c r="Q981" s="353"/>
      <c r="R981" s="106"/>
    </row>
    <row r="982" ht="29.25" customHeight="1">
      <c r="A982" s="216"/>
      <c r="B982" s="349"/>
      <c r="C982" s="350"/>
      <c r="D982" s="351"/>
      <c r="E982" s="340"/>
      <c r="F982" s="173"/>
      <c r="G982" s="168"/>
      <c r="H982" s="168"/>
      <c r="I982" s="169"/>
      <c r="J982" s="170"/>
      <c r="K982" s="170"/>
      <c r="L982" s="170"/>
      <c r="M982" s="167"/>
      <c r="N982" s="169"/>
      <c r="O982" s="171"/>
      <c r="P982" s="106"/>
      <c r="Q982" s="347"/>
      <c r="R982" s="106"/>
    </row>
    <row r="983" ht="29.25" customHeight="1">
      <c r="A983" s="216"/>
      <c r="B983" s="349"/>
      <c r="C983" s="350"/>
      <c r="D983" s="351"/>
      <c r="E983" s="352"/>
      <c r="F983" s="173"/>
      <c r="G983" s="168"/>
      <c r="H983" s="168"/>
      <c r="I983" s="169"/>
      <c r="J983" s="170"/>
      <c r="K983" s="170"/>
      <c r="L983" s="170"/>
      <c r="M983" s="167"/>
      <c r="N983" s="169"/>
      <c r="O983" s="171"/>
      <c r="P983" s="106"/>
      <c r="Q983" s="353"/>
      <c r="R983" s="106"/>
    </row>
    <row r="984" ht="29.25" customHeight="1">
      <c r="A984" s="216"/>
      <c r="B984" s="349"/>
      <c r="C984" s="350"/>
      <c r="D984" s="351"/>
      <c r="E984" s="340"/>
      <c r="F984" s="173"/>
      <c r="G984" s="168"/>
      <c r="H984" s="168"/>
      <c r="I984" s="169"/>
      <c r="J984" s="170"/>
      <c r="K984" s="170"/>
      <c r="L984" s="170"/>
      <c r="M984" s="167"/>
      <c r="N984" s="169"/>
      <c r="O984" s="171"/>
      <c r="P984" s="106"/>
      <c r="Q984" s="347"/>
      <c r="R984" s="106"/>
    </row>
    <row r="985" ht="29.25" customHeight="1">
      <c r="A985" s="216"/>
      <c r="B985" s="349"/>
      <c r="C985" s="350"/>
      <c r="D985" s="351"/>
      <c r="E985" s="352"/>
      <c r="F985" s="173"/>
      <c r="G985" s="168"/>
      <c r="H985" s="168"/>
      <c r="I985" s="169"/>
      <c r="J985" s="170"/>
      <c r="K985" s="170"/>
      <c r="L985" s="170"/>
      <c r="M985" s="167"/>
      <c r="N985" s="169"/>
      <c r="O985" s="171"/>
      <c r="P985" s="106"/>
      <c r="Q985" s="353"/>
      <c r="R985" s="106"/>
    </row>
    <row r="986" ht="29.25" customHeight="1">
      <c r="A986" s="216"/>
      <c r="B986" s="349"/>
      <c r="C986" s="350"/>
      <c r="D986" s="351"/>
      <c r="E986" s="340"/>
      <c r="F986" s="173"/>
      <c r="G986" s="168"/>
      <c r="H986" s="168"/>
      <c r="I986" s="169"/>
      <c r="J986" s="170"/>
      <c r="K986" s="170"/>
      <c r="L986" s="170"/>
      <c r="M986" s="167"/>
      <c r="N986" s="169"/>
      <c r="O986" s="171"/>
      <c r="P986" s="106"/>
      <c r="Q986" s="347"/>
      <c r="R986" s="106"/>
    </row>
    <row r="987" ht="29.25" customHeight="1">
      <c r="A987" s="216"/>
      <c r="B987" s="349"/>
      <c r="C987" s="350"/>
      <c r="D987" s="351"/>
      <c r="E987" s="352"/>
      <c r="F987" s="173"/>
      <c r="G987" s="168"/>
      <c r="H987" s="168"/>
      <c r="I987" s="169"/>
      <c r="J987" s="170"/>
      <c r="K987" s="170"/>
      <c r="L987" s="170"/>
      <c r="M987" s="167"/>
      <c r="N987" s="169"/>
      <c r="O987" s="171"/>
      <c r="P987" s="106"/>
      <c r="Q987" s="353"/>
      <c r="R987" s="106"/>
    </row>
    <row r="988" ht="29.25" customHeight="1">
      <c r="A988" s="216"/>
      <c r="B988" s="349"/>
      <c r="C988" s="350"/>
      <c r="D988" s="351"/>
      <c r="E988" s="340"/>
      <c r="F988" s="173"/>
      <c r="G988" s="168"/>
      <c r="H988" s="168"/>
      <c r="I988" s="169"/>
      <c r="J988" s="170"/>
      <c r="K988" s="170"/>
      <c r="L988" s="170"/>
      <c r="M988" s="167"/>
      <c r="N988" s="169"/>
      <c r="O988" s="171"/>
      <c r="P988" s="106"/>
      <c r="Q988" s="347"/>
      <c r="R988" s="106"/>
    </row>
    <row r="989" ht="29.25" customHeight="1">
      <c r="A989" s="216"/>
      <c r="B989" s="349"/>
      <c r="C989" s="350"/>
      <c r="D989" s="351"/>
      <c r="E989" s="352"/>
      <c r="F989" s="173"/>
      <c r="G989" s="168"/>
      <c r="H989" s="168"/>
      <c r="I989" s="169"/>
      <c r="J989" s="170"/>
      <c r="K989" s="170"/>
      <c r="L989" s="170"/>
      <c r="M989" s="167"/>
      <c r="N989" s="169"/>
      <c r="O989" s="171"/>
      <c r="P989" s="106"/>
      <c r="Q989" s="353"/>
      <c r="R989" s="106"/>
    </row>
    <row r="990" ht="29.25" customHeight="1">
      <c r="A990" s="216"/>
      <c r="B990" s="349"/>
      <c r="C990" s="350"/>
      <c r="D990" s="351"/>
      <c r="E990" s="340"/>
      <c r="F990" s="173"/>
      <c r="G990" s="168"/>
      <c r="H990" s="168"/>
      <c r="I990" s="169"/>
      <c r="J990" s="170"/>
      <c r="K990" s="170"/>
      <c r="L990" s="170"/>
      <c r="M990" s="167"/>
      <c r="N990" s="169"/>
      <c r="O990" s="171"/>
      <c r="P990" s="106"/>
      <c r="Q990" s="347"/>
      <c r="R990" s="106"/>
    </row>
    <row r="991" ht="29.25" customHeight="1">
      <c r="A991" s="216"/>
      <c r="B991" s="349"/>
      <c r="C991" s="350"/>
      <c r="D991" s="351"/>
      <c r="E991" s="352"/>
      <c r="F991" s="173"/>
      <c r="G991" s="168"/>
      <c r="H991" s="168"/>
      <c r="I991" s="169"/>
      <c r="J991" s="170"/>
      <c r="K991" s="170"/>
      <c r="L991" s="170"/>
      <c r="M991" s="167"/>
      <c r="N991" s="169"/>
      <c r="O991" s="171"/>
      <c r="P991" s="106"/>
      <c r="Q991" s="353"/>
      <c r="R991" s="106"/>
    </row>
    <row r="992" ht="29.25" customHeight="1">
      <c r="A992" s="216"/>
      <c r="B992" s="349"/>
      <c r="C992" s="350"/>
      <c r="D992" s="351"/>
      <c r="E992" s="340"/>
      <c r="F992" s="173"/>
      <c r="G992" s="168"/>
      <c r="H992" s="168"/>
      <c r="I992" s="169"/>
      <c r="J992" s="170"/>
      <c r="K992" s="170"/>
      <c r="L992" s="170"/>
      <c r="M992" s="167"/>
      <c r="N992" s="169"/>
      <c r="O992" s="171"/>
      <c r="P992" s="106"/>
      <c r="Q992" s="347"/>
      <c r="R992" s="106"/>
    </row>
    <row r="993" ht="29.25" customHeight="1">
      <c r="A993" s="216"/>
      <c r="B993" s="349"/>
      <c r="C993" s="350"/>
      <c r="D993" s="351"/>
      <c r="E993" s="352"/>
      <c r="F993" s="173"/>
      <c r="G993" s="168"/>
      <c r="H993" s="168"/>
      <c r="I993" s="169"/>
      <c r="J993" s="170"/>
      <c r="K993" s="170"/>
      <c r="L993" s="170"/>
      <c r="M993" s="167"/>
      <c r="N993" s="169"/>
      <c r="O993" s="171"/>
      <c r="P993" s="106"/>
      <c r="Q993" s="353"/>
      <c r="R993" s="106"/>
    </row>
    <row r="994" ht="29.25" customHeight="1">
      <c r="A994" s="216"/>
      <c r="B994" s="349"/>
      <c r="C994" s="350"/>
      <c r="D994" s="351"/>
      <c r="E994" s="340"/>
      <c r="F994" s="173"/>
      <c r="G994" s="168"/>
      <c r="H994" s="168"/>
      <c r="I994" s="169"/>
      <c r="J994" s="170"/>
      <c r="K994" s="170"/>
      <c r="L994" s="170"/>
      <c r="M994" s="167"/>
      <c r="N994" s="169"/>
      <c r="O994" s="171"/>
      <c r="P994" s="106"/>
      <c r="Q994" s="347"/>
      <c r="R994" s="106"/>
    </row>
    <row r="995" ht="29.25" customHeight="1">
      <c r="A995" s="216"/>
      <c r="B995" s="349"/>
      <c r="C995" s="350"/>
      <c r="D995" s="351"/>
      <c r="E995" s="352"/>
      <c r="F995" s="173"/>
      <c r="G995" s="168"/>
      <c r="H995" s="168"/>
      <c r="I995" s="169"/>
      <c r="J995" s="170"/>
      <c r="K995" s="170"/>
      <c r="L995" s="170"/>
      <c r="M995" s="167"/>
      <c r="N995" s="169"/>
      <c r="O995" s="171"/>
      <c r="P995" s="106"/>
      <c r="Q995" s="353"/>
      <c r="R995" s="106"/>
    </row>
    <row r="996" ht="29.25" customHeight="1">
      <c r="A996" s="216"/>
      <c r="B996" s="349"/>
      <c r="C996" s="350"/>
      <c r="D996" s="351"/>
      <c r="E996" s="340"/>
      <c r="F996" s="173"/>
      <c r="G996" s="168"/>
      <c r="H996" s="168"/>
      <c r="I996" s="169"/>
      <c r="J996" s="170"/>
      <c r="K996" s="170"/>
      <c r="L996" s="170"/>
      <c r="M996" s="167"/>
      <c r="N996" s="169"/>
      <c r="O996" s="171"/>
      <c r="P996" s="106"/>
      <c r="Q996" s="347"/>
      <c r="R996" s="106"/>
    </row>
    <row r="997" ht="29.25" customHeight="1">
      <c r="A997" s="216"/>
      <c r="B997" s="349"/>
      <c r="C997" s="350"/>
      <c r="D997" s="351"/>
      <c r="E997" s="352"/>
      <c r="F997" s="173"/>
      <c r="G997" s="168"/>
      <c r="H997" s="168"/>
      <c r="I997" s="169"/>
      <c r="J997" s="170"/>
      <c r="K997" s="170"/>
      <c r="L997" s="170"/>
      <c r="M997" s="167"/>
      <c r="N997" s="169"/>
      <c r="O997" s="171"/>
      <c r="P997" s="106"/>
      <c r="Q997" s="353"/>
      <c r="R997" s="106"/>
    </row>
    <row r="998" ht="29.25" customHeight="1">
      <c r="A998" s="216"/>
      <c r="B998" s="349"/>
      <c r="C998" s="350"/>
      <c r="D998" s="351"/>
      <c r="E998" s="340"/>
      <c r="F998" s="173"/>
      <c r="G998" s="168"/>
      <c r="H998" s="168"/>
      <c r="I998" s="169"/>
      <c r="J998" s="170"/>
      <c r="K998" s="170"/>
      <c r="L998" s="170"/>
      <c r="M998" s="167"/>
      <c r="N998" s="169"/>
      <c r="O998" s="171"/>
      <c r="P998" s="106"/>
      <c r="Q998" s="347"/>
      <c r="R998" s="106"/>
    </row>
    <row r="999" ht="29.25" customHeight="1">
      <c r="A999" s="216"/>
      <c r="B999" s="349"/>
      <c r="C999" s="350"/>
      <c r="D999" s="351"/>
      <c r="E999" s="352"/>
      <c r="F999" s="173"/>
      <c r="G999" s="168"/>
      <c r="H999" s="168"/>
      <c r="I999" s="169"/>
      <c r="J999" s="170"/>
      <c r="K999" s="170"/>
      <c r="L999" s="170"/>
      <c r="M999" s="167"/>
      <c r="N999" s="169"/>
      <c r="O999" s="171"/>
      <c r="P999" s="106"/>
      <c r="Q999" s="353"/>
      <c r="R999" s="106"/>
    </row>
    <row r="1000" ht="29.25" customHeight="1">
      <c r="A1000" s="216"/>
      <c r="B1000" s="349"/>
      <c r="C1000" s="350"/>
      <c r="D1000" s="351"/>
      <c r="E1000" s="340"/>
      <c r="F1000" s="173"/>
      <c r="G1000" s="168"/>
      <c r="H1000" s="168"/>
      <c r="I1000" s="169"/>
      <c r="J1000" s="170"/>
      <c r="K1000" s="170"/>
      <c r="L1000" s="170"/>
      <c r="M1000" s="167"/>
      <c r="N1000" s="169"/>
      <c r="O1000" s="171"/>
      <c r="P1000" s="106"/>
      <c r="Q1000" s="347"/>
      <c r="R1000" s="106"/>
    </row>
    <row r="1001" ht="29.25" customHeight="1">
      <c r="A1001" s="216"/>
      <c r="B1001" s="349"/>
      <c r="C1001" s="350"/>
      <c r="D1001" s="351"/>
      <c r="E1001" s="352"/>
      <c r="F1001" s="173"/>
      <c r="G1001" s="168"/>
      <c r="H1001" s="168"/>
      <c r="I1001" s="169"/>
      <c r="J1001" s="170"/>
      <c r="K1001" s="170"/>
      <c r="L1001" s="170"/>
      <c r="M1001" s="167"/>
      <c r="N1001" s="169"/>
      <c r="O1001" s="171"/>
      <c r="P1001" s="106"/>
      <c r="Q1001" s="353"/>
      <c r="R1001" s="106"/>
    </row>
    <row r="1002" ht="29.25" customHeight="1">
      <c r="A1002" s="216"/>
      <c r="B1002" s="349"/>
      <c r="C1002" s="350"/>
      <c r="D1002" s="351"/>
      <c r="E1002" s="340"/>
      <c r="F1002" s="173"/>
      <c r="G1002" s="168"/>
      <c r="H1002" s="168"/>
      <c r="I1002" s="169"/>
      <c r="J1002" s="170"/>
      <c r="K1002" s="170"/>
      <c r="L1002" s="170"/>
      <c r="M1002" s="167"/>
      <c r="N1002" s="169"/>
      <c r="O1002" s="171"/>
      <c r="P1002" s="106"/>
      <c r="Q1002" s="347"/>
      <c r="R1002" s="106"/>
    </row>
    <row r="1003" ht="29.25" customHeight="1">
      <c r="A1003" s="216"/>
      <c r="B1003" s="349"/>
      <c r="C1003" s="350"/>
      <c r="D1003" s="351"/>
      <c r="E1003" s="352"/>
      <c r="F1003" s="173"/>
      <c r="G1003" s="168"/>
      <c r="H1003" s="168"/>
      <c r="I1003" s="169"/>
      <c r="J1003" s="170"/>
      <c r="K1003" s="170"/>
      <c r="L1003" s="170"/>
      <c r="M1003" s="167"/>
      <c r="N1003" s="169"/>
      <c r="O1003" s="171"/>
      <c r="P1003" s="106"/>
      <c r="Q1003" s="353"/>
      <c r="R1003" s="106"/>
    </row>
    <row r="1004" ht="29.25" customHeight="1">
      <c r="A1004" s="216"/>
      <c r="B1004" s="349"/>
      <c r="C1004" s="350"/>
      <c r="D1004" s="351"/>
      <c r="E1004" s="340"/>
      <c r="F1004" s="173"/>
      <c r="G1004" s="168"/>
      <c r="H1004" s="168"/>
      <c r="I1004" s="169"/>
      <c r="J1004" s="170"/>
      <c r="K1004" s="170"/>
      <c r="L1004" s="170"/>
      <c r="M1004" s="167"/>
      <c r="N1004" s="169"/>
      <c r="O1004" s="171"/>
      <c r="P1004" s="106"/>
      <c r="Q1004" s="347"/>
      <c r="R1004" s="106"/>
    </row>
    <row r="1005" ht="29.25" customHeight="1">
      <c r="A1005" s="216"/>
      <c r="B1005" s="349"/>
      <c r="C1005" s="350"/>
      <c r="D1005" s="351"/>
      <c r="E1005" s="352"/>
      <c r="F1005" s="173"/>
      <c r="G1005" s="168"/>
      <c r="H1005" s="168"/>
      <c r="I1005" s="169"/>
      <c r="J1005" s="170"/>
      <c r="K1005" s="170"/>
      <c r="L1005" s="170"/>
      <c r="M1005" s="167"/>
      <c r="N1005" s="169"/>
      <c r="O1005" s="171"/>
      <c r="P1005" s="106"/>
      <c r="Q1005" s="353"/>
      <c r="R1005" s="106"/>
    </row>
    <row r="1006" ht="29.25" customHeight="1">
      <c r="A1006" s="216"/>
      <c r="B1006" s="349"/>
      <c r="C1006" s="350"/>
      <c r="D1006" s="351"/>
      <c r="E1006" s="340"/>
      <c r="F1006" s="173"/>
      <c r="G1006" s="168"/>
      <c r="H1006" s="168"/>
      <c r="I1006" s="169"/>
      <c r="J1006" s="170"/>
      <c r="K1006" s="170"/>
      <c r="L1006" s="170"/>
      <c r="M1006" s="167"/>
      <c r="N1006" s="169"/>
      <c r="O1006" s="171"/>
      <c r="P1006" s="106"/>
      <c r="Q1006" s="347"/>
      <c r="R1006" s="106"/>
    </row>
    <row r="1007" ht="29.25" customHeight="1">
      <c r="A1007" s="216"/>
      <c r="B1007" s="349"/>
      <c r="C1007" s="350"/>
      <c r="D1007" s="351"/>
      <c r="E1007" s="352"/>
      <c r="F1007" s="173"/>
      <c r="G1007" s="168"/>
      <c r="H1007" s="168"/>
      <c r="I1007" s="169"/>
      <c r="J1007" s="170"/>
      <c r="K1007" s="170"/>
      <c r="L1007" s="170"/>
      <c r="M1007" s="167"/>
      <c r="N1007" s="169"/>
      <c r="O1007" s="171"/>
      <c r="P1007" s="106"/>
      <c r="Q1007" s="353"/>
      <c r="R1007" s="106"/>
    </row>
    <row r="1008" ht="29.25" customHeight="1">
      <c r="A1008" s="216"/>
      <c r="B1008" s="349"/>
      <c r="C1008" s="350"/>
      <c r="D1008" s="351"/>
      <c r="E1008" s="340"/>
      <c r="F1008" s="173"/>
      <c r="G1008" s="168"/>
      <c r="H1008" s="168"/>
      <c r="I1008" s="169"/>
      <c r="J1008" s="170"/>
      <c r="K1008" s="170"/>
      <c r="L1008" s="170"/>
      <c r="M1008" s="167"/>
      <c r="N1008" s="169"/>
      <c r="O1008" s="171"/>
      <c r="P1008" s="106"/>
      <c r="Q1008" s="347"/>
      <c r="R1008" s="106"/>
    </row>
    <row r="1009" ht="29.25" customHeight="1">
      <c r="A1009" s="216"/>
      <c r="B1009" s="349"/>
      <c r="C1009" s="350"/>
      <c r="D1009" s="351"/>
      <c r="E1009" s="352"/>
      <c r="F1009" s="173"/>
      <c r="G1009" s="168"/>
      <c r="H1009" s="168"/>
      <c r="I1009" s="169"/>
      <c r="J1009" s="170"/>
      <c r="K1009" s="170"/>
      <c r="L1009" s="170"/>
      <c r="M1009" s="167"/>
      <c r="N1009" s="169"/>
      <c r="O1009" s="171"/>
      <c r="P1009" s="106"/>
      <c r="Q1009" s="353"/>
      <c r="R1009" s="106"/>
    </row>
    <row r="1010" ht="29.25" customHeight="1">
      <c r="A1010" s="216"/>
      <c r="B1010" s="349"/>
      <c r="C1010" s="350"/>
      <c r="D1010" s="351"/>
      <c r="E1010" s="340"/>
      <c r="F1010" s="173"/>
      <c r="G1010" s="168"/>
      <c r="H1010" s="168"/>
      <c r="I1010" s="169"/>
      <c r="J1010" s="170"/>
      <c r="K1010" s="170"/>
      <c r="L1010" s="170"/>
      <c r="M1010" s="167"/>
      <c r="N1010" s="169"/>
      <c r="O1010" s="171"/>
      <c r="P1010" s="106"/>
      <c r="Q1010" s="347"/>
      <c r="R1010" s="106"/>
    </row>
    <row r="1011" ht="29.25" customHeight="1">
      <c r="A1011" s="216"/>
      <c r="B1011" s="349"/>
      <c r="C1011" s="350"/>
      <c r="D1011" s="351"/>
      <c r="E1011" s="352"/>
      <c r="F1011" s="173"/>
      <c r="G1011" s="168"/>
      <c r="H1011" s="168"/>
      <c r="I1011" s="169"/>
      <c r="J1011" s="170"/>
      <c r="K1011" s="170"/>
      <c r="L1011" s="170"/>
      <c r="M1011" s="167"/>
      <c r="N1011" s="169"/>
      <c r="O1011" s="171"/>
      <c r="P1011" s="106"/>
      <c r="Q1011" s="353"/>
      <c r="R1011" s="106"/>
    </row>
    <row r="1012" ht="29.25" customHeight="1">
      <c r="A1012" s="216"/>
      <c r="B1012" s="349"/>
      <c r="C1012" s="350"/>
      <c r="D1012" s="351"/>
      <c r="E1012" s="340"/>
      <c r="F1012" s="173"/>
      <c r="G1012" s="168"/>
      <c r="H1012" s="168"/>
      <c r="I1012" s="169"/>
      <c r="J1012" s="170"/>
      <c r="K1012" s="170"/>
      <c r="L1012" s="170"/>
      <c r="M1012" s="167"/>
      <c r="N1012" s="169"/>
      <c r="O1012" s="171"/>
      <c r="P1012" s="106"/>
      <c r="Q1012" s="347"/>
      <c r="R1012" s="106"/>
    </row>
    <row r="1013" ht="29.25" customHeight="1">
      <c r="A1013" s="216"/>
      <c r="B1013" s="349"/>
      <c r="C1013" s="350"/>
      <c r="D1013" s="351"/>
      <c r="E1013" s="352"/>
      <c r="F1013" s="173"/>
      <c r="G1013" s="168"/>
      <c r="H1013" s="168"/>
      <c r="I1013" s="169"/>
      <c r="J1013" s="170"/>
      <c r="K1013" s="170"/>
      <c r="L1013" s="170"/>
      <c r="M1013" s="167"/>
      <c r="N1013" s="169"/>
      <c r="O1013" s="171"/>
      <c r="P1013" s="106"/>
      <c r="Q1013" s="353"/>
      <c r="R1013" s="106"/>
    </row>
    <row r="1014" ht="29.25" customHeight="1">
      <c r="A1014" s="216"/>
      <c r="B1014" s="349"/>
      <c r="C1014" s="350"/>
      <c r="D1014" s="351"/>
      <c r="E1014" s="340"/>
      <c r="F1014" s="173"/>
      <c r="G1014" s="168"/>
      <c r="H1014" s="168"/>
      <c r="I1014" s="169"/>
      <c r="J1014" s="170"/>
      <c r="K1014" s="170"/>
      <c r="L1014" s="170"/>
      <c r="M1014" s="167"/>
      <c r="N1014" s="169"/>
      <c r="O1014" s="171"/>
      <c r="P1014" s="106"/>
      <c r="Q1014" s="347"/>
      <c r="R1014" s="106"/>
    </row>
    <row r="1015" ht="29.25" customHeight="1">
      <c r="A1015" s="216"/>
      <c r="B1015" s="349"/>
      <c r="C1015" s="350"/>
      <c r="D1015" s="351"/>
      <c r="E1015" s="352"/>
      <c r="F1015" s="173"/>
      <c r="G1015" s="168"/>
      <c r="H1015" s="168"/>
      <c r="I1015" s="169"/>
      <c r="J1015" s="170"/>
      <c r="K1015" s="170"/>
      <c r="L1015" s="170"/>
      <c r="M1015" s="167"/>
      <c r="N1015" s="169"/>
      <c r="O1015" s="171"/>
      <c r="P1015" s="106"/>
      <c r="Q1015" s="353"/>
      <c r="R1015" s="106"/>
    </row>
    <row r="1016" ht="29.25" customHeight="1">
      <c r="A1016" s="216"/>
      <c r="B1016" s="349"/>
      <c r="C1016" s="350"/>
      <c r="D1016" s="351"/>
      <c r="E1016" s="340"/>
      <c r="F1016" s="173"/>
      <c r="G1016" s="168"/>
      <c r="H1016" s="168"/>
      <c r="I1016" s="169"/>
      <c r="J1016" s="170"/>
      <c r="K1016" s="170"/>
      <c r="L1016" s="170"/>
      <c r="M1016" s="167"/>
      <c r="N1016" s="169"/>
      <c r="O1016" s="171"/>
      <c r="P1016" s="106"/>
      <c r="Q1016" s="347"/>
      <c r="R1016" s="106"/>
    </row>
    <row r="1017" ht="29.25" customHeight="1">
      <c r="A1017" s="216"/>
      <c r="B1017" s="349"/>
      <c r="C1017" s="350"/>
      <c r="D1017" s="351"/>
      <c r="E1017" s="352"/>
      <c r="F1017" s="173"/>
      <c r="G1017" s="168"/>
      <c r="H1017" s="168"/>
      <c r="I1017" s="169"/>
      <c r="J1017" s="170"/>
      <c r="K1017" s="170"/>
      <c r="L1017" s="170"/>
      <c r="M1017" s="167"/>
      <c r="N1017" s="169"/>
      <c r="O1017" s="171"/>
      <c r="P1017" s="106"/>
      <c r="Q1017" s="353"/>
      <c r="R1017" s="106"/>
    </row>
    <row r="1018" ht="29.25" customHeight="1">
      <c r="A1018" s="216"/>
      <c r="B1018" s="349"/>
      <c r="C1018" s="350"/>
      <c r="D1018" s="351"/>
      <c r="E1018" s="340"/>
      <c r="F1018" s="173"/>
      <c r="G1018" s="168"/>
      <c r="H1018" s="168"/>
      <c r="I1018" s="169"/>
      <c r="J1018" s="170"/>
      <c r="K1018" s="170"/>
      <c r="L1018" s="170"/>
      <c r="M1018" s="167"/>
      <c r="N1018" s="169"/>
      <c r="O1018" s="171"/>
      <c r="P1018" s="106"/>
      <c r="Q1018" s="347"/>
      <c r="R1018" s="106"/>
    </row>
    <row r="1019" ht="29.25" customHeight="1">
      <c r="A1019" s="216"/>
      <c r="B1019" s="349"/>
      <c r="C1019" s="350"/>
      <c r="D1019" s="351"/>
      <c r="E1019" s="352"/>
      <c r="F1019" s="173"/>
      <c r="G1019" s="168"/>
      <c r="H1019" s="168"/>
      <c r="I1019" s="169"/>
      <c r="J1019" s="170"/>
      <c r="K1019" s="170"/>
      <c r="L1019" s="170"/>
      <c r="M1019" s="167"/>
      <c r="N1019" s="169"/>
      <c r="O1019" s="171"/>
      <c r="P1019" s="106"/>
      <c r="Q1019" s="353"/>
      <c r="R1019" s="106"/>
    </row>
    <row r="1020" ht="29.25" customHeight="1">
      <c r="A1020" s="216"/>
      <c r="B1020" s="349"/>
      <c r="C1020" s="350"/>
      <c r="D1020" s="351"/>
      <c r="E1020" s="340"/>
      <c r="F1020" s="173"/>
      <c r="G1020" s="168"/>
      <c r="H1020" s="168"/>
      <c r="I1020" s="169"/>
      <c r="J1020" s="170"/>
      <c r="K1020" s="170"/>
      <c r="L1020" s="170"/>
      <c r="M1020" s="167"/>
      <c r="N1020" s="169"/>
      <c r="O1020" s="171"/>
      <c r="P1020" s="106"/>
      <c r="Q1020" s="347"/>
      <c r="R1020" s="106"/>
    </row>
    <row r="1021" ht="29.25" customHeight="1">
      <c r="A1021" s="216"/>
      <c r="B1021" s="349"/>
      <c r="C1021" s="350"/>
      <c r="D1021" s="351"/>
      <c r="E1021" s="352"/>
      <c r="F1021" s="173"/>
      <c r="G1021" s="168"/>
      <c r="H1021" s="168"/>
      <c r="I1021" s="169"/>
      <c r="J1021" s="170"/>
      <c r="K1021" s="170"/>
      <c r="L1021" s="170"/>
      <c r="M1021" s="167"/>
      <c r="N1021" s="169"/>
      <c r="O1021" s="171"/>
      <c r="P1021" s="106"/>
      <c r="Q1021" s="353"/>
      <c r="R1021" s="106"/>
    </row>
    <row r="1022" ht="29.25" customHeight="1">
      <c r="A1022" s="216"/>
      <c r="B1022" s="349"/>
      <c r="C1022" s="350"/>
      <c r="D1022" s="351"/>
      <c r="E1022" s="340"/>
      <c r="F1022" s="173"/>
      <c r="G1022" s="168"/>
      <c r="H1022" s="168"/>
      <c r="I1022" s="169"/>
      <c r="J1022" s="170"/>
      <c r="K1022" s="170"/>
      <c r="L1022" s="170"/>
      <c r="M1022" s="167"/>
      <c r="N1022" s="169"/>
      <c r="O1022" s="171"/>
      <c r="P1022" s="106"/>
      <c r="Q1022" s="347"/>
      <c r="R1022" s="106"/>
    </row>
    <row r="1023" ht="29.25" customHeight="1">
      <c r="A1023" s="216"/>
      <c r="B1023" s="349"/>
      <c r="C1023" s="350"/>
      <c r="D1023" s="351"/>
      <c r="E1023" s="352"/>
      <c r="F1023" s="173"/>
      <c r="G1023" s="168"/>
      <c r="H1023" s="168"/>
      <c r="I1023" s="169"/>
      <c r="J1023" s="170"/>
      <c r="K1023" s="170"/>
      <c r="L1023" s="170"/>
      <c r="M1023" s="167"/>
      <c r="N1023" s="169"/>
      <c r="O1023" s="171"/>
      <c r="P1023" s="106"/>
      <c r="Q1023" s="353"/>
      <c r="R1023" s="106"/>
    </row>
    <row r="1024" ht="29.25" customHeight="1">
      <c r="A1024" s="216"/>
      <c r="B1024" s="349"/>
      <c r="C1024" s="350"/>
      <c r="D1024" s="351"/>
      <c r="E1024" s="340"/>
      <c r="F1024" s="173"/>
      <c r="G1024" s="168"/>
      <c r="H1024" s="168"/>
      <c r="I1024" s="169"/>
      <c r="J1024" s="170"/>
      <c r="K1024" s="170"/>
      <c r="L1024" s="170"/>
      <c r="M1024" s="167"/>
      <c r="N1024" s="169"/>
      <c r="O1024" s="171"/>
      <c r="P1024" s="106"/>
      <c r="Q1024" s="347"/>
      <c r="R1024" s="106"/>
    </row>
    <row r="1025" ht="29.25" customHeight="1">
      <c r="A1025" s="216"/>
      <c r="B1025" s="349"/>
      <c r="C1025" s="350"/>
      <c r="D1025" s="351"/>
      <c r="E1025" s="352"/>
      <c r="F1025" s="173"/>
      <c r="G1025" s="168"/>
      <c r="H1025" s="168"/>
      <c r="I1025" s="169"/>
      <c r="J1025" s="170"/>
      <c r="K1025" s="170"/>
      <c r="L1025" s="170"/>
      <c r="M1025" s="167"/>
      <c r="N1025" s="169"/>
      <c r="O1025" s="171"/>
      <c r="P1025" s="106"/>
      <c r="Q1025" s="353"/>
      <c r="R1025" s="106"/>
    </row>
    <row r="1026" ht="29.25" customHeight="1">
      <c r="A1026" s="216"/>
      <c r="B1026" s="349"/>
      <c r="C1026" s="350"/>
      <c r="D1026" s="351"/>
      <c r="E1026" s="340"/>
      <c r="F1026" s="173"/>
      <c r="G1026" s="168"/>
      <c r="H1026" s="168"/>
      <c r="I1026" s="169"/>
      <c r="J1026" s="170"/>
      <c r="K1026" s="170"/>
      <c r="L1026" s="170"/>
      <c r="M1026" s="167"/>
      <c r="N1026" s="169"/>
      <c r="O1026" s="171"/>
      <c r="P1026" s="106"/>
      <c r="Q1026" s="347"/>
      <c r="R1026" s="106"/>
    </row>
    <row r="1027" ht="29.25" customHeight="1">
      <c r="A1027" s="216"/>
      <c r="B1027" s="349"/>
      <c r="C1027" s="350"/>
      <c r="D1027" s="351"/>
      <c r="E1027" s="352"/>
      <c r="F1027" s="173"/>
      <c r="G1027" s="168"/>
      <c r="H1027" s="168"/>
      <c r="I1027" s="169"/>
      <c r="J1027" s="170"/>
      <c r="K1027" s="170"/>
      <c r="L1027" s="170"/>
      <c r="M1027" s="167"/>
      <c r="N1027" s="169"/>
      <c r="O1027" s="171"/>
      <c r="P1027" s="106"/>
      <c r="Q1027" s="353"/>
      <c r="R1027" s="106"/>
    </row>
    <row r="1028" ht="29.25" customHeight="1">
      <c r="A1028" s="216"/>
      <c r="B1028" s="349"/>
      <c r="C1028" s="350"/>
      <c r="D1028" s="351"/>
      <c r="E1028" s="340"/>
      <c r="F1028" s="173"/>
      <c r="G1028" s="168"/>
      <c r="H1028" s="168"/>
      <c r="I1028" s="169"/>
      <c r="J1028" s="170"/>
      <c r="K1028" s="170"/>
      <c r="L1028" s="170"/>
      <c r="M1028" s="167"/>
      <c r="N1028" s="169"/>
      <c r="O1028" s="171"/>
      <c r="P1028" s="106"/>
      <c r="Q1028" s="347"/>
      <c r="R1028" s="106"/>
    </row>
    <row r="1029" ht="29.25" customHeight="1">
      <c r="A1029" s="216"/>
      <c r="B1029" s="349"/>
      <c r="C1029" s="350"/>
      <c r="D1029" s="351"/>
      <c r="E1029" s="352"/>
      <c r="F1029" s="173"/>
      <c r="G1029" s="168"/>
      <c r="H1029" s="168"/>
      <c r="I1029" s="169"/>
      <c r="J1029" s="170"/>
      <c r="K1029" s="170"/>
      <c r="L1029" s="170"/>
      <c r="M1029" s="167"/>
      <c r="N1029" s="169"/>
      <c r="O1029" s="171"/>
      <c r="P1029" s="106"/>
      <c r="Q1029" s="353"/>
      <c r="R1029" s="106"/>
    </row>
    <row r="1030" ht="29.25" customHeight="1">
      <c r="A1030" s="216"/>
      <c r="B1030" s="349"/>
      <c r="C1030" s="350"/>
      <c r="D1030" s="351"/>
      <c r="E1030" s="340"/>
      <c r="F1030" s="173"/>
      <c r="G1030" s="168"/>
      <c r="H1030" s="168"/>
      <c r="I1030" s="169"/>
      <c r="J1030" s="170"/>
      <c r="K1030" s="170"/>
      <c r="L1030" s="170"/>
      <c r="M1030" s="167"/>
      <c r="N1030" s="169"/>
      <c r="O1030" s="171"/>
      <c r="P1030" s="106"/>
      <c r="Q1030" s="347"/>
      <c r="R1030" s="106"/>
    </row>
    <row r="1031" ht="29.25" customHeight="1">
      <c r="A1031" s="216"/>
      <c r="B1031" s="349"/>
      <c r="C1031" s="350"/>
      <c r="D1031" s="351"/>
      <c r="E1031" s="352"/>
      <c r="F1031" s="173"/>
      <c r="G1031" s="168"/>
      <c r="H1031" s="168"/>
      <c r="I1031" s="169"/>
      <c r="J1031" s="170"/>
      <c r="K1031" s="170"/>
      <c r="L1031" s="170"/>
      <c r="M1031" s="167"/>
      <c r="N1031" s="169"/>
      <c r="O1031" s="171"/>
      <c r="P1031" s="106"/>
      <c r="Q1031" s="353"/>
      <c r="R1031" s="106"/>
    </row>
    <row r="1032" ht="29.25" customHeight="1">
      <c r="A1032" s="216"/>
      <c r="B1032" s="349"/>
      <c r="C1032" s="350"/>
      <c r="D1032" s="351"/>
      <c r="E1032" s="340"/>
      <c r="F1032" s="173"/>
      <c r="G1032" s="168"/>
      <c r="H1032" s="168"/>
      <c r="I1032" s="169"/>
      <c r="J1032" s="170"/>
      <c r="K1032" s="170"/>
      <c r="L1032" s="170"/>
      <c r="M1032" s="167"/>
      <c r="N1032" s="169"/>
      <c r="O1032" s="171"/>
      <c r="P1032" s="106"/>
      <c r="Q1032" s="347"/>
      <c r="R1032" s="106"/>
    </row>
    <row r="1033" ht="29.25" customHeight="1">
      <c r="A1033" s="216"/>
      <c r="B1033" s="349"/>
      <c r="C1033" s="350"/>
      <c r="D1033" s="351"/>
      <c r="E1033" s="352"/>
      <c r="F1033" s="173"/>
      <c r="G1033" s="168"/>
      <c r="H1033" s="168"/>
      <c r="I1033" s="169"/>
      <c r="J1033" s="170"/>
      <c r="K1033" s="170"/>
      <c r="L1033" s="170"/>
      <c r="M1033" s="167"/>
      <c r="N1033" s="169"/>
      <c r="O1033" s="171"/>
      <c r="P1033" s="106"/>
      <c r="Q1033" s="353"/>
      <c r="R1033" s="106"/>
    </row>
    <row r="1034" ht="29.25" customHeight="1">
      <c r="A1034" s="216"/>
      <c r="B1034" s="349"/>
      <c r="C1034" s="350"/>
      <c r="D1034" s="351"/>
      <c r="E1034" s="354"/>
      <c r="F1034" s="173"/>
      <c r="G1034" s="168"/>
      <c r="H1034" s="168"/>
      <c r="I1034" s="169"/>
      <c r="J1034" s="170"/>
      <c r="K1034" s="170"/>
      <c r="L1034" s="170"/>
      <c r="M1034" s="167"/>
      <c r="N1034" s="169"/>
      <c r="O1034" s="171"/>
      <c r="P1034" s="106"/>
      <c r="Q1034" s="355"/>
      <c r="R1034" s="106"/>
    </row>
    <row r="1035" ht="29.25" customHeight="1">
      <c r="A1035" s="216"/>
      <c r="B1035" s="349"/>
      <c r="C1035" s="350"/>
      <c r="D1035" s="351"/>
      <c r="E1035" s="356"/>
      <c r="F1035" s="173"/>
      <c r="G1035" s="168"/>
      <c r="H1035" s="168"/>
      <c r="I1035" s="169"/>
      <c r="J1035" s="170"/>
      <c r="K1035" s="170"/>
      <c r="L1035" s="170"/>
      <c r="M1035" s="167"/>
      <c r="N1035" s="169"/>
      <c r="O1035" s="171"/>
      <c r="P1035" s="106"/>
      <c r="Q1035" s="357"/>
      <c r="R1035" s="106"/>
    </row>
    <row r="1036" ht="29.25" customHeight="1">
      <c r="A1036" s="216"/>
      <c r="B1036" s="349"/>
      <c r="C1036" s="350"/>
      <c r="D1036" s="351"/>
      <c r="E1036" s="356"/>
      <c r="F1036" s="173"/>
      <c r="G1036" s="168"/>
      <c r="H1036" s="168"/>
      <c r="I1036" s="169"/>
      <c r="J1036" s="170"/>
      <c r="K1036" s="170"/>
      <c r="L1036" s="170"/>
      <c r="M1036" s="167"/>
      <c r="N1036" s="169"/>
      <c r="O1036" s="171"/>
      <c r="P1036" s="106"/>
      <c r="Q1036" s="357"/>
      <c r="R1036" s="106"/>
    </row>
    <row r="1037" ht="29.25" customHeight="1"/>
  </sheetData>
  <conditionalFormatting sqref="B2:B1037">
    <cfRule type="expression" dxfId="7" priority="1">
      <formula>COUNTIF($B$2:$B$1027,B2)&gt;1</formula>
    </cfRule>
  </conditionalFormatting>
  <dataValidations>
    <dataValidation type="list" allowBlank="1" sqref="F2:F1036">
      <formula1>"FINALIZADO,EN PROCESO,PAUSADO,EN TEST,PENDIENTE,PRUEBAS CLIENTE,PENDIENTE CLIENTE,PRUEBAS IMAGINE,PASO A PRODUCCION"</formula1>
    </dataValidation>
    <dataValidation type="custom" allowBlank="1" showDropDown="1" sqref="I2:L1036 N2:O1036">
      <formula1>OR(NOT(ISERROR(DATEVALUE(I2))), AND(ISNUMBER(I2), LEFT(CELL("format", I2))="D"))</formula1>
    </dataValidation>
    <dataValidation allowBlank="1" showDropDown="1" sqref="Q2:Q1036"/>
  </dataValidations>
  <printOptions/>
  <pageMargins bottom="0.75" footer="0.0" header="0.0" left="0.7" right="0.7" top="0.75"/>
  <pageSetup orientation="portrait"/>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E75B5"/>
    <pageSetUpPr/>
  </sheetPr>
  <sheetViews>
    <sheetView workbookViewId="0"/>
  </sheetViews>
  <sheetFormatPr customHeight="1" defaultColWidth="11.22" defaultRowHeight="15.0"/>
  <cols>
    <col customWidth="1" min="1" max="1" width="10.56"/>
    <col customWidth="1" min="2" max="2" width="32.0"/>
    <col customWidth="1" min="3" max="3" width="21.67"/>
    <col customWidth="1" min="4" max="4" width="10.89"/>
    <col customWidth="1" min="5" max="5" width="10.33"/>
    <col customWidth="1" min="6" max="6" width="11.11"/>
    <col customWidth="1" min="7" max="7" width="10.56"/>
    <col customWidth="1" min="8" max="8" width="10.33"/>
    <col customWidth="1" min="9" max="9" width="4.67"/>
    <col customWidth="1" min="10" max="10" width="10.33"/>
    <col customWidth="1" min="11" max="11" width="12.78"/>
    <col customWidth="1" min="12" max="12" width="47.44"/>
    <col customWidth="1" min="13" max="26" width="10.56"/>
  </cols>
  <sheetData>
    <row r="1">
      <c r="A1" s="358" t="s">
        <v>1808</v>
      </c>
      <c r="B1" s="358" t="s">
        <v>2</v>
      </c>
      <c r="C1" s="358" t="s">
        <v>4</v>
      </c>
      <c r="D1" s="358" t="s">
        <v>5</v>
      </c>
      <c r="E1" s="359" t="s">
        <v>8</v>
      </c>
      <c r="F1" s="359" t="s">
        <v>9</v>
      </c>
      <c r="G1" s="360" t="s">
        <v>1404</v>
      </c>
      <c r="H1" s="359" t="s">
        <v>11</v>
      </c>
      <c r="I1" s="359" t="s">
        <v>12</v>
      </c>
      <c r="J1" s="361" t="s">
        <v>13</v>
      </c>
      <c r="K1" s="358" t="s">
        <v>14</v>
      </c>
      <c r="L1" s="362" t="s">
        <v>1809</v>
      </c>
      <c r="M1" s="363"/>
      <c r="N1" s="363"/>
      <c r="O1" s="363"/>
      <c r="P1" s="363"/>
      <c r="Q1" s="363"/>
      <c r="R1" s="363"/>
      <c r="S1" s="363"/>
      <c r="T1" s="363"/>
      <c r="U1" s="363"/>
      <c r="V1" s="363"/>
      <c r="W1" s="363"/>
      <c r="X1" s="363"/>
      <c r="Y1" s="363"/>
      <c r="Z1" s="363"/>
    </row>
    <row r="2">
      <c r="A2" s="364" t="s">
        <v>1810</v>
      </c>
      <c r="B2" s="365" t="s">
        <v>1811</v>
      </c>
      <c r="C2" s="366"/>
      <c r="D2" s="367" t="s">
        <v>1812</v>
      </c>
      <c r="E2" s="368">
        <v>45526.0</v>
      </c>
      <c r="F2" s="368">
        <v>45526.0</v>
      </c>
      <c r="G2" s="366"/>
      <c r="H2" s="366"/>
      <c r="I2" s="366"/>
      <c r="J2" s="366"/>
      <c r="K2" s="366"/>
      <c r="L2" s="366" t="s">
        <v>1813</v>
      </c>
      <c r="M2" s="369"/>
      <c r="N2" s="369"/>
      <c r="O2" s="369"/>
      <c r="P2" s="369"/>
      <c r="Q2" s="369"/>
      <c r="R2" s="369"/>
      <c r="S2" s="369"/>
      <c r="T2" s="369"/>
      <c r="U2" s="369"/>
      <c r="V2" s="369"/>
      <c r="W2" s="369"/>
      <c r="X2" s="369"/>
      <c r="Y2" s="369"/>
      <c r="Z2" s="369"/>
    </row>
    <row r="3">
      <c r="A3" s="370" t="s">
        <v>1810</v>
      </c>
      <c r="B3" s="371" t="s">
        <v>1814</v>
      </c>
      <c r="C3" s="372" t="s">
        <v>1815</v>
      </c>
      <c r="D3" s="372" t="s">
        <v>75</v>
      </c>
      <c r="E3" s="373">
        <v>45560.0</v>
      </c>
      <c r="F3" s="373">
        <v>45560.0</v>
      </c>
      <c r="G3" s="374"/>
      <c r="H3" s="373">
        <v>45567.0</v>
      </c>
      <c r="I3" s="375">
        <f>IF(ISBLANK(H3), NETWORKDAYS(F3, TODAY(),Hoja2!$A$1:$A$18), NETWORKDAYS(F3, H3, Hoja2!$A$1:$A$18))</f>
        <v>6</v>
      </c>
      <c r="J3" s="373">
        <v>45567.0</v>
      </c>
      <c r="K3" s="374"/>
      <c r="L3" s="376" t="s">
        <v>1816</v>
      </c>
      <c r="M3" s="363"/>
      <c r="N3" s="363"/>
      <c r="O3" s="363"/>
      <c r="P3" s="363"/>
      <c r="Q3" s="363"/>
      <c r="R3" s="363"/>
      <c r="S3" s="363"/>
      <c r="T3" s="363"/>
      <c r="U3" s="363"/>
      <c r="V3" s="363"/>
      <c r="W3" s="363"/>
      <c r="X3" s="363"/>
      <c r="Y3" s="363"/>
      <c r="Z3" s="363"/>
    </row>
    <row r="4">
      <c r="A4" s="377" t="s">
        <v>1817</v>
      </c>
      <c r="B4" s="378" t="s">
        <v>1818</v>
      </c>
      <c r="C4" s="379" t="s">
        <v>1819</v>
      </c>
      <c r="D4" s="380" t="s">
        <v>1820</v>
      </c>
      <c r="E4" s="381">
        <v>45581.0</v>
      </c>
      <c r="F4" s="381">
        <v>45581.0</v>
      </c>
      <c r="G4" s="381">
        <v>45582.0</v>
      </c>
      <c r="H4" s="382">
        <v>45590.0</v>
      </c>
      <c r="I4" s="383">
        <f>IF(ISBLANK(H4), NETWORKDAYS(F4, TODAY(),Hoja2!$A$1:$A$18), NETWORKDAYS(F4, H4, Hoja2!$A$1:$A$18))</f>
        <v>8</v>
      </c>
      <c r="J4" s="382">
        <v>45590.0</v>
      </c>
      <c r="K4" s="381"/>
      <c r="L4" s="377" t="s">
        <v>1821</v>
      </c>
      <c r="M4" s="384"/>
      <c r="N4" s="384"/>
      <c r="O4" s="384"/>
      <c r="P4" s="384"/>
      <c r="Q4" s="384"/>
      <c r="R4" s="384"/>
      <c r="S4" s="384"/>
      <c r="T4" s="384"/>
      <c r="U4" s="384"/>
      <c r="V4" s="384"/>
      <c r="W4" s="384"/>
      <c r="X4" s="384"/>
      <c r="Y4" s="384"/>
      <c r="Z4" s="384"/>
    </row>
    <row r="5">
      <c r="A5" s="362" t="s">
        <v>1810</v>
      </c>
      <c r="B5" s="378" t="s">
        <v>1822</v>
      </c>
      <c r="C5" s="372" t="s">
        <v>1823</v>
      </c>
      <c r="D5" s="385" t="s">
        <v>701</v>
      </c>
      <c r="E5" s="373">
        <v>45572.0</v>
      </c>
      <c r="F5" s="373">
        <v>45590.0</v>
      </c>
      <c r="G5" s="373"/>
      <c r="H5" s="373">
        <v>45594.0</v>
      </c>
      <c r="I5" s="375">
        <f>IF(ISBLANK(H5), NETWORKDAYS(F5, TODAY(),Hoja2!$A$1:$A$18), NETWORKDAYS(F5, H5, Hoja2!$A$1:$A$18))</f>
        <v>3</v>
      </c>
      <c r="J5" s="373">
        <v>45594.0</v>
      </c>
      <c r="K5" s="373"/>
      <c r="L5" s="376" t="s">
        <v>1824</v>
      </c>
      <c r="M5" s="363"/>
      <c r="N5" s="363"/>
      <c r="O5" s="363"/>
      <c r="P5" s="363"/>
      <c r="Q5" s="363"/>
      <c r="R5" s="363"/>
      <c r="S5" s="363"/>
      <c r="T5" s="363"/>
      <c r="U5" s="363"/>
      <c r="V5" s="363"/>
      <c r="W5" s="363"/>
      <c r="X5" s="363"/>
      <c r="Y5" s="363"/>
      <c r="Z5" s="363"/>
    </row>
    <row r="6">
      <c r="A6" s="386" t="s">
        <v>1825</v>
      </c>
      <c r="B6" s="386" t="s">
        <v>1826</v>
      </c>
      <c r="C6" s="380" t="s">
        <v>1827</v>
      </c>
      <c r="D6" s="386" t="s">
        <v>1828</v>
      </c>
      <c r="E6" s="387">
        <v>45602.0</v>
      </c>
      <c r="F6" s="387">
        <v>45602.0</v>
      </c>
      <c r="G6" s="386"/>
      <c r="H6" s="387">
        <v>45602.0</v>
      </c>
      <c r="I6" s="383">
        <f>IF(ISBLANK(H6), NETWORKDAYS(F6, TODAY(),Hoja2!$A$1:$A$18), NETWORKDAYS(F6, H6, Hoja2!$A$1:$A$18))</f>
        <v>1</v>
      </c>
      <c r="J6" s="387"/>
      <c r="K6" s="387">
        <v>45602.0</v>
      </c>
      <c r="L6" s="388" t="s">
        <v>1829</v>
      </c>
      <c r="M6" s="389"/>
      <c r="N6" s="390"/>
      <c r="O6" s="390"/>
      <c r="P6" s="390"/>
      <c r="Q6" s="390"/>
      <c r="R6" s="390"/>
      <c r="S6" s="390"/>
      <c r="T6" s="390"/>
      <c r="U6" s="390"/>
      <c r="V6" s="390"/>
      <c r="W6" s="390"/>
      <c r="X6" s="390"/>
      <c r="Y6" s="390"/>
      <c r="Z6" s="390"/>
    </row>
    <row r="7">
      <c r="A7" s="362" t="s">
        <v>1810</v>
      </c>
      <c r="B7" s="371" t="s">
        <v>1814</v>
      </c>
      <c r="C7" s="391" t="s">
        <v>1830</v>
      </c>
      <c r="D7" s="385" t="s">
        <v>701</v>
      </c>
      <c r="E7" s="373">
        <v>45589.0</v>
      </c>
      <c r="F7" s="373">
        <v>45589.0</v>
      </c>
      <c r="G7" s="385"/>
      <c r="H7" s="392">
        <v>45603.0</v>
      </c>
      <c r="I7" s="375">
        <f>IF(ISBLANK(H7), NETWORKDAYS(F7, TODAY(),Hoja2!$A$1:$A$18), NETWORKDAYS(F7, H7, Hoja2!$A$1:$A$18))</f>
        <v>10</v>
      </c>
      <c r="J7" s="392">
        <v>45603.0</v>
      </c>
      <c r="K7" s="385"/>
      <c r="L7" s="393" t="s">
        <v>1831</v>
      </c>
      <c r="M7" s="394"/>
      <c r="N7" s="394"/>
      <c r="O7" s="394"/>
      <c r="P7" s="394"/>
      <c r="Q7" s="394"/>
      <c r="R7" s="394"/>
      <c r="S7" s="394"/>
      <c r="T7" s="394"/>
      <c r="U7" s="394"/>
      <c r="V7" s="394"/>
      <c r="W7" s="394"/>
      <c r="X7" s="394"/>
      <c r="Y7" s="394"/>
      <c r="Z7" s="394"/>
    </row>
    <row r="8">
      <c r="A8" s="395" t="s">
        <v>1810</v>
      </c>
      <c r="B8" s="396" t="s">
        <v>1832</v>
      </c>
      <c r="C8" s="397"/>
      <c r="D8" s="397" t="s">
        <v>1833</v>
      </c>
      <c r="E8" s="398">
        <v>45603.0</v>
      </c>
      <c r="F8" s="398">
        <v>45603.0</v>
      </c>
      <c r="G8" s="398"/>
      <c r="H8" s="398">
        <v>45610.0</v>
      </c>
      <c r="I8" s="399">
        <f>IF(ISBLANK(H8), NETWORKDAYS(F8, TODAY(),Hoja2!$A$1:$A$18), NETWORKDAYS(F8, H8, Hoja2!$A$1:$A$18))</f>
        <v>5</v>
      </c>
      <c r="J8" s="398">
        <v>45610.0</v>
      </c>
      <c r="K8" s="398"/>
      <c r="L8" s="400" t="s">
        <v>1834</v>
      </c>
      <c r="M8" s="363"/>
      <c r="N8" s="363"/>
      <c r="O8" s="363"/>
      <c r="P8" s="363"/>
      <c r="Q8" s="363"/>
      <c r="R8" s="363"/>
      <c r="S8" s="363"/>
      <c r="T8" s="363"/>
      <c r="U8" s="363"/>
      <c r="V8" s="363"/>
      <c r="W8" s="363"/>
      <c r="X8" s="363"/>
      <c r="Y8" s="363"/>
      <c r="Z8" s="363"/>
    </row>
    <row r="9">
      <c r="A9" s="401" t="s">
        <v>1835</v>
      </c>
      <c r="B9" s="402" t="s">
        <v>1836</v>
      </c>
      <c r="C9" s="403" t="s">
        <v>1837</v>
      </c>
      <c r="D9" s="404" t="s">
        <v>1838</v>
      </c>
      <c r="E9" s="405">
        <v>45671.0</v>
      </c>
      <c r="F9" s="406">
        <v>45673.0</v>
      </c>
      <c r="G9" s="403" t="s">
        <v>1839</v>
      </c>
      <c r="H9" s="405">
        <v>45680.0</v>
      </c>
      <c r="I9" s="383">
        <f>IF(ISBLANK(H9), NETWORKDAYS(F9, TODAY(),Hoja2!$A$1:$A$18), NETWORKDAYS(F9, H9, Hoja2!$A$1:$A$18))</f>
        <v>6</v>
      </c>
      <c r="J9" s="405">
        <v>45680.0</v>
      </c>
      <c r="K9" s="403"/>
      <c r="L9" s="407" t="s">
        <v>1840</v>
      </c>
      <c r="M9" s="408"/>
      <c r="N9" s="408"/>
      <c r="O9" s="408"/>
      <c r="P9" s="408"/>
      <c r="Q9" s="408"/>
      <c r="R9" s="408"/>
      <c r="S9" s="408"/>
      <c r="T9" s="408"/>
      <c r="U9" s="408"/>
      <c r="V9" s="408"/>
      <c r="W9" s="408"/>
      <c r="X9" s="408"/>
      <c r="Y9" s="408"/>
      <c r="Z9" s="408"/>
    </row>
    <row r="10">
      <c r="A10" s="401" t="s">
        <v>1835</v>
      </c>
      <c r="B10" s="409"/>
      <c r="C10" s="407" t="s">
        <v>1841</v>
      </c>
      <c r="D10" s="404" t="s">
        <v>1838</v>
      </c>
      <c r="E10" s="405">
        <v>45671.0</v>
      </c>
      <c r="F10" s="406">
        <v>45673.0</v>
      </c>
      <c r="G10" s="403"/>
      <c r="H10" s="405">
        <v>45674.0</v>
      </c>
      <c r="I10" s="383">
        <f>IF(ISBLANK(H10), NETWORKDAYS(F10, TODAY(),Hoja2!$A$1:$A$18), NETWORKDAYS(F10, H10, Hoja2!$A$1:$A$18))</f>
        <v>2</v>
      </c>
      <c r="J10" s="403"/>
      <c r="K10" s="403"/>
      <c r="L10" s="407" t="s">
        <v>1842</v>
      </c>
      <c r="M10" s="408"/>
      <c r="N10" s="408"/>
      <c r="O10" s="408"/>
      <c r="P10" s="408"/>
      <c r="Q10" s="408"/>
      <c r="R10" s="408"/>
      <c r="S10" s="408"/>
      <c r="T10" s="408"/>
      <c r="U10" s="408"/>
      <c r="V10" s="408"/>
      <c r="W10" s="408"/>
      <c r="X10" s="408"/>
      <c r="Y10" s="408"/>
      <c r="Z10" s="408"/>
    </row>
    <row r="11">
      <c r="A11" s="401" t="s">
        <v>1835</v>
      </c>
      <c r="B11" s="409"/>
      <c r="C11" s="407" t="s">
        <v>1843</v>
      </c>
      <c r="D11" s="404" t="s">
        <v>1838</v>
      </c>
      <c r="E11" s="405">
        <v>45671.0</v>
      </c>
      <c r="F11" s="406">
        <v>45673.0</v>
      </c>
      <c r="G11" s="403"/>
      <c r="H11" s="405">
        <v>45674.0</v>
      </c>
      <c r="I11" s="383">
        <f>IF(ISBLANK(H11), NETWORKDAYS(F11, TODAY(),Hoja2!$A$1:$A$18), NETWORKDAYS(F11, H11, Hoja2!$A$1:$A$18))</f>
        <v>2</v>
      </c>
      <c r="J11" s="403"/>
      <c r="K11" s="403"/>
      <c r="L11" s="407" t="s">
        <v>1842</v>
      </c>
      <c r="M11" s="408"/>
      <c r="N11" s="408"/>
      <c r="O11" s="408"/>
      <c r="P11" s="408"/>
      <c r="Q11" s="408"/>
      <c r="R11" s="408"/>
      <c r="S11" s="408"/>
      <c r="T11" s="408"/>
      <c r="U11" s="408"/>
      <c r="V11" s="408"/>
      <c r="W11" s="408"/>
      <c r="X11" s="408"/>
      <c r="Y11" s="408"/>
      <c r="Z11" s="408"/>
    </row>
    <row r="12">
      <c r="A12" s="401" t="s">
        <v>1835</v>
      </c>
      <c r="B12" s="409"/>
      <c r="C12" s="407" t="s">
        <v>1844</v>
      </c>
      <c r="D12" s="404" t="s">
        <v>1838</v>
      </c>
      <c r="E12" s="405">
        <v>45671.0</v>
      </c>
      <c r="F12" s="406">
        <v>45673.0</v>
      </c>
      <c r="G12" s="403"/>
      <c r="H12" s="405">
        <v>45674.0</v>
      </c>
      <c r="I12" s="383">
        <f>IF(ISBLANK(H12), NETWORKDAYS(F12, TODAY(),Hoja2!$A$1:$A$18), NETWORKDAYS(F12, H12, Hoja2!$A$1:$A$18))</f>
        <v>2</v>
      </c>
      <c r="J12" s="403"/>
      <c r="K12" s="403"/>
      <c r="L12" s="407" t="s">
        <v>1842</v>
      </c>
      <c r="M12" s="408"/>
      <c r="N12" s="408"/>
      <c r="O12" s="408"/>
      <c r="P12" s="408"/>
      <c r="Q12" s="408"/>
      <c r="R12" s="408"/>
      <c r="S12" s="408"/>
      <c r="T12" s="408"/>
      <c r="U12" s="408"/>
      <c r="V12" s="408"/>
      <c r="W12" s="408"/>
      <c r="X12" s="408"/>
      <c r="Y12" s="408"/>
      <c r="Z12" s="408"/>
    </row>
    <row r="13">
      <c r="A13" s="401" t="s">
        <v>1835</v>
      </c>
      <c r="B13" s="409"/>
      <c r="C13" s="407" t="s">
        <v>1845</v>
      </c>
      <c r="D13" s="404" t="s">
        <v>1838</v>
      </c>
      <c r="E13" s="405">
        <v>45671.0</v>
      </c>
      <c r="F13" s="406">
        <v>45673.0</v>
      </c>
      <c r="G13" s="403"/>
      <c r="H13" s="405">
        <v>45677.0</v>
      </c>
      <c r="I13" s="383">
        <f>IF(ISBLANK(H13), NETWORKDAYS(F13, TODAY(),Hoja2!$A$1:$A$18), NETWORKDAYS(F13, H13, Hoja2!$A$1:$A$18))</f>
        <v>3</v>
      </c>
      <c r="J13" s="403"/>
      <c r="K13" s="403"/>
      <c r="L13" s="407" t="s">
        <v>1842</v>
      </c>
      <c r="M13" s="408"/>
      <c r="N13" s="408"/>
      <c r="O13" s="408"/>
      <c r="P13" s="408"/>
      <c r="Q13" s="408"/>
      <c r="R13" s="408"/>
      <c r="S13" s="408"/>
      <c r="T13" s="408"/>
      <c r="U13" s="408"/>
      <c r="V13" s="408"/>
      <c r="W13" s="408"/>
      <c r="X13" s="408"/>
      <c r="Y13" s="408"/>
      <c r="Z13" s="408"/>
    </row>
    <row r="14">
      <c r="A14" s="401" t="s">
        <v>1835</v>
      </c>
      <c r="B14" s="409"/>
      <c r="C14" s="407" t="s">
        <v>1846</v>
      </c>
      <c r="D14" s="404" t="s">
        <v>1838</v>
      </c>
      <c r="E14" s="405">
        <v>45671.0</v>
      </c>
      <c r="F14" s="406">
        <v>45678.0</v>
      </c>
      <c r="G14" s="403"/>
      <c r="H14" s="406">
        <v>45678.0</v>
      </c>
      <c r="I14" s="383">
        <f>IF(ISBLANK(H14), NETWORKDAYS(F14, TODAY(),Hoja2!$A$1:$A$18), NETWORKDAYS(F14, H14, Hoja2!$A$1:$A$18))</f>
        <v>1</v>
      </c>
      <c r="J14" s="403"/>
      <c r="K14" s="403"/>
      <c r="L14" s="403" t="s">
        <v>1847</v>
      </c>
      <c r="M14" s="408"/>
      <c r="N14" s="408"/>
      <c r="O14" s="408"/>
      <c r="P14" s="408"/>
      <c r="Q14" s="408"/>
      <c r="R14" s="408"/>
      <c r="S14" s="408"/>
      <c r="T14" s="408"/>
      <c r="U14" s="408"/>
      <c r="V14" s="408"/>
      <c r="W14" s="408"/>
      <c r="X14" s="408"/>
      <c r="Y14" s="408"/>
      <c r="Z14" s="408"/>
    </row>
    <row r="15">
      <c r="A15" s="401" t="s">
        <v>1835</v>
      </c>
      <c r="B15" s="409"/>
      <c r="C15" s="407" t="s">
        <v>1848</v>
      </c>
      <c r="D15" s="404" t="s">
        <v>1838</v>
      </c>
      <c r="E15" s="405">
        <v>45671.0</v>
      </c>
      <c r="F15" s="406">
        <v>45679.0</v>
      </c>
      <c r="G15" s="403"/>
      <c r="H15" s="406">
        <v>45679.0</v>
      </c>
      <c r="I15" s="383">
        <f>IF(ISBLANK(H15), NETWORKDAYS(F15, TODAY(),Hoja2!$A$1:$A$18), NETWORKDAYS(F15, H15, Hoja2!$A$1:$A$18))</f>
        <v>1</v>
      </c>
      <c r="J15" s="403"/>
      <c r="K15" s="403"/>
      <c r="L15" s="403" t="s">
        <v>1847</v>
      </c>
      <c r="M15" s="408"/>
      <c r="N15" s="408"/>
      <c r="O15" s="408"/>
      <c r="P15" s="408"/>
      <c r="Q15" s="408"/>
      <c r="R15" s="408"/>
      <c r="S15" s="408"/>
      <c r="T15" s="408"/>
      <c r="U15" s="408"/>
      <c r="V15" s="408"/>
      <c r="W15" s="408"/>
      <c r="X15" s="408"/>
      <c r="Y15" s="408"/>
      <c r="Z15" s="408"/>
    </row>
    <row r="16">
      <c r="A16" s="401" t="s">
        <v>1835</v>
      </c>
      <c r="B16" s="410"/>
      <c r="C16" s="411" t="s">
        <v>1849</v>
      </c>
      <c r="D16" s="404" t="s">
        <v>1838</v>
      </c>
      <c r="E16" s="405">
        <v>45681.0</v>
      </c>
      <c r="F16" s="406">
        <v>45684.0</v>
      </c>
      <c r="G16" s="403"/>
      <c r="H16" s="405">
        <v>45685.0</v>
      </c>
      <c r="I16" s="383">
        <f>IF(ISBLANK(H16), NETWORKDAYS(F16, TODAY(),Hoja2!$A$1:$A$18), NETWORKDAYS(F16, H16, Hoja2!$A$1:$A$18))</f>
        <v>2</v>
      </c>
      <c r="J16" s="403"/>
      <c r="K16" s="403"/>
      <c r="L16" s="407" t="s">
        <v>1850</v>
      </c>
      <c r="M16" s="408"/>
      <c r="N16" s="408"/>
      <c r="O16" s="408"/>
      <c r="P16" s="408"/>
      <c r="Q16" s="408"/>
      <c r="R16" s="408"/>
      <c r="S16" s="408"/>
      <c r="T16" s="408"/>
      <c r="U16" s="408"/>
      <c r="V16" s="408"/>
      <c r="W16" s="408"/>
      <c r="X16" s="408"/>
      <c r="Y16" s="408"/>
      <c r="Z16" s="408"/>
    </row>
    <row r="17" ht="15.75" customHeight="1">
      <c r="A17" s="369"/>
      <c r="B17" s="369"/>
      <c r="C17" s="369"/>
      <c r="D17" s="369"/>
      <c r="E17" s="369"/>
      <c r="F17" s="369"/>
      <c r="G17" s="369"/>
      <c r="H17" s="369"/>
      <c r="I17" s="369"/>
      <c r="J17" s="369"/>
      <c r="K17" s="369"/>
      <c r="L17" s="369"/>
      <c r="M17" s="369"/>
      <c r="N17" s="369"/>
      <c r="O17" s="369"/>
      <c r="P17" s="369"/>
      <c r="Q17" s="369"/>
      <c r="R17" s="369"/>
      <c r="S17" s="369"/>
      <c r="T17" s="369"/>
      <c r="U17" s="369"/>
      <c r="V17" s="369"/>
      <c r="W17" s="369"/>
      <c r="X17" s="369"/>
      <c r="Y17" s="369"/>
      <c r="Z17" s="369"/>
    </row>
    <row r="18" ht="15.75" customHeight="1">
      <c r="A18" s="369"/>
      <c r="B18" s="369"/>
      <c r="C18" s="369"/>
      <c r="D18" s="369"/>
      <c r="E18" s="369"/>
      <c r="F18" s="369"/>
      <c r="G18" s="369"/>
      <c r="H18" s="369"/>
      <c r="I18" s="369"/>
      <c r="J18" s="369"/>
      <c r="K18" s="369"/>
      <c r="L18" s="369"/>
      <c r="M18" s="369"/>
      <c r="N18" s="369"/>
      <c r="O18" s="369"/>
      <c r="P18" s="369"/>
      <c r="Q18" s="369"/>
      <c r="R18" s="369"/>
      <c r="S18" s="369"/>
      <c r="T18" s="369"/>
      <c r="U18" s="369"/>
      <c r="V18" s="369"/>
      <c r="W18" s="369"/>
      <c r="X18" s="369"/>
      <c r="Y18" s="369"/>
      <c r="Z18" s="369"/>
    </row>
    <row r="19" ht="15.75" customHeight="1">
      <c r="A19" s="369"/>
      <c r="B19" s="369"/>
      <c r="C19" s="369"/>
      <c r="D19" s="369"/>
      <c r="E19" s="369"/>
      <c r="F19" s="369"/>
      <c r="G19" s="369"/>
      <c r="H19" s="369"/>
      <c r="I19" s="369"/>
      <c r="J19" s="369"/>
      <c r="K19" s="369"/>
      <c r="L19" s="369"/>
      <c r="M19" s="369"/>
      <c r="N19" s="369"/>
      <c r="O19" s="369"/>
      <c r="P19" s="369"/>
      <c r="Q19" s="369"/>
      <c r="R19" s="369"/>
      <c r="S19" s="369"/>
      <c r="T19" s="369"/>
      <c r="U19" s="369"/>
      <c r="V19" s="369"/>
      <c r="W19" s="369"/>
      <c r="X19" s="369"/>
      <c r="Y19" s="369"/>
      <c r="Z19" s="369"/>
    </row>
    <row r="20" ht="15.75" customHeight="1">
      <c r="A20" s="369"/>
      <c r="B20" s="369"/>
      <c r="C20" s="369"/>
      <c r="D20" s="369"/>
      <c r="E20" s="369"/>
      <c r="F20" s="369"/>
      <c r="G20" s="369"/>
      <c r="H20" s="369"/>
      <c r="I20" s="369"/>
      <c r="J20" s="369"/>
      <c r="K20" s="369"/>
      <c r="L20" s="369"/>
      <c r="M20" s="369"/>
      <c r="N20" s="369"/>
      <c r="O20" s="369"/>
      <c r="P20" s="369"/>
      <c r="Q20" s="369"/>
      <c r="R20" s="369"/>
      <c r="S20" s="369"/>
      <c r="T20" s="369"/>
      <c r="U20" s="369"/>
      <c r="V20" s="369"/>
      <c r="W20" s="369"/>
      <c r="X20" s="369"/>
      <c r="Y20" s="369"/>
      <c r="Z20" s="369"/>
    </row>
    <row r="21" ht="15.75" customHeight="1">
      <c r="A21" s="369"/>
      <c r="B21" s="369"/>
      <c r="C21" s="369"/>
      <c r="D21" s="369"/>
      <c r="E21" s="369"/>
      <c r="F21" s="369"/>
      <c r="G21" s="369"/>
      <c r="H21" s="369"/>
      <c r="I21" s="369"/>
      <c r="J21" s="369"/>
      <c r="K21" s="369"/>
      <c r="L21" s="369"/>
      <c r="M21" s="369"/>
      <c r="N21" s="369"/>
      <c r="O21" s="369"/>
      <c r="P21" s="369"/>
      <c r="Q21" s="369"/>
      <c r="R21" s="369"/>
      <c r="S21" s="369"/>
      <c r="T21" s="369"/>
      <c r="U21" s="369"/>
      <c r="V21" s="369"/>
      <c r="W21" s="369"/>
      <c r="X21" s="369"/>
      <c r="Y21" s="369"/>
      <c r="Z21" s="369"/>
    </row>
    <row r="22" ht="15.75" customHeight="1">
      <c r="A22" s="369"/>
      <c r="B22" s="369"/>
      <c r="C22" s="369"/>
      <c r="D22" s="369"/>
      <c r="E22" s="369"/>
      <c r="F22" s="369"/>
      <c r="G22" s="369"/>
      <c r="H22" s="369"/>
      <c r="I22" s="369"/>
      <c r="J22" s="369"/>
      <c r="K22" s="369"/>
      <c r="L22" s="369"/>
      <c r="M22" s="369"/>
      <c r="N22" s="369"/>
      <c r="O22" s="369"/>
      <c r="P22" s="369"/>
      <c r="Q22" s="369"/>
      <c r="R22" s="369"/>
      <c r="S22" s="369"/>
      <c r="T22" s="369"/>
      <c r="U22" s="369"/>
      <c r="V22" s="369"/>
      <c r="W22" s="369"/>
      <c r="X22" s="369"/>
      <c r="Y22" s="369"/>
      <c r="Z22" s="369"/>
    </row>
    <row r="23" ht="15.75" customHeight="1">
      <c r="A23" s="369"/>
      <c r="B23" s="369"/>
      <c r="C23" s="369"/>
      <c r="D23" s="369"/>
      <c r="E23" s="369"/>
      <c r="F23" s="369"/>
      <c r="G23" s="369"/>
      <c r="H23" s="369"/>
      <c r="I23" s="369"/>
      <c r="J23" s="369"/>
      <c r="K23" s="369"/>
      <c r="L23" s="369"/>
      <c r="M23" s="369"/>
      <c r="N23" s="369"/>
      <c r="O23" s="369"/>
      <c r="P23" s="369"/>
      <c r="Q23" s="369"/>
      <c r="R23" s="369"/>
      <c r="S23" s="369"/>
      <c r="T23" s="369"/>
      <c r="U23" s="369"/>
      <c r="V23" s="369"/>
      <c r="W23" s="369"/>
      <c r="X23" s="369"/>
      <c r="Y23" s="369"/>
      <c r="Z23" s="369"/>
    </row>
    <row r="24" ht="15.75" customHeight="1">
      <c r="A24" s="369"/>
      <c r="B24" s="369"/>
      <c r="C24" s="369"/>
      <c r="D24" s="369"/>
      <c r="E24" s="369"/>
      <c r="F24" s="369"/>
      <c r="G24" s="369"/>
      <c r="H24" s="369"/>
      <c r="I24" s="369"/>
      <c r="J24" s="369"/>
      <c r="K24" s="369"/>
      <c r="L24" s="369"/>
      <c r="M24" s="369"/>
      <c r="N24" s="369"/>
      <c r="O24" s="369"/>
      <c r="P24" s="369"/>
      <c r="Q24" s="369"/>
      <c r="R24" s="369"/>
      <c r="S24" s="369"/>
      <c r="T24" s="369"/>
      <c r="U24" s="369"/>
      <c r="V24" s="369"/>
      <c r="W24" s="369"/>
      <c r="X24" s="369"/>
      <c r="Y24" s="369"/>
      <c r="Z24" s="369"/>
    </row>
    <row r="25" ht="15.75" customHeight="1">
      <c r="A25" s="369"/>
      <c r="B25" s="369"/>
      <c r="C25" s="369"/>
      <c r="D25" s="369"/>
      <c r="E25" s="369"/>
      <c r="F25" s="369"/>
      <c r="G25" s="369"/>
      <c r="H25" s="369"/>
      <c r="I25" s="369"/>
      <c r="J25" s="369"/>
      <c r="K25" s="369"/>
      <c r="L25" s="369"/>
      <c r="M25" s="369"/>
      <c r="N25" s="369"/>
      <c r="O25" s="369"/>
      <c r="P25" s="369"/>
      <c r="Q25" s="369"/>
      <c r="R25" s="369"/>
      <c r="S25" s="369"/>
      <c r="T25" s="369"/>
      <c r="U25" s="369"/>
      <c r="V25" s="369"/>
      <c r="W25" s="369"/>
      <c r="X25" s="369"/>
      <c r="Y25" s="369"/>
      <c r="Z25" s="369"/>
    </row>
    <row r="26" ht="15.75" customHeight="1">
      <c r="A26" s="369"/>
      <c r="B26" s="369"/>
      <c r="C26" s="369"/>
      <c r="D26" s="369"/>
      <c r="E26" s="369"/>
      <c r="F26" s="369"/>
      <c r="G26" s="369"/>
      <c r="H26" s="369"/>
      <c r="I26" s="369"/>
      <c r="J26" s="369"/>
      <c r="K26" s="369"/>
      <c r="L26" s="369"/>
      <c r="M26" s="369"/>
      <c r="N26" s="369"/>
      <c r="O26" s="369"/>
      <c r="P26" s="369"/>
      <c r="Q26" s="369"/>
      <c r="R26" s="369"/>
      <c r="S26" s="369"/>
      <c r="T26" s="369"/>
      <c r="U26" s="369"/>
      <c r="V26" s="369"/>
      <c r="W26" s="369"/>
      <c r="X26" s="369"/>
      <c r="Y26" s="369"/>
      <c r="Z26" s="369"/>
    </row>
    <row r="27" ht="15.75" customHeight="1">
      <c r="A27" s="369"/>
      <c r="B27" s="369"/>
      <c r="C27" s="369"/>
      <c r="D27" s="369"/>
      <c r="E27" s="369"/>
      <c r="F27" s="369"/>
      <c r="G27" s="369"/>
      <c r="H27" s="369"/>
      <c r="I27" s="369"/>
      <c r="J27" s="369"/>
      <c r="K27" s="369"/>
      <c r="L27" s="369"/>
      <c r="M27" s="369"/>
      <c r="N27" s="369"/>
      <c r="O27" s="369"/>
      <c r="P27" s="369"/>
      <c r="Q27" s="369"/>
      <c r="R27" s="369"/>
      <c r="S27" s="369"/>
      <c r="T27" s="369"/>
      <c r="U27" s="369"/>
      <c r="V27" s="369"/>
      <c r="W27" s="369"/>
      <c r="X27" s="369"/>
      <c r="Y27" s="369"/>
      <c r="Z27" s="369"/>
    </row>
    <row r="28" ht="15.75" customHeight="1">
      <c r="A28" s="369"/>
      <c r="B28" s="369"/>
      <c r="C28" s="369"/>
      <c r="D28" s="369"/>
      <c r="E28" s="369"/>
      <c r="F28" s="369"/>
      <c r="G28" s="369"/>
      <c r="H28" s="369"/>
      <c r="I28" s="369"/>
      <c r="J28" s="369"/>
      <c r="K28" s="369"/>
      <c r="L28" s="369"/>
      <c r="M28" s="369"/>
      <c r="N28" s="369"/>
      <c r="O28" s="369"/>
      <c r="P28" s="369"/>
      <c r="Q28" s="369"/>
      <c r="R28" s="369"/>
      <c r="S28" s="369"/>
      <c r="T28" s="369"/>
      <c r="U28" s="369"/>
      <c r="V28" s="369"/>
      <c r="W28" s="369"/>
      <c r="X28" s="369"/>
      <c r="Y28" s="369"/>
      <c r="Z28" s="369"/>
    </row>
    <row r="29" ht="15.75" customHeight="1">
      <c r="A29" s="369"/>
      <c r="B29" s="369"/>
      <c r="C29" s="369"/>
      <c r="D29" s="369"/>
      <c r="E29" s="369"/>
      <c r="F29" s="369"/>
      <c r="G29" s="369"/>
      <c r="H29" s="369"/>
      <c r="I29" s="369"/>
      <c r="J29" s="369"/>
      <c r="K29" s="369"/>
      <c r="L29" s="369"/>
      <c r="M29" s="369"/>
      <c r="N29" s="369"/>
      <c r="O29" s="369"/>
      <c r="P29" s="369"/>
      <c r="Q29" s="369"/>
      <c r="R29" s="369"/>
      <c r="S29" s="369"/>
      <c r="T29" s="369"/>
      <c r="U29" s="369"/>
      <c r="V29" s="369"/>
      <c r="W29" s="369"/>
      <c r="X29" s="369"/>
      <c r="Y29" s="369"/>
      <c r="Z29" s="369"/>
    </row>
    <row r="30" ht="15.75" customHeight="1">
      <c r="A30" s="369"/>
      <c r="B30" s="369"/>
      <c r="C30" s="369"/>
      <c r="D30" s="369"/>
      <c r="E30" s="369"/>
      <c r="F30" s="369"/>
      <c r="G30" s="369"/>
      <c r="H30" s="369"/>
      <c r="I30" s="369"/>
      <c r="J30" s="369"/>
      <c r="K30" s="369"/>
      <c r="L30" s="369"/>
      <c r="M30" s="369"/>
      <c r="N30" s="369"/>
      <c r="O30" s="369"/>
      <c r="P30" s="369"/>
      <c r="Q30" s="369"/>
      <c r="R30" s="369"/>
      <c r="S30" s="369"/>
      <c r="T30" s="369"/>
      <c r="U30" s="369"/>
      <c r="V30" s="369"/>
      <c r="W30" s="369"/>
      <c r="X30" s="369"/>
      <c r="Y30" s="369"/>
      <c r="Z30" s="369"/>
    </row>
    <row r="31" ht="15.75" customHeight="1">
      <c r="A31" s="369"/>
      <c r="B31" s="369"/>
      <c r="C31" s="369"/>
      <c r="D31" s="369"/>
      <c r="E31" s="369"/>
      <c r="F31" s="369"/>
      <c r="G31" s="369"/>
      <c r="H31" s="369"/>
      <c r="I31" s="369"/>
      <c r="J31" s="369"/>
      <c r="K31" s="369"/>
      <c r="L31" s="369"/>
      <c r="M31" s="369"/>
      <c r="N31" s="369"/>
      <c r="O31" s="369"/>
      <c r="P31" s="369"/>
      <c r="Q31" s="369"/>
      <c r="R31" s="369"/>
      <c r="S31" s="369"/>
      <c r="T31" s="369"/>
      <c r="U31" s="369"/>
      <c r="V31" s="369"/>
      <c r="W31" s="369"/>
      <c r="X31" s="369"/>
      <c r="Y31" s="369"/>
      <c r="Z31" s="369"/>
    </row>
    <row r="32" ht="15.75" customHeight="1">
      <c r="A32" s="369"/>
      <c r="B32" s="369"/>
      <c r="C32" s="369"/>
      <c r="D32" s="369"/>
      <c r="E32" s="369"/>
      <c r="F32" s="369"/>
      <c r="G32" s="369"/>
      <c r="H32" s="369"/>
      <c r="I32" s="369"/>
      <c r="J32" s="369"/>
      <c r="K32" s="369"/>
      <c r="L32" s="369"/>
      <c r="M32" s="369"/>
      <c r="N32" s="369"/>
      <c r="O32" s="369"/>
      <c r="P32" s="369"/>
      <c r="Q32" s="369"/>
      <c r="R32" s="369"/>
      <c r="S32" s="369"/>
      <c r="T32" s="369"/>
      <c r="U32" s="369"/>
      <c r="V32" s="369"/>
      <c r="W32" s="369"/>
      <c r="X32" s="369"/>
      <c r="Y32" s="369"/>
      <c r="Z32" s="369"/>
    </row>
    <row r="33" ht="15.75" customHeight="1">
      <c r="A33" s="369"/>
      <c r="B33" s="369"/>
      <c r="C33" s="369"/>
      <c r="D33" s="369"/>
      <c r="E33" s="369"/>
      <c r="F33" s="369"/>
      <c r="G33" s="369"/>
      <c r="H33" s="369"/>
      <c r="I33" s="369"/>
      <c r="J33" s="369"/>
      <c r="K33" s="369"/>
      <c r="L33" s="369"/>
      <c r="M33" s="369"/>
      <c r="N33" s="369"/>
      <c r="O33" s="369"/>
      <c r="P33" s="369"/>
      <c r="Q33" s="369"/>
      <c r="R33" s="369"/>
      <c r="S33" s="369"/>
      <c r="T33" s="369"/>
      <c r="U33" s="369"/>
      <c r="V33" s="369"/>
      <c r="W33" s="369"/>
      <c r="X33" s="369"/>
      <c r="Y33" s="369"/>
      <c r="Z33" s="369"/>
    </row>
    <row r="34" ht="15.75" customHeight="1">
      <c r="A34" s="369"/>
      <c r="B34" s="369"/>
      <c r="C34" s="369"/>
      <c r="D34" s="369"/>
      <c r="E34" s="369"/>
      <c r="F34" s="369"/>
      <c r="G34" s="369"/>
      <c r="H34" s="369"/>
      <c r="I34" s="369"/>
      <c r="J34" s="369"/>
      <c r="K34" s="369"/>
      <c r="L34" s="369"/>
      <c r="M34" s="369"/>
      <c r="N34" s="369"/>
      <c r="O34" s="369"/>
      <c r="P34" s="369"/>
      <c r="Q34" s="369"/>
      <c r="R34" s="369"/>
      <c r="S34" s="369"/>
      <c r="T34" s="369"/>
      <c r="U34" s="369"/>
      <c r="V34" s="369"/>
      <c r="W34" s="369"/>
      <c r="X34" s="369"/>
      <c r="Y34" s="369"/>
      <c r="Z34" s="369"/>
    </row>
    <row r="35" ht="15.75" customHeight="1">
      <c r="A35" s="369"/>
      <c r="B35" s="369"/>
      <c r="C35" s="369"/>
      <c r="D35" s="369"/>
      <c r="E35" s="369"/>
      <c r="F35" s="369"/>
      <c r="G35" s="369"/>
      <c r="H35" s="369"/>
      <c r="I35" s="369"/>
      <c r="J35" s="369"/>
      <c r="K35" s="369"/>
      <c r="L35" s="369"/>
      <c r="M35" s="369"/>
      <c r="N35" s="369"/>
      <c r="O35" s="369"/>
      <c r="P35" s="369"/>
      <c r="Q35" s="369"/>
      <c r="R35" s="369"/>
      <c r="S35" s="369"/>
      <c r="T35" s="369"/>
      <c r="U35" s="369"/>
      <c r="V35" s="369"/>
      <c r="W35" s="369"/>
      <c r="X35" s="369"/>
      <c r="Y35" s="369"/>
      <c r="Z35" s="369"/>
    </row>
    <row r="36" ht="15.75" customHeight="1">
      <c r="A36" s="369"/>
      <c r="B36" s="369"/>
      <c r="C36" s="369"/>
      <c r="D36" s="369"/>
      <c r="E36" s="369"/>
      <c r="F36" s="369"/>
      <c r="G36" s="369"/>
      <c r="H36" s="369"/>
      <c r="I36" s="369"/>
      <c r="J36" s="369"/>
      <c r="K36" s="369"/>
      <c r="L36" s="369"/>
      <c r="M36" s="369"/>
      <c r="N36" s="369"/>
      <c r="O36" s="369"/>
      <c r="P36" s="369"/>
      <c r="Q36" s="369"/>
      <c r="R36" s="369"/>
      <c r="S36" s="369"/>
      <c r="T36" s="369"/>
      <c r="U36" s="369"/>
      <c r="V36" s="369"/>
      <c r="W36" s="369"/>
      <c r="X36" s="369"/>
      <c r="Y36" s="369"/>
      <c r="Z36" s="369"/>
    </row>
    <row r="37" ht="15.75" customHeight="1">
      <c r="A37" s="369"/>
      <c r="B37" s="369"/>
      <c r="C37" s="369"/>
      <c r="D37" s="369"/>
      <c r="E37" s="369"/>
      <c r="F37" s="369"/>
      <c r="G37" s="369"/>
      <c r="H37" s="369"/>
      <c r="I37" s="369"/>
      <c r="J37" s="369"/>
      <c r="K37" s="369"/>
      <c r="L37" s="369"/>
      <c r="M37" s="369"/>
      <c r="N37" s="369"/>
      <c r="O37" s="369"/>
      <c r="P37" s="369"/>
      <c r="Q37" s="369"/>
      <c r="R37" s="369"/>
      <c r="S37" s="369"/>
      <c r="T37" s="369"/>
      <c r="U37" s="369"/>
      <c r="V37" s="369"/>
      <c r="W37" s="369"/>
      <c r="X37" s="369"/>
      <c r="Y37" s="369"/>
      <c r="Z37" s="369"/>
    </row>
    <row r="38" ht="15.75" customHeight="1">
      <c r="A38" s="369"/>
      <c r="B38" s="369"/>
      <c r="C38" s="369"/>
      <c r="D38" s="369"/>
      <c r="E38" s="369"/>
      <c r="F38" s="369"/>
      <c r="G38" s="369"/>
      <c r="H38" s="369"/>
      <c r="I38" s="369"/>
      <c r="J38" s="369"/>
      <c r="K38" s="369"/>
      <c r="L38" s="369"/>
      <c r="M38" s="369"/>
      <c r="N38" s="369"/>
      <c r="O38" s="369"/>
      <c r="P38" s="369"/>
      <c r="Q38" s="369"/>
      <c r="R38" s="369"/>
      <c r="S38" s="369"/>
      <c r="T38" s="369"/>
      <c r="U38" s="369"/>
      <c r="V38" s="369"/>
      <c r="W38" s="369"/>
      <c r="X38" s="369"/>
      <c r="Y38" s="369"/>
      <c r="Z38" s="369"/>
    </row>
    <row r="39" ht="15.75" customHeight="1">
      <c r="A39" s="369"/>
      <c r="B39" s="369"/>
      <c r="C39" s="369"/>
      <c r="D39" s="369"/>
      <c r="E39" s="369"/>
      <c r="F39" s="369"/>
      <c r="G39" s="369"/>
      <c r="H39" s="369"/>
      <c r="I39" s="369"/>
      <c r="J39" s="369"/>
      <c r="K39" s="369"/>
      <c r="L39" s="369"/>
      <c r="M39" s="369"/>
      <c r="N39" s="369"/>
      <c r="O39" s="369"/>
      <c r="P39" s="369"/>
      <c r="Q39" s="369"/>
      <c r="R39" s="369"/>
      <c r="S39" s="369"/>
      <c r="T39" s="369"/>
      <c r="U39" s="369"/>
      <c r="V39" s="369"/>
      <c r="W39" s="369"/>
      <c r="X39" s="369"/>
      <c r="Y39" s="369"/>
      <c r="Z39" s="369"/>
    </row>
    <row r="40" ht="15.75" customHeight="1">
      <c r="A40" s="369"/>
      <c r="B40" s="369"/>
      <c r="C40" s="369"/>
      <c r="D40" s="369"/>
      <c r="E40" s="369"/>
      <c r="F40" s="369"/>
      <c r="G40" s="369"/>
      <c r="H40" s="369"/>
      <c r="I40" s="369"/>
      <c r="J40" s="369"/>
      <c r="K40" s="369"/>
      <c r="L40" s="369"/>
      <c r="M40" s="369"/>
      <c r="N40" s="369"/>
      <c r="O40" s="369"/>
      <c r="P40" s="369"/>
      <c r="Q40" s="369"/>
      <c r="R40" s="369"/>
      <c r="S40" s="369"/>
      <c r="T40" s="369"/>
      <c r="U40" s="369"/>
      <c r="V40" s="369"/>
      <c r="W40" s="369"/>
      <c r="X40" s="369"/>
      <c r="Y40" s="369"/>
      <c r="Z40" s="369"/>
    </row>
    <row r="41" ht="15.75" customHeight="1">
      <c r="A41" s="369"/>
      <c r="B41" s="369"/>
      <c r="C41" s="369"/>
      <c r="D41" s="369"/>
      <c r="E41" s="369"/>
      <c r="F41" s="369"/>
      <c r="G41" s="369"/>
      <c r="H41" s="369"/>
      <c r="I41" s="369"/>
      <c r="J41" s="369"/>
      <c r="K41" s="369"/>
      <c r="L41" s="369"/>
      <c r="M41" s="369"/>
      <c r="N41" s="369"/>
      <c r="O41" s="369"/>
      <c r="P41" s="369"/>
      <c r="Q41" s="369"/>
      <c r="R41" s="369"/>
      <c r="S41" s="369"/>
      <c r="T41" s="369"/>
      <c r="U41" s="369"/>
      <c r="V41" s="369"/>
      <c r="W41" s="369"/>
      <c r="X41" s="369"/>
      <c r="Y41" s="369"/>
      <c r="Z41" s="369"/>
    </row>
    <row r="42" ht="15.75" customHeight="1">
      <c r="A42" s="369"/>
      <c r="B42" s="369"/>
      <c r="C42" s="369"/>
      <c r="D42" s="369"/>
      <c r="E42" s="369"/>
      <c r="F42" s="369"/>
      <c r="G42" s="369"/>
      <c r="H42" s="369"/>
      <c r="I42" s="369"/>
      <c r="J42" s="369"/>
      <c r="K42" s="369"/>
      <c r="L42" s="369"/>
      <c r="M42" s="369"/>
      <c r="N42" s="369"/>
      <c r="O42" s="369"/>
      <c r="P42" s="369"/>
      <c r="Q42" s="369"/>
      <c r="R42" s="369"/>
      <c r="S42" s="369"/>
      <c r="T42" s="369"/>
      <c r="U42" s="369"/>
      <c r="V42" s="369"/>
      <c r="W42" s="369"/>
      <c r="X42" s="369"/>
      <c r="Y42" s="369"/>
      <c r="Z42" s="369"/>
    </row>
    <row r="43" ht="15.75" customHeight="1">
      <c r="A43" s="369"/>
      <c r="B43" s="369"/>
      <c r="C43" s="369"/>
      <c r="D43" s="369"/>
      <c r="E43" s="369"/>
      <c r="F43" s="369"/>
      <c r="G43" s="369"/>
      <c r="H43" s="369"/>
      <c r="I43" s="369"/>
      <c r="J43" s="369"/>
      <c r="K43" s="369"/>
      <c r="L43" s="369"/>
      <c r="M43" s="369"/>
      <c r="N43" s="369"/>
      <c r="O43" s="369"/>
      <c r="P43" s="369"/>
      <c r="Q43" s="369"/>
      <c r="R43" s="369"/>
      <c r="S43" s="369"/>
      <c r="T43" s="369"/>
      <c r="U43" s="369"/>
      <c r="V43" s="369"/>
      <c r="W43" s="369"/>
      <c r="X43" s="369"/>
      <c r="Y43" s="369"/>
      <c r="Z43" s="369"/>
    </row>
    <row r="44" ht="15.75" customHeight="1">
      <c r="A44" s="369"/>
      <c r="B44" s="369"/>
      <c r="C44" s="369"/>
      <c r="D44" s="369"/>
      <c r="E44" s="369"/>
      <c r="F44" s="369"/>
      <c r="G44" s="369"/>
      <c r="H44" s="369"/>
      <c r="I44" s="369"/>
      <c r="J44" s="369"/>
      <c r="K44" s="369"/>
      <c r="L44" s="369"/>
      <c r="M44" s="369"/>
      <c r="N44" s="369"/>
      <c r="O44" s="369"/>
      <c r="P44" s="369"/>
      <c r="Q44" s="369"/>
      <c r="R44" s="369"/>
      <c r="S44" s="369"/>
      <c r="T44" s="369"/>
      <c r="U44" s="369"/>
      <c r="V44" s="369"/>
      <c r="W44" s="369"/>
      <c r="X44" s="369"/>
      <c r="Y44" s="369"/>
      <c r="Z44" s="369"/>
    </row>
    <row r="45" ht="15.75" customHeight="1">
      <c r="A45" s="369"/>
      <c r="B45" s="369"/>
      <c r="C45" s="369"/>
      <c r="D45" s="369"/>
      <c r="E45" s="369"/>
      <c r="F45" s="369"/>
      <c r="G45" s="369"/>
      <c r="H45" s="369"/>
      <c r="I45" s="369"/>
      <c r="J45" s="369"/>
      <c r="K45" s="369"/>
      <c r="L45" s="369"/>
      <c r="M45" s="369"/>
      <c r="N45" s="369"/>
      <c r="O45" s="369"/>
      <c r="P45" s="369"/>
      <c r="Q45" s="369"/>
      <c r="R45" s="369"/>
      <c r="S45" s="369"/>
      <c r="T45" s="369"/>
      <c r="U45" s="369"/>
      <c r="V45" s="369"/>
      <c r="W45" s="369"/>
      <c r="X45" s="369"/>
      <c r="Y45" s="369"/>
      <c r="Z45" s="369"/>
    </row>
    <row r="46" ht="15.75" customHeight="1">
      <c r="A46" s="369"/>
      <c r="B46" s="369"/>
      <c r="C46" s="369"/>
      <c r="D46" s="369"/>
      <c r="E46" s="369"/>
      <c r="F46" s="369"/>
      <c r="G46" s="369"/>
      <c r="H46" s="369"/>
      <c r="I46" s="369"/>
      <c r="J46" s="369"/>
      <c r="K46" s="369"/>
      <c r="L46" s="369"/>
      <c r="M46" s="369"/>
      <c r="N46" s="369"/>
      <c r="O46" s="369"/>
      <c r="P46" s="369"/>
      <c r="Q46" s="369"/>
      <c r="R46" s="369"/>
      <c r="S46" s="369"/>
      <c r="T46" s="369"/>
      <c r="U46" s="369"/>
      <c r="V46" s="369"/>
      <c r="W46" s="369"/>
      <c r="X46" s="369"/>
      <c r="Y46" s="369"/>
      <c r="Z46" s="369"/>
    </row>
    <row r="47" ht="15.75" customHeight="1">
      <c r="A47" s="369"/>
      <c r="B47" s="369"/>
      <c r="C47" s="369"/>
      <c r="D47" s="369"/>
      <c r="E47" s="369"/>
      <c r="F47" s="369"/>
      <c r="G47" s="369"/>
      <c r="H47" s="369"/>
      <c r="I47" s="369"/>
      <c r="J47" s="369"/>
      <c r="K47" s="369"/>
      <c r="L47" s="369"/>
      <c r="M47" s="369"/>
      <c r="N47" s="369"/>
      <c r="O47" s="369"/>
      <c r="P47" s="369"/>
      <c r="Q47" s="369"/>
      <c r="R47" s="369"/>
      <c r="S47" s="369"/>
      <c r="T47" s="369"/>
      <c r="U47" s="369"/>
      <c r="V47" s="369"/>
      <c r="W47" s="369"/>
      <c r="X47" s="369"/>
      <c r="Y47" s="369"/>
      <c r="Z47" s="369"/>
    </row>
    <row r="48" ht="15.75" customHeight="1">
      <c r="A48" s="369"/>
      <c r="B48" s="369"/>
      <c r="C48" s="369"/>
      <c r="D48" s="369"/>
      <c r="E48" s="369"/>
      <c r="F48" s="369"/>
      <c r="G48" s="369"/>
      <c r="H48" s="369"/>
      <c r="I48" s="369"/>
      <c r="J48" s="369"/>
      <c r="K48" s="369"/>
      <c r="L48" s="369"/>
      <c r="M48" s="369"/>
      <c r="N48" s="369"/>
      <c r="O48" s="369"/>
      <c r="P48" s="369"/>
      <c r="Q48" s="369"/>
      <c r="R48" s="369"/>
      <c r="S48" s="369"/>
      <c r="T48" s="369"/>
      <c r="U48" s="369"/>
      <c r="V48" s="369"/>
      <c r="W48" s="369"/>
      <c r="X48" s="369"/>
      <c r="Y48" s="369"/>
      <c r="Z48" s="369"/>
    </row>
    <row r="49" ht="15.75" customHeight="1">
      <c r="A49" s="369"/>
      <c r="B49" s="369"/>
      <c r="C49" s="369"/>
      <c r="D49" s="369"/>
      <c r="E49" s="369"/>
      <c r="F49" s="369"/>
      <c r="G49" s="369"/>
      <c r="H49" s="369"/>
      <c r="I49" s="369"/>
      <c r="J49" s="369"/>
      <c r="K49" s="369"/>
      <c r="L49" s="369"/>
      <c r="M49" s="369"/>
      <c r="N49" s="369"/>
      <c r="O49" s="369"/>
      <c r="P49" s="369"/>
      <c r="Q49" s="369"/>
      <c r="R49" s="369"/>
      <c r="S49" s="369"/>
      <c r="T49" s="369"/>
      <c r="U49" s="369"/>
      <c r="V49" s="369"/>
      <c r="W49" s="369"/>
      <c r="X49" s="369"/>
      <c r="Y49" s="369"/>
      <c r="Z49" s="369"/>
    </row>
    <row r="50" ht="15.75" customHeight="1">
      <c r="A50" s="369"/>
      <c r="B50" s="369"/>
      <c r="C50" s="369"/>
      <c r="D50" s="369"/>
      <c r="E50" s="369"/>
      <c r="F50" s="369"/>
      <c r="G50" s="369"/>
      <c r="H50" s="369"/>
      <c r="I50" s="369"/>
      <c r="J50" s="369"/>
      <c r="K50" s="369"/>
      <c r="L50" s="369"/>
      <c r="M50" s="369"/>
      <c r="N50" s="369"/>
      <c r="O50" s="369"/>
      <c r="P50" s="369"/>
      <c r="Q50" s="369"/>
      <c r="R50" s="369"/>
      <c r="S50" s="369"/>
      <c r="T50" s="369"/>
      <c r="U50" s="369"/>
      <c r="V50" s="369"/>
      <c r="W50" s="369"/>
      <c r="X50" s="369"/>
      <c r="Y50" s="369"/>
      <c r="Z50" s="369"/>
    </row>
    <row r="51" ht="15.75" customHeight="1">
      <c r="A51" s="369"/>
      <c r="B51" s="369"/>
      <c r="C51" s="369"/>
      <c r="D51" s="369"/>
      <c r="E51" s="369"/>
      <c r="F51" s="369"/>
      <c r="G51" s="369"/>
      <c r="H51" s="369"/>
      <c r="I51" s="369"/>
      <c r="J51" s="369"/>
      <c r="K51" s="369"/>
      <c r="L51" s="369"/>
      <c r="M51" s="369"/>
      <c r="N51" s="369"/>
      <c r="O51" s="369"/>
      <c r="P51" s="369"/>
      <c r="Q51" s="369"/>
      <c r="R51" s="369"/>
      <c r="S51" s="369"/>
      <c r="T51" s="369"/>
      <c r="U51" s="369"/>
      <c r="V51" s="369"/>
      <c r="W51" s="369"/>
      <c r="X51" s="369"/>
      <c r="Y51" s="369"/>
      <c r="Z51" s="369"/>
    </row>
    <row r="52" ht="15.75" customHeight="1">
      <c r="A52" s="369"/>
      <c r="B52" s="369"/>
      <c r="C52" s="369"/>
      <c r="D52" s="369"/>
      <c r="E52" s="369"/>
      <c r="F52" s="369"/>
      <c r="G52" s="369"/>
      <c r="H52" s="369"/>
      <c r="I52" s="369"/>
      <c r="J52" s="369"/>
      <c r="K52" s="369"/>
      <c r="L52" s="369"/>
      <c r="M52" s="369"/>
      <c r="N52" s="369"/>
      <c r="O52" s="369"/>
      <c r="P52" s="369"/>
      <c r="Q52" s="369"/>
      <c r="R52" s="369"/>
      <c r="S52" s="369"/>
      <c r="T52" s="369"/>
      <c r="U52" s="369"/>
      <c r="V52" s="369"/>
      <c r="W52" s="369"/>
      <c r="X52" s="369"/>
      <c r="Y52" s="369"/>
      <c r="Z52" s="369"/>
    </row>
    <row r="53" ht="15.75" customHeight="1">
      <c r="A53" s="369"/>
      <c r="B53" s="369"/>
      <c r="C53" s="369"/>
      <c r="D53" s="369"/>
      <c r="E53" s="369"/>
      <c r="F53" s="369"/>
      <c r="G53" s="369"/>
      <c r="H53" s="369"/>
      <c r="I53" s="369"/>
      <c r="J53" s="369"/>
      <c r="K53" s="369"/>
      <c r="L53" s="369"/>
      <c r="M53" s="369"/>
      <c r="N53" s="369"/>
      <c r="O53" s="369"/>
      <c r="P53" s="369"/>
      <c r="Q53" s="369"/>
      <c r="R53" s="369"/>
      <c r="S53" s="369"/>
      <c r="T53" s="369"/>
      <c r="U53" s="369"/>
      <c r="V53" s="369"/>
      <c r="W53" s="369"/>
      <c r="X53" s="369"/>
      <c r="Y53" s="369"/>
      <c r="Z53" s="369"/>
    </row>
    <row r="54" ht="15.75" customHeight="1">
      <c r="A54" s="369"/>
      <c r="B54" s="369"/>
      <c r="C54" s="369"/>
      <c r="D54" s="369"/>
      <c r="E54" s="369"/>
      <c r="F54" s="369"/>
      <c r="G54" s="369"/>
      <c r="H54" s="369"/>
      <c r="I54" s="369"/>
      <c r="J54" s="369"/>
      <c r="K54" s="369"/>
      <c r="L54" s="369"/>
      <c r="M54" s="369"/>
      <c r="N54" s="369"/>
      <c r="O54" s="369"/>
      <c r="P54" s="369"/>
      <c r="Q54" s="369"/>
      <c r="R54" s="369"/>
      <c r="S54" s="369"/>
      <c r="T54" s="369"/>
      <c r="U54" s="369"/>
      <c r="V54" s="369"/>
      <c r="W54" s="369"/>
      <c r="X54" s="369"/>
      <c r="Y54" s="369"/>
      <c r="Z54" s="369"/>
    </row>
    <row r="55" ht="15.75" customHeight="1">
      <c r="A55" s="369"/>
      <c r="B55" s="369"/>
      <c r="C55" s="369"/>
      <c r="D55" s="369"/>
      <c r="E55" s="369"/>
      <c r="F55" s="369"/>
      <c r="G55" s="369"/>
      <c r="H55" s="369"/>
      <c r="I55" s="369"/>
      <c r="J55" s="369"/>
      <c r="K55" s="369"/>
      <c r="L55" s="369"/>
      <c r="M55" s="369"/>
      <c r="N55" s="369"/>
      <c r="O55" s="369"/>
      <c r="P55" s="369"/>
      <c r="Q55" s="369"/>
      <c r="R55" s="369"/>
      <c r="S55" s="369"/>
      <c r="T55" s="369"/>
      <c r="U55" s="369"/>
      <c r="V55" s="369"/>
      <c r="W55" s="369"/>
      <c r="X55" s="369"/>
      <c r="Y55" s="369"/>
      <c r="Z55" s="369"/>
    </row>
    <row r="56" ht="15.75" customHeight="1">
      <c r="A56" s="369"/>
      <c r="B56" s="369"/>
      <c r="C56" s="369"/>
      <c r="D56" s="369"/>
      <c r="E56" s="369"/>
      <c r="F56" s="369"/>
      <c r="G56" s="369"/>
      <c r="H56" s="369"/>
      <c r="I56" s="369"/>
      <c r="J56" s="369"/>
      <c r="K56" s="369"/>
      <c r="L56" s="369"/>
      <c r="M56" s="369"/>
      <c r="N56" s="369"/>
      <c r="O56" s="369"/>
      <c r="P56" s="369"/>
      <c r="Q56" s="369"/>
      <c r="R56" s="369"/>
      <c r="S56" s="369"/>
      <c r="T56" s="369"/>
      <c r="U56" s="369"/>
      <c r="V56" s="369"/>
      <c r="W56" s="369"/>
      <c r="X56" s="369"/>
      <c r="Y56" s="369"/>
      <c r="Z56" s="369"/>
    </row>
    <row r="57" ht="15.75" customHeight="1">
      <c r="A57" s="369"/>
      <c r="B57" s="369"/>
      <c r="C57" s="369"/>
      <c r="D57" s="369"/>
      <c r="E57" s="369"/>
      <c r="F57" s="369"/>
      <c r="G57" s="369"/>
      <c r="H57" s="369"/>
      <c r="I57" s="369"/>
      <c r="J57" s="369"/>
      <c r="K57" s="369"/>
      <c r="L57" s="369"/>
      <c r="M57" s="369"/>
      <c r="N57" s="369"/>
      <c r="O57" s="369"/>
      <c r="P57" s="369"/>
      <c r="Q57" s="369"/>
      <c r="R57" s="369"/>
      <c r="S57" s="369"/>
      <c r="T57" s="369"/>
      <c r="U57" s="369"/>
      <c r="V57" s="369"/>
      <c r="W57" s="369"/>
      <c r="X57" s="369"/>
      <c r="Y57" s="369"/>
      <c r="Z57" s="369"/>
    </row>
    <row r="58" ht="15.75" customHeight="1">
      <c r="A58" s="369"/>
      <c r="B58" s="369"/>
      <c r="C58" s="369"/>
      <c r="D58" s="369"/>
      <c r="E58" s="369"/>
      <c r="F58" s="369"/>
      <c r="G58" s="369"/>
      <c r="H58" s="369"/>
      <c r="I58" s="369"/>
      <c r="J58" s="369"/>
      <c r="K58" s="369"/>
      <c r="L58" s="369"/>
      <c r="M58" s="369"/>
      <c r="N58" s="369"/>
      <c r="O58" s="369"/>
      <c r="P58" s="369"/>
      <c r="Q58" s="369"/>
      <c r="R58" s="369"/>
      <c r="S58" s="369"/>
      <c r="T58" s="369"/>
      <c r="U58" s="369"/>
      <c r="V58" s="369"/>
      <c r="W58" s="369"/>
      <c r="X58" s="369"/>
      <c r="Y58" s="369"/>
      <c r="Z58" s="369"/>
    </row>
    <row r="59" ht="15.75" customHeight="1">
      <c r="A59" s="369"/>
      <c r="B59" s="369"/>
      <c r="C59" s="369"/>
      <c r="D59" s="369"/>
      <c r="E59" s="369"/>
      <c r="F59" s="369"/>
      <c r="G59" s="369"/>
      <c r="H59" s="369"/>
      <c r="I59" s="369"/>
      <c r="J59" s="369"/>
      <c r="K59" s="369"/>
      <c r="L59" s="369"/>
      <c r="M59" s="369"/>
      <c r="N59" s="369"/>
      <c r="O59" s="369"/>
      <c r="P59" s="369"/>
      <c r="Q59" s="369"/>
      <c r="R59" s="369"/>
      <c r="S59" s="369"/>
      <c r="T59" s="369"/>
      <c r="U59" s="369"/>
      <c r="V59" s="369"/>
      <c r="W59" s="369"/>
      <c r="X59" s="369"/>
      <c r="Y59" s="369"/>
      <c r="Z59" s="369"/>
    </row>
    <row r="60" ht="15.75" customHeight="1">
      <c r="A60" s="369"/>
      <c r="B60" s="369"/>
      <c r="C60" s="369"/>
      <c r="D60" s="369"/>
      <c r="E60" s="369"/>
      <c r="F60" s="369"/>
      <c r="G60" s="369"/>
      <c r="H60" s="369"/>
      <c r="I60" s="369"/>
      <c r="J60" s="369"/>
      <c r="K60" s="369"/>
      <c r="L60" s="369"/>
      <c r="M60" s="369"/>
      <c r="N60" s="369"/>
      <c r="O60" s="369"/>
      <c r="P60" s="369"/>
      <c r="Q60" s="369"/>
      <c r="R60" s="369"/>
      <c r="S60" s="369"/>
      <c r="T60" s="369"/>
      <c r="U60" s="369"/>
      <c r="V60" s="369"/>
      <c r="W60" s="369"/>
      <c r="X60" s="369"/>
      <c r="Y60" s="369"/>
      <c r="Z60" s="369"/>
    </row>
    <row r="61" ht="15.75" customHeight="1">
      <c r="A61" s="369"/>
      <c r="B61" s="369"/>
      <c r="C61" s="369"/>
      <c r="D61" s="369"/>
      <c r="E61" s="369"/>
      <c r="F61" s="369"/>
      <c r="G61" s="369"/>
      <c r="H61" s="369"/>
      <c r="I61" s="369"/>
      <c r="J61" s="369"/>
      <c r="K61" s="369"/>
      <c r="L61" s="369"/>
      <c r="M61" s="369"/>
      <c r="N61" s="369"/>
      <c r="O61" s="369"/>
      <c r="P61" s="369"/>
      <c r="Q61" s="369"/>
      <c r="R61" s="369"/>
      <c r="S61" s="369"/>
      <c r="T61" s="369"/>
      <c r="U61" s="369"/>
      <c r="V61" s="369"/>
      <c r="W61" s="369"/>
      <c r="X61" s="369"/>
      <c r="Y61" s="369"/>
      <c r="Z61" s="369"/>
    </row>
    <row r="62" ht="15.75" customHeight="1">
      <c r="A62" s="369"/>
      <c r="B62" s="369"/>
      <c r="C62" s="369"/>
      <c r="D62" s="369"/>
      <c r="E62" s="369"/>
      <c r="F62" s="369"/>
      <c r="G62" s="369"/>
      <c r="H62" s="369"/>
      <c r="I62" s="369"/>
      <c r="J62" s="369"/>
      <c r="K62" s="369"/>
      <c r="L62" s="369"/>
      <c r="M62" s="369"/>
      <c r="N62" s="369"/>
      <c r="O62" s="369"/>
      <c r="P62" s="369"/>
      <c r="Q62" s="369"/>
      <c r="R62" s="369"/>
      <c r="S62" s="369"/>
      <c r="T62" s="369"/>
      <c r="U62" s="369"/>
      <c r="V62" s="369"/>
      <c r="W62" s="369"/>
      <c r="X62" s="369"/>
      <c r="Y62" s="369"/>
      <c r="Z62" s="369"/>
    </row>
    <row r="63" ht="15.75" customHeight="1">
      <c r="A63" s="369"/>
      <c r="B63" s="369"/>
      <c r="C63" s="369"/>
      <c r="D63" s="369"/>
      <c r="E63" s="369"/>
      <c r="F63" s="369"/>
      <c r="G63" s="369"/>
      <c r="H63" s="369"/>
      <c r="I63" s="369"/>
      <c r="J63" s="369"/>
      <c r="K63" s="369"/>
      <c r="L63" s="369"/>
      <c r="M63" s="369"/>
      <c r="N63" s="369"/>
      <c r="O63" s="369"/>
      <c r="P63" s="369"/>
      <c r="Q63" s="369"/>
      <c r="R63" s="369"/>
      <c r="S63" s="369"/>
      <c r="T63" s="369"/>
      <c r="U63" s="369"/>
      <c r="V63" s="369"/>
      <c r="W63" s="369"/>
      <c r="X63" s="369"/>
      <c r="Y63" s="369"/>
      <c r="Z63" s="369"/>
    </row>
    <row r="64" ht="15.75" customHeight="1">
      <c r="A64" s="369"/>
      <c r="B64" s="369"/>
      <c r="C64" s="369"/>
      <c r="D64" s="369"/>
      <c r="E64" s="369"/>
      <c r="F64" s="369"/>
      <c r="G64" s="369"/>
      <c r="H64" s="369"/>
      <c r="I64" s="369"/>
      <c r="J64" s="369"/>
      <c r="K64" s="369"/>
      <c r="L64" s="369"/>
      <c r="M64" s="369"/>
      <c r="N64" s="369"/>
      <c r="O64" s="369"/>
      <c r="P64" s="369"/>
      <c r="Q64" s="369"/>
      <c r="R64" s="369"/>
      <c r="S64" s="369"/>
      <c r="T64" s="369"/>
      <c r="U64" s="369"/>
      <c r="V64" s="369"/>
      <c r="W64" s="369"/>
      <c r="X64" s="369"/>
      <c r="Y64" s="369"/>
      <c r="Z64" s="369"/>
    </row>
    <row r="65" ht="15.75" customHeight="1">
      <c r="A65" s="369"/>
      <c r="B65" s="369"/>
      <c r="C65" s="369"/>
      <c r="D65" s="369"/>
      <c r="E65" s="369"/>
      <c r="F65" s="369"/>
      <c r="G65" s="369"/>
      <c r="H65" s="369"/>
      <c r="I65" s="369"/>
      <c r="J65" s="369"/>
      <c r="K65" s="369"/>
      <c r="L65" s="369"/>
      <c r="M65" s="369"/>
      <c r="N65" s="369"/>
      <c r="O65" s="369"/>
      <c r="P65" s="369"/>
      <c r="Q65" s="369"/>
      <c r="R65" s="369"/>
      <c r="S65" s="369"/>
      <c r="T65" s="369"/>
      <c r="U65" s="369"/>
      <c r="V65" s="369"/>
      <c r="W65" s="369"/>
      <c r="X65" s="369"/>
      <c r="Y65" s="369"/>
      <c r="Z65" s="369"/>
    </row>
    <row r="66" ht="15.75" customHeight="1">
      <c r="A66" s="369"/>
      <c r="B66" s="369"/>
      <c r="C66" s="369"/>
      <c r="D66" s="369"/>
      <c r="E66" s="369"/>
      <c r="F66" s="369"/>
      <c r="G66" s="369"/>
      <c r="H66" s="369"/>
      <c r="I66" s="369"/>
      <c r="J66" s="369"/>
      <c r="K66" s="369"/>
      <c r="L66" s="369"/>
      <c r="M66" s="369"/>
      <c r="N66" s="369"/>
      <c r="O66" s="369"/>
      <c r="P66" s="369"/>
      <c r="Q66" s="369"/>
      <c r="R66" s="369"/>
      <c r="S66" s="369"/>
      <c r="T66" s="369"/>
      <c r="U66" s="369"/>
      <c r="V66" s="369"/>
      <c r="W66" s="369"/>
      <c r="X66" s="369"/>
      <c r="Y66" s="369"/>
      <c r="Z66" s="369"/>
    </row>
    <row r="67" ht="15.75" customHeight="1">
      <c r="A67" s="369"/>
      <c r="B67" s="369"/>
      <c r="C67" s="369"/>
      <c r="D67" s="369"/>
      <c r="E67" s="369"/>
      <c r="F67" s="369"/>
      <c r="G67" s="369"/>
      <c r="H67" s="369"/>
      <c r="I67" s="369"/>
      <c r="J67" s="369"/>
      <c r="K67" s="369"/>
      <c r="L67" s="369"/>
      <c r="M67" s="369"/>
      <c r="N67" s="369"/>
      <c r="O67" s="369"/>
      <c r="P67" s="369"/>
      <c r="Q67" s="369"/>
      <c r="R67" s="369"/>
      <c r="S67" s="369"/>
      <c r="T67" s="369"/>
      <c r="U67" s="369"/>
      <c r="V67" s="369"/>
      <c r="W67" s="369"/>
      <c r="X67" s="369"/>
      <c r="Y67" s="369"/>
      <c r="Z67" s="369"/>
    </row>
    <row r="68" ht="15.75" customHeight="1">
      <c r="A68" s="369"/>
      <c r="B68" s="369"/>
      <c r="C68" s="369"/>
      <c r="D68" s="369"/>
      <c r="E68" s="369"/>
      <c r="F68" s="369"/>
      <c r="G68" s="369"/>
      <c r="H68" s="369"/>
      <c r="I68" s="369"/>
      <c r="J68" s="369"/>
      <c r="K68" s="369"/>
      <c r="L68" s="369"/>
      <c r="M68" s="369"/>
      <c r="N68" s="369"/>
      <c r="O68" s="369"/>
      <c r="P68" s="369"/>
      <c r="Q68" s="369"/>
      <c r="R68" s="369"/>
      <c r="S68" s="369"/>
      <c r="T68" s="369"/>
      <c r="U68" s="369"/>
      <c r="V68" s="369"/>
      <c r="W68" s="369"/>
      <c r="X68" s="369"/>
      <c r="Y68" s="369"/>
      <c r="Z68" s="369"/>
    </row>
    <row r="69" ht="15.75" customHeight="1">
      <c r="A69" s="369"/>
      <c r="B69" s="369"/>
      <c r="C69" s="369"/>
      <c r="D69" s="369"/>
      <c r="E69" s="369"/>
      <c r="F69" s="369"/>
      <c r="G69" s="369"/>
      <c r="H69" s="369"/>
      <c r="I69" s="369"/>
      <c r="J69" s="369"/>
      <c r="K69" s="369"/>
      <c r="L69" s="369"/>
      <c r="M69" s="369"/>
      <c r="N69" s="369"/>
      <c r="O69" s="369"/>
      <c r="P69" s="369"/>
      <c r="Q69" s="369"/>
      <c r="R69" s="369"/>
      <c r="S69" s="369"/>
      <c r="T69" s="369"/>
      <c r="U69" s="369"/>
      <c r="V69" s="369"/>
      <c r="W69" s="369"/>
      <c r="X69" s="369"/>
      <c r="Y69" s="369"/>
      <c r="Z69" s="369"/>
    </row>
    <row r="70" ht="15.75" customHeight="1">
      <c r="A70" s="369"/>
      <c r="B70" s="369"/>
      <c r="C70" s="369"/>
      <c r="D70" s="369"/>
      <c r="E70" s="369"/>
      <c r="F70" s="369"/>
      <c r="G70" s="369"/>
      <c r="H70" s="369"/>
      <c r="I70" s="369"/>
      <c r="J70" s="369"/>
      <c r="K70" s="369"/>
      <c r="L70" s="369"/>
      <c r="M70" s="369"/>
      <c r="N70" s="369"/>
      <c r="O70" s="369"/>
      <c r="P70" s="369"/>
      <c r="Q70" s="369"/>
      <c r="R70" s="369"/>
      <c r="S70" s="369"/>
      <c r="T70" s="369"/>
      <c r="U70" s="369"/>
      <c r="V70" s="369"/>
      <c r="W70" s="369"/>
      <c r="X70" s="369"/>
      <c r="Y70" s="369"/>
      <c r="Z70" s="369"/>
    </row>
    <row r="71" ht="15.75" customHeight="1">
      <c r="A71" s="369"/>
      <c r="B71" s="369"/>
      <c r="C71" s="369"/>
      <c r="D71" s="369"/>
      <c r="E71" s="369"/>
      <c r="F71" s="369"/>
      <c r="G71" s="369"/>
      <c r="H71" s="369"/>
      <c r="I71" s="369"/>
      <c r="J71" s="369"/>
      <c r="K71" s="369"/>
      <c r="L71" s="369"/>
      <c r="M71" s="369"/>
      <c r="N71" s="369"/>
      <c r="O71" s="369"/>
      <c r="P71" s="369"/>
      <c r="Q71" s="369"/>
      <c r="R71" s="369"/>
      <c r="S71" s="369"/>
      <c r="T71" s="369"/>
      <c r="U71" s="369"/>
      <c r="V71" s="369"/>
      <c r="W71" s="369"/>
      <c r="X71" s="369"/>
      <c r="Y71" s="369"/>
      <c r="Z71" s="369"/>
    </row>
    <row r="72" ht="15.75" customHeight="1">
      <c r="A72" s="369"/>
      <c r="B72" s="369"/>
      <c r="C72" s="369"/>
      <c r="D72" s="369"/>
      <c r="E72" s="369"/>
      <c r="F72" s="369"/>
      <c r="G72" s="369"/>
      <c r="H72" s="369"/>
      <c r="I72" s="369"/>
      <c r="J72" s="369"/>
      <c r="K72" s="369"/>
      <c r="L72" s="369"/>
      <c r="M72" s="369"/>
      <c r="N72" s="369"/>
      <c r="O72" s="369"/>
      <c r="P72" s="369"/>
      <c r="Q72" s="369"/>
      <c r="R72" s="369"/>
      <c r="S72" s="369"/>
      <c r="T72" s="369"/>
      <c r="U72" s="369"/>
      <c r="V72" s="369"/>
      <c r="W72" s="369"/>
      <c r="X72" s="369"/>
      <c r="Y72" s="369"/>
      <c r="Z72" s="369"/>
    </row>
    <row r="73" ht="15.75" customHeight="1">
      <c r="A73" s="369"/>
      <c r="B73" s="369"/>
      <c r="C73" s="369"/>
      <c r="D73" s="369"/>
      <c r="E73" s="369"/>
      <c r="F73" s="369"/>
      <c r="G73" s="369"/>
      <c r="H73" s="369"/>
      <c r="I73" s="369"/>
      <c r="J73" s="369"/>
      <c r="K73" s="369"/>
      <c r="L73" s="369"/>
      <c r="M73" s="369"/>
      <c r="N73" s="369"/>
      <c r="O73" s="369"/>
      <c r="P73" s="369"/>
      <c r="Q73" s="369"/>
      <c r="R73" s="369"/>
      <c r="S73" s="369"/>
      <c r="T73" s="369"/>
      <c r="U73" s="369"/>
      <c r="V73" s="369"/>
      <c r="W73" s="369"/>
      <c r="X73" s="369"/>
      <c r="Y73" s="369"/>
      <c r="Z73" s="369"/>
    </row>
    <row r="74" ht="15.75" customHeight="1">
      <c r="A74" s="369"/>
      <c r="B74" s="369"/>
      <c r="C74" s="369"/>
      <c r="D74" s="369"/>
      <c r="E74" s="369"/>
      <c r="F74" s="369"/>
      <c r="G74" s="369"/>
      <c r="H74" s="369"/>
      <c r="I74" s="369"/>
      <c r="J74" s="369"/>
      <c r="K74" s="369"/>
      <c r="L74" s="369"/>
      <c r="M74" s="369"/>
      <c r="N74" s="369"/>
      <c r="O74" s="369"/>
      <c r="P74" s="369"/>
      <c r="Q74" s="369"/>
      <c r="R74" s="369"/>
      <c r="S74" s="369"/>
      <c r="T74" s="369"/>
      <c r="U74" s="369"/>
      <c r="V74" s="369"/>
      <c r="W74" s="369"/>
      <c r="X74" s="369"/>
      <c r="Y74" s="369"/>
      <c r="Z74" s="369"/>
    </row>
    <row r="75" ht="15.75" customHeight="1">
      <c r="A75" s="369"/>
      <c r="B75" s="369"/>
      <c r="C75" s="369"/>
      <c r="D75" s="369"/>
      <c r="E75" s="369"/>
      <c r="F75" s="369"/>
      <c r="G75" s="369"/>
      <c r="H75" s="369"/>
      <c r="I75" s="369"/>
      <c r="J75" s="369"/>
      <c r="K75" s="369"/>
      <c r="L75" s="369"/>
      <c r="M75" s="369"/>
      <c r="N75" s="369"/>
      <c r="O75" s="369"/>
      <c r="P75" s="369"/>
      <c r="Q75" s="369"/>
      <c r="R75" s="369"/>
      <c r="S75" s="369"/>
      <c r="T75" s="369"/>
      <c r="U75" s="369"/>
      <c r="V75" s="369"/>
      <c r="W75" s="369"/>
      <c r="X75" s="369"/>
      <c r="Y75" s="369"/>
      <c r="Z75" s="369"/>
    </row>
    <row r="76" ht="15.75" customHeight="1">
      <c r="A76" s="369"/>
      <c r="B76" s="369"/>
      <c r="C76" s="369"/>
      <c r="D76" s="369"/>
      <c r="E76" s="369"/>
      <c r="F76" s="369"/>
      <c r="G76" s="369"/>
      <c r="H76" s="369"/>
      <c r="I76" s="369"/>
      <c r="J76" s="369"/>
      <c r="K76" s="369"/>
      <c r="L76" s="369"/>
      <c r="M76" s="369"/>
      <c r="N76" s="369"/>
      <c r="O76" s="369"/>
      <c r="P76" s="369"/>
      <c r="Q76" s="369"/>
      <c r="R76" s="369"/>
      <c r="S76" s="369"/>
      <c r="T76" s="369"/>
      <c r="U76" s="369"/>
      <c r="V76" s="369"/>
      <c r="W76" s="369"/>
      <c r="X76" s="369"/>
      <c r="Y76" s="369"/>
      <c r="Z76" s="369"/>
    </row>
    <row r="77" ht="15.75" customHeight="1">
      <c r="A77" s="369"/>
      <c r="B77" s="369"/>
      <c r="C77" s="369"/>
      <c r="D77" s="369"/>
      <c r="E77" s="369"/>
      <c r="F77" s="369"/>
      <c r="G77" s="369"/>
      <c r="H77" s="369"/>
      <c r="I77" s="369"/>
      <c r="J77" s="369"/>
      <c r="K77" s="369"/>
      <c r="L77" s="369"/>
      <c r="M77" s="369"/>
      <c r="N77" s="369"/>
      <c r="O77" s="369"/>
      <c r="P77" s="369"/>
      <c r="Q77" s="369"/>
      <c r="R77" s="369"/>
      <c r="S77" s="369"/>
      <c r="T77" s="369"/>
      <c r="U77" s="369"/>
      <c r="V77" s="369"/>
      <c r="W77" s="369"/>
      <c r="X77" s="369"/>
      <c r="Y77" s="369"/>
      <c r="Z77" s="369"/>
    </row>
    <row r="78" ht="15.75" customHeight="1">
      <c r="A78" s="369"/>
      <c r="B78" s="369"/>
      <c r="C78" s="369"/>
      <c r="D78" s="369"/>
      <c r="E78" s="369"/>
      <c r="F78" s="369"/>
      <c r="G78" s="369"/>
      <c r="H78" s="369"/>
      <c r="I78" s="369"/>
      <c r="J78" s="369"/>
      <c r="K78" s="369"/>
      <c r="L78" s="369"/>
      <c r="M78" s="369"/>
      <c r="N78" s="369"/>
      <c r="O78" s="369"/>
      <c r="P78" s="369"/>
      <c r="Q78" s="369"/>
      <c r="R78" s="369"/>
      <c r="S78" s="369"/>
      <c r="T78" s="369"/>
      <c r="U78" s="369"/>
      <c r="V78" s="369"/>
      <c r="W78" s="369"/>
      <c r="X78" s="369"/>
      <c r="Y78" s="369"/>
      <c r="Z78" s="369"/>
    </row>
    <row r="79" ht="15.75" customHeight="1">
      <c r="A79" s="369"/>
      <c r="B79" s="369"/>
      <c r="C79" s="369"/>
      <c r="D79" s="369"/>
      <c r="E79" s="369"/>
      <c r="F79" s="369"/>
      <c r="G79" s="369"/>
      <c r="H79" s="369"/>
      <c r="I79" s="369"/>
      <c r="J79" s="369"/>
      <c r="K79" s="369"/>
      <c r="L79" s="369"/>
      <c r="M79" s="369"/>
      <c r="N79" s="369"/>
      <c r="O79" s="369"/>
      <c r="P79" s="369"/>
      <c r="Q79" s="369"/>
      <c r="R79" s="369"/>
      <c r="S79" s="369"/>
      <c r="T79" s="369"/>
      <c r="U79" s="369"/>
      <c r="V79" s="369"/>
      <c r="W79" s="369"/>
      <c r="X79" s="369"/>
      <c r="Y79" s="369"/>
      <c r="Z79" s="369"/>
    </row>
    <row r="80" ht="15.75" customHeight="1">
      <c r="A80" s="369"/>
      <c r="B80" s="369"/>
      <c r="C80" s="369"/>
      <c r="D80" s="369"/>
      <c r="E80" s="369"/>
      <c r="F80" s="369"/>
      <c r="G80" s="369"/>
      <c r="H80" s="369"/>
      <c r="I80" s="369"/>
      <c r="J80" s="369"/>
      <c r="K80" s="369"/>
      <c r="L80" s="369"/>
      <c r="M80" s="369"/>
      <c r="N80" s="369"/>
      <c r="O80" s="369"/>
      <c r="P80" s="369"/>
      <c r="Q80" s="369"/>
      <c r="R80" s="369"/>
      <c r="S80" s="369"/>
      <c r="T80" s="369"/>
      <c r="U80" s="369"/>
      <c r="V80" s="369"/>
      <c r="W80" s="369"/>
      <c r="X80" s="369"/>
      <c r="Y80" s="369"/>
      <c r="Z80" s="369"/>
    </row>
    <row r="81" ht="15.75" customHeight="1">
      <c r="A81" s="369"/>
      <c r="B81" s="369"/>
      <c r="C81" s="369"/>
      <c r="D81" s="369"/>
      <c r="E81" s="369"/>
      <c r="F81" s="369"/>
      <c r="G81" s="369"/>
      <c r="H81" s="369"/>
      <c r="I81" s="369"/>
      <c r="J81" s="369"/>
      <c r="K81" s="369"/>
      <c r="L81" s="369"/>
      <c r="M81" s="369"/>
      <c r="N81" s="369"/>
      <c r="O81" s="369"/>
      <c r="P81" s="369"/>
      <c r="Q81" s="369"/>
      <c r="R81" s="369"/>
      <c r="S81" s="369"/>
      <c r="T81" s="369"/>
      <c r="U81" s="369"/>
      <c r="V81" s="369"/>
      <c r="W81" s="369"/>
      <c r="X81" s="369"/>
      <c r="Y81" s="369"/>
      <c r="Z81" s="369"/>
    </row>
    <row r="82" ht="15.75" customHeight="1">
      <c r="A82" s="369"/>
      <c r="B82" s="369"/>
      <c r="C82" s="369"/>
      <c r="D82" s="369"/>
      <c r="E82" s="369"/>
      <c r="F82" s="369"/>
      <c r="G82" s="369"/>
      <c r="H82" s="369"/>
      <c r="I82" s="369"/>
      <c r="J82" s="369"/>
      <c r="K82" s="369"/>
      <c r="L82" s="369"/>
      <c r="M82" s="369"/>
      <c r="N82" s="369"/>
      <c r="O82" s="369"/>
      <c r="P82" s="369"/>
      <c r="Q82" s="369"/>
      <c r="R82" s="369"/>
      <c r="S82" s="369"/>
      <c r="T82" s="369"/>
      <c r="U82" s="369"/>
      <c r="V82" s="369"/>
      <c r="W82" s="369"/>
      <c r="X82" s="369"/>
      <c r="Y82" s="369"/>
      <c r="Z82" s="369"/>
    </row>
    <row r="83" ht="15.75" customHeight="1">
      <c r="A83" s="369"/>
      <c r="B83" s="369"/>
      <c r="C83" s="369"/>
      <c r="D83" s="369"/>
      <c r="E83" s="369"/>
      <c r="F83" s="369"/>
      <c r="G83" s="369"/>
      <c r="H83" s="369"/>
      <c r="I83" s="369"/>
      <c r="J83" s="369"/>
      <c r="K83" s="369"/>
      <c r="L83" s="369"/>
      <c r="M83" s="369"/>
      <c r="N83" s="369"/>
      <c r="O83" s="369"/>
      <c r="P83" s="369"/>
      <c r="Q83" s="369"/>
      <c r="R83" s="369"/>
      <c r="S83" s="369"/>
      <c r="T83" s="369"/>
      <c r="U83" s="369"/>
      <c r="V83" s="369"/>
      <c r="W83" s="369"/>
      <c r="X83" s="369"/>
      <c r="Y83" s="369"/>
      <c r="Z83" s="369"/>
    </row>
    <row r="84" ht="15.75" customHeight="1">
      <c r="A84" s="369"/>
      <c r="B84" s="369"/>
      <c r="C84" s="369"/>
      <c r="D84" s="369"/>
      <c r="E84" s="369"/>
      <c r="F84" s="369"/>
      <c r="G84" s="369"/>
      <c r="H84" s="369"/>
      <c r="I84" s="369"/>
      <c r="J84" s="369"/>
      <c r="K84" s="369"/>
      <c r="L84" s="369"/>
      <c r="M84" s="369"/>
      <c r="N84" s="369"/>
      <c r="O84" s="369"/>
      <c r="P84" s="369"/>
      <c r="Q84" s="369"/>
      <c r="R84" s="369"/>
      <c r="S84" s="369"/>
      <c r="T84" s="369"/>
      <c r="U84" s="369"/>
      <c r="V84" s="369"/>
      <c r="W84" s="369"/>
      <c r="X84" s="369"/>
      <c r="Y84" s="369"/>
      <c r="Z84" s="369"/>
    </row>
    <row r="85" ht="15.75" customHeight="1">
      <c r="A85" s="369"/>
      <c r="B85" s="369"/>
      <c r="C85" s="369"/>
      <c r="D85" s="369"/>
      <c r="E85" s="369"/>
      <c r="F85" s="369"/>
      <c r="G85" s="369"/>
      <c r="H85" s="369"/>
      <c r="I85" s="369"/>
      <c r="J85" s="369"/>
      <c r="K85" s="369"/>
      <c r="L85" s="369"/>
      <c r="M85" s="369"/>
      <c r="N85" s="369"/>
      <c r="O85" s="369"/>
      <c r="P85" s="369"/>
      <c r="Q85" s="369"/>
      <c r="R85" s="369"/>
      <c r="S85" s="369"/>
      <c r="T85" s="369"/>
      <c r="U85" s="369"/>
      <c r="V85" s="369"/>
      <c r="W85" s="369"/>
      <c r="X85" s="369"/>
      <c r="Y85" s="369"/>
      <c r="Z85" s="369"/>
    </row>
    <row r="86" ht="15.75" customHeight="1">
      <c r="A86" s="369"/>
      <c r="B86" s="369"/>
      <c r="C86" s="369"/>
      <c r="D86" s="369"/>
      <c r="E86" s="369"/>
      <c r="F86" s="369"/>
      <c r="G86" s="369"/>
      <c r="H86" s="369"/>
      <c r="I86" s="369"/>
      <c r="J86" s="369"/>
      <c r="K86" s="369"/>
      <c r="L86" s="369"/>
      <c r="M86" s="369"/>
      <c r="N86" s="369"/>
      <c r="O86" s="369"/>
      <c r="P86" s="369"/>
      <c r="Q86" s="369"/>
      <c r="R86" s="369"/>
      <c r="S86" s="369"/>
      <c r="T86" s="369"/>
      <c r="U86" s="369"/>
      <c r="V86" s="369"/>
      <c r="W86" s="369"/>
      <c r="X86" s="369"/>
      <c r="Y86" s="369"/>
      <c r="Z86" s="369"/>
    </row>
    <row r="87" ht="15.75" customHeight="1">
      <c r="A87" s="369"/>
      <c r="B87" s="369"/>
      <c r="C87" s="369"/>
      <c r="D87" s="369"/>
      <c r="E87" s="369"/>
      <c r="F87" s="369"/>
      <c r="G87" s="369"/>
      <c r="H87" s="369"/>
      <c r="I87" s="369"/>
      <c r="J87" s="369"/>
      <c r="K87" s="369"/>
      <c r="L87" s="369"/>
      <c r="M87" s="369"/>
      <c r="N87" s="369"/>
      <c r="O87" s="369"/>
      <c r="P87" s="369"/>
      <c r="Q87" s="369"/>
      <c r="R87" s="369"/>
      <c r="S87" s="369"/>
      <c r="T87" s="369"/>
      <c r="U87" s="369"/>
      <c r="V87" s="369"/>
      <c r="W87" s="369"/>
      <c r="X87" s="369"/>
      <c r="Y87" s="369"/>
      <c r="Z87" s="369"/>
    </row>
    <row r="88" ht="15.75" customHeight="1">
      <c r="A88" s="369"/>
      <c r="B88" s="369"/>
      <c r="C88" s="369"/>
      <c r="D88" s="369"/>
      <c r="E88" s="369"/>
      <c r="F88" s="369"/>
      <c r="G88" s="369"/>
      <c r="H88" s="369"/>
      <c r="I88" s="369"/>
      <c r="J88" s="369"/>
      <c r="K88" s="369"/>
      <c r="L88" s="369"/>
      <c r="M88" s="369"/>
      <c r="N88" s="369"/>
      <c r="O88" s="369"/>
      <c r="P88" s="369"/>
      <c r="Q88" s="369"/>
      <c r="R88" s="369"/>
      <c r="S88" s="369"/>
      <c r="T88" s="369"/>
      <c r="U88" s="369"/>
      <c r="V88" s="369"/>
      <c r="W88" s="369"/>
      <c r="X88" s="369"/>
      <c r="Y88" s="369"/>
      <c r="Z88" s="369"/>
    </row>
    <row r="89" ht="15.75" customHeight="1">
      <c r="A89" s="369"/>
      <c r="B89" s="369"/>
      <c r="C89" s="369"/>
      <c r="D89" s="369"/>
      <c r="E89" s="369"/>
      <c r="F89" s="369"/>
      <c r="G89" s="369"/>
      <c r="H89" s="369"/>
      <c r="I89" s="369"/>
      <c r="J89" s="369"/>
      <c r="K89" s="369"/>
      <c r="L89" s="369"/>
      <c r="M89" s="369"/>
      <c r="N89" s="369"/>
      <c r="O89" s="369"/>
      <c r="P89" s="369"/>
      <c r="Q89" s="369"/>
      <c r="R89" s="369"/>
      <c r="S89" s="369"/>
      <c r="T89" s="369"/>
      <c r="U89" s="369"/>
      <c r="V89" s="369"/>
      <c r="W89" s="369"/>
      <c r="X89" s="369"/>
      <c r="Y89" s="369"/>
      <c r="Z89" s="369"/>
    </row>
    <row r="90" ht="15.75" customHeight="1">
      <c r="A90" s="369"/>
      <c r="B90" s="369"/>
      <c r="C90" s="369"/>
      <c r="D90" s="369"/>
      <c r="E90" s="369"/>
      <c r="F90" s="369"/>
      <c r="G90" s="369"/>
      <c r="H90" s="369"/>
      <c r="I90" s="369"/>
      <c r="J90" s="369"/>
      <c r="K90" s="369"/>
      <c r="L90" s="369"/>
      <c r="M90" s="369"/>
      <c r="N90" s="369"/>
      <c r="O90" s="369"/>
      <c r="P90" s="369"/>
      <c r="Q90" s="369"/>
      <c r="R90" s="369"/>
      <c r="S90" s="369"/>
      <c r="T90" s="369"/>
      <c r="U90" s="369"/>
      <c r="V90" s="369"/>
      <c r="W90" s="369"/>
      <c r="X90" s="369"/>
      <c r="Y90" s="369"/>
      <c r="Z90" s="369"/>
    </row>
    <row r="91" ht="15.75" customHeight="1">
      <c r="A91" s="369"/>
      <c r="B91" s="369"/>
      <c r="C91" s="369"/>
      <c r="D91" s="369"/>
      <c r="E91" s="369"/>
      <c r="F91" s="369"/>
      <c r="G91" s="369"/>
      <c r="H91" s="369"/>
      <c r="I91" s="369"/>
      <c r="J91" s="369"/>
      <c r="K91" s="369"/>
      <c r="L91" s="369"/>
      <c r="M91" s="369"/>
      <c r="N91" s="369"/>
      <c r="O91" s="369"/>
      <c r="P91" s="369"/>
      <c r="Q91" s="369"/>
      <c r="R91" s="369"/>
      <c r="S91" s="369"/>
      <c r="T91" s="369"/>
      <c r="U91" s="369"/>
      <c r="V91" s="369"/>
      <c r="W91" s="369"/>
      <c r="X91" s="369"/>
      <c r="Y91" s="369"/>
      <c r="Z91" s="369"/>
    </row>
    <row r="92" ht="15.75" customHeight="1">
      <c r="A92" s="369"/>
      <c r="B92" s="369"/>
      <c r="C92" s="369"/>
      <c r="D92" s="369"/>
      <c r="E92" s="369"/>
      <c r="F92" s="369"/>
      <c r="G92" s="369"/>
      <c r="H92" s="369"/>
      <c r="I92" s="369"/>
      <c r="J92" s="369"/>
      <c r="K92" s="369"/>
      <c r="L92" s="369"/>
      <c r="M92" s="369"/>
      <c r="N92" s="369"/>
      <c r="O92" s="369"/>
      <c r="P92" s="369"/>
      <c r="Q92" s="369"/>
      <c r="R92" s="369"/>
      <c r="S92" s="369"/>
      <c r="T92" s="369"/>
      <c r="U92" s="369"/>
      <c r="V92" s="369"/>
      <c r="W92" s="369"/>
      <c r="X92" s="369"/>
      <c r="Y92" s="369"/>
      <c r="Z92" s="369"/>
    </row>
    <row r="93" ht="15.75" customHeight="1">
      <c r="A93" s="369"/>
      <c r="B93" s="369"/>
      <c r="C93" s="369"/>
      <c r="D93" s="369"/>
      <c r="E93" s="369"/>
      <c r="F93" s="369"/>
      <c r="G93" s="369"/>
      <c r="H93" s="369"/>
      <c r="I93" s="369"/>
      <c r="J93" s="369"/>
      <c r="K93" s="369"/>
      <c r="L93" s="369"/>
      <c r="M93" s="369"/>
      <c r="N93" s="369"/>
      <c r="O93" s="369"/>
      <c r="P93" s="369"/>
      <c r="Q93" s="369"/>
      <c r="R93" s="369"/>
      <c r="S93" s="369"/>
      <c r="T93" s="369"/>
      <c r="U93" s="369"/>
      <c r="V93" s="369"/>
      <c r="W93" s="369"/>
      <c r="X93" s="369"/>
      <c r="Y93" s="369"/>
      <c r="Z93" s="369"/>
    </row>
    <row r="94" ht="15.75" customHeight="1">
      <c r="A94" s="369"/>
      <c r="B94" s="369"/>
      <c r="C94" s="369"/>
      <c r="D94" s="369"/>
      <c r="E94" s="369"/>
      <c r="F94" s="369"/>
      <c r="G94" s="369"/>
      <c r="H94" s="369"/>
      <c r="I94" s="369"/>
      <c r="J94" s="369"/>
      <c r="K94" s="369"/>
      <c r="L94" s="369"/>
      <c r="M94" s="369"/>
      <c r="N94" s="369"/>
      <c r="O94" s="369"/>
      <c r="P94" s="369"/>
      <c r="Q94" s="369"/>
      <c r="R94" s="369"/>
      <c r="S94" s="369"/>
      <c r="T94" s="369"/>
      <c r="U94" s="369"/>
      <c r="V94" s="369"/>
      <c r="W94" s="369"/>
      <c r="X94" s="369"/>
      <c r="Y94" s="369"/>
      <c r="Z94" s="369"/>
    </row>
    <row r="95" ht="15.75" customHeight="1">
      <c r="A95" s="369"/>
      <c r="B95" s="369"/>
      <c r="C95" s="369"/>
      <c r="D95" s="369"/>
      <c r="E95" s="369"/>
      <c r="F95" s="369"/>
      <c r="G95" s="369"/>
      <c r="H95" s="369"/>
      <c r="I95" s="369"/>
      <c r="J95" s="369"/>
      <c r="K95" s="369"/>
      <c r="L95" s="369"/>
      <c r="M95" s="369"/>
      <c r="N95" s="369"/>
      <c r="O95" s="369"/>
      <c r="P95" s="369"/>
      <c r="Q95" s="369"/>
      <c r="R95" s="369"/>
      <c r="S95" s="369"/>
      <c r="T95" s="369"/>
      <c r="U95" s="369"/>
      <c r="V95" s="369"/>
      <c r="W95" s="369"/>
      <c r="X95" s="369"/>
      <c r="Y95" s="369"/>
      <c r="Z95" s="369"/>
    </row>
    <row r="96" ht="15.75" customHeight="1">
      <c r="A96" s="369"/>
      <c r="B96" s="369"/>
      <c r="C96" s="369"/>
      <c r="D96" s="369"/>
      <c r="E96" s="369"/>
      <c r="F96" s="369"/>
      <c r="G96" s="369"/>
      <c r="H96" s="369"/>
      <c r="I96" s="369"/>
      <c r="J96" s="369"/>
      <c r="K96" s="369"/>
      <c r="L96" s="369"/>
      <c r="M96" s="369"/>
      <c r="N96" s="369"/>
      <c r="O96" s="369"/>
      <c r="P96" s="369"/>
      <c r="Q96" s="369"/>
      <c r="R96" s="369"/>
      <c r="S96" s="369"/>
      <c r="T96" s="369"/>
      <c r="U96" s="369"/>
      <c r="V96" s="369"/>
      <c r="W96" s="369"/>
      <c r="X96" s="369"/>
      <c r="Y96" s="369"/>
      <c r="Z96" s="369"/>
    </row>
    <row r="97" ht="15.75" customHeight="1">
      <c r="A97" s="369"/>
      <c r="B97" s="369"/>
      <c r="C97" s="369"/>
      <c r="D97" s="369"/>
      <c r="E97" s="369"/>
      <c r="F97" s="369"/>
      <c r="G97" s="369"/>
      <c r="H97" s="369"/>
      <c r="I97" s="369"/>
      <c r="J97" s="369"/>
      <c r="K97" s="369"/>
      <c r="L97" s="369"/>
      <c r="M97" s="369"/>
      <c r="N97" s="369"/>
      <c r="O97" s="369"/>
      <c r="P97" s="369"/>
      <c r="Q97" s="369"/>
      <c r="R97" s="369"/>
      <c r="S97" s="369"/>
      <c r="T97" s="369"/>
      <c r="U97" s="369"/>
      <c r="V97" s="369"/>
      <c r="W97" s="369"/>
      <c r="X97" s="369"/>
      <c r="Y97" s="369"/>
      <c r="Z97" s="369"/>
    </row>
    <row r="98" ht="15.75" customHeight="1">
      <c r="A98" s="369"/>
      <c r="B98" s="369"/>
      <c r="C98" s="369"/>
      <c r="D98" s="369"/>
      <c r="E98" s="369"/>
      <c r="F98" s="369"/>
      <c r="G98" s="369"/>
      <c r="H98" s="369"/>
      <c r="I98" s="369"/>
      <c r="J98" s="369"/>
      <c r="K98" s="369"/>
      <c r="L98" s="369"/>
      <c r="M98" s="369"/>
      <c r="N98" s="369"/>
      <c r="O98" s="369"/>
      <c r="P98" s="369"/>
      <c r="Q98" s="369"/>
      <c r="R98" s="369"/>
      <c r="S98" s="369"/>
      <c r="T98" s="369"/>
      <c r="U98" s="369"/>
      <c r="V98" s="369"/>
      <c r="W98" s="369"/>
      <c r="X98" s="369"/>
      <c r="Y98" s="369"/>
      <c r="Z98" s="369"/>
    </row>
    <row r="99" ht="15.75" customHeight="1">
      <c r="A99" s="369"/>
      <c r="B99" s="369"/>
      <c r="C99" s="369"/>
      <c r="D99" s="369"/>
      <c r="E99" s="369"/>
      <c r="F99" s="369"/>
      <c r="G99" s="369"/>
      <c r="H99" s="369"/>
      <c r="I99" s="369"/>
      <c r="J99" s="369"/>
      <c r="K99" s="369"/>
      <c r="L99" s="369"/>
      <c r="M99" s="369"/>
      <c r="N99" s="369"/>
      <c r="O99" s="369"/>
      <c r="P99" s="369"/>
      <c r="Q99" s="369"/>
      <c r="R99" s="369"/>
      <c r="S99" s="369"/>
      <c r="T99" s="369"/>
      <c r="U99" s="369"/>
      <c r="V99" s="369"/>
      <c r="W99" s="369"/>
      <c r="X99" s="369"/>
      <c r="Y99" s="369"/>
      <c r="Z99" s="369"/>
    </row>
    <row r="100" ht="15.75" customHeight="1">
      <c r="A100" s="369"/>
      <c r="B100" s="369"/>
      <c r="C100" s="369"/>
      <c r="D100" s="369"/>
      <c r="E100" s="369"/>
      <c r="F100" s="369"/>
      <c r="G100" s="369"/>
      <c r="H100" s="369"/>
      <c r="I100" s="369"/>
      <c r="J100" s="369"/>
      <c r="K100" s="369"/>
      <c r="L100" s="369"/>
      <c r="M100" s="369"/>
      <c r="N100" s="369"/>
      <c r="O100" s="369"/>
      <c r="P100" s="369"/>
      <c r="Q100" s="369"/>
      <c r="R100" s="369"/>
      <c r="S100" s="369"/>
      <c r="T100" s="369"/>
      <c r="U100" s="369"/>
      <c r="V100" s="369"/>
      <c r="W100" s="369"/>
      <c r="X100" s="369"/>
      <c r="Y100" s="369"/>
      <c r="Z100" s="369"/>
    </row>
    <row r="101" ht="15.75" customHeight="1">
      <c r="A101" s="369"/>
      <c r="B101" s="369"/>
      <c r="C101" s="369"/>
      <c r="D101" s="369"/>
      <c r="E101" s="369"/>
      <c r="F101" s="369"/>
      <c r="G101" s="369"/>
      <c r="H101" s="369"/>
      <c r="I101" s="369"/>
      <c r="J101" s="369"/>
      <c r="K101" s="369"/>
      <c r="L101" s="369"/>
      <c r="M101" s="369"/>
      <c r="N101" s="369"/>
      <c r="O101" s="369"/>
      <c r="P101" s="369"/>
      <c r="Q101" s="369"/>
      <c r="R101" s="369"/>
      <c r="S101" s="369"/>
      <c r="T101" s="369"/>
      <c r="U101" s="369"/>
      <c r="V101" s="369"/>
      <c r="W101" s="369"/>
      <c r="X101" s="369"/>
      <c r="Y101" s="369"/>
      <c r="Z101" s="369"/>
    </row>
    <row r="102" ht="15.75" customHeight="1">
      <c r="A102" s="369"/>
      <c r="B102" s="369"/>
      <c r="C102" s="369"/>
      <c r="D102" s="369"/>
      <c r="E102" s="369"/>
      <c r="F102" s="369"/>
      <c r="G102" s="369"/>
      <c r="H102" s="369"/>
      <c r="I102" s="369"/>
      <c r="J102" s="369"/>
      <c r="K102" s="369"/>
      <c r="L102" s="369"/>
      <c r="M102" s="369"/>
      <c r="N102" s="369"/>
      <c r="O102" s="369"/>
      <c r="P102" s="369"/>
      <c r="Q102" s="369"/>
      <c r="R102" s="369"/>
      <c r="S102" s="369"/>
      <c r="T102" s="369"/>
      <c r="U102" s="369"/>
      <c r="V102" s="369"/>
      <c r="W102" s="369"/>
      <c r="X102" s="369"/>
      <c r="Y102" s="369"/>
      <c r="Z102" s="369"/>
    </row>
    <row r="103" ht="15.75" customHeight="1">
      <c r="A103" s="369"/>
      <c r="B103" s="369"/>
      <c r="C103" s="369"/>
      <c r="D103" s="369"/>
      <c r="E103" s="369"/>
      <c r="F103" s="369"/>
      <c r="G103" s="369"/>
      <c r="H103" s="369"/>
      <c r="I103" s="369"/>
      <c r="J103" s="369"/>
      <c r="K103" s="369"/>
      <c r="L103" s="369"/>
      <c r="M103" s="369"/>
      <c r="N103" s="369"/>
      <c r="O103" s="369"/>
      <c r="P103" s="369"/>
      <c r="Q103" s="369"/>
      <c r="R103" s="369"/>
      <c r="S103" s="369"/>
      <c r="T103" s="369"/>
      <c r="U103" s="369"/>
      <c r="V103" s="369"/>
      <c r="W103" s="369"/>
      <c r="X103" s="369"/>
      <c r="Y103" s="369"/>
      <c r="Z103" s="369"/>
    </row>
    <row r="104" ht="15.75" customHeight="1">
      <c r="A104" s="369"/>
      <c r="B104" s="369"/>
      <c r="C104" s="369"/>
      <c r="D104" s="369"/>
      <c r="E104" s="369"/>
      <c r="F104" s="369"/>
      <c r="G104" s="369"/>
      <c r="H104" s="369"/>
      <c r="I104" s="369"/>
      <c r="J104" s="369"/>
      <c r="K104" s="369"/>
      <c r="L104" s="369"/>
      <c r="M104" s="369"/>
      <c r="N104" s="369"/>
      <c r="O104" s="369"/>
      <c r="P104" s="369"/>
      <c r="Q104" s="369"/>
      <c r="R104" s="369"/>
      <c r="S104" s="369"/>
      <c r="T104" s="369"/>
      <c r="U104" s="369"/>
      <c r="V104" s="369"/>
      <c r="W104" s="369"/>
      <c r="X104" s="369"/>
      <c r="Y104" s="369"/>
      <c r="Z104" s="369"/>
    </row>
    <row r="105" ht="15.75" customHeight="1">
      <c r="A105" s="369"/>
      <c r="B105" s="369"/>
      <c r="C105" s="369"/>
      <c r="D105" s="369"/>
      <c r="E105" s="369"/>
      <c r="F105" s="369"/>
      <c r="G105" s="369"/>
      <c r="H105" s="369"/>
      <c r="I105" s="369"/>
      <c r="J105" s="369"/>
      <c r="K105" s="369"/>
      <c r="L105" s="369"/>
      <c r="M105" s="369"/>
      <c r="N105" s="369"/>
      <c r="O105" s="369"/>
      <c r="P105" s="369"/>
      <c r="Q105" s="369"/>
      <c r="R105" s="369"/>
      <c r="S105" s="369"/>
      <c r="T105" s="369"/>
      <c r="U105" s="369"/>
      <c r="V105" s="369"/>
      <c r="W105" s="369"/>
      <c r="X105" s="369"/>
      <c r="Y105" s="369"/>
      <c r="Z105" s="369"/>
    </row>
    <row r="106" ht="15.75" customHeight="1">
      <c r="A106" s="369"/>
      <c r="B106" s="369"/>
      <c r="C106" s="369"/>
      <c r="D106" s="369"/>
      <c r="E106" s="369"/>
      <c r="F106" s="369"/>
      <c r="G106" s="369"/>
      <c r="H106" s="369"/>
      <c r="I106" s="369"/>
      <c r="J106" s="369"/>
      <c r="K106" s="369"/>
      <c r="L106" s="369"/>
      <c r="M106" s="369"/>
      <c r="N106" s="369"/>
      <c r="O106" s="369"/>
      <c r="P106" s="369"/>
      <c r="Q106" s="369"/>
      <c r="R106" s="369"/>
      <c r="S106" s="369"/>
      <c r="T106" s="369"/>
      <c r="U106" s="369"/>
      <c r="V106" s="369"/>
      <c r="W106" s="369"/>
      <c r="X106" s="369"/>
      <c r="Y106" s="369"/>
      <c r="Z106" s="369"/>
    </row>
    <row r="107" ht="15.75" customHeight="1">
      <c r="A107" s="369"/>
      <c r="B107" s="369"/>
      <c r="C107" s="369"/>
      <c r="D107" s="369"/>
      <c r="E107" s="369"/>
      <c r="F107" s="369"/>
      <c r="G107" s="369"/>
      <c r="H107" s="369"/>
      <c r="I107" s="369"/>
      <c r="J107" s="369"/>
      <c r="K107" s="369"/>
      <c r="L107" s="369"/>
      <c r="M107" s="369"/>
      <c r="N107" s="369"/>
      <c r="O107" s="369"/>
      <c r="P107" s="369"/>
      <c r="Q107" s="369"/>
      <c r="R107" s="369"/>
      <c r="S107" s="369"/>
      <c r="T107" s="369"/>
      <c r="U107" s="369"/>
      <c r="V107" s="369"/>
      <c r="W107" s="369"/>
      <c r="X107" s="369"/>
      <c r="Y107" s="369"/>
      <c r="Z107" s="369"/>
    </row>
    <row r="108" ht="15.75" customHeight="1">
      <c r="A108" s="369"/>
      <c r="B108" s="369"/>
      <c r="C108" s="369"/>
      <c r="D108" s="369"/>
      <c r="E108" s="369"/>
      <c r="F108" s="369"/>
      <c r="G108" s="369"/>
      <c r="H108" s="369"/>
      <c r="I108" s="369"/>
      <c r="J108" s="369"/>
      <c r="K108" s="369"/>
      <c r="L108" s="369"/>
      <c r="M108" s="369"/>
      <c r="N108" s="369"/>
      <c r="O108" s="369"/>
      <c r="P108" s="369"/>
      <c r="Q108" s="369"/>
      <c r="R108" s="369"/>
      <c r="S108" s="369"/>
      <c r="T108" s="369"/>
      <c r="U108" s="369"/>
      <c r="V108" s="369"/>
      <c r="W108" s="369"/>
      <c r="X108" s="369"/>
      <c r="Y108" s="369"/>
      <c r="Z108" s="369"/>
    </row>
    <row r="109" ht="15.75" customHeight="1">
      <c r="A109" s="369"/>
      <c r="B109" s="369"/>
      <c r="C109" s="369"/>
      <c r="D109" s="369"/>
      <c r="E109" s="369"/>
      <c r="F109" s="369"/>
      <c r="G109" s="369"/>
      <c r="H109" s="369"/>
      <c r="I109" s="369"/>
      <c r="J109" s="369"/>
      <c r="K109" s="369"/>
      <c r="L109" s="369"/>
      <c r="M109" s="369"/>
      <c r="N109" s="369"/>
      <c r="O109" s="369"/>
      <c r="P109" s="369"/>
      <c r="Q109" s="369"/>
      <c r="R109" s="369"/>
      <c r="S109" s="369"/>
      <c r="T109" s="369"/>
      <c r="U109" s="369"/>
      <c r="V109" s="369"/>
      <c r="W109" s="369"/>
      <c r="X109" s="369"/>
      <c r="Y109" s="369"/>
      <c r="Z109" s="369"/>
    </row>
    <row r="110" ht="15.75" customHeight="1">
      <c r="A110" s="369"/>
      <c r="B110" s="369"/>
      <c r="C110" s="369"/>
      <c r="D110" s="369"/>
      <c r="E110" s="369"/>
      <c r="F110" s="369"/>
      <c r="G110" s="369"/>
      <c r="H110" s="369"/>
      <c r="I110" s="369"/>
      <c r="J110" s="369"/>
      <c r="K110" s="369"/>
      <c r="L110" s="369"/>
      <c r="M110" s="369"/>
      <c r="N110" s="369"/>
      <c r="O110" s="369"/>
      <c r="P110" s="369"/>
      <c r="Q110" s="369"/>
      <c r="R110" s="369"/>
      <c r="S110" s="369"/>
      <c r="T110" s="369"/>
      <c r="U110" s="369"/>
      <c r="V110" s="369"/>
      <c r="W110" s="369"/>
      <c r="X110" s="369"/>
      <c r="Y110" s="369"/>
      <c r="Z110" s="369"/>
    </row>
    <row r="111" ht="15.75" customHeight="1">
      <c r="A111" s="369"/>
      <c r="B111" s="369"/>
      <c r="C111" s="369"/>
      <c r="D111" s="369"/>
      <c r="E111" s="369"/>
      <c r="F111" s="369"/>
      <c r="G111" s="369"/>
      <c r="H111" s="369"/>
      <c r="I111" s="369"/>
      <c r="J111" s="369"/>
      <c r="K111" s="369"/>
      <c r="L111" s="369"/>
      <c r="M111" s="369"/>
      <c r="N111" s="369"/>
      <c r="O111" s="369"/>
      <c r="P111" s="369"/>
      <c r="Q111" s="369"/>
      <c r="R111" s="369"/>
      <c r="S111" s="369"/>
      <c r="T111" s="369"/>
      <c r="U111" s="369"/>
      <c r="V111" s="369"/>
      <c r="W111" s="369"/>
      <c r="X111" s="369"/>
      <c r="Y111" s="369"/>
      <c r="Z111" s="369"/>
    </row>
    <row r="112" ht="15.75" customHeight="1">
      <c r="A112" s="369"/>
      <c r="B112" s="369"/>
      <c r="C112" s="369"/>
      <c r="D112" s="369"/>
      <c r="E112" s="369"/>
      <c r="F112" s="369"/>
      <c r="G112" s="369"/>
      <c r="H112" s="369"/>
      <c r="I112" s="369"/>
      <c r="J112" s="369"/>
      <c r="K112" s="369"/>
      <c r="L112" s="369"/>
      <c r="M112" s="369"/>
      <c r="N112" s="369"/>
      <c r="O112" s="369"/>
      <c r="P112" s="369"/>
      <c r="Q112" s="369"/>
      <c r="R112" s="369"/>
      <c r="S112" s="369"/>
      <c r="T112" s="369"/>
      <c r="U112" s="369"/>
      <c r="V112" s="369"/>
      <c r="W112" s="369"/>
      <c r="X112" s="369"/>
      <c r="Y112" s="369"/>
      <c r="Z112" s="369"/>
    </row>
    <row r="113" ht="15.75" customHeight="1">
      <c r="A113" s="369"/>
      <c r="B113" s="369"/>
      <c r="C113" s="369"/>
      <c r="D113" s="369"/>
      <c r="E113" s="369"/>
      <c r="F113" s="369"/>
      <c r="G113" s="369"/>
      <c r="H113" s="369"/>
      <c r="I113" s="369"/>
      <c r="J113" s="369"/>
      <c r="K113" s="369"/>
      <c r="L113" s="369"/>
      <c r="M113" s="369"/>
      <c r="N113" s="369"/>
      <c r="O113" s="369"/>
      <c r="P113" s="369"/>
      <c r="Q113" s="369"/>
      <c r="R113" s="369"/>
      <c r="S113" s="369"/>
      <c r="T113" s="369"/>
      <c r="U113" s="369"/>
      <c r="V113" s="369"/>
      <c r="W113" s="369"/>
      <c r="X113" s="369"/>
      <c r="Y113" s="369"/>
      <c r="Z113" s="369"/>
    </row>
    <row r="114" ht="15.75" customHeight="1">
      <c r="A114" s="369"/>
      <c r="B114" s="369"/>
      <c r="C114" s="369"/>
      <c r="D114" s="369"/>
      <c r="E114" s="369"/>
      <c r="F114" s="369"/>
      <c r="G114" s="369"/>
      <c r="H114" s="369"/>
      <c r="I114" s="369"/>
      <c r="J114" s="369"/>
      <c r="K114" s="369"/>
      <c r="L114" s="369"/>
      <c r="M114" s="369"/>
      <c r="N114" s="369"/>
      <c r="O114" s="369"/>
      <c r="P114" s="369"/>
      <c r="Q114" s="369"/>
      <c r="R114" s="369"/>
      <c r="S114" s="369"/>
      <c r="T114" s="369"/>
      <c r="U114" s="369"/>
      <c r="V114" s="369"/>
      <c r="W114" s="369"/>
      <c r="X114" s="369"/>
      <c r="Y114" s="369"/>
      <c r="Z114" s="369"/>
    </row>
    <row r="115" ht="15.75" customHeight="1">
      <c r="A115" s="369"/>
      <c r="B115" s="369"/>
      <c r="C115" s="369"/>
      <c r="D115" s="369"/>
      <c r="E115" s="369"/>
      <c r="F115" s="369"/>
      <c r="G115" s="369"/>
      <c r="H115" s="369"/>
      <c r="I115" s="369"/>
      <c r="J115" s="369"/>
      <c r="K115" s="369"/>
      <c r="L115" s="369"/>
      <c r="M115" s="369"/>
      <c r="N115" s="369"/>
      <c r="O115" s="369"/>
      <c r="P115" s="369"/>
      <c r="Q115" s="369"/>
      <c r="R115" s="369"/>
      <c r="S115" s="369"/>
      <c r="T115" s="369"/>
      <c r="U115" s="369"/>
      <c r="V115" s="369"/>
      <c r="W115" s="369"/>
      <c r="X115" s="369"/>
      <c r="Y115" s="369"/>
      <c r="Z115" s="369"/>
    </row>
    <row r="116" ht="15.75" customHeight="1">
      <c r="A116" s="369"/>
      <c r="B116" s="369"/>
      <c r="C116" s="369"/>
      <c r="D116" s="369"/>
      <c r="E116" s="369"/>
      <c r="F116" s="369"/>
      <c r="G116" s="369"/>
      <c r="H116" s="369"/>
      <c r="I116" s="369"/>
      <c r="J116" s="369"/>
      <c r="K116" s="369"/>
      <c r="L116" s="369"/>
      <c r="M116" s="369"/>
      <c r="N116" s="369"/>
      <c r="O116" s="369"/>
      <c r="P116" s="369"/>
      <c r="Q116" s="369"/>
      <c r="R116" s="369"/>
      <c r="S116" s="369"/>
      <c r="T116" s="369"/>
      <c r="U116" s="369"/>
      <c r="V116" s="369"/>
      <c r="W116" s="369"/>
      <c r="X116" s="369"/>
      <c r="Y116" s="369"/>
      <c r="Z116" s="369"/>
    </row>
    <row r="117" ht="15.75" customHeight="1">
      <c r="A117" s="369"/>
      <c r="B117" s="369"/>
      <c r="C117" s="369"/>
      <c r="D117" s="369"/>
      <c r="E117" s="369"/>
      <c r="F117" s="369"/>
      <c r="G117" s="369"/>
      <c r="H117" s="369"/>
      <c r="I117" s="369"/>
      <c r="J117" s="369"/>
      <c r="K117" s="369"/>
      <c r="L117" s="369"/>
      <c r="M117" s="369"/>
      <c r="N117" s="369"/>
      <c r="O117" s="369"/>
      <c r="P117" s="369"/>
      <c r="Q117" s="369"/>
      <c r="R117" s="369"/>
      <c r="S117" s="369"/>
      <c r="T117" s="369"/>
      <c r="U117" s="369"/>
      <c r="V117" s="369"/>
      <c r="W117" s="369"/>
      <c r="X117" s="369"/>
      <c r="Y117" s="369"/>
      <c r="Z117" s="369"/>
    </row>
    <row r="118" ht="15.75" customHeight="1">
      <c r="A118" s="369"/>
      <c r="B118" s="369"/>
      <c r="C118" s="369"/>
      <c r="D118" s="369"/>
      <c r="E118" s="369"/>
      <c r="F118" s="369"/>
      <c r="G118" s="369"/>
      <c r="H118" s="369"/>
      <c r="I118" s="369"/>
      <c r="J118" s="369"/>
      <c r="K118" s="369"/>
      <c r="L118" s="369"/>
      <c r="M118" s="369"/>
      <c r="N118" s="369"/>
      <c r="O118" s="369"/>
      <c r="P118" s="369"/>
      <c r="Q118" s="369"/>
      <c r="R118" s="369"/>
      <c r="S118" s="369"/>
      <c r="T118" s="369"/>
      <c r="U118" s="369"/>
      <c r="V118" s="369"/>
      <c r="W118" s="369"/>
      <c r="X118" s="369"/>
      <c r="Y118" s="369"/>
      <c r="Z118" s="369"/>
    </row>
    <row r="119" ht="15.75" customHeight="1">
      <c r="A119" s="369"/>
      <c r="B119" s="369"/>
      <c r="C119" s="369"/>
      <c r="D119" s="369"/>
      <c r="E119" s="369"/>
      <c r="F119" s="369"/>
      <c r="G119" s="369"/>
      <c r="H119" s="369"/>
      <c r="I119" s="369"/>
      <c r="J119" s="369"/>
      <c r="K119" s="369"/>
      <c r="L119" s="369"/>
      <c r="M119" s="369"/>
      <c r="N119" s="369"/>
      <c r="O119" s="369"/>
      <c r="P119" s="369"/>
      <c r="Q119" s="369"/>
      <c r="R119" s="369"/>
      <c r="S119" s="369"/>
      <c r="T119" s="369"/>
      <c r="U119" s="369"/>
      <c r="V119" s="369"/>
      <c r="W119" s="369"/>
      <c r="X119" s="369"/>
      <c r="Y119" s="369"/>
      <c r="Z119" s="369"/>
    </row>
    <row r="120" ht="15.75" customHeight="1">
      <c r="A120" s="369"/>
      <c r="B120" s="369"/>
      <c r="C120" s="369"/>
      <c r="D120" s="369"/>
      <c r="E120" s="369"/>
      <c r="F120" s="369"/>
      <c r="G120" s="369"/>
      <c r="H120" s="369"/>
      <c r="I120" s="369"/>
      <c r="J120" s="369"/>
      <c r="K120" s="369"/>
      <c r="L120" s="369"/>
      <c r="M120" s="369"/>
      <c r="N120" s="369"/>
      <c r="O120" s="369"/>
      <c r="P120" s="369"/>
      <c r="Q120" s="369"/>
      <c r="R120" s="369"/>
      <c r="S120" s="369"/>
      <c r="T120" s="369"/>
      <c r="U120" s="369"/>
      <c r="V120" s="369"/>
      <c r="W120" s="369"/>
      <c r="X120" s="369"/>
      <c r="Y120" s="369"/>
      <c r="Z120" s="369"/>
    </row>
    <row r="121" ht="15.75" customHeight="1">
      <c r="A121" s="369"/>
      <c r="B121" s="369"/>
      <c r="C121" s="369"/>
      <c r="D121" s="369"/>
      <c r="E121" s="369"/>
      <c r="F121" s="369"/>
      <c r="G121" s="369"/>
      <c r="H121" s="369"/>
      <c r="I121" s="369"/>
      <c r="J121" s="369"/>
      <c r="K121" s="369"/>
      <c r="L121" s="369"/>
      <c r="M121" s="369"/>
      <c r="N121" s="369"/>
      <c r="O121" s="369"/>
      <c r="P121" s="369"/>
      <c r="Q121" s="369"/>
      <c r="R121" s="369"/>
      <c r="S121" s="369"/>
      <c r="T121" s="369"/>
      <c r="U121" s="369"/>
      <c r="V121" s="369"/>
      <c r="W121" s="369"/>
      <c r="X121" s="369"/>
      <c r="Y121" s="369"/>
      <c r="Z121" s="369"/>
    </row>
    <row r="122" ht="15.75" customHeight="1">
      <c r="A122" s="369"/>
      <c r="B122" s="369"/>
      <c r="C122" s="369"/>
      <c r="D122" s="369"/>
      <c r="E122" s="369"/>
      <c r="F122" s="369"/>
      <c r="G122" s="369"/>
      <c r="H122" s="369"/>
      <c r="I122" s="369"/>
      <c r="J122" s="369"/>
      <c r="K122" s="369"/>
      <c r="L122" s="369"/>
      <c r="M122" s="369"/>
      <c r="N122" s="369"/>
      <c r="O122" s="369"/>
      <c r="P122" s="369"/>
      <c r="Q122" s="369"/>
      <c r="R122" s="369"/>
      <c r="S122" s="369"/>
      <c r="T122" s="369"/>
      <c r="U122" s="369"/>
      <c r="V122" s="369"/>
      <c r="W122" s="369"/>
      <c r="X122" s="369"/>
      <c r="Y122" s="369"/>
      <c r="Z122" s="369"/>
    </row>
    <row r="123" ht="15.75" customHeight="1">
      <c r="A123" s="369"/>
      <c r="B123" s="369"/>
      <c r="C123" s="369"/>
      <c r="D123" s="369"/>
      <c r="E123" s="369"/>
      <c r="F123" s="369"/>
      <c r="G123" s="369"/>
      <c r="H123" s="369"/>
      <c r="I123" s="369"/>
      <c r="J123" s="369"/>
      <c r="K123" s="369"/>
      <c r="L123" s="369"/>
      <c r="M123" s="369"/>
      <c r="N123" s="369"/>
      <c r="O123" s="369"/>
      <c r="P123" s="369"/>
      <c r="Q123" s="369"/>
      <c r="R123" s="369"/>
      <c r="S123" s="369"/>
      <c r="T123" s="369"/>
      <c r="U123" s="369"/>
      <c r="V123" s="369"/>
      <c r="W123" s="369"/>
      <c r="X123" s="369"/>
      <c r="Y123" s="369"/>
      <c r="Z123" s="369"/>
    </row>
    <row r="124" ht="15.75" customHeight="1">
      <c r="A124" s="369"/>
      <c r="B124" s="369"/>
      <c r="C124" s="369"/>
      <c r="D124" s="369"/>
      <c r="E124" s="369"/>
      <c r="F124" s="369"/>
      <c r="G124" s="369"/>
      <c r="H124" s="369"/>
      <c r="I124" s="369"/>
      <c r="J124" s="369"/>
      <c r="K124" s="369"/>
      <c r="L124" s="369"/>
      <c r="M124" s="369"/>
      <c r="N124" s="369"/>
      <c r="O124" s="369"/>
      <c r="P124" s="369"/>
      <c r="Q124" s="369"/>
      <c r="R124" s="369"/>
      <c r="S124" s="369"/>
      <c r="T124" s="369"/>
      <c r="U124" s="369"/>
      <c r="V124" s="369"/>
      <c r="W124" s="369"/>
      <c r="X124" s="369"/>
      <c r="Y124" s="369"/>
      <c r="Z124" s="369"/>
    </row>
    <row r="125" ht="15.75" customHeight="1">
      <c r="A125" s="369"/>
      <c r="B125" s="369"/>
      <c r="C125" s="369"/>
      <c r="D125" s="369"/>
      <c r="E125" s="369"/>
      <c r="F125" s="369"/>
      <c r="G125" s="369"/>
      <c r="H125" s="369"/>
      <c r="I125" s="369"/>
      <c r="J125" s="369"/>
      <c r="K125" s="369"/>
      <c r="L125" s="369"/>
      <c r="M125" s="369"/>
      <c r="N125" s="369"/>
      <c r="O125" s="369"/>
      <c r="P125" s="369"/>
      <c r="Q125" s="369"/>
      <c r="R125" s="369"/>
      <c r="S125" s="369"/>
      <c r="T125" s="369"/>
      <c r="U125" s="369"/>
      <c r="V125" s="369"/>
      <c r="W125" s="369"/>
      <c r="X125" s="369"/>
      <c r="Y125" s="369"/>
      <c r="Z125" s="369"/>
    </row>
    <row r="126" ht="15.75" customHeight="1">
      <c r="A126" s="369"/>
      <c r="B126" s="369"/>
      <c r="C126" s="369"/>
      <c r="D126" s="369"/>
      <c r="E126" s="369"/>
      <c r="F126" s="369"/>
      <c r="G126" s="369"/>
      <c r="H126" s="369"/>
      <c r="I126" s="369"/>
      <c r="J126" s="369"/>
      <c r="K126" s="369"/>
      <c r="L126" s="369"/>
      <c r="M126" s="369"/>
      <c r="N126" s="369"/>
      <c r="O126" s="369"/>
      <c r="P126" s="369"/>
      <c r="Q126" s="369"/>
      <c r="R126" s="369"/>
      <c r="S126" s="369"/>
      <c r="T126" s="369"/>
      <c r="U126" s="369"/>
      <c r="V126" s="369"/>
      <c r="W126" s="369"/>
      <c r="X126" s="369"/>
      <c r="Y126" s="369"/>
      <c r="Z126" s="369"/>
    </row>
    <row r="127" ht="15.75" customHeight="1">
      <c r="A127" s="369"/>
      <c r="B127" s="369"/>
      <c r="C127" s="369"/>
      <c r="D127" s="369"/>
      <c r="E127" s="369"/>
      <c r="F127" s="369"/>
      <c r="G127" s="369"/>
      <c r="H127" s="369"/>
      <c r="I127" s="369"/>
      <c r="J127" s="369"/>
      <c r="K127" s="369"/>
      <c r="L127" s="369"/>
      <c r="M127" s="369"/>
      <c r="N127" s="369"/>
      <c r="O127" s="369"/>
      <c r="P127" s="369"/>
      <c r="Q127" s="369"/>
      <c r="R127" s="369"/>
      <c r="S127" s="369"/>
      <c r="T127" s="369"/>
      <c r="U127" s="369"/>
      <c r="V127" s="369"/>
      <c r="W127" s="369"/>
      <c r="X127" s="369"/>
      <c r="Y127" s="369"/>
      <c r="Z127" s="369"/>
    </row>
    <row r="128" ht="15.75" customHeight="1">
      <c r="A128" s="369"/>
      <c r="B128" s="369"/>
      <c r="C128" s="369"/>
      <c r="D128" s="369"/>
      <c r="E128" s="369"/>
      <c r="F128" s="369"/>
      <c r="G128" s="369"/>
      <c r="H128" s="369"/>
      <c r="I128" s="369"/>
      <c r="J128" s="369"/>
      <c r="K128" s="369"/>
      <c r="L128" s="369"/>
      <c r="M128" s="369"/>
      <c r="N128" s="369"/>
      <c r="O128" s="369"/>
      <c r="P128" s="369"/>
      <c r="Q128" s="369"/>
      <c r="R128" s="369"/>
      <c r="S128" s="369"/>
      <c r="T128" s="369"/>
      <c r="U128" s="369"/>
      <c r="V128" s="369"/>
      <c r="W128" s="369"/>
      <c r="X128" s="369"/>
      <c r="Y128" s="369"/>
      <c r="Z128" s="369"/>
    </row>
    <row r="129" ht="15.75" customHeight="1">
      <c r="A129" s="369"/>
      <c r="B129" s="369"/>
      <c r="C129" s="369"/>
      <c r="D129" s="369"/>
      <c r="E129" s="369"/>
      <c r="F129" s="369"/>
      <c r="G129" s="369"/>
      <c r="H129" s="369"/>
      <c r="I129" s="369"/>
      <c r="J129" s="369"/>
      <c r="K129" s="369"/>
      <c r="L129" s="369"/>
      <c r="M129" s="369"/>
      <c r="N129" s="369"/>
      <c r="O129" s="369"/>
      <c r="P129" s="369"/>
      <c r="Q129" s="369"/>
      <c r="R129" s="369"/>
      <c r="S129" s="369"/>
      <c r="T129" s="369"/>
      <c r="U129" s="369"/>
      <c r="V129" s="369"/>
      <c r="W129" s="369"/>
      <c r="X129" s="369"/>
      <c r="Y129" s="369"/>
      <c r="Z129" s="369"/>
    </row>
    <row r="130" ht="15.75" customHeight="1">
      <c r="A130" s="369"/>
      <c r="B130" s="369"/>
      <c r="C130" s="369"/>
      <c r="D130" s="369"/>
      <c r="E130" s="369"/>
      <c r="F130" s="369"/>
      <c r="G130" s="369"/>
      <c r="H130" s="369"/>
      <c r="I130" s="369"/>
      <c r="J130" s="369"/>
      <c r="K130" s="369"/>
      <c r="L130" s="369"/>
      <c r="M130" s="369"/>
      <c r="N130" s="369"/>
      <c r="O130" s="369"/>
      <c r="P130" s="369"/>
      <c r="Q130" s="369"/>
      <c r="R130" s="369"/>
      <c r="S130" s="369"/>
      <c r="T130" s="369"/>
      <c r="U130" s="369"/>
      <c r="V130" s="369"/>
      <c r="W130" s="369"/>
      <c r="X130" s="369"/>
      <c r="Y130" s="369"/>
      <c r="Z130" s="369"/>
    </row>
    <row r="131" ht="15.75" customHeight="1">
      <c r="A131" s="369"/>
      <c r="B131" s="369"/>
      <c r="C131" s="369"/>
      <c r="D131" s="369"/>
      <c r="E131" s="369"/>
      <c r="F131" s="369"/>
      <c r="G131" s="369"/>
      <c r="H131" s="369"/>
      <c r="I131" s="369"/>
      <c r="J131" s="369"/>
      <c r="K131" s="369"/>
      <c r="L131" s="369"/>
      <c r="M131" s="369"/>
      <c r="N131" s="369"/>
      <c r="O131" s="369"/>
      <c r="P131" s="369"/>
      <c r="Q131" s="369"/>
      <c r="R131" s="369"/>
      <c r="S131" s="369"/>
      <c r="T131" s="369"/>
      <c r="U131" s="369"/>
      <c r="V131" s="369"/>
      <c r="W131" s="369"/>
      <c r="X131" s="369"/>
      <c r="Y131" s="369"/>
      <c r="Z131" s="369"/>
    </row>
    <row r="132" ht="15.75" customHeight="1">
      <c r="A132" s="369"/>
      <c r="B132" s="369"/>
      <c r="C132" s="369"/>
      <c r="D132" s="369"/>
      <c r="E132" s="369"/>
      <c r="F132" s="369"/>
      <c r="G132" s="369"/>
      <c r="H132" s="369"/>
      <c r="I132" s="369"/>
      <c r="J132" s="369"/>
      <c r="K132" s="369"/>
      <c r="L132" s="369"/>
      <c r="M132" s="369"/>
      <c r="N132" s="369"/>
      <c r="O132" s="369"/>
      <c r="P132" s="369"/>
      <c r="Q132" s="369"/>
      <c r="R132" s="369"/>
      <c r="S132" s="369"/>
      <c r="T132" s="369"/>
      <c r="U132" s="369"/>
      <c r="V132" s="369"/>
      <c r="W132" s="369"/>
      <c r="X132" s="369"/>
      <c r="Y132" s="369"/>
      <c r="Z132" s="369"/>
    </row>
    <row r="133" ht="15.75" customHeight="1">
      <c r="A133" s="369"/>
      <c r="B133" s="369"/>
      <c r="C133" s="369"/>
      <c r="D133" s="369"/>
      <c r="E133" s="369"/>
      <c r="F133" s="369"/>
      <c r="G133" s="369"/>
      <c r="H133" s="369"/>
      <c r="I133" s="369"/>
      <c r="J133" s="369"/>
      <c r="K133" s="369"/>
      <c r="L133" s="369"/>
      <c r="M133" s="369"/>
      <c r="N133" s="369"/>
      <c r="O133" s="369"/>
      <c r="P133" s="369"/>
      <c r="Q133" s="369"/>
      <c r="R133" s="369"/>
      <c r="S133" s="369"/>
      <c r="T133" s="369"/>
      <c r="U133" s="369"/>
      <c r="V133" s="369"/>
      <c r="W133" s="369"/>
      <c r="X133" s="369"/>
      <c r="Y133" s="369"/>
      <c r="Z133" s="369"/>
    </row>
    <row r="134" ht="15.75" customHeight="1">
      <c r="A134" s="369"/>
      <c r="B134" s="369"/>
      <c r="C134" s="369"/>
      <c r="D134" s="369"/>
      <c r="E134" s="369"/>
      <c r="F134" s="369"/>
      <c r="G134" s="369"/>
      <c r="H134" s="369"/>
      <c r="I134" s="369"/>
      <c r="J134" s="369"/>
      <c r="K134" s="369"/>
      <c r="L134" s="369"/>
      <c r="M134" s="369"/>
      <c r="N134" s="369"/>
      <c r="O134" s="369"/>
      <c r="P134" s="369"/>
      <c r="Q134" s="369"/>
      <c r="R134" s="369"/>
      <c r="S134" s="369"/>
      <c r="T134" s="369"/>
      <c r="U134" s="369"/>
      <c r="V134" s="369"/>
      <c r="W134" s="369"/>
      <c r="X134" s="369"/>
      <c r="Y134" s="369"/>
      <c r="Z134" s="369"/>
    </row>
    <row r="135" ht="15.75" customHeight="1">
      <c r="A135" s="369"/>
      <c r="B135" s="369"/>
      <c r="C135" s="369"/>
      <c r="D135" s="369"/>
      <c r="E135" s="369"/>
      <c r="F135" s="369"/>
      <c r="G135" s="369"/>
      <c r="H135" s="369"/>
      <c r="I135" s="369"/>
      <c r="J135" s="369"/>
      <c r="K135" s="369"/>
      <c r="L135" s="369"/>
      <c r="M135" s="369"/>
      <c r="N135" s="369"/>
      <c r="O135" s="369"/>
      <c r="P135" s="369"/>
      <c r="Q135" s="369"/>
      <c r="R135" s="369"/>
      <c r="S135" s="369"/>
      <c r="T135" s="369"/>
      <c r="U135" s="369"/>
      <c r="V135" s="369"/>
      <c r="W135" s="369"/>
      <c r="X135" s="369"/>
      <c r="Y135" s="369"/>
      <c r="Z135" s="369"/>
    </row>
    <row r="136" ht="15.75" customHeight="1">
      <c r="A136" s="369"/>
      <c r="B136" s="369"/>
      <c r="C136" s="369"/>
      <c r="D136" s="369"/>
      <c r="E136" s="369"/>
      <c r="F136" s="369"/>
      <c r="G136" s="369"/>
      <c r="H136" s="369"/>
      <c r="I136" s="369"/>
      <c r="J136" s="369"/>
      <c r="K136" s="369"/>
      <c r="L136" s="369"/>
      <c r="M136" s="369"/>
      <c r="N136" s="369"/>
      <c r="O136" s="369"/>
      <c r="P136" s="369"/>
      <c r="Q136" s="369"/>
      <c r="R136" s="369"/>
      <c r="S136" s="369"/>
      <c r="T136" s="369"/>
      <c r="U136" s="369"/>
      <c r="V136" s="369"/>
      <c r="W136" s="369"/>
      <c r="X136" s="369"/>
      <c r="Y136" s="369"/>
      <c r="Z136" s="369"/>
    </row>
    <row r="137" ht="15.75" customHeight="1">
      <c r="A137" s="369"/>
      <c r="B137" s="369"/>
      <c r="C137" s="369"/>
      <c r="D137" s="369"/>
      <c r="E137" s="369"/>
      <c r="F137" s="369"/>
      <c r="G137" s="369"/>
      <c r="H137" s="369"/>
      <c r="I137" s="369"/>
      <c r="J137" s="369"/>
      <c r="K137" s="369"/>
      <c r="L137" s="369"/>
      <c r="M137" s="369"/>
      <c r="N137" s="369"/>
      <c r="O137" s="369"/>
      <c r="P137" s="369"/>
      <c r="Q137" s="369"/>
      <c r="R137" s="369"/>
      <c r="S137" s="369"/>
      <c r="T137" s="369"/>
      <c r="U137" s="369"/>
      <c r="V137" s="369"/>
      <c r="W137" s="369"/>
      <c r="X137" s="369"/>
      <c r="Y137" s="369"/>
      <c r="Z137" s="369"/>
    </row>
    <row r="138" ht="15.75" customHeight="1">
      <c r="A138" s="369"/>
      <c r="B138" s="369"/>
      <c r="C138" s="369"/>
      <c r="D138" s="369"/>
      <c r="E138" s="369"/>
      <c r="F138" s="369"/>
      <c r="G138" s="369"/>
      <c r="H138" s="369"/>
      <c r="I138" s="369"/>
      <c r="J138" s="369"/>
      <c r="K138" s="369"/>
      <c r="L138" s="369"/>
      <c r="M138" s="369"/>
      <c r="N138" s="369"/>
      <c r="O138" s="369"/>
      <c r="P138" s="369"/>
      <c r="Q138" s="369"/>
      <c r="R138" s="369"/>
      <c r="S138" s="369"/>
      <c r="T138" s="369"/>
      <c r="U138" s="369"/>
      <c r="V138" s="369"/>
      <c r="W138" s="369"/>
      <c r="X138" s="369"/>
      <c r="Y138" s="369"/>
      <c r="Z138" s="369"/>
    </row>
    <row r="139" ht="15.75" customHeight="1">
      <c r="A139" s="369"/>
      <c r="B139" s="369"/>
      <c r="C139" s="369"/>
      <c r="D139" s="369"/>
      <c r="E139" s="369"/>
      <c r="F139" s="369"/>
      <c r="G139" s="369"/>
      <c r="H139" s="369"/>
      <c r="I139" s="369"/>
      <c r="J139" s="369"/>
      <c r="K139" s="369"/>
      <c r="L139" s="369"/>
      <c r="M139" s="369"/>
      <c r="N139" s="369"/>
      <c r="O139" s="369"/>
      <c r="P139" s="369"/>
      <c r="Q139" s="369"/>
      <c r="R139" s="369"/>
      <c r="S139" s="369"/>
      <c r="T139" s="369"/>
      <c r="U139" s="369"/>
      <c r="V139" s="369"/>
      <c r="W139" s="369"/>
      <c r="X139" s="369"/>
      <c r="Y139" s="369"/>
      <c r="Z139" s="369"/>
    </row>
    <row r="140" ht="15.75" customHeight="1">
      <c r="A140" s="369"/>
      <c r="B140" s="369"/>
      <c r="C140" s="369"/>
      <c r="D140" s="369"/>
      <c r="E140" s="369"/>
      <c r="F140" s="369"/>
      <c r="G140" s="369"/>
      <c r="H140" s="369"/>
      <c r="I140" s="369"/>
      <c r="J140" s="369"/>
      <c r="K140" s="369"/>
      <c r="L140" s="369"/>
      <c r="M140" s="369"/>
      <c r="N140" s="369"/>
      <c r="O140" s="369"/>
      <c r="P140" s="369"/>
      <c r="Q140" s="369"/>
      <c r="R140" s="369"/>
      <c r="S140" s="369"/>
      <c r="T140" s="369"/>
      <c r="U140" s="369"/>
      <c r="V140" s="369"/>
      <c r="W140" s="369"/>
      <c r="X140" s="369"/>
      <c r="Y140" s="369"/>
      <c r="Z140" s="369"/>
    </row>
    <row r="141" ht="15.75" customHeight="1">
      <c r="A141" s="369"/>
      <c r="B141" s="369"/>
      <c r="C141" s="369"/>
      <c r="D141" s="369"/>
      <c r="E141" s="369"/>
      <c r="F141" s="369"/>
      <c r="G141" s="369"/>
      <c r="H141" s="369"/>
      <c r="I141" s="369"/>
      <c r="J141" s="369"/>
      <c r="K141" s="369"/>
      <c r="L141" s="369"/>
      <c r="M141" s="369"/>
      <c r="N141" s="369"/>
      <c r="O141" s="369"/>
      <c r="P141" s="369"/>
      <c r="Q141" s="369"/>
      <c r="R141" s="369"/>
      <c r="S141" s="369"/>
      <c r="T141" s="369"/>
      <c r="U141" s="369"/>
      <c r="V141" s="369"/>
      <c r="W141" s="369"/>
      <c r="X141" s="369"/>
      <c r="Y141" s="369"/>
      <c r="Z141" s="369"/>
    </row>
    <row r="142" ht="15.75" customHeight="1">
      <c r="A142" s="369"/>
      <c r="B142" s="369"/>
      <c r="C142" s="369"/>
      <c r="D142" s="369"/>
      <c r="E142" s="369"/>
      <c r="F142" s="369"/>
      <c r="G142" s="369"/>
      <c r="H142" s="369"/>
      <c r="I142" s="369"/>
      <c r="J142" s="369"/>
      <c r="K142" s="369"/>
      <c r="L142" s="369"/>
      <c r="M142" s="369"/>
      <c r="N142" s="369"/>
      <c r="O142" s="369"/>
      <c r="P142" s="369"/>
      <c r="Q142" s="369"/>
      <c r="R142" s="369"/>
      <c r="S142" s="369"/>
      <c r="T142" s="369"/>
      <c r="U142" s="369"/>
      <c r="V142" s="369"/>
      <c r="W142" s="369"/>
      <c r="X142" s="369"/>
      <c r="Y142" s="369"/>
      <c r="Z142" s="369"/>
    </row>
    <row r="143" ht="15.75" customHeight="1">
      <c r="A143" s="369"/>
      <c r="B143" s="369"/>
      <c r="C143" s="369"/>
      <c r="D143" s="369"/>
      <c r="E143" s="369"/>
      <c r="F143" s="369"/>
      <c r="G143" s="369"/>
      <c r="H143" s="369"/>
      <c r="I143" s="369"/>
      <c r="J143" s="369"/>
      <c r="K143" s="369"/>
      <c r="L143" s="369"/>
      <c r="M143" s="369"/>
      <c r="N143" s="369"/>
      <c r="O143" s="369"/>
      <c r="P143" s="369"/>
      <c r="Q143" s="369"/>
      <c r="R143" s="369"/>
      <c r="S143" s="369"/>
      <c r="T143" s="369"/>
      <c r="U143" s="369"/>
      <c r="V143" s="369"/>
      <c r="W143" s="369"/>
      <c r="X143" s="369"/>
      <c r="Y143" s="369"/>
      <c r="Z143" s="369"/>
    </row>
    <row r="144" ht="15.75" customHeight="1">
      <c r="A144" s="369"/>
      <c r="B144" s="369"/>
      <c r="C144" s="369"/>
      <c r="D144" s="369"/>
      <c r="E144" s="369"/>
      <c r="F144" s="369"/>
      <c r="G144" s="369"/>
      <c r="H144" s="369"/>
      <c r="I144" s="369"/>
      <c r="J144" s="369"/>
      <c r="K144" s="369"/>
      <c r="L144" s="369"/>
      <c r="M144" s="369"/>
      <c r="N144" s="369"/>
      <c r="O144" s="369"/>
      <c r="P144" s="369"/>
      <c r="Q144" s="369"/>
      <c r="R144" s="369"/>
      <c r="S144" s="369"/>
      <c r="T144" s="369"/>
      <c r="U144" s="369"/>
      <c r="V144" s="369"/>
      <c r="W144" s="369"/>
      <c r="X144" s="369"/>
      <c r="Y144" s="369"/>
      <c r="Z144" s="369"/>
    </row>
    <row r="145" ht="15.75" customHeight="1">
      <c r="A145" s="369"/>
      <c r="B145" s="369"/>
      <c r="C145" s="369"/>
      <c r="D145" s="369"/>
      <c r="E145" s="369"/>
      <c r="F145" s="369"/>
      <c r="G145" s="369"/>
      <c r="H145" s="369"/>
      <c r="I145" s="369"/>
      <c r="J145" s="369"/>
      <c r="K145" s="369"/>
      <c r="L145" s="369"/>
      <c r="M145" s="369"/>
      <c r="N145" s="369"/>
      <c r="O145" s="369"/>
      <c r="P145" s="369"/>
      <c r="Q145" s="369"/>
      <c r="R145" s="369"/>
      <c r="S145" s="369"/>
      <c r="T145" s="369"/>
      <c r="U145" s="369"/>
      <c r="V145" s="369"/>
      <c r="W145" s="369"/>
      <c r="X145" s="369"/>
      <c r="Y145" s="369"/>
      <c r="Z145" s="369"/>
    </row>
    <row r="146" ht="15.75" customHeight="1">
      <c r="A146" s="369"/>
      <c r="B146" s="369"/>
      <c r="C146" s="369"/>
      <c r="D146" s="369"/>
      <c r="E146" s="369"/>
      <c r="F146" s="369"/>
      <c r="G146" s="369"/>
      <c r="H146" s="369"/>
      <c r="I146" s="369"/>
      <c r="J146" s="369"/>
      <c r="K146" s="369"/>
      <c r="L146" s="369"/>
      <c r="M146" s="369"/>
      <c r="N146" s="369"/>
      <c r="O146" s="369"/>
      <c r="P146" s="369"/>
      <c r="Q146" s="369"/>
      <c r="R146" s="369"/>
      <c r="S146" s="369"/>
      <c r="T146" s="369"/>
      <c r="U146" s="369"/>
      <c r="V146" s="369"/>
      <c r="W146" s="369"/>
      <c r="X146" s="369"/>
      <c r="Y146" s="369"/>
      <c r="Z146" s="369"/>
    </row>
    <row r="147" ht="15.75" customHeight="1">
      <c r="A147" s="369"/>
      <c r="B147" s="369"/>
      <c r="C147" s="369"/>
      <c r="D147" s="369"/>
      <c r="E147" s="369"/>
      <c r="F147" s="369"/>
      <c r="G147" s="369"/>
      <c r="H147" s="369"/>
      <c r="I147" s="369"/>
      <c r="J147" s="369"/>
      <c r="K147" s="369"/>
      <c r="L147" s="369"/>
      <c r="M147" s="369"/>
      <c r="N147" s="369"/>
      <c r="O147" s="369"/>
      <c r="P147" s="369"/>
      <c r="Q147" s="369"/>
      <c r="R147" s="369"/>
      <c r="S147" s="369"/>
      <c r="T147" s="369"/>
      <c r="U147" s="369"/>
      <c r="V147" s="369"/>
      <c r="W147" s="369"/>
      <c r="X147" s="369"/>
      <c r="Y147" s="369"/>
      <c r="Z147" s="369"/>
    </row>
    <row r="148" ht="15.75" customHeight="1">
      <c r="A148" s="369"/>
      <c r="B148" s="369"/>
      <c r="C148" s="369"/>
      <c r="D148" s="369"/>
      <c r="E148" s="369"/>
      <c r="F148" s="369"/>
      <c r="G148" s="369"/>
      <c r="H148" s="369"/>
      <c r="I148" s="369"/>
      <c r="J148" s="369"/>
      <c r="K148" s="369"/>
      <c r="L148" s="369"/>
      <c r="M148" s="369"/>
      <c r="N148" s="369"/>
      <c r="O148" s="369"/>
      <c r="P148" s="369"/>
      <c r="Q148" s="369"/>
      <c r="R148" s="369"/>
      <c r="S148" s="369"/>
      <c r="T148" s="369"/>
      <c r="U148" s="369"/>
      <c r="V148" s="369"/>
      <c r="W148" s="369"/>
      <c r="X148" s="369"/>
      <c r="Y148" s="369"/>
      <c r="Z148" s="369"/>
    </row>
    <row r="149" ht="15.75" customHeight="1">
      <c r="A149" s="369"/>
      <c r="B149" s="369"/>
      <c r="C149" s="369"/>
      <c r="D149" s="369"/>
      <c r="E149" s="369"/>
      <c r="F149" s="369"/>
      <c r="G149" s="369"/>
      <c r="H149" s="369"/>
      <c r="I149" s="369"/>
      <c r="J149" s="369"/>
      <c r="K149" s="369"/>
      <c r="L149" s="369"/>
      <c r="M149" s="369"/>
      <c r="N149" s="369"/>
      <c r="O149" s="369"/>
      <c r="P149" s="369"/>
      <c r="Q149" s="369"/>
      <c r="R149" s="369"/>
      <c r="S149" s="369"/>
      <c r="T149" s="369"/>
      <c r="U149" s="369"/>
      <c r="V149" s="369"/>
      <c r="W149" s="369"/>
      <c r="X149" s="369"/>
      <c r="Y149" s="369"/>
      <c r="Z149" s="369"/>
    </row>
    <row r="150" ht="15.75" customHeight="1">
      <c r="A150" s="369"/>
      <c r="B150" s="369"/>
      <c r="C150" s="369"/>
      <c r="D150" s="369"/>
      <c r="E150" s="369"/>
      <c r="F150" s="369"/>
      <c r="G150" s="369"/>
      <c r="H150" s="369"/>
      <c r="I150" s="369"/>
      <c r="J150" s="369"/>
      <c r="K150" s="369"/>
      <c r="L150" s="369"/>
      <c r="M150" s="369"/>
      <c r="N150" s="369"/>
      <c r="O150" s="369"/>
      <c r="P150" s="369"/>
      <c r="Q150" s="369"/>
      <c r="R150" s="369"/>
      <c r="S150" s="369"/>
      <c r="T150" s="369"/>
      <c r="U150" s="369"/>
      <c r="V150" s="369"/>
      <c r="W150" s="369"/>
      <c r="X150" s="369"/>
      <c r="Y150" s="369"/>
      <c r="Z150" s="369"/>
    </row>
    <row r="151" ht="15.75" customHeight="1">
      <c r="A151" s="369"/>
      <c r="B151" s="369"/>
      <c r="C151" s="369"/>
      <c r="D151" s="369"/>
      <c r="E151" s="369"/>
      <c r="F151" s="369"/>
      <c r="G151" s="369"/>
      <c r="H151" s="369"/>
      <c r="I151" s="369"/>
      <c r="J151" s="369"/>
      <c r="K151" s="369"/>
      <c r="L151" s="369"/>
      <c r="M151" s="369"/>
      <c r="N151" s="369"/>
      <c r="O151" s="369"/>
      <c r="P151" s="369"/>
      <c r="Q151" s="369"/>
      <c r="R151" s="369"/>
      <c r="S151" s="369"/>
      <c r="T151" s="369"/>
      <c r="U151" s="369"/>
      <c r="V151" s="369"/>
      <c r="W151" s="369"/>
      <c r="X151" s="369"/>
      <c r="Y151" s="369"/>
      <c r="Z151" s="369"/>
    </row>
    <row r="152" ht="15.75" customHeight="1">
      <c r="A152" s="369"/>
      <c r="B152" s="369"/>
      <c r="C152" s="369"/>
      <c r="D152" s="369"/>
      <c r="E152" s="369"/>
      <c r="F152" s="369"/>
      <c r="G152" s="369"/>
      <c r="H152" s="369"/>
      <c r="I152" s="369"/>
      <c r="J152" s="369"/>
      <c r="K152" s="369"/>
      <c r="L152" s="369"/>
      <c r="M152" s="369"/>
      <c r="N152" s="369"/>
      <c r="O152" s="369"/>
      <c r="P152" s="369"/>
      <c r="Q152" s="369"/>
      <c r="R152" s="369"/>
      <c r="S152" s="369"/>
      <c r="T152" s="369"/>
      <c r="U152" s="369"/>
      <c r="V152" s="369"/>
      <c r="W152" s="369"/>
      <c r="X152" s="369"/>
      <c r="Y152" s="369"/>
      <c r="Z152" s="369"/>
    </row>
    <row r="153" ht="15.75" customHeight="1">
      <c r="A153" s="369"/>
      <c r="B153" s="369"/>
      <c r="C153" s="369"/>
      <c r="D153" s="369"/>
      <c r="E153" s="369"/>
      <c r="F153" s="369"/>
      <c r="G153" s="369"/>
      <c r="H153" s="369"/>
      <c r="I153" s="369"/>
      <c r="J153" s="369"/>
      <c r="K153" s="369"/>
      <c r="L153" s="369"/>
      <c r="M153" s="369"/>
      <c r="N153" s="369"/>
      <c r="O153" s="369"/>
      <c r="P153" s="369"/>
      <c r="Q153" s="369"/>
      <c r="R153" s="369"/>
      <c r="S153" s="369"/>
      <c r="T153" s="369"/>
      <c r="U153" s="369"/>
      <c r="V153" s="369"/>
      <c r="W153" s="369"/>
      <c r="X153" s="369"/>
      <c r="Y153" s="369"/>
      <c r="Z153" s="369"/>
    </row>
    <row r="154" ht="15.75" customHeight="1">
      <c r="A154" s="369"/>
      <c r="B154" s="369"/>
      <c r="C154" s="369"/>
      <c r="D154" s="369"/>
      <c r="E154" s="369"/>
      <c r="F154" s="369"/>
      <c r="G154" s="369"/>
      <c r="H154" s="369"/>
      <c r="I154" s="369"/>
      <c r="J154" s="369"/>
      <c r="K154" s="369"/>
      <c r="L154" s="369"/>
      <c r="M154" s="369"/>
      <c r="N154" s="369"/>
      <c r="O154" s="369"/>
      <c r="P154" s="369"/>
      <c r="Q154" s="369"/>
      <c r="R154" s="369"/>
      <c r="S154" s="369"/>
      <c r="T154" s="369"/>
      <c r="U154" s="369"/>
      <c r="V154" s="369"/>
      <c r="W154" s="369"/>
      <c r="X154" s="369"/>
      <c r="Y154" s="369"/>
      <c r="Z154" s="369"/>
    </row>
    <row r="155" ht="15.75" customHeight="1">
      <c r="A155" s="369"/>
      <c r="B155" s="369"/>
      <c r="C155" s="369"/>
      <c r="D155" s="369"/>
      <c r="E155" s="369"/>
      <c r="F155" s="369"/>
      <c r="G155" s="369"/>
      <c r="H155" s="369"/>
      <c r="I155" s="369"/>
      <c r="J155" s="369"/>
      <c r="K155" s="369"/>
      <c r="L155" s="369"/>
      <c r="M155" s="369"/>
      <c r="N155" s="369"/>
      <c r="O155" s="369"/>
      <c r="P155" s="369"/>
      <c r="Q155" s="369"/>
      <c r="R155" s="369"/>
      <c r="S155" s="369"/>
      <c r="T155" s="369"/>
      <c r="U155" s="369"/>
      <c r="V155" s="369"/>
      <c r="W155" s="369"/>
      <c r="X155" s="369"/>
      <c r="Y155" s="369"/>
      <c r="Z155" s="369"/>
    </row>
    <row r="156" ht="15.75" customHeight="1">
      <c r="A156" s="369"/>
      <c r="B156" s="369"/>
      <c r="C156" s="369"/>
      <c r="D156" s="369"/>
      <c r="E156" s="369"/>
      <c r="F156" s="369"/>
      <c r="G156" s="369"/>
      <c r="H156" s="369"/>
      <c r="I156" s="369"/>
      <c r="J156" s="369"/>
      <c r="K156" s="369"/>
      <c r="L156" s="369"/>
      <c r="M156" s="369"/>
      <c r="N156" s="369"/>
      <c r="O156" s="369"/>
      <c r="P156" s="369"/>
      <c r="Q156" s="369"/>
      <c r="R156" s="369"/>
      <c r="S156" s="369"/>
      <c r="T156" s="369"/>
      <c r="U156" s="369"/>
      <c r="V156" s="369"/>
      <c r="W156" s="369"/>
      <c r="X156" s="369"/>
      <c r="Y156" s="369"/>
      <c r="Z156" s="369"/>
    </row>
    <row r="157" ht="15.75" customHeight="1">
      <c r="A157" s="369"/>
      <c r="B157" s="369"/>
      <c r="C157" s="369"/>
      <c r="D157" s="369"/>
      <c r="E157" s="369"/>
      <c r="F157" s="369"/>
      <c r="G157" s="369"/>
      <c r="H157" s="369"/>
      <c r="I157" s="369"/>
      <c r="J157" s="369"/>
      <c r="K157" s="369"/>
      <c r="L157" s="369"/>
      <c r="M157" s="369"/>
      <c r="N157" s="369"/>
      <c r="O157" s="369"/>
      <c r="P157" s="369"/>
      <c r="Q157" s="369"/>
      <c r="R157" s="369"/>
      <c r="S157" s="369"/>
      <c r="T157" s="369"/>
      <c r="U157" s="369"/>
      <c r="V157" s="369"/>
      <c r="W157" s="369"/>
      <c r="X157" s="369"/>
      <c r="Y157" s="369"/>
      <c r="Z157" s="369"/>
    </row>
    <row r="158" ht="15.75" customHeight="1">
      <c r="A158" s="369"/>
      <c r="B158" s="369"/>
      <c r="C158" s="369"/>
      <c r="D158" s="369"/>
      <c r="E158" s="369"/>
      <c r="F158" s="369"/>
      <c r="G158" s="369"/>
      <c r="H158" s="369"/>
      <c r="I158" s="369"/>
      <c r="J158" s="369"/>
      <c r="K158" s="369"/>
      <c r="L158" s="369"/>
      <c r="M158" s="369"/>
      <c r="N158" s="369"/>
      <c r="O158" s="369"/>
      <c r="P158" s="369"/>
      <c r="Q158" s="369"/>
      <c r="R158" s="369"/>
      <c r="S158" s="369"/>
      <c r="T158" s="369"/>
      <c r="U158" s="369"/>
      <c r="V158" s="369"/>
      <c r="W158" s="369"/>
      <c r="X158" s="369"/>
      <c r="Y158" s="369"/>
      <c r="Z158" s="369"/>
    </row>
    <row r="159" ht="15.75" customHeight="1">
      <c r="A159" s="369"/>
      <c r="B159" s="369"/>
      <c r="C159" s="369"/>
      <c r="D159" s="369"/>
      <c r="E159" s="369"/>
      <c r="F159" s="369"/>
      <c r="G159" s="369"/>
      <c r="H159" s="369"/>
      <c r="I159" s="369"/>
      <c r="J159" s="369"/>
      <c r="K159" s="369"/>
      <c r="L159" s="369"/>
      <c r="M159" s="369"/>
      <c r="N159" s="369"/>
      <c r="O159" s="369"/>
      <c r="P159" s="369"/>
      <c r="Q159" s="369"/>
      <c r="R159" s="369"/>
      <c r="S159" s="369"/>
      <c r="T159" s="369"/>
      <c r="U159" s="369"/>
      <c r="V159" s="369"/>
      <c r="W159" s="369"/>
      <c r="X159" s="369"/>
      <c r="Y159" s="369"/>
      <c r="Z159" s="369"/>
    </row>
    <row r="160" ht="15.75" customHeight="1">
      <c r="A160" s="369"/>
      <c r="B160" s="369"/>
      <c r="C160" s="369"/>
      <c r="D160" s="369"/>
      <c r="E160" s="369"/>
      <c r="F160" s="369"/>
      <c r="G160" s="369"/>
      <c r="H160" s="369"/>
      <c r="I160" s="369"/>
      <c r="J160" s="369"/>
      <c r="K160" s="369"/>
      <c r="L160" s="369"/>
      <c r="M160" s="369"/>
      <c r="N160" s="369"/>
      <c r="O160" s="369"/>
      <c r="P160" s="369"/>
      <c r="Q160" s="369"/>
      <c r="R160" s="369"/>
      <c r="S160" s="369"/>
      <c r="T160" s="369"/>
      <c r="U160" s="369"/>
      <c r="V160" s="369"/>
      <c r="W160" s="369"/>
      <c r="X160" s="369"/>
      <c r="Y160" s="369"/>
      <c r="Z160" s="369"/>
    </row>
    <row r="161" ht="15.75" customHeight="1">
      <c r="A161" s="369"/>
      <c r="B161" s="369"/>
      <c r="C161" s="369"/>
      <c r="D161" s="369"/>
      <c r="E161" s="369"/>
      <c r="F161" s="369"/>
      <c r="G161" s="369"/>
      <c r="H161" s="369"/>
      <c r="I161" s="369"/>
      <c r="J161" s="369"/>
      <c r="K161" s="369"/>
      <c r="L161" s="369"/>
      <c r="M161" s="369"/>
      <c r="N161" s="369"/>
      <c r="O161" s="369"/>
      <c r="P161" s="369"/>
      <c r="Q161" s="369"/>
      <c r="R161" s="369"/>
      <c r="S161" s="369"/>
      <c r="T161" s="369"/>
      <c r="U161" s="369"/>
      <c r="V161" s="369"/>
      <c r="W161" s="369"/>
      <c r="X161" s="369"/>
      <c r="Y161" s="369"/>
      <c r="Z161" s="369"/>
    </row>
    <row r="162" ht="15.75" customHeight="1">
      <c r="A162" s="369"/>
      <c r="B162" s="369"/>
      <c r="C162" s="369"/>
      <c r="D162" s="369"/>
      <c r="E162" s="369"/>
      <c r="F162" s="369"/>
      <c r="G162" s="369"/>
      <c r="H162" s="369"/>
      <c r="I162" s="369"/>
      <c r="J162" s="369"/>
      <c r="K162" s="369"/>
      <c r="L162" s="369"/>
      <c r="M162" s="369"/>
      <c r="N162" s="369"/>
      <c r="O162" s="369"/>
      <c r="P162" s="369"/>
      <c r="Q162" s="369"/>
      <c r="R162" s="369"/>
      <c r="S162" s="369"/>
      <c r="T162" s="369"/>
      <c r="U162" s="369"/>
      <c r="V162" s="369"/>
      <c r="W162" s="369"/>
      <c r="X162" s="369"/>
      <c r="Y162" s="369"/>
      <c r="Z162" s="369"/>
    </row>
    <row r="163" ht="15.75" customHeight="1">
      <c r="A163" s="369"/>
      <c r="B163" s="369"/>
      <c r="C163" s="369"/>
      <c r="D163" s="369"/>
      <c r="E163" s="369"/>
      <c r="F163" s="369"/>
      <c r="G163" s="369"/>
      <c r="H163" s="369"/>
      <c r="I163" s="369"/>
      <c r="J163" s="369"/>
      <c r="K163" s="369"/>
      <c r="L163" s="369"/>
      <c r="M163" s="369"/>
      <c r="N163" s="369"/>
      <c r="O163" s="369"/>
      <c r="P163" s="369"/>
      <c r="Q163" s="369"/>
      <c r="R163" s="369"/>
      <c r="S163" s="369"/>
      <c r="T163" s="369"/>
      <c r="U163" s="369"/>
      <c r="V163" s="369"/>
      <c r="W163" s="369"/>
      <c r="X163" s="369"/>
      <c r="Y163" s="369"/>
      <c r="Z163" s="369"/>
    </row>
    <row r="164" ht="15.75" customHeight="1">
      <c r="A164" s="369"/>
      <c r="B164" s="369"/>
      <c r="C164" s="369"/>
      <c r="D164" s="369"/>
      <c r="E164" s="369"/>
      <c r="F164" s="369"/>
      <c r="G164" s="369"/>
      <c r="H164" s="369"/>
      <c r="I164" s="369"/>
      <c r="J164" s="369"/>
      <c r="K164" s="369"/>
      <c r="L164" s="369"/>
      <c r="M164" s="369"/>
      <c r="N164" s="369"/>
      <c r="O164" s="369"/>
      <c r="P164" s="369"/>
      <c r="Q164" s="369"/>
      <c r="R164" s="369"/>
      <c r="S164" s="369"/>
      <c r="T164" s="369"/>
      <c r="U164" s="369"/>
      <c r="V164" s="369"/>
      <c r="W164" s="369"/>
      <c r="X164" s="369"/>
      <c r="Y164" s="369"/>
      <c r="Z164" s="369"/>
    </row>
    <row r="165" ht="15.75" customHeight="1">
      <c r="A165" s="369"/>
      <c r="B165" s="369"/>
      <c r="C165" s="369"/>
      <c r="D165" s="369"/>
      <c r="E165" s="369"/>
      <c r="F165" s="369"/>
      <c r="G165" s="369"/>
      <c r="H165" s="369"/>
      <c r="I165" s="369"/>
      <c r="J165" s="369"/>
      <c r="K165" s="369"/>
      <c r="L165" s="369"/>
      <c r="M165" s="369"/>
      <c r="N165" s="369"/>
      <c r="O165" s="369"/>
      <c r="P165" s="369"/>
      <c r="Q165" s="369"/>
      <c r="R165" s="369"/>
      <c r="S165" s="369"/>
      <c r="T165" s="369"/>
      <c r="U165" s="369"/>
      <c r="V165" s="369"/>
      <c r="W165" s="369"/>
      <c r="X165" s="369"/>
      <c r="Y165" s="369"/>
      <c r="Z165" s="369"/>
    </row>
    <row r="166" ht="15.75" customHeight="1">
      <c r="A166" s="369"/>
      <c r="B166" s="369"/>
      <c r="C166" s="369"/>
      <c r="D166" s="369"/>
      <c r="E166" s="369"/>
      <c r="F166" s="369"/>
      <c r="G166" s="369"/>
      <c r="H166" s="369"/>
      <c r="I166" s="369"/>
      <c r="J166" s="369"/>
      <c r="K166" s="369"/>
      <c r="L166" s="369"/>
      <c r="M166" s="369"/>
      <c r="N166" s="369"/>
      <c r="O166" s="369"/>
      <c r="P166" s="369"/>
      <c r="Q166" s="369"/>
      <c r="R166" s="369"/>
      <c r="S166" s="369"/>
      <c r="T166" s="369"/>
      <c r="U166" s="369"/>
      <c r="V166" s="369"/>
      <c r="W166" s="369"/>
      <c r="X166" s="369"/>
      <c r="Y166" s="369"/>
      <c r="Z166" s="369"/>
    </row>
    <row r="167" ht="15.75" customHeight="1">
      <c r="A167" s="369"/>
      <c r="B167" s="369"/>
      <c r="C167" s="369"/>
      <c r="D167" s="369"/>
      <c r="E167" s="369"/>
      <c r="F167" s="369"/>
      <c r="G167" s="369"/>
      <c r="H167" s="369"/>
      <c r="I167" s="369"/>
      <c r="J167" s="369"/>
      <c r="K167" s="369"/>
      <c r="L167" s="369"/>
      <c r="M167" s="369"/>
      <c r="N167" s="369"/>
      <c r="O167" s="369"/>
      <c r="P167" s="369"/>
      <c r="Q167" s="369"/>
      <c r="R167" s="369"/>
      <c r="S167" s="369"/>
      <c r="T167" s="369"/>
      <c r="U167" s="369"/>
      <c r="V167" s="369"/>
      <c r="W167" s="369"/>
      <c r="X167" s="369"/>
      <c r="Y167" s="369"/>
      <c r="Z167" s="369"/>
    </row>
    <row r="168" ht="15.75" customHeight="1">
      <c r="A168" s="369"/>
      <c r="B168" s="369"/>
      <c r="C168" s="369"/>
      <c r="D168" s="369"/>
      <c r="E168" s="369"/>
      <c r="F168" s="369"/>
      <c r="G168" s="369"/>
      <c r="H168" s="369"/>
      <c r="I168" s="369"/>
      <c r="J168" s="369"/>
      <c r="K168" s="369"/>
      <c r="L168" s="369"/>
      <c r="M168" s="369"/>
      <c r="N168" s="369"/>
      <c r="O168" s="369"/>
      <c r="P168" s="369"/>
      <c r="Q168" s="369"/>
      <c r="R168" s="369"/>
      <c r="S168" s="369"/>
      <c r="T168" s="369"/>
      <c r="U168" s="369"/>
      <c r="V168" s="369"/>
      <c r="W168" s="369"/>
      <c r="X168" s="369"/>
      <c r="Y168" s="369"/>
      <c r="Z168" s="369"/>
    </row>
    <row r="169" ht="15.75" customHeight="1">
      <c r="A169" s="369"/>
      <c r="B169" s="369"/>
      <c r="C169" s="369"/>
      <c r="D169" s="369"/>
      <c r="E169" s="369"/>
      <c r="F169" s="369"/>
      <c r="G169" s="369"/>
      <c r="H169" s="369"/>
      <c r="I169" s="369"/>
      <c r="J169" s="369"/>
      <c r="K169" s="369"/>
      <c r="L169" s="369"/>
      <c r="M169" s="369"/>
      <c r="N169" s="369"/>
      <c r="O169" s="369"/>
      <c r="P169" s="369"/>
      <c r="Q169" s="369"/>
      <c r="R169" s="369"/>
      <c r="S169" s="369"/>
      <c r="T169" s="369"/>
      <c r="U169" s="369"/>
      <c r="V169" s="369"/>
      <c r="W169" s="369"/>
      <c r="X169" s="369"/>
      <c r="Y169" s="369"/>
      <c r="Z169" s="369"/>
    </row>
    <row r="170" ht="15.75" customHeight="1">
      <c r="A170" s="369"/>
      <c r="B170" s="369"/>
      <c r="C170" s="369"/>
      <c r="D170" s="369"/>
      <c r="E170" s="369"/>
      <c r="F170" s="369"/>
      <c r="G170" s="369"/>
      <c r="H170" s="369"/>
      <c r="I170" s="369"/>
      <c r="J170" s="369"/>
      <c r="K170" s="369"/>
      <c r="L170" s="369"/>
      <c r="M170" s="369"/>
      <c r="N170" s="369"/>
      <c r="O170" s="369"/>
      <c r="P170" s="369"/>
      <c r="Q170" s="369"/>
      <c r="R170" s="369"/>
      <c r="S170" s="369"/>
      <c r="T170" s="369"/>
      <c r="U170" s="369"/>
      <c r="V170" s="369"/>
      <c r="W170" s="369"/>
      <c r="X170" s="369"/>
      <c r="Y170" s="369"/>
      <c r="Z170" s="369"/>
    </row>
    <row r="171" ht="15.75" customHeight="1">
      <c r="A171" s="369"/>
      <c r="B171" s="369"/>
      <c r="C171" s="369"/>
      <c r="D171" s="369"/>
      <c r="E171" s="369"/>
      <c r="F171" s="369"/>
      <c r="G171" s="369"/>
      <c r="H171" s="369"/>
      <c r="I171" s="369"/>
      <c r="J171" s="369"/>
      <c r="K171" s="369"/>
      <c r="L171" s="369"/>
      <c r="M171" s="369"/>
      <c r="N171" s="369"/>
      <c r="O171" s="369"/>
      <c r="P171" s="369"/>
      <c r="Q171" s="369"/>
      <c r="R171" s="369"/>
      <c r="S171" s="369"/>
      <c r="T171" s="369"/>
      <c r="U171" s="369"/>
      <c r="V171" s="369"/>
      <c r="W171" s="369"/>
      <c r="X171" s="369"/>
      <c r="Y171" s="369"/>
      <c r="Z171" s="369"/>
    </row>
    <row r="172" ht="15.75" customHeight="1">
      <c r="A172" s="369"/>
      <c r="B172" s="369"/>
      <c r="C172" s="369"/>
      <c r="D172" s="369"/>
      <c r="E172" s="369"/>
      <c r="F172" s="369"/>
      <c r="G172" s="369"/>
      <c r="H172" s="369"/>
      <c r="I172" s="369"/>
      <c r="J172" s="369"/>
      <c r="K172" s="369"/>
      <c r="L172" s="369"/>
      <c r="M172" s="369"/>
      <c r="N172" s="369"/>
      <c r="O172" s="369"/>
      <c r="P172" s="369"/>
      <c r="Q172" s="369"/>
      <c r="R172" s="369"/>
      <c r="S172" s="369"/>
      <c r="T172" s="369"/>
      <c r="U172" s="369"/>
      <c r="V172" s="369"/>
      <c r="W172" s="369"/>
      <c r="X172" s="369"/>
      <c r="Y172" s="369"/>
      <c r="Z172" s="369"/>
    </row>
    <row r="173" ht="15.75" customHeight="1">
      <c r="A173" s="369"/>
      <c r="B173" s="369"/>
      <c r="C173" s="369"/>
      <c r="D173" s="369"/>
      <c r="E173" s="369"/>
      <c r="F173" s="369"/>
      <c r="G173" s="369"/>
      <c r="H173" s="369"/>
      <c r="I173" s="369"/>
      <c r="J173" s="369"/>
      <c r="K173" s="369"/>
      <c r="L173" s="369"/>
      <c r="M173" s="369"/>
      <c r="N173" s="369"/>
      <c r="O173" s="369"/>
      <c r="P173" s="369"/>
      <c r="Q173" s="369"/>
      <c r="R173" s="369"/>
      <c r="S173" s="369"/>
      <c r="T173" s="369"/>
      <c r="U173" s="369"/>
      <c r="V173" s="369"/>
      <c r="W173" s="369"/>
      <c r="X173" s="369"/>
      <c r="Y173" s="369"/>
      <c r="Z173" s="369"/>
    </row>
    <row r="174" ht="15.75" customHeight="1">
      <c r="A174" s="369"/>
      <c r="B174" s="369"/>
      <c r="C174" s="369"/>
      <c r="D174" s="369"/>
      <c r="E174" s="369"/>
      <c r="F174" s="369"/>
      <c r="G174" s="369"/>
      <c r="H174" s="369"/>
      <c r="I174" s="369"/>
      <c r="J174" s="369"/>
      <c r="K174" s="369"/>
      <c r="L174" s="369"/>
      <c r="M174" s="369"/>
      <c r="N174" s="369"/>
      <c r="O174" s="369"/>
      <c r="P174" s="369"/>
      <c r="Q174" s="369"/>
      <c r="R174" s="369"/>
      <c r="S174" s="369"/>
      <c r="T174" s="369"/>
      <c r="U174" s="369"/>
      <c r="V174" s="369"/>
      <c r="W174" s="369"/>
      <c r="X174" s="369"/>
      <c r="Y174" s="369"/>
      <c r="Z174" s="369"/>
    </row>
    <row r="175" ht="15.75" customHeight="1">
      <c r="A175" s="369"/>
      <c r="B175" s="369"/>
      <c r="C175" s="369"/>
      <c r="D175" s="369"/>
      <c r="E175" s="369"/>
      <c r="F175" s="369"/>
      <c r="G175" s="369"/>
      <c r="H175" s="369"/>
      <c r="I175" s="369"/>
      <c r="J175" s="369"/>
      <c r="K175" s="369"/>
      <c r="L175" s="369"/>
      <c r="M175" s="369"/>
      <c r="N175" s="369"/>
      <c r="O175" s="369"/>
      <c r="P175" s="369"/>
      <c r="Q175" s="369"/>
      <c r="R175" s="369"/>
      <c r="S175" s="369"/>
      <c r="T175" s="369"/>
      <c r="U175" s="369"/>
      <c r="V175" s="369"/>
      <c r="W175" s="369"/>
      <c r="X175" s="369"/>
      <c r="Y175" s="369"/>
      <c r="Z175" s="369"/>
    </row>
    <row r="176" ht="15.75" customHeight="1">
      <c r="A176" s="369"/>
      <c r="B176" s="369"/>
      <c r="C176" s="369"/>
      <c r="D176" s="369"/>
      <c r="E176" s="369"/>
      <c r="F176" s="369"/>
      <c r="G176" s="369"/>
      <c r="H176" s="369"/>
      <c r="I176" s="369"/>
      <c r="J176" s="369"/>
      <c r="K176" s="369"/>
      <c r="L176" s="369"/>
      <c r="M176" s="369"/>
      <c r="N176" s="369"/>
      <c r="O176" s="369"/>
      <c r="P176" s="369"/>
      <c r="Q176" s="369"/>
      <c r="R176" s="369"/>
      <c r="S176" s="369"/>
      <c r="T176" s="369"/>
      <c r="U176" s="369"/>
      <c r="V176" s="369"/>
      <c r="W176" s="369"/>
      <c r="X176" s="369"/>
      <c r="Y176" s="369"/>
      <c r="Z176" s="369"/>
    </row>
    <row r="177" ht="15.75" customHeight="1">
      <c r="A177" s="369"/>
      <c r="B177" s="369"/>
      <c r="C177" s="369"/>
      <c r="D177" s="369"/>
      <c r="E177" s="369"/>
      <c r="F177" s="369"/>
      <c r="G177" s="369"/>
      <c r="H177" s="369"/>
      <c r="I177" s="369"/>
      <c r="J177" s="369"/>
      <c r="K177" s="369"/>
      <c r="L177" s="369"/>
      <c r="M177" s="369"/>
      <c r="N177" s="369"/>
      <c r="O177" s="369"/>
      <c r="P177" s="369"/>
      <c r="Q177" s="369"/>
      <c r="R177" s="369"/>
      <c r="S177" s="369"/>
      <c r="T177" s="369"/>
      <c r="U177" s="369"/>
      <c r="V177" s="369"/>
      <c r="W177" s="369"/>
      <c r="X177" s="369"/>
      <c r="Y177" s="369"/>
      <c r="Z177" s="369"/>
    </row>
    <row r="178" ht="15.75" customHeight="1">
      <c r="A178" s="369"/>
      <c r="B178" s="369"/>
      <c r="C178" s="369"/>
      <c r="D178" s="369"/>
      <c r="E178" s="369"/>
      <c r="F178" s="369"/>
      <c r="G178" s="369"/>
      <c r="H178" s="369"/>
      <c r="I178" s="369"/>
      <c r="J178" s="369"/>
      <c r="K178" s="369"/>
      <c r="L178" s="369"/>
      <c r="M178" s="369"/>
      <c r="N178" s="369"/>
      <c r="O178" s="369"/>
      <c r="P178" s="369"/>
      <c r="Q178" s="369"/>
      <c r="R178" s="369"/>
      <c r="S178" s="369"/>
      <c r="T178" s="369"/>
      <c r="U178" s="369"/>
      <c r="V178" s="369"/>
      <c r="W178" s="369"/>
      <c r="X178" s="369"/>
      <c r="Y178" s="369"/>
      <c r="Z178" s="369"/>
    </row>
    <row r="179" ht="15.75" customHeight="1">
      <c r="A179" s="369"/>
      <c r="B179" s="369"/>
      <c r="C179" s="369"/>
      <c r="D179" s="369"/>
      <c r="E179" s="369"/>
      <c r="F179" s="369"/>
      <c r="G179" s="369"/>
      <c r="H179" s="369"/>
      <c r="I179" s="369"/>
      <c r="J179" s="369"/>
      <c r="K179" s="369"/>
      <c r="L179" s="369"/>
      <c r="M179" s="369"/>
      <c r="N179" s="369"/>
      <c r="O179" s="369"/>
      <c r="P179" s="369"/>
      <c r="Q179" s="369"/>
      <c r="R179" s="369"/>
      <c r="S179" s="369"/>
      <c r="T179" s="369"/>
      <c r="U179" s="369"/>
      <c r="V179" s="369"/>
      <c r="W179" s="369"/>
      <c r="X179" s="369"/>
      <c r="Y179" s="369"/>
      <c r="Z179" s="369"/>
    </row>
    <row r="180" ht="15.75" customHeight="1">
      <c r="A180" s="369"/>
      <c r="B180" s="369"/>
      <c r="C180" s="369"/>
      <c r="D180" s="369"/>
      <c r="E180" s="369"/>
      <c r="F180" s="369"/>
      <c r="G180" s="369"/>
      <c r="H180" s="369"/>
      <c r="I180" s="369"/>
      <c r="J180" s="369"/>
      <c r="K180" s="369"/>
      <c r="L180" s="369"/>
      <c r="M180" s="369"/>
      <c r="N180" s="369"/>
      <c r="O180" s="369"/>
      <c r="P180" s="369"/>
      <c r="Q180" s="369"/>
      <c r="R180" s="369"/>
      <c r="S180" s="369"/>
      <c r="T180" s="369"/>
      <c r="U180" s="369"/>
      <c r="V180" s="369"/>
      <c r="W180" s="369"/>
      <c r="X180" s="369"/>
      <c r="Y180" s="369"/>
      <c r="Z180" s="369"/>
    </row>
    <row r="181" ht="15.75" customHeight="1">
      <c r="A181" s="369"/>
      <c r="B181" s="369"/>
      <c r="C181" s="369"/>
      <c r="D181" s="369"/>
      <c r="E181" s="369"/>
      <c r="F181" s="369"/>
      <c r="G181" s="369"/>
      <c r="H181" s="369"/>
      <c r="I181" s="369"/>
      <c r="J181" s="369"/>
      <c r="K181" s="369"/>
      <c r="L181" s="369"/>
      <c r="M181" s="369"/>
      <c r="N181" s="369"/>
      <c r="O181" s="369"/>
      <c r="P181" s="369"/>
      <c r="Q181" s="369"/>
      <c r="R181" s="369"/>
      <c r="S181" s="369"/>
      <c r="T181" s="369"/>
      <c r="U181" s="369"/>
      <c r="V181" s="369"/>
      <c r="W181" s="369"/>
      <c r="X181" s="369"/>
      <c r="Y181" s="369"/>
      <c r="Z181" s="369"/>
    </row>
    <row r="182" ht="15.75" customHeight="1">
      <c r="A182" s="369"/>
      <c r="B182" s="369"/>
      <c r="C182" s="369"/>
      <c r="D182" s="369"/>
      <c r="E182" s="369"/>
      <c r="F182" s="369"/>
      <c r="G182" s="369"/>
      <c r="H182" s="369"/>
      <c r="I182" s="369"/>
      <c r="J182" s="369"/>
      <c r="K182" s="369"/>
      <c r="L182" s="369"/>
      <c r="M182" s="369"/>
      <c r="N182" s="369"/>
      <c r="O182" s="369"/>
      <c r="P182" s="369"/>
      <c r="Q182" s="369"/>
      <c r="R182" s="369"/>
      <c r="S182" s="369"/>
      <c r="T182" s="369"/>
      <c r="U182" s="369"/>
      <c r="V182" s="369"/>
      <c r="W182" s="369"/>
      <c r="X182" s="369"/>
      <c r="Y182" s="369"/>
      <c r="Z182" s="369"/>
    </row>
    <row r="183" ht="15.75" customHeight="1">
      <c r="A183" s="369"/>
      <c r="B183" s="369"/>
      <c r="C183" s="369"/>
      <c r="D183" s="369"/>
      <c r="E183" s="369"/>
      <c r="F183" s="369"/>
      <c r="G183" s="369"/>
      <c r="H183" s="369"/>
      <c r="I183" s="369"/>
      <c r="J183" s="369"/>
      <c r="K183" s="369"/>
      <c r="L183" s="369"/>
      <c r="M183" s="369"/>
      <c r="N183" s="369"/>
      <c r="O183" s="369"/>
      <c r="P183" s="369"/>
      <c r="Q183" s="369"/>
      <c r="R183" s="369"/>
      <c r="S183" s="369"/>
      <c r="T183" s="369"/>
      <c r="U183" s="369"/>
      <c r="V183" s="369"/>
      <c r="W183" s="369"/>
      <c r="X183" s="369"/>
      <c r="Y183" s="369"/>
      <c r="Z183" s="369"/>
    </row>
    <row r="184" ht="15.75" customHeight="1">
      <c r="A184" s="369"/>
      <c r="B184" s="369"/>
      <c r="C184" s="369"/>
      <c r="D184" s="369"/>
      <c r="E184" s="369"/>
      <c r="F184" s="369"/>
      <c r="G184" s="369"/>
      <c r="H184" s="369"/>
      <c r="I184" s="369"/>
      <c r="J184" s="369"/>
      <c r="K184" s="369"/>
      <c r="L184" s="369"/>
      <c r="M184" s="369"/>
      <c r="N184" s="369"/>
      <c r="O184" s="369"/>
      <c r="P184" s="369"/>
      <c r="Q184" s="369"/>
      <c r="R184" s="369"/>
      <c r="S184" s="369"/>
      <c r="T184" s="369"/>
      <c r="U184" s="369"/>
      <c r="V184" s="369"/>
      <c r="W184" s="369"/>
      <c r="X184" s="369"/>
      <c r="Y184" s="369"/>
      <c r="Z184" s="369"/>
    </row>
    <row r="185" ht="15.75" customHeight="1">
      <c r="A185" s="369"/>
      <c r="B185" s="369"/>
      <c r="C185" s="369"/>
      <c r="D185" s="369"/>
      <c r="E185" s="369"/>
      <c r="F185" s="369"/>
      <c r="G185" s="369"/>
      <c r="H185" s="369"/>
      <c r="I185" s="369"/>
      <c r="J185" s="369"/>
      <c r="K185" s="369"/>
      <c r="L185" s="369"/>
      <c r="M185" s="369"/>
      <c r="N185" s="369"/>
      <c r="O185" s="369"/>
      <c r="P185" s="369"/>
      <c r="Q185" s="369"/>
      <c r="R185" s="369"/>
      <c r="S185" s="369"/>
      <c r="T185" s="369"/>
      <c r="U185" s="369"/>
      <c r="V185" s="369"/>
      <c r="W185" s="369"/>
      <c r="X185" s="369"/>
      <c r="Y185" s="369"/>
      <c r="Z185" s="369"/>
    </row>
    <row r="186" ht="15.75" customHeight="1">
      <c r="A186" s="369"/>
      <c r="B186" s="369"/>
      <c r="C186" s="369"/>
      <c r="D186" s="369"/>
      <c r="E186" s="369"/>
      <c r="F186" s="369"/>
      <c r="G186" s="369"/>
      <c r="H186" s="369"/>
      <c r="I186" s="369"/>
      <c r="J186" s="369"/>
      <c r="K186" s="369"/>
      <c r="L186" s="369"/>
      <c r="M186" s="369"/>
      <c r="N186" s="369"/>
      <c r="O186" s="369"/>
      <c r="P186" s="369"/>
      <c r="Q186" s="369"/>
      <c r="R186" s="369"/>
      <c r="S186" s="369"/>
      <c r="T186" s="369"/>
      <c r="U186" s="369"/>
      <c r="V186" s="369"/>
      <c r="W186" s="369"/>
      <c r="X186" s="369"/>
      <c r="Y186" s="369"/>
      <c r="Z186" s="369"/>
    </row>
    <row r="187" ht="15.75" customHeight="1">
      <c r="A187" s="369"/>
      <c r="B187" s="369"/>
      <c r="C187" s="369"/>
      <c r="D187" s="369"/>
      <c r="E187" s="369"/>
      <c r="F187" s="369"/>
      <c r="G187" s="369"/>
      <c r="H187" s="369"/>
      <c r="I187" s="369"/>
      <c r="J187" s="369"/>
      <c r="K187" s="369"/>
      <c r="L187" s="369"/>
      <c r="M187" s="369"/>
      <c r="N187" s="369"/>
      <c r="O187" s="369"/>
      <c r="P187" s="369"/>
      <c r="Q187" s="369"/>
      <c r="R187" s="369"/>
      <c r="S187" s="369"/>
      <c r="T187" s="369"/>
      <c r="U187" s="369"/>
      <c r="V187" s="369"/>
      <c r="W187" s="369"/>
      <c r="X187" s="369"/>
      <c r="Y187" s="369"/>
      <c r="Z187" s="369"/>
    </row>
    <row r="188" ht="15.75" customHeight="1">
      <c r="A188" s="369"/>
      <c r="B188" s="369"/>
      <c r="C188" s="369"/>
      <c r="D188" s="369"/>
      <c r="E188" s="369"/>
      <c r="F188" s="369"/>
      <c r="G188" s="369"/>
      <c r="H188" s="369"/>
      <c r="I188" s="369"/>
      <c r="J188" s="369"/>
      <c r="K188" s="369"/>
      <c r="L188" s="369"/>
      <c r="M188" s="369"/>
      <c r="N188" s="369"/>
      <c r="O188" s="369"/>
      <c r="P188" s="369"/>
      <c r="Q188" s="369"/>
      <c r="R188" s="369"/>
      <c r="S188" s="369"/>
      <c r="T188" s="369"/>
      <c r="U188" s="369"/>
      <c r="V188" s="369"/>
      <c r="W188" s="369"/>
      <c r="X188" s="369"/>
      <c r="Y188" s="369"/>
      <c r="Z188" s="369"/>
    </row>
    <row r="189" ht="15.75" customHeight="1">
      <c r="A189" s="369"/>
      <c r="B189" s="369"/>
      <c r="C189" s="369"/>
      <c r="D189" s="369"/>
      <c r="E189" s="369"/>
      <c r="F189" s="369"/>
      <c r="G189" s="369"/>
      <c r="H189" s="369"/>
      <c r="I189" s="369"/>
      <c r="J189" s="369"/>
      <c r="K189" s="369"/>
      <c r="L189" s="369"/>
      <c r="M189" s="369"/>
      <c r="N189" s="369"/>
      <c r="O189" s="369"/>
      <c r="P189" s="369"/>
      <c r="Q189" s="369"/>
      <c r="R189" s="369"/>
      <c r="S189" s="369"/>
      <c r="T189" s="369"/>
      <c r="U189" s="369"/>
      <c r="V189" s="369"/>
      <c r="W189" s="369"/>
      <c r="X189" s="369"/>
      <c r="Y189" s="369"/>
      <c r="Z189" s="369"/>
    </row>
    <row r="190" ht="15.75" customHeight="1">
      <c r="A190" s="369"/>
      <c r="B190" s="369"/>
      <c r="C190" s="369"/>
      <c r="D190" s="369"/>
      <c r="E190" s="369"/>
      <c r="F190" s="369"/>
      <c r="G190" s="369"/>
      <c r="H190" s="369"/>
      <c r="I190" s="369"/>
      <c r="J190" s="369"/>
      <c r="K190" s="369"/>
      <c r="L190" s="369"/>
      <c r="M190" s="369"/>
      <c r="N190" s="369"/>
      <c r="O190" s="369"/>
      <c r="P190" s="369"/>
      <c r="Q190" s="369"/>
      <c r="R190" s="369"/>
      <c r="S190" s="369"/>
      <c r="T190" s="369"/>
      <c r="U190" s="369"/>
      <c r="V190" s="369"/>
      <c r="W190" s="369"/>
      <c r="X190" s="369"/>
      <c r="Y190" s="369"/>
      <c r="Z190" s="369"/>
    </row>
    <row r="191" ht="15.75" customHeight="1">
      <c r="A191" s="369"/>
      <c r="B191" s="369"/>
      <c r="C191" s="369"/>
      <c r="D191" s="369"/>
      <c r="E191" s="369"/>
      <c r="F191" s="369"/>
      <c r="G191" s="369"/>
      <c r="H191" s="369"/>
      <c r="I191" s="369"/>
      <c r="J191" s="369"/>
      <c r="K191" s="369"/>
      <c r="L191" s="369"/>
      <c r="M191" s="369"/>
      <c r="N191" s="369"/>
      <c r="O191" s="369"/>
      <c r="P191" s="369"/>
      <c r="Q191" s="369"/>
      <c r="R191" s="369"/>
      <c r="S191" s="369"/>
      <c r="T191" s="369"/>
      <c r="U191" s="369"/>
      <c r="V191" s="369"/>
      <c r="W191" s="369"/>
      <c r="X191" s="369"/>
      <c r="Y191" s="369"/>
      <c r="Z191" s="369"/>
    </row>
    <row r="192" ht="15.75" customHeight="1">
      <c r="A192" s="369"/>
      <c r="B192" s="369"/>
      <c r="C192" s="369"/>
      <c r="D192" s="369"/>
      <c r="E192" s="369"/>
      <c r="F192" s="369"/>
      <c r="G192" s="369"/>
      <c r="H192" s="369"/>
      <c r="I192" s="369"/>
      <c r="J192" s="369"/>
      <c r="K192" s="369"/>
      <c r="L192" s="369"/>
      <c r="M192" s="369"/>
      <c r="N192" s="369"/>
      <c r="O192" s="369"/>
      <c r="P192" s="369"/>
      <c r="Q192" s="369"/>
      <c r="R192" s="369"/>
      <c r="S192" s="369"/>
      <c r="T192" s="369"/>
      <c r="U192" s="369"/>
      <c r="V192" s="369"/>
      <c r="W192" s="369"/>
      <c r="X192" s="369"/>
      <c r="Y192" s="369"/>
      <c r="Z192" s="369"/>
    </row>
    <row r="193" ht="15.75" customHeight="1">
      <c r="A193" s="369"/>
      <c r="B193" s="369"/>
      <c r="C193" s="369"/>
      <c r="D193" s="369"/>
      <c r="E193" s="369"/>
      <c r="F193" s="369"/>
      <c r="G193" s="369"/>
      <c r="H193" s="369"/>
      <c r="I193" s="369"/>
      <c r="J193" s="369"/>
      <c r="K193" s="369"/>
      <c r="L193" s="369"/>
      <c r="M193" s="369"/>
      <c r="N193" s="369"/>
      <c r="O193" s="369"/>
      <c r="P193" s="369"/>
      <c r="Q193" s="369"/>
      <c r="R193" s="369"/>
      <c r="S193" s="369"/>
      <c r="T193" s="369"/>
      <c r="U193" s="369"/>
      <c r="V193" s="369"/>
      <c r="W193" s="369"/>
      <c r="X193" s="369"/>
      <c r="Y193" s="369"/>
      <c r="Z193" s="369"/>
    </row>
    <row r="194" ht="15.75" customHeight="1">
      <c r="A194" s="369"/>
      <c r="B194" s="369"/>
      <c r="C194" s="369"/>
      <c r="D194" s="369"/>
      <c r="E194" s="369"/>
      <c r="F194" s="369"/>
      <c r="G194" s="369"/>
      <c r="H194" s="369"/>
      <c r="I194" s="369"/>
      <c r="J194" s="369"/>
      <c r="K194" s="369"/>
      <c r="L194" s="369"/>
      <c r="M194" s="369"/>
      <c r="N194" s="369"/>
      <c r="O194" s="369"/>
      <c r="P194" s="369"/>
      <c r="Q194" s="369"/>
      <c r="R194" s="369"/>
      <c r="S194" s="369"/>
      <c r="T194" s="369"/>
      <c r="U194" s="369"/>
      <c r="V194" s="369"/>
      <c r="W194" s="369"/>
      <c r="X194" s="369"/>
      <c r="Y194" s="369"/>
      <c r="Z194" s="369"/>
    </row>
    <row r="195" ht="15.75" customHeight="1">
      <c r="A195" s="369"/>
      <c r="B195" s="369"/>
      <c r="C195" s="369"/>
      <c r="D195" s="369"/>
      <c r="E195" s="369"/>
      <c r="F195" s="369"/>
      <c r="G195" s="369"/>
      <c r="H195" s="369"/>
      <c r="I195" s="369"/>
      <c r="J195" s="369"/>
      <c r="K195" s="369"/>
      <c r="L195" s="369"/>
      <c r="M195" s="369"/>
      <c r="N195" s="369"/>
      <c r="O195" s="369"/>
      <c r="P195" s="369"/>
      <c r="Q195" s="369"/>
      <c r="R195" s="369"/>
      <c r="S195" s="369"/>
      <c r="T195" s="369"/>
      <c r="U195" s="369"/>
      <c r="V195" s="369"/>
      <c r="W195" s="369"/>
      <c r="X195" s="369"/>
      <c r="Y195" s="369"/>
      <c r="Z195" s="369"/>
    </row>
    <row r="196" ht="15.75" customHeight="1">
      <c r="A196" s="369"/>
      <c r="B196" s="369"/>
      <c r="C196" s="369"/>
      <c r="D196" s="369"/>
      <c r="E196" s="369"/>
      <c r="F196" s="369"/>
      <c r="G196" s="369"/>
      <c r="H196" s="369"/>
      <c r="I196" s="369"/>
      <c r="J196" s="369"/>
      <c r="K196" s="369"/>
      <c r="L196" s="369"/>
      <c r="M196" s="369"/>
      <c r="N196" s="369"/>
      <c r="O196" s="369"/>
      <c r="P196" s="369"/>
      <c r="Q196" s="369"/>
      <c r="R196" s="369"/>
      <c r="S196" s="369"/>
      <c r="T196" s="369"/>
      <c r="U196" s="369"/>
      <c r="V196" s="369"/>
      <c r="W196" s="369"/>
      <c r="X196" s="369"/>
      <c r="Y196" s="369"/>
      <c r="Z196" s="369"/>
    </row>
    <row r="197" ht="15.75" customHeight="1">
      <c r="A197" s="369"/>
      <c r="B197" s="369"/>
      <c r="C197" s="369"/>
      <c r="D197" s="369"/>
      <c r="E197" s="369"/>
      <c r="F197" s="369"/>
      <c r="G197" s="369"/>
      <c r="H197" s="369"/>
      <c r="I197" s="369"/>
      <c r="J197" s="369"/>
      <c r="K197" s="369"/>
      <c r="L197" s="369"/>
      <c r="M197" s="369"/>
      <c r="N197" s="369"/>
      <c r="O197" s="369"/>
      <c r="P197" s="369"/>
      <c r="Q197" s="369"/>
      <c r="R197" s="369"/>
      <c r="S197" s="369"/>
      <c r="T197" s="369"/>
      <c r="U197" s="369"/>
      <c r="V197" s="369"/>
      <c r="W197" s="369"/>
      <c r="X197" s="369"/>
      <c r="Y197" s="369"/>
      <c r="Z197" s="369"/>
    </row>
    <row r="198" ht="15.75" customHeight="1">
      <c r="A198" s="369"/>
      <c r="B198" s="369"/>
      <c r="C198" s="369"/>
      <c r="D198" s="369"/>
      <c r="E198" s="369"/>
      <c r="F198" s="369"/>
      <c r="G198" s="369"/>
      <c r="H198" s="369"/>
      <c r="I198" s="369"/>
      <c r="J198" s="369"/>
      <c r="K198" s="369"/>
      <c r="L198" s="369"/>
      <c r="M198" s="369"/>
      <c r="N198" s="369"/>
      <c r="O198" s="369"/>
      <c r="P198" s="369"/>
      <c r="Q198" s="369"/>
      <c r="R198" s="369"/>
      <c r="S198" s="369"/>
      <c r="T198" s="369"/>
      <c r="U198" s="369"/>
      <c r="V198" s="369"/>
      <c r="W198" s="369"/>
      <c r="X198" s="369"/>
      <c r="Y198" s="369"/>
      <c r="Z198" s="369"/>
    </row>
    <row r="199" ht="15.75" customHeight="1">
      <c r="A199" s="369"/>
      <c r="B199" s="369"/>
      <c r="C199" s="369"/>
      <c r="D199" s="369"/>
      <c r="E199" s="369"/>
      <c r="F199" s="369"/>
      <c r="G199" s="369"/>
      <c r="H199" s="369"/>
      <c r="I199" s="369"/>
      <c r="J199" s="369"/>
      <c r="K199" s="369"/>
      <c r="L199" s="369"/>
      <c r="M199" s="369"/>
      <c r="N199" s="369"/>
      <c r="O199" s="369"/>
      <c r="P199" s="369"/>
      <c r="Q199" s="369"/>
      <c r="R199" s="369"/>
      <c r="S199" s="369"/>
      <c r="T199" s="369"/>
      <c r="U199" s="369"/>
      <c r="V199" s="369"/>
      <c r="W199" s="369"/>
      <c r="X199" s="369"/>
      <c r="Y199" s="369"/>
      <c r="Z199" s="369"/>
    </row>
    <row r="200" ht="15.75" customHeight="1">
      <c r="A200" s="369"/>
      <c r="B200" s="369"/>
      <c r="C200" s="369"/>
      <c r="D200" s="369"/>
      <c r="E200" s="369"/>
      <c r="F200" s="369"/>
      <c r="G200" s="369"/>
      <c r="H200" s="369"/>
      <c r="I200" s="369"/>
      <c r="J200" s="369"/>
      <c r="K200" s="369"/>
      <c r="L200" s="369"/>
      <c r="M200" s="369"/>
      <c r="N200" s="369"/>
      <c r="O200" s="369"/>
      <c r="P200" s="369"/>
      <c r="Q200" s="369"/>
      <c r="R200" s="369"/>
      <c r="S200" s="369"/>
      <c r="T200" s="369"/>
      <c r="U200" s="369"/>
      <c r="V200" s="369"/>
      <c r="W200" s="369"/>
      <c r="X200" s="369"/>
      <c r="Y200" s="369"/>
      <c r="Z200" s="369"/>
    </row>
    <row r="201" ht="15.75" customHeight="1">
      <c r="A201" s="369"/>
      <c r="B201" s="369"/>
      <c r="C201" s="369"/>
      <c r="D201" s="369"/>
      <c r="E201" s="369"/>
      <c r="F201" s="369"/>
      <c r="G201" s="369"/>
      <c r="H201" s="369"/>
      <c r="I201" s="369"/>
      <c r="J201" s="369"/>
      <c r="K201" s="369"/>
      <c r="L201" s="369"/>
      <c r="M201" s="369"/>
      <c r="N201" s="369"/>
      <c r="O201" s="369"/>
      <c r="P201" s="369"/>
      <c r="Q201" s="369"/>
      <c r="R201" s="369"/>
      <c r="S201" s="369"/>
      <c r="T201" s="369"/>
      <c r="U201" s="369"/>
      <c r="V201" s="369"/>
      <c r="W201" s="369"/>
      <c r="X201" s="369"/>
      <c r="Y201" s="369"/>
      <c r="Z201" s="369"/>
    </row>
    <row r="202" ht="15.75" customHeight="1">
      <c r="A202" s="369"/>
      <c r="B202" s="369"/>
      <c r="C202" s="369"/>
      <c r="D202" s="369"/>
      <c r="E202" s="369"/>
      <c r="F202" s="369"/>
      <c r="G202" s="369"/>
      <c r="H202" s="369"/>
      <c r="I202" s="369"/>
      <c r="J202" s="369"/>
      <c r="K202" s="369"/>
      <c r="L202" s="369"/>
      <c r="M202" s="369"/>
      <c r="N202" s="369"/>
      <c r="O202" s="369"/>
      <c r="P202" s="369"/>
      <c r="Q202" s="369"/>
      <c r="R202" s="369"/>
      <c r="S202" s="369"/>
      <c r="T202" s="369"/>
      <c r="U202" s="369"/>
      <c r="V202" s="369"/>
      <c r="W202" s="369"/>
      <c r="X202" s="369"/>
      <c r="Y202" s="369"/>
      <c r="Z202" s="369"/>
    </row>
    <row r="203" ht="15.75" customHeight="1">
      <c r="A203" s="369"/>
      <c r="B203" s="369"/>
      <c r="C203" s="369"/>
      <c r="D203" s="369"/>
      <c r="E203" s="369"/>
      <c r="F203" s="369"/>
      <c r="G203" s="369"/>
      <c r="H203" s="369"/>
      <c r="I203" s="369"/>
      <c r="J203" s="369"/>
      <c r="K203" s="369"/>
      <c r="L203" s="369"/>
      <c r="M203" s="369"/>
      <c r="N203" s="369"/>
      <c r="O203" s="369"/>
      <c r="P203" s="369"/>
      <c r="Q203" s="369"/>
      <c r="R203" s="369"/>
      <c r="S203" s="369"/>
      <c r="T203" s="369"/>
      <c r="U203" s="369"/>
      <c r="V203" s="369"/>
      <c r="W203" s="369"/>
      <c r="X203" s="369"/>
      <c r="Y203" s="369"/>
      <c r="Z203" s="369"/>
    </row>
    <row r="204" ht="15.75" customHeight="1">
      <c r="A204" s="369"/>
      <c r="B204" s="369"/>
      <c r="C204" s="369"/>
      <c r="D204" s="369"/>
      <c r="E204" s="369"/>
      <c r="F204" s="369"/>
      <c r="G204" s="369"/>
      <c r="H204" s="369"/>
      <c r="I204" s="369"/>
      <c r="J204" s="369"/>
      <c r="K204" s="369"/>
      <c r="L204" s="369"/>
      <c r="M204" s="369"/>
      <c r="N204" s="369"/>
      <c r="O204" s="369"/>
      <c r="P204" s="369"/>
      <c r="Q204" s="369"/>
      <c r="R204" s="369"/>
      <c r="S204" s="369"/>
      <c r="T204" s="369"/>
      <c r="U204" s="369"/>
      <c r="V204" s="369"/>
      <c r="W204" s="369"/>
      <c r="X204" s="369"/>
      <c r="Y204" s="369"/>
      <c r="Z204" s="369"/>
    </row>
    <row r="205" ht="15.75" customHeight="1">
      <c r="A205" s="369"/>
      <c r="B205" s="369"/>
      <c r="C205" s="369"/>
      <c r="D205" s="369"/>
      <c r="E205" s="369"/>
      <c r="F205" s="369"/>
      <c r="G205" s="369"/>
      <c r="H205" s="369"/>
      <c r="I205" s="369"/>
      <c r="J205" s="369"/>
      <c r="K205" s="369"/>
      <c r="L205" s="369"/>
      <c r="M205" s="369"/>
      <c r="N205" s="369"/>
      <c r="O205" s="369"/>
      <c r="P205" s="369"/>
      <c r="Q205" s="369"/>
      <c r="R205" s="369"/>
      <c r="S205" s="369"/>
      <c r="T205" s="369"/>
      <c r="U205" s="369"/>
      <c r="V205" s="369"/>
      <c r="W205" s="369"/>
      <c r="X205" s="369"/>
      <c r="Y205" s="369"/>
      <c r="Z205" s="369"/>
    </row>
    <row r="206" ht="15.75" customHeight="1">
      <c r="A206" s="369"/>
      <c r="B206" s="369"/>
      <c r="C206" s="369"/>
      <c r="D206" s="369"/>
      <c r="E206" s="369"/>
      <c r="F206" s="369"/>
      <c r="G206" s="369"/>
      <c r="H206" s="369"/>
      <c r="I206" s="369"/>
      <c r="J206" s="369"/>
      <c r="K206" s="369"/>
      <c r="L206" s="369"/>
      <c r="M206" s="369"/>
      <c r="N206" s="369"/>
      <c r="O206" s="369"/>
      <c r="P206" s="369"/>
      <c r="Q206" s="369"/>
      <c r="R206" s="369"/>
      <c r="S206" s="369"/>
      <c r="T206" s="369"/>
      <c r="U206" s="369"/>
      <c r="V206" s="369"/>
      <c r="W206" s="369"/>
      <c r="X206" s="369"/>
      <c r="Y206" s="369"/>
      <c r="Z206" s="369"/>
    </row>
    <row r="207" ht="15.75" customHeight="1">
      <c r="A207" s="369"/>
      <c r="B207" s="369"/>
      <c r="C207" s="369"/>
      <c r="D207" s="369"/>
      <c r="E207" s="369"/>
      <c r="F207" s="369"/>
      <c r="G207" s="369"/>
      <c r="H207" s="369"/>
      <c r="I207" s="369"/>
      <c r="J207" s="369"/>
      <c r="K207" s="369"/>
      <c r="L207" s="369"/>
      <c r="M207" s="369"/>
      <c r="N207" s="369"/>
      <c r="O207" s="369"/>
      <c r="P207" s="369"/>
      <c r="Q207" s="369"/>
      <c r="R207" s="369"/>
      <c r="S207" s="369"/>
      <c r="T207" s="369"/>
      <c r="U207" s="369"/>
      <c r="V207" s="369"/>
      <c r="W207" s="369"/>
      <c r="X207" s="369"/>
      <c r="Y207" s="369"/>
      <c r="Z207" s="369"/>
    </row>
    <row r="208" ht="15.75" customHeight="1">
      <c r="A208" s="369"/>
      <c r="B208" s="369"/>
      <c r="C208" s="369"/>
      <c r="D208" s="369"/>
      <c r="E208" s="369"/>
      <c r="F208" s="369"/>
      <c r="G208" s="369"/>
      <c r="H208" s="369"/>
      <c r="I208" s="369"/>
      <c r="J208" s="369"/>
      <c r="K208" s="369"/>
      <c r="L208" s="369"/>
      <c r="M208" s="369"/>
      <c r="N208" s="369"/>
      <c r="O208" s="369"/>
      <c r="P208" s="369"/>
      <c r="Q208" s="369"/>
      <c r="R208" s="369"/>
      <c r="S208" s="369"/>
      <c r="T208" s="369"/>
      <c r="U208" s="369"/>
      <c r="V208" s="369"/>
      <c r="W208" s="369"/>
      <c r="X208" s="369"/>
      <c r="Y208" s="369"/>
      <c r="Z208" s="369"/>
    </row>
    <row r="209" ht="15.75" customHeight="1">
      <c r="A209" s="369"/>
      <c r="B209" s="369"/>
      <c r="C209" s="369"/>
      <c r="D209" s="369"/>
      <c r="E209" s="369"/>
      <c r="F209" s="369"/>
      <c r="G209" s="369"/>
      <c r="H209" s="369"/>
      <c r="I209" s="369"/>
      <c r="J209" s="369"/>
      <c r="K209" s="369"/>
      <c r="L209" s="369"/>
      <c r="M209" s="369"/>
      <c r="N209" s="369"/>
      <c r="O209" s="369"/>
      <c r="P209" s="369"/>
      <c r="Q209" s="369"/>
      <c r="R209" s="369"/>
      <c r="S209" s="369"/>
      <c r="T209" s="369"/>
      <c r="U209" s="369"/>
      <c r="V209" s="369"/>
      <c r="W209" s="369"/>
      <c r="X209" s="369"/>
      <c r="Y209" s="369"/>
      <c r="Z209" s="369"/>
    </row>
    <row r="210" ht="15.75" customHeight="1">
      <c r="A210" s="369"/>
      <c r="B210" s="369"/>
      <c r="C210" s="369"/>
      <c r="D210" s="369"/>
      <c r="E210" s="369"/>
      <c r="F210" s="369"/>
      <c r="G210" s="369"/>
      <c r="H210" s="369"/>
      <c r="I210" s="369"/>
      <c r="J210" s="369"/>
      <c r="K210" s="369"/>
      <c r="L210" s="369"/>
      <c r="M210" s="369"/>
      <c r="N210" s="369"/>
      <c r="O210" s="369"/>
      <c r="P210" s="369"/>
      <c r="Q210" s="369"/>
      <c r="R210" s="369"/>
      <c r="S210" s="369"/>
      <c r="T210" s="369"/>
      <c r="U210" s="369"/>
      <c r="V210" s="369"/>
      <c r="W210" s="369"/>
      <c r="X210" s="369"/>
      <c r="Y210" s="369"/>
      <c r="Z210" s="369"/>
    </row>
    <row r="211" ht="15.75" customHeight="1">
      <c r="A211" s="369"/>
      <c r="B211" s="369"/>
      <c r="C211" s="369"/>
      <c r="D211" s="369"/>
      <c r="E211" s="369"/>
      <c r="F211" s="369"/>
      <c r="G211" s="369"/>
      <c r="H211" s="369"/>
      <c r="I211" s="369"/>
      <c r="J211" s="369"/>
      <c r="K211" s="369"/>
      <c r="L211" s="369"/>
      <c r="M211" s="369"/>
      <c r="N211" s="369"/>
      <c r="O211" s="369"/>
      <c r="P211" s="369"/>
      <c r="Q211" s="369"/>
      <c r="R211" s="369"/>
      <c r="S211" s="369"/>
      <c r="T211" s="369"/>
      <c r="U211" s="369"/>
      <c r="V211" s="369"/>
      <c r="W211" s="369"/>
      <c r="X211" s="369"/>
      <c r="Y211" s="369"/>
      <c r="Z211" s="369"/>
    </row>
    <row r="212" ht="15.75" customHeight="1">
      <c r="A212" s="369"/>
      <c r="B212" s="369"/>
      <c r="C212" s="369"/>
      <c r="D212" s="369"/>
      <c r="E212" s="369"/>
      <c r="F212" s="369"/>
      <c r="G212" s="369"/>
      <c r="H212" s="369"/>
      <c r="I212" s="369"/>
      <c r="J212" s="369"/>
      <c r="K212" s="369"/>
      <c r="L212" s="369"/>
      <c r="M212" s="369"/>
      <c r="N212" s="369"/>
      <c r="O212" s="369"/>
      <c r="P212" s="369"/>
      <c r="Q212" s="369"/>
      <c r="R212" s="369"/>
      <c r="S212" s="369"/>
      <c r="T212" s="369"/>
      <c r="U212" s="369"/>
      <c r="V212" s="369"/>
      <c r="W212" s="369"/>
      <c r="X212" s="369"/>
      <c r="Y212" s="369"/>
      <c r="Z212" s="369"/>
    </row>
    <row r="213" ht="15.75" customHeight="1">
      <c r="A213" s="369"/>
      <c r="B213" s="369"/>
      <c r="C213" s="369"/>
      <c r="D213" s="369"/>
      <c r="E213" s="369"/>
      <c r="F213" s="369"/>
      <c r="G213" s="369"/>
      <c r="H213" s="369"/>
      <c r="I213" s="369"/>
      <c r="J213" s="369"/>
      <c r="K213" s="369"/>
      <c r="L213" s="369"/>
      <c r="M213" s="369"/>
      <c r="N213" s="369"/>
      <c r="O213" s="369"/>
      <c r="P213" s="369"/>
      <c r="Q213" s="369"/>
      <c r="R213" s="369"/>
      <c r="S213" s="369"/>
      <c r="T213" s="369"/>
      <c r="U213" s="369"/>
      <c r="V213" s="369"/>
      <c r="W213" s="369"/>
      <c r="X213" s="369"/>
      <c r="Y213" s="369"/>
      <c r="Z213" s="369"/>
    </row>
    <row r="214" ht="15.75" customHeight="1">
      <c r="A214" s="369"/>
      <c r="B214" s="369"/>
      <c r="C214" s="369"/>
      <c r="D214" s="369"/>
      <c r="E214" s="369"/>
      <c r="F214" s="369"/>
      <c r="G214" s="369"/>
      <c r="H214" s="369"/>
      <c r="I214" s="369"/>
      <c r="J214" s="369"/>
      <c r="K214" s="369"/>
      <c r="L214" s="369"/>
      <c r="M214" s="369"/>
      <c r="N214" s="369"/>
      <c r="O214" s="369"/>
      <c r="P214" s="369"/>
      <c r="Q214" s="369"/>
      <c r="R214" s="369"/>
      <c r="S214" s="369"/>
      <c r="T214" s="369"/>
      <c r="U214" s="369"/>
      <c r="V214" s="369"/>
      <c r="W214" s="369"/>
      <c r="X214" s="369"/>
      <c r="Y214" s="369"/>
      <c r="Z214" s="369"/>
    </row>
    <row r="215" ht="15.75" customHeight="1">
      <c r="A215" s="369"/>
      <c r="B215" s="369"/>
      <c r="C215" s="369"/>
      <c r="D215" s="369"/>
      <c r="E215" s="369"/>
      <c r="F215" s="369"/>
      <c r="G215" s="369"/>
      <c r="H215" s="369"/>
      <c r="I215" s="369"/>
      <c r="J215" s="369"/>
      <c r="K215" s="369"/>
      <c r="L215" s="369"/>
      <c r="M215" s="369"/>
      <c r="N215" s="369"/>
      <c r="O215" s="369"/>
      <c r="P215" s="369"/>
      <c r="Q215" s="369"/>
      <c r="R215" s="369"/>
      <c r="S215" s="369"/>
      <c r="T215" s="369"/>
      <c r="U215" s="369"/>
      <c r="V215" s="369"/>
      <c r="W215" s="369"/>
      <c r="X215" s="369"/>
      <c r="Y215" s="369"/>
      <c r="Z215" s="369"/>
    </row>
    <row r="216" ht="15.75" customHeight="1">
      <c r="A216" s="369"/>
      <c r="B216" s="369"/>
      <c r="C216" s="369"/>
      <c r="D216" s="369"/>
      <c r="E216" s="369"/>
      <c r="F216" s="369"/>
      <c r="G216" s="369"/>
      <c r="H216" s="369"/>
      <c r="I216" s="369"/>
      <c r="J216" s="369"/>
      <c r="K216" s="369"/>
      <c r="L216" s="369"/>
      <c r="M216" s="369"/>
      <c r="N216" s="369"/>
      <c r="O216" s="369"/>
      <c r="P216" s="369"/>
      <c r="Q216" s="369"/>
      <c r="R216" s="369"/>
      <c r="S216" s="369"/>
      <c r="T216" s="369"/>
      <c r="U216" s="369"/>
      <c r="V216" s="369"/>
      <c r="W216" s="369"/>
      <c r="X216" s="369"/>
      <c r="Y216" s="369"/>
      <c r="Z216" s="369"/>
    </row>
    <row r="217" ht="15.75" customHeight="1">
      <c r="A217" s="369"/>
      <c r="B217" s="369"/>
      <c r="C217" s="369"/>
      <c r="D217" s="369"/>
      <c r="E217" s="369"/>
      <c r="F217" s="369"/>
      <c r="G217" s="369"/>
      <c r="H217" s="369"/>
      <c r="I217" s="369"/>
      <c r="J217" s="369"/>
      <c r="K217" s="369"/>
      <c r="L217" s="369"/>
      <c r="M217" s="369"/>
      <c r="N217" s="369"/>
      <c r="O217" s="369"/>
      <c r="P217" s="369"/>
      <c r="Q217" s="369"/>
      <c r="R217" s="369"/>
      <c r="S217" s="369"/>
      <c r="T217" s="369"/>
      <c r="U217" s="369"/>
      <c r="V217" s="369"/>
      <c r="W217" s="369"/>
      <c r="X217" s="369"/>
      <c r="Y217" s="369"/>
      <c r="Z217" s="369"/>
    </row>
    <row r="218" ht="15.75" customHeight="1">
      <c r="A218" s="369"/>
      <c r="B218" s="369"/>
      <c r="C218" s="369"/>
      <c r="D218" s="369"/>
      <c r="E218" s="369"/>
      <c r="F218" s="369"/>
      <c r="G218" s="369"/>
      <c r="H218" s="369"/>
      <c r="I218" s="369"/>
      <c r="J218" s="369"/>
      <c r="K218" s="369"/>
      <c r="L218" s="369"/>
      <c r="M218" s="369"/>
      <c r="N218" s="369"/>
      <c r="O218" s="369"/>
      <c r="P218" s="369"/>
      <c r="Q218" s="369"/>
      <c r="R218" s="369"/>
      <c r="S218" s="369"/>
      <c r="T218" s="369"/>
      <c r="U218" s="369"/>
      <c r="V218" s="369"/>
      <c r="W218" s="369"/>
      <c r="X218" s="369"/>
      <c r="Y218" s="369"/>
      <c r="Z218" s="369"/>
    </row>
    <row r="219" ht="15.75" customHeight="1">
      <c r="A219" s="369"/>
      <c r="B219" s="369"/>
      <c r="C219" s="369"/>
      <c r="D219" s="369"/>
      <c r="E219" s="369"/>
      <c r="F219" s="369"/>
      <c r="G219" s="369"/>
      <c r="H219" s="369"/>
      <c r="I219" s="369"/>
      <c r="J219" s="369"/>
      <c r="K219" s="369"/>
      <c r="L219" s="369"/>
      <c r="M219" s="369"/>
      <c r="N219" s="369"/>
      <c r="O219" s="369"/>
      <c r="P219" s="369"/>
      <c r="Q219" s="369"/>
      <c r="R219" s="369"/>
      <c r="S219" s="369"/>
      <c r="T219" s="369"/>
      <c r="U219" s="369"/>
      <c r="V219" s="369"/>
      <c r="W219" s="369"/>
      <c r="X219" s="369"/>
      <c r="Y219" s="369"/>
      <c r="Z219" s="369"/>
    </row>
    <row r="220" ht="15.75" customHeight="1">
      <c r="A220" s="369"/>
      <c r="B220" s="369"/>
      <c r="C220" s="369"/>
      <c r="D220" s="369"/>
      <c r="E220" s="369"/>
      <c r="F220" s="369"/>
      <c r="G220" s="369"/>
      <c r="H220" s="369"/>
      <c r="I220" s="369"/>
      <c r="J220" s="369"/>
      <c r="K220" s="369"/>
      <c r="L220" s="369"/>
      <c r="M220" s="369"/>
      <c r="N220" s="369"/>
      <c r="O220" s="369"/>
      <c r="P220" s="369"/>
      <c r="Q220" s="369"/>
      <c r="R220" s="369"/>
      <c r="S220" s="369"/>
      <c r="T220" s="369"/>
      <c r="U220" s="369"/>
      <c r="V220" s="369"/>
      <c r="W220" s="369"/>
      <c r="X220" s="369"/>
      <c r="Y220" s="369"/>
      <c r="Z220" s="369"/>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rintOptions/>
  <pageMargins bottom="0.75" footer="0.0" header="0.0" left="0.7" right="0.7" top="0.75"/>
  <pageSetup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11.22"/>
    <col customWidth="1" min="2" max="2" width="11.78"/>
    <col customWidth="1" min="3" max="3" width="65.89"/>
    <col customWidth="1" min="4" max="4" width="13.56"/>
    <col customWidth="1" min="5" max="5" width="6.11"/>
    <col customWidth="1" min="6" max="6" width="10.11"/>
    <col customWidth="1" min="7" max="7" width="14.67"/>
    <col customWidth="1" min="8" max="8" width="15.33"/>
    <col customWidth="1" min="9" max="9" width="13.56"/>
    <col customWidth="1" min="10" max="10" width="14.22"/>
    <col customWidth="1" min="11" max="11" width="7.67"/>
    <col customWidth="1" min="12" max="12" width="10.56"/>
    <col customWidth="1" min="13" max="13" width="11.0"/>
    <col customWidth="1" min="14" max="14" width="11.11"/>
    <col customWidth="1" min="15" max="15" width="17.11"/>
    <col customWidth="1" min="16" max="16" width="156.44"/>
    <col customWidth="1" min="17" max="17" width="38.0"/>
    <col customWidth="1" min="18" max="18" width="30.44"/>
    <col customWidth="1" min="19" max="19" width="19.22"/>
    <col customWidth="1" min="20" max="20" width="13.56"/>
    <col customWidth="1" min="21" max="23" width="10.56"/>
  </cols>
  <sheetData>
    <row r="1" ht="29.25" customHeight="1">
      <c r="A1" s="412" t="s">
        <v>0</v>
      </c>
      <c r="B1" s="413" t="s">
        <v>1</v>
      </c>
      <c r="C1" s="414" t="s">
        <v>2</v>
      </c>
      <c r="D1" s="415" t="s">
        <v>5</v>
      </c>
      <c r="E1" s="7" t="s">
        <v>1403</v>
      </c>
      <c r="F1" s="8" t="s">
        <v>7</v>
      </c>
      <c r="G1" s="9" t="s">
        <v>8</v>
      </c>
      <c r="H1" s="9" t="s">
        <v>9</v>
      </c>
      <c r="I1" s="10" t="s">
        <v>1404</v>
      </c>
      <c r="J1" s="10" t="s">
        <v>11</v>
      </c>
      <c r="K1" s="9" t="s">
        <v>12</v>
      </c>
      <c r="L1" s="7" t="s">
        <v>18</v>
      </c>
      <c r="M1" s="9" t="s">
        <v>13</v>
      </c>
      <c r="N1" s="7" t="s">
        <v>19</v>
      </c>
      <c r="O1" s="9" t="s">
        <v>14</v>
      </c>
      <c r="P1" s="11" t="s">
        <v>15</v>
      </c>
      <c r="Q1" s="14" t="s">
        <v>1851</v>
      </c>
      <c r="R1" s="14" t="s">
        <v>1852</v>
      </c>
      <c r="S1" s="14" t="s">
        <v>21</v>
      </c>
      <c r="T1" s="14" t="s">
        <v>22</v>
      </c>
      <c r="U1" s="14" t="s">
        <v>23</v>
      </c>
      <c r="V1" s="14" t="s">
        <v>24</v>
      </c>
      <c r="W1" s="14" t="s">
        <v>25</v>
      </c>
      <c r="X1" s="416" t="s">
        <v>26</v>
      </c>
      <c r="Y1" s="416" t="s">
        <v>27</v>
      </c>
      <c r="Z1" s="416" t="s">
        <v>28</v>
      </c>
      <c r="AA1" s="416" t="s">
        <v>29</v>
      </c>
      <c r="AB1" s="416" t="s">
        <v>30</v>
      </c>
      <c r="AC1" s="416" t="s">
        <v>31</v>
      </c>
      <c r="AD1" s="416" t="s">
        <v>32</v>
      </c>
      <c r="AE1" s="416" t="s">
        <v>33</v>
      </c>
      <c r="AF1" s="416" t="s">
        <v>34</v>
      </c>
      <c r="AG1" s="416" t="s">
        <v>35</v>
      </c>
      <c r="AH1" s="416" t="s">
        <v>36</v>
      </c>
      <c r="AI1" s="416" t="s">
        <v>37</v>
      </c>
      <c r="AJ1" s="14" t="s">
        <v>38</v>
      </c>
      <c r="AK1" s="14" t="s">
        <v>39</v>
      </c>
      <c r="AL1" s="14" t="s">
        <v>40</v>
      </c>
      <c r="AM1" s="14" t="s">
        <v>1853</v>
      </c>
      <c r="AN1" s="14" t="s">
        <v>1854</v>
      </c>
    </row>
    <row r="2" ht="22.5" customHeight="1">
      <c r="A2" s="417" t="s">
        <v>1825</v>
      </c>
      <c r="B2" s="418" t="s">
        <v>1363</v>
      </c>
      <c r="C2" s="116" t="s">
        <v>1364</v>
      </c>
      <c r="D2" s="118" t="s">
        <v>75</v>
      </c>
      <c r="E2" s="29"/>
      <c r="F2" s="49"/>
      <c r="G2" s="22">
        <v>45751.0</v>
      </c>
      <c r="H2" s="23">
        <v>45756.0</v>
      </c>
      <c r="I2" s="50">
        <v>45760.0</v>
      </c>
      <c r="J2" s="35">
        <v>45759.0</v>
      </c>
      <c r="K2" s="25">
        <f>IF(ISBLANK(J2), NETWORKDAYS(H2, TODAY(),Hoja2!$A$1:$A$18), NETWORKDAYS(H2, J2, Hoja2!$A$1:$A$18))</f>
        <v>3</v>
      </c>
      <c r="L2" s="25"/>
      <c r="M2" s="22"/>
      <c r="N2" s="419"/>
      <c r="O2" s="26"/>
      <c r="P2" s="87" t="s">
        <v>1366</v>
      </c>
      <c r="Q2" s="420"/>
      <c r="R2" s="420"/>
      <c r="S2" s="420"/>
      <c r="T2" s="420"/>
      <c r="U2" s="420"/>
      <c r="V2" s="420"/>
      <c r="W2" s="420"/>
    </row>
    <row r="3" ht="22.5" customHeight="1">
      <c r="A3" s="417" t="s">
        <v>1825</v>
      </c>
      <c r="B3" s="421"/>
      <c r="C3" s="116" t="s">
        <v>1855</v>
      </c>
      <c r="D3" s="118" t="s">
        <v>75</v>
      </c>
      <c r="E3" s="20">
        <v>90.0</v>
      </c>
      <c r="F3" s="49"/>
      <c r="G3" s="22">
        <v>45749.0</v>
      </c>
      <c r="H3" s="23">
        <v>45754.0</v>
      </c>
      <c r="I3" s="35">
        <v>45772.0</v>
      </c>
      <c r="J3" s="35">
        <v>45783.0</v>
      </c>
      <c r="K3" s="25">
        <f>IF(ISBLANK(J3), NETWORKDAYS(H3, TODAY(),Hoja2!$A$1:$A$18), NETWORKDAYS(H3, J3, Hoja2!$A$1:$A$18))</f>
        <v>22</v>
      </c>
      <c r="L3" s="29"/>
      <c r="M3" s="22">
        <v>45755.0</v>
      </c>
      <c r="N3" s="419"/>
      <c r="O3" s="26"/>
      <c r="P3" s="51" t="s">
        <v>1856</v>
      </c>
      <c r="Q3" s="34" t="s">
        <v>1857</v>
      </c>
      <c r="R3" s="34" t="s">
        <v>1858</v>
      </c>
      <c r="S3" s="34" t="s">
        <v>1859</v>
      </c>
      <c r="T3" s="34" t="s">
        <v>1860</v>
      </c>
      <c r="U3" s="33"/>
      <c r="V3" s="33"/>
      <c r="W3" s="33"/>
    </row>
    <row r="4" ht="22.5" customHeight="1">
      <c r="A4" s="417" t="s">
        <v>1825</v>
      </c>
      <c r="B4" s="421"/>
      <c r="C4" s="116" t="s">
        <v>1861</v>
      </c>
      <c r="D4" s="118" t="s">
        <v>75</v>
      </c>
      <c r="E4" s="20">
        <v>60.0</v>
      </c>
      <c r="F4" s="49"/>
      <c r="G4" s="22">
        <v>45749.0</v>
      </c>
      <c r="H4" s="23">
        <v>45749.0</v>
      </c>
      <c r="I4" s="35">
        <v>45779.0</v>
      </c>
      <c r="J4" s="35">
        <v>45783.0</v>
      </c>
      <c r="K4" s="25">
        <f>IF(ISBLANK(J4), NETWORKDAYS(H4, TODAY(),Hoja2!$A$1:$A$18), NETWORKDAYS(H4, J4, Hoja2!$A$1:$A$18))</f>
        <v>25</v>
      </c>
      <c r="L4" s="29"/>
      <c r="M4" s="22">
        <v>45754.0</v>
      </c>
      <c r="N4" s="419"/>
      <c r="O4" s="26"/>
      <c r="P4" s="51" t="s">
        <v>1862</v>
      </c>
      <c r="Q4" s="34" t="s">
        <v>1857</v>
      </c>
      <c r="R4" s="34" t="s">
        <v>1863</v>
      </c>
      <c r="S4" s="34" t="s">
        <v>1859</v>
      </c>
      <c r="T4" s="34" t="s">
        <v>1864</v>
      </c>
      <c r="U4" s="33"/>
      <c r="V4" s="33"/>
      <c r="W4" s="33"/>
    </row>
    <row r="5" ht="22.5" customHeight="1">
      <c r="A5" s="417" t="s">
        <v>1825</v>
      </c>
      <c r="B5" s="421"/>
      <c r="C5" s="422" t="s">
        <v>1865</v>
      </c>
      <c r="D5" s="118" t="s">
        <v>75</v>
      </c>
      <c r="E5" s="56">
        <v>100.0</v>
      </c>
      <c r="F5" s="49"/>
      <c r="G5" s="82">
        <v>45770.0</v>
      </c>
      <c r="H5" s="59">
        <v>45770.0</v>
      </c>
      <c r="I5" s="59">
        <v>45770.0</v>
      </c>
      <c r="J5" s="59">
        <v>45770.0</v>
      </c>
      <c r="K5" s="25">
        <f>IF(ISBLANK(J5), NETWORKDAYS(H5, TODAY(),Hoja2!$A$1:$A$18), NETWORKDAYS(H5, J5, Hoja2!$A$1:$A$18))</f>
        <v>1</v>
      </c>
      <c r="L5" s="25"/>
      <c r="M5" s="22"/>
      <c r="N5" s="419"/>
      <c r="O5" s="26"/>
      <c r="P5" s="51" t="s">
        <v>1866</v>
      </c>
      <c r="Q5" s="106"/>
      <c r="R5" s="106"/>
      <c r="S5" s="106"/>
      <c r="T5" s="106"/>
      <c r="U5" s="106"/>
      <c r="V5" s="106"/>
      <c r="W5" s="106"/>
    </row>
    <row r="6" ht="22.5" customHeight="1">
      <c r="A6" s="417" t="s">
        <v>1825</v>
      </c>
      <c r="B6" s="228" t="s">
        <v>1867</v>
      </c>
      <c r="C6" s="423" t="s">
        <v>1868</v>
      </c>
      <c r="D6" s="424" t="s">
        <v>75</v>
      </c>
      <c r="E6" s="425">
        <v>50.0</v>
      </c>
      <c r="F6" s="426"/>
      <c r="G6" s="427"/>
      <c r="H6" s="428"/>
      <c r="I6" s="428"/>
      <c r="J6" s="428"/>
      <c r="K6" s="25">
        <f>IF(ISBLANK(J6), NETWORKDAYS(H6, TODAY(),Hoja2!$A$1:$A$18), NETWORKDAYS(H6, J6, Hoja2!$A$1:$A$18))</f>
        <v>32848</v>
      </c>
      <c r="L6" s="429"/>
      <c r="M6" s="427"/>
      <c r="N6" s="426"/>
      <c r="O6" s="430"/>
      <c r="P6" s="426"/>
      <c r="Q6" s="431" t="s">
        <v>1869</v>
      </c>
      <c r="R6" s="431" t="s">
        <v>1870</v>
      </c>
      <c r="S6" s="432"/>
      <c r="T6" s="432"/>
      <c r="U6" s="432"/>
      <c r="V6" s="432"/>
      <c r="W6" s="432"/>
    </row>
    <row r="7" ht="22.5" customHeight="1">
      <c r="A7" s="417" t="s">
        <v>1825</v>
      </c>
      <c r="B7" s="228" t="s">
        <v>1867</v>
      </c>
      <c r="C7" s="433" t="s">
        <v>1871</v>
      </c>
      <c r="D7" s="118" t="s">
        <v>75</v>
      </c>
      <c r="E7" s="119"/>
      <c r="F7" s="71"/>
      <c r="G7" s="58">
        <v>45666.0</v>
      </c>
      <c r="H7" s="50">
        <v>45684.0</v>
      </c>
      <c r="I7" s="68"/>
      <c r="J7" s="50">
        <v>45685.0</v>
      </c>
      <c r="K7" s="25">
        <f>IF(ISBLANK(J7), NETWORKDAYS(H7, TODAY(),Hoja2!$A$1:$A$18), NETWORKDAYS(H7, J7, Hoja2!$A$1:$A$18))</f>
        <v>2</v>
      </c>
      <c r="L7" s="49"/>
      <c r="M7" s="242">
        <v>45685.0</v>
      </c>
      <c r="N7" s="419"/>
      <c r="O7" s="26"/>
      <c r="P7" s="208" t="s">
        <v>1872</v>
      </c>
      <c r="Q7" s="92" t="s">
        <v>1873</v>
      </c>
      <c r="R7" s="431" t="s">
        <v>1870</v>
      </c>
      <c r="S7" s="432"/>
      <c r="T7" s="432"/>
      <c r="U7" s="432"/>
      <c r="V7" s="432"/>
      <c r="W7" s="432"/>
    </row>
    <row r="8" ht="29.25" customHeight="1">
      <c r="A8" s="434" t="s">
        <v>1810</v>
      </c>
      <c r="B8" s="435"/>
      <c r="C8" s="436" t="s">
        <v>1874</v>
      </c>
      <c r="D8" s="118" t="s">
        <v>75</v>
      </c>
      <c r="E8" s="437"/>
      <c r="F8" s="437"/>
      <c r="G8" s="438">
        <v>45756.0</v>
      </c>
      <c r="H8" s="439">
        <v>45756.0</v>
      </c>
      <c r="I8" s="439"/>
      <c r="J8" s="439">
        <v>45756.0</v>
      </c>
      <c r="K8" s="440">
        <f>IF(ISBLANK(J8), NETWORKDAYS(H8, TODAY(),Hoja2!$A$1:$A$18), NETWORKDAYS(H8, J8, Hoja2!$A$1:$A$18))</f>
        <v>1</v>
      </c>
      <c r="L8" s="437"/>
      <c r="M8" s="438"/>
      <c r="N8" s="437"/>
      <c r="O8" s="441"/>
      <c r="P8" s="442" t="s">
        <v>1875</v>
      </c>
      <c r="Q8" s="443"/>
      <c r="R8" s="443"/>
      <c r="S8" s="443"/>
      <c r="T8" s="443"/>
      <c r="U8" s="443"/>
      <c r="V8" s="443"/>
      <c r="W8" s="443"/>
      <c r="X8" s="444"/>
      <c r="Y8" s="444"/>
      <c r="Z8" s="444"/>
      <c r="AA8" s="444"/>
      <c r="AB8" s="444"/>
      <c r="AC8" s="444"/>
      <c r="AD8" s="444"/>
      <c r="AE8" s="444"/>
      <c r="AF8" s="444"/>
      <c r="AG8" s="444"/>
      <c r="AH8" s="444"/>
      <c r="AI8" s="444"/>
      <c r="AJ8" s="444"/>
      <c r="AK8" s="444"/>
      <c r="AL8" s="444"/>
      <c r="AM8" s="444"/>
      <c r="AN8" s="444"/>
    </row>
    <row r="9" ht="29.25" customHeight="1">
      <c r="A9" s="434" t="s">
        <v>1810</v>
      </c>
      <c r="B9" s="435"/>
      <c r="C9" s="436" t="s">
        <v>1876</v>
      </c>
      <c r="D9" s="445" t="s">
        <v>75</v>
      </c>
      <c r="E9" s="437"/>
      <c r="F9" s="437"/>
      <c r="G9" s="438">
        <v>45750.0</v>
      </c>
      <c r="H9" s="439">
        <v>45750.0</v>
      </c>
      <c r="I9" s="439"/>
      <c r="J9" s="439">
        <v>45755.0</v>
      </c>
      <c r="K9" s="440">
        <f>IF(ISBLANK(J9), NETWORKDAYS(H9, TODAY(),Hoja2!$A$1:$A$18), NETWORKDAYS(H9, J9, Hoja2!$A$1:$A$18))</f>
        <v>4</v>
      </c>
      <c r="L9" s="437"/>
      <c r="M9" s="438">
        <v>45755.0</v>
      </c>
      <c r="N9" s="437"/>
      <c r="O9" s="441">
        <v>45761.0</v>
      </c>
      <c r="P9" s="446" t="s">
        <v>1877</v>
      </c>
      <c r="Q9" s="447"/>
      <c r="R9" s="447"/>
      <c r="S9" s="447"/>
      <c r="T9" s="447"/>
      <c r="U9" s="447"/>
      <c r="V9" s="447"/>
      <c r="W9" s="447"/>
      <c r="X9" s="444"/>
      <c r="Y9" s="444"/>
      <c r="Z9" s="444"/>
      <c r="AA9" s="444"/>
      <c r="AB9" s="444"/>
      <c r="AC9" s="444"/>
      <c r="AD9" s="444"/>
      <c r="AE9" s="444"/>
      <c r="AF9" s="444"/>
      <c r="AG9" s="444"/>
      <c r="AH9" s="444"/>
      <c r="AI9" s="444"/>
      <c r="AJ9" s="444"/>
      <c r="AK9" s="444"/>
      <c r="AL9" s="444"/>
      <c r="AM9" s="444"/>
      <c r="AN9" s="444"/>
    </row>
    <row r="10" ht="29.25" customHeight="1">
      <c r="A10" s="434" t="s">
        <v>1810</v>
      </c>
      <c r="B10" s="435"/>
      <c r="C10" s="448" t="s">
        <v>1878</v>
      </c>
      <c r="D10" s="118" t="s">
        <v>75</v>
      </c>
      <c r="E10" s="437"/>
      <c r="F10" s="437"/>
      <c r="G10" s="438">
        <v>45750.0</v>
      </c>
      <c r="H10" s="439">
        <v>45751.0</v>
      </c>
      <c r="I10" s="439"/>
      <c r="J10" s="439"/>
      <c r="K10" s="440">
        <f>IF(ISBLANK(J10), NETWORKDAYS(H10, TODAY(),Hoja2!$A$1:$A$18), NETWORKDAYS(H10, J10, Hoja2!$A$1:$A$18))</f>
        <v>185</v>
      </c>
      <c r="L10" s="437"/>
      <c r="M10" s="438"/>
      <c r="N10" s="449" t="s">
        <v>1879</v>
      </c>
      <c r="O10" s="441"/>
      <c r="P10" s="446" t="s">
        <v>1880</v>
      </c>
      <c r="Q10" s="447"/>
      <c r="R10" s="450"/>
      <c r="S10" s="450"/>
      <c r="T10" s="450"/>
      <c r="U10" s="450"/>
      <c r="V10" s="450"/>
      <c r="W10" s="450"/>
      <c r="X10" s="451"/>
      <c r="Y10" s="451"/>
      <c r="Z10" s="451"/>
      <c r="AA10" s="451"/>
      <c r="AB10" s="451"/>
      <c r="AC10" s="451"/>
      <c r="AD10" s="451"/>
      <c r="AE10" s="451"/>
      <c r="AF10" s="451"/>
      <c r="AG10" s="451"/>
      <c r="AH10" s="451"/>
      <c r="AI10" s="451"/>
      <c r="AJ10" s="451"/>
      <c r="AK10" s="451"/>
      <c r="AL10" s="451"/>
      <c r="AM10" s="451"/>
      <c r="AN10" s="451"/>
    </row>
    <row r="11" ht="29.25" customHeight="1">
      <c r="Q11" s="452" t="s">
        <v>1881</v>
      </c>
      <c r="R11" s="452" t="s">
        <v>1882</v>
      </c>
      <c r="S11" s="452" t="s">
        <v>1883</v>
      </c>
      <c r="T11" s="453"/>
      <c r="U11" s="453"/>
      <c r="V11" s="453"/>
      <c r="W11" s="453"/>
      <c r="X11" s="454"/>
      <c r="Y11" s="454"/>
      <c r="Z11" s="454"/>
      <c r="AA11" s="454"/>
      <c r="AB11" s="454"/>
      <c r="AC11" s="454"/>
      <c r="AD11" s="454"/>
      <c r="AE11" s="454"/>
      <c r="AF11" s="454"/>
      <c r="AG11" s="454"/>
      <c r="AH11" s="454"/>
      <c r="AI11" s="454"/>
      <c r="AJ11" s="454"/>
      <c r="AK11" s="454"/>
      <c r="AL11" s="454"/>
      <c r="AM11" s="454"/>
      <c r="AN11" s="454"/>
    </row>
    <row r="12" ht="29.25" customHeight="1">
      <c r="A12" s="434" t="s">
        <v>1835</v>
      </c>
      <c r="B12" s="455" t="s">
        <v>1884</v>
      </c>
      <c r="C12" s="448" t="s">
        <v>1885</v>
      </c>
      <c r="D12" s="445" t="s">
        <v>75</v>
      </c>
      <c r="E12" s="437"/>
      <c r="F12" s="456"/>
      <c r="G12" s="438">
        <v>45751.0</v>
      </c>
      <c r="H12" s="439">
        <v>45755.0</v>
      </c>
      <c r="I12" s="457"/>
      <c r="J12" s="458">
        <v>45758.0</v>
      </c>
      <c r="K12" s="440">
        <f>IF(ISBLANK(J12), NETWORKDAYS(H12, TODAY(),Hoja2!$A$1:$A$18), NETWORKDAYS(H12, J12, Hoja2!$A$1:$A$18))</f>
        <v>4</v>
      </c>
      <c r="L12" s="459"/>
      <c r="M12" s="460"/>
      <c r="N12" s="461"/>
      <c r="O12" s="462"/>
      <c r="P12" s="463" t="s">
        <v>1886</v>
      </c>
      <c r="Q12" s="443"/>
      <c r="R12" s="464"/>
      <c r="S12" s="464"/>
      <c r="T12" s="464"/>
      <c r="U12" s="464"/>
      <c r="V12" s="464"/>
      <c r="W12" s="464"/>
      <c r="X12" s="451"/>
      <c r="Y12" s="451"/>
      <c r="Z12" s="451"/>
      <c r="AA12" s="451"/>
      <c r="AB12" s="451"/>
      <c r="AC12" s="451"/>
      <c r="AD12" s="451"/>
      <c r="AE12" s="451"/>
      <c r="AF12" s="451"/>
      <c r="AG12" s="451"/>
      <c r="AH12" s="451"/>
      <c r="AI12" s="451"/>
      <c r="AJ12" s="451"/>
      <c r="AK12" s="451"/>
      <c r="AL12" s="451"/>
      <c r="AM12" s="451"/>
      <c r="AN12" s="451"/>
    </row>
    <row r="13" ht="29.25" customHeight="1">
      <c r="A13" s="434" t="s">
        <v>1835</v>
      </c>
      <c r="B13" s="435"/>
      <c r="C13" s="436" t="s">
        <v>1887</v>
      </c>
      <c r="D13" s="118" t="s">
        <v>75</v>
      </c>
      <c r="E13" s="437"/>
      <c r="F13" s="465"/>
      <c r="G13" s="438">
        <v>45757.0</v>
      </c>
      <c r="H13" s="466"/>
      <c r="I13" s="467"/>
      <c r="J13" s="467"/>
      <c r="K13" s="440">
        <f>IF(ISBLANK(J13), NETWORKDAYS(H13, TODAY(),Hoja2!$A$1:$A$18), NETWORKDAYS(H13, J13, Hoja2!$A$1:$A$18))</f>
        <v>32848</v>
      </c>
      <c r="L13" s="468"/>
      <c r="M13" s="469"/>
      <c r="N13" s="470"/>
      <c r="O13" s="471"/>
      <c r="P13" s="461" t="s">
        <v>1888</v>
      </c>
      <c r="Q13" s="472"/>
      <c r="R13" s="472"/>
      <c r="S13" s="472"/>
      <c r="T13" s="472"/>
      <c r="U13" s="472"/>
      <c r="V13" s="472"/>
      <c r="W13" s="472"/>
      <c r="X13" s="451"/>
      <c r="Y13" s="451"/>
      <c r="Z13" s="451"/>
      <c r="AA13" s="451"/>
      <c r="AB13" s="451"/>
      <c r="AC13" s="451"/>
      <c r="AD13" s="451"/>
      <c r="AE13" s="451"/>
      <c r="AF13" s="451"/>
      <c r="AG13" s="451"/>
      <c r="AH13" s="451"/>
      <c r="AI13" s="451"/>
      <c r="AJ13" s="451"/>
      <c r="AK13" s="451"/>
      <c r="AL13" s="451"/>
      <c r="AM13" s="451"/>
      <c r="AN13" s="451"/>
    </row>
    <row r="14" ht="29.25" customHeight="1">
      <c r="A14" s="434" t="s">
        <v>1835</v>
      </c>
      <c r="B14" s="473" t="s">
        <v>1889</v>
      </c>
      <c r="C14" s="474" t="s">
        <v>1890</v>
      </c>
      <c r="D14" s="118" t="s">
        <v>75</v>
      </c>
      <c r="E14" s="437"/>
      <c r="F14" s="456"/>
      <c r="G14" s="438">
        <v>45748.0</v>
      </c>
      <c r="H14" s="439">
        <v>45749.0</v>
      </c>
      <c r="I14" s="457"/>
      <c r="J14" s="457">
        <v>45755.0</v>
      </c>
      <c r="K14" s="440">
        <f>IF(ISBLANK(J14), NETWORKDAYS(H14, TODAY(),Hoja2!$A$1:$A$18), NETWORKDAYS(H14, J14, Hoja2!$A$1:$A$18))</f>
        <v>5</v>
      </c>
      <c r="L14" s="475"/>
      <c r="M14" s="460">
        <v>45755.0</v>
      </c>
      <c r="N14" s="461"/>
      <c r="O14" s="462"/>
      <c r="P14" s="476" t="s">
        <v>1891</v>
      </c>
      <c r="Q14" s="477"/>
      <c r="R14" s="478"/>
      <c r="S14" s="478"/>
      <c r="T14" s="478"/>
      <c r="U14" s="478"/>
      <c r="V14" s="478"/>
      <c r="W14" s="478"/>
      <c r="X14" s="454"/>
      <c r="Y14" s="454"/>
      <c r="Z14" s="454"/>
      <c r="AA14" s="454"/>
      <c r="AB14" s="454"/>
      <c r="AC14" s="454"/>
      <c r="AD14" s="454"/>
      <c r="AE14" s="454"/>
      <c r="AF14" s="454"/>
      <c r="AG14" s="454"/>
      <c r="AH14" s="454"/>
      <c r="AI14" s="454"/>
      <c r="AJ14" s="454"/>
      <c r="AK14" s="454"/>
      <c r="AL14" s="454"/>
      <c r="AM14" s="454"/>
      <c r="AN14" s="454"/>
    </row>
    <row r="15" ht="29.25" customHeight="1">
      <c r="A15" s="434" t="s">
        <v>1810</v>
      </c>
      <c r="B15" s="449" t="s">
        <v>1892</v>
      </c>
      <c r="C15" s="474" t="s">
        <v>1893</v>
      </c>
      <c r="D15" s="445" t="s">
        <v>75</v>
      </c>
      <c r="E15" s="437"/>
      <c r="F15" s="437"/>
      <c r="G15" s="438">
        <v>45754.0</v>
      </c>
      <c r="H15" s="439">
        <v>45757.0</v>
      </c>
      <c r="I15" s="439"/>
      <c r="J15" s="439">
        <v>45761.0</v>
      </c>
      <c r="K15" s="440">
        <f>IF(ISBLANK(J15), NETWORKDAYS(H15, TODAY(),Hoja2!$A$1:$A$18), NETWORKDAYS(H15, J15, Hoja2!$A$1:$A$18))</f>
        <v>3</v>
      </c>
      <c r="L15" s="437"/>
      <c r="M15" s="438"/>
      <c r="N15" s="437"/>
      <c r="O15" s="441">
        <v>45761.0</v>
      </c>
      <c r="P15" s="442" t="s">
        <v>1894</v>
      </c>
      <c r="Q15" s="443"/>
      <c r="R15" s="443"/>
      <c r="S15" s="443"/>
      <c r="T15" s="443"/>
      <c r="U15" s="443"/>
      <c r="V15" s="443"/>
      <c r="W15" s="443"/>
      <c r="X15" s="444"/>
      <c r="Y15" s="444"/>
      <c r="Z15" s="444"/>
      <c r="AA15" s="444"/>
      <c r="AB15" s="444"/>
      <c r="AC15" s="444"/>
      <c r="AD15" s="444"/>
      <c r="AE15" s="444"/>
      <c r="AF15" s="444"/>
      <c r="AG15" s="444"/>
      <c r="AH15" s="444"/>
      <c r="AI15" s="444"/>
      <c r="AJ15" s="444"/>
      <c r="AK15" s="444"/>
      <c r="AL15" s="444"/>
      <c r="AM15" s="444"/>
      <c r="AN15" s="444"/>
    </row>
    <row r="16" ht="29.25" customHeight="1">
      <c r="A16" s="434" t="s">
        <v>1810</v>
      </c>
      <c r="B16" s="449" t="s">
        <v>1895</v>
      </c>
      <c r="C16" s="474" t="s">
        <v>1896</v>
      </c>
      <c r="D16" s="445" t="s">
        <v>75</v>
      </c>
      <c r="E16" s="437"/>
      <c r="F16" s="437"/>
      <c r="G16" s="438">
        <v>45754.0</v>
      </c>
      <c r="H16" s="439">
        <v>45757.0</v>
      </c>
      <c r="I16" s="439"/>
      <c r="J16" s="439">
        <v>45761.0</v>
      </c>
      <c r="K16" s="440">
        <f>IF(ISBLANK(J16), NETWORKDAYS(H16, TODAY(),Hoja2!$A$1:$A$18), NETWORKDAYS(H16, J16, Hoja2!$A$1:$A$18))</f>
        <v>3</v>
      </c>
      <c r="L16" s="437"/>
      <c r="M16" s="438"/>
      <c r="N16" s="437"/>
      <c r="O16" s="441">
        <v>45761.0</v>
      </c>
      <c r="P16" s="442" t="s">
        <v>1897</v>
      </c>
      <c r="Q16" s="443"/>
      <c r="R16" s="443"/>
      <c r="S16" s="443"/>
      <c r="T16" s="443"/>
      <c r="U16" s="443"/>
      <c r="V16" s="443"/>
      <c r="W16" s="443"/>
      <c r="X16" s="444"/>
      <c r="Y16" s="444"/>
      <c r="Z16" s="444"/>
      <c r="AA16" s="444"/>
      <c r="AB16" s="444"/>
      <c r="AC16" s="444"/>
      <c r="AD16" s="444"/>
      <c r="AE16" s="444"/>
      <c r="AF16" s="444"/>
      <c r="AG16" s="444"/>
      <c r="AH16" s="444"/>
      <c r="AI16" s="444"/>
      <c r="AJ16" s="444"/>
      <c r="AK16" s="444"/>
      <c r="AL16" s="444"/>
      <c r="AM16" s="444"/>
      <c r="AN16" s="444"/>
    </row>
    <row r="17" ht="29.25" customHeight="1">
      <c r="A17" s="434" t="s">
        <v>1810</v>
      </c>
      <c r="B17" s="449" t="s">
        <v>1898</v>
      </c>
      <c r="C17" s="474" t="s">
        <v>1899</v>
      </c>
      <c r="D17" s="445" t="s">
        <v>75</v>
      </c>
      <c r="E17" s="437"/>
      <c r="F17" s="437"/>
      <c r="G17" s="438">
        <v>45754.0</v>
      </c>
      <c r="H17" s="439">
        <v>45761.0</v>
      </c>
      <c r="I17" s="439"/>
      <c r="J17" s="439">
        <v>45761.0</v>
      </c>
      <c r="K17" s="440">
        <f>IF(ISBLANK(J17), NETWORKDAYS(H17, TODAY(),Hoja2!$A$1:$A$18), NETWORKDAYS(H17, J17, Hoja2!$A$1:$A$18))</f>
        <v>1</v>
      </c>
      <c r="L17" s="437"/>
      <c r="M17" s="438"/>
      <c r="N17" s="437"/>
      <c r="O17" s="441">
        <v>45761.0</v>
      </c>
      <c r="P17" s="442" t="s">
        <v>1900</v>
      </c>
      <c r="Q17" s="443"/>
      <c r="R17" s="443"/>
      <c r="S17" s="443"/>
      <c r="T17" s="443"/>
      <c r="U17" s="443"/>
      <c r="V17" s="443"/>
      <c r="W17" s="443"/>
      <c r="X17" s="444"/>
      <c r="Y17" s="444"/>
      <c r="Z17" s="444"/>
      <c r="AA17" s="444"/>
      <c r="AB17" s="444"/>
      <c r="AC17" s="444"/>
      <c r="AD17" s="444"/>
      <c r="AE17" s="444"/>
      <c r="AF17" s="444"/>
      <c r="AG17" s="444"/>
      <c r="AH17" s="444"/>
      <c r="AI17" s="444"/>
      <c r="AJ17" s="444"/>
      <c r="AK17" s="444"/>
      <c r="AL17" s="444"/>
      <c r="AM17" s="444"/>
      <c r="AN17" s="444"/>
    </row>
    <row r="18" ht="29.25" customHeight="1">
      <c r="A18" s="434" t="s">
        <v>1810</v>
      </c>
      <c r="B18" s="449" t="s">
        <v>1901</v>
      </c>
      <c r="C18" s="474" t="s">
        <v>1902</v>
      </c>
      <c r="D18" s="445" t="s">
        <v>75</v>
      </c>
      <c r="E18" s="437"/>
      <c r="F18" s="437"/>
      <c r="G18" s="438">
        <v>45754.0</v>
      </c>
      <c r="H18" s="439">
        <v>45757.0</v>
      </c>
      <c r="I18" s="439"/>
      <c r="J18" s="439">
        <v>45761.0</v>
      </c>
      <c r="K18" s="440">
        <f>IF(ISBLANK(J18), NETWORKDAYS(H18, TODAY(),Hoja2!$A$1:$A$18), NETWORKDAYS(H18, J18, Hoja2!$A$1:$A$18))</f>
        <v>3</v>
      </c>
      <c r="L18" s="437"/>
      <c r="M18" s="438"/>
      <c r="N18" s="437"/>
      <c r="O18" s="441">
        <v>45761.0</v>
      </c>
      <c r="P18" s="442" t="s">
        <v>1903</v>
      </c>
      <c r="Q18" s="443"/>
      <c r="R18" s="443"/>
      <c r="S18" s="443"/>
      <c r="T18" s="443"/>
      <c r="U18" s="443"/>
      <c r="V18" s="443"/>
      <c r="W18" s="443"/>
      <c r="X18" s="444"/>
      <c r="Y18" s="444"/>
      <c r="Z18" s="444"/>
      <c r="AA18" s="444"/>
      <c r="AB18" s="444"/>
      <c r="AC18" s="444"/>
      <c r="AD18" s="444"/>
      <c r="AE18" s="444"/>
      <c r="AF18" s="444"/>
      <c r="AG18" s="444"/>
      <c r="AH18" s="444"/>
      <c r="AI18" s="444"/>
      <c r="AJ18" s="444"/>
      <c r="AK18" s="444"/>
      <c r="AL18" s="444"/>
      <c r="AM18" s="444"/>
      <c r="AN18" s="444"/>
    </row>
    <row r="19" ht="29.25" customHeight="1">
      <c r="A19" s="479" t="s">
        <v>1810</v>
      </c>
      <c r="B19" s="449" t="s">
        <v>1904</v>
      </c>
      <c r="C19" s="474" t="s">
        <v>1905</v>
      </c>
      <c r="D19" s="445" t="s">
        <v>75</v>
      </c>
      <c r="E19" s="480"/>
      <c r="F19" s="480"/>
      <c r="G19" s="481">
        <v>45793.0</v>
      </c>
      <c r="H19" s="482">
        <v>45793.0</v>
      </c>
      <c r="I19" s="482">
        <v>45793.0</v>
      </c>
      <c r="J19" s="482">
        <v>45793.0</v>
      </c>
      <c r="K19" s="449">
        <v>1.0</v>
      </c>
      <c r="L19" s="437"/>
      <c r="M19" s="438"/>
      <c r="N19" s="437"/>
      <c r="O19" s="441"/>
      <c r="P19" s="446"/>
      <c r="Q19" s="447"/>
      <c r="R19" s="447"/>
      <c r="S19" s="447"/>
      <c r="T19" s="447"/>
      <c r="U19" s="447"/>
      <c r="V19" s="447"/>
      <c r="W19" s="447"/>
      <c r="X19" s="444"/>
      <c r="Y19" s="444"/>
      <c r="Z19" s="444"/>
      <c r="AA19" s="444"/>
      <c r="AB19" s="444"/>
      <c r="AC19" s="444"/>
      <c r="AD19" s="444"/>
      <c r="AE19" s="444"/>
      <c r="AF19" s="444"/>
      <c r="AG19" s="444"/>
      <c r="AH19" s="444"/>
      <c r="AI19" s="444"/>
      <c r="AJ19" s="444"/>
      <c r="AK19" s="444"/>
      <c r="AL19" s="444"/>
      <c r="AM19" s="444"/>
      <c r="AN19" s="444"/>
    </row>
    <row r="20" ht="29.25" customHeight="1">
      <c r="A20" s="479" t="s">
        <v>1906</v>
      </c>
      <c r="B20" s="483" t="s">
        <v>1907</v>
      </c>
      <c r="C20" s="474" t="s">
        <v>1908</v>
      </c>
      <c r="D20" s="484" t="s">
        <v>75</v>
      </c>
      <c r="E20" s="485"/>
      <c r="F20" s="485"/>
      <c r="G20" s="481">
        <v>45763.0</v>
      </c>
      <c r="H20" s="482">
        <v>45763.0</v>
      </c>
      <c r="I20" s="482">
        <v>45763.0</v>
      </c>
      <c r="J20" s="482">
        <v>45763.0</v>
      </c>
      <c r="K20" s="449">
        <v>1.0</v>
      </c>
      <c r="L20" s="437"/>
      <c r="M20" s="481">
        <v>45763.0</v>
      </c>
      <c r="N20" s="485"/>
      <c r="O20" s="486">
        <v>45763.0</v>
      </c>
      <c r="P20" s="447"/>
      <c r="Q20" s="447"/>
      <c r="R20" s="447"/>
      <c r="S20" s="447"/>
      <c r="T20" s="447"/>
      <c r="U20" s="447"/>
      <c r="V20" s="447"/>
      <c r="W20" s="447"/>
      <c r="X20" s="444"/>
      <c r="Y20" s="444"/>
      <c r="Z20" s="444"/>
      <c r="AA20" s="444"/>
      <c r="AB20" s="444"/>
      <c r="AC20" s="444"/>
      <c r="AD20" s="444"/>
      <c r="AE20" s="444"/>
      <c r="AF20" s="444"/>
      <c r="AG20" s="444"/>
      <c r="AH20" s="444"/>
      <c r="AI20" s="444"/>
      <c r="AJ20" s="444"/>
      <c r="AK20" s="444"/>
      <c r="AL20" s="444"/>
      <c r="AM20" s="444"/>
      <c r="AN20" s="444"/>
    </row>
    <row r="21" ht="29.25" customHeight="1">
      <c r="A21" s="479" t="s">
        <v>1906</v>
      </c>
      <c r="B21" s="483" t="s">
        <v>1909</v>
      </c>
      <c r="C21" s="474" t="s">
        <v>1908</v>
      </c>
      <c r="D21" s="484" t="s">
        <v>75</v>
      </c>
      <c r="E21" s="485"/>
      <c r="F21" s="485"/>
      <c r="G21" s="481">
        <v>45763.0</v>
      </c>
      <c r="H21" s="482">
        <v>45763.0</v>
      </c>
      <c r="I21" s="482">
        <v>45763.0</v>
      </c>
      <c r="J21" s="482">
        <v>45763.0</v>
      </c>
      <c r="K21" s="449">
        <v>1.0</v>
      </c>
      <c r="L21" s="437"/>
      <c r="M21" s="481">
        <v>45763.0</v>
      </c>
      <c r="N21" s="485"/>
      <c r="O21" s="486">
        <v>45763.0</v>
      </c>
      <c r="P21" s="447"/>
      <c r="Q21" s="447"/>
      <c r="R21" s="447"/>
      <c r="S21" s="447"/>
      <c r="T21" s="447"/>
      <c r="U21" s="447"/>
      <c r="V21" s="447"/>
      <c r="W21" s="447"/>
      <c r="X21" s="444"/>
      <c r="Y21" s="444"/>
      <c r="Z21" s="444"/>
      <c r="AA21" s="444"/>
      <c r="AB21" s="444"/>
      <c r="AC21" s="444"/>
      <c r="AD21" s="444"/>
      <c r="AE21" s="444"/>
      <c r="AF21" s="444"/>
      <c r="AG21" s="444"/>
      <c r="AH21" s="444"/>
      <c r="AI21" s="444"/>
      <c r="AJ21" s="444"/>
      <c r="AK21" s="444"/>
      <c r="AL21" s="444"/>
      <c r="AM21" s="444"/>
      <c r="AN21" s="444"/>
    </row>
    <row r="22" ht="29.25" customHeight="1">
      <c r="A22" s="479" t="s">
        <v>1906</v>
      </c>
      <c r="B22" s="483" t="s">
        <v>1910</v>
      </c>
      <c r="C22" s="474" t="s">
        <v>1908</v>
      </c>
      <c r="D22" s="484" t="s">
        <v>75</v>
      </c>
      <c r="E22" s="485"/>
      <c r="F22" s="485"/>
      <c r="G22" s="481">
        <v>45763.0</v>
      </c>
      <c r="H22" s="482">
        <v>45763.0</v>
      </c>
      <c r="I22" s="482">
        <v>45763.0</v>
      </c>
      <c r="J22" s="482">
        <v>45763.0</v>
      </c>
      <c r="K22" s="449">
        <v>1.0</v>
      </c>
      <c r="L22" s="437"/>
      <c r="M22" s="481">
        <v>45763.0</v>
      </c>
      <c r="N22" s="485"/>
      <c r="O22" s="486">
        <v>45763.0</v>
      </c>
      <c r="P22" s="447"/>
      <c r="Q22" s="447"/>
      <c r="R22" s="447"/>
      <c r="S22" s="447"/>
      <c r="T22" s="447"/>
      <c r="U22" s="447"/>
      <c r="V22" s="447"/>
      <c r="W22" s="447"/>
      <c r="X22" s="444"/>
      <c r="Y22" s="444"/>
      <c r="Z22" s="444"/>
      <c r="AA22" s="444"/>
      <c r="AB22" s="444"/>
      <c r="AC22" s="444"/>
      <c r="AD22" s="444"/>
      <c r="AE22" s="444"/>
      <c r="AF22" s="444"/>
      <c r="AG22" s="444"/>
      <c r="AH22" s="444"/>
      <c r="AI22" s="444"/>
      <c r="AJ22" s="444"/>
      <c r="AK22" s="444"/>
      <c r="AL22" s="444"/>
      <c r="AM22" s="444"/>
      <c r="AN22" s="444"/>
    </row>
    <row r="23" ht="29.25" customHeight="1">
      <c r="A23" s="479" t="s">
        <v>1906</v>
      </c>
      <c r="B23" s="483" t="s">
        <v>1911</v>
      </c>
      <c r="C23" s="474" t="s">
        <v>1908</v>
      </c>
      <c r="D23" s="484" t="s">
        <v>75</v>
      </c>
      <c r="E23" s="485"/>
      <c r="F23" s="485"/>
      <c r="G23" s="481">
        <v>45763.0</v>
      </c>
      <c r="H23" s="482">
        <v>45763.0</v>
      </c>
      <c r="I23" s="482">
        <v>45763.0</v>
      </c>
      <c r="J23" s="482">
        <v>45763.0</v>
      </c>
      <c r="K23" s="449">
        <v>1.0</v>
      </c>
      <c r="L23" s="437"/>
      <c r="M23" s="481">
        <v>45763.0</v>
      </c>
      <c r="N23" s="485"/>
      <c r="O23" s="486">
        <v>45763.0</v>
      </c>
      <c r="P23" s="447"/>
      <c r="Q23" s="447"/>
      <c r="R23" s="447"/>
      <c r="S23" s="447"/>
      <c r="T23" s="447"/>
      <c r="U23" s="447"/>
      <c r="V23" s="447"/>
      <c r="W23" s="447"/>
      <c r="X23" s="444"/>
      <c r="Y23" s="444"/>
      <c r="Z23" s="444"/>
      <c r="AA23" s="444"/>
      <c r="AB23" s="444"/>
      <c r="AC23" s="444"/>
      <c r="AD23" s="444"/>
      <c r="AE23" s="444"/>
      <c r="AF23" s="444"/>
      <c r="AG23" s="444"/>
      <c r="AH23" s="444"/>
      <c r="AI23" s="444"/>
      <c r="AJ23" s="444"/>
      <c r="AK23" s="444"/>
      <c r="AL23" s="444"/>
      <c r="AM23" s="444"/>
      <c r="AN23" s="444"/>
    </row>
    <row r="24" ht="29.25" customHeight="1">
      <c r="A24" s="479" t="s">
        <v>1906</v>
      </c>
      <c r="B24" s="483" t="s">
        <v>1912</v>
      </c>
      <c r="C24" s="474" t="s">
        <v>1908</v>
      </c>
      <c r="D24" s="484" t="s">
        <v>75</v>
      </c>
      <c r="E24" s="485"/>
      <c r="F24" s="485"/>
      <c r="G24" s="481">
        <v>45763.0</v>
      </c>
      <c r="H24" s="482">
        <v>45763.0</v>
      </c>
      <c r="I24" s="482">
        <v>45763.0</v>
      </c>
      <c r="J24" s="482">
        <v>45763.0</v>
      </c>
      <c r="K24" s="449">
        <v>1.0</v>
      </c>
      <c r="L24" s="437"/>
      <c r="M24" s="481">
        <v>45763.0</v>
      </c>
      <c r="N24" s="485"/>
      <c r="O24" s="486">
        <v>45763.0</v>
      </c>
      <c r="P24" s="447"/>
      <c r="Q24" s="447"/>
      <c r="R24" s="447"/>
      <c r="S24" s="447"/>
      <c r="T24" s="447"/>
      <c r="U24" s="447"/>
      <c r="V24" s="447"/>
      <c r="W24" s="447"/>
      <c r="X24" s="444"/>
      <c r="Y24" s="444"/>
      <c r="Z24" s="444"/>
      <c r="AA24" s="444"/>
      <c r="AB24" s="444"/>
      <c r="AC24" s="444"/>
      <c r="AD24" s="444"/>
      <c r="AE24" s="444"/>
      <c r="AF24" s="444"/>
      <c r="AG24" s="444"/>
      <c r="AH24" s="444"/>
      <c r="AI24" s="444"/>
      <c r="AJ24" s="444"/>
      <c r="AK24" s="444"/>
      <c r="AL24" s="444"/>
      <c r="AM24" s="444"/>
      <c r="AN24" s="444"/>
    </row>
    <row r="25" ht="29.25" customHeight="1">
      <c r="A25" s="479" t="s">
        <v>1906</v>
      </c>
      <c r="B25" s="483" t="s">
        <v>1913</v>
      </c>
      <c r="C25" s="474" t="s">
        <v>1908</v>
      </c>
      <c r="D25" s="484" t="s">
        <v>75</v>
      </c>
      <c r="E25" s="485"/>
      <c r="F25" s="485"/>
      <c r="G25" s="481">
        <v>45763.0</v>
      </c>
      <c r="H25" s="482">
        <v>45763.0</v>
      </c>
      <c r="I25" s="482">
        <v>45763.0</v>
      </c>
      <c r="J25" s="482">
        <v>45763.0</v>
      </c>
      <c r="K25" s="449">
        <v>1.0</v>
      </c>
      <c r="L25" s="437"/>
      <c r="M25" s="481">
        <v>45763.0</v>
      </c>
      <c r="N25" s="485"/>
      <c r="O25" s="486">
        <v>45763.0</v>
      </c>
      <c r="P25" s="447"/>
      <c r="Q25" s="447"/>
      <c r="R25" s="447"/>
      <c r="S25" s="447"/>
      <c r="T25" s="447"/>
      <c r="U25" s="447"/>
      <c r="V25" s="447"/>
      <c r="W25" s="447"/>
      <c r="X25" s="444"/>
      <c r="Y25" s="444"/>
      <c r="Z25" s="444"/>
      <c r="AA25" s="444"/>
      <c r="AB25" s="444"/>
      <c r="AC25" s="444"/>
      <c r="AD25" s="444"/>
      <c r="AE25" s="444"/>
      <c r="AF25" s="444"/>
      <c r="AG25" s="444"/>
      <c r="AH25" s="444"/>
      <c r="AI25" s="444"/>
      <c r="AJ25" s="444"/>
      <c r="AK25" s="444"/>
      <c r="AL25" s="444"/>
      <c r="AM25" s="444"/>
      <c r="AN25" s="444"/>
    </row>
    <row r="26" ht="29.25" customHeight="1">
      <c r="A26" s="479" t="s">
        <v>1906</v>
      </c>
      <c r="B26" s="483" t="s">
        <v>1914</v>
      </c>
      <c r="C26" s="474" t="s">
        <v>1908</v>
      </c>
      <c r="D26" s="484" t="s">
        <v>75</v>
      </c>
      <c r="E26" s="485"/>
      <c r="F26" s="485"/>
      <c r="G26" s="481">
        <v>45763.0</v>
      </c>
      <c r="H26" s="482">
        <v>45763.0</v>
      </c>
      <c r="I26" s="482">
        <v>45763.0</v>
      </c>
      <c r="J26" s="482">
        <v>45763.0</v>
      </c>
      <c r="K26" s="449">
        <v>1.0</v>
      </c>
      <c r="L26" s="437"/>
      <c r="M26" s="481">
        <v>45763.0</v>
      </c>
      <c r="N26" s="485"/>
      <c r="O26" s="486">
        <v>45763.0</v>
      </c>
      <c r="P26" s="447"/>
      <c r="Q26" s="447"/>
      <c r="R26" s="447"/>
      <c r="S26" s="447"/>
      <c r="T26" s="447"/>
      <c r="U26" s="447"/>
      <c r="V26" s="447"/>
      <c r="W26" s="447"/>
      <c r="X26" s="444"/>
      <c r="Y26" s="444"/>
      <c r="Z26" s="444"/>
      <c r="AA26" s="444"/>
      <c r="AB26" s="444"/>
      <c r="AC26" s="444"/>
      <c r="AD26" s="444"/>
      <c r="AE26" s="444"/>
      <c r="AF26" s="444"/>
      <c r="AG26" s="444"/>
      <c r="AH26" s="444"/>
      <c r="AI26" s="444"/>
      <c r="AJ26" s="444"/>
      <c r="AK26" s="444"/>
      <c r="AL26" s="444"/>
      <c r="AM26" s="444"/>
      <c r="AN26" s="444"/>
    </row>
    <row r="27" ht="29.25" customHeight="1">
      <c r="A27" s="479" t="s">
        <v>1906</v>
      </c>
      <c r="B27" s="483" t="s">
        <v>1915</v>
      </c>
      <c r="C27" s="474" t="s">
        <v>1908</v>
      </c>
      <c r="D27" s="484" t="s">
        <v>75</v>
      </c>
      <c r="E27" s="485"/>
      <c r="F27" s="485"/>
      <c r="G27" s="481">
        <v>45763.0</v>
      </c>
      <c r="H27" s="482">
        <v>45763.0</v>
      </c>
      <c r="I27" s="482">
        <v>45763.0</v>
      </c>
      <c r="J27" s="482">
        <v>45763.0</v>
      </c>
      <c r="K27" s="449">
        <v>1.0</v>
      </c>
      <c r="L27" s="437"/>
      <c r="M27" s="481">
        <v>45763.0</v>
      </c>
      <c r="N27" s="485"/>
      <c r="O27" s="486">
        <v>45763.0</v>
      </c>
      <c r="P27" s="447"/>
      <c r="Q27" s="447"/>
      <c r="R27" s="447"/>
      <c r="S27" s="447"/>
      <c r="T27" s="447"/>
      <c r="U27" s="447"/>
      <c r="V27" s="447"/>
      <c r="W27" s="447"/>
      <c r="X27" s="444"/>
      <c r="Y27" s="444"/>
      <c r="Z27" s="444"/>
      <c r="AA27" s="444"/>
      <c r="AB27" s="444"/>
      <c r="AC27" s="444"/>
      <c r="AD27" s="444"/>
      <c r="AE27" s="444"/>
      <c r="AF27" s="444"/>
      <c r="AG27" s="444"/>
      <c r="AH27" s="444"/>
      <c r="AI27" s="444"/>
      <c r="AJ27" s="444"/>
      <c r="AK27" s="444"/>
      <c r="AL27" s="444"/>
      <c r="AM27" s="444"/>
      <c r="AN27" s="444"/>
    </row>
    <row r="28" ht="29.25" customHeight="1">
      <c r="A28" s="479" t="s">
        <v>1906</v>
      </c>
      <c r="B28" s="483" t="s">
        <v>1904</v>
      </c>
      <c r="C28" s="474" t="s">
        <v>1908</v>
      </c>
      <c r="D28" s="484" t="s">
        <v>75</v>
      </c>
      <c r="E28" s="485"/>
      <c r="F28" s="485"/>
      <c r="G28" s="481">
        <v>45763.0</v>
      </c>
      <c r="H28" s="482">
        <v>45763.0</v>
      </c>
      <c r="I28" s="482">
        <v>45763.0</v>
      </c>
      <c r="J28" s="482">
        <v>45763.0</v>
      </c>
      <c r="K28" s="449">
        <v>1.0</v>
      </c>
      <c r="L28" s="437"/>
      <c r="M28" s="481">
        <v>45763.0</v>
      </c>
      <c r="N28" s="485"/>
      <c r="O28" s="486">
        <v>45763.0</v>
      </c>
      <c r="P28" s="447"/>
      <c r="Q28" s="447"/>
      <c r="R28" s="447"/>
      <c r="S28" s="447"/>
      <c r="T28" s="447"/>
      <c r="U28" s="447"/>
      <c r="V28" s="447"/>
      <c r="W28" s="447"/>
      <c r="X28" s="444"/>
      <c r="Y28" s="444"/>
      <c r="Z28" s="444"/>
      <c r="AA28" s="444"/>
      <c r="AB28" s="444"/>
      <c r="AC28" s="444"/>
      <c r="AD28" s="444"/>
      <c r="AE28" s="444"/>
      <c r="AF28" s="444"/>
      <c r="AG28" s="444"/>
      <c r="AH28" s="444"/>
      <c r="AI28" s="444"/>
      <c r="AJ28" s="444"/>
      <c r="AK28" s="444"/>
      <c r="AL28" s="444"/>
      <c r="AM28" s="444"/>
      <c r="AN28" s="444"/>
    </row>
    <row r="29" ht="29.25" customHeight="1">
      <c r="A29" s="479" t="s">
        <v>1906</v>
      </c>
      <c r="B29" s="483" t="s">
        <v>1916</v>
      </c>
      <c r="C29" s="474" t="s">
        <v>1917</v>
      </c>
      <c r="D29" s="484" t="s">
        <v>75</v>
      </c>
      <c r="E29" s="485"/>
      <c r="F29" s="485"/>
      <c r="G29" s="481">
        <v>45770.0</v>
      </c>
      <c r="H29" s="482">
        <v>45771.0</v>
      </c>
      <c r="I29" s="482">
        <v>45772.0</v>
      </c>
      <c r="J29" s="482"/>
      <c r="K29" s="449"/>
      <c r="L29" s="437"/>
      <c r="M29" s="481"/>
      <c r="N29" s="487"/>
      <c r="O29" s="488"/>
      <c r="P29" s="447"/>
      <c r="Q29" s="489" t="s">
        <v>1918</v>
      </c>
      <c r="R29" s="490"/>
      <c r="S29" s="490"/>
      <c r="T29" s="490"/>
      <c r="U29" s="490"/>
      <c r="V29" s="490"/>
      <c r="W29" s="490"/>
      <c r="X29" s="444"/>
      <c r="Y29" s="444"/>
      <c r="Z29" s="444"/>
      <c r="AA29" s="444"/>
      <c r="AB29" s="444"/>
      <c r="AC29" s="444"/>
      <c r="AD29" s="444"/>
      <c r="AE29" s="444"/>
      <c r="AF29" s="444"/>
      <c r="AG29" s="444"/>
      <c r="AH29" s="444"/>
      <c r="AI29" s="444"/>
      <c r="AJ29" s="444"/>
      <c r="AK29" s="444"/>
      <c r="AL29" s="444"/>
      <c r="AM29" s="444"/>
      <c r="AN29" s="444"/>
    </row>
    <row r="30" ht="29.25" customHeight="1">
      <c r="A30" s="479" t="s">
        <v>1906</v>
      </c>
      <c r="B30" s="491" t="s">
        <v>1919</v>
      </c>
      <c r="C30" s="474" t="s">
        <v>1920</v>
      </c>
      <c r="D30" s="484" t="s">
        <v>75</v>
      </c>
      <c r="E30" s="485"/>
      <c r="F30" s="449">
        <v>1.0</v>
      </c>
      <c r="G30" s="481">
        <v>45775.0</v>
      </c>
      <c r="H30" s="482">
        <v>45775.0</v>
      </c>
      <c r="I30" s="482">
        <v>45775.0</v>
      </c>
      <c r="J30" s="482">
        <v>45775.0</v>
      </c>
      <c r="K30" s="449"/>
      <c r="L30" s="437"/>
      <c r="M30" s="481"/>
      <c r="N30" s="487"/>
      <c r="O30" s="488"/>
      <c r="P30" s="447"/>
      <c r="Q30" s="489" t="s">
        <v>1921</v>
      </c>
      <c r="R30" s="490"/>
      <c r="S30" s="490"/>
      <c r="T30" s="490"/>
      <c r="U30" s="490"/>
      <c r="V30" s="490"/>
      <c r="W30" s="490"/>
      <c r="X30" s="444"/>
      <c r="Y30" s="444"/>
      <c r="Z30" s="444"/>
      <c r="AA30" s="444"/>
      <c r="AB30" s="444"/>
      <c r="AC30" s="444"/>
      <c r="AD30" s="444"/>
      <c r="AE30" s="444"/>
      <c r="AF30" s="444"/>
      <c r="AG30" s="444"/>
      <c r="AH30" s="444"/>
      <c r="AI30" s="444"/>
      <c r="AJ30" s="444"/>
      <c r="AK30" s="444"/>
      <c r="AL30" s="444"/>
      <c r="AM30" s="444"/>
      <c r="AN30" s="444"/>
    </row>
    <row r="31" ht="29.25" customHeight="1">
      <c r="A31" s="479" t="s">
        <v>1906</v>
      </c>
      <c r="B31" s="491" t="s">
        <v>1916</v>
      </c>
      <c r="C31" s="474" t="s">
        <v>1922</v>
      </c>
      <c r="D31" s="484" t="s">
        <v>75</v>
      </c>
      <c r="E31" s="449">
        <v>100.0</v>
      </c>
      <c r="F31" s="485"/>
      <c r="G31" s="481">
        <v>45770.0</v>
      </c>
      <c r="H31" s="482">
        <v>45770.0</v>
      </c>
      <c r="I31" s="482">
        <v>45770.0</v>
      </c>
      <c r="J31" s="482">
        <v>45770.0</v>
      </c>
      <c r="K31" s="449">
        <v>1.0</v>
      </c>
      <c r="L31" s="437"/>
      <c r="M31" s="481"/>
      <c r="N31" s="487"/>
      <c r="O31" s="488"/>
      <c r="P31" s="447"/>
      <c r="Q31" s="447"/>
      <c r="R31" s="447"/>
      <c r="S31" s="447"/>
      <c r="T31" s="447"/>
      <c r="U31" s="447"/>
      <c r="V31" s="447"/>
      <c r="W31" s="447"/>
      <c r="X31" s="444"/>
      <c r="Y31" s="444"/>
      <c r="Z31" s="444"/>
      <c r="AA31" s="444"/>
      <c r="AB31" s="444"/>
      <c r="AC31" s="444"/>
      <c r="AD31" s="444"/>
      <c r="AE31" s="444"/>
      <c r="AF31" s="444"/>
      <c r="AG31" s="444"/>
      <c r="AH31" s="444"/>
      <c r="AI31" s="444"/>
      <c r="AJ31" s="444"/>
      <c r="AK31" s="444"/>
      <c r="AL31" s="444"/>
      <c r="AM31" s="444"/>
      <c r="AN31" s="444"/>
    </row>
    <row r="32" ht="29.25" customHeight="1">
      <c r="A32" s="479" t="s">
        <v>1906</v>
      </c>
      <c r="B32" s="491" t="s">
        <v>1916</v>
      </c>
      <c r="C32" s="474" t="s">
        <v>1923</v>
      </c>
      <c r="D32" s="484" t="s">
        <v>75</v>
      </c>
      <c r="E32" s="449">
        <v>100.0</v>
      </c>
      <c r="F32" s="485"/>
      <c r="G32" s="481">
        <v>45770.0</v>
      </c>
      <c r="H32" s="482">
        <v>45770.0</v>
      </c>
      <c r="I32" s="482">
        <v>45770.0</v>
      </c>
      <c r="J32" s="482">
        <v>45770.0</v>
      </c>
      <c r="K32" s="449">
        <v>1.0</v>
      </c>
      <c r="L32" s="437"/>
      <c r="M32" s="481"/>
      <c r="N32" s="487"/>
      <c r="O32" s="488"/>
      <c r="P32" s="447"/>
      <c r="Q32" s="447"/>
      <c r="R32" s="447"/>
      <c r="S32" s="447"/>
      <c r="T32" s="447"/>
      <c r="U32" s="447"/>
      <c r="V32" s="447"/>
      <c r="W32" s="447"/>
      <c r="X32" s="444"/>
      <c r="Y32" s="444"/>
      <c r="Z32" s="444"/>
      <c r="AA32" s="444"/>
      <c r="AB32" s="444"/>
      <c r="AC32" s="444"/>
      <c r="AD32" s="444"/>
      <c r="AE32" s="444"/>
      <c r="AF32" s="444"/>
      <c r="AG32" s="444"/>
      <c r="AH32" s="444"/>
      <c r="AI32" s="444"/>
      <c r="AJ32" s="444"/>
      <c r="AK32" s="444"/>
      <c r="AL32" s="444"/>
      <c r="AM32" s="444"/>
      <c r="AN32" s="444"/>
    </row>
    <row r="33" ht="29.25" customHeight="1">
      <c r="A33" s="492" t="s">
        <v>1924</v>
      </c>
      <c r="B33" s="491" t="s">
        <v>1925</v>
      </c>
      <c r="C33" s="474" t="s">
        <v>1926</v>
      </c>
      <c r="D33" s="484" t="s">
        <v>75</v>
      </c>
      <c r="E33" s="449">
        <v>90.0</v>
      </c>
      <c r="F33" s="449">
        <v>2.0</v>
      </c>
      <c r="G33" s="481">
        <v>45773.0</v>
      </c>
      <c r="H33" s="482">
        <v>45776.0</v>
      </c>
      <c r="I33" s="482">
        <v>45783.0</v>
      </c>
      <c r="J33" s="482">
        <v>45785.0</v>
      </c>
      <c r="K33" s="449"/>
      <c r="L33" s="437"/>
      <c r="M33" s="481"/>
      <c r="N33" s="487"/>
      <c r="O33" s="488"/>
      <c r="P33" s="447"/>
      <c r="Q33" s="447"/>
      <c r="R33" s="447"/>
      <c r="S33" s="447"/>
      <c r="T33" s="447"/>
      <c r="U33" s="447"/>
      <c r="V33" s="489" t="s">
        <v>1927</v>
      </c>
      <c r="W33" s="490"/>
      <c r="X33" s="444"/>
      <c r="Y33" s="444"/>
      <c r="Z33" s="444"/>
      <c r="AA33" s="444"/>
      <c r="AB33" s="444"/>
      <c r="AC33" s="444"/>
      <c r="AD33" s="444"/>
      <c r="AE33" s="444"/>
      <c r="AF33" s="444"/>
      <c r="AG33" s="444"/>
      <c r="AH33" s="444"/>
      <c r="AI33" s="444"/>
      <c r="AJ33" s="444"/>
      <c r="AK33" s="444"/>
      <c r="AL33" s="444"/>
      <c r="AM33" s="444"/>
      <c r="AN33" s="444"/>
    </row>
    <row r="34" ht="29.25" customHeight="1">
      <c r="A34" s="434" t="s">
        <v>1810</v>
      </c>
      <c r="B34" s="491" t="s">
        <v>1925</v>
      </c>
      <c r="C34" s="474" t="s">
        <v>1928</v>
      </c>
      <c r="D34" s="484" t="s">
        <v>75</v>
      </c>
      <c r="E34" s="485"/>
      <c r="F34" s="485"/>
      <c r="G34" s="481">
        <v>45779.0</v>
      </c>
      <c r="H34" s="482">
        <v>45779.0</v>
      </c>
      <c r="I34" s="482">
        <v>45782.0</v>
      </c>
      <c r="J34" s="482">
        <v>45782.0</v>
      </c>
      <c r="K34" s="449"/>
      <c r="L34" s="437"/>
      <c r="M34" s="481"/>
      <c r="N34" s="487"/>
      <c r="O34" s="488"/>
      <c r="P34" s="447"/>
      <c r="Q34" s="447"/>
      <c r="R34" s="447"/>
      <c r="S34" s="489" t="s">
        <v>1929</v>
      </c>
      <c r="T34" s="489" t="s">
        <v>1930</v>
      </c>
      <c r="U34" s="490"/>
      <c r="V34" s="490"/>
      <c r="W34" s="490"/>
      <c r="X34" s="444"/>
      <c r="Y34" s="444"/>
      <c r="Z34" s="444"/>
      <c r="AA34" s="444"/>
      <c r="AB34" s="444"/>
      <c r="AC34" s="444"/>
      <c r="AD34" s="444"/>
      <c r="AE34" s="444"/>
      <c r="AF34" s="444"/>
      <c r="AG34" s="444"/>
      <c r="AH34" s="444"/>
      <c r="AI34" s="444"/>
      <c r="AJ34" s="444"/>
      <c r="AK34" s="444"/>
      <c r="AL34" s="444"/>
      <c r="AM34" s="444"/>
      <c r="AN34" s="444"/>
    </row>
    <row r="35" ht="29.25" customHeight="1">
      <c r="A35" s="493" t="s">
        <v>1931</v>
      </c>
      <c r="B35" s="494"/>
      <c r="C35" s="436" t="s">
        <v>1932</v>
      </c>
      <c r="D35" s="118" t="s">
        <v>75</v>
      </c>
      <c r="E35" s="437"/>
      <c r="F35" s="437"/>
      <c r="G35" s="438">
        <v>45714.0</v>
      </c>
      <c r="H35" s="482">
        <v>45784.0</v>
      </c>
      <c r="I35" s="439"/>
      <c r="J35" s="482">
        <v>45785.0</v>
      </c>
      <c r="K35" s="495"/>
      <c r="L35" s="437"/>
      <c r="M35" s="438"/>
      <c r="N35" s="437"/>
      <c r="O35" s="441"/>
      <c r="P35" s="442" t="s">
        <v>1933</v>
      </c>
      <c r="Q35" s="443"/>
      <c r="R35" s="443"/>
      <c r="S35" s="443"/>
      <c r="T35" s="443"/>
      <c r="U35" s="443"/>
      <c r="V35" s="443"/>
      <c r="W35" s="443"/>
      <c r="X35" s="444"/>
      <c r="Y35" s="444"/>
      <c r="Z35" s="444"/>
      <c r="AA35" s="444"/>
      <c r="AB35" s="444"/>
      <c r="AC35" s="444"/>
      <c r="AD35" s="444"/>
      <c r="AE35" s="444"/>
      <c r="AF35" s="444"/>
      <c r="AG35" s="444"/>
      <c r="AH35" s="444"/>
      <c r="AI35" s="444"/>
      <c r="AJ35" s="444"/>
      <c r="AK35" s="444"/>
      <c r="AL35" s="444"/>
      <c r="AM35" s="444"/>
      <c r="AN35" s="444"/>
    </row>
    <row r="36" ht="29.25" customHeight="1">
      <c r="A36" s="492" t="s">
        <v>1825</v>
      </c>
      <c r="B36" s="491" t="s">
        <v>1925</v>
      </c>
      <c r="C36" s="474" t="s">
        <v>1934</v>
      </c>
      <c r="D36" s="484" t="s">
        <v>75</v>
      </c>
      <c r="E36" s="449">
        <v>80.0</v>
      </c>
      <c r="F36" s="449">
        <v>15.0</v>
      </c>
      <c r="G36" s="481">
        <v>45778.0</v>
      </c>
      <c r="H36" s="482">
        <v>45778.0</v>
      </c>
      <c r="I36" s="482"/>
      <c r="J36" s="482">
        <v>45793.0</v>
      </c>
      <c r="K36" s="440">
        <f>IF(ISBLANK(J36), NETWORKDAYS(H36, TODAY(),Hoja2!$A$1:$A$18), NETWORKDAYS(H36, J36, Hoja2!$A$1:$A$18))</f>
        <v>12</v>
      </c>
      <c r="L36" s="437"/>
      <c r="M36" s="481"/>
      <c r="N36" s="496"/>
      <c r="O36" s="488"/>
      <c r="P36" s="447"/>
      <c r="Q36" s="447"/>
      <c r="R36" s="447"/>
      <c r="S36" s="447"/>
      <c r="T36" s="447"/>
      <c r="U36" s="447"/>
      <c r="V36" s="489" t="s">
        <v>1935</v>
      </c>
      <c r="W36" s="489" t="s">
        <v>1936</v>
      </c>
      <c r="X36" s="452" t="s">
        <v>1937</v>
      </c>
      <c r="Y36" s="453"/>
      <c r="Z36" s="452" t="s">
        <v>1938</v>
      </c>
      <c r="AA36" s="453"/>
      <c r="AB36" s="453"/>
      <c r="AC36" s="452" t="s">
        <v>1939</v>
      </c>
      <c r="AD36" s="453"/>
      <c r="AE36" s="453"/>
      <c r="AF36" s="453"/>
      <c r="AG36" s="453"/>
      <c r="AH36" s="453"/>
      <c r="AI36" s="453"/>
      <c r="AJ36" s="453"/>
      <c r="AK36" s="453"/>
      <c r="AL36" s="453"/>
      <c r="AM36" s="453"/>
      <c r="AN36" s="453"/>
    </row>
    <row r="37" ht="29.25" customHeight="1">
      <c r="A37" s="492" t="s">
        <v>1825</v>
      </c>
      <c r="B37" s="491" t="s">
        <v>1925</v>
      </c>
      <c r="C37" s="474" t="s">
        <v>1940</v>
      </c>
      <c r="D37" s="484" t="s">
        <v>75</v>
      </c>
      <c r="E37" s="485"/>
      <c r="F37" s="449">
        <v>1.0</v>
      </c>
      <c r="G37" s="481">
        <v>45785.0</v>
      </c>
      <c r="H37" s="482">
        <v>45785.0</v>
      </c>
      <c r="I37" s="482">
        <v>45786.0</v>
      </c>
      <c r="J37" s="482">
        <v>45786.0</v>
      </c>
      <c r="K37" s="440">
        <f>IF(ISBLANK(J37), NETWORKDAYS(H37, TODAY(),Hoja2!$A$1:$A$18), NETWORKDAYS(H37, J37, Hoja2!$A$1:$A$18))</f>
        <v>2</v>
      </c>
      <c r="L37" s="437"/>
      <c r="M37" s="481"/>
      <c r="N37" s="496"/>
      <c r="O37" s="486">
        <v>45786.0</v>
      </c>
      <c r="P37" s="447"/>
      <c r="Q37" s="447"/>
      <c r="R37" s="447"/>
      <c r="S37" s="447"/>
      <c r="T37" s="447"/>
      <c r="U37" s="447"/>
      <c r="V37" s="489" t="s">
        <v>1941</v>
      </c>
      <c r="W37" s="489" t="s">
        <v>1942</v>
      </c>
      <c r="X37" s="490"/>
      <c r="Y37" s="490"/>
      <c r="Z37" s="490"/>
      <c r="AA37" s="490"/>
      <c r="AB37" s="490"/>
      <c r="AC37" s="490"/>
      <c r="AD37" s="490"/>
      <c r="AE37" s="490"/>
      <c r="AF37" s="490"/>
      <c r="AG37" s="490"/>
      <c r="AH37" s="490"/>
      <c r="AI37" s="490"/>
      <c r="AJ37" s="490"/>
      <c r="AK37" s="490"/>
      <c r="AL37" s="490"/>
      <c r="AM37" s="490"/>
      <c r="AN37" s="490"/>
    </row>
    <row r="38" ht="29.25" customHeight="1">
      <c r="A38" s="492" t="s">
        <v>1825</v>
      </c>
      <c r="B38" s="491" t="s">
        <v>1925</v>
      </c>
      <c r="C38" s="497" t="s">
        <v>1943</v>
      </c>
      <c r="D38" s="498" t="s">
        <v>75</v>
      </c>
      <c r="E38" s="487"/>
      <c r="F38" s="487"/>
      <c r="G38" s="481">
        <v>45791.0</v>
      </c>
      <c r="H38" s="482">
        <v>45791.0</v>
      </c>
      <c r="I38" s="482"/>
      <c r="J38" s="482">
        <v>45791.0</v>
      </c>
      <c r="K38" s="440">
        <f>IF(ISBLANK(J38), NETWORKDAYS(H38, TODAY(),Hoja2!$A$1:$A$18), NETWORKDAYS(H38, J38, Hoja2!$A$1:$A$18))</f>
        <v>1</v>
      </c>
      <c r="L38" s="499"/>
      <c r="M38" s="500"/>
      <c r="N38" s="501"/>
      <c r="O38" s="502"/>
      <c r="P38" s="447"/>
      <c r="Q38" s="447"/>
      <c r="R38" s="450"/>
      <c r="S38" s="450"/>
      <c r="T38" s="450"/>
      <c r="U38" s="450"/>
      <c r="V38" s="450"/>
      <c r="W38" s="450"/>
      <c r="X38" s="489" t="s">
        <v>1944</v>
      </c>
      <c r="Y38" s="450"/>
      <c r="Z38" s="489" t="s">
        <v>1945</v>
      </c>
      <c r="AA38" s="503"/>
      <c r="AB38" s="503"/>
      <c r="AC38" s="503"/>
      <c r="AD38" s="503"/>
      <c r="AE38" s="503"/>
      <c r="AF38" s="503"/>
      <c r="AG38" s="503"/>
      <c r="AH38" s="503"/>
      <c r="AI38" s="503"/>
      <c r="AJ38" s="503"/>
      <c r="AK38" s="503"/>
      <c r="AL38" s="503"/>
      <c r="AM38" s="503"/>
      <c r="AN38" s="503"/>
    </row>
    <row r="39" ht="29.25" customHeight="1">
      <c r="A39" s="434" t="s">
        <v>1835</v>
      </c>
      <c r="B39" s="504" t="s">
        <v>1946</v>
      </c>
      <c r="C39" s="448" t="s">
        <v>1369</v>
      </c>
      <c r="D39" s="484" t="s">
        <v>75</v>
      </c>
      <c r="E39" s="437"/>
      <c r="F39" s="449">
        <v>1.0</v>
      </c>
      <c r="G39" s="481">
        <v>45779.0</v>
      </c>
      <c r="H39" s="482">
        <v>45779.0</v>
      </c>
      <c r="I39" s="482">
        <v>45779.0</v>
      </c>
      <c r="J39" s="482">
        <v>45779.0</v>
      </c>
      <c r="K39" s="505">
        <f>IF(ISBLANK(J39), NETWORKDAYS(H39, TODAY(),Hoja2!$A$1:$A$18), NETWORKDAYS(H39, J39, Hoja2!$A$1:$A$18))</f>
        <v>1</v>
      </c>
      <c r="L39" s="437"/>
      <c r="M39" s="481">
        <v>45782.0</v>
      </c>
      <c r="N39" s="506"/>
      <c r="O39" s="486">
        <v>45789.0</v>
      </c>
      <c r="P39" s="442"/>
      <c r="Q39" s="443"/>
      <c r="R39" s="443"/>
      <c r="S39" s="452" t="s">
        <v>265</v>
      </c>
      <c r="T39" s="453"/>
      <c r="U39" s="453"/>
      <c r="V39" s="453"/>
      <c r="W39" s="452" t="s">
        <v>1947</v>
      </c>
      <c r="X39" s="452" t="s">
        <v>1948</v>
      </c>
      <c r="Y39" s="453"/>
      <c r="Z39" s="453"/>
      <c r="AA39" s="453"/>
      <c r="AB39" s="453"/>
      <c r="AC39" s="453"/>
      <c r="AD39" s="453"/>
      <c r="AE39" s="453"/>
      <c r="AF39" s="453"/>
      <c r="AG39" s="453"/>
      <c r="AH39" s="453"/>
      <c r="AI39" s="453"/>
      <c r="AJ39" s="453"/>
      <c r="AK39" s="453"/>
      <c r="AL39" s="453"/>
      <c r="AM39" s="453"/>
      <c r="AN39" s="453"/>
    </row>
    <row r="40" ht="29.25" customHeight="1">
      <c r="A40" s="507" t="s">
        <v>1906</v>
      </c>
      <c r="B40" s="491" t="s">
        <v>1949</v>
      </c>
      <c r="C40" s="474" t="s">
        <v>1950</v>
      </c>
      <c r="D40" s="484" t="s">
        <v>75</v>
      </c>
      <c r="E40" s="485"/>
      <c r="F40" s="485"/>
      <c r="G40" s="481">
        <v>45789.0</v>
      </c>
      <c r="H40" s="482">
        <v>45789.0</v>
      </c>
      <c r="I40" s="482"/>
      <c r="J40" s="482">
        <v>45790.0</v>
      </c>
      <c r="K40" s="440">
        <f>IF(ISBLANK(J40), NETWORKDAYS(H40, TODAY(),Hoja2!$A$1:$A$18), NETWORKDAYS(H40, J40, Hoja2!$A$1:$A$18))</f>
        <v>2</v>
      </c>
      <c r="L40" s="437"/>
      <c r="M40" s="481"/>
      <c r="N40" s="496"/>
      <c r="O40" s="486"/>
      <c r="P40" s="447"/>
      <c r="Q40" s="447"/>
      <c r="R40" s="447"/>
      <c r="S40" s="447"/>
      <c r="T40" s="447"/>
      <c r="U40" s="447"/>
      <c r="V40" s="447"/>
      <c r="W40" s="489" t="s">
        <v>1951</v>
      </c>
      <c r="X40" s="489" t="s">
        <v>1952</v>
      </c>
      <c r="Y40" s="490"/>
      <c r="Z40" s="490"/>
      <c r="AA40" s="490"/>
      <c r="AB40" s="490"/>
      <c r="AC40" s="490"/>
      <c r="AD40" s="490"/>
      <c r="AE40" s="490"/>
      <c r="AF40" s="490"/>
      <c r="AG40" s="490"/>
      <c r="AH40" s="490"/>
      <c r="AI40" s="490"/>
      <c r="AJ40" s="490"/>
      <c r="AK40" s="490"/>
      <c r="AL40" s="490"/>
      <c r="AM40" s="490"/>
      <c r="AN40" s="490"/>
    </row>
    <row r="41" ht="29.25" customHeight="1">
      <c r="A41" s="479" t="s">
        <v>1953</v>
      </c>
      <c r="B41" s="491" t="s">
        <v>1954</v>
      </c>
      <c r="C41" s="448" t="s">
        <v>1955</v>
      </c>
      <c r="D41" s="484" t="s">
        <v>75</v>
      </c>
      <c r="E41" s="485"/>
      <c r="F41" s="485"/>
      <c r="G41" s="481">
        <v>45789.0</v>
      </c>
      <c r="H41" s="482">
        <v>45789.0</v>
      </c>
      <c r="I41" s="482"/>
      <c r="J41" s="482">
        <v>45790.0</v>
      </c>
      <c r="K41" s="440">
        <f>IF(ISBLANK(J41), NETWORKDAYS(H41, TODAY(),Hoja2!$A$1:$A$18), NETWORKDAYS(H41, J41, Hoja2!$A$1:$A$18))</f>
        <v>2</v>
      </c>
      <c r="L41" s="437"/>
      <c r="M41" s="481"/>
      <c r="N41" s="496"/>
      <c r="O41" s="486"/>
      <c r="P41" s="447"/>
      <c r="Q41" s="447"/>
      <c r="R41" s="447"/>
      <c r="S41" s="447"/>
      <c r="T41" s="447"/>
      <c r="U41" s="447"/>
      <c r="V41" s="447"/>
      <c r="W41" s="489" t="s">
        <v>1951</v>
      </c>
      <c r="X41" s="489" t="s">
        <v>1956</v>
      </c>
      <c r="Y41" s="490"/>
      <c r="Z41" s="490"/>
      <c r="AA41" s="490"/>
      <c r="AB41" s="490"/>
      <c r="AC41" s="490"/>
      <c r="AD41" s="490"/>
      <c r="AE41" s="490"/>
      <c r="AF41" s="490"/>
      <c r="AG41" s="490"/>
      <c r="AH41" s="490"/>
      <c r="AI41" s="490"/>
      <c r="AJ41" s="490"/>
      <c r="AK41" s="490"/>
      <c r="AL41" s="490"/>
      <c r="AM41" s="490"/>
      <c r="AN41" s="490"/>
    </row>
    <row r="42" ht="29.25" customHeight="1">
      <c r="A42" s="479" t="s">
        <v>1906</v>
      </c>
      <c r="B42" s="508" t="s">
        <v>1957</v>
      </c>
      <c r="C42" s="474" t="s">
        <v>1958</v>
      </c>
      <c r="D42" s="484" t="s">
        <v>75</v>
      </c>
      <c r="E42" s="449">
        <v>90.0</v>
      </c>
      <c r="F42" s="485"/>
      <c r="G42" s="481">
        <v>45791.0</v>
      </c>
      <c r="H42" s="482">
        <v>45792.0</v>
      </c>
      <c r="I42" s="482">
        <v>45793.0</v>
      </c>
      <c r="J42" s="482">
        <v>45793.0</v>
      </c>
      <c r="K42" s="440">
        <f>IF(ISBLANK(J42), NETWORKDAYS(H42, TODAY(),Hoja2!$A$1:$A$18), NETWORKDAYS(H42, J42, Hoja2!$A$1:$A$18))</f>
        <v>2</v>
      </c>
      <c r="L42" s="437"/>
      <c r="M42" s="481">
        <v>45793.0</v>
      </c>
      <c r="N42" s="496"/>
      <c r="O42" s="488"/>
      <c r="P42" s="447"/>
      <c r="Q42" s="447"/>
      <c r="R42" s="447"/>
      <c r="S42" s="447"/>
      <c r="T42" s="447"/>
      <c r="U42" s="447"/>
      <c r="V42" s="447"/>
      <c r="W42" s="447"/>
      <c r="X42" s="447"/>
      <c r="Y42" s="447"/>
      <c r="Z42" s="489" t="s">
        <v>1959</v>
      </c>
      <c r="AA42" s="489" t="s">
        <v>1960</v>
      </c>
      <c r="AB42" s="490"/>
      <c r="AC42" s="490"/>
      <c r="AD42" s="490"/>
      <c r="AE42" s="490"/>
      <c r="AF42" s="490"/>
      <c r="AG42" s="490"/>
      <c r="AH42" s="490"/>
      <c r="AI42" s="490"/>
      <c r="AJ42" s="490"/>
      <c r="AK42" s="490"/>
      <c r="AL42" s="490"/>
      <c r="AM42" s="490"/>
      <c r="AN42" s="490"/>
    </row>
    <row r="43" ht="29.25" customHeight="1">
      <c r="A43" s="479" t="s">
        <v>1906</v>
      </c>
      <c r="B43" s="509" t="s">
        <v>1961</v>
      </c>
      <c r="C43" s="474" t="s">
        <v>1962</v>
      </c>
      <c r="D43" s="484" t="s">
        <v>75</v>
      </c>
      <c r="E43" s="449">
        <v>0.0</v>
      </c>
      <c r="F43" s="485"/>
      <c r="G43" s="481">
        <v>45796.0</v>
      </c>
      <c r="H43" s="482">
        <v>45796.0</v>
      </c>
      <c r="I43" s="482"/>
      <c r="J43" s="482">
        <v>45796.0</v>
      </c>
      <c r="K43" s="440">
        <f>IF(ISBLANK(J43), NETWORKDAYS(H43, TODAY(),Hoja2!$A$1:$A$18), NETWORKDAYS(H43, J43, Hoja2!$A$1:$A$18))</f>
        <v>1</v>
      </c>
      <c r="L43" s="437"/>
      <c r="M43" s="481"/>
      <c r="N43" s="496"/>
      <c r="O43" s="488"/>
      <c r="P43" s="447"/>
      <c r="Q43" s="447"/>
      <c r="R43" s="447"/>
      <c r="S43" s="447"/>
      <c r="T43" s="447"/>
      <c r="U43" s="447"/>
      <c r="V43" s="447"/>
      <c r="W43" s="447"/>
      <c r="X43" s="447"/>
      <c r="Y43" s="447"/>
      <c r="Z43" s="489"/>
      <c r="AA43" s="489" t="s">
        <v>1963</v>
      </c>
      <c r="AB43" s="490"/>
      <c r="AC43" s="490"/>
      <c r="AD43" s="490"/>
      <c r="AE43" s="490"/>
      <c r="AF43" s="490"/>
      <c r="AG43" s="490"/>
      <c r="AH43" s="490"/>
      <c r="AI43" s="490"/>
      <c r="AJ43" s="490"/>
      <c r="AK43" s="490"/>
      <c r="AL43" s="490"/>
      <c r="AM43" s="490"/>
      <c r="AN43" s="490"/>
    </row>
    <row r="44" ht="29.25" customHeight="1">
      <c r="A44" s="479" t="s">
        <v>1906</v>
      </c>
      <c r="B44" s="509" t="s">
        <v>1964</v>
      </c>
      <c r="C44" s="474" t="s">
        <v>1965</v>
      </c>
      <c r="D44" s="484" t="s">
        <v>75</v>
      </c>
      <c r="E44" s="449">
        <v>80.0</v>
      </c>
      <c r="F44" s="485"/>
      <c r="G44" s="481">
        <v>45796.0</v>
      </c>
      <c r="H44" s="482">
        <v>45796.0</v>
      </c>
      <c r="I44" s="482"/>
      <c r="J44" s="482">
        <v>45796.0</v>
      </c>
      <c r="K44" s="440">
        <f>IF(ISBLANK(J44), NETWORKDAYS(H44, TODAY(),Hoja2!$A$1:$A$18), NETWORKDAYS(H44, J44, Hoja2!$A$1:$A$18))</f>
        <v>1</v>
      </c>
      <c r="L44" s="437"/>
      <c r="M44" s="481"/>
      <c r="N44" s="496"/>
      <c r="O44" s="488"/>
      <c r="P44" s="447"/>
      <c r="Q44" s="447"/>
      <c r="R44" s="447"/>
      <c r="S44" s="447"/>
      <c r="T44" s="447"/>
      <c r="U44" s="447"/>
      <c r="V44" s="447"/>
      <c r="W44" s="447"/>
      <c r="X44" s="447"/>
      <c r="Y44" s="447"/>
      <c r="Z44" s="489"/>
      <c r="AA44" s="489" t="s">
        <v>1966</v>
      </c>
      <c r="AB44" s="489" t="s">
        <v>1967</v>
      </c>
      <c r="AC44" s="490"/>
      <c r="AD44" s="490"/>
      <c r="AE44" s="490"/>
      <c r="AF44" s="490"/>
      <c r="AG44" s="490"/>
      <c r="AH44" s="490"/>
      <c r="AI44" s="490"/>
      <c r="AJ44" s="490"/>
      <c r="AK44" s="490"/>
      <c r="AL44" s="490"/>
      <c r="AM44" s="490"/>
      <c r="AN44" s="490"/>
    </row>
    <row r="45" ht="29.25" customHeight="1">
      <c r="A45" s="479" t="s">
        <v>1906</v>
      </c>
      <c r="B45" s="509" t="s">
        <v>1968</v>
      </c>
      <c r="C45" s="448" t="s">
        <v>1969</v>
      </c>
      <c r="D45" s="484" t="s">
        <v>75</v>
      </c>
      <c r="E45" s="449"/>
      <c r="F45" s="485"/>
      <c r="G45" s="481">
        <v>45797.0</v>
      </c>
      <c r="H45" s="482">
        <v>45798.0</v>
      </c>
      <c r="I45" s="482"/>
      <c r="J45" s="482">
        <v>45799.0</v>
      </c>
      <c r="K45" s="440">
        <f>IF(ISBLANK(J45), NETWORKDAYS(H45, TODAY(),Hoja2!$A$1:$A$18), NETWORKDAYS(H45, J45, Hoja2!$A$1:$A$18))</f>
        <v>2</v>
      </c>
      <c r="L45" s="437"/>
      <c r="M45" s="481">
        <v>45799.0</v>
      </c>
      <c r="N45" s="496"/>
      <c r="O45" s="488"/>
      <c r="P45" s="447"/>
      <c r="Q45" s="447"/>
      <c r="R45" s="447"/>
      <c r="S45" s="447"/>
      <c r="T45" s="447"/>
      <c r="U45" s="447"/>
      <c r="V45" s="447"/>
      <c r="W45" s="447"/>
      <c r="X45" s="447"/>
      <c r="Y45" s="447"/>
      <c r="Z45" s="489"/>
      <c r="AA45" s="489"/>
      <c r="AB45" s="489" t="s">
        <v>1970</v>
      </c>
      <c r="AC45" s="489" t="s">
        <v>1971</v>
      </c>
    </row>
    <row r="46" ht="29.25" customHeight="1">
      <c r="A46" s="479" t="s">
        <v>1906</v>
      </c>
      <c r="B46" s="509" t="s">
        <v>1968</v>
      </c>
      <c r="C46" s="448" t="s">
        <v>1972</v>
      </c>
      <c r="D46" s="484" t="s">
        <v>75</v>
      </c>
      <c r="E46" s="449"/>
      <c r="F46" s="485"/>
      <c r="G46" s="481">
        <v>45797.0</v>
      </c>
      <c r="H46" s="482">
        <v>45797.0</v>
      </c>
      <c r="I46" s="482"/>
      <c r="J46" s="482">
        <v>45799.0</v>
      </c>
      <c r="K46" s="440">
        <f>IF(ISBLANK(J46), NETWORKDAYS(H46, TODAY(),Hoja2!$A$1:$A$18), NETWORKDAYS(H46, J46, Hoja2!$A$1:$A$18))</f>
        <v>3</v>
      </c>
      <c r="L46" s="437"/>
      <c r="M46" s="481"/>
      <c r="N46" s="496"/>
      <c r="O46" s="488"/>
      <c r="P46" s="447"/>
      <c r="Q46" s="447"/>
      <c r="R46" s="447"/>
      <c r="S46" s="447"/>
      <c r="T46" s="447"/>
      <c r="U46" s="447"/>
      <c r="V46" s="447"/>
      <c r="W46" s="447"/>
      <c r="X46" s="447"/>
      <c r="Y46" s="447"/>
      <c r="Z46" s="489"/>
      <c r="AA46" s="489"/>
      <c r="AB46" s="489" t="s">
        <v>1973</v>
      </c>
      <c r="AC46" s="489" t="s">
        <v>1974</v>
      </c>
      <c r="AD46" s="490"/>
      <c r="AE46" s="490"/>
      <c r="AF46" s="490"/>
      <c r="AG46" s="490"/>
      <c r="AH46" s="490"/>
      <c r="AI46" s="490"/>
      <c r="AJ46" s="490"/>
      <c r="AK46" s="490"/>
      <c r="AL46" s="490"/>
      <c r="AM46" s="490"/>
      <c r="AN46" s="490"/>
    </row>
    <row r="47" ht="29.25" customHeight="1">
      <c r="A47" s="479" t="s">
        <v>1906</v>
      </c>
      <c r="B47" s="509" t="s">
        <v>1975</v>
      </c>
      <c r="C47" s="448" t="s">
        <v>1976</v>
      </c>
      <c r="D47" s="484" t="s">
        <v>75</v>
      </c>
      <c r="E47" s="449"/>
      <c r="F47" s="485"/>
      <c r="G47" s="481">
        <v>45799.0</v>
      </c>
      <c r="H47" s="482">
        <v>45799.0</v>
      </c>
      <c r="I47" s="482"/>
      <c r="J47" s="482">
        <v>45799.0</v>
      </c>
      <c r="K47" s="440">
        <f>IF(ISBLANK(J47), NETWORKDAYS(H47, TODAY(),Hoja2!$A$1:$A$18), NETWORKDAYS(H47, J47, Hoja2!$A$1:$A$18))</f>
        <v>1</v>
      </c>
      <c r="L47" s="437"/>
      <c r="M47" s="481"/>
      <c r="N47" s="496"/>
      <c r="O47" s="488"/>
      <c r="P47" s="447"/>
      <c r="Q47" s="447"/>
      <c r="R47" s="447"/>
      <c r="S47" s="447"/>
      <c r="T47" s="447"/>
      <c r="U47" s="447"/>
      <c r="V47" s="447"/>
      <c r="W47" s="447"/>
      <c r="X47" s="447"/>
      <c r="Y47" s="447"/>
      <c r="Z47" s="489"/>
      <c r="AA47" s="489"/>
      <c r="AB47" s="489"/>
      <c r="AC47" s="489" t="s">
        <v>1977</v>
      </c>
      <c r="AD47" s="490"/>
      <c r="AE47" s="490"/>
      <c r="AF47" s="490"/>
      <c r="AG47" s="490"/>
      <c r="AH47" s="490"/>
      <c r="AI47" s="490"/>
      <c r="AJ47" s="490"/>
      <c r="AK47" s="490"/>
      <c r="AL47" s="490"/>
      <c r="AM47" s="490"/>
      <c r="AN47" s="490"/>
    </row>
    <row r="48" ht="29.25" customHeight="1">
      <c r="A48" s="479" t="s">
        <v>1906</v>
      </c>
      <c r="B48" s="509" t="s">
        <v>1978</v>
      </c>
      <c r="C48" s="448" t="s">
        <v>1979</v>
      </c>
      <c r="D48" s="484" t="s">
        <v>75</v>
      </c>
      <c r="E48" s="449"/>
      <c r="F48" s="485"/>
      <c r="G48" s="481">
        <v>45798.0</v>
      </c>
      <c r="H48" s="482">
        <v>45799.0</v>
      </c>
      <c r="I48" s="482"/>
      <c r="J48" s="482">
        <v>45799.0</v>
      </c>
      <c r="K48" s="440">
        <f>IF(ISBLANK(J48), NETWORKDAYS(H48, TODAY(),Hoja2!$A$1:$A$18), NETWORKDAYS(H48, J48, Hoja2!$A$1:$A$18))</f>
        <v>1</v>
      </c>
      <c r="L48" s="437"/>
      <c r="M48" s="481"/>
      <c r="N48" s="496"/>
      <c r="O48" s="488"/>
      <c r="P48" s="447"/>
      <c r="Q48" s="447"/>
      <c r="R48" s="447"/>
      <c r="S48" s="447"/>
      <c r="T48" s="447"/>
      <c r="U48" s="447"/>
      <c r="V48" s="447"/>
      <c r="W48" s="447"/>
      <c r="X48" s="447"/>
      <c r="Y48" s="447"/>
      <c r="Z48" s="489"/>
      <c r="AA48" s="489"/>
      <c r="AB48" s="489"/>
      <c r="AC48" s="490"/>
      <c r="AD48" s="490"/>
      <c r="AE48" s="490"/>
      <c r="AF48" s="490"/>
      <c r="AG48" s="490"/>
      <c r="AH48" s="490"/>
      <c r="AI48" s="490"/>
      <c r="AJ48" s="490"/>
      <c r="AK48" s="490"/>
      <c r="AL48" s="490"/>
      <c r="AM48" s="490"/>
      <c r="AN48" s="490"/>
    </row>
    <row r="49" ht="29.25" customHeight="1">
      <c r="A49" s="479" t="s">
        <v>1906</v>
      </c>
      <c r="B49" s="509" t="s">
        <v>1980</v>
      </c>
      <c r="C49" s="448" t="s">
        <v>1981</v>
      </c>
      <c r="D49" s="484" t="s">
        <v>75</v>
      </c>
      <c r="E49" s="449"/>
      <c r="F49" s="485"/>
      <c r="G49" s="481">
        <v>45799.0</v>
      </c>
      <c r="H49" s="482">
        <v>45799.0</v>
      </c>
      <c r="I49" s="482"/>
      <c r="J49" s="482">
        <v>45799.0</v>
      </c>
      <c r="K49" s="440">
        <f>IF(ISBLANK(J49), NETWORKDAYS(H49, TODAY(),Hoja2!$A$1:$A$18), NETWORKDAYS(H49, J49, Hoja2!$A$1:$A$18))</f>
        <v>1</v>
      </c>
      <c r="L49" s="437"/>
      <c r="M49" s="481"/>
      <c r="N49" s="496"/>
      <c r="O49" s="488"/>
      <c r="P49" s="447"/>
      <c r="Q49" s="447"/>
      <c r="R49" s="447"/>
      <c r="S49" s="447"/>
      <c r="T49" s="447"/>
      <c r="U49" s="447"/>
      <c r="V49" s="447"/>
      <c r="W49" s="447"/>
      <c r="X49" s="447"/>
      <c r="Y49" s="447"/>
      <c r="Z49" s="489"/>
      <c r="AA49" s="489"/>
      <c r="AB49" s="489"/>
      <c r="AC49" s="490"/>
      <c r="AD49" s="490"/>
      <c r="AE49" s="490"/>
      <c r="AF49" s="490"/>
      <c r="AG49" s="490"/>
      <c r="AH49" s="490"/>
      <c r="AI49" s="490"/>
      <c r="AJ49" s="490"/>
      <c r="AK49" s="490"/>
      <c r="AL49" s="490"/>
      <c r="AM49" s="490"/>
      <c r="AN49" s="490"/>
    </row>
    <row r="50" ht="29.25" customHeight="1">
      <c r="A50" s="479" t="s">
        <v>1906</v>
      </c>
      <c r="B50" s="509" t="s">
        <v>1916</v>
      </c>
      <c r="C50" s="448" t="s">
        <v>1982</v>
      </c>
      <c r="D50" s="484" t="s">
        <v>75</v>
      </c>
      <c r="E50" s="449"/>
      <c r="F50" s="485"/>
      <c r="G50" s="481">
        <v>45796.0</v>
      </c>
      <c r="H50" s="482">
        <v>45798.0</v>
      </c>
      <c r="I50" s="482"/>
      <c r="J50" s="482">
        <v>45798.0</v>
      </c>
      <c r="K50" s="440">
        <f>IF(ISBLANK(J50), NETWORKDAYS(H50, TODAY(),Hoja2!$A$1:$A$18), NETWORKDAYS(H50, J50, Hoja2!$A$1:$A$18))</f>
        <v>1</v>
      </c>
      <c r="L50" s="437"/>
      <c r="M50" s="481"/>
      <c r="N50" s="496"/>
      <c r="O50" s="488"/>
      <c r="P50" s="447"/>
      <c r="Q50" s="447"/>
      <c r="R50" s="447"/>
      <c r="S50" s="447"/>
      <c r="T50" s="447"/>
      <c r="U50" s="447"/>
      <c r="V50" s="447"/>
      <c r="W50" s="447"/>
      <c r="X50" s="447"/>
      <c r="Y50" s="447"/>
      <c r="Z50" s="489"/>
      <c r="AA50" s="489"/>
      <c r="AB50" s="489" t="s">
        <v>1983</v>
      </c>
      <c r="AC50" s="490"/>
      <c r="AD50" s="490"/>
      <c r="AE50" s="490"/>
      <c r="AF50" s="490"/>
      <c r="AG50" s="490"/>
      <c r="AH50" s="490"/>
      <c r="AI50" s="490"/>
      <c r="AJ50" s="490"/>
      <c r="AK50" s="490"/>
      <c r="AL50" s="490"/>
      <c r="AM50" s="490"/>
      <c r="AN50" s="490"/>
    </row>
    <row r="51" ht="29.25" customHeight="1">
      <c r="A51" s="479" t="s">
        <v>1906</v>
      </c>
      <c r="B51" s="491" t="s">
        <v>1984</v>
      </c>
      <c r="C51" s="474" t="s">
        <v>1985</v>
      </c>
      <c r="D51" s="484" t="s">
        <v>75</v>
      </c>
      <c r="E51" s="485"/>
      <c r="F51" s="485"/>
      <c r="G51" s="481">
        <v>45791.0</v>
      </c>
      <c r="H51" s="482">
        <v>45792.0</v>
      </c>
      <c r="I51" s="482"/>
      <c r="J51" s="482">
        <v>45792.0</v>
      </c>
      <c r="K51" s="440">
        <f>IF(ISBLANK(J51), NETWORKDAYS(H51, TODAY(),Hoja2!$A$1:$A$18), NETWORKDAYS(H51, J51, Hoja2!$A$1:$A$18))</f>
        <v>1</v>
      </c>
      <c r="L51" s="437"/>
      <c r="M51" s="481"/>
      <c r="N51" s="496"/>
      <c r="O51" s="488"/>
      <c r="P51" s="447"/>
      <c r="Q51" s="447"/>
      <c r="R51" s="447"/>
      <c r="S51" s="447"/>
      <c r="T51" s="447"/>
      <c r="U51" s="447"/>
      <c r="V51" s="447"/>
      <c r="W51" s="447"/>
      <c r="X51" s="447"/>
      <c r="Y51" s="489" t="s">
        <v>1986</v>
      </c>
      <c r="Z51" s="490"/>
      <c r="AA51" s="490"/>
      <c r="AB51" s="490"/>
      <c r="AC51" s="490"/>
      <c r="AD51" s="490"/>
      <c r="AE51" s="490"/>
      <c r="AF51" s="490"/>
      <c r="AG51" s="490"/>
      <c r="AH51" s="490"/>
      <c r="AI51" s="490"/>
      <c r="AJ51" s="490"/>
      <c r="AK51" s="490"/>
      <c r="AL51" s="490"/>
      <c r="AM51" s="490"/>
      <c r="AN51" s="490"/>
    </row>
    <row r="52" ht="29.25" customHeight="1">
      <c r="A52" s="434" t="s">
        <v>1810</v>
      </c>
      <c r="B52" s="449" t="s">
        <v>1987</v>
      </c>
      <c r="C52" s="474" t="s">
        <v>1988</v>
      </c>
      <c r="D52" s="484" t="s">
        <v>75</v>
      </c>
      <c r="E52" s="449">
        <v>80.0</v>
      </c>
      <c r="F52" s="437"/>
      <c r="G52" s="481">
        <v>45763.0</v>
      </c>
      <c r="H52" s="482">
        <v>45779.0</v>
      </c>
      <c r="I52" s="482">
        <v>45776.0</v>
      </c>
      <c r="J52" s="482">
        <v>45799.0</v>
      </c>
      <c r="K52" s="440">
        <f>IF(ISBLANK(J52), NETWORKDAYS(H52, TODAY(),Hoja2!$A$1:$A$18), NETWORKDAYS(H52, J52, Hoja2!$A$1:$A$18))</f>
        <v>15</v>
      </c>
      <c r="L52" s="510" t="s">
        <v>1989</v>
      </c>
      <c r="M52" s="481">
        <v>45777.0</v>
      </c>
      <c r="N52" s="484" t="s">
        <v>1990</v>
      </c>
      <c r="O52" s="486">
        <v>45799.0</v>
      </c>
      <c r="P52" s="446"/>
      <c r="Q52" s="489" t="s">
        <v>1991</v>
      </c>
      <c r="R52" s="489" t="s">
        <v>1992</v>
      </c>
      <c r="S52" s="489" t="s">
        <v>1993</v>
      </c>
      <c r="T52" s="490"/>
      <c r="U52" s="490"/>
      <c r="V52" s="490"/>
      <c r="W52" s="489" t="s">
        <v>1994</v>
      </c>
      <c r="X52" s="489" t="s">
        <v>1995</v>
      </c>
      <c r="Y52" s="490"/>
      <c r="Z52" s="489" t="s">
        <v>1996</v>
      </c>
      <c r="AA52" s="489" t="s">
        <v>1997</v>
      </c>
      <c r="AB52" s="489" t="s">
        <v>1998</v>
      </c>
      <c r="AC52" s="489" t="s">
        <v>1999</v>
      </c>
      <c r="AD52" s="490"/>
      <c r="AE52" s="490"/>
      <c r="AF52" s="490"/>
      <c r="AG52" s="490"/>
      <c r="AH52" s="490"/>
      <c r="AI52" s="490"/>
      <c r="AJ52" s="490"/>
      <c r="AK52" s="490"/>
      <c r="AL52" s="490"/>
      <c r="AM52" s="490"/>
      <c r="AN52" s="490"/>
    </row>
    <row r="53" ht="29.25" customHeight="1">
      <c r="A53" s="493" t="s">
        <v>1931</v>
      </c>
      <c r="B53" s="494"/>
      <c r="C53" s="436" t="s">
        <v>1932</v>
      </c>
      <c r="D53" s="118" t="s">
        <v>75</v>
      </c>
      <c r="E53" s="437"/>
      <c r="F53" s="437"/>
      <c r="G53" s="438">
        <v>45714.0</v>
      </c>
      <c r="H53" s="482">
        <v>45784.0</v>
      </c>
      <c r="I53" s="439"/>
      <c r="J53" s="482">
        <v>45785.0</v>
      </c>
      <c r="K53" s="495"/>
      <c r="L53" s="437"/>
      <c r="M53" s="438"/>
      <c r="N53" s="506"/>
      <c r="O53" s="441"/>
      <c r="P53" s="442" t="s">
        <v>1933</v>
      </c>
      <c r="Q53" s="443"/>
      <c r="R53" s="443"/>
      <c r="S53" s="443"/>
      <c r="T53" s="443"/>
      <c r="U53" s="443"/>
      <c r="V53" s="443"/>
      <c r="W53" s="443"/>
      <c r="X53" s="443"/>
      <c r="Y53" s="443"/>
      <c r="Z53" s="443"/>
      <c r="AA53" s="443"/>
      <c r="AB53" s="443"/>
      <c r="AC53" s="443"/>
      <c r="AD53" s="443"/>
      <c r="AE53" s="443"/>
      <c r="AF53" s="443"/>
      <c r="AG53" s="443"/>
      <c r="AH53" s="443"/>
      <c r="AI53" s="443"/>
      <c r="AJ53" s="443"/>
      <c r="AK53" s="443"/>
      <c r="AL53" s="443"/>
      <c r="AM53" s="443"/>
      <c r="AN53" s="443"/>
    </row>
    <row r="54" ht="29.25" customHeight="1">
      <c r="A54" s="511" t="s">
        <v>1810</v>
      </c>
      <c r="B54" s="512" t="s">
        <v>2000</v>
      </c>
      <c r="C54" s="513" t="s">
        <v>2001</v>
      </c>
      <c r="D54" s="514" t="s">
        <v>75</v>
      </c>
      <c r="E54" s="449">
        <v>100.0</v>
      </c>
      <c r="F54" s="449"/>
      <c r="G54" s="515">
        <v>45800.0</v>
      </c>
      <c r="H54" s="482"/>
      <c r="I54" s="482"/>
      <c r="J54" s="482">
        <v>45804.0</v>
      </c>
      <c r="K54" s="449"/>
      <c r="L54" s="437"/>
      <c r="M54" s="481"/>
      <c r="N54" s="496"/>
      <c r="O54" s="488"/>
      <c r="P54" s="516"/>
      <c r="Q54" s="516"/>
      <c r="R54" s="516"/>
      <c r="S54" s="517"/>
      <c r="T54" s="518"/>
      <c r="U54" s="518"/>
      <c r="V54" s="517"/>
      <c r="W54" s="517"/>
      <c r="X54" s="517"/>
      <c r="Y54" s="518"/>
      <c r="Z54" s="518"/>
      <c r="AA54" s="517"/>
      <c r="AB54" s="517"/>
      <c r="AC54" s="517" t="s">
        <v>2002</v>
      </c>
      <c r="AD54" s="518"/>
      <c r="AE54" s="489" t="s">
        <v>2003</v>
      </c>
      <c r="AF54" s="489"/>
      <c r="AG54" s="489"/>
      <c r="AH54" s="489"/>
      <c r="AI54" s="489"/>
      <c r="AJ54" s="489"/>
      <c r="AK54" s="489"/>
      <c r="AL54" s="489"/>
      <c r="AM54" s="489"/>
      <c r="AN54" s="489"/>
    </row>
    <row r="55" ht="29.25" customHeight="1">
      <c r="A55" s="519" t="s">
        <v>1906</v>
      </c>
      <c r="B55" s="520" t="s">
        <v>1968</v>
      </c>
      <c r="C55" s="521" t="s">
        <v>2004</v>
      </c>
      <c r="D55" s="514" t="s">
        <v>75</v>
      </c>
      <c r="E55" s="449">
        <v>100.0</v>
      </c>
      <c r="F55" s="485"/>
      <c r="G55" s="481">
        <v>45798.0</v>
      </c>
      <c r="H55" s="482">
        <v>45803.0</v>
      </c>
      <c r="I55" s="482"/>
      <c r="J55" s="482">
        <v>45803.0</v>
      </c>
      <c r="K55" s="440">
        <f>IF(ISBLANK(J55), NETWORKDAYS(H55, TODAY(),Hoja2!$A$1:$A$18), NETWORKDAYS(H55, J55, Hoja2!$A$1:$A$18))</f>
        <v>1</v>
      </c>
      <c r="L55" s="437"/>
      <c r="M55" s="481"/>
      <c r="N55" s="496"/>
      <c r="O55" s="488">
        <v>45803.0</v>
      </c>
      <c r="P55" s="516"/>
      <c r="Q55" s="516"/>
      <c r="R55" s="516"/>
      <c r="S55" s="516"/>
      <c r="T55" s="516"/>
      <c r="U55" s="516"/>
      <c r="V55" s="516"/>
      <c r="W55" s="516"/>
      <c r="X55" s="516"/>
      <c r="Y55" s="516"/>
      <c r="Z55" s="517"/>
      <c r="AA55" s="517"/>
      <c r="AB55" s="517"/>
      <c r="AC55" s="517" t="s">
        <v>2005</v>
      </c>
      <c r="AD55" s="517" t="s">
        <v>2006</v>
      </c>
      <c r="AE55" s="489" t="s">
        <v>2007</v>
      </c>
      <c r="AF55" s="489"/>
      <c r="AG55" s="489"/>
      <c r="AH55" s="489"/>
      <c r="AI55" s="489"/>
      <c r="AJ55" s="489"/>
      <c r="AK55" s="489"/>
      <c r="AL55" s="489"/>
      <c r="AM55" s="489"/>
      <c r="AN55" s="489"/>
    </row>
    <row r="56" ht="29.25" customHeight="1">
      <c r="A56" s="519" t="s">
        <v>1906</v>
      </c>
      <c r="B56" s="522" t="s">
        <v>2008</v>
      </c>
      <c r="C56" s="521" t="s">
        <v>2009</v>
      </c>
      <c r="D56" s="514" t="s">
        <v>75</v>
      </c>
      <c r="E56" s="485"/>
      <c r="F56" s="485"/>
      <c r="G56" s="481">
        <v>45804.0</v>
      </c>
      <c r="H56" s="482">
        <v>45804.0</v>
      </c>
      <c r="I56" s="482"/>
      <c r="J56" s="482">
        <v>45804.0</v>
      </c>
      <c r="K56" s="440">
        <f>IF(ISBLANK(J56), NETWORKDAYS(H56, TODAY(),Hoja2!$A$1:$A$18), NETWORKDAYS(H56, J56, Hoja2!$A$1:$A$18))</f>
        <v>1</v>
      </c>
      <c r="L56" s="437"/>
      <c r="M56" s="481"/>
      <c r="N56" s="496"/>
      <c r="O56" s="488"/>
      <c r="P56" s="516"/>
      <c r="Q56" s="516"/>
      <c r="R56" s="516"/>
      <c r="S56" s="516"/>
      <c r="T56" s="516"/>
      <c r="U56" s="516"/>
      <c r="V56" s="516"/>
      <c r="W56" s="516"/>
      <c r="X56" s="516"/>
      <c r="Y56" s="516"/>
      <c r="Z56" s="516"/>
      <c r="AA56" s="516"/>
      <c r="AB56" s="516"/>
      <c r="AC56" s="516"/>
      <c r="AD56" s="516"/>
      <c r="AE56" s="489" t="s">
        <v>2010</v>
      </c>
      <c r="AF56" s="489"/>
      <c r="AG56" s="489"/>
      <c r="AH56" s="489"/>
      <c r="AI56" s="489"/>
      <c r="AJ56" s="489"/>
      <c r="AK56" s="489"/>
      <c r="AL56" s="489"/>
      <c r="AM56" s="489"/>
      <c r="AN56" s="489"/>
    </row>
    <row r="57" ht="29.25" customHeight="1">
      <c r="A57" s="519" t="s">
        <v>1906</v>
      </c>
      <c r="B57" s="491" t="s">
        <v>1916</v>
      </c>
      <c r="C57" s="474" t="s">
        <v>2011</v>
      </c>
      <c r="D57" s="484" t="s">
        <v>75</v>
      </c>
      <c r="E57" s="485"/>
      <c r="F57" s="485"/>
      <c r="G57" s="481">
        <v>45805.0</v>
      </c>
      <c r="H57" s="482">
        <v>45806.0</v>
      </c>
      <c r="I57" s="482"/>
      <c r="J57" s="482">
        <v>45806.0</v>
      </c>
      <c r="K57" s="440">
        <f>IF(ISBLANK(J57), NETWORKDAYS(H57, TODAY(),Hoja2!$A$1:$A$18), NETWORKDAYS(H57, J57, Hoja2!$A$1:$A$18))</f>
        <v>1</v>
      </c>
      <c r="L57" s="437"/>
      <c r="M57" s="481"/>
      <c r="N57" s="496"/>
      <c r="O57" s="488"/>
      <c r="P57" s="516"/>
      <c r="Q57" s="516"/>
      <c r="R57" s="516"/>
      <c r="S57" s="516"/>
      <c r="T57" s="516"/>
      <c r="U57" s="516"/>
      <c r="V57" s="516"/>
      <c r="W57" s="516"/>
      <c r="X57" s="516"/>
      <c r="Y57" s="516"/>
      <c r="Z57" s="516"/>
      <c r="AA57" s="516"/>
      <c r="AB57" s="516"/>
      <c r="AC57" s="516"/>
      <c r="AD57" s="516"/>
      <c r="AE57" s="447"/>
      <c r="AF57" s="489" t="s">
        <v>2012</v>
      </c>
      <c r="AG57" s="489"/>
      <c r="AH57" s="489"/>
      <c r="AI57" s="489"/>
      <c r="AJ57" s="489"/>
      <c r="AK57" s="489"/>
      <c r="AL57" s="489"/>
      <c r="AM57" s="489"/>
      <c r="AN57" s="489"/>
    </row>
    <row r="58" ht="29.25" customHeight="1">
      <c r="A58" s="519" t="s">
        <v>1906</v>
      </c>
      <c r="B58" s="491" t="s">
        <v>2013</v>
      </c>
      <c r="C58" s="474" t="s">
        <v>2014</v>
      </c>
      <c r="D58" s="484" t="s">
        <v>75</v>
      </c>
      <c r="E58" s="485"/>
      <c r="F58" s="485"/>
      <c r="G58" s="481">
        <v>45807.0</v>
      </c>
      <c r="H58" s="482">
        <v>45807.0</v>
      </c>
      <c r="I58" s="482"/>
      <c r="J58" s="482">
        <v>45811.0</v>
      </c>
      <c r="K58" s="440">
        <f>IF(ISBLANK(J58), NETWORKDAYS(H58, TODAY(),Hoja2!$A$1:$A$18), NETWORKDAYS(H58, J58, Hoja2!$A$1:$A$18))</f>
        <v>3</v>
      </c>
      <c r="L58" s="437"/>
      <c r="M58" s="481"/>
      <c r="N58" s="496"/>
      <c r="O58" s="488"/>
      <c r="P58" s="516"/>
      <c r="Q58" s="516"/>
      <c r="R58" s="516"/>
      <c r="S58" s="516"/>
      <c r="T58" s="516"/>
      <c r="U58" s="516"/>
      <c r="V58" s="516"/>
      <c r="W58" s="516"/>
      <c r="X58" s="516"/>
      <c r="Y58" s="516"/>
      <c r="Z58" s="516"/>
      <c r="AA58" s="516"/>
      <c r="AB58" s="516"/>
      <c r="AC58" s="516"/>
      <c r="AD58" s="516"/>
      <c r="AE58" s="516"/>
      <c r="AF58" s="517" t="s">
        <v>2015</v>
      </c>
      <c r="AG58" s="489"/>
      <c r="AH58" s="489"/>
      <c r="AI58" s="489"/>
      <c r="AJ58" s="489"/>
      <c r="AK58" s="489"/>
      <c r="AL58" s="489"/>
      <c r="AM58" s="489"/>
      <c r="AN58" s="489"/>
    </row>
    <row r="59" ht="29.25" customHeight="1">
      <c r="A59" s="519" t="s">
        <v>1906</v>
      </c>
      <c r="B59" s="491" t="s">
        <v>1916</v>
      </c>
      <c r="C59" s="474" t="s">
        <v>2016</v>
      </c>
      <c r="D59" s="484" t="s">
        <v>75</v>
      </c>
      <c r="E59" s="485"/>
      <c r="F59" s="485"/>
      <c r="G59" s="481">
        <v>45811.0</v>
      </c>
      <c r="H59" s="482">
        <v>45812.0</v>
      </c>
      <c r="I59" s="482"/>
      <c r="J59" s="482">
        <v>45812.0</v>
      </c>
      <c r="K59" s="440">
        <f>IF(ISBLANK(J59), NETWORKDAYS(H59, TODAY(),Hoja2!$A$1:$A$18), NETWORKDAYS(H59, J59, Hoja2!$A$1:$A$18))</f>
        <v>1</v>
      </c>
      <c r="L59" s="437"/>
      <c r="M59" s="481"/>
      <c r="N59" s="496"/>
      <c r="O59" s="488"/>
      <c r="P59" s="516"/>
      <c r="Q59" s="516"/>
      <c r="R59" s="516"/>
      <c r="S59" s="516"/>
      <c r="T59" s="516"/>
      <c r="U59" s="516"/>
      <c r="V59" s="516"/>
      <c r="W59" s="516"/>
      <c r="X59" s="516"/>
      <c r="Y59" s="516"/>
      <c r="Z59" s="516"/>
      <c r="AA59" s="516"/>
      <c r="AB59" s="516"/>
      <c r="AC59" s="516"/>
      <c r="AD59" s="516"/>
      <c r="AE59" s="516"/>
      <c r="AF59" s="516"/>
      <c r="AG59" s="489" t="s">
        <v>2017</v>
      </c>
      <c r="AH59" s="489"/>
      <c r="AI59" s="489"/>
      <c r="AJ59" s="489"/>
      <c r="AK59" s="489"/>
      <c r="AL59" s="489"/>
      <c r="AM59" s="489"/>
      <c r="AN59" s="489"/>
    </row>
    <row r="60" ht="29.25" customHeight="1">
      <c r="A60" s="519" t="s">
        <v>1906</v>
      </c>
      <c r="B60" s="522" t="s">
        <v>289</v>
      </c>
      <c r="C60" s="521" t="s">
        <v>2018</v>
      </c>
      <c r="D60" s="484" t="s">
        <v>75</v>
      </c>
      <c r="E60" s="485"/>
      <c r="F60" s="485"/>
      <c r="G60" s="481">
        <v>45811.0</v>
      </c>
      <c r="H60" s="482">
        <v>45811.0</v>
      </c>
      <c r="I60" s="482"/>
      <c r="J60" s="482">
        <v>45814.0</v>
      </c>
      <c r="K60" s="440">
        <f>IF(ISBLANK(J60), NETWORKDAYS(H60, TODAY(),Hoja2!$A$1:$A$18), NETWORKDAYS(H60, J60, Hoja2!$A$1:$A$18))</f>
        <v>4</v>
      </c>
      <c r="L60" s="437"/>
      <c r="M60" s="481">
        <v>45811.0</v>
      </c>
      <c r="N60" s="496"/>
      <c r="O60" s="488">
        <v>45814.0</v>
      </c>
      <c r="P60" s="516"/>
      <c r="Q60" s="516"/>
      <c r="R60" s="516"/>
      <c r="S60" s="516"/>
      <c r="T60" s="516"/>
      <c r="U60" s="516"/>
      <c r="V60" s="516"/>
      <c r="W60" s="516"/>
      <c r="X60" s="516"/>
      <c r="Y60" s="516"/>
      <c r="Z60" s="516"/>
      <c r="AA60" s="516"/>
      <c r="AB60" s="516"/>
      <c r="AC60" s="516"/>
      <c r="AD60" s="516"/>
      <c r="AE60" s="447"/>
      <c r="AF60" s="489" t="s">
        <v>2019</v>
      </c>
      <c r="AG60" s="489" t="s">
        <v>2020</v>
      </c>
      <c r="AH60" s="489" t="s">
        <v>2021</v>
      </c>
      <c r="AI60" s="489" t="s">
        <v>2022</v>
      </c>
      <c r="AJ60" s="489"/>
      <c r="AK60" s="489"/>
      <c r="AL60" s="489"/>
      <c r="AM60" s="489"/>
      <c r="AN60" s="489"/>
    </row>
    <row r="61" ht="29.25" customHeight="1">
      <c r="A61" s="519" t="s">
        <v>1835</v>
      </c>
      <c r="B61" s="523" t="s">
        <v>2023</v>
      </c>
      <c r="C61" s="513" t="s">
        <v>2024</v>
      </c>
      <c r="D61" s="514" t="s">
        <v>75</v>
      </c>
      <c r="E61" s="449">
        <v>95.0</v>
      </c>
      <c r="F61" s="449">
        <v>3.0</v>
      </c>
      <c r="G61" s="481">
        <v>45784.0</v>
      </c>
      <c r="H61" s="482">
        <v>45784.0</v>
      </c>
      <c r="I61" s="482">
        <v>45786.0</v>
      </c>
      <c r="J61" s="482">
        <v>45803.0</v>
      </c>
      <c r="K61" s="505">
        <f>IF(ISBLANK(J61), NETWORKDAYS(H61, TODAY(),Hoja2!$A$1:$A$18), NETWORKDAYS(H61, J61, Hoja2!$A$1:$A$18))</f>
        <v>14</v>
      </c>
      <c r="L61" s="437"/>
      <c r="M61" s="481">
        <v>45786.0</v>
      </c>
      <c r="N61" s="506"/>
      <c r="O61" s="486">
        <v>45814.0</v>
      </c>
      <c r="P61" s="442"/>
      <c r="Q61" s="524"/>
      <c r="R61" s="524"/>
      <c r="S61" s="524"/>
      <c r="T61" s="525" t="s">
        <v>2025</v>
      </c>
      <c r="U61" s="526"/>
      <c r="V61" s="525" t="s">
        <v>2026</v>
      </c>
      <c r="W61" s="525" t="s">
        <v>2027</v>
      </c>
      <c r="X61" s="525" t="s">
        <v>2028</v>
      </c>
      <c r="Y61" s="526"/>
      <c r="Z61" s="526"/>
      <c r="AA61" s="526"/>
      <c r="AB61" s="526"/>
      <c r="AC61" s="526"/>
      <c r="AD61" s="526"/>
      <c r="AE61" s="453"/>
      <c r="AF61" s="453"/>
      <c r="AG61" s="452" t="s">
        <v>2029</v>
      </c>
      <c r="AH61" s="452" t="s">
        <v>2030</v>
      </c>
      <c r="AI61" s="452" t="s">
        <v>2031</v>
      </c>
      <c r="AJ61" s="452"/>
      <c r="AK61" s="452"/>
      <c r="AL61" s="452"/>
      <c r="AM61" s="452"/>
      <c r="AN61" s="452"/>
    </row>
    <row r="62" ht="29.25" customHeight="1">
      <c r="A62" s="519" t="s">
        <v>1906</v>
      </c>
      <c r="B62" s="491" t="s">
        <v>2032</v>
      </c>
      <c r="C62" s="474" t="s">
        <v>2033</v>
      </c>
      <c r="D62" s="484" t="s">
        <v>75</v>
      </c>
      <c r="E62" s="485"/>
      <c r="F62" s="485"/>
      <c r="G62" s="481">
        <v>45818.0</v>
      </c>
      <c r="H62" s="482">
        <v>45818.0</v>
      </c>
      <c r="I62" s="482"/>
      <c r="J62" s="482">
        <v>45818.0</v>
      </c>
      <c r="K62" s="440">
        <f>IF(ISBLANK(J62), NETWORKDAYS(H62, TODAY(),Hoja2!$A$1:$A$18), NETWORKDAYS(H62, J62, Hoja2!$A$1:$A$18))</f>
        <v>1</v>
      </c>
      <c r="L62" s="437"/>
      <c r="M62" s="481"/>
      <c r="N62" s="496"/>
      <c r="O62" s="488"/>
      <c r="P62" s="516"/>
      <c r="Q62" s="516"/>
      <c r="R62" s="516"/>
      <c r="S62" s="516"/>
      <c r="T62" s="516"/>
      <c r="U62" s="516"/>
      <c r="V62" s="516"/>
      <c r="W62" s="516"/>
      <c r="X62" s="516"/>
      <c r="Y62" s="516"/>
      <c r="Z62" s="516"/>
      <c r="AA62" s="516"/>
      <c r="AB62" s="516"/>
      <c r="AC62" s="516"/>
      <c r="AD62" s="516"/>
      <c r="AE62" s="516"/>
      <c r="AF62" s="516"/>
      <c r="AG62" s="516"/>
      <c r="AH62" s="516"/>
      <c r="AI62" s="516"/>
      <c r="AJ62" s="489" t="s">
        <v>2034</v>
      </c>
      <c r="AK62" s="489"/>
      <c r="AL62" s="489"/>
      <c r="AM62" s="489"/>
      <c r="AN62" s="489"/>
    </row>
    <row r="63" ht="29.25" customHeight="1">
      <c r="A63" s="479" t="s">
        <v>1825</v>
      </c>
      <c r="B63" s="491" t="s">
        <v>415</v>
      </c>
      <c r="C63" s="448" t="s">
        <v>2035</v>
      </c>
      <c r="D63" s="484" t="s">
        <v>75</v>
      </c>
      <c r="E63" s="449">
        <v>100.0</v>
      </c>
      <c r="F63" s="449">
        <v>1.0</v>
      </c>
      <c r="G63" s="481">
        <v>45818.0</v>
      </c>
      <c r="H63" s="482">
        <v>45819.0</v>
      </c>
      <c r="I63" s="482">
        <v>45819.0</v>
      </c>
      <c r="J63" s="482">
        <v>45819.0</v>
      </c>
      <c r="K63" s="440">
        <f>IF(ISBLANK(J63), NETWORKDAYS(H63, TODAY(),Hoja2!$A$1:$A$18), NETWORKDAYS(H63, J63, Hoja2!$A$1:$A$18))</f>
        <v>1</v>
      </c>
      <c r="L63" s="437"/>
      <c r="M63" s="481"/>
      <c r="N63" s="496"/>
      <c r="O63" s="488"/>
      <c r="P63" s="516"/>
      <c r="Q63" s="516"/>
      <c r="R63" s="516"/>
      <c r="S63" s="516"/>
      <c r="T63" s="516"/>
      <c r="U63" s="516"/>
      <c r="V63" s="516"/>
      <c r="W63" s="516"/>
      <c r="X63" s="516"/>
      <c r="Y63" s="516"/>
      <c r="Z63" s="516"/>
      <c r="AA63" s="516"/>
      <c r="AB63" s="516"/>
      <c r="AC63" s="516"/>
      <c r="AD63" s="516"/>
      <c r="AE63" s="516"/>
      <c r="AF63" s="516"/>
      <c r="AG63" s="516"/>
      <c r="AH63" s="516"/>
      <c r="AI63" s="516"/>
      <c r="AJ63" s="517" t="s">
        <v>2036</v>
      </c>
      <c r="AK63" s="489" t="s">
        <v>2037</v>
      </c>
      <c r="AL63" s="489"/>
      <c r="AM63" s="489"/>
      <c r="AN63" s="489"/>
    </row>
    <row r="64" ht="29.25" customHeight="1">
      <c r="A64" s="479" t="s">
        <v>1825</v>
      </c>
      <c r="B64" s="491" t="s">
        <v>415</v>
      </c>
      <c r="C64" s="448" t="s">
        <v>2038</v>
      </c>
      <c r="D64" s="484" t="s">
        <v>75</v>
      </c>
      <c r="E64" s="449">
        <v>100.0</v>
      </c>
      <c r="F64" s="449">
        <v>1.0</v>
      </c>
      <c r="G64" s="481">
        <v>45818.0</v>
      </c>
      <c r="H64" s="482">
        <v>45820.0</v>
      </c>
      <c r="I64" s="482">
        <v>45820.0</v>
      </c>
      <c r="J64" s="482">
        <v>45821.0</v>
      </c>
      <c r="K64" s="440">
        <f>IF(ISBLANK(J64), NETWORKDAYS(H64, TODAY(),Hoja2!$A$1:$A$18), NETWORKDAYS(H64, J64, Hoja2!$A$1:$A$18))</f>
        <v>2</v>
      </c>
      <c r="L64" s="437"/>
      <c r="M64" s="481"/>
      <c r="N64" s="496"/>
      <c r="O64" s="488"/>
      <c r="P64" s="516"/>
      <c r="Q64" s="516"/>
      <c r="R64" s="516"/>
      <c r="S64" s="516"/>
      <c r="T64" s="516"/>
      <c r="U64" s="516"/>
      <c r="V64" s="516"/>
      <c r="W64" s="516"/>
      <c r="X64" s="516"/>
      <c r="Y64" s="516"/>
      <c r="Z64" s="516"/>
      <c r="AA64" s="516"/>
      <c r="AB64" s="516"/>
      <c r="AC64" s="516"/>
      <c r="AD64" s="516"/>
      <c r="AE64" s="516"/>
      <c r="AF64" s="516"/>
      <c r="AG64" s="516"/>
      <c r="AH64" s="516"/>
      <c r="AI64" s="516"/>
      <c r="AJ64" s="517" t="s">
        <v>2039</v>
      </c>
      <c r="AK64" s="489" t="s">
        <v>2040</v>
      </c>
      <c r="AL64" s="489"/>
      <c r="AM64" s="489"/>
      <c r="AN64" s="489"/>
    </row>
    <row r="65" ht="29.25" customHeight="1">
      <c r="A65" s="511" t="s">
        <v>1810</v>
      </c>
      <c r="B65" s="522" t="s">
        <v>1925</v>
      </c>
      <c r="C65" s="527" t="s">
        <v>2041</v>
      </c>
      <c r="D65" s="514" t="s">
        <v>75</v>
      </c>
      <c r="E65" s="449">
        <v>100.0</v>
      </c>
      <c r="F65" s="528">
        <v>1.0</v>
      </c>
      <c r="G65" s="481">
        <v>45786.0</v>
      </c>
      <c r="H65" s="482">
        <v>45786.0</v>
      </c>
      <c r="I65" s="482"/>
      <c r="J65" s="482">
        <v>45825.0</v>
      </c>
      <c r="K65" s="440">
        <f>IF(ISBLANK(J65), NETWORKDAYS(H65, TODAY(),Hoja2!$A$1:$A$18), NETWORKDAYS(H65, J65, Hoja2!$A$1:$A$18))</f>
        <v>28</v>
      </c>
      <c r="L65" s="437"/>
      <c r="M65" s="481"/>
      <c r="N65" s="496"/>
      <c r="O65" s="488"/>
      <c r="P65" s="516"/>
      <c r="Q65" s="516"/>
      <c r="R65" s="516"/>
      <c r="S65" s="517" t="s">
        <v>2042</v>
      </c>
      <c r="T65" s="518"/>
      <c r="U65" s="518"/>
      <c r="V65" s="517" t="s">
        <v>2043</v>
      </c>
      <c r="W65" s="517" t="s">
        <v>2044</v>
      </c>
      <c r="X65" s="517" t="s">
        <v>2045</v>
      </c>
      <c r="Y65" s="518"/>
      <c r="Z65" s="518"/>
      <c r="AA65" s="517" t="s">
        <v>2046</v>
      </c>
      <c r="AB65" s="517" t="s">
        <v>2047</v>
      </c>
      <c r="AC65" s="517" t="s">
        <v>2048</v>
      </c>
      <c r="AD65" s="517" t="s">
        <v>2049</v>
      </c>
      <c r="AE65" s="489" t="s">
        <v>240</v>
      </c>
      <c r="AF65" s="489" t="s">
        <v>2050</v>
      </c>
      <c r="AG65" s="489"/>
      <c r="AH65" s="489"/>
      <c r="AI65" s="489"/>
      <c r="AJ65" s="489" t="s">
        <v>2051</v>
      </c>
      <c r="AK65" s="489" t="s">
        <v>2052</v>
      </c>
      <c r="AL65" s="489" t="s">
        <v>2053</v>
      </c>
      <c r="AM65" s="489" t="s">
        <v>2054</v>
      </c>
      <c r="AN65" s="489"/>
    </row>
    <row r="66" ht="29.25" customHeight="1">
      <c r="A66" s="519" t="s">
        <v>1906</v>
      </c>
      <c r="B66" s="491" t="s">
        <v>2055</v>
      </c>
      <c r="C66" s="529" t="s">
        <v>2056</v>
      </c>
      <c r="D66" s="484" t="s">
        <v>75</v>
      </c>
      <c r="E66" s="449">
        <v>100.0</v>
      </c>
      <c r="F66" s="485"/>
      <c r="G66" s="481">
        <v>45805.0</v>
      </c>
      <c r="H66" s="482">
        <v>45825.0</v>
      </c>
      <c r="I66" s="482"/>
      <c r="J66" s="482">
        <v>45825.0</v>
      </c>
      <c r="K66" s="440">
        <f>IF(ISBLANK(J66), NETWORKDAYS(H66, TODAY(),Hoja2!$A$1:$A$18), NETWORKDAYS(H66, J66, Hoja2!$A$1:$A$18))</f>
        <v>1</v>
      </c>
      <c r="L66" s="437"/>
      <c r="M66" s="481"/>
      <c r="N66" s="496"/>
      <c r="O66" s="488"/>
      <c r="P66" s="516"/>
      <c r="Q66" s="516"/>
      <c r="R66" s="516"/>
      <c r="S66" s="516"/>
      <c r="T66" s="516"/>
      <c r="U66" s="516"/>
      <c r="V66" s="516"/>
      <c r="W66" s="516"/>
      <c r="X66" s="516"/>
      <c r="Y66" s="516"/>
      <c r="Z66" s="516"/>
      <c r="AA66" s="516"/>
      <c r="AB66" s="516"/>
      <c r="AC66" s="516"/>
      <c r="AD66" s="516"/>
      <c r="AE66" s="447"/>
      <c r="AF66" s="489" t="s">
        <v>2057</v>
      </c>
      <c r="AG66" s="489"/>
      <c r="AH66" s="489"/>
      <c r="AI66" s="489"/>
      <c r="AJ66" s="489"/>
      <c r="AK66" s="489"/>
      <c r="AL66" s="489" t="s">
        <v>2058</v>
      </c>
      <c r="AM66" s="489" t="s">
        <v>2059</v>
      </c>
      <c r="AN66" s="489"/>
    </row>
    <row r="67" ht="29.25" customHeight="1">
      <c r="A67" s="519" t="s">
        <v>1906</v>
      </c>
      <c r="B67" s="483"/>
      <c r="C67" s="448" t="s">
        <v>2060</v>
      </c>
      <c r="D67" s="484" t="s">
        <v>75</v>
      </c>
      <c r="E67" s="485"/>
      <c r="F67" s="449">
        <v>1.0</v>
      </c>
      <c r="G67" s="481">
        <v>45825.0</v>
      </c>
      <c r="H67" s="482">
        <v>45825.0</v>
      </c>
      <c r="I67" s="482">
        <v>45825.0</v>
      </c>
      <c r="J67" s="482"/>
      <c r="K67" s="440">
        <f>IF(ISBLANK(J67), NETWORKDAYS(H67, TODAY(),Hoja2!$A$1:$A$18), NETWORKDAYS(H67, J67, Hoja2!$A$1:$A$18))</f>
        <v>133</v>
      </c>
      <c r="L67" s="437"/>
      <c r="M67" s="481"/>
      <c r="N67" s="496"/>
      <c r="O67" s="488"/>
      <c r="P67" s="516"/>
      <c r="Q67" s="516"/>
      <c r="R67" s="516"/>
      <c r="S67" s="516"/>
      <c r="T67" s="516"/>
      <c r="U67" s="516"/>
      <c r="V67" s="516"/>
      <c r="W67" s="516"/>
      <c r="X67" s="516"/>
      <c r="Y67" s="516"/>
      <c r="Z67" s="516"/>
      <c r="AA67" s="516"/>
      <c r="AB67" s="516"/>
      <c r="AC67" s="516"/>
      <c r="AD67" s="516"/>
      <c r="AE67" s="516"/>
      <c r="AF67" s="516"/>
      <c r="AG67" s="516"/>
      <c r="AH67" s="516"/>
      <c r="AI67" s="516"/>
      <c r="AJ67" s="516"/>
      <c r="AK67" s="516"/>
      <c r="AL67" s="516"/>
      <c r="AM67" s="517" t="s">
        <v>2061</v>
      </c>
      <c r="AN67" s="489"/>
    </row>
    <row r="68" ht="29.25" customHeight="1">
      <c r="A68" s="530" t="s">
        <v>1810</v>
      </c>
      <c r="B68" s="491" t="s">
        <v>1916</v>
      </c>
      <c r="C68" s="474" t="s">
        <v>2062</v>
      </c>
      <c r="D68" s="484" t="s">
        <v>75</v>
      </c>
      <c r="E68" s="449">
        <v>100.0</v>
      </c>
      <c r="F68" s="531"/>
      <c r="G68" s="481">
        <v>45825.0</v>
      </c>
      <c r="H68" s="482">
        <v>45825.0</v>
      </c>
      <c r="I68" s="482"/>
      <c r="J68" s="482">
        <v>45825.0</v>
      </c>
      <c r="K68" s="440">
        <f>IF(ISBLANK(J68), NETWORKDAYS(H68, TODAY(),Hoja2!$A$1:$A$18), NETWORKDAYS(H68, J68, Hoja2!$A$1:$A$18))</f>
        <v>1</v>
      </c>
      <c r="L68" s="437"/>
      <c r="M68" s="481"/>
      <c r="N68" s="496"/>
      <c r="O68" s="488">
        <v>45825.0</v>
      </c>
      <c r="P68" s="516"/>
      <c r="Q68" s="516"/>
      <c r="R68" s="516"/>
      <c r="S68" s="516"/>
      <c r="T68" s="516"/>
      <c r="U68" s="516"/>
      <c r="V68" s="516"/>
      <c r="W68" s="516"/>
      <c r="X68" s="516"/>
      <c r="Y68" s="516"/>
      <c r="Z68" s="516"/>
      <c r="AA68" s="516"/>
      <c r="AB68" s="516"/>
      <c r="AC68" s="516"/>
      <c r="AD68" s="516"/>
      <c r="AE68" s="516"/>
      <c r="AF68" s="516"/>
      <c r="AG68" s="516"/>
      <c r="AH68" s="516"/>
      <c r="AI68" s="516"/>
      <c r="AJ68" s="516"/>
      <c r="AK68" s="516"/>
      <c r="AL68" s="516"/>
      <c r="AM68" s="517" t="s">
        <v>2063</v>
      </c>
      <c r="AN68" s="489"/>
    </row>
  </sheetData>
  <dataValidations>
    <dataValidation type="list" allowBlank="1" sqref="D2:D7">
      <formula1>"ENTRENAMIENTO,DETENIDO BOL,FINALIZADO,EN PROCESO ,PAUSADO ,EN TEST,CONTROL DE CAMBIOS PRODUCCION,PENDIENTE,PRUEBAS BOLIVAR,PENDIENTE BOLIVAR"</formula1>
    </dataValidation>
    <dataValidation type="list" allowBlank="1" sqref="D8:D10 D12:D34">
      <formula1>"ENTRENAMIENTO,DETENIDO BOL,FINALIZADO,EN PROCESO ,PAUSADO ,EN TEST,CONTROL DE CAMBIOS PRODUCCION,PENDIENTE,PRUEBAS BOLIVAR,PENDIENTE BOLIVAR"</formula1>
    </dataValidation>
    <dataValidation type="list" allowBlank="1" sqref="D35">
      <formula1>"ENTRENAMIENTO,DETENIDO BOL,FINALIZADO,EN PROCESO ,PAUSADO ,EN TEST,CONTROL DE CAMBIOS PRODUCCION,PENDIENTE,PRUEBAS BOLIVAR,PENDIENTE BOLIVAR,PRUEBAS IMAGINE,PASO A PRODUCCION"</formula1>
    </dataValidation>
    <dataValidation type="list" allowBlank="1" sqref="D54:D68">
      <formula1>"ENTRENAMIENTO,DETENIDO BOL,FINALIZADO,EN PROCESO ,PAUSADO ,EN TEST,CONTROL DE CAMBIOS PRODUCCION,PENDIENTE,PRUEBAS BOLIVAR,PENDIENTE BOLIVAR,PRUEBAS IMAGINE,PASO A PRODUCCION,CONTROL CAMBIOS TEST,ESTIMAR"</formula1>
    </dataValidation>
    <dataValidation type="list" allowBlank="1" sqref="N36:N68">
      <formula1>"Opción 1,Opción 2"</formula1>
    </dataValidation>
    <dataValidation type="custom" allowBlank="1" showDropDown="1" sqref="G2:J7 M2:M7 O2:O7">
      <formula1>OR(NOT(ISERROR(DATEVALUE(G2))), AND(ISNUMBER(G2), LEFT(CELL("format", G2))="D"))</formula1>
    </dataValidation>
    <dataValidation type="list" allowBlank="1" sqref="D36:D53">
      <formula1>"ENTRENAMIENTO,DETENIDO BOL,FINALIZADO,EN PROCESO ,PAUSADO ,EN TEST,CONTROL DE CAMBIOS PRODUCCION,PENDIENTE,PRUEBAS BOLIVAR,PENDIENTE BOLIVAR,PRUEBAS IMAGINE,PASO A PRODUCCION,CONTROL CAMBIOS TEST"</formula1>
    </dataValidation>
  </dataValidations>
  <hyperlinks>
    <hyperlink r:id="rId1" ref="B39"/>
    <hyperlink r:id="rId2" ref="B42"/>
    <hyperlink r:id="rId3" ref="L52"/>
    <hyperlink r:id="rId4" ref="B61"/>
  </hyperlinks>
  <drawing r:id="rId5"/>
  <tableParts count="20">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theme="9"/>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14.78"/>
    <col customWidth="1" min="2" max="2" width="36.22"/>
    <col customWidth="1" min="3" max="3" width="41.11"/>
    <col customWidth="1" min="4" max="4" width="14.44"/>
    <col customWidth="1" min="5" max="5" width="8.78"/>
    <col customWidth="1" min="6" max="6" width="9.44"/>
    <col customWidth="1" min="7" max="7" width="16.33"/>
    <col customWidth="1" min="8" max="8" width="8.78"/>
    <col customWidth="1" min="9" max="9" width="4.67"/>
    <col customWidth="1" min="10" max="10" width="8.78"/>
    <col customWidth="1" min="11" max="11" width="10.44"/>
    <col customWidth="1" min="12" max="12" width="83.33"/>
    <col customWidth="1" min="13" max="13" width="67.67"/>
    <col customWidth="1" min="14" max="26" width="10.56"/>
  </cols>
  <sheetData>
    <row r="1" ht="15.0" customHeight="1">
      <c r="A1" s="532" t="s">
        <v>1808</v>
      </c>
      <c r="B1" s="532" t="s">
        <v>2</v>
      </c>
      <c r="C1" s="532" t="s">
        <v>4</v>
      </c>
      <c r="D1" s="532" t="s">
        <v>5</v>
      </c>
      <c r="E1" s="533" t="s">
        <v>8</v>
      </c>
      <c r="F1" s="533" t="s">
        <v>9</v>
      </c>
      <c r="G1" s="534" t="s">
        <v>2064</v>
      </c>
      <c r="H1" s="533" t="s">
        <v>11</v>
      </c>
      <c r="I1" s="533" t="s">
        <v>12</v>
      </c>
      <c r="J1" s="535" t="s">
        <v>13</v>
      </c>
      <c r="K1" s="536" t="s">
        <v>14</v>
      </c>
      <c r="L1" s="537" t="s">
        <v>1809</v>
      </c>
      <c r="M1" s="454"/>
      <c r="N1" s="454"/>
      <c r="O1" s="454"/>
      <c r="P1" s="454"/>
      <c r="Q1" s="454"/>
      <c r="R1" s="454"/>
      <c r="S1" s="454"/>
      <c r="T1" s="454"/>
      <c r="U1" s="454"/>
      <c r="V1" s="454"/>
      <c r="W1" s="454"/>
      <c r="X1" s="454"/>
      <c r="Y1" s="454"/>
      <c r="Z1" s="454"/>
    </row>
    <row r="2" ht="15.0" customHeight="1">
      <c r="A2" s="538" t="s">
        <v>1825</v>
      </c>
      <c r="B2" s="539" t="s">
        <v>2065</v>
      </c>
      <c r="C2" s="540" t="s">
        <v>2066</v>
      </c>
      <c r="D2" s="541"/>
      <c r="E2" s="542">
        <v>45561.0</v>
      </c>
      <c r="F2" s="542">
        <v>45561.0</v>
      </c>
      <c r="G2" s="541"/>
      <c r="H2" s="543">
        <v>45565.0</v>
      </c>
      <c r="I2" s="544">
        <f>IF(ISBLANK(H2), NETWORKDAYS(F2, TODAY(),Hoja2!$A$1:$A$18), NETWORKDAYS(F2, H2, Hoja2!$A$1:$A$18))</f>
        <v>3</v>
      </c>
      <c r="J2" s="542">
        <v>45565.0</v>
      </c>
      <c r="K2" s="542">
        <v>45566.0</v>
      </c>
      <c r="L2" s="545" t="s">
        <v>2067</v>
      </c>
      <c r="M2" s="454"/>
      <c r="N2" s="454"/>
      <c r="O2" s="454"/>
      <c r="P2" s="454"/>
      <c r="Q2" s="454"/>
      <c r="R2" s="454"/>
      <c r="S2" s="454"/>
      <c r="T2" s="454"/>
      <c r="U2" s="454"/>
      <c r="V2" s="454"/>
      <c r="W2" s="454"/>
      <c r="X2" s="454"/>
      <c r="Y2" s="454"/>
      <c r="Z2" s="454"/>
    </row>
    <row r="3" ht="15.0" customHeight="1">
      <c r="A3" s="538" t="s">
        <v>1825</v>
      </c>
      <c r="B3" s="546"/>
      <c r="C3" s="540" t="s">
        <v>2068</v>
      </c>
      <c r="D3" s="541"/>
      <c r="E3" s="542">
        <v>45561.0</v>
      </c>
      <c r="F3" s="542">
        <v>45562.0</v>
      </c>
      <c r="G3" s="541"/>
      <c r="H3" s="542">
        <v>45565.0</v>
      </c>
      <c r="I3" s="544">
        <f>IF(ISBLANK(H3), NETWORKDAYS(F3, TODAY(),Hoja2!$A$1:$A$18), NETWORKDAYS(F3, H3, Hoja2!$A$1:$A$18))</f>
        <v>2</v>
      </c>
      <c r="J3" s="542">
        <v>45565.0</v>
      </c>
      <c r="K3" s="542">
        <v>45566.0</v>
      </c>
      <c r="L3" s="545" t="s">
        <v>2069</v>
      </c>
      <c r="M3" s="454"/>
      <c r="N3" s="454"/>
      <c r="O3" s="454"/>
      <c r="P3" s="454"/>
      <c r="Q3" s="454"/>
      <c r="R3" s="454"/>
      <c r="S3" s="454"/>
      <c r="T3" s="454"/>
      <c r="U3" s="454"/>
      <c r="V3" s="454"/>
      <c r="W3" s="454"/>
      <c r="X3" s="454"/>
      <c r="Y3" s="454"/>
      <c r="Z3" s="454"/>
    </row>
    <row r="4" ht="15.0" customHeight="1">
      <c r="A4" s="538" t="s">
        <v>1825</v>
      </c>
      <c r="B4" s="547" t="s">
        <v>2070</v>
      </c>
      <c r="C4" s="540" t="s">
        <v>2071</v>
      </c>
      <c r="D4" s="541"/>
      <c r="E4" s="542">
        <v>45566.0</v>
      </c>
      <c r="F4" s="542">
        <v>45566.0</v>
      </c>
      <c r="G4" s="541"/>
      <c r="H4" s="542">
        <v>45566.0</v>
      </c>
      <c r="I4" s="544">
        <f>IF(ISBLANK(H4), NETWORKDAYS(F4, TODAY(),Hoja2!$A$1:$A$18), NETWORKDAYS(F4, H4, Hoja2!$A$1:$A$18))</f>
        <v>1</v>
      </c>
      <c r="J4" s="542">
        <v>45566.0</v>
      </c>
      <c r="K4" s="542">
        <v>45566.0</v>
      </c>
      <c r="L4" s="545" t="s">
        <v>2072</v>
      </c>
      <c r="M4" s="454"/>
      <c r="N4" s="454"/>
      <c r="O4" s="454"/>
      <c r="P4" s="454"/>
      <c r="Q4" s="454"/>
      <c r="R4" s="454"/>
      <c r="S4" s="454"/>
      <c r="T4" s="454"/>
      <c r="U4" s="454"/>
      <c r="V4" s="454"/>
      <c r="W4" s="454"/>
      <c r="X4" s="454"/>
      <c r="Y4" s="454"/>
      <c r="Z4" s="454"/>
    </row>
    <row r="5" ht="15.0" customHeight="1">
      <c r="A5" s="538" t="s">
        <v>1825</v>
      </c>
      <c r="B5" s="548"/>
      <c r="C5" s="540" t="s">
        <v>2073</v>
      </c>
      <c r="D5" s="541"/>
      <c r="E5" s="542">
        <v>45566.0</v>
      </c>
      <c r="F5" s="542">
        <v>45566.0</v>
      </c>
      <c r="G5" s="541"/>
      <c r="H5" s="542">
        <v>45566.0</v>
      </c>
      <c r="I5" s="544">
        <f>IF(ISBLANK(H5), NETWORKDAYS(F5, TODAY(),Hoja2!$A$1:$A$18), NETWORKDAYS(F5, H5, Hoja2!$A$1:$A$18))</f>
        <v>1</v>
      </c>
      <c r="J5" s="542">
        <v>45566.0</v>
      </c>
      <c r="K5" s="542">
        <v>45566.0</v>
      </c>
      <c r="L5" s="545" t="s">
        <v>2072</v>
      </c>
      <c r="M5" s="454"/>
      <c r="N5" s="454"/>
      <c r="O5" s="454"/>
      <c r="P5" s="454"/>
      <c r="Q5" s="454"/>
      <c r="R5" s="454"/>
      <c r="S5" s="454"/>
      <c r="T5" s="454"/>
      <c r="U5" s="454"/>
      <c r="V5" s="454"/>
      <c r="W5" s="454"/>
      <c r="X5" s="454"/>
      <c r="Y5" s="454"/>
      <c r="Z5" s="454"/>
    </row>
    <row r="6" ht="15.0" customHeight="1">
      <c r="A6" s="538" t="s">
        <v>1825</v>
      </c>
      <c r="B6" s="548"/>
      <c r="C6" s="540" t="s">
        <v>2074</v>
      </c>
      <c r="D6" s="541"/>
      <c r="E6" s="542">
        <v>45566.0</v>
      </c>
      <c r="F6" s="542">
        <v>45566.0</v>
      </c>
      <c r="G6" s="541"/>
      <c r="H6" s="542">
        <v>45566.0</v>
      </c>
      <c r="I6" s="544">
        <f>IF(ISBLANK(H6), NETWORKDAYS(F6, TODAY(),Hoja2!$A$1:$A$18), NETWORKDAYS(F6, H6, Hoja2!$A$1:$A$18))</f>
        <v>1</v>
      </c>
      <c r="J6" s="542">
        <v>45566.0</v>
      </c>
      <c r="K6" s="542">
        <v>45566.0</v>
      </c>
      <c r="L6" s="545" t="s">
        <v>2072</v>
      </c>
      <c r="M6" s="454"/>
      <c r="N6" s="454"/>
      <c r="O6" s="454"/>
      <c r="P6" s="454"/>
      <c r="Q6" s="454"/>
      <c r="R6" s="454"/>
      <c r="S6" s="454"/>
      <c r="T6" s="454"/>
      <c r="U6" s="454"/>
      <c r="V6" s="454"/>
      <c r="W6" s="454"/>
      <c r="X6" s="454"/>
      <c r="Y6" s="454"/>
      <c r="Z6" s="454"/>
    </row>
    <row r="7" ht="15.0" customHeight="1">
      <c r="A7" s="540" t="s">
        <v>1810</v>
      </c>
      <c r="B7" s="549" t="s">
        <v>2075</v>
      </c>
      <c r="C7" s="540"/>
      <c r="D7" s="541" t="s">
        <v>75</v>
      </c>
      <c r="E7" s="542">
        <v>45566.0</v>
      </c>
      <c r="F7" s="542">
        <v>45566.0</v>
      </c>
      <c r="G7" s="541"/>
      <c r="H7" s="542">
        <v>45567.0</v>
      </c>
      <c r="I7" s="544">
        <f>IF(ISBLANK(H7), NETWORKDAYS(F7, TODAY(),Hoja2!$A$1:$A$18), NETWORKDAYS(F7, H7, Hoja2!$A$1:$A$18))</f>
        <v>2</v>
      </c>
      <c r="J7" s="541"/>
      <c r="K7" s="541"/>
      <c r="L7" s="545" t="s">
        <v>2076</v>
      </c>
      <c r="M7" s="444"/>
      <c r="N7" s="444"/>
      <c r="O7" s="444"/>
      <c r="P7" s="444"/>
      <c r="Q7" s="444"/>
      <c r="R7" s="444"/>
      <c r="S7" s="444"/>
      <c r="T7" s="444"/>
      <c r="U7" s="444"/>
      <c r="V7" s="444"/>
      <c r="W7" s="444"/>
      <c r="X7" s="444"/>
      <c r="Y7" s="444"/>
      <c r="Z7" s="444"/>
    </row>
    <row r="8" ht="15.0" customHeight="1">
      <c r="A8" s="541" t="s">
        <v>1817</v>
      </c>
      <c r="B8" s="550" t="s">
        <v>2077</v>
      </c>
      <c r="C8" s="540"/>
      <c r="D8" s="541" t="s">
        <v>75</v>
      </c>
      <c r="E8" s="542">
        <v>45566.0</v>
      </c>
      <c r="F8" s="542">
        <v>45566.0</v>
      </c>
      <c r="G8" s="541"/>
      <c r="H8" s="542">
        <v>45566.0</v>
      </c>
      <c r="I8" s="544">
        <f>IF(ISBLANK(H8), NETWORKDAYS(F8, TODAY(),Hoja2!$A$1:$A$18), NETWORKDAYS(F8, H8, Hoja2!$A$1:$A$18))</f>
        <v>1</v>
      </c>
      <c r="J8" s="541"/>
      <c r="K8" s="542">
        <v>45566.0</v>
      </c>
      <c r="L8" s="545" t="s">
        <v>2078</v>
      </c>
      <c r="M8" s="444"/>
      <c r="N8" s="444"/>
      <c r="O8" s="444"/>
      <c r="P8" s="444"/>
      <c r="Q8" s="444"/>
      <c r="R8" s="444"/>
      <c r="S8" s="444"/>
      <c r="T8" s="444"/>
      <c r="U8" s="444"/>
      <c r="V8" s="444"/>
      <c r="W8" s="444"/>
      <c r="X8" s="444"/>
      <c r="Y8" s="444"/>
      <c r="Z8" s="444"/>
    </row>
    <row r="9" ht="15.0" customHeight="1">
      <c r="A9" s="541" t="s">
        <v>1817</v>
      </c>
      <c r="B9" s="550" t="s">
        <v>2079</v>
      </c>
      <c r="C9" s="540"/>
      <c r="D9" s="541" t="s">
        <v>2080</v>
      </c>
      <c r="E9" s="542">
        <v>45566.0</v>
      </c>
      <c r="F9" s="542">
        <v>45566.0</v>
      </c>
      <c r="G9" s="542">
        <v>45567.0</v>
      </c>
      <c r="H9" s="542">
        <v>45566.0</v>
      </c>
      <c r="I9" s="544">
        <f>IF(ISBLANK(H9), NETWORKDAYS(F9, TODAY(),Hoja2!$A$1:$A$18), NETWORKDAYS(F9, H9, Hoja2!$A$1:$A$18))</f>
        <v>1</v>
      </c>
      <c r="J9" s="542">
        <v>45568.0</v>
      </c>
      <c r="K9" s="541"/>
      <c r="L9" s="545" t="s">
        <v>2081</v>
      </c>
      <c r="M9" s="444"/>
      <c r="N9" s="444"/>
      <c r="O9" s="444"/>
      <c r="P9" s="444"/>
      <c r="Q9" s="444"/>
      <c r="R9" s="444"/>
      <c r="S9" s="444"/>
      <c r="T9" s="444"/>
      <c r="U9" s="444"/>
      <c r="V9" s="444"/>
      <c r="W9" s="444"/>
      <c r="X9" s="444"/>
      <c r="Y9" s="444"/>
      <c r="Z9" s="444"/>
    </row>
    <row r="10" ht="15.0" customHeight="1">
      <c r="A10" s="551" t="s">
        <v>2082</v>
      </c>
      <c r="B10" s="550" t="s">
        <v>2083</v>
      </c>
      <c r="C10" s="540"/>
      <c r="D10" s="541" t="s">
        <v>75</v>
      </c>
      <c r="E10" s="542">
        <v>45567.0</v>
      </c>
      <c r="F10" s="542">
        <v>45567.0</v>
      </c>
      <c r="G10" s="541"/>
      <c r="H10" s="542">
        <v>45567.0</v>
      </c>
      <c r="I10" s="544">
        <f>IF(ISBLANK(H10), NETWORKDAYS(F10, TODAY(),Hoja2!$A$1:$A$18), NETWORKDAYS(F10, H10, Hoja2!$A$1:$A$18))</f>
        <v>1</v>
      </c>
      <c r="J10" s="541"/>
      <c r="K10" s="542">
        <v>45568.0</v>
      </c>
      <c r="L10" s="545" t="s">
        <v>2084</v>
      </c>
      <c r="M10" s="444"/>
      <c r="N10" s="444"/>
      <c r="O10" s="444"/>
      <c r="P10" s="444"/>
      <c r="Q10" s="444"/>
      <c r="R10" s="444"/>
      <c r="S10" s="444"/>
      <c r="T10" s="444"/>
      <c r="U10" s="444"/>
      <c r="V10" s="444"/>
      <c r="W10" s="444"/>
      <c r="X10" s="444"/>
      <c r="Y10" s="444"/>
      <c r="Z10" s="444"/>
    </row>
    <row r="11" ht="15.0" customHeight="1">
      <c r="A11" s="541" t="s">
        <v>1835</v>
      </c>
      <c r="B11" s="552" t="s">
        <v>2070</v>
      </c>
      <c r="C11" s="540" t="s">
        <v>2085</v>
      </c>
      <c r="D11" s="541" t="s">
        <v>75</v>
      </c>
      <c r="E11" s="542">
        <v>45566.0</v>
      </c>
      <c r="F11" s="542">
        <v>45566.0</v>
      </c>
      <c r="G11" s="542">
        <v>45567.0</v>
      </c>
      <c r="H11" s="542">
        <v>45567.0</v>
      </c>
      <c r="I11" s="544">
        <f>IF(ISBLANK(H11), NETWORKDAYS(F11, TODAY(),Hoja2!$A$1:$A$18), NETWORKDAYS(F11, H11, Hoja2!$A$1:$A$18))</f>
        <v>2</v>
      </c>
      <c r="J11" s="542">
        <v>45567.0</v>
      </c>
      <c r="K11" s="542">
        <v>45568.0</v>
      </c>
      <c r="L11" s="545" t="s">
        <v>2086</v>
      </c>
      <c r="M11" s="444"/>
      <c r="N11" s="444"/>
      <c r="O11" s="444"/>
      <c r="P11" s="444"/>
      <c r="Q11" s="444"/>
      <c r="R11" s="444"/>
      <c r="S11" s="444"/>
      <c r="T11" s="444"/>
      <c r="U11" s="444"/>
      <c r="V11" s="444"/>
      <c r="W11" s="444"/>
      <c r="X11" s="444"/>
      <c r="Y11" s="444"/>
      <c r="Z11" s="444"/>
    </row>
    <row r="12" ht="15.0" customHeight="1">
      <c r="A12" s="541" t="s">
        <v>1835</v>
      </c>
      <c r="B12" s="553" t="s">
        <v>2065</v>
      </c>
      <c r="C12" s="540" t="s">
        <v>2087</v>
      </c>
      <c r="D12" s="541" t="s">
        <v>75</v>
      </c>
      <c r="E12" s="542">
        <v>45566.0</v>
      </c>
      <c r="F12" s="542">
        <v>45566.0</v>
      </c>
      <c r="G12" s="542">
        <v>45567.0</v>
      </c>
      <c r="H12" s="542">
        <v>45567.0</v>
      </c>
      <c r="I12" s="544">
        <f>IF(ISBLANK(H12), NETWORKDAYS(F12, TODAY(),Hoja2!$A$1:$A$18), NETWORKDAYS(F12, H12, Hoja2!$A$1:$A$18))</f>
        <v>2</v>
      </c>
      <c r="J12" s="542">
        <v>45567.0</v>
      </c>
      <c r="K12" s="542">
        <v>45568.0</v>
      </c>
      <c r="L12" s="545" t="s">
        <v>2086</v>
      </c>
      <c r="M12" s="444"/>
      <c r="N12" s="444"/>
      <c r="O12" s="444"/>
      <c r="P12" s="444"/>
      <c r="Q12" s="444"/>
      <c r="R12" s="444"/>
      <c r="S12" s="444"/>
      <c r="T12" s="444"/>
      <c r="U12" s="444"/>
      <c r="V12" s="444"/>
      <c r="W12" s="444"/>
      <c r="X12" s="444"/>
      <c r="Y12" s="444"/>
      <c r="Z12" s="444"/>
    </row>
    <row r="13" ht="15.0" customHeight="1">
      <c r="A13" s="554" t="s">
        <v>2082</v>
      </c>
      <c r="B13" s="555" t="s">
        <v>2088</v>
      </c>
      <c r="C13" s="540"/>
      <c r="D13" s="541" t="s">
        <v>237</v>
      </c>
      <c r="E13" s="542">
        <v>45567.0</v>
      </c>
      <c r="F13" s="542"/>
      <c r="G13" s="541"/>
      <c r="H13" s="542">
        <v>45569.0</v>
      </c>
      <c r="I13" s="544">
        <f>IF(ISBLANK(H13), NETWORKDAYS(F13, TODAY(),Hoja2!$A$1:$A$18), NETWORKDAYS(F13, H13, Hoja2!$A$1:$A$18))</f>
        <v>32538</v>
      </c>
      <c r="J13" s="541"/>
      <c r="K13" s="541"/>
      <c r="L13" s="556" t="s">
        <v>2089</v>
      </c>
      <c r="M13" s="444"/>
      <c r="N13" s="444"/>
      <c r="O13" s="444"/>
      <c r="P13" s="444"/>
      <c r="Q13" s="444"/>
      <c r="R13" s="444"/>
      <c r="S13" s="444"/>
      <c r="T13" s="444"/>
      <c r="U13" s="444"/>
      <c r="V13" s="444"/>
      <c r="W13" s="444"/>
      <c r="X13" s="444"/>
      <c r="Y13" s="444"/>
      <c r="Z13" s="444"/>
    </row>
    <row r="14" ht="15.0" customHeight="1">
      <c r="A14" s="538" t="s">
        <v>1835</v>
      </c>
      <c r="B14" s="557" t="s">
        <v>2090</v>
      </c>
      <c r="C14" s="558"/>
      <c r="D14" s="551" t="s">
        <v>1812</v>
      </c>
      <c r="E14" s="559">
        <v>45561.0</v>
      </c>
      <c r="F14" s="559">
        <v>45561.0</v>
      </c>
      <c r="G14" s="558"/>
      <c r="H14" s="559">
        <v>45562.0</v>
      </c>
      <c r="I14" s="544">
        <f>IF(ISBLANK(H14), NETWORKDAYS(F14, TODAY(),Hoja2!$A$1:$A$18), NETWORKDAYS(F14, H14, Hoja2!$A$1:$A$18))</f>
        <v>2</v>
      </c>
      <c r="J14" s="559">
        <v>45562.0</v>
      </c>
      <c r="K14" s="559">
        <v>45569.0</v>
      </c>
      <c r="L14" s="560" t="s">
        <v>2091</v>
      </c>
      <c r="M14" s="561" t="s">
        <v>2092</v>
      </c>
      <c r="N14" s="454"/>
      <c r="O14" s="454"/>
      <c r="P14" s="454"/>
      <c r="Q14" s="454"/>
      <c r="R14" s="454"/>
      <c r="S14" s="454"/>
      <c r="T14" s="454"/>
      <c r="U14" s="454"/>
      <c r="V14" s="454"/>
      <c r="W14" s="454"/>
      <c r="X14" s="454"/>
      <c r="Y14" s="454"/>
      <c r="Z14" s="454"/>
    </row>
    <row r="15" ht="15.0" customHeight="1">
      <c r="A15" s="551" t="s">
        <v>1931</v>
      </c>
      <c r="B15" s="550" t="s">
        <v>2083</v>
      </c>
      <c r="C15" s="553" t="s">
        <v>2093</v>
      </c>
      <c r="D15" s="541" t="s">
        <v>75</v>
      </c>
      <c r="E15" s="542">
        <v>45568.0</v>
      </c>
      <c r="F15" s="542">
        <v>45568.0</v>
      </c>
      <c r="G15" s="542">
        <v>45568.0</v>
      </c>
      <c r="H15" s="542">
        <v>45568.0</v>
      </c>
      <c r="I15" s="544">
        <f>IF(ISBLANK(H15), NETWORKDAYS(F15, TODAY(),Hoja2!$A$1:$A$18), NETWORKDAYS(F15, H15, Hoja2!$A$1:$A$18))</f>
        <v>1</v>
      </c>
      <c r="J15" s="541"/>
      <c r="K15" s="542"/>
      <c r="L15" s="545" t="s">
        <v>2094</v>
      </c>
      <c r="M15" s="444"/>
      <c r="N15" s="444"/>
      <c r="O15" s="444"/>
      <c r="P15" s="444"/>
      <c r="Q15" s="444"/>
      <c r="R15" s="444"/>
      <c r="S15" s="444"/>
      <c r="T15" s="444"/>
      <c r="U15" s="444"/>
      <c r="V15" s="444"/>
      <c r="W15" s="444"/>
      <c r="X15" s="444"/>
      <c r="Y15" s="444"/>
      <c r="Z15" s="444"/>
    </row>
    <row r="16" ht="15.0" customHeight="1">
      <c r="A16" s="562" t="s">
        <v>1825</v>
      </c>
      <c r="B16" s="563" t="s">
        <v>2095</v>
      </c>
      <c r="C16" s="550" t="s">
        <v>2096</v>
      </c>
      <c r="D16" s="551" t="s">
        <v>75</v>
      </c>
      <c r="E16" s="542">
        <v>45569.0</v>
      </c>
      <c r="F16" s="542">
        <v>45569.0</v>
      </c>
      <c r="G16" s="542"/>
      <c r="H16" s="542">
        <v>45569.0</v>
      </c>
      <c r="I16" s="544">
        <f>IF(ISBLANK(H16), NETWORKDAYS(F16, TODAY(),Hoja2!$A$1:$A$18), NETWORKDAYS(F16, H16, Hoja2!$A$1:$A$18))</f>
        <v>1</v>
      </c>
      <c r="J16" s="542"/>
      <c r="K16" s="542">
        <v>45569.0</v>
      </c>
      <c r="L16" s="545" t="s">
        <v>2097</v>
      </c>
      <c r="M16" s="444"/>
      <c r="N16" s="444"/>
      <c r="O16" s="444"/>
      <c r="P16" s="444"/>
      <c r="Q16" s="444"/>
      <c r="R16" s="444"/>
      <c r="S16" s="444"/>
      <c r="T16" s="444"/>
      <c r="U16" s="444"/>
      <c r="V16" s="444"/>
      <c r="W16" s="444"/>
      <c r="X16" s="444"/>
      <c r="Y16" s="444"/>
      <c r="Z16" s="444"/>
    </row>
    <row r="17" ht="15.0" customHeight="1">
      <c r="A17" s="562" t="s">
        <v>1825</v>
      </c>
      <c r="B17" s="546"/>
      <c r="C17" s="550" t="s">
        <v>2098</v>
      </c>
      <c r="D17" s="551" t="s">
        <v>75</v>
      </c>
      <c r="E17" s="542">
        <v>45569.0</v>
      </c>
      <c r="F17" s="542">
        <v>45569.0</v>
      </c>
      <c r="G17" s="542"/>
      <c r="H17" s="542">
        <v>45569.0</v>
      </c>
      <c r="I17" s="544">
        <f>IF(ISBLANK(H17), NETWORKDAYS(F17, TODAY(),Hoja2!$A$1:$A$18), NETWORKDAYS(F17, H17, Hoja2!$A$1:$A$18))</f>
        <v>1</v>
      </c>
      <c r="J17" s="542"/>
      <c r="K17" s="541"/>
      <c r="L17" s="545"/>
      <c r="M17" s="444"/>
      <c r="N17" s="444"/>
      <c r="O17" s="444"/>
      <c r="P17" s="444"/>
      <c r="Q17" s="444"/>
      <c r="R17" s="444"/>
      <c r="S17" s="444"/>
      <c r="T17" s="444"/>
      <c r="U17" s="444"/>
      <c r="V17" s="444"/>
      <c r="W17" s="444"/>
      <c r="X17" s="444"/>
      <c r="Y17" s="444"/>
      <c r="Z17" s="444"/>
    </row>
    <row r="18" ht="15.0" customHeight="1">
      <c r="A18" s="562" t="s">
        <v>1825</v>
      </c>
      <c r="B18" s="564" t="s">
        <v>2099</v>
      </c>
      <c r="C18" s="564" t="s">
        <v>2100</v>
      </c>
      <c r="D18" s="565" t="s">
        <v>214</v>
      </c>
      <c r="E18" s="566">
        <v>45567.0</v>
      </c>
      <c r="F18" s="566">
        <v>45567.0</v>
      </c>
      <c r="G18" s="566">
        <v>45568.0</v>
      </c>
      <c r="H18" s="566">
        <v>45568.0</v>
      </c>
      <c r="I18" s="567">
        <f>IF(ISBLANK(H18), NETWORKDAYS(F18, TODAY(),Hoja2!$A$1:$A$18), NETWORKDAYS(F18, H18, Hoja2!$A$1:$A$18))</f>
        <v>2</v>
      </c>
      <c r="J18" s="566">
        <v>45568.0</v>
      </c>
      <c r="K18" s="568"/>
      <c r="L18" s="569" t="s">
        <v>2101</v>
      </c>
      <c r="M18" s="444"/>
      <c r="N18" s="444"/>
      <c r="O18" s="444"/>
      <c r="P18" s="444"/>
      <c r="Q18" s="444"/>
      <c r="R18" s="444"/>
      <c r="S18" s="444"/>
      <c r="T18" s="444"/>
      <c r="U18" s="444"/>
      <c r="V18" s="444"/>
      <c r="W18" s="444"/>
      <c r="X18" s="444"/>
      <c r="Y18" s="444"/>
      <c r="Z18" s="444"/>
    </row>
    <row r="19" ht="15.0" customHeight="1">
      <c r="A19" s="554" t="s">
        <v>2082</v>
      </c>
      <c r="B19" s="570" t="s">
        <v>2102</v>
      </c>
      <c r="C19" s="556" t="s">
        <v>2103</v>
      </c>
      <c r="D19" s="551" t="s">
        <v>2104</v>
      </c>
      <c r="E19" s="542">
        <v>45566.0</v>
      </c>
      <c r="F19" s="542">
        <v>45566.0</v>
      </c>
      <c r="G19" s="542">
        <v>45567.0</v>
      </c>
      <c r="H19" s="542">
        <v>45567.0</v>
      </c>
      <c r="I19" s="544">
        <f>IF(ISBLANK(H19), NETWORKDAYS(F19, TODAY(),Hoja2!$A$1:$A$18), NETWORKDAYS(F19, H19, Hoja2!$A$1:$A$18))</f>
        <v>2</v>
      </c>
      <c r="J19" s="542">
        <v>45568.0</v>
      </c>
      <c r="K19" s="541"/>
      <c r="L19" s="545" t="s">
        <v>2105</v>
      </c>
      <c r="M19" s="444"/>
      <c r="N19" s="444"/>
      <c r="O19" s="444"/>
      <c r="P19" s="444"/>
      <c r="Q19" s="444"/>
      <c r="R19" s="444"/>
      <c r="S19" s="444"/>
      <c r="T19" s="444"/>
      <c r="U19" s="444"/>
      <c r="V19" s="444"/>
      <c r="W19" s="444"/>
      <c r="X19" s="444"/>
      <c r="Y19" s="444"/>
      <c r="Z19" s="444"/>
    </row>
    <row r="20" ht="15.0" customHeight="1">
      <c r="A20" s="554" t="s">
        <v>2082</v>
      </c>
      <c r="B20" s="408"/>
      <c r="C20" s="550" t="s">
        <v>2106</v>
      </c>
      <c r="D20" s="551" t="s">
        <v>2104</v>
      </c>
      <c r="E20" s="542">
        <v>45561.0</v>
      </c>
      <c r="F20" s="542">
        <v>45561.0</v>
      </c>
      <c r="G20" s="542">
        <v>45567.0</v>
      </c>
      <c r="H20" s="542">
        <v>45568.0</v>
      </c>
      <c r="I20" s="544">
        <f>IF(ISBLANK(H20), NETWORKDAYS(F20, TODAY(),Hoja2!$A$1:$A$18), NETWORKDAYS(F20, H20, Hoja2!$A$1:$A$18))</f>
        <v>6</v>
      </c>
      <c r="J20" s="542">
        <v>45568.0</v>
      </c>
      <c r="K20" s="541"/>
      <c r="L20" s="571" t="s">
        <v>2107</v>
      </c>
      <c r="M20" s="444"/>
      <c r="N20" s="444"/>
      <c r="O20" s="444"/>
      <c r="P20" s="444"/>
      <c r="Q20" s="444"/>
      <c r="R20" s="444"/>
      <c r="S20" s="444"/>
      <c r="T20" s="444"/>
      <c r="U20" s="444"/>
      <c r="V20" s="444"/>
      <c r="W20" s="444"/>
      <c r="X20" s="444"/>
      <c r="Y20" s="444"/>
      <c r="Z20" s="444"/>
    </row>
    <row r="21" ht="15.0" customHeight="1">
      <c r="A21" s="554" t="s">
        <v>2082</v>
      </c>
      <c r="B21" s="572"/>
      <c r="C21" s="553" t="s">
        <v>2108</v>
      </c>
      <c r="D21" s="541" t="s">
        <v>2104</v>
      </c>
      <c r="E21" s="542">
        <v>45561.0</v>
      </c>
      <c r="F21" s="542">
        <v>45568.0</v>
      </c>
      <c r="G21" s="541"/>
      <c r="H21" s="542">
        <v>45568.0</v>
      </c>
      <c r="I21" s="544">
        <f>IF(ISBLANK(H21), NETWORKDAYS(F21, TODAY(),Hoja2!$A$1:$A$18), NETWORKDAYS(F21, H21, Hoja2!$A$1:$A$18))</f>
        <v>1</v>
      </c>
      <c r="J21" s="542">
        <v>45568.0</v>
      </c>
      <c r="K21" s="541"/>
      <c r="L21" s="545" t="s">
        <v>2109</v>
      </c>
      <c r="M21" s="444"/>
      <c r="N21" s="444"/>
      <c r="O21" s="444"/>
      <c r="P21" s="444"/>
      <c r="Q21" s="444"/>
      <c r="R21" s="444"/>
      <c r="S21" s="444"/>
      <c r="T21" s="444"/>
      <c r="U21" s="444"/>
      <c r="V21" s="444"/>
      <c r="W21" s="444"/>
      <c r="X21" s="444"/>
      <c r="Y21" s="444"/>
      <c r="Z21" s="444"/>
    </row>
    <row r="22" ht="15.0" customHeight="1">
      <c r="A22" s="573" t="s">
        <v>2110</v>
      </c>
      <c r="B22" s="550" t="s">
        <v>2077</v>
      </c>
      <c r="C22" s="553" t="s">
        <v>2111</v>
      </c>
      <c r="D22" s="541" t="s">
        <v>75</v>
      </c>
      <c r="E22" s="542">
        <v>45567.0</v>
      </c>
      <c r="F22" s="542">
        <v>45567.0</v>
      </c>
      <c r="G22" s="542">
        <v>45567.0</v>
      </c>
      <c r="H22" s="542">
        <v>45569.0</v>
      </c>
      <c r="I22" s="544">
        <f>IF(ISBLANK(H22), NETWORKDAYS(F22, TODAY(),Hoja2!$A$1:$A$18), NETWORKDAYS(F22, H22, Hoja2!$A$1:$A$18))</f>
        <v>3</v>
      </c>
      <c r="J22" s="541"/>
      <c r="K22" s="541"/>
      <c r="L22" s="556" t="s">
        <v>2112</v>
      </c>
      <c r="M22" s="444"/>
      <c r="N22" s="444"/>
      <c r="O22" s="444"/>
      <c r="P22" s="444"/>
      <c r="Q22" s="444"/>
      <c r="R22" s="444"/>
      <c r="S22" s="444"/>
      <c r="T22" s="444"/>
      <c r="U22" s="444"/>
      <c r="V22" s="444"/>
      <c r="W22" s="444"/>
      <c r="X22" s="444"/>
      <c r="Y22" s="444"/>
      <c r="Z22" s="444"/>
    </row>
    <row r="23" ht="15.0" customHeight="1">
      <c r="A23" s="574" t="s">
        <v>2082</v>
      </c>
      <c r="B23" s="575" t="s">
        <v>2102</v>
      </c>
      <c r="C23" s="550" t="s">
        <v>2113</v>
      </c>
      <c r="D23" s="541" t="s">
        <v>75</v>
      </c>
      <c r="E23" s="542">
        <v>45569.0</v>
      </c>
      <c r="F23" s="542">
        <v>45572.0</v>
      </c>
      <c r="G23" s="542"/>
      <c r="H23" s="542">
        <v>45572.0</v>
      </c>
      <c r="I23" s="544">
        <f>IF(ISBLANK(H23), NETWORKDAYS(F23, TODAY(),Hoja2!$A$1:$A$18), NETWORKDAYS(F23, H23, Hoja2!$A$1:$A$18))</f>
        <v>1</v>
      </c>
      <c r="J23" s="542">
        <v>45572.0</v>
      </c>
      <c r="K23" s="542"/>
      <c r="L23" s="545"/>
      <c r="M23" s="454"/>
      <c r="N23" s="454"/>
      <c r="O23" s="454"/>
      <c r="P23" s="454"/>
      <c r="Q23" s="454"/>
      <c r="R23" s="454"/>
      <c r="S23" s="454"/>
      <c r="T23" s="454"/>
      <c r="U23" s="454"/>
      <c r="V23" s="454"/>
      <c r="W23" s="454"/>
      <c r="X23" s="454"/>
      <c r="Y23" s="454"/>
      <c r="Z23" s="454"/>
    </row>
    <row r="24" ht="15.0" customHeight="1">
      <c r="A24" s="541" t="s">
        <v>1931</v>
      </c>
      <c r="B24" s="550" t="s">
        <v>2079</v>
      </c>
      <c r="C24" s="553" t="s">
        <v>2114</v>
      </c>
      <c r="D24" s="541" t="s">
        <v>75</v>
      </c>
      <c r="E24" s="542">
        <v>45568.0</v>
      </c>
      <c r="F24" s="542">
        <v>45568.0</v>
      </c>
      <c r="G24" s="542">
        <v>45568.0</v>
      </c>
      <c r="H24" s="542">
        <v>45568.0</v>
      </c>
      <c r="I24" s="544">
        <f>IF(ISBLANK(H24), NETWORKDAYS(F24, TODAY(),Hoja2!$A$1:$A$18), NETWORKDAYS(F24, H24, Hoja2!$A$1:$A$18))</f>
        <v>1</v>
      </c>
      <c r="J24" s="542"/>
      <c r="K24" s="542"/>
      <c r="L24" s="545" t="s">
        <v>2115</v>
      </c>
      <c r="M24" s="444"/>
      <c r="N24" s="444"/>
      <c r="O24" s="444"/>
      <c r="P24" s="444"/>
      <c r="Q24" s="444"/>
      <c r="R24" s="444"/>
      <c r="S24" s="444"/>
      <c r="T24" s="444"/>
      <c r="U24" s="444"/>
      <c r="V24" s="444"/>
      <c r="W24" s="444"/>
      <c r="X24" s="444"/>
      <c r="Y24" s="444"/>
      <c r="Z24" s="444"/>
    </row>
    <row r="25" ht="15.0" customHeight="1">
      <c r="A25" s="576" t="s">
        <v>1835</v>
      </c>
      <c r="B25" s="563" t="s">
        <v>2116</v>
      </c>
      <c r="C25" s="577"/>
      <c r="D25" s="568" t="s">
        <v>237</v>
      </c>
      <c r="E25" s="566">
        <v>45572.0</v>
      </c>
      <c r="F25" s="566">
        <v>45573.0</v>
      </c>
      <c r="G25" s="568"/>
      <c r="H25" s="566">
        <v>45573.0</v>
      </c>
      <c r="I25" s="567">
        <f>IF(ISBLANK(H25), NETWORKDAYS(F25, TODAY(),Hoja2!$A$1:$A$18), NETWORKDAYS(F25, H25, Hoja2!$A$1:$A$18))</f>
        <v>1</v>
      </c>
      <c r="J25" s="566"/>
      <c r="K25" s="566">
        <v>45573.0</v>
      </c>
      <c r="L25" s="569" t="s">
        <v>2117</v>
      </c>
      <c r="M25" s="454"/>
      <c r="N25" s="454"/>
      <c r="O25" s="454"/>
      <c r="P25" s="454"/>
      <c r="Q25" s="454"/>
      <c r="R25" s="454"/>
      <c r="S25" s="454"/>
      <c r="T25" s="454"/>
      <c r="U25" s="454"/>
      <c r="V25" s="454"/>
      <c r="W25" s="454"/>
      <c r="X25" s="454"/>
      <c r="Y25" s="454"/>
      <c r="Z25" s="454"/>
    </row>
    <row r="26" ht="15.0" customHeight="1">
      <c r="A26" s="573" t="s">
        <v>1810</v>
      </c>
      <c r="B26" s="558"/>
      <c r="C26" s="540" t="s">
        <v>2118</v>
      </c>
      <c r="D26" s="541" t="s">
        <v>75</v>
      </c>
      <c r="E26" s="542">
        <v>45572.0</v>
      </c>
      <c r="F26" s="542">
        <v>45572.0</v>
      </c>
      <c r="G26" s="542"/>
      <c r="H26" s="542">
        <v>45572.0</v>
      </c>
      <c r="I26" s="544">
        <f>IF(ISBLANK(H26), NETWORKDAYS(F26, TODAY(),Hoja2!$A$1:$A$18), NETWORKDAYS(F26, H26, Hoja2!$A$1:$A$18))</f>
        <v>1</v>
      </c>
      <c r="J26" s="542">
        <v>45573.0</v>
      </c>
      <c r="K26" s="542"/>
      <c r="L26" s="556" t="s">
        <v>2119</v>
      </c>
      <c r="M26" s="444"/>
      <c r="N26" s="444"/>
      <c r="O26" s="444"/>
      <c r="P26" s="444"/>
      <c r="Q26" s="444"/>
      <c r="R26" s="444"/>
      <c r="S26" s="444"/>
      <c r="T26" s="444"/>
      <c r="U26" s="444"/>
      <c r="V26" s="444"/>
      <c r="W26" s="444"/>
      <c r="X26" s="444"/>
      <c r="Y26" s="444"/>
      <c r="Z26" s="444"/>
    </row>
    <row r="27" ht="15.0" customHeight="1">
      <c r="A27" s="578" t="s">
        <v>1817</v>
      </c>
      <c r="B27" s="579" t="s">
        <v>2120</v>
      </c>
      <c r="C27" s="580" t="s">
        <v>2121</v>
      </c>
      <c r="D27" s="374" t="s">
        <v>75</v>
      </c>
      <c r="E27" s="373">
        <v>45566.0</v>
      </c>
      <c r="F27" s="373">
        <v>45568.0</v>
      </c>
      <c r="G27" s="373">
        <v>45568.0</v>
      </c>
      <c r="H27" s="373">
        <v>45569.0</v>
      </c>
      <c r="I27" s="375">
        <f>IF(ISBLANK(H27), NETWORKDAYS(F27, TODAY(),Hoja2!$A$1:$A$18), NETWORKDAYS(F27, H27, Hoja2!$A$1:$A$18))</f>
        <v>2</v>
      </c>
      <c r="J27" s="373"/>
      <c r="K27" s="373"/>
      <c r="L27" s="376" t="s">
        <v>2122</v>
      </c>
      <c r="M27" s="363"/>
      <c r="N27" s="363"/>
      <c r="O27" s="363"/>
      <c r="P27" s="363"/>
      <c r="Q27" s="363"/>
      <c r="R27" s="363"/>
      <c r="S27" s="363"/>
      <c r="T27" s="363"/>
      <c r="U27" s="363"/>
      <c r="V27" s="363"/>
      <c r="W27" s="363"/>
      <c r="X27" s="363"/>
      <c r="Y27" s="363"/>
      <c r="Z27" s="363"/>
    </row>
    <row r="28" ht="15.0" customHeight="1">
      <c r="A28" s="581" t="s">
        <v>2082</v>
      </c>
      <c r="B28" s="582" t="s">
        <v>2123</v>
      </c>
      <c r="C28" s="583"/>
      <c r="D28" s="584" t="s">
        <v>75</v>
      </c>
      <c r="E28" s="585">
        <v>45572.0</v>
      </c>
      <c r="F28" s="586">
        <v>45573.0</v>
      </c>
      <c r="G28" s="585"/>
      <c r="H28" s="586">
        <v>45573.0</v>
      </c>
      <c r="I28" s="587">
        <f>IF(ISBLANK(H28), NETWORKDAYS(F28, TODAY(),Hoja2!$A$1:$A$18), NETWORKDAYS(F28, H28, Hoja2!$A$1:$A$18))</f>
        <v>1</v>
      </c>
      <c r="J28" s="585"/>
      <c r="K28" s="585"/>
      <c r="L28" s="588" t="s">
        <v>2124</v>
      </c>
      <c r="M28" s="363"/>
      <c r="N28" s="363"/>
      <c r="O28" s="363"/>
      <c r="P28" s="363"/>
      <c r="Q28" s="363"/>
      <c r="R28" s="363"/>
      <c r="S28" s="363"/>
      <c r="T28" s="363"/>
      <c r="U28" s="363"/>
      <c r="V28" s="363"/>
      <c r="W28" s="363"/>
      <c r="X28" s="363"/>
      <c r="Y28" s="363"/>
      <c r="Z28" s="363"/>
    </row>
    <row r="29" ht="15.0" customHeight="1">
      <c r="A29" s="581" t="s">
        <v>2082</v>
      </c>
      <c r="B29" s="589" t="s">
        <v>2102</v>
      </c>
      <c r="C29" s="590" t="s">
        <v>2125</v>
      </c>
      <c r="D29" s="374" t="s">
        <v>214</v>
      </c>
      <c r="E29" s="591">
        <v>45573.0</v>
      </c>
      <c r="F29" s="591">
        <v>45573.0</v>
      </c>
      <c r="G29" s="591">
        <v>45573.0</v>
      </c>
      <c r="H29" s="591">
        <v>45573.0</v>
      </c>
      <c r="I29" s="375">
        <f>IF(ISBLANK(H29), NETWORKDAYS(F29, TODAY(),Hoja2!$A$1:$A$18), NETWORKDAYS(F29, H29, Hoja2!$A$1:$A$18))</f>
        <v>1</v>
      </c>
      <c r="J29" s="591"/>
      <c r="K29" s="591"/>
      <c r="L29" s="592" t="s">
        <v>2126</v>
      </c>
      <c r="M29" s="369"/>
      <c r="N29" s="369"/>
      <c r="O29" s="369"/>
      <c r="P29" s="369"/>
      <c r="Q29" s="369"/>
      <c r="R29" s="369"/>
      <c r="S29" s="369"/>
      <c r="T29" s="369"/>
      <c r="U29" s="369"/>
      <c r="V29" s="369"/>
      <c r="W29" s="369"/>
      <c r="X29" s="369"/>
      <c r="Y29" s="369"/>
      <c r="Z29" s="369"/>
    </row>
    <row r="30" ht="15.75" customHeight="1">
      <c r="A30" s="593" t="s">
        <v>1825</v>
      </c>
      <c r="B30" s="590"/>
      <c r="C30" s="372" t="s">
        <v>2127</v>
      </c>
      <c r="D30" s="594" t="s">
        <v>2128</v>
      </c>
      <c r="E30" s="373">
        <v>45573.0</v>
      </c>
      <c r="F30" s="373">
        <v>45573.0</v>
      </c>
      <c r="G30" s="373"/>
      <c r="H30" s="373"/>
      <c r="I30" s="375"/>
      <c r="J30" s="373"/>
      <c r="K30" s="373"/>
      <c r="L30" s="595" t="s">
        <v>2129</v>
      </c>
      <c r="M30" s="363"/>
      <c r="N30" s="363"/>
      <c r="O30" s="363"/>
      <c r="P30" s="363"/>
      <c r="Q30" s="363"/>
      <c r="R30" s="363"/>
      <c r="S30" s="363"/>
      <c r="T30" s="363"/>
      <c r="U30" s="363"/>
      <c r="V30" s="363"/>
      <c r="W30" s="363"/>
      <c r="X30" s="363"/>
      <c r="Y30" s="363"/>
      <c r="Z30" s="363"/>
    </row>
    <row r="31" ht="15.75" customHeight="1">
      <c r="A31" s="578" t="s">
        <v>1835</v>
      </c>
      <c r="B31" s="596" t="s">
        <v>2130</v>
      </c>
      <c r="C31" s="580"/>
      <c r="D31" s="374" t="s">
        <v>75</v>
      </c>
      <c r="E31" s="373">
        <v>45574.0</v>
      </c>
      <c r="F31" s="373">
        <v>45574.0</v>
      </c>
      <c r="G31" s="373"/>
      <c r="H31" s="373">
        <v>45574.0</v>
      </c>
      <c r="I31" s="375">
        <f>IF(ISBLANK(H31), NETWORKDAYS(F31, TODAY(),Hoja2!$A$1:$A$18), NETWORKDAYS(F31, H31, Hoja2!$A$1:$A$18))</f>
        <v>1</v>
      </c>
      <c r="J31" s="373">
        <v>45574.0</v>
      </c>
      <c r="K31" s="373">
        <v>45574.0</v>
      </c>
      <c r="L31" s="376" t="s">
        <v>2131</v>
      </c>
      <c r="M31" s="597"/>
      <c r="N31" s="363"/>
      <c r="O31" s="363"/>
      <c r="P31" s="363"/>
      <c r="Q31" s="363"/>
      <c r="R31" s="363"/>
      <c r="S31" s="363"/>
      <c r="T31" s="363"/>
      <c r="U31" s="363"/>
      <c r="V31" s="363"/>
      <c r="W31" s="363"/>
      <c r="X31" s="363"/>
      <c r="Y31" s="363"/>
      <c r="Z31" s="363"/>
    </row>
    <row r="32" ht="15.75" customHeight="1">
      <c r="A32" s="578" t="s">
        <v>1835</v>
      </c>
      <c r="B32" s="590" t="s">
        <v>2132</v>
      </c>
      <c r="C32" s="580"/>
      <c r="D32" s="374" t="s">
        <v>75</v>
      </c>
      <c r="E32" s="373">
        <v>45574.0</v>
      </c>
      <c r="F32" s="373">
        <v>45574.0</v>
      </c>
      <c r="G32" s="373"/>
      <c r="H32" s="373">
        <v>45574.0</v>
      </c>
      <c r="I32" s="375">
        <f>IF(ISBLANK(H32), NETWORKDAYS(F32, TODAY(),Hoja2!$A$1:$A$18), NETWORKDAYS(F32, H32, Hoja2!$A$1:$A$18))</f>
        <v>1</v>
      </c>
      <c r="J32" s="373">
        <v>45574.0</v>
      </c>
      <c r="K32" s="373">
        <v>45574.0</v>
      </c>
      <c r="L32" s="376" t="s">
        <v>2133</v>
      </c>
      <c r="M32" s="598" t="s">
        <v>2134</v>
      </c>
      <c r="N32" s="363"/>
      <c r="O32" s="363"/>
      <c r="P32" s="363"/>
      <c r="Q32" s="363"/>
      <c r="R32" s="363"/>
      <c r="S32" s="363"/>
      <c r="T32" s="363"/>
      <c r="U32" s="363"/>
      <c r="V32" s="363"/>
      <c r="W32" s="363"/>
      <c r="X32" s="363"/>
      <c r="Y32" s="363"/>
      <c r="Z32" s="363"/>
    </row>
    <row r="33" ht="15.75" customHeight="1">
      <c r="A33" s="578" t="s">
        <v>1835</v>
      </c>
      <c r="B33" s="599" t="s">
        <v>2135</v>
      </c>
      <c r="C33" s="372" t="s">
        <v>2136</v>
      </c>
      <c r="D33" s="374" t="s">
        <v>75</v>
      </c>
      <c r="E33" s="373">
        <v>45572.0</v>
      </c>
      <c r="F33" s="373">
        <v>45572.0</v>
      </c>
      <c r="G33" s="373"/>
      <c r="H33" s="373">
        <v>45572.0</v>
      </c>
      <c r="I33" s="375">
        <f>IF(ISBLANK(H33), NETWORKDAYS(F33, TODAY(),Hoja2!$A$1:$A$18), NETWORKDAYS(F33, H33, Hoja2!$A$1:$A$18))</f>
        <v>1</v>
      </c>
      <c r="J33" s="373">
        <v>45574.0</v>
      </c>
      <c r="K33" s="373">
        <v>45574.0</v>
      </c>
      <c r="L33" s="376" t="s">
        <v>2137</v>
      </c>
      <c r="M33" s="598" t="s">
        <v>2138</v>
      </c>
      <c r="N33" s="363"/>
      <c r="O33" s="363"/>
      <c r="P33" s="363"/>
      <c r="Q33" s="363"/>
      <c r="R33" s="363"/>
      <c r="S33" s="363"/>
      <c r="T33" s="363"/>
      <c r="U33" s="363"/>
      <c r="V33" s="363"/>
      <c r="W33" s="363"/>
      <c r="X33" s="363"/>
      <c r="Y33" s="363"/>
      <c r="Z33" s="363"/>
    </row>
    <row r="34" ht="15.75" customHeight="1">
      <c r="A34" s="578" t="s">
        <v>1835</v>
      </c>
      <c r="B34" s="600" t="s">
        <v>2139</v>
      </c>
      <c r="C34" s="372" t="s">
        <v>2140</v>
      </c>
      <c r="D34" s="374" t="s">
        <v>75</v>
      </c>
      <c r="E34" s="373">
        <v>45567.0</v>
      </c>
      <c r="F34" s="373">
        <v>45567.0</v>
      </c>
      <c r="G34" s="373">
        <v>45569.0</v>
      </c>
      <c r="H34" s="373">
        <v>45568.0</v>
      </c>
      <c r="I34" s="375">
        <f>IF(ISBLANK(H34), NETWORKDAYS(F34, TODAY(),Hoja2!$A$1:$A$18), NETWORKDAYS(F34, H34, Hoja2!$A$1:$A$18))</f>
        <v>2</v>
      </c>
      <c r="J34" s="373">
        <v>45569.0</v>
      </c>
      <c r="K34" s="373"/>
      <c r="L34" s="376" t="s">
        <v>2141</v>
      </c>
      <c r="M34" s="597"/>
      <c r="N34" s="363"/>
      <c r="O34" s="363"/>
      <c r="P34" s="363"/>
      <c r="Q34" s="363"/>
      <c r="R34" s="363"/>
      <c r="S34" s="363"/>
      <c r="T34" s="363"/>
      <c r="U34" s="363"/>
      <c r="V34" s="363"/>
      <c r="W34" s="363"/>
      <c r="X34" s="363"/>
      <c r="Y34" s="363"/>
      <c r="Z34" s="363"/>
    </row>
    <row r="35" ht="15.75" customHeight="1">
      <c r="A35" s="601" t="s">
        <v>1835</v>
      </c>
      <c r="B35" s="602"/>
      <c r="C35" s="603" t="s">
        <v>2142</v>
      </c>
      <c r="D35" s="604" t="s">
        <v>75</v>
      </c>
      <c r="E35" s="605">
        <v>45567.0</v>
      </c>
      <c r="F35" s="605">
        <v>45567.0</v>
      </c>
      <c r="G35" s="605">
        <v>45569.0</v>
      </c>
      <c r="H35" s="605">
        <v>45568.0</v>
      </c>
      <c r="I35" s="606">
        <f>IF(ISBLANK(H35), NETWORKDAYS(F35, TODAY(),Hoja2!$A$1:$A$18), NETWORKDAYS(F35, H35, Hoja2!$A$1:$A$18))</f>
        <v>2</v>
      </c>
      <c r="J35" s="605">
        <v>45569.0</v>
      </c>
      <c r="K35" s="605"/>
      <c r="L35" s="607" t="s">
        <v>2143</v>
      </c>
      <c r="M35" s="597"/>
      <c r="N35" s="363"/>
      <c r="O35" s="363"/>
      <c r="P35" s="363"/>
      <c r="Q35" s="363"/>
      <c r="R35" s="363"/>
      <c r="S35" s="363"/>
      <c r="T35" s="363"/>
      <c r="U35" s="363"/>
      <c r="V35" s="363"/>
      <c r="W35" s="363"/>
      <c r="X35" s="363"/>
      <c r="Y35" s="363"/>
      <c r="Z35" s="363"/>
    </row>
    <row r="36" ht="15.75" customHeight="1">
      <c r="A36" s="578" t="s">
        <v>1835</v>
      </c>
      <c r="B36" s="362" t="s">
        <v>2070</v>
      </c>
      <c r="C36" s="580" t="s">
        <v>2144</v>
      </c>
      <c r="D36" s="374" t="s">
        <v>75</v>
      </c>
      <c r="E36" s="373">
        <v>45567.0</v>
      </c>
      <c r="F36" s="373">
        <v>45567.0</v>
      </c>
      <c r="G36" s="373">
        <v>45569.0</v>
      </c>
      <c r="H36" s="373">
        <v>45569.0</v>
      </c>
      <c r="I36" s="375">
        <f>IF(ISBLANK(H36), NETWORKDAYS(F36, TODAY(),Hoja2!$A$1:$A$18), NETWORKDAYS(F36, H36, Hoja2!$A$1:$A$18))</f>
        <v>3</v>
      </c>
      <c r="J36" s="373">
        <v>45569.0</v>
      </c>
      <c r="K36" s="373"/>
      <c r="L36" s="376" t="s">
        <v>2143</v>
      </c>
      <c r="M36" s="597"/>
      <c r="N36" s="363"/>
      <c r="O36" s="363"/>
      <c r="P36" s="363"/>
      <c r="Q36" s="363"/>
      <c r="R36" s="363"/>
      <c r="S36" s="363"/>
      <c r="T36" s="363"/>
      <c r="U36" s="363"/>
      <c r="V36" s="363"/>
      <c r="W36" s="363"/>
      <c r="X36" s="363"/>
      <c r="Y36" s="363"/>
      <c r="Z36" s="363"/>
    </row>
    <row r="37" ht="15.75" customHeight="1">
      <c r="A37" s="581" t="s">
        <v>2082</v>
      </c>
      <c r="B37" s="608" t="s">
        <v>2102</v>
      </c>
      <c r="C37" s="609" t="s">
        <v>2145</v>
      </c>
      <c r="D37" s="610" t="s">
        <v>75</v>
      </c>
      <c r="E37" s="611">
        <v>45572.0</v>
      </c>
      <c r="F37" s="611">
        <v>45572.0</v>
      </c>
      <c r="G37" s="586"/>
      <c r="H37" s="611">
        <v>45574.0</v>
      </c>
      <c r="I37" s="587">
        <f>IF(ISBLANK(H37), NETWORKDAYS(F37, TODAY(),Hoja2!$A$1:$A$18), NETWORKDAYS(F37, H37, Hoja2!$A$1:$A$18))</f>
        <v>3</v>
      </c>
      <c r="J37" s="611">
        <v>45574.0</v>
      </c>
      <c r="K37" s="586"/>
      <c r="L37" s="612" t="s">
        <v>2146</v>
      </c>
      <c r="M37" s="369"/>
      <c r="N37" s="369"/>
      <c r="O37" s="369"/>
      <c r="P37" s="369"/>
      <c r="Q37" s="369"/>
      <c r="R37" s="369"/>
      <c r="S37" s="369"/>
      <c r="T37" s="369"/>
      <c r="U37" s="369"/>
      <c r="V37" s="369"/>
      <c r="W37" s="369"/>
      <c r="X37" s="369"/>
      <c r="Y37" s="369"/>
      <c r="Z37" s="369"/>
    </row>
    <row r="38" ht="15.75" customHeight="1">
      <c r="A38" s="613" t="s">
        <v>2082</v>
      </c>
      <c r="B38" s="608" t="s">
        <v>2102</v>
      </c>
      <c r="C38" s="583" t="s">
        <v>2147</v>
      </c>
      <c r="D38" s="604" t="s">
        <v>75</v>
      </c>
      <c r="E38" s="368">
        <v>45572.0</v>
      </c>
      <c r="F38" s="368">
        <v>45572.0</v>
      </c>
      <c r="G38" s="368">
        <v>45573.0</v>
      </c>
      <c r="H38" s="368">
        <v>45575.0</v>
      </c>
      <c r="I38" s="606">
        <f>IF(ISBLANK(H38), NETWORKDAYS(F38, TODAY(),Hoja2!$A$1:$A$18), NETWORKDAYS(F38, H38, Hoja2!$A$1:$A$18))</f>
        <v>4</v>
      </c>
      <c r="J38" s="614"/>
      <c r="K38" s="614"/>
      <c r="L38" s="615" t="s">
        <v>2148</v>
      </c>
      <c r="M38" s="369"/>
      <c r="N38" s="369"/>
      <c r="O38" s="369"/>
      <c r="P38" s="369"/>
      <c r="Q38" s="369"/>
      <c r="R38" s="369"/>
      <c r="S38" s="369"/>
      <c r="T38" s="369"/>
      <c r="U38" s="369"/>
      <c r="V38" s="369"/>
      <c r="W38" s="369"/>
      <c r="X38" s="369"/>
      <c r="Y38" s="369"/>
      <c r="Z38" s="369"/>
    </row>
    <row r="39" ht="15.75" customHeight="1">
      <c r="A39" s="616" t="s">
        <v>1825</v>
      </c>
      <c r="B39" s="371" t="s">
        <v>2149</v>
      </c>
      <c r="C39" s="580" t="s">
        <v>2150</v>
      </c>
      <c r="D39" s="374" t="s">
        <v>75</v>
      </c>
      <c r="E39" s="373">
        <v>45574.0</v>
      </c>
      <c r="F39" s="373">
        <v>45576.0</v>
      </c>
      <c r="G39" s="373"/>
      <c r="H39" s="373">
        <v>45576.0</v>
      </c>
      <c r="I39" s="375">
        <f>IF(ISBLANK(H39), NETWORKDAYS(F39, TODAY(),Hoja2!$A$1:$A$18), NETWORKDAYS(F39, H39, Hoja2!$A$1:$A$18))</f>
        <v>1</v>
      </c>
      <c r="J39" s="373"/>
      <c r="K39" s="373"/>
      <c r="L39" s="376" t="s">
        <v>2151</v>
      </c>
      <c r="M39" s="363"/>
      <c r="N39" s="363"/>
      <c r="O39" s="363"/>
      <c r="P39" s="363"/>
      <c r="Q39" s="363"/>
      <c r="R39" s="363"/>
      <c r="S39" s="363"/>
      <c r="T39" s="363"/>
      <c r="U39" s="363"/>
      <c r="V39" s="363"/>
      <c r="W39" s="363"/>
      <c r="X39" s="363"/>
      <c r="Y39" s="363"/>
      <c r="Z39" s="363"/>
    </row>
    <row r="40" ht="15.75" customHeight="1">
      <c r="A40" s="578" t="s">
        <v>1810</v>
      </c>
      <c r="B40" s="371" t="s">
        <v>1814</v>
      </c>
      <c r="C40" s="580" t="s">
        <v>2152</v>
      </c>
      <c r="D40" s="594" t="s">
        <v>75</v>
      </c>
      <c r="E40" s="373">
        <v>45560.0</v>
      </c>
      <c r="F40" s="373">
        <v>45572.0</v>
      </c>
      <c r="G40" s="373"/>
      <c r="H40" s="373">
        <v>45573.0</v>
      </c>
      <c r="I40" s="375">
        <f>IF(ISBLANK(H40), NETWORKDAYS(F40, TODAY(),Hoja2!$A$1:$A$18), NETWORKDAYS(F40, H40, Hoja2!$A$1:$A$18))</f>
        <v>2</v>
      </c>
      <c r="J40" s="373">
        <v>45573.0</v>
      </c>
      <c r="K40" s="373"/>
      <c r="L40" s="595" t="s">
        <v>2153</v>
      </c>
      <c r="M40" s="363"/>
      <c r="N40" s="363"/>
      <c r="O40" s="363"/>
      <c r="P40" s="363"/>
      <c r="Q40" s="363"/>
      <c r="R40" s="363"/>
      <c r="S40" s="363"/>
      <c r="T40" s="363"/>
      <c r="U40" s="363"/>
      <c r="V40" s="363"/>
      <c r="W40" s="363"/>
      <c r="X40" s="363"/>
      <c r="Y40" s="363"/>
      <c r="Z40" s="363"/>
    </row>
    <row r="41" ht="15.75" customHeight="1">
      <c r="A41" s="578" t="s">
        <v>1810</v>
      </c>
      <c r="B41" s="617" t="s">
        <v>2154</v>
      </c>
      <c r="C41" s="372" t="s">
        <v>2155</v>
      </c>
      <c r="D41" s="618" t="s">
        <v>75</v>
      </c>
      <c r="E41" s="373">
        <v>45575.0</v>
      </c>
      <c r="F41" s="373">
        <v>45576.0</v>
      </c>
      <c r="G41" s="373">
        <v>45581.0</v>
      </c>
      <c r="H41" s="373">
        <v>45576.0</v>
      </c>
      <c r="I41" s="375">
        <f>IF(ISBLANK(H41), NETWORKDAYS(F41, TODAY(),Hoja2!$A$1:$A$18), NETWORKDAYS(F41, H41, Hoja2!$A$1:$A$18))</f>
        <v>1</v>
      </c>
      <c r="J41" s="373">
        <v>45576.0</v>
      </c>
      <c r="K41" s="373">
        <v>45576.0</v>
      </c>
      <c r="L41" s="376" t="s">
        <v>2156</v>
      </c>
      <c r="M41" s="363"/>
      <c r="N41" s="363"/>
      <c r="O41" s="363"/>
      <c r="P41" s="363"/>
      <c r="Q41" s="363"/>
      <c r="R41" s="363"/>
      <c r="S41" s="363"/>
      <c r="T41" s="363"/>
      <c r="U41" s="363"/>
      <c r="V41" s="363"/>
      <c r="W41" s="363"/>
      <c r="X41" s="363"/>
      <c r="Y41" s="363"/>
      <c r="Z41" s="363"/>
    </row>
    <row r="42" ht="15.75" customHeight="1">
      <c r="A42" s="581" t="s">
        <v>2082</v>
      </c>
      <c r="B42" s="619" t="s">
        <v>2157</v>
      </c>
      <c r="C42" s="620"/>
      <c r="D42" s="621" t="s">
        <v>2158</v>
      </c>
      <c r="E42" s="586">
        <v>45573.0</v>
      </c>
      <c r="F42" s="586">
        <v>45574.0</v>
      </c>
      <c r="G42" s="620"/>
      <c r="H42" s="586">
        <v>45574.0</v>
      </c>
      <c r="I42" s="587">
        <f>IF(ISBLANK(H42), NETWORKDAYS(F42, TODAY(),Hoja2!$A$1:$A$18), NETWORKDAYS(F42, H42, Hoja2!$A$1:$A$18))</f>
        <v>1</v>
      </c>
      <c r="J42" s="586">
        <v>45574.0</v>
      </c>
      <c r="K42" s="586">
        <v>45575.0</v>
      </c>
      <c r="L42" s="622" t="s">
        <v>2159</v>
      </c>
      <c r="M42" s="369"/>
      <c r="N42" s="369"/>
      <c r="O42" s="369"/>
      <c r="P42" s="369"/>
      <c r="Q42" s="369"/>
      <c r="R42" s="369"/>
      <c r="S42" s="369"/>
      <c r="T42" s="369"/>
      <c r="U42" s="369"/>
      <c r="V42" s="369"/>
      <c r="W42" s="369"/>
      <c r="X42" s="369"/>
      <c r="Y42" s="369"/>
      <c r="Z42" s="369"/>
    </row>
    <row r="43" ht="15.75" customHeight="1">
      <c r="A43" s="623" t="s">
        <v>1825</v>
      </c>
      <c r="B43" s="624" t="s">
        <v>2149</v>
      </c>
      <c r="C43" s="625" t="s">
        <v>2160</v>
      </c>
      <c r="D43" s="626" t="s">
        <v>75</v>
      </c>
      <c r="E43" s="405">
        <v>45576.0</v>
      </c>
      <c r="F43" s="405">
        <v>45576.0</v>
      </c>
      <c r="G43" s="405"/>
      <c r="H43" s="405">
        <v>45576.0</v>
      </c>
      <c r="I43" s="383">
        <f>IF(ISBLANK(H43), NETWORKDAYS(F43, TODAY(),Hoja2!$A$1:$A$18), NETWORKDAYS(F43, H43, Hoja2!$A$1:$A$18))</f>
        <v>1</v>
      </c>
      <c r="J43" s="405">
        <v>45580.0</v>
      </c>
      <c r="K43" s="405"/>
      <c r="L43" s="627" t="s">
        <v>2161</v>
      </c>
      <c r="M43" s="363"/>
      <c r="N43" s="363"/>
      <c r="O43" s="363"/>
      <c r="P43" s="363"/>
      <c r="Q43" s="363"/>
      <c r="R43" s="363"/>
      <c r="S43" s="363"/>
      <c r="T43" s="363"/>
      <c r="U43" s="363"/>
      <c r="V43" s="363"/>
      <c r="W43" s="363"/>
      <c r="X43" s="363"/>
      <c r="Y43" s="363"/>
      <c r="Z43" s="363"/>
    </row>
    <row r="44" ht="15.75" customHeight="1">
      <c r="A44" s="623" t="s">
        <v>1825</v>
      </c>
      <c r="B44" s="628" t="s">
        <v>2162</v>
      </c>
      <c r="C44" s="626" t="s">
        <v>2163</v>
      </c>
      <c r="D44" s="380" t="s">
        <v>75</v>
      </c>
      <c r="E44" s="405">
        <v>45561.0</v>
      </c>
      <c r="F44" s="405">
        <v>45569.0</v>
      </c>
      <c r="G44" s="405">
        <v>45572.0</v>
      </c>
      <c r="H44" s="405">
        <v>45572.0</v>
      </c>
      <c r="I44" s="383">
        <f>IF(ISBLANK(H44), NETWORKDAYS(F44, TODAY(),Hoja2!$A$1:$A$18), NETWORKDAYS(F44, H44, Hoja2!$A$1:$A$18))</f>
        <v>2</v>
      </c>
      <c r="J44" s="405">
        <v>45580.0</v>
      </c>
      <c r="K44" s="405"/>
      <c r="L44" s="627" t="s">
        <v>2164</v>
      </c>
      <c r="M44" s="363"/>
      <c r="N44" s="363"/>
      <c r="O44" s="363"/>
      <c r="P44" s="363"/>
      <c r="Q44" s="363"/>
      <c r="R44" s="363"/>
      <c r="S44" s="363"/>
      <c r="T44" s="363"/>
      <c r="U44" s="363"/>
      <c r="V44" s="363"/>
      <c r="W44" s="363"/>
      <c r="X44" s="363"/>
      <c r="Y44" s="363"/>
      <c r="Z44" s="363"/>
    </row>
    <row r="45" ht="15.75" customHeight="1">
      <c r="A45" s="616" t="s">
        <v>2082</v>
      </c>
      <c r="B45" s="629" t="s">
        <v>2102</v>
      </c>
      <c r="C45" s="372" t="s">
        <v>2165</v>
      </c>
      <c r="D45" s="374" t="s">
        <v>75</v>
      </c>
      <c r="E45" s="373">
        <v>45576.0</v>
      </c>
      <c r="F45" s="373">
        <v>45576.0</v>
      </c>
      <c r="G45" s="373">
        <v>45580.0</v>
      </c>
      <c r="H45" s="373">
        <v>45576.0</v>
      </c>
      <c r="I45" s="375">
        <f>IF(ISBLANK(H45), NETWORKDAYS(F45, TODAY(),Hoja2!$A$1:$A$18), NETWORKDAYS(F45, H45, Hoja2!$A$1:$A$18))</f>
        <v>1</v>
      </c>
      <c r="J45" s="373">
        <v>45580.0</v>
      </c>
      <c r="K45" s="373"/>
      <c r="L45" s="376"/>
      <c r="M45" s="597"/>
      <c r="N45" s="363"/>
      <c r="O45" s="363"/>
      <c r="P45" s="363"/>
      <c r="Q45" s="363"/>
      <c r="R45" s="363"/>
      <c r="S45" s="363"/>
      <c r="T45" s="363"/>
      <c r="U45" s="363"/>
      <c r="V45" s="363"/>
      <c r="W45" s="363"/>
      <c r="X45" s="363"/>
      <c r="Y45" s="363"/>
      <c r="Z45" s="363"/>
    </row>
    <row r="46" ht="15.75" customHeight="1">
      <c r="A46" s="616" t="s">
        <v>2082</v>
      </c>
      <c r="B46" s="629" t="s">
        <v>2102</v>
      </c>
      <c r="C46" s="630" t="s">
        <v>2166</v>
      </c>
      <c r="D46" s="374" t="s">
        <v>75</v>
      </c>
      <c r="E46" s="373">
        <v>45576.0</v>
      </c>
      <c r="F46" s="373">
        <v>45576.0</v>
      </c>
      <c r="G46" s="373">
        <v>45580.0</v>
      </c>
      <c r="H46" s="373">
        <v>45576.0</v>
      </c>
      <c r="I46" s="375">
        <f>IF(ISBLANK(H46), NETWORKDAYS(F46, TODAY(),Hoja2!$A$1:$A$18), NETWORKDAYS(F46, H46, Hoja2!$A$1:$A$18))</f>
        <v>1</v>
      </c>
      <c r="J46" s="591">
        <v>45580.0</v>
      </c>
      <c r="K46" s="631"/>
      <c r="L46" s="631" t="s">
        <v>2167</v>
      </c>
      <c r="M46" s="632"/>
      <c r="N46" s="369"/>
      <c r="O46" s="369"/>
      <c r="P46" s="369"/>
      <c r="Q46" s="369"/>
      <c r="R46" s="369"/>
      <c r="S46" s="369"/>
      <c r="T46" s="369"/>
      <c r="U46" s="369"/>
      <c r="V46" s="369"/>
      <c r="W46" s="369"/>
      <c r="X46" s="369"/>
      <c r="Y46" s="369"/>
      <c r="Z46" s="369"/>
    </row>
    <row r="47" ht="15.75" customHeight="1">
      <c r="A47" s="623" t="s">
        <v>1825</v>
      </c>
      <c r="B47" s="624" t="s">
        <v>2168</v>
      </c>
      <c r="C47" s="625" t="s">
        <v>2169</v>
      </c>
      <c r="D47" s="626" t="s">
        <v>75</v>
      </c>
      <c r="E47" s="405">
        <v>45580.0</v>
      </c>
      <c r="F47" s="405">
        <v>45580.0</v>
      </c>
      <c r="G47" s="405"/>
      <c r="H47" s="405">
        <v>45580.0</v>
      </c>
      <c r="I47" s="383">
        <f>IF(ISBLANK(H47), NETWORKDAYS(F47, TODAY(),Hoja2!$A$1:$A$18), NETWORKDAYS(F47, H47, Hoja2!$A$1:$A$18))</f>
        <v>1</v>
      </c>
      <c r="J47" s="405">
        <v>45580.0</v>
      </c>
      <c r="K47" s="405"/>
      <c r="L47" s="627" t="s">
        <v>2170</v>
      </c>
      <c r="M47" s="363"/>
      <c r="N47" s="363"/>
      <c r="O47" s="363"/>
      <c r="P47" s="363"/>
      <c r="Q47" s="363"/>
      <c r="R47" s="363"/>
      <c r="S47" s="363"/>
      <c r="T47" s="363"/>
      <c r="U47" s="363"/>
      <c r="V47" s="363"/>
      <c r="W47" s="363"/>
      <c r="X47" s="363"/>
      <c r="Y47" s="363"/>
      <c r="Z47" s="363"/>
    </row>
    <row r="48" ht="15.75" customHeight="1">
      <c r="A48" s="616" t="s">
        <v>2082</v>
      </c>
      <c r="B48" s="629" t="s">
        <v>2102</v>
      </c>
      <c r="C48" s="630" t="s">
        <v>2171</v>
      </c>
      <c r="D48" s="374" t="s">
        <v>75</v>
      </c>
      <c r="E48" s="605">
        <v>45576.0</v>
      </c>
      <c r="F48" s="605">
        <v>45576.0</v>
      </c>
      <c r="G48" s="605">
        <v>45580.0</v>
      </c>
      <c r="H48" s="605">
        <v>45576.0</v>
      </c>
      <c r="I48" s="606">
        <f>IF(ISBLANK(H48), NETWORKDAYS(F48, TODAY(),Hoja2!$A$1:$A$18), NETWORKDAYS(F48, H48, Hoja2!$A$1:$A$18))</f>
        <v>1</v>
      </c>
      <c r="J48" s="366"/>
      <c r="K48" s="366"/>
      <c r="L48" s="633" t="s">
        <v>2172</v>
      </c>
      <c r="M48" s="632"/>
      <c r="N48" s="369"/>
      <c r="O48" s="369"/>
      <c r="P48" s="369"/>
      <c r="Q48" s="369"/>
      <c r="R48" s="369"/>
      <c r="S48" s="369"/>
      <c r="T48" s="369"/>
      <c r="U48" s="369"/>
      <c r="V48" s="369"/>
      <c r="W48" s="369"/>
      <c r="X48" s="369"/>
      <c r="Y48" s="369"/>
      <c r="Z48" s="369"/>
    </row>
    <row r="49" ht="15.75" customHeight="1">
      <c r="A49" s="616" t="s">
        <v>2082</v>
      </c>
      <c r="B49" s="629" t="s">
        <v>2102</v>
      </c>
      <c r="C49" s="634" t="s">
        <v>2173</v>
      </c>
      <c r="D49" s="635" t="s">
        <v>75</v>
      </c>
      <c r="E49" s="373">
        <v>45580.0</v>
      </c>
      <c r="F49" s="373">
        <v>45580.0</v>
      </c>
      <c r="G49" s="373"/>
      <c r="H49" s="373">
        <v>45581.0</v>
      </c>
      <c r="I49" s="375">
        <f>IF(ISBLANK(H49), NETWORKDAYS(F49, TODAY(),Hoja2!$A$1:$A$18), NETWORKDAYS(F49, H49, Hoja2!$A$1:$A$18))</f>
        <v>2</v>
      </c>
      <c r="J49" s="631"/>
      <c r="K49" s="631"/>
      <c r="L49" s="631"/>
      <c r="M49" s="632"/>
      <c r="N49" s="369"/>
      <c r="O49" s="369"/>
      <c r="P49" s="369"/>
      <c r="Q49" s="369"/>
      <c r="R49" s="369"/>
      <c r="S49" s="369"/>
      <c r="T49" s="369"/>
      <c r="U49" s="369"/>
      <c r="V49" s="369"/>
      <c r="W49" s="369"/>
      <c r="X49" s="369"/>
      <c r="Y49" s="369"/>
      <c r="Z49" s="369"/>
    </row>
    <row r="50" ht="15.75" customHeight="1">
      <c r="A50" s="593" t="s">
        <v>2082</v>
      </c>
      <c r="B50" s="589" t="s">
        <v>2102</v>
      </c>
      <c r="C50" s="633" t="s">
        <v>2174</v>
      </c>
      <c r="D50" s="367" t="s">
        <v>75</v>
      </c>
      <c r="E50" s="605">
        <v>45576.0</v>
      </c>
      <c r="F50" s="605">
        <v>45581.0</v>
      </c>
      <c r="G50" s="605"/>
      <c r="H50" s="605">
        <v>45582.0</v>
      </c>
      <c r="I50" s="606">
        <f>IF(ISBLANK(H50), NETWORKDAYS(F50, TODAY(),Hoja2!$A$1:$A$18), NETWORKDAYS(F50, H50, Hoja2!$A$1:$A$18))</f>
        <v>2</v>
      </c>
      <c r="J50" s="605">
        <v>45582.0</v>
      </c>
      <c r="K50" s="366"/>
      <c r="L50" s="366" t="s">
        <v>2175</v>
      </c>
      <c r="M50" s="632"/>
      <c r="N50" s="369"/>
      <c r="O50" s="369"/>
      <c r="P50" s="369"/>
      <c r="Q50" s="369"/>
      <c r="R50" s="369"/>
      <c r="S50" s="369"/>
      <c r="T50" s="369"/>
      <c r="U50" s="369"/>
      <c r="V50" s="369"/>
      <c r="W50" s="369"/>
      <c r="X50" s="369"/>
      <c r="Y50" s="369"/>
      <c r="Z50" s="369"/>
      <c r="AA50" s="408"/>
      <c r="AB50" s="408"/>
      <c r="AC50" s="408"/>
      <c r="AD50" s="408"/>
      <c r="AE50" s="408"/>
      <c r="AF50" s="408"/>
      <c r="AG50" s="408"/>
    </row>
    <row r="51" ht="15.75" customHeight="1">
      <c r="A51" s="401" t="s">
        <v>1817</v>
      </c>
      <c r="B51" s="628" t="s">
        <v>2149</v>
      </c>
      <c r="C51" s="625" t="s">
        <v>2176</v>
      </c>
      <c r="D51" s="626" t="s">
        <v>75</v>
      </c>
      <c r="E51" s="405">
        <v>45581.0</v>
      </c>
      <c r="F51" s="405">
        <v>45582.0</v>
      </c>
      <c r="G51" s="405"/>
      <c r="H51" s="405">
        <v>45583.0</v>
      </c>
      <c r="I51" s="383">
        <f>IF(ISBLANK(H51), NETWORKDAYS(F51, TODAY(),Hoja2!$A$1:$A$18), NETWORKDAYS(F51, H51, Hoja2!$A$1:$A$18))</f>
        <v>2</v>
      </c>
      <c r="J51" s="405"/>
      <c r="K51" s="405"/>
      <c r="L51" s="627" t="s">
        <v>2177</v>
      </c>
      <c r="M51" s="597"/>
      <c r="N51" s="363"/>
      <c r="O51" s="363"/>
      <c r="P51" s="363"/>
      <c r="Q51" s="363"/>
      <c r="R51" s="363"/>
      <c r="S51" s="363"/>
      <c r="T51" s="363"/>
      <c r="U51" s="363"/>
      <c r="V51" s="363"/>
      <c r="W51" s="363"/>
      <c r="X51" s="363"/>
      <c r="Y51" s="363"/>
      <c r="Z51" s="363"/>
    </row>
    <row r="52" ht="15.75" customHeight="1">
      <c r="A52" s="362" t="s">
        <v>1810</v>
      </c>
      <c r="B52" s="579" t="s">
        <v>1814</v>
      </c>
      <c r="C52" s="636" t="s">
        <v>2178</v>
      </c>
      <c r="D52" s="637" t="s">
        <v>214</v>
      </c>
      <c r="E52" s="638">
        <v>45582.0</v>
      </c>
      <c r="F52" s="639">
        <v>45582.0</v>
      </c>
      <c r="G52" s="639"/>
      <c r="H52" s="639">
        <v>45582.0</v>
      </c>
      <c r="I52" s="587">
        <f>IF(ISBLANK(H52), NETWORKDAYS(F52, TODAY(),Hoja2!$A$1:$A$18), NETWORKDAYS(F52, H52, Hoja2!$A$1:$A$18))</f>
        <v>1</v>
      </c>
      <c r="J52" s="639">
        <v>45582.0</v>
      </c>
      <c r="K52" s="639"/>
      <c r="L52" s="640" t="s">
        <v>2179</v>
      </c>
      <c r="M52" s="363"/>
      <c r="N52" s="363"/>
      <c r="O52" s="363"/>
      <c r="P52" s="363"/>
      <c r="Q52" s="363"/>
      <c r="R52" s="363"/>
      <c r="S52" s="363"/>
      <c r="T52" s="363"/>
      <c r="U52" s="363"/>
      <c r="V52" s="363"/>
      <c r="W52" s="363"/>
      <c r="X52" s="363"/>
      <c r="Y52" s="363"/>
      <c r="Z52" s="363"/>
      <c r="AA52" s="408"/>
      <c r="AB52" s="408"/>
      <c r="AC52" s="408"/>
      <c r="AD52" s="408"/>
      <c r="AE52" s="408"/>
      <c r="AF52" s="408"/>
      <c r="AG52" s="408"/>
    </row>
    <row r="53" ht="15.75" customHeight="1">
      <c r="A53" s="362" t="s">
        <v>1810</v>
      </c>
      <c r="B53" s="579" t="s">
        <v>1814</v>
      </c>
      <c r="C53" s="636" t="s">
        <v>2180</v>
      </c>
      <c r="D53" s="610" t="s">
        <v>75</v>
      </c>
      <c r="E53" s="641">
        <v>45560.0</v>
      </c>
      <c r="F53" s="642">
        <v>45572.0</v>
      </c>
      <c r="G53" s="642"/>
      <c r="H53" s="642">
        <v>45574.0</v>
      </c>
      <c r="I53" s="587">
        <f>IF(ISBLANK(H53), NETWORKDAYS(F53, TODAY(),Hoja2!$A$1:$A$18), NETWORKDAYS(F53, H53, Hoja2!$A$1:$A$18))</f>
        <v>3</v>
      </c>
      <c r="J53" s="639">
        <v>45582.0</v>
      </c>
      <c r="K53" s="642"/>
      <c r="L53" s="643" t="s">
        <v>2181</v>
      </c>
      <c r="M53" s="363"/>
      <c r="N53" s="363"/>
      <c r="O53" s="363"/>
      <c r="P53" s="363"/>
      <c r="Q53" s="363"/>
      <c r="R53" s="363"/>
      <c r="S53" s="363"/>
      <c r="T53" s="363"/>
      <c r="U53" s="363"/>
      <c r="V53" s="363"/>
      <c r="W53" s="363"/>
      <c r="X53" s="363"/>
      <c r="Y53" s="363"/>
      <c r="Z53" s="363"/>
    </row>
    <row r="54" ht="15.75" customHeight="1">
      <c r="A54" s="596" t="s">
        <v>2082</v>
      </c>
      <c r="B54" s="371" t="s">
        <v>2102</v>
      </c>
      <c r="C54" s="622" t="s">
        <v>2182</v>
      </c>
      <c r="D54" s="594" t="s">
        <v>75</v>
      </c>
      <c r="E54" s="373">
        <v>45583.0</v>
      </c>
      <c r="F54" s="644">
        <v>45583.0</v>
      </c>
      <c r="G54" s="373"/>
      <c r="H54" s="373">
        <v>45586.0</v>
      </c>
      <c r="I54" s="375">
        <f>IF(ISBLANK(H54), NETWORKDAYS(F54, TODAY(),Hoja2!$A$1:$A$18), NETWORKDAYS(F54, H54, Hoja2!$A$1:$A$18))</f>
        <v>2</v>
      </c>
      <c r="J54" s="373">
        <v>45586.0</v>
      </c>
      <c r="K54" s="631"/>
      <c r="L54" s="631" t="s">
        <v>2183</v>
      </c>
      <c r="M54" s="632"/>
      <c r="N54" s="369"/>
      <c r="O54" s="369"/>
      <c r="P54" s="369"/>
      <c r="Q54" s="369"/>
      <c r="R54" s="369"/>
      <c r="S54" s="369"/>
      <c r="T54" s="369"/>
      <c r="U54" s="369"/>
      <c r="V54" s="369"/>
      <c r="W54" s="369"/>
      <c r="X54" s="369"/>
      <c r="Y54" s="369"/>
      <c r="Z54" s="369"/>
    </row>
    <row r="55" ht="15.75" customHeight="1">
      <c r="A55" s="599" t="s">
        <v>2082</v>
      </c>
      <c r="B55" s="629" t="s">
        <v>2102</v>
      </c>
      <c r="C55" s="645" t="s">
        <v>2184</v>
      </c>
      <c r="D55" s="367" t="s">
        <v>75</v>
      </c>
      <c r="E55" s="641">
        <v>45583.0</v>
      </c>
      <c r="F55" s="642">
        <v>45583.0</v>
      </c>
      <c r="G55" s="642"/>
      <c r="H55" s="642">
        <v>45583.0</v>
      </c>
      <c r="I55" s="587">
        <f>IF(ISBLANK(H55), NETWORKDAYS(F55, TODAY(),Hoja2!$A$1:$A$18), NETWORKDAYS(F55, H55, Hoja2!$A$1:$A$18))</f>
        <v>1</v>
      </c>
      <c r="J55" s="642">
        <v>45583.0</v>
      </c>
      <c r="K55" s="620"/>
      <c r="L55" s="620"/>
      <c r="M55" s="632"/>
      <c r="N55" s="369"/>
      <c r="O55" s="369"/>
      <c r="P55" s="369"/>
      <c r="Q55" s="369"/>
      <c r="R55" s="369"/>
      <c r="S55" s="369"/>
      <c r="T55" s="369"/>
      <c r="U55" s="369"/>
      <c r="V55" s="369"/>
      <c r="W55" s="369"/>
      <c r="X55" s="369"/>
      <c r="Y55" s="369"/>
      <c r="Z55" s="369"/>
      <c r="AA55" s="408"/>
      <c r="AB55" s="408"/>
      <c r="AC55" s="408"/>
      <c r="AD55" s="408"/>
      <c r="AE55" s="408"/>
      <c r="AF55" s="408"/>
      <c r="AG55" s="408"/>
    </row>
    <row r="56" ht="15.75" customHeight="1">
      <c r="A56" s="596" t="s">
        <v>2082</v>
      </c>
      <c r="B56" s="371" t="s">
        <v>2102</v>
      </c>
      <c r="C56" s="393" t="s">
        <v>2185</v>
      </c>
      <c r="D56" s="594" t="s">
        <v>75</v>
      </c>
      <c r="E56" s="641">
        <v>45586.0</v>
      </c>
      <c r="F56" s="641">
        <v>45586.0</v>
      </c>
      <c r="G56" s="642"/>
      <c r="H56" s="642">
        <v>45587.0</v>
      </c>
      <c r="I56" s="587">
        <f>IF(ISBLANK(H56), NETWORKDAYS(F56, TODAY(),Hoja2!$A$1:$A$18), NETWORKDAYS(F56, H56, Hoja2!$A$1:$A$18))</f>
        <v>2</v>
      </c>
      <c r="J56" s="642">
        <v>45587.0</v>
      </c>
      <c r="K56" s="620"/>
      <c r="L56" s="622" t="s">
        <v>2186</v>
      </c>
      <c r="M56" s="632"/>
      <c r="N56" s="369"/>
      <c r="O56" s="369"/>
      <c r="P56" s="369"/>
      <c r="Q56" s="369"/>
      <c r="R56" s="369"/>
      <c r="S56" s="369"/>
      <c r="T56" s="369"/>
      <c r="U56" s="369"/>
      <c r="V56" s="369"/>
      <c r="W56" s="369"/>
      <c r="X56" s="369"/>
      <c r="Y56" s="369"/>
      <c r="Z56" s="369"/>
      <c r="AA56" s="408"/>
      <c r="AB56" s="408"/>
      <c r="AC56" s="408"/>
      <c r="AD56" s="408"/>
      <c r="AE56" s="408"/>
      <c r="AF56" s="408"/>
      <c r="AG56" s="408"/>
    </row>
    <row r="57" ht="15.75" customHeight="1">
      <c r="A57" s="596" t="s">
        <v>2082</v>
      </c>
      <c r="B57" s="629" t="s">
        <v>2102</v>
      </c>
      <c r="C57" s="646" t="s">
        <v>2187</v>
      </c>
      <c r="D57" s="594" t="s">
        <v>75</v>
      </c>
      <c r="E57" s="641">
        <v>45586.0</v>
      </c>
      <c r="F57" s="641">
        <v>45587.0</v>
      </c>
      <c r="G57" s="642"/>
      <c r="H57" s="642">
        <v>45587.0</v>
      </c>
      <c r="I57" s="587">
        <f>IF(ISBLANK(H57), NETWORKDAYS(F57, TODAY(),Hoja2!$A$1:$A$18), NETWORKDAYS(F57, H57, Hoja2!$A$1:$A$18))</f>
        <v>1</v>
      </c>
      <c r="J57" s="642">
        <v>45587.0</v>
      </c>
      <c r="K57" s="620"/>
      <c r="L57" s="620" t="s">
        <v>2188</v>
      </c>
      <c r="M57" s="632"/>
      <c r="N57" s="369"/>
      <c r="O57" s="369"/>
      <c r="P57" s="369"/>
      <c r="Q57" s="369"/>
      <c r="R57" s="369"/>
      <c r="S57" s="369"/>
      <c r="T57" s="369"/>
      <c r="U57" s="369"/>
      <c r="V57" s="369"/>
      <c r="W57" s="369"/>
      <c r="X57" s="369"/>
      <c r="Y57" s="369"/>
      <c r="Z57" s="369"/>
      <c r="AA57" s="408"/>
      <c r="AB57" s="408"/>
      <c r="AC57" s="408"/>
      <c r="AD57" s="408"/>
      <c r="AE57" s="408"/>
      <c r="AF57" s="408"/>
      <c r="AG57" s="408"/>
    </row>
    <row r="58" ht="15.75" customHeight="1">
      <c r="A58" s="623" t="s">
        <v>1825</v>
      </c>
      <c r="B58" s="624" t="s">
        <v>2149</v>
      </c>
      <c r="C58" s="625" t="s">
        <v>2189</v>
      </c>
      <c r="D58" s="626" t="s">
        <v>75</v>
      </c>
      <c r="E58" s="405">
        <v>45561.0</v>
      </c>
      <c r="F58" s="405">
        <v>45572.0</v>
      </c>
      <c r="G58" s="405"/>
      <c r="H58" s="405">
        <v>45587.0</v>
      </c>
      <c r="I58" s="383">
        <f>IF(ISBLANK(H58), NETWORKDAYS(F58, TODAY(),Hoja2!$A$1:$A$18), NETWORKDAYS(F58, H58, Hoja2!$A$1:$A$18))</f>
        <v>11</v>
      </c>
      <c r="J58" s="405">
        <v>45587.0</v>
      </c>
      <c r="K58" s="405"/>
      <c r="L58" s="627" t="s">
        <v>2190</v>
      </c>
      <c r="M58" s="363"/>
      <c r="N58" s="363"/>
      <c r="O58" s="363"/>
      <c r="P58" s="363"/>
      <c r="Q58" s="363"/>
      <c r="R58" s="363"/>
      <c r="S58" s="363"/>
      <c r="T58" s="363"/>
      <c r="U58" s="363"/>
      <c r="V58" s="363"/>
      <c r="W58" s="363"/>
      <c r="X58" s="363"/>
      <c r="Y58" s="363"/>
      <c r="Z58" s="363"/>
    </row>
    <row r="59" ht="15.75" customHeight="1">
      <c r="A59" s="593" t="s">
        <v>1810</v>
      </c>
      <c r="B59" s="583" t="s">
        <v>2191</v>
      </c>
      <c r="C59" s="647" t="s">
        <v>2192</v>
      </c>
      <c r="D59" s="584" t="s">
        <v>75</v>
      </c>
      <c r="E59" s="585">
        <v>45576.0</v>
      </c>
      <c r="F59" s="585">
        <v>45576.0</v>
      </c>
      <c r="G59" s="585"/>
      <c r="H59" s="585">
        <v>45576.0</v>
      </c>
      <c r="I59" s="648">
        <f>IF(ISBLANK(H59), NETWORKDAYS(F59, TODAY(),Hoja2!$A$1:$A$18), NETWORKDAYS(F59, H59, Hoja2!$A$1:$A$18))</f>
        <v>1</v>
      </c>
      <c r="J59" s="585">
        <v>45576.0</v>
      </c>
      <c r="K59" s="585">
        <v>45587.0</v>
      </c>
      <c r="L59" s="649" t="s">
        <v>2193</v>
      </c>
      <c r="M59" s="363"/>
      <c r="N59" s="363"/>
      <c r="O59" s="363"/>
      <c r="P59" s="363"/>
      <c r="Q59" s="363"/>
      <c r="R59" s="363"/>
      <c r="S59" s="363"/>
      <c r="T59" s="363"/>
      <c r="U59" s="363"/>
      <c r="V59" s="363"/>
      <c r="W59" s="363"/>
      <c r="X59" s="363"/>
      <c r="Y59" s="363"/>
      <c r="Z59" s="363"/>
    </row>
    <row r="60" ht="15.75" customHeight="1">
      <c r="A60" s="623" t="s">
        <v>1825</v>
      </c>
      <c r="B60" s="623" t="s">
        <v>2194</v>
      </c>
      <c r="C60" s="623" t="s">
        <v>2195</v>
      </c>
      <c r="D60" s="623" t="s">
        <v>75</v>
      </c>
      <c r="E60" s="650">
        <v>45587.0</v>
      </c>
      <c r="F60" s="650">
        <v>45588.0</v>
      </c>
      <c r="G60" s="623"/>
      <c r="H60" s="650">
        <v>45588.0</v>
      </c>
      <c r="I60" s="383">
        <f>IF(ISBLANK(H60), NETWORKDAYS(F60, TODAY(),Hoja2!$A$1:$A$18), NETWORKDAYS(F60, H60, Hoja2!$A$1:$A$18))</f>
        <v>1</v>
      </c>
      <c r="J60" s="623"/>
      <c r="K60" s="623"/>
      <c r="L60" s="651" t="s">
        <v>2196</v>
      </c>
      <c r="M60" s="652"/>
      <c r="N60" s="652"/>
      <c r="O60" s="652"/>
      <c r="P60" s="652"/>
      <c r="Q60" s="652"/>
      <c r="R60" s="652"/>
      <c r="S60" s="652"/>
      <c r="T60" s="652"/>
      <c r="U60" s="652"/>
      <c r="V60" s="652"/>
      <c r="W60" s="652"/>
      <c r="X60" s="652"/>
      <c r="Y60" s="652"/>
      <c r="Z60" s="652"/>
      <c r="AA60" s="652"/>
      <c r="AB60" s="652"/>
      <c r="AC60" s="652"/>
      <c r="AD60" s="652"/>
      <c r="AE60" s="652"/>
      <c r="AF60" s="652"/>
      <c r="AG60" s="652"/>
    </row>
    <row r="61" ht="15.75" customHeight="1">
      <c r="A61" s="623" t="s">
        <v>1825</v>
      </c>
      <c r="B61" s="623" t="s">
        <v>2194</v>
      </c>
      <c r="C61" s="623" t="s">
        <v>2197</v>
      </c>
      <c r="D61" s="623" t="s">
        <v>75</v>
      </c>
      <c r="E61" s="650">
        <v>45587.0</v>
      </c>
      <c r="F61" s="650">
        <v>45588.0</v>
      </c>
      <c r="G61" s="623"/>
      <c r="H61" s="650">
        <v>45588.0</v>
      </c>
      <c r="I61" s="383">
        <f>IF(ISBLANK(H61), NETWORKDAYS(F61, TODAY(),Hoja2!$A$1:$A$18), NETWORKDAYS(F61, H61, Hoja2!$A$1:$A$18))</f>
        <v>1</v>
      </c>
      <c r="J61" s="623"/>
      <c r="K61" s="623"/>
      <c r="L61" s="651" t="s">
        <v>2198</v>
      </c>
      <c r="M61" s="652"/>
      <c r="N61" s="652"/>
      <c r="O61" s="652"/>
      <c r="P61" s="652"/>
      <c r="Q61" s="652"/>
      <c r="R61" s="652"/>
      <c r="S61" s="652"/>
      <c r="T61" s="652"/>
      <c r="U61" s="652"/>
      <c r="V61" s="652"/>
      <c r="W61" s="652"/>
      <c r="X61" s="652"/>
      <c r="Y61" s="652"/>
      <c r="Z61" s="652"/>
      <c r="AA61" s="652"/>
      <c r="AB61" s="652"/>
      <c r="AC61" s="652"/>
      <c r="AD61" s="652"/>
      <c r="AE61" s="652"/>
      <c r="AF61" s="652"/>
      <c r="AG61" s="652"/>
    </row>
    <row r="62" ht="15.75" customHeight="1">
      <c r="A62" s="623" t="s">
        <v>1825</v>
      </c>
      <c r="B62" s="623" t="s">
        <v>2194</v>
      </c>
      <c r="C62" s="623" t="s">
        <v>2199</v>
      </c>
      <c r="D62" s="623" t="s">
        <v>75</v>
      </c>
      <c r="E62" s="650">
        <v>45587.0</v>
      </c>
      <c r="F62" s="650">
        <v>45588.0</v>
      </c>
      <c r="G62" s="623"/>
      <c r="H62" s="650">
        <v>45588.0</v>
      </c>
      <c r="I62" s="383">
        <f>IF(ISBLANK(H62), NETWORKDAYS(F62, TODAY(),Hoja2!$A$1:$A$18), NETWORKDAYS(F62, H62, Hoja2!$A$1:$A$18))</f>
        <v>1</v>
      </c>
      <c r="J62" s="623"/>
      <c r="K62" s="623"/>
      <c r="L62" s="651" t="s">
        <v>2200</v>
      </c>
      <c r="M62" s="652"/>
      <c r="N62" s="652"/>
      <c r="O62" s="652"/>
      <c r="P62" s="652"/>
      <c r="Q62" s="652"/>
      <c r="R62" s="652"/>
      <c r="S62" s="652"/>
      <c r="T62" s="652"/>
      <c r="U62" s="652"/>
      <c r="V62" s="652"/>
      <c r="W62" s="652"/>
      <c r="X62" s="652"/>
      <c r="Y62" s="652"/>
      <c r="Z62" s="652"/>
      <c r="AA62" s="652"/>
      <c r="AB62" s="652"/>
      <c r="AC62" s="652"/>
      <c r="AD62" s="652"/>
      <c r="AE62" s="652"/>
      <c r="AF62" s="652"/>
      <c r="AG62" s="652"/>
    </row>
    <row r="63" ht="15.75" customHeight="1">
      <c r="A63" s="653" t="s">
        <v>1817</v>
      </c>
      <c r="B63" s="654" t="s">
        <v>2201</v>
      </c>
      <c r="C63" s="655" t="s">
        <v>2202</v>
      </c>
      <c r="D63" s="656" t="s">
        <v>2203</v>
      </c>
      <c r="E63" s="657">
        <v>45559.0</v>
      </c>
      <c r="F63" s="657">
        <v>45576.0</v>
      </c>
      <c r="G63" s="658"/>
      <c r="H63" s="659">
        <v>45581.0</v>
      </c>
      <c r="I63" s="660">
        <f>IF(ISBLANK(H63), NETWORKDAYS(F63, TODAY(),Hoja2!$A$1:$A$18), NETWORKDAYS(F63, H63, Hoja2!$A$1:$A$18))</f>
        <v>3</v>
      </c>
      <c r="J63" s="659">
        <v>45581.0</v>
      </c>
      <c r="K63" s="661">
        <v>45583.0</v>
      </c>
      <c r="L63" s="662" t="s">
        <v>2204</v>
      </c>
      <c r="M63" s="369"/>
      <c r="N63" s="369"/>
      <c r="O63" s="369"/>
      <c r="P63" s="369"/>
      <c r="Q63" s="369"/>
      <c r="R63" s="369"/>
      <c r="S63" s="369"/>
      <c r="T63" s="369"/>
      <c r="U63" s="369"/>
      <c r="V63" s="369"/>
      <c r="W63" s="369"/>
      <c r="X63" s="369"/>
      <c r="Y63" s="369"/>
      <c r="Z63" s="369"/>
    </row>
    <row r="64" ht="15.75" customHeight="1">
      <c r="A64" s="374" t="s">
        <v>1835</v>
      </c>
      <c r="B64" s="590" t="s">
        <v>2205</v>
      </c>
      <c r="C64" s="580"/>
      <c r="D64" s="551" t="s">
        <v>2206</v>
      </c>
      <c r="E64" s="373">
        <v>45562.0</v>
      </c>
      <c r="F64" s="373">
        <v>45562.0</v>
      </c>
      <c r="G64" s="374"/>
      <c r="H64" s="373">
        <v>45566.0</v>
      </c>
      <c r="I64" s="375">
        <f>IF(ISBLANK(H64), NETWORKDAYS(F64, TODAY(),Hoja2!$A$1:$A$18), NETWORKDAYS(F64, H64, Hoja2!$A$1:$A$18))</f>
        <v>3</v>
      </c>
      <c r="J64" s="373">
        <v>45566.0</v>
      </c>
      <c r="K64" s="373">
        <v>45590.0</v>
      </c>
      <c r="L64" s="376" t="s">
        <v>2207</v>
      </c>
      <c r="M64" s="363"/>
      <c r="N64" s="363"/>
      <c r="O64" s="363"/>
      <c r="P64" s="363"/>
      <c r="Q64" s="363"/>
      <c r="R64" s="363"/>
      <c r="S64" s="363"/>
      <c r="T64" s="363"/>
      <c r="U64" s="363"/>
      <c r="V64" s="363"/>
      <c r="W64" s="363"/>
      <c r="X64" s="363"/>
      <c r="Y64" s="363"/>
      <c r="Z64" s="363"/>
    </row>
    <row r="65" ht="15.75" customHeight="1">
      <c r="A65" s="600" t="s">
        <v>1810</v>
      </c>
      <c r="B65" s="579" t="s">
        <v>1814</v>
      </c>
      <c r="C65" s="663" t="s">
        <v>2208</v>
      </c>
      <c r="D65" s="584" t="s">
        <v>75</v>
      </c>
      <c r="E65" s="664">
        <v>45587.0</v>
      </c>
      <c r="F65" s="585">
        <v>45587.0</v>
      </c>
      <c r="G65" s="585"/>
      <c r="H65" s="585">
        <v>45589.0</v>
      </c>
      <c r="I65" s="648">
        <f>IF(ISBLANK(H65), NETWORKDAYS(F65, TODAY(),Hoja2!$A$1:$A$18), NETWORKDAYS(F65, H65, Hoja2!$A$1:$A$18))</f>
        <v>3</v>
      </c>
      <c r="J65" s="585">
        <v>45589.0</v>
      </c>
      <c r="K65" s="585"/>
      <c r="L65" s="588" t="s">
        <v>2209</v>
      </c>
      <c r="M65" s="363"/>
      <c r="N65" s="363"/>
      <c r="O65" s="363"/>
      <c r="P65" s="363"/>
      <c r="Q65" s="363"/>
      <c r="R65" s="363"/>
      <c r="S65" s="363"/>
      <c r="T65" s="363"/>
      <c r="U65" s="363"/>
      <c r="V65" s="363"/>
      <c r="W65" s="363"/>
      <c r="X65" s="363"/>
      <c r="Y65" s="363"/>
      <c r="Z65" s="363"/>
      <c r="AA65" s="408"/>
      <c r="AB65" s="408"/>
      <c r="AC65" s="408"/>
      <c r="AD65" s="408"/>
      <c r="AE65" s="408"/>
      <c r="AF65" s="408"/>
      <c r="AG65" s="408"/>
    </row>
    <row r="66" ht="15.75" customHeight="1">
      <c r="A66" s="362" t="s">
        <v>1810</v>
      </c>
      <c r="B66" s="371" t="s">
        <v>1822</v>
      </c>
      <c r="C66" s="372" t="s">
        <v>2210</v>
      </c>
      <c r="D66" s="594" t="s">
        <v>2211</v>
      </c>
      <c r="E66" s="373">
        <v>45572.0</v>
      </c>
      <c r="F66" s="373">
        <v>45574.0</v>
      </c>
      <c r="G66" s="373"/>
      <c r="H66" s="373">
        <v>45574.0</v>
      </c>
      <c r="I66" s="375">
        <f>IF(ISBLANK(H66), NETWORKDAYS(F66, TODAY(),Hoja2!$A$1:$A$18), NETWORKDAYS(F66, H66, Hoja2!$A$1:$A$18))</f>
        <v>1</v>
      </c>
      <c r="J66" s="373">
        <v>45574.0</v>
      </c>
      <c r="K66" s="373"/>
      <c r="L66" s="376" t="s">
        <v>2212</v>
      </c>
      <c r="M66" s="363"/>
      <c r="N66" s="363"/>
      <c r="O66" s="363"/>
      <c r="P66" s="363"/>
      <c r="Q66" s="363"/>
      <c r="R66" s="363"/>
      <c r="S66" s="363"/>
      <c r="T66" s="363"/>
      <c r="U66" s="363"/>
      <c r="V66" s="363"/>
      <c r="W66" s="363"/>
      <c r="X66" s="363"/>
      <c r="Y66" s="363"/>
      <c r="Z66" s="363"/>
    </row>
    <row r="67" ht="15.75" customHeight="1">
      <c r="A67" s="596" t="s">
        <v>2082</v>
      </c>
      <c r="B67" s="371" t="s">
        <v>2213</v>
      </c>
      <c r="C67" s="411" t="s">
        <v>2214</v>
      </c>
      <c r="D67" s="374" t="s">
        <v>75</v>
      </c>
      <c r="E67" s="373">
        <v>45588.0</v>
      </c>
      <c r="F67" s="644">
        <v>45589.0</v>
      </c>
      <c r="G67" s="373"/>
      <c r="H67" s="373">
        <v>45589.0</v>
      </c>
      <c r="I67" s="375">
        <f>IF(ISBLANK(H67), NETWORKDAYS(F67, TODAY(),Hoja2!$A$1:$A$18), NETWORKDAYS(F67, H67, Hoja2!$A$1:$A$18))</f>
        <v>1</v>
      </c>
      <c r="J67" s="631"/>
      <c r="K67" s="631"/>
      <c r="L67" s="665" t="s">
        <v>2215</v>
      </c>
      <c r="M67" s="632"/>
      <c r="N67" s="369"/>
      <c r="O67" s="369"/>
      <c r="P67" s="369"/>
      <c r="Q67" s="369"/>
      <c r="R67" s="369"/>
      <c r="S67" s="369"/>
      <c r="T67" s="369"/>
      <c r="U67" s="369"/>
      <c r="V67" s="369"/>
      <c r="W67" s="369"/>
      <c r="X67" s="369"/>
      <c r="Y67" s="369"/>
      <c r="Z67" s="369"/>
      <c r="AA67" s="408"/>
      <c r="AB67" s="408"/>
      <c r="AC67" s="408"/>
      <c r="AD67" s="408"/>
      <c r="AE67" s="408"/>
      <c r="AF67" s="408"/>
      <c r="AG67" s="408"/>
    </row>
    <row r="68" ht="15.75" customHeight="1">
      <c r="A68" s="601" t="s">
        <v>2216</v>
      </c>
      <c r="B68" s="666" t="s">
        <v>2217</v>
      </c>
      <c r="C68" s="666" t="s">
        <v>2218</v>
      </c>
      <c r="D68" s="604" t="s">
        <v>75</v>
      </c>
      <c r="E68" s="605">
        <v>45568.0</v>
      </c>
      <c r="F68" s="605">
        <v>45568.0</v>
      </c>
      <c r="H68" s="605">
        <v>45589.0</v>
      </c>
      <c r="I68" s="375">
        <f>IF(ISBLANK(H68), NETWORKDAYS(F68, TODAY(),Hoja2!$A$1:$A$18), NETWORKDAYS(F68, H68, Hoja2!$A$1:$A$18))</f>
        <v>15</v>
      </c>
      <c r="J68" s="605">
        <v>45589.0</v>
      </c>
      <c r="K68" s="605"/>
      <c r="L68" s="607" t="s">
        <v>2219</v>
      </c>
      <c r="M68" s="363"/>
      <c r="N68" s="363"/>
      <c r="O68" s="363"/>
      <c r="P68" s="363"/>
      <c r="Q68" s="363"/>
      <c r="R68" s="363"/>
      <c r="S68" s="363"/>
      <c r="T68" s="363"/>
      <c r="U68" s="363"/>
      <c r="V68" s="363"/>
      <c r="W68" s="363"/>
      <c r="X68" s="363"/>
      <c r="Y68" s="363"/>
      <c r="Z68" s="363"/>
    </row>
    <row r="69" ht="15.75" customHeight="1">
      <c r="A69" s="377" t="s">
        <v>1817</v>
      </c>
      <c r="B69" s="667" t="s">
        <v>2220</v>
      </c>
      <c r="C69" s="380" t="s">
        <v>2221</v>
      </c>
      <c r="D69" s="380" t="s">
        <v>75</v>
      </c>
      <c r="E69" s="405">
        <v>45588.0</v>
      </c>
      <c r="F69" s="405">
        <v>45588.0</v>
      </c>
      <c r="G69" s="405">
        <v>45590.0</v>
      </c>
      <c r="H69" s="405">
        <v>45590.0</v>
      </c>
      <c r="I69" s="383">
        <f>IF(ISBLANK(H69), NETWORKDAYS(F69, TODAY(),Hoja2!$A$1:$A$18), NETWORKDAYS(F69, H69, Hoja2!$A$1:$A$18))</f>
        <v>3</v>
      </c>
      <c r="J69" s="405">
        <v>45590.0</v>
      </c>
      <c r="K69" s="405"/>
      <c r="L69" s="627" t="s">
        <v>2222</v>
      </c>
      <c r="M69" s="597"/>
      <c r="N69" s="363"/>
      <c r="O69" s="363"/>
      <c r="P69" s="363"/>
      <c r="Q69" s="363"/>
      <c r="R69" s="363"/>
      <c r="S69" s="363"/>
      <c r="T69" s="363"/>
      <c r="U69" s="363"/>
      <c r="V69" s="363"/>
      <c r="W69" s="363"/>
      <c r="X69" s="363"/>
      <c r="Y69" s="363"/>
      <c r="Z69" s="363"/>
      <c r="AA69" s="408"/>
      <c r="AB69" s="408"/>
      <c r="AC69" s="408"/>
      <c r="AD69" s="408"/>
      <c r="AE69" s="408"/>
      <c r="AF69" s="408"/>
      <c r="AG69" s="408"/>
    </row>
    <row r="70" ht="15.75" customHeight="1">
      <c r="A70" s="377" t="s">
        <v>1817</v>
      </c>
      <c r="B70" s="667" t="s">
        <v>2220</v>
      </c>
      <c r="C70" s="380" t="s">
        <v>2223</v>
      </c>
      <c r="D70" s="380" t="s">
        <v>75</v>
      </c>
      <c r="E70" s="405">
        <v>45588.0</v>
      </c>
      <c r="F70" s="405">
        <v>45588.0</v>
      </c>
      <c r="G70" s="405">
        <v>45590.0</v>
      </c>
      <c r="H70" s="405">
        <v>45590.0</v>
      </c>
      <c r="I70" s="383">
        <f>IF(ISBLANK(H70), NETWORKDAYS(F70, TODAY(),Hoja2!$A$1:$A$18), NETWORKDAYS(F70, H70, Hoja2!$A$1:$A$18))</f>
        <v>3</v>
      </c>
      <c r="J70" s="405">
        <v>45593.0</v>
      </c>
      <c r="K70" s="405"/>
      <c r="L70" s="627" t="s">
        <v>2224</v>
      </c>
      <c r="M70" s="597"/>
      <c r="N70" s="363"/>
      <c r="O70" s="363"/>
      <c r="P70" s="363"/>
      <c r="Q70" s="363"/>
      <c r="R70" s="363"/>
      <c r="S70" s="363"/>
      <c r="T70" s="363"/>
      <c r="U70" s="363"/>
      <c r="V70" s="363"/>
      <c r="W70" s="363"/>
      <c r="X70" s="363"/>
      <c r="Y70" s="363"/>
      <c r="Z70" s="363"/>
      <c r="AA70" s="408"/>
      <c r="AB70" s="408"/>
      <c r="AC70" s="408"/>
      <c r="AD70" s="408"/>
      <c r="AE70" s="408"/>
      <c r="AF70" s="408"/>
      <c r="AG70" s="408"/>
    </row>
    <row r="71" ht="15.75" customHeight="1">
      <c r="A71" s="362" t="s">
        <v>1810</v>
      </c>
      <c r="B71" s="579" t="s">
        <v>1814</v>
      </c>
      <c r="C71" s="636" t="s">
        <v>2225</v>
      </c>
      <c r="D71" s="610" t="s">
        <v>75</v>
      </c>
      <c r="E71" s="641">
        <v>45588.0</v>
      </c>
      <c r="F71" s="641">
        <v>45588.0</v>
      </c>
      <c r="G71" s="642"/>
      <c r="H71" s="642">
        <v>45589.0</v>
      </c>
      <c r="I71" s="587">
        <f>IF(ISBLANK(H71), NETWORKDAYS(F71, TODAY(),Hoja2!$A$1:$A$18), NETWORKDAYS(F71, H71, Hoja2!$A$1:$A$18))</f>
        <v>2</v>
      </c>
      <c r="J71" s="642">
        <v>45589.0</v>
      </c>
      <c r="K71" s="642"/>
      <c r="L71" s="643" t="s">
        <v>2226</v>
      </c>
      <c r="M71" s="363"/>
      <c r="N71" s="363"/>
      <c r="O71" s="363"/>
      <c r="P71" s="363"/>
      <c r="Q71" s="363"/>
      <c r="R71" s="363"/>
      <c r="S71" s="363"/>
      <c r="T71" s="363"/>
      <c r="U71" s="363"/>
      <c r="V71" s="363"/>
      <c r="W71" s="363"/>
      <c r="X71" s="363"/>
      <c r="Y71" s="363"/>
      <c r="Z71" s="363"/>
      <c r="AA71" s="408"/>
      <c r="AB71" s="408"/>
      <c r="AC71" s="408"/>
      <c r="AD71" s="408"/>
      <c r="AE71" s="408"/>
      <c r="AF71" s="408"/>
      <c r="AG71" s="408"/>
    </row>
    <row r="72" ht="15.75" customHeight="1">
      <c r="A72" s="362" t="s">
        <v>1810</v>
      </c>
      <c r="B72" s="579" t="s">
        <v>1814</v>
      </c>
      <c r="C72" s="668" t="s">
        <v>2227</v>
      </c>
      <c r="D72" s="610" t="s">
        <v>75</v>
      </c>
      <c r="E72" s="641">
        <v>45589.0</v>
      </c>
      <c r="F72" s="642">
        <v>45589.0</v>
      </c>
      <c r="G72" s="642"/>
      <c r="H72" s="642">
        <v>45590.0</v>
      </c>
      <c r="I72" s="587">
        <f>IF(ISBLANK(H72), NETWORKDAYS(F72, TODAY(),Hoja2!$A$1:$A$18), NETWORKDAYS(F72, H72, Hoja2!$A$1:$A$18))</f>
        <v>2</v>
      </c>
      <c r="J72" s="642">
        <v>45590.0</v>
      </c>
      <c r="K72" s="642"/>
      <c r="L72" s="643" t="s">
        <v>2228</v>
      </c>
      <c r="M72" s="363"/>
      <c r="N72" s="363"/>
      <c r="O72" s="363"/>
      <c r="P72" s="363"/>
      <c r="Q72" s="363"/>
      <c r="R72" s="363"/>
      <c r="S72" s="363"/>
      <c r="T72" s="363"/>
      <c r="U72" s="363"/>
      <c r="V72" s="363"/>
      <c r="W72" s="363"/>
      <c r="X72" s="363"/>
      <c r="Y72" s="363"/>
      <c r="Z72" s="363"/>
      <c r="AA72" s="408"/>
      <c r="AB72" s="408"/>
      <c r="AC72" s="408"/>
      <c r="AD72" s="408"/>
      <c r="AE72" s="408"/>
      <c r="AF72" s="408"/>
      <c r="AG72" s="408"/>
    </row>
    <row r="73" ht="15.75" customHeight="1">
      <c r="A73" s="362" t="s">
        <v>1810</v>
      </c>
      <c r="B73" s="579" t="s">
        <v>1822</v>
      </c>
      <c r="C73" s="669" t="s">
        <v>2229</v>
      </c>
      <c r="D73" s="594" t="s">
        <v>75</v>
      </c>
      <c r="E73" s="373">
        <v>45572.0</v>
      </c>
      <c r="F73" s="373">
        <v>45574.0</v>
      </c>
      <c r="G73" s="670"/>
      <c r="H73" s="373">
        <v>45574.0</v>
      </c>
      <c r="I73" s="375">
        <f>IF(ISBLANK(H73), NETWORKDAYS(F73, TODAY(),Hoja2!$A$1:$A$18), NETWORKDAYS(F73, H73, Hoja2!$A$1:$A$18))</f>
        <v>1</v>
      </c>
      <c r="J73" s="373"/>
      <c r="K73" s="373"/>
      <c r="L73" s="376" t="s">
        <v>2230</v>
      </c>
      <c r="M73" s="363"/>
      <c r="N73" s="363"/>
      <c r="O73" s="363"/>
      <c r="P73" s="363"/>
      <c r="Q73" s="363"/>
      <c r="R73" s="363"/>
      <c r="S73" s="363"/>
      <c r="T73" s="363"/>
      <c r="U73" s="363"/>
      <c r="V73" s="363"/>
      <c r="W73" s="363"/>
      <c r="X73" s="363"/>
      <c r="Y73" s="363"/>
      <c r="Z73" s="363"/>
    </row>
    <row r="74" ht="15.75" customHeight="1">
      <c r="A74" s="623" t="s">
        <v>1825</v>
      </c>
      <c r="B74" s="624" t="s">
        <v>2149</v>
      </c>
      <c r="C74" s="404" t="s">
        <v>2231</v>
      </c>
      <c r="D74" s="380" t="s">
        <v>75</v>
      </c>
      <c r="E74" s="405">
        <v>45576.0</v>
      </c>
      <c r="F74" s="405">
        <v>45579.0</v>
      </c>
      <c r="G74" s="405"/>
      <c r="H74" s="405">
        <v>45590.0</v>
      </c>
      <c r="I74" s="383">
        <f>IF(ISBLANK(H74), NETWORKDAYS(F74, TODAY(),Hoja2!$A$1:$A$18), NETWORKDAYS(F74, H74, Hoja2!$A$1:$A$18))</f>
        <v>9</v>
      </c>
      <c r="J74" s="405">
        <v>45590.0</v>
      </c>
      <c r="K74" s="405"/>
      <c r="L74" s="627" t="s">
        <v>2232</v>
      </c>
      <c r="M74" s="363"/>
      <c r="N74" s="363"/>
      <c r="O74" s="363"/>
      <c r="P74" s="363"/>
      <c r="Q74" s="363"/>
      <c r="R74" s="363"/>
      <c r="S74" s="363"/>
      <c r="T74" s="363"/>
      <c r="U74" s="363"/>
      <c r="V74" s="363"/>
      <c r="W74" s="363"/>
      <c r="X74" s="363"/>
      <c r="Y74" s="363"/>
      <c r="Z74" s="363"/>
      <c r="AA74" s="408"/>
      <c r="AB74" s="408"/>
      <c r="AC74" s="408"/>
      <c r="AD74" s="408"/>
      <c r="AE74" s="408"/>
      <c r="AF74" s="408"/>
      <c r="AG74" s="408"/>
    </row>
    <row r="75" ht="15.75" customHeight="1">
      <c r="A75" s="623" t="s">
        <v>1825</v>
      </c>
      <c r="B75" s="624" t="s">
        <v>2220</v>
      </c>
      <c r="C75" s="404" t="s">
        <v>2233</v>
      </c>
      <c r="D75" s="626" t="s">
        <v>75</v>
      </c>
      <c r="E75" s="405">
        <v>45587.0</v>
      </c>
      <c r="F75" s="405">
        <v>45589.0</v>
      </c>
      <c r="G75" s="405"/>
      <c r="H75" s="405">
        <v>45593.0</v>
      </c>
      <c r="I75" s="383">
        <f>IF(ISBLANK(H75), NETWORKDAYS(F75, TODAY(),Hoja2!$A$1:$A$18), NETWORKDAYS(F75, H75, Hoja2!$A$1:$A$18))</f>
        <v>3</v>
      </c>
      <c r="J75" s="405">
        <v>45593.0</v>
      </c>
      <c r="K75" s="405"/>
      <c r="L75" s="627" t="s">
        <v>2234</v>
      </c>
      <c r="M75" s="363"/>
      <c r="N75" s="363"/>
      <c r="O75" s="363"/>
      <c r="P75" s="363"/>
      <c r="Q75" s="363"/>
      <c r="R75" s="363"/>
      <c r="S75" s="363"/>
      <c r="T75" s="363"/>
      <c r="U75" s="363"/>
      <c r="V75" s="363"/>
      <c r="W75" s="363"/>
      <c r="X75" s="363"/>
      <c r="Y75" s="363"/>
      <c r="Z75" s="363"/>
    </row>
    <row r="76" ht="15.75" customHeight="1">
      <c r="A76" s="401" t="s">
        <v>1835</v>
      </c>
      <c r="B76" s="625" t="s">
        <v>2220</v>
      </c>
      <c r="C76" s="380" t="s">
        <v>2235</v>
      </c>
      <c r="D76" s="380" t="s">
        <v>75</v>
      </c>
      <c r="E76" s="405">
        <v>45582.0</v>
      </c>
      <c r="F76" s="405">
        <v>45582.0</v>
      </c>
      <c r="G76" s="405"/>
      <c r="H76" s="405">
        <v>45582.0</v>
      </c>
      <c r="I76" s="383">
        <f>IF(ISBLANK(H76), NETWORKDAYS(F76, TODAY(),Hoja2!$A$1:$A$18), NETWORKDAYS(F76, H76, Hoja2!$A$1:$A$18))</f>
        <v>1</v>
      </c>
      <c r="J76" s="405">
        <v>45582.0</v>
      </c>
      <c r="K76" s="405"/>
      <c r="L76" s="627" t="s">
        <v>2236</v>
      </c>
      <c r="M76" s="597"/>
      <c r="N76" s="363"/>
      <c r="O76" s="363"/>
      <c r="P76" s="363"/>
      <c r="Q76" s="363"/>
      <c r="R76" s="363"/>
      <c r="S76" s="363"/>
      <c r="T76" s="363"/>
      <c r="U76" s="363"/>
      <c r="V76" s="363"/>
      <c r="W76" s="363"/>
      <c r="X76" s="363"/>
      <c r="Y76" s="363"/>
      <c r="Z76" s="363"/>
    </row>
    <row r="77" ht="15.75" customHeight="1">
      <c r="A77" s="623" t="s">
        <v>1825</v>
      </c>
      <c r="B77" s="624" t="s">
        <v>2237</v>
      </c>
      <c r="C77" s="404" t="s">
        <v>2238</v>
      </c>
      <c r="D77" s="380" t="s">
        <v>75</v>
      </c>
      <c r="E77" s="405">
        <v>45587.0</v>
      </c>
      <c r="F77" s="405">
        <v>45590.0</v>
      </c>
      <c r="G77" s="405"/>
      <c r="H77" s="405">
        <v>45593.0</v>
      </c>
      <c r="I77" s="383">
        <f>IF(ISBLANK(H77), NETWORKDAYS(F77, TODAY(),Hoja2!$A$1:$A$18), NETWORKDAYS(F77, H77, Hoja2!$A$1:$A$18))</f>
        <v>2</v>
      </c>
      <c r="J77" s="405"/>
      <c r="K77" s="405"/>
      <c r="L77" s="627"/>
      <c r="M77" s="363"/>
      <c r="N77" s="363"/>
      <c r="O77" s="363"/>
      <c r="P77" s="363"/>
      <c r="Q77" s="363"/>
      <c r="R77" s="363"/>
      <c r="S77" s="363"/>
      <c r="T77" s="363"/>
      <c r="U77" s="363"/>
      <c r="V77" s="363"/>
      <c r="W77" s="363"/>
      <c r="X77" s="363"/>
      <c r="Y77" s="363"/>
      <c r="Z77" s="363"/>
      <c r="AA77" s="408"/>
      <c r="AB77" s="408"/>
      <c r="AC77" s="408"/>
      <c r="AD77" s="408"/>
      <c r="AE77" s="408"/>
      <c r="AF77" s="408"/>
      <c r="AG77" s="408"/>
    </row>
    <row r="78" ht="15.75" customHeight="1">
      <c r="A78" s="362" t="s">
        <v>1810</v>
      </c>
      <c r="B78" s="590" t="s">
        <v>2239</v>
      </c>
      <c r="C78" s="580" t="s">
        <v>2240</v>
      </c>
      <c r="D78" s="374" t="s">
        <v>75</v>
      </c>
      <c r="E78" s="373">
        <v>45590.0</v>
      </c>
      <c r="F78" s="373">
        <v>45593.0</v>
      </c>
      <c r="G78" s="373"/>
      <c r="H78" s="373">
        <v>45593.0</v>
      </c>
      <c r="I78" s="375">
        <f>IF(ISBLANK(H78), NETWORKDAYS(F78, TODAY(),Hoja2!$A$1:$A$18), NETWORKDAYS(F78, H78, Hoja2!$A$1:$A$18))</f>
        <v>1</v>
      </c>
      <c r="J78" s="373"/>
      <c r="K78" s="373"/>
      <c r="L78" s="376"/>
      <c r="M78" s="363"/>
      <c r="N78" s="363"/>
      <c r="O78" s="363"/>
      <c r="P78" s="363"/>
      <c r="Q78" s="363"/>
      <c r="R78" s="363"/>
      <c r="S78" s="363"/>
      <c r="T78" s="363"/>
      <c r="U78" s="363"/>
      <c r="V78" s="363"/>
      <c r="W78" s="363"/>
      <c r="X78" s="363"/>
      <c r="Y78" s="363"/>
      <c r="Z78" s="363"/>
      <c r="AA78" s="408"/>
      <c r="AB78" s="408"/>
      <c r="AC78" s="408"/>
      <c r="AD78" s="408"/>
      <c r="AE78" s="408"/>
      <c r="AF78" s="408"/>
      <c r="AG78" s="408"/>
    </row>
    <row r="79" ht="15.75" customHeight="1">
      <c r="A79" s="596" t="s">
        <v>2082</v>
      </c>
      <c r="B79" s="371" t="s">
        <v>2102</v>
      </c>
      <c r="C79" s="594" t="s">
        <v>2241</v>
      </c>
      <c r="D79" s="594" t="s">
        <v>75</v>
      </c>
      <c r="E79" s="373">
        <v>45589.0</v>
      </c>
      <c r="F79" s="373">
        <v>45593.0</v>
      </c>
      <c r="G79" s="373"/>
      <c r="H79" s="373">
        <v>45593.0</v>
      </c>
      <c r="I79" s="375">
        <f>IF(ISBLANK(H79), NETWORKDAYS(F79, TODAY(),Hoja2!$A$1:$A$18), NETWORKDAYS(F79, H79, Hoja2!$A$1:$A$18))</f>
        <v>1</v>
      </c>
      <c r="J79" s="373">
        <v>45593.0</v>
      </c>
      <c r="K79" s="373"/>
      <c r="L79" s="376" t="s">
        <v>2242</v>
      </c>
      <c r="M79" s="597"/>
      <c r="N79" s="363"/>
      <c r="O79" s="363"/>
      <c r="P79" s="363"/>
      <c r="Q79" s="363"/>
      <c r="R79" s="363"/>
      <c r="S79" s="363"/>
      <c r="T79" s="363"/>
      <c r="U79" s="363"/>
      <c r="V79" s="363"/>
      <c r="W79" s="363"/>
      <c r="X79" s="363"/>
      <c r="Y79" s="363"/>
      <c r="Z79" s="363"/>
      <c r="AA79" s="408"/>
      <c r="AB79" s="408"/>
      <c r="AC79" s="408"/>
      <c r="AD79" s="408"/>
      <c r="AE79" s="408"/>
      <c r="AF79" s="408"/>
      <c r="AG79" s="408"/>
    </row>
    <row r="80" ht="15.75" customHeight="1">
      <c r="A80" s="362" t="s">
        <v>1810</v>
      </c>
      <c r="B80" s="371" t="s">
        <v>1814</v>
      </c>
      <c r="C80" s="580" t="s">
        <v>2243</v>
      </c>
      <c r="D80" s="374" t="s">
        <v>75</v>
      </c>
      <c r="E80" s="373">
        <v>45594.0</v>
      </c>
      <c r="F80" s="373">
        <v>45594.0</v>
      </c>
      <c r="G80" s="373">
        <v>45596.0</v>
      </c>
      <c r="H80" s="374"/>
      <c r="I80" s="375">
        <f>IF(ISBLANK(H80), NETWORKDAYS(F80, TODAY(),Hoja2!$A$1:$A$18), NETWORKDAYS(F80, H80, Hoja2!$A$1:$A$18))</f>
        <v>295</v>
      </c>
      <c r="J80" s="373">
        <v>45596.0</v>
      </c>
      <c r="K80" s="373"/>
      <c r="L80" s="376" t="s">
        <v>2244</v>
      </c>
      <c r="M80" s="363"/>
      <c r="N80" s="363"/>
      <c r="O80" s="363"/>
      <c r="P80" s="363"/>
      <c r="Q80" s="363"/>
      <c r="R80" s="363"/>
      <c r="S80" s="363"/>
      <c r="T80" s="363"/>
      <c r="U80" s="363"/>
      <c r="V80" s="363"/>
      <c r="W80" s="363"/>
      <c r="X80" s="363"/>
      <c r="Y80" s="363"/>
      <c r="Z80" s="363"/>
      <c r="AA80" s="408"/>
      <c r="AB80" s="408"/>
      <c r="AC80" s="408"/>
      <c r="AD80" s="408"/>
      <c r="AE80" s="408"/>
      <c r="AF80" s="408"/>
      <c r="AG80" s="408"/>
    </row>
    <row r="81" ht="15.75" customHeight="1">
      <c r="A81" s="599" t="s">
        <v>2082</v>
      </c>
      <c r="B81" s="579" t="s">
        <v>2213</v>
      </c>
      <c r="C81" s="671" t="s">
        <v>2245</v>
      </c>
      <c r="D81" s="672" t="s">
        <v>75</v>
      </c>
      <c r="E81" s="673">
        <v>45601.0</v>
      </c>
      <c r="F81" s="673">
        <v>45601.0</v>
      </c>
      <c r="G81" s="605"/>
      <c r="H81" s="605">
        <v>45602.0</v>
      </c>
      <c r="I81" s="606">
        <f>IF(ISBLANK(H81), NETWORKDAYS(F81, TODAY(),Hoja2!$A$1:$A$18), NETWORKDAYS(F81, H81, Hoja2!$A$1:$A$18))</f>
        <v>2</v>
      </c>
      <c r="J81" s="366"/>
      <c r="K81" s="366"/>
      <c r="L81" s="633"/>
      <c r="M81" s="632"/>
      <c r="N81" s="369"/>
      <c r="O81" s="369"/>
      <c r="P81" s="369"/>
      <c r="Q81" s="369"/>
      <c r="R81" s="369"/>
      <c r="S81" s="369"/>
      <c r="T81" s="369"/>
      <c r="U81" s="369"/>
      <c r="V81" s="369"/>
      <c r="W81" s="369"/>
      <c r="X81" s="369"/>
      <c r="Y81" s="369"/>
      <c r="Z81" s="369"/>
      <c r="AA81" s="408"/>
      <c r="AB81" s="408"/>
      <c r="AC81" s="408"/>
      <c r="AD81" s="408"/>
      <c r="AE81" s="408"/>
      <c r="AF81" s="408"/>
      <c r="AG81" s="408"/>
    </row>
    <row r="82" ht="15.75" customHeight="1">
      <c r="A82" s="401" t="s">
        <v>1835</v>
      </c>
      <c r="B82" s="590" t="s">
        <v>2246</v>
      </c>
      <c r="C82" s="674" t="s">
        <v>2247</v>
      </c>
      <c r="D82" s="594" t="s">
        <v>75</v>
      </c>
      <c r="E82" s="373">
        <v>45602.0</v>
      </c>
      <c r="F82" s="373">
        <v>45602.0</v>
      </c>
      <c r="G82" s="373"/>
      <c r="H82" s="373">
        <v>45603.0</v>
      </c>
      <c r="I82" s="383">
        <f>IF(ISBLANK(H82), NETWORKDAYS(F82, TODAY(),Hoja2!$A$1:$A$18), NETWORKDAYS(F82, H82, Hoja2!$A$1:$A$18))</f>
        <v>2</v>
      </c>
      <c r="J82" s="373">
        <v>45603.0</v>
      </c>
      <c r="K82" s="373">
        <v>45603.0</v>
      </c>
      <c r="L82" s="376" t="s">
        <v>2248</v>
      </c>
      <c r="M82" s="363"/>
      <c r="N82" s="363"/>
      <c r="O82" s="363"/>
      <c r="P82" s="363"/>
      <c r="Q82" s="363"/>
      <c r="R82" s="363"/>
      <c r="S82" s="363"/>
      <c r="T82" s="363"/>
      <c r="U82" s="363"/>
      <c r="V82" s="363"/>
      <c r="W82" s="363"/>
      <c r="X82" s="363"/>
      <c r="Y82" s="363"/>
      <c r="Z82" s="363"/>
      <c r="AA82" s="408"/>
      <c r="AB82" s="408"/>
      <c r="AC82" s="408"/>
      <c r="AD82" s="408"/>
      <c r="AE82" s="408"/>
      <c r="AF82" s="408"/>
      <c r="AG82" s="408"/>
    </row>
    <row r="83" ht="15.75" customHeight="1">
      <c r="A83" s="675" t="s">
        <v>2102</v>
      </c>
      <c r="B83" s="675" t="s">
        <v>2102</v>
      </c>
      <c r="C83" s="370" t="s">
        <v>2249</v>
      </c>
      <c r="D83" s="374" t="s">
        <v>75</v>
      </c>
      <c r="E83" s="373">
        <v>45576.0</v>
      </c>
      <c r="F83" s="373">
        <v>45576.0</v>
      </c>
      <c r="G83" s="370"/>
      <c r="H83" s="644">
        <v>45604.0</v>
      </c>
      <c r="I83" s="375">
        <f>IF(ISBLANK(H83), NETWORKDAYS(F83, TODAY(),Hoja2!$A$1:$A$18), NETWORKDAYS(F83, H83, Hoja2!$A$1:$A$18))</f>
        <v>19</v>
      </c>
      <c r="J83" s="370"/>
      <c r="K83" s="370"/>
      <c r="L83" s="370" t="s">
        <v>2250</v>
      </c>
      <c r="M83" s="384"/>
      <c r="N83" s="384"/>
      <c r="O83" s="384"/>
      <c r="P83" s="384"/>
      <c r="Q83" s="384"/>
      <c r="R83" s="384"/>
      <c r="S83" s="384"/>
      <c r="T83" s="384"/>
      <c r="U83" s="384"/>
      <c r="V83" s="384"/>
      <c r="W83" s="384"/>
      <c r="X83" s="384"/>
      <c r="Y83" s="384"/>
      <c r="Z83" s="384"/>
    </row>
    <row r="84" ht="15.75" customHeight="1">
      <c r="A84" s="623" t="s">
        <v>1825</v>
      </c>
      <c r="B84" s="600" t="s">
        <v>2251</v>
      </c>
      <c r="C84" s="599" t="s">
        <v>2252</v>
      </c>
      <c r="D84" s="600" t="s">
        <v>75</v>
      </c>
      <c r="E84" s="676">
        <v>45602.0</v>
      </c>
      <c r="F84" s="676">
        <v>45602.0</v>
      </c>
      <c r="G84" s="677">
        <v>45603.0</v>
      </c>
      <c r="H84" s="676">
        <v>45603.0</v>
      </c>
      <c r="I84" s="383">
        <f>IF(ISBLANK(H84), NETWORKDAYS(F84, TODAY(),Hoja2!$A$1:$A$18), NETWORKDAYS(F84, H84, Hoja2!$A$1:$A$18))</f>
        <v>2</v>
      </c>
      <c r="J84" s="600"/>
      <c r="K84" s="600"/>
      <c r="L84" s="678"/>
      <c r="M84" s="597"/>
      <c r="N84" s="363"/>
      <c r="O84" s="363"/>
      <c r="P84" s="363"/>
      <c r="Q84" s="363"/>
      <c r="R84" s="363"/>
      <c r="S84" s="363"/>
      <c r="T84" s="363"/>
      <c r="U84" s="363"/>
      <c r="V84" s="363"/>
      <c r="W84" s="363"/>
      <c r="X84" s="363"/>
      <c r="Y84" s="363"/>
      <c r="Z84" s="363"/>
      <c r="AA84" s="408"/>
      <c r="AB84" s="408"/>
      <c r="AC84" s="408"/>
      <c r="AD84" s="408"/>
      <c r="AE84" s="408"/>
      <c r="AF84" s="408"/>
      <c r="AG84" s="408"/>
    </row>
    <row r="85" ht="15.75" customHeight="1">
      <c r="A85" s="623" t="s">
        <v>1825</v>
      </c>
      <c r="B85" s="402" t="s">
        <v>2220</v>
      </c>
      <c r="C85" s="380" t="s">
        <v>2253</v>
      </c>
      <c r="D85" s="626" t="s">
        <v>214</v>
      </c>
      <c r="E85" s="405">
        <v>45587.0</v>
      </c>
      <c r="F85" s="405">
        <v>45587.0</v>
      </c>
      <c r="G85" s="405"/>
      <c r="H85" s="405">
        <v>45603.0</v>
      </c>
      <c r="I85" s="383">
        <f>IF(ISBLANK(H85), NETWORKDAYS(F85, TODAY(),Hoja2!$A$1:$A$18), NETWORKDAYS(F85, H85, Hoja2!$A$1:$A$18))</f>
        <v>12</v>
      </c>
      <c r="J85" s="405"/>
      <c r="K85" s="405"/>
      <c r="L85" s="627" t="s">
        <v>2254</v>
      </c>
      <c r="M85" s="363"/>
      <c r="N85" s="363"/>
      <c r="O85" s="363"/>
      <c r="P85" s="363"/>
      <c r="Q85" s="363"/>
      <c r="R85" s="363"/>
      <c r="S85" s="363"/>
      <c r="T85" s="363"/>
      <c r="U85" s="363"/>
      <c r="V85" s="363"/>
      <c r="W85" s="363"/>
      <c r="X85" s="363"/>
      <c r="Y85" s="363"/>
      <c r="Z85" s="363"/>
      <c r="AA85" s="408"/>
      <c r="AB85" s="408"/>
      <c r="AC85" s="408"/>
      <c r="AD85" s="408"/>
      <c r="AE85" s="408"/>
      <c r="AF85" s="408"/>
      <c r="AG85" s="408"/>
    </row>
    <row r="86" ht="15.75" customHeight="1">
      <c r="A86" s="679" t="s">
        <v>1817</v>
      </c>
      <c r="B86" s="680" t="s">
        <v>2255</v>
      </c>
      <c r="C86" s="681" t="s">
        <v>2256</v>
      </c>
      <c r="D86" s="656" t="s">
        <v>2203</v>
      </c>
      <c r="E86" s="682">
        <v>45569.0</v>
      </c>
      <c r="F86" s="682">
        <v>45572.0</v>
      </c>
      <c r="G86" s="682">
        <v>0.0</v>
      </c>
      <c r="H86" s="682">
        <v>45581.0</v>
      </c>
      <c r="I86" s="683">
        <f>IF(ISBLANK(H86), NETWORKDAYS(F86, TODAY(),Hoja2!$A$1:$A$18), NETWORKDAYS(F86, H86, Hoja2!$A$1:$A$18))</f>
        <v>7</v>
      </c>
      <c r="J86" s="682">
        <v>45587.0</v>
      </c>
      <c r="K86" s="682">
        <v>45609.0</v>
      </c>
      <c r="L86" s="684" t="s">
        <v>2257</v>
      </c>
      <c r="M86" s="363"/>
      <c r="N86" s="363"/>
      <c r="O86" s="363"/>
      <c r="P86" s="363"/>
      <c r="Q86" s="363"/>
      <c r="R86" s="363"/>
      <c r="S86" s="363"/>
      <c r="T86" s="363"/>
      <c r="U86" s="363"/>
      <c r="V86" s="363"/>
      <c r="W86" s="363"/>
      <c r="X86" s="363"/>
      <c r="Y86" s="363"/>
      <c r="Z86" s="363"/>
    </row>
    <row r="87" ht="15.75" customHeight="1">
      <c r="A87" s="386" t="s">
        <v>1825</v>
      </c>
      <c r="B87" s="386" t="s">
        <v>2258</v>
      </c>
      <c r="C87" s="401"/>
      <c r="D87" s="401" t="s">
        <v>75</v>
      </c>
      <c r="E87" s="387">
        <v>45596.0</v>
      </c>
      <c r="F87" s="387">
        <v>45596.0</v>
      </c>
      <c r="G87" s="386"/>
      <c r="H87" s="387">
        <v>45608.0</v>
      </c>
      <c r="I87" s="383">
        <f>IF(ISBLANK(H87), NETWORKDAYS(F87, TODAY(),Hoja2!$A$1:$A$18), NETWORKDAYS(F87, H87, Hoja2!$A$1:$A$18))</f>
        <v>7</v>
      </c>
      <c r="J87" s="401"/>
      <c r="K87" s="401"/>
      <c r="L87" s="685" t="s">
        <v>2259</v>
      </c>
      <c r="M87" s="597"/>
      <c r="N87" s="363"/>
      <c r="O87" s="363"/>
      <c r="P87" s="363"/>
      <c r="Q87" s="363"/>
      <c r="R87" s="363"/>
      <c r="S87" s="363"/>
      <c r="T87" s="363"/>
      <c r="U87" s="363"/>
      <c r="V87" s="363"/>
      <c r="W87" s="363"/>
      <c r="X87" s="363"/>
      <c r="Y87" s="363"/>
      <c r="Z87" s="363"/>
      <c r="AA87" s="408"/>
      <c r="AB87" s="408"/>
      <c r="AC87" s="408"/>
      <c r="AD87" s="408"/>
      <c r="AE87" s="408"/>
      <c r="AF87" s="408"/>
      <c r="AG87" s="408"/>
    </row>
    <row r="88" ht="15.75" customHeight="1">
      <c r="A88" s="623" t="s">
        <v>1825</v>
      </c>
      <c r="B88" s="679" t="s">
        <v>2260</v>
      </c>
      <c r="C88" s="686" t="s">
        <v>2261</v>
      </c>
      <c r="D88" s="679" t="s">
        <v>75</v>
      </c>
      <c r="E88" s="687">
        <v>45601.0</v>
      </c>
      <c r="F88" s="687">
        <v>45601.0</v>
      </c>
      <c r="G88" s="402"/>
      <c r="H88" s="687">
        <v>45608.0</v>
      </c>
      <c r="I88" s="383">
        <f>IF(ISBLANK(H88), NETWORKDAYS(F88, TODAY(),Hoja2!$A$1:$A$18), NETWORKDAYS(F88, H88, Hoja2!$A$1:$A$18))</f>
        <v>5</v>
      </c>
      <c r="J88" s="679"/>
      <c r="K88" s="679"/>
      <c r="L88" s="688" t="s">
        <v>2262</v>
      </c>
      <c r="M88" s="597"/>
      <c r="N88" s="363"/>
      <c r="O88" s="363"/>
      <c r="P88" s="363"/>
      <c r="Q88" s="363"/>
      <c r="R88" s="363"/>
      <c r="S88" s="363"/>
      <c r="T88" s="363"/>
      <c r="U88" s="363"/>
      <c r="V88" s="363"/>
      <c r="W88" s="363"/>
      <c r="X88" s="363"/>
      <c r="Y88" s="363"/>
      <c r="Z88" s="363"/>
      <c r="AA88" s="408"/>
      <c r="AB88" s="408"/>
      <c r="AC88" s="408"/>
      <c r="AD88" s="408"/>
      <c r="AE88" s="408"/>
      <c r="AF88" s="408"/>
      <c r="AG88" s="408"/>
    </row>
    <row r="89" ht="15.0" customHeight="1">
      <c r="A89" s="596" t="s">
        <v>2082</v>
      </c>
      <c r="B89" s="372" t="s">
        <v>2263</v>
      </c>
      <c r="C89" s="372" t="s">
        <v>2264</v>
      </c>
      <c r="D89" s="594" t="s">
        <v>75</v>
      </c>
      <c r="E89" s="373">
        <v>45608.0</v>
      </c>
      <c r="F89" s="373">
        <v>45608.0</v>
      </c>
      <c r="G89" s="373"/>
      <c r="H89" s="373">
        <v>45609.0</v>
      </c>
      <c r="I89" s="375">
        <f>IF(ISBLANK(H89), NETWORKDAYS(F89, TODAY(),Hoja2!$A$1:$A$18), NETWORKDAYS(F89, H89, Hoja2!$A$1:$A$18))</f>
        <v>2</v>
      </c>
      <c r="J89" s="373"/>
      <c r="K89" s="373">
        <v>45609.0</v>
      </c>
      <c r="L89" s="376"/>
    </row>
    <row r="90" ht="15.75" customHeight="1">
      <c r="A90" s="596" t="s">
        <v>2082</v>
      </c>
      <c r="B90" s="579" t="s">
        <v>2213</v>
      </c>
      <c r="C90" s="411" t="s">
        <v>2265</v>
      </c>
      <c r="D90" s="374" t="s">
        <v>75</v>
      </c>
      <c r="E90" s="373">
        <v>45602.0</v>
      </c>
      <c r="F90" s="689">
        <v>45602.0</v>
      </c>
      <c r="G90" s="690"/>
      <c r="H90" s="691">
        <v>45603.0</v>
      </c>
      <c r="I90" s="375">
        <f>IF(ISBLANK(H90), NETWORKDAYS(F90, TODAY(),Hoja2!$A$1:$A$18), NETWORKDAYS(F90, H90, Hoja2!$A$1:$A$18))</f>
        <v>2</v>
      </c>
      <c r="J90" s="690"/>
      <c r="K90" s="690"/>
      <c r="L90" s="592" t="s">
        <v>2266</v>
      </c>
    </row>
    <row r="91" ht="15.75" customHeight="1">
      <c r="A91" s="362" t="s">
        <v>1810</v>
      </c>
      <c r="B91" s="692" t="s">
        <v>2267</v>
      </c>
      <c r="C91" s="580"/>
      <c r="D91" s="594" t="s">
        <v>2203</v>
      </c>
      <c r="E91" s="373">
        <v>45336.0</v>
      </c>
      <c r="F91" s="373">
        <v>45336.0</v>
      </c>
      <c r="G91" s="373"/>
      <c r="H91" s="373">
        <v>45470.0</v>
      </c>
      <c r="I91" s="375">
        <f>IF(ISBLANK(H91), NETWORKDAYS(F91, TODAY(),Hoja2!$A$1:$A$18), NETWORKDAYS(F91, H91, Hoja2!$A$1:$A$18))</f>
        <v>90</v>
      </c>
      <c r="J91" s="373">
        <v>45470.0</v>
      </c>
      <c r="K91" s="373">
        <v>45610.0</v>
      </c>
      <c r="L91" s="595" t="s">
        <v>2268</v>
      </c>
      <c r="M91" s="363"/>
      <c r="N91" s="363"/>
      <c r="O91" s="363"/>
      <c r="P91" s="363"/>
      <c r="Q91" s="363"/>
      <c r="R91" s="363"/>
      <c r="S91" s="363"/>
      <c r="T91" s="363"/>
      <c r="U91" s="363"/>
      <c r="V91" s="363"/>
      <c r="W91" s="363"/>
      <c r="X91" s="363"/>
      <c r="Y91" s="363"/>
      <c r="Z91" s="363"/>
    </row>
    <row r="92" ht="15.75" customHeight="1">
      <c r="A92" s="386" t="s">
        <v>1825</v>
      </c>
      <c r="B92" s="628" t="s">
        <v>2269</v>
      </c>
      <c r="C92" s="625" t="s">
        <v>2270</v>
      </c>
      <c r="D92" s="380" t="s">
        <v>2206</v>
      </c>
      <c r="E92" s="405">
        <v>45545.0</v>
      </c>
      <c r="F92" s="405">
        <v>45546.0</v>
      </c>
      <c r="G92" s="405"/>
      <c r="H92" s="405">
        <v>45609.0</v>
      </c>
      <c r="I92" s="383">
        <f>IF(ISBLANK(H92), NETWORKDAYS(F92, TODAY(),Hoja2!$A$1:$A$18), NETWORKDAYS(F92, H92, Hoja2!$A$1:$A$18))</f>
        <v>43</v>
      </c>
      <c r="J92" s="405">
        <v>45609.0</v>
      </c>
      <c r="K92" s="405">
        <v>45610.0</v>
      </c>
      <c r="L92" s="627" t="s">
        <v>2271</v>
      </c>
      <c r="M92" s="363"/>
      <c r="N92" s="363"/>
      <c r="O92" s="363"/>
      <c r="P92" s="363"/>
      <c r="Q92" s="363"/>
      <c r="R92" s="363"/>
      <c r="S92" s="363"/>
      <c r="T92" s="363"/>
      <c r="U92" s="363"/>
      <c r="V92" s="363"/>
      <c r="W92" s="363"/>
      <c r="X92" s="363"/>
      <c r="Y92" s="363"/>
      <c r="Z92" s="363"/>
    </row>
    <row r="93" ht="15.75" customHeight="1">
      <c r="A93" s="596" t="s">
        <v>2082</v>
      </c>
      <c r="B93" s="372" t="s">
        <v>2263</v>
      </c>
      <c r="C93" s="372" t="s">
        <v>2272</v>
      </c>
      <c r="D93" s="594" t="s">
        <v>2206</v>
      </c>
      <c r="E93" s="373">
        <v>45610.0</v>
      </c>
      <c r="F93" s="373">
        <v>45610.0</v>
      </c>
      <c r="G93" s="373"/>
      <c r="H93" s="374"/>
      <c r="I93" s="606">
        <f>IF(ISBLANK(H93), NETWORKDAYS(F93, TODAY(),Hoja2!$A$1:$A$18), NETWORKDAYS(F93, H93, Hoja2!$A$1:$A$18))</f>
        <v>285</v>
      </c>
      <c r="J93" s="373"/>
      <c r="K93" s="373">
        <v>45611.0</v>
      </c>
      <c r="L93" s="376" t="s">
        <v>2273</v>
      </c>
      <c r="M93" s="597"/>
      <c r="N93" s="363"/>
      <c r="O93" s="363"/>
      <c r="P93" s="363"/>
      <c r="Q93" s="363"/>
      <c r="R93" s="363"/>
      <c r="S93" s="363"/>
      <c r="T93" s="363"/>
      <c r="U93" s="363"/>
      <c r="V93" s="363"/>
      <c r="W93" s="363"/>
      <c r="X93" s="363"/>
      <c r="Y93" s="363"/>
      <c r="Z93" s="363"/>
      <c r="AA93" s="408"/>
      <c r="AB93" s="408"/>
      <c r="AC93" s="408"/>
      <c r="AD93" s="408"/>
      <c r="AE93" s="408"/>
      <c r="AF93" s="408"/>
      <c r="AG93" s="408"/>
    </row>
    <row r="94" ht="15.75" customHeight="1">
      <c r="A94" s="386" t="s">
        <v>1825</v>
      </c>
      <c r="B94" s="693" t="s">
        <v>2274</v>
      </c>
      <c r="C94" s="395"/>
      <c r="D94" s="395" t="s">
        <v>75</v>
      </c>
      <c r="E94" s="694">
        <v>45615.0</v>
      </c>
      <c r="F94" s="694">
        <v>45615.0</v>
      </c>
      <c r="G94" s="693"/>
      <c r="H94" s="694">
        <v>45615.0</v>
      </c>
      <c r="I94" s="383">
        <f>IF(ISBLANK(H94), NETWORKDAYS(F94, TODAY(),Hoja2!$A$1:$A$18), NETWORKDAYS(F94, H94, Hoja2!$A$1:$A$18))</f>
        <v>1</v>
      </c>
      <c r="J94" s="395"/>
      <c r="K94" s="395"/>
      <c r="L94" s="695" t="s">
        <v>2275</v>
      </c>
      <c r="M94" s="696"/>
      <c r="N94" s="697"/>
      <c r="O94" s="697"/>
      <c r="P94" s="697"/>
      <c r="Q94" s="697"/>
      <c r="R94" s="697"/>
      <c r="S94" s="697"/>
      <c r="T94" s="697"/>
      <c r="U94" s="697"/>
      <c r="V94" s="697"/>
      <c r="W94" s="697"/>
      <c r="X94" s="697"/>
      <c r="Y94" s="697"/>
      <c r="Z94" s="697"/>
      <c r="AA94" s="698"/>
      <c r="AB94" s="698"/>
      <c r="AC94" s="698"/>
      <c r="AD94" s="698"/>
      <c r="AE94" s="698"/>
      <c r="AF94" s="698"/>
      <c r="AG94" s="698"/>
    </row>
    <row r="95" ht="15.75" customHeight="1">
      <c r="A95" s="596" t="s">
        <v>2082</v>
      </c>
      <c r="B95" s="372" t="s">
        <v>2263</v>
      </c>
      <c r="C95" s="411" t="s">
        <v>2276</v>
      </c>
      <c r="D95" s="594" t="s">
        <v>75</v>
      </c>
      <c r="E95" s="373">
        <v>45610.0</v>
      </c>
      <c r="F95" s="373">
        <v>45610.0</v>
      </c>
      <c r="G95" s="373"/>
      <c r="H95" s="373">
        <v>45610.0</v>
      </c>
      <c r="I95" s="606">
        <f>IF(ISBLANK(H95), NETWORKDAYS(F95, TODAY(),Hoja2!$A$1:$A$18), NETWORKDAYS(F95, H95, Hoja2!$A$1:$A$18))</f>
        <v>1</v>
      </c>
      <c r="J95" s="373"/>
      <c r="K95" s="373"/>
      <c r="L95" s="376"/>
      <c r="M95" s="597"/>
      <c r="N95" s="363"/>
      <c r="O95" s="363"/>
      <c r="P95" s="363"/>
      <c r="Q95" s="363"/>
      <c r="R95" s="363"/>
      <c r="S95" s="363"/>
      <c r="T95" s="363"/>
      <c r="U95" s="363"/>
      <c r="V95" s="363"/>
      <c r="W95" s="363"/>
      <c r="X95" s="363"/>
      <c r="Y95" s="363"/>
      <c r="Z95" s="363"/>
      <c r="AA95" s="408"/>
      <c r="AB95" s="408"/>
      <c r="AC95" s="408"/>
      <c r="AD95" s="408"/>
      <c r="AE95" s="408"/>
      <c r="AF95" s="408"/>
      <c r="AG95" s="408"/>
    </row>
    <row r="96" ht="15.75" customHeight="1">
      <c r="A96" s="596" t="s">
        <v>2082</v>
      </c>
      <c r="B96" s="372" t="s">
        <v>2263</v>
      </c>
      <c r="C96" s="372" t="s">
        <v>2277</v>
      </c>
      <c r="D96" s="594" t="s">
        <v>75</v>
      </c>
      <c r="E96" s="373">
        <v>45609.0</v>
      </c>
      <c r="F96" s="373">
        <v>45609.0</v>
      </c>
      <c r="G96" s="373"/>
      <c r="H96" s="373">
        <v>45610.0</v>
      </c>
      <c r="I96" s="375">
        <f>IF(ISBLANK(H96), NETWORKDAYS(F96, TODAY(),Hoja2!$A$1:$A$18), NETWORKDAYS(F96, H96, Hoja2!$A$1:$A$18))</f>
        <v>2</v>
      </c>
      <c r="J96" s="373"/>
      <c r="K96" s="373"/>
      <c r="L96" s="376" t="s">
        <v>2278</v>
      </c>
      <c r="M96" s="597"/>
      <c r="N96" s="363"/>
      <c r="O96" s="363"/>
      <c r="P96" s="363"/>
      <c r="Q96" s="363"/>
      <c r="R96" s="363"/>
      <c r="S96" s="363"/>
      <c r="T96" s="363"/>
      <c r="U96" s="363"/>
      <c r="V96" s="363"/>
      <c r="W96" s="363"/>
      <c r="X96" s="363"/>
      <c r="Y96" s="363"/>
      <c r="Z96" s="363"/>
      <c r="AA96" s="408"/>
      <c r="AB96" s="408"/>
      <c r="AC96" s="408"/>
      <c r="AD96" s="408"/>
      <c r="AE96" s="408"/>
      <c r="AF96" s="408"/>
      <c r="AG96" s="408"/>
    </row>
    <row r="97" ht="15.75" customHeight="1">
      <c r="A97" s="596" t="s">
        <v>2082</v>
      </c>
      <c r="B97" s="596" t="s">
        <v>2279</v>
      </c>
      <c r="C97" s="372"/>
      <c r="D97" s="594" t="s">
        <v>75</v>
      </c>
      <c r="E97" s="373">
        <v>45615.0</v>
      </c>
      <c r="F97" s="373">
        <v>45615.0</v>
      </c>
      <c r="G97" s="373"/>
      <c r="H97" s="373">
        <v>45615.0</v>
      </c>
      <c r="I97" s="375">
        <f>IF(ISBLANK(H97), NETWORKDAYS(F97, TODAY(),Hoja2!$A$1:$A$18), NETWORKDAYS(F97, H97, Hoja2!$A$1:$A$18))</f>
        <v>1</v>
      </c>
      <c r="J97" s="373"/>
      <c r="K97" s="373"/>
      <c r="L97" s="376" t="s">
        <v>2280</v>
      </c>
      <c r="M97" s="597"/>
      <c r="N97" s="363"/>
      <c r="O97" s="363"/>
      <c r="P97" s="363"/>
      <c r="Q97" s="363"/>
      <c r="R97" s="363"/>
      <c r="S97" s="363"/>
      <c r="T97" s="363"/>
      <c r="U97" s="363"/>
      <c r="V97" s="363"/>
      <c r="W97" s="363"/>
      <c r="X97" s="363"/>
      <c r="Y97" s="363"/>
      <c r="Z97" s="363"/>
      <c r="AA97" s="408"/>
      <c r="AB97" s="408"/>
      <c r="AC97" s="408"/>
      <c r="AD97" s="408"/>
      <c r="AE97" s="408"/>
      <c r="AF97" s="408"/>
      <c r="AG97" s="408"/>
    </row>
    <row r="98" ht="15.75" customHeight="1">
      <c r="A98" s="386" t="s">
        <v>1825</v>
      </c>
      <c r="B98" s="401" t="s">
        <v>2263</v>
      </c>
      <c r="C98" s="628" t="s">
        <v>2281</v>
      </c>
      <c r="D98" s="401" t="s">
        <v>75</v>
      </c>
      <c r="E98" s="387">
        <v>45610.0</v>
      </c>
      <c r="F98" s="387">
        <v>45610.0</v>
      </c>
      <c r="G98" s="386"/>
      <c r="H98" s="387">
        <v>45610.0</v>
      </c>
      <c r="I98" s="383">
        <f>IF(ISBLANK(H98), NETWORKDAYS(F98, TODAY(),Hoja2!$A$1:$A$18), NETWORKDAYS(F98, H98, Hoja2!$A$1:$A$18))</f>
        <v>1</v>
      </c>
      <c r="J98" s="401"/>
      <c r="K98" s="401"/>
      <c r="L98" s="685" t="s">
        <v>2282</v>
      </c>
      <c r="M98" s="597"/>
      <c r="N98" s="363"/>
      <c r="O98" s="363"/>
      <c r="P98" s="363"/>
      <c r="Q98" s="363"/>
      <c r="R98" s="363"/>
      <c r="S98" s="363"/>
      <c r="T98" s="363"/>
      <c r="U98" s="363"/>
      <c r="V98" s="363"/>
      <c r="W98" s="363"/>
      <c r="X98" s="363"/>
      <c r="Y98" s="363"/>
      <c r="Z98" s="363"/>
    </row>
    <row r="99" ht="15.75" customHeight="1">
      <c r="A99" s="386" t="s">
        <v>1825</v>
      </c>
      <c r="B99" s="679" t="s">
        <v>2283</v>
      </c>
      <c r="C99" s="656" t="s">
        <v>2284</v>
      </c>
      <c r="D99" s="401" t="s">
        <v>75</v>
      </c>
      <c r="E99" s="387">
        <v>45614.0</v>
      </c>
      <c r="F99" s="387">
        <v>45614.0</v>
      </c>
      <c r="G99" s="386"/>
      <c r="H99" s="387">
        <v>45618.0</v>
      </c>
      <c r="I99" s="383">
        <f>IF(ISBLANK(H99), NETWORKDAYS(F99, TODAY(),Hoja2!$A$1:$A$18), NETWORKDAYS(F99, H99, Hoja2!$A$1:$A$18))</f>
        <v>5</v>
      </c>
      <c r="J99" s="401"/>
      <c r="K99" s="401"/>
      <c r="L99" s="685" t="s">
        <v>2285</v>
      </c>
      <c r="M99" s="597"/>
      <c r="N99" s="363"/>
      <c r="O99" s="363"/>
      <c r="P99" s="363"/>
      <c r="Q99" s="363"/>
      <c r="R99" s="363"/>
      <c r="S99" s="363"/>
      <c r="T99" s="363"/>
      <c r="U99" s="363"/>
      <c r="V99" s="363"/>
      <c r="W99" s="363"/>
      <c r="X99" s="363"/>
      <c r="Y99" s="363"/>
      <c r="Z99" s="363"/>
    </row>
    <row r="100" ht="15.75" customHeight="1">
      <c r="A100" s="699" t="s">
        <v>1810</v>
      </c>
      <c r="B100" s="599" t="s">
        <v>2286</v>
      </c>
      <c r="C100" s="362"/>
      <c r="D100" s="594" t="s">
        <v>2203</v>
      </c>
      <c r="E100" s="373">
        <v>45621.0</v>
      </c>
      <c r="F100" s="373">
        <v>45621.0</v>
      </c>
      <c r="G100" s="700"/>
      <c r="H100" s="373">
        <v>45621.0</v>
      </c>
      <c r="I100" s="701">
        <f>IF(ISBLANK(H100), NETWORKDAYS(F100, TODAY(),Hoja2!$A$1:$A$18), NETWORKDAYS(F100, H100, Hoja2!$A$1:$A$18))</f>
        <v>1</v>
      </c>
      <c r="J100" s="373">
        <v>45621.0</v>
      </c>
      <c r="K100" s="702">
        <v>45621.0</v>
      </c>
      <c r="L100" s="595" t="s">
        <v>2287</v>
      </c>
      <c r="M100" s="363"/>
      <c r="N100" s="363"/>
      <c r="O100" s="363"/>
      <c r="P100" s="363"/>
      <c r="Q100" s="363"/>
      <c r="R100" s="363"/>
      <c r="S100" s="363"/>
      <c r="T100" s="363"/>
      <c r="U100" s="363"/>
      <c r="V100" s="363"/>
      <c r="W100" s="363"/>
      <c r="X100" s="363"/>
      <c r="Y100" s="363"/>
      <c r="Z100" s="363"/>
    </row>
    <row r="101" ht="15.75" customHeight="1">
      <c r="A101" s="699" t="s">
        <v>1810</v>
      </c>
      <c r="B101" s="703" t="s">
        <v>2288</v>
      </c>
      <c r="C101" s="704" t="s">
        <v>2289</v>
      </c>
      <c r="D101" s="705" t="s">
        <v>75</v>
      </c>
      <c r="E101" s="706">
        <v>45610.0</v>
      </c>
      <c r="F101" s="706">
        <v>45610.0</v>
      </c>
      <c r="G101" s="707"/>
      <c r="H101" s="708">
        <v>45622.0</v>
      </c>
      <c r="I101" s="701">
        <f>IF(ISBLANK(H101), NETWORKDAYS(F101, TODAY(),Hoja2!$A$1:$A$18), NETWORKDAYS(F101, H101, Hoja2!$A$1:$A$18))</f>
        <v>9</v>
      </c>
      <c r="J101" s="708"/>
      <c r="K101" s="708"/>
      <c r="L101" s="709" t="s">
        <v>2290</v>
      </c>
      <c r="M101" s="363"/>
      <c r="N101" s="363"/>
      <c r="O101" s="363"/>
      <c r="P101" s="363"/>
      <c r="Q101" s="363"/>
      <c r="R101" s="363"/>
      <c r="S101" s="363"/>
      <c r="T101" s="363"/>
      <c r="U101" s="363"/>
      <c r="V101" s="363"/>
      <c r="W101" s="363"/>
      <c r="X101" s="363"/>
      <c r="Y101" s="363"/>
      <c r="Z101" s="363"/>
    </row>
    <row r="102" ht="15.75" customHeight="1">
      <c r="A102" s="699" t="s">
        <v>1810</v>
      </c>
      <c r="B102" s="703" t="s">
        <v>2288</v>
      </c>
      <c r="C102" s="704" t="s">
        <v>2291</v>
      </c>
      <c r="D102" s="705" t="s">
        <v>2292</v>
      </c>
      <c r="E102" s="706">
        <v>45610.0</v>
      </c>
      <c r="F102" s="706"/>
      <c r="G102" s="707"/>
      <c r="H102" s="699">
        <v>0.0</v>
      </c>
      <c r="I102" s="701">
        <f>IF(ISBLANK(H102), NETWORKDAYS(F102, TODAY(),Hoja2!$A$1:$A$18), NETWORKDAYS(F102, H102, Hoja2!$A$1:$A$18))</f>
        <v>0</v>
      </c>
      <c r="J102" s="708"/>
      <c r="K102" s="708"/>
      <c r="L102" s="709" t="s">
        <v>2293</v>
      </c>
      <c r="M102" s="363"/>
      <c r="N102" s="363"/>
      <c r="O102" s="363"/>
      <c r="P102" s="363"/>
      <c r="Q102" s="363"/>
      <c r="R102" s="363"/>
      <c r="S102" s="363"/>
      <c r="T102" s="363"/>
      <c r="U102" s="363"/>
      <c r="V102" s="363"/>
      <c r="W102" s="363"/>
      <c r="X102" s="363"/>
      <c r="Y102" s="363"/>
      <c r="Z102" s="363"/>
    </row>
    <row r="103" ht="15.75" customHeight="1">
      <c r="A103" s="362" t="s">
        <v>2294</v>
      </c>
      <c r="B103" s="590" t="s">
        <v>2295</v>
      </c>
      <c r="C103" s="580"/>
      <c r="D103" s="374" t="s">
        <v>75</v>
      </c>
      <c r="E103" s="373">
        <v>45611.0</v>
      </c>
      <c r="F103" s="373">
        <v>45616.0</v>
      </c>
      <c r="G103" s="373"/>
      <c r="H103" s="373">
        <v>45616.0</v>
      </c>
      <c r="I103" s="375">
        <f>IF(ISBLANK(H103), NETWORKDAYS(F103, TODAY(),Hoja2!$A$1:$A$18), NETWORKDAYS(F103, H103, Hoja2!$A$1:$A$18))</f>
        <v>1</v>
      </c>
      <c r="J103" s="373"/>
      <c r="K103" s="373"/>
      <c r="L103" s="376" t="s">
        <v>2296</v>
      </c>
      <c r="M103" s="597"/>
      <c r="N103" s="363"/>
      <c r="O103" s="363"/>
      <c r="P103" s="363"/>
      <c r="Q103" s="363"/>
      <c r="R103" s="363"/>
      <c r="S103" s="363"/>
      <c r="T103" s="363"/>
      <c r="U103" s="363"/>
      <c r="V103" s="363"/>
      <c r="W103" s="363"/>
      <c r="X103" s="363"/>
      <c r="Y103" s="363"/>
      <c r="Z103" s="363"/>
    </row>
    <row r="104" ht="15.75" customHeight="1">
      <c r="A104" s="402" t="s">
        <v>1817</v>
      </c>
      <c r="B104" s="624" t="s">
        <v>2297</v>
      </c>
      <c r="C104" s="710" t="s">
        <v>2298</v>
      </c>
      <c r="D104" s="656" t="s">
        <v>2203</v>
      </c>
      <c r="E104" s="682">
        <v>45603.0</v>
      </c>
      <c r="F104" s="682">
        <v>45603.0</v>
      </c>
      <c r="G104" s="682">
        <v>45603.0</v>
      </c>
      <c r="H104" s="682">
        <v>45621.0</v>
      </c>
      <c r="I104" s="683">
        <f>IF(ISBLANK(H104), NETWORKDAYS(F104, TODAY(),Hoja2!$A$1:$A$18), NETWORKDAYS(F104, H104, Hoja2!$A$1:$A$18))</f>
        <v>12</v>
      </c>
      <c r="J104" s="682">
        <v>45621.0</v>
      </c>
      <c r="K104" s="682">
        <v>45622.0</v>
      </c>
      <c r="L104" s="684" t="s">
        <v>2299</v>
      </c>
      <c r="M104" s="363"/>
      <c r="N104" s="363"/>
      <c r="O104" s="363"/>
      <c r="P104" s="363"/>
      <c r="Q104" s="363"/>
      <c r="R104" s="363"/>
      <c r="S104" s="363"/>
      <c r="T104" s="363"/>
      <c r="U104" s="363"/>
      <c r="V104" s="363"/>
      <c r="W104" s="363"/>
      <c r="X104" s="363"/>
      <c r="Y104" s="363"/>
      <c r="Z104" s="363"/>
    </row>
    <row r="105" ht="15.75" customHeight="1">
      <c r="A105" s="699" t="s">
        <v>1810</v>
      </c>
      <c r="B105" s="711" t="s">
        <v>2288</v>
      </c>
      <c r="C105" s="704" t="s">
        <v>2300</v>
      </c>
      <c r="D105" s="712" t="s">
        <v>2203</v>
      </c>
      <c r="E105" s="706">
        <v>45610.0</v>
      </c>
      <c r="F105" s="706">
        <v>45610.0</v>
      </c>
      <c r="G105" s="707">
        <v>45611.0</v>
      </c>
      <c r="H105" s="713">
        <v>45621.0</v>
      </c>
      <c r="I105" s="701">
        <f>IF(ISBLANK(H105), NETWORKDAYS(F105, TODAY(),Hoja2!$A$1:$A$18), NETWORKDAYS(F105, H105, Hoja2!$A$1:$A$18))</f>
        <v>8</v>
      </c>
      <c r="J105" s="708">
        <v>45621.0</v>
      </c>
      <c r="K105" s="708">
        <v>45624.0</v>
      </c>
      <c r="L105" s="709" t="s">
        <v>2301</v>
      </c>
      <c r="M105" s="363"/>
      <c r="N105" s="363"/>
      <c r="O105" s="363"/>
      <c r="P105" s="363"/>
      <c r="Q105" s="363"/>
      <c r="R105" s="363"/>
      <c r="S105" s="363"/>
      <c r="T105" s="363"/>
      <c r="U105" s="363"/>
      <c r="V105" s="363"/>
      <c r="W105" s="363"/>
      <c r="X105" s="363"/>
      <c r="Y105" s="363"/>
      <c r="Z105" s="363"/>
    </row>
    <row r="106" ht="15.75" customHeight="1">
      <c r="A106" s="596" t="s">
        <v>2082</v>
      </c>
      <c r="B106" s="714" t="s">
        <v>2102</v>
      </c>
      <c r="C106" s="594" t="s">
        <v>2302</v>
      </c>
      <c r="D106" s="594" t="s">
        <v>2303</v>
      </c>
      <c r="E106" s="373">
        <v>45593.0</v>
      </c>
      <c r="F106" s="373">
        <v>45593.0</v>
      </c>
      <c r="G106" s="373"/>
      <c r="H106" s="373"/>
      <c r="I106" s="375">
        <f>IF(ISBLANK(H106), NETWORKDAYS(F106, TODAY(),Hoja2!$A$1:$A$18), NETWORKDAYS(F106, H106, Hoja2!$A$1:$A$18))</f>
        <v>296</v>
      </c>
      <c r="J106" s="373">
        <v>45611.0</v>
      </c>
      <c r="K106" s="373">
        <v>45611.0</v>
      </c>
      <c r="L106" s="376" t="s">
        <v>2304</v>
      </c>
      <c r="M106" s="597"/>
      <c r="N106" s="363"/>
      <c r="O106" s="363"/>
      <c r="P106" s="363"/>
      <c r="Q106" s="363"/>
      <c r="R106" s="363"/>
      <c r="S106" s="363"/>
      <c r="T106" s="363"/>
      <c r="U106" s="363"/>
      <c r="V106" s="363"/>
      <c r="W106" s="363"/>
      <c r="X106" s="363"/>
      <c r="Y106" s="363"/>
      <c r="Z106" s="363"/>
    </row>
    <row r="107" ht="15.75" customHeight="1">
      <c r="A107" s="386" t="s">
        <v>1825</v>
      </c>
      <c r="B107" s="623" t="s">
        <v>2305</v>
      </c>
      <c r="C107" s="401"/>
      <c r="D107" s="715" t="s">
        <v>75</v>
      </c>
      <c r="E107" s="405">
        <v>45623.0</v>
      </c>
      <c r="F107" s="387">
        <v>45623.0</v>
      </c>
      <c r="G107" s="386"/>
      <c r="H107" s="387">
        <v>45625.0</v>
      </c>
      <c r="I107" s="383">
        <f>IF(ISBLANK(H107), NETWORKDAYS(F107, TODAY(),Hoja2!$A$1:$A$18), NETWORKDAYS(F107, H107, Hoja2!$A$1:$A$18))</f>
        <v>3</v>
      </c>
      <c r="J107" s="387">
        <v>45625.0</v>
      </c>
      <c r="K107" s="401"/>
      <c r="L107" s="685" t="s">
        <v>2306</v>
      </c>
      <c r="M107" s="597"/>
      <c r="N107" s="363"/>
      <c r="O107" s="363"/>
      <c r="P107" s="363"/>
      <c r="Q107" s="363"/>
      <c r="R107" s="363"/>
      <c r="S107" s="363"/>
      <c r="T107" s="363"/>
      <c r="U107" s="363"/>
      <c r="V107" s="363"/>
      <c r="W107" s="363"/>
      <c r="X107" s="363"/>
      <c r="Y107" s="363"/>
      <c r="Z107" s="363"/>
    </row>
    <row r="108" ht="15.75" customHeight="1">
      <c r="A108" s="716" t="s">
        <v>1810</v>
      </c>
      <c r="B108" s="703" t="s">
        <v>2307</v>
      </c>
      <c r="C108" s="717"/>
      <c r="D108" s="718" t="s">
        <v>2203</v>
      </c>
      <c r="E108" s="719">
        <v>45624.0</v>
      </c>
      <c r="F108" s="719">
        <v>45625.0</v>
      </c>
      <c r="G108" s="707"/>
      <c r="H108" s="706">
        <v>45625.0</v>
      </c>
      <c r="I108" s="701">
        <f>IF(ISBLANK(H108), NETWORKDAYS(F108, TODAY(),Hoja2!$A$1:$A$18), NETWORKDAYS(F108, H108, Hoja2!$A$1:$A$18))</f>
        <v>1</v>
      </c>
      <c r="J108" s="706">
        <v>45625.0</v>
      </c>
      <c r="K108" s="706">
        <v>45625.0</v>
      </c>
      <c r="L108" s="709" t="s">
        <v>2308</v>
      </c>
      <c r="M108" s="363"/>
      <c r="N108" s="363"/>
      <c r="O108" s="363"/>
      <c r="P108" s="363"/>
      <c r="Q108" s="363"/>
      <c r="R108" s="363"/>
      <c r="S108" s="363"/>
      <c r="T108" s="363"/>
      <c r="U108" s="363"/>
      <c r="V108" s="363"/>
      <c r="W108" s="363"/>
      <c r="X108" s="363"/>
      <c r="Y108" s="363"/>
      <c r="Z108" s="363"/>
    </row>
    <row r="109" ht="15.75" customHeight="1">
      <c r="A109" s="401" t="s">
        <v>1817</v>
      </c>
      <c r="B109" s="720" t="s">
        <v>2309</v>
      </c>
      <c r="C109" s="625" t="s">
        <v>2310</v>
      </c>
      <c r="D109" s="380" t="s">
        <v>2158</v>
      </c>
      <c r="E109" s="405">
        <v>45618.0</v>
      </c>
      <c r="F109" s="405">
        <v>45618.0</v>
      </c>
      <c r="G109" s="721"/>
      <c r="H109" s="405">
        <v>45625.0</v>
      </c>
      <c r="I109" s="383">
        <f>IF(ISBLANK(H109), NETWORKDAYS(F109, TODAY(),Hoja2!$A$1:$A$18), NETWORKDAYS(F109, H109, Hoja2!$A$1:$A$18))</f>
        <v>6</v>
      </c>
      <c r="J109" s="405">
        <v>45625.0</v>
      </c>
      <c r="K109" s="405">
        <v>45625.0</v>
      </c>
      <c r="L109" s="722" t="s">
        <v>2311</v>
      </c>
      <c r="M109" s="363"/>
      <c r="N109" s="363"/>
      <c r="O109" s="363"/>
      <c r="P109" s="363"/>
      <c r="Q109" s="363"/>
      <c r="R109" s="363"/>
      <c r="S109" s="363"/>
      <c r="T109" s="363"/>
      <c r="U109" s="363"/>
      <c r="V109" s="363"/>
      <c r="W109" s="363"/>
      <c r="X109" s="363"/>
      <c r="Y109" s="363"/>
      <c r="Z109" s="363"/>
    </row>
    <row r="110" ht="15.75" customHeight="1">
      <c r="A110" s="723" t="s">
        <v>2082</v>
      </c>
      <c r="B110" s="581" t="s">
        <v>2312</v>
      </c>
      <c r="C110" s="668" t="s">
        <v>2313</v>
      </c>
      <c r="D110" s="618" t="s">
        <v>2314</v>
      </c>
      <c r="E110" s="642">
        <v>45616.0</v>
      </c>
      <c r="F110" s="642">
        <v>45616.0</v>
      </c>
      <c r="G110" s="642"/>
      <c r="H110" s="610"/>
      <c r="I110" s="587">
        <f>IF(ISBLANK(H110), NETWORKDAYS(F110, TODAY(),Hoja2!$A$1:$A$18), NETWORKDAYS(F110, H110, Hoja2!$A$1:$A$18))</f>
        <v>281</v>
      </c>
      <c r="J110" s="642"/>
      <c r="K110" s="642"/>
      <c r="L110" s="643" t="s">
        <v>2315</v>
      </c>
      <c r="M110" s="597"/>
      <c r="N110" s="363"/>
      <c r="O110" s="363"/>
      <c r="P110" s="363"/>
      <c r="Q110" s="363"/>
      <c r="R110" s="363"/>
      <c r="S110" s="363"/>
      <c r="T110" s="363"/>
      <c r="U110" s="363"/>
      <c r="V110" s="363"/>
      <c r="W110" s="363"/>
      <c r="X110" s="363"/>
      <c r="Y110" s="363"/>
      <c r="Z110" s="363"/>
    </row>
    <row r="111" ht="15.75" customHeight="1">
      <c r="A111" s="596" t="s">
        <v>2082</v>
      </c>
      <c r="B111" s="372" t="s">
        <v>2263</v>
      </c>
      <c r="C111" s="724" t="s">
        <v>2316</v>
      </c>
      <c r="D111" s="594" t="s">
        <v>2203</v>
      </c>
      <c r="E111" s="691">
        <v>45616.0</v>
      </c>
      <c r="F111" s="725">
        <v>45617.0</v>
      </c>
      <c r="G111" s="690"/>
      <c r="H111" s="373">
        <v>45618.0</v>
      </c>
      <c r="I111" s="375">
        <f>IF(ISBLANK(H111), NETWORKDAYS(F111, TODAY(),Hoja2!$A$1:$A$18), NETWORKDAYS(F111, H111, Hoja2!$A$1:$A$18))</f>
        <v>2</v>
      </c>
      <c r="J111" s="373">
        <v>45618.0</v>
      </c>
      <c r="K111" s="691">
        <v>45630.0</v>
      </c>
      <c r="L111" s="726" t="s">
        <v>2317</v>
      </c>
    </row>
    <row r="112" ht="15.75" customHeight="1">
      <c r="A112" s="596" t="s">
        <v>2082</v>
      </c>
      <c r="B112" s="372" t="s">
        <v>2263</v>
      </c>
      <c r="C112" s="724" t="s">
        <v>2318</v>
      </c>
      <c r="D112" s="594" t="s">
        <v>2203</v>
      </c>
      <c r="E112" s="691">
        <v>45618.0</v>
      </c>
      <c r="F112" s="725">
        <v>45618.0</v>
      </c>
      <c r="G112" s="690"/>
      <c r="H112" s="725">
        <v>45618.0</v>
      </c>
      <c r="I112" s="375">
        <f>IF(ISBLANK(H112), NETWORKDAYS(F112, TODAY(),Hoja2!$A$1:$A$18), NETWORKDAYS(F112, H112, Hoja2!$A$1:$A$18))</f>
        <v>1</v>
      </c>
      <c r="J112" s="725">
        <v>45618.0</v>
      </c>
      <c r="K112" s="691">
        <v>45630.0</v>
      </c>
      <c r="L112" s="726" t="s">
        <v>2319</v>
      </c>
    </row>
    <row r="113" ht="15.75" customHeight="1">
      <c r="A113" s="596" t="s">
        <v>2082</v>
      </c>
      <c r="B113" s="372" t="s">
        <v>2263</v>
      </c>
      <c r="C113" s="674" t="s">
        <v>2320</v>
      </c>
      <c r="D113" s="594" t="s">
        <v>2203</v>
      </c>
      <c r="E113" s="691">
        <v>45616.0</v>
      </c>
      <c r="F113" s="725">
        <v>45616.0</v>
      </c>
      <c r="G113" s="690"/>
      <c r="H113" s="373">
        <v>45618.0</v>
      </c>
      <c r="I113" s="375">
        <f>IF(ISBLANK(H113), NETWORKDAYS(F113, TODAY(),Hoja2!$A$1:$A$18), NETWORKDAYS(F113, H113, Hoja2!$A$1:$A$18))</f>
        <v>3</v>
      </c>
      <c r="J113" s="373">
        <v>45618.0</v>
      </c>
      <c r="K113" s="691">
        <v>45630.0</v>
      </c>
      <c r="L113" s="630" t="s">
        <v>2321</v>
      </c>
    </row>
    <row r="114" ht="15.75" customHeight="1">
      <c r="A114" s="386" t="s">
        <v>1825</v>
      </c>
      <c r="B114" s="727" t="s">
        <v>2322</v>
      </c>
      <c r="C114" s="679"/>
      <c r="D114" s="679" t="s">
        <v>75</v>
      </c>
      <c r="E114" s="687">
        <v>45629.0</v>
      </c>
      <c r="F114" s="687">
        <v>45629.0</v>
      </c>
      <c r="G114" s="402"/>
      <c r="H114" s="687">
        <v>45629.0</v>
      </c>
      <c r="I114" s="383">
        <f>IF(ISBLANK(H114), NETWORKDAYS(F114, TODAY(),Hoja2!$A$1:$A$18), NETWORKDAYS(F114, H114, Hoja2!$A$1:$A$18))</f>
        <v>1</v>
      </c>
      <c r="J114" s="679"/>
      <c r="K114" s="687">
        <v>45630.0</v>
      </c>
      <c r="L114" s="728" t="s">
        <v>2323</v>
      </c>
      <c r="M114" s="597"/>
      <c r="N114" s="363"/>
      <c r="O114" s="363"/>
      <c r="P114" s="363"/>
      <c r="Q114" s="363"/>
      <c r="R114" s="363"/>
      <c r="S114" s="363"/>
      <c r="T114" s="363"/>
      <c r="U114" s="363"/>
      <c r="V114" s="363"/>
      <c r="W114" s="363"/>
      <c r="X114" s="363"/>
      <c r="Y114" s="363"/>
      <c r="Z114" s="363"/>
      <c r="AA114" s="408"/>
      <c r="AB114" s="408"/>
      <c r="AC114" s="408"/>
      <c r="AD114" s="408"/>
      <c r="AE114" s="408"/>
      <c r="AF114" s="408"/>
      <c r="AG114" s="408"/>
    </row>
    <row r="115" ht="15.75" customHeight="1">
      <c r="A115" s="596" t="s">
        <v>2082</v>
      </c>
      <c r="B115" s="596" t="s">
        <v>2324</v>
      </c>
      <c r="C115" s="372"/>
      <c r="D115" s="594" t="s">
        <v>2203</v>
      </c>
      <c r="E115" s="373">
        <v>45628.0</v>
      </c>
      <c r="F115" s="373">
        <v>45630.0</v>
      </c>
      <c r="G115" s="373"/>
      <c r="H115" s="373">
        <v>45631.0</v>
      </c>
      <c r="I115" s="375">
        <f>IF(ISBLANK(H115), NETWORKDAYS(F115, TODAY(),Hoja2!$A$1:$A$18), NETWORKDAYS(F115, H115, Hoja2!$A$1:$A$18))</f>
        <v>2</v>
      </c>
      <c r="J115" s="373"/>
      <c r="K115" s="373">
        <v>45631.0</v>
      </c>
      <c r="L115" s="376" t="s">
        <v>2325</v>
      </c>
      <c r="M115" s="597"/>
      <c r="N115" s="363"/>
      <c r="O115" s="363"/>
      <c r="P115" s="363"/>
      <c r="Q115" s="363"/>
      <c r="R115" s="363"/>
      <c r="S115" s="363"/>
      <c r="T115" s="363"/>
      <c r="U115" s="363"/>
      <c r="V115" s="363"/>
      <c r="W115" s="363"/>
      <c r="X115" s="363"/>
      <c r="Y115" s="363"/>
      <c r="Z115" s="363"/>
    </row>
    <row r="116" ht="15.75" customHeight="1">
      <c r="A116" s="386" t="s">
        <v>1825</v>
      </c>
      <c r="B116" s="729" t="s">
        <v>2326</v>
      </c>
      <c r="C116" s="679"/>
      <c r="D116" s="679" t="s">
        <v>75</v>
      </c>
      <c r="E116" s="687">
        <v>45628.0</v>
      </c>
      <c r="F116" s="687">
        <v>45630.0</v>
      </c>
      <c r="G116" s="402"/>
      <c r="H116" s="687">
        <v>45632.0</v>
      </c>
      <c r="I116" s="383">
        <f>IF(ISBLANK(H116), NETWORKDAYS(F116, TODAY(),Hoja2!$A$1:$A$18), NETWORKDAYS(F116, H116, Hoja2!$A$1:$A$18))</f>
        <v>3</v>
      </c>
      <c r="J116" s="679"/>
      <c r="K116" s="679"/>
      <c r="L116" s="688" t="s">
        <v>2327</v>
      </c>
      <c r="M116" s="597"/>
      <c r="N116" s="363"/>
      <c r="O116" s="363"/>
      <c r="P116" s="363"/>
      <c r="Q116" s="363"/>
      <c r="R116" s="363"/>
      <c r="S116" s="363"/>
      <c r="T116" s="363"/>
      <c r="U116" s="363"/>
      <c r="V116" s="363"/>
      <c r="W116" s="363"/>
      <c r="X116" s="363"/>
      <c r="Y116" s="363"/>
      <c r="Z116" s="363"/>
      <c r="AA116" s="408"/>
      <c r="AB116" s="408"/>
      <c r="AC116" s="408"/>
      <c r="AD116" s="408"/>
      <c r="AE116" s="408"/>
      <c r="AF116" s="408"/>
      <c r="AG116" s="408"/>
    </row>
    <row r="117" ht="15.75" customHeight="1">
      <c r="A117" s="386" t="s">
        <v>1825</v>
      </c>
      <c r="B117" s="729" t="s">
        <v>2328</v>
      </c>
      <c r="C117" s="679"/>
      <c r="D117" s="679" t="s">
        <v>75</v>
      </c>
      <c r="E117" s="687">
        <v>45635.0</v>
      </c>
      <c r="F117" s="687">
        <v>45635.0</v>
      </c>
      <c r="G117" s="402"/>
      <c r="H117" s="687">
        <v>45635.0</v>
      </c>
      <c r="I117" s="383">
        <f>IF(ISBLANK(H117), NETWORKDAYS(F117, TODAY(),Hoja2!$A$1:$A$18), NETWORKDAYS(F117, H117, Hoja2!$A$1:$A$18))</f>
        <v>1</v>
      </c>
      <c r="J117" s="687">
        <v>45635.0</v>
      </c>
      <c r="K117" s="679"/>
      <c r="L117" s="688"/>
      <c r="M117" s="597"/>
      <c r="N117" s="363"/>
      <c r="O117" s="363"/>
      <c r="P117" s="363"/>
      <c r="Q117" s="363"/>
      <c r="R117" s="363"/>
      <c r="S117" s="363"/>
      <c r="T117" s="363"/>
      <c r="U117" s="363"/>
      <c r="V117" s="363"/>
      <c r="W117" s="363"/>
      <c r="X117" s="363"/>
      <c r="Y117" s="363"/>
      <c r="Z117" s="363"/>
      <c r="AA117" s="408"/>
      <c r="AB117" s="408"/>
      <c r="AC117" s="408"/>
      <c r="AD117" s="408"/>
      <c r="AE117" s="408"/>
      <c r="AF117" s="408"/>
      <c r="AG117" s="408"/>
    </row>
    <row r="118" ht="15.75" customHeight="1">
      <c r="A118" s="401" t="s">
        <v>1835</v>
      </c>
      <c r="B118" s="378" t="s">
        <v>2329</v>
      </c>
      <c r="C118" s="730"/>
      <c r="D118" s="626" t="s">
        <v>75</v>
      </c>
      <c r="E118" s="405">
        <v>45630.0</v>
      </c>
      <c r="F118" s="405">
        <v>45631.0</v>
      </c>
      <c r="G118" s="638"/>
      <c r="H118" s="639">
        <v>45635.0</v>
      </c>
      <c r="I118" s="731">
        <f>IF(ISBLANK(H118), NETWORKDAYS(F118, TODAY(),Hoja2!$A$1:$A$18), NETWORKDAYS(F118, H118, Hoja2!$A$1:$A$18))</f>
        <v>3</v>
      </c>
      <c r="J118" s="639"/>
      <c r="K118" s="639"/>
      <c r="L118" s="732" t="s">
        <v>2330</v>
      </c>
      <c r="M118" s="597"/>
      <c r="N118" s="363"/>
      <c r="O118" s="363"/>
      <c r="P118" s="363"/>
      <c r="Q118" s="363"/>
      <c r="R118" s="363"/>
      <c r="S118" s="363"/>
      <c r="T118" s="363"/>
      <c r="U118" s="363"/>
      <c r="V118" s="363"/>
      <c r="W118" s="363"/>
      <c r="X118" s="363"/>
      <c r="Y118" s="363"/>
      <c r="Z118" s="363"/>
    </row>
    <row r="119" ht="15.75" customHeight="1">
      <c r="A119" s="386" t="s">
        <v>1825</v>
      </c>
      <c r="B119" s="386" t="s">
        <v>2331</v>
      </c>
      <c r="C119" s="401"/>
      <c r="D119" s="401" t="s">
        <v>75</v>
      </c>
      <c r="E119" s="387">
        <v>45635.0</v>
      </c>
      <c r="F119" s="387">
        <v>45636.0</v>
      </c>
      <c r="G119" s="386"/>
      <c r="H119" s="387">
        <v>45636.0</v>
      </c>
      <c r="I119" s="383">
        <f>IF(ISBLANK(H119), NETWORKDAYS(F119, TODAY(),Hoja2!$A$1:$A$18), NETWORKDAYS(F119, H119, Hoja2!$A$1:$A$18))</f>
        <v>1</v>
      </c>
      <c r="J119" s="401"/>
      <c r="K119" s="387">
        <v>45636.0</v>
      </c>
      <c r="L119" s="685" t="s">
        <v>2332</v>
      </c>
      <c r="M119" s="597"/>
      <c r="N119" s="363"/>
      <c r="O119" s="363"/>
      <c r="P119" s="363"/>
      <c r="Q119" s="363"/>
      <c r="R119" s="363"/>
      <c r="S119" s="363"/>
      <c r="T119" s="363"/>
      <c r="U119" s="363"/>
      <c r="V119" s="363"/>
      <c r="W119" s="363"/>
      <c r="X119" s="363"/>
      <c r="Y119" s="363"/>
      <c r="Z119" s="363"/>
      <c r="AA119" s="408"/>
      <c r="AB119" s="408"/>
      <c r="AC119" s="408"/>
      <c r="AD119" s="408"/>
      <c r="AE119" s="408"/>
      <c r="AF119" s="408"/>
      <c r="AG119" s="408"/>
    </row>
    <row r="120" ht="15.75" customHeight="1">
      <c r="A120" s="401" t="s">
        <v>1835</v>
      </c>
      <c r="B120" s="733" t="s">
        <v>2333</v>
      </c>
      <c r="C120" s="730"/>
      <c r="D120" s="380" t="s">
        <v>2203</v>
      </c>
      <c r="E120" s="405">
        <v>45631.0</v>
      </c>
      <c r="F120" s="405">
        <v>45635.0</v>
      </c>
      <c r="G120" s="405"/>
      <c r="H120" s="405">
        <v>45636.0</v>
      </c>
      <c r="I120" s="383">
        <f>IF(ISBLANK(H120), NETWORKDAYS(F120, TODAY(),Hoja2!$A$1:$A$18), NETWORKDAYS(F120, H120, Hoja2!$A$1:$A$18))</f>
        <v>2</v>
      </c>
      <c r="J120" s="405"/>
      <c r="K120" s="405"/>
      <c r="L120" s="722" t="s">
        <v>2334</v>
      </c>
      <c r="M120" s="597"/>
      <c r="N120" s="363"/>
      <c r="O120" s="363"/>
      <c r="P120" s="363"/>
      <c r="Q120" s="363"/>
      <c r="R120" s="363"/>
      <c r="S120" s="363"/>
      <c r="T120" s="363"/>
      <c r="U120" s="363"/>
      <c r="V120" s="363"/>
      <c r="W120" s="363"/>
      <c r="X120" s="363"/>
      <c r="Y120" s="363"/>
      <c r="Z120" s="363"/>
    </row>
    <row r="121" ht="15.75" customHeight="1">
      <c r="A121" s="362" t="s">
        <v>1810</v>
      </c>
      <c r="B121" s="599" t="s">
        <v>2335</v>
      </c>
      <c r="C121" s="699"/>
      <c r="D121" s="705" t="s">
        <v>75</v>
      </c>
      <c r="E121" s="706">
        <v>45632.0</v>
      </c>
      <c r="F121" s="706">
        <v>45632.0</v>
      </c>
      <c r="G121" s="707"/>
      <c r="H121" s="708">
        <v>45637.0</v>
      </c>
      <c r="I121" s="375">
        <f>IF(ISBLANK(H121), NETWORKDAYS(F121, TODAY(),Hoja2!$A$1:$A$18), NETWORKDAYS(F121, H121, Hoja2!$A$1:$A$18))</f>
        <v>4</v>
      </c>
      <c r="J121" s="708"/>
      <c r="K121" s="708">
        <v>45636.0</v>
      </c>
      <c r="L121" s="709" t="s">
        <v>2336</v>
      </c>
      <c r="M121" s="734"/>
      <c r="N121" s="734"/>
      <c r="O121" s="734"/>
      <c r="P121" s="734"/>
      <c r="Q121" s="734"/>
      <c r="R121" s="734"/>
      <c r="S121" s="734"/>
      <c r="T121" s="734"/>
      <c r="U121" s="734"/>
      <c r="V121" s="734"/>
      <c r="W121" s="734"/>
      <c r="X121" s="734"/>
      <c r="Y121" s="734"/>
      <c r="Z121" s="734"/>
      <c r="AA121" s="735"/>
      <c r="AB121" s="735"/>
      <c r="AC121" s="735"/>
      <c r="AD121" s="735"/>
      <c r="AE121" s="735"/>
      <c r="AF121" s="735"/>
      <c r="AG121" s="735"/>
    </row>
    <row r="122" ht="15.75" customHeight="1">
      <c r="A122" s="362" t="s">
        <v>1810</v>
      </c>
      <c r="B122" s="546"/>
      <c r="C122" s="578" t="s">
        <v>2337</v>
      </c>
      <c r="D122" s="705" t="s">
        <v>75</v>
      </c>
      <c r="E122" s="706">
        <v>45637.0</v>
      </c>
      <c r="F122" s="706">
        <v>45638.0</v>
      </c>
      <c r="G122" s="707"/>
      <c r="H122" s="702">
        <v>45639.0</v>
      </c>
      <c r="I122" s="375">
        <f>IF(ISBLANK(H122), NETWORKDAYS(F122, TODAY(),Hoja2!$A$1:$A$18), NETWORKDAYS(F122, H122, Hoja2!$A$1:$A$18))</f>
        <v>2</v>
      </c>
      <c r="J122" s="708"/>
      <c r="K122" s="708"/>
      <c r="L122" s="709" t="s">
        <v>2338</v>
      </c>
      <c r="M122" s="734"/>
      <c r="N122" s="734"/>
      <c r="O122" s="734"/>
      <c r="P122" s="734"/>
      <c r="Q122" s="734"/>
      <c r="R122" s="734"/>
      <c r="S122" s="734"/>
      <c r="T122" s="734"/>
      <c r="U122" s="734"/>
      <c r="V122" s="734"/>
      <c r="W122" s="734"/>
      <c r="X122" s="734"/>
      <c r="Y122" s="734"/>
      <c r="Z122" s="734"/>
      <c r="AA122" s="735"/>
      <c r="AB122" s="735"/>
      <c r="AC122" s="735"/>
      <c r="AD122" s="735"/>
      <c r="AE122" s="735"/>
      <c r="AF122" s="735"/>
      <c r="AG122" s="735"/>
    </row>
    <row r="123" ht="15.75" customHeight="1">
      <c r="A123" s="402" t="s">
        <v>1817</v>
      </c>
      <c r="B123" s="736" t="s">
        <v>2339</v>
      </c>
      <c r="C123" s="737" t="s">
        <v>2340</v>
      </c>
      <c r="D123" s="626" t="s">
        <v>2203</v>
      </c>
      <c r="E123" s="682">
        <v>45636.0</v>
      </c>
      <c r="F123" s="682">
        <v>45636.0</v>
      </c>
      <c r="G123" s="682"/>
      <c r="H123" s="682"/>
      <c r="I123" s="683">
        <f>IF(ISBLANK(H123), NETWORKDAYS(F123, TODAY(),Hoja2!$A$1:$A$18), NETWORKDAYS(F123, H123, Hoja2!$A$1:$A$18))</f>
        <v>267</v>
      </c>
      <c r="J123" s="738">
        <v>45637.0</v>
      </c>
      <c r="K123" s="682">
        <v>45638.0</v>
      </c>
      <c r="L123" s="684" t="s">
        <v>2341</v>
      </c>
      <c r="M123" s="363"/>
      <c r="N123" s="363"/>
      <c r="O123" s="363"/>
      <c r="P123" s="363"/>
      <c r="Q123" s="363"/>
      <c r="R123" s="363"/>
      <c r="S123" s="363"/>
      <c r="T123" s="363"/>
      <c r="U123" s="363"/>
      <c r="V123" s="363"/>
      <c r="W123" s="363"/>
      <c r="X123" s="363"/>
      <c r="Y123" s="363"/>
      <c r="Z123" s="363"/>
    </row>
    <row r="124" ht="15.75" customHeight="1">
      <c r="A124" s="386" t="s">
        <v>1817</v>
      </c>
      <c r="B124" s="396" t="s">
        <v>2342</v>
      </c>
      <c r="C124" s="404" t="s">
        <v>2343</v>
      </c>
      <c r="D124" s="626" t="s">
        <v>75</v>
      </c>
      <c r="E124" s="405">
        <v>45636.0</v>
      </c>
      <c r="F124" s="405">
        <v>45636.0</v>
      </c>
      <c r="G124" s="405"/>
      <c r="H124" s="405">
        <v>45638.0</v>
      </c>
      <c r="I124" s="383">
        <f>IF(ISBLANK(H124), NETWORKDAYS(F124, TODAY(),Hoja2!$A$1:$A$18), NETWORKDAYS(F124, H124, Hoja2!$A$1:$A$18))</f>
        <v>3</v>
      </c>
      <c r="J124" s="405">
        <v>45638.0</v>
      </c>
      <c r="K124" s="405">
        <v>45638.0</v>
      </c>
      <c r="L124" s="627" t="s">
        <v>2344</v>
      </c>
      <c r="M124" s="363"/>
      <c r="N124" s="363"/>
      <c r="O124" s="363"/>
      <c r="P124" s="363"/>
      <c r="Q124" s="363"/>
      <c r="R124" s="363"/>
      <c r="S124" s="363"/>
      <c r="T124" s="363"/>
      <c r="U124" s="363"/>
      <c r="V124" s="363"/>
      <c r="W124" s="363"/>
      <c r="X124" s="363"/>
      <c r="Y124" s="363"/>
      <c r="Z124" s="363"/>
    </row>
    <row r="125" ht="15.75" customHeight="1">
      <c r="A125" s="599" t="s">
        <v>2082</v>
      </c>
      <c r="B125" s="579" t="s">
        <v>2213</v>
      </c>
      <c r="C125" s="739" t="s">
        <v>2345</v>
      </c>
      <c r="D125" s="604" t="s">
        <v>75</v>
      </c>
      <c r="E125" s="673">
        <v>45630.0</v>
      </c>
      <c r="F125" s="673">
        <v>45631.0</v>
      </c>
      <c r="G125" s="605"/>
      <c r="H125" s="605">
        <v>45632.0</v>
      </c>
      <c r="I125" s="606">
        <f>IF(ISBLANK(H125), NETWORKDAYS(F125, TODAY(),Hoja2!$A$1:$A$18), NETWORKDAYS(F125, H125, Hoja2!$A$1:$A$18))</f>
        <v>2</v>
      </c>
      <c r="J125" s="366"/>
      <c r="K125" s="605">
        <v>45632.0</v>
      </c>
      <c r="L125" s="633"/>
      <c r="M125" s="632"/>
      <c r="N125" s="369"/>
      <c r="O125" s="369"/>
      <c r="P125" s="369"/>
      <c r="Q125" s="369"/>
      <c r="R125" s="369"/>
      <c r="S125" s="369"/>
      <c r="T125" s="369"/>
      <c r="U125" s="369"/>
      <c r="V125" s="369"/>
      <c r="W125" s="369"/>
      <c r="X125" s="369"/>
      <c r="Y125" s="369"/>
      <c r="Z125" s="369"/>
    </row>
    <row r="126" ht="15.75" customHeight="1">
      <c r="A126" s="596" t="s">
        <v>2082</v>
      </c>
      <c r="B126" s="579" t="s">
        <v>2213</v>
      </c>
      <c r="C126" s="740" t="s">
        <v>2346</v>
      </c>
      <c r="D126" s="672" t="s">
        <v>214</v>
      </c>
      <c r="E126" s="673">
        <v>45631.0</v>
      </c>
      <c r="F126" s="605">
        <v>45631.0</v>
      </c>
      <c r="G126" s="605"/>
      <c r="H126" s="604"/>
      <c r="I126" s="375">
        <f>IF(ISBLANK(H126), NETWORKDAYS(F126, TODAY(),Hoja2!$A$1:$A$18), NETWORKDAYS(F126, H126, Hoja2!$A$1:$A$18))</f>
        <v>270</v>
      </c>
      <c r="J126" s="366"/>
      <c r="K126" s="366"/>
      <c r="L126" s="741"/>
      <c r="M126" s="632"/>
      <c r="N126" s="369"/>
      <c r="O126" s="369"/>
      <c r="P126" s="369"/>
      <c r="Q126" s="369"/>
      <c r="R126" s="369"/>
      <c r="S126" s="369"/>
      <c r="T126" s="369"/>
      <c r="U126" s="369"/>
      <c r="V126" s="369"/>
      <c r="W126" s="369"/>
      <c r="X126" s="369"/>
      <c r="Y126" s="369"/>
      <c r="Z126" s="369"/>
    </row>
    <row r="127" ht="15.75" customHeight="1">
      <c r="A127" s="699" t="s">
        <v>1810</v>
      </c>
      <c r="B127" s="717" t="s">
        <v>2347</v>
      </c>
      <c r="C127" s="704" t="s">
        <v>2348</v>
      </c>
      <c r="D127" s="705" t="s">
        <v>75</v>
      </c>
      <c r="E127" s="706">
        <v>45642.0</v>
      </c>
      <c r="F127" s="706">
        <v>45642.0</v>
      </c>
      <c r="G127" s="707"/>
      <c r="H127" s="708">
        <v>45643.0</v>
      </c>
      <c r="I127" s="701">
        <f>IF(ISBLANK(H127), NETWORKDAYS(F127, TODAY(),Hoja2!$A$1:$A$18), NETWORKDAYS(F127, H127, Hoja2!$A$1:$A$18))</f>
        <v>2</v>
      </c>
      <c r="J127" s="708"/>
      <c r="K127" s="708">
        <v>45643.0</v>
      </c>
      <c r="L127" s="709"/>
      <c r="M127" s="734"/>
      <c r="N127" s="734"/>
      <c r="O127" s="734"/>
      <c r="P127" s="734"/>
      <c r="Q127" s="734"/>
      <c r="R127" s="734"/>
      <c r="S127" s="734"/>
      <c r="T127" s="734"/>
      <c r="U127" s="734"/>
      <c r="V127" s="734"/>
      <c r="W127" s="734"/>
      <c r="X127" s="734"/>
      <c r="Y127" s="734"/>
      <c r="Z127" s="734"/>
      <c r="AA127" s="735"/>
      <c r="AB127" s="735"/>
      <c r="AC127" s="735"/>
      <c r="AD127" s="735"/>
      <c r="AE127" s="735"/>
      <c r="AF127" s="735"/>
      <c r="AG127" s="735"/>
    </row>
    <row r="128" ht="15.75" customHeight="1">
      <c r="A128" s="699" t="s">
        <v>1810</v>
      </c>
      <c r="B128" s="717" t="s">
        <v>2349</v>
      </c>
      <c r="C128" s="704"/>
      <c r="D128" s="705" t="s">
        <v>75</v>
      </c>
      <c r="E128" s="706">
        <v>45642.0</v>
      </c>
      <c r="F128" s="706">
        <v>45642.0</v>
      </c>
      <c r="G128" s="707"/>
      <c r="H128" s="708">
        <v>45643.0</v>
      </c>
      <c r="I128" s="701">
        <f>IF(ISBLANK(H128), NETWORKDAYS(F128, TODAY(),Hoja2!$A$1:$A$18), NETWORKDAYS(F128, H128, Hoja2!$A$1:$A$18))</f>
        <v>2</v>
      </c>
      <c r="J128" s="708"/>
      <c r="K128" s="708">
        <v>45643.0</v>
      </c>
      <c r="L128" s="709"/>
      <c r="M128" s="734"/>
      <c r="N128" s="734"/>
      <c r="O128" s="734"/>
      <c r="P128" s="734"/>
      <c r="Q128" s="734"/>
      <c r="R128" s="734"/>
      <c r="S128" s="734"/>
      <c r="T128" s="734"/>
      <c r="U128" s="734"/>
      <c r="V128" s="734"/>
      <c r="W128" s="734"/>
      <c r="X128" s="734"/>
      <c r="Y128" s="734"/>
      <c r="Z128" s="734"/>
      <c r="AA128" s="735"/>
      <c r="AB128" s="735"/>
      <c r="AC128" s="735"/>
      <c r="AD128" s="735"/>
      <c r="AE128" s="735"/>
      <c r="AF128" s="735"/>
      <c r="AG128" s="735"/>
    </row>
    <row r="129" ht="15.75" customHeight="1">
      <c r="A129" s="599" t="s">
        <v>2082</v>
      </c>
      <c r="B129" s="579"/>
      <c r="C129" s="741" t="s">
        <v>2350</v>
      </c>
      <c r="D129" s="604" t="s">
        <v>75</v>
      </c>
      <c r="E129" s="673">
        <v>45643.0</v>
      </c>
      <c r="F129" s="673">
        <v>45643.0</v>
      </c>
      <c r="G129" s="605"/>
      <c r="H129" s="673">
        <v>45643.0</v>
      </c>
      <c r="I129" s="606">
        <f>IF(ISBLANK(H129), NETWORKDAYS(F129, TODAY(),Hoja2!$A$1:$A$18), NETWORKDAYS(F129, H129, Hoja2!$A$1:$A$18))</f>
        <v>1</v>
      </c>
      <c r="J129" s="605"/>
      <c r="K129" s="605"/>
      <c r="L129" s="633"/>
      <c r="M129" s="632"/>
      <c r="N129" s="369"/>
      <c r="O129" s="369"/>
      <c r="P129" s="369"/>
      <c r="Q129" s="369"/>
      <c r="R129" s="369"/>
      <c r="S129" s="369"/>
      <c r="T129" s="369"/>
      <c r="U129" s="369"/>
      <c r="V129" s="369"/>
      <c r="W129" s="369"/>
      <c r="X129" s="369"/>
      <c r="Y129" s="369"/>
      <c r="Z129" s="369"/>
    </row>
    <row r="130" ht="15.75" customHeight="1">
      <c r="A130" s="386" t="s">
        <v>1825</v>
      </c>
      <c r="B130" s="386" t="s">
        <v>2351</v>
      </c>
      <c r="C130" s="401"/>
      <c r="D130" s="401" t="s">
        <v>75</v>
      </c>
      <c r="E130" s="387">
        <v>45643.0</v>
      </c>
      <c r="F130" s="387">
        <v>45644.0</v>
      </c>
      <c r="G130" s="386"/>
      <c r="H130" s="387">
        <v>45644.0</v>
      </c>
      <c r="I130" s="383">
        <f>IF(ISBLANK(H130), NETWORKDAYS(F130, TODAY(),Hoja2!$A$1:$A$18), NETWORKDAYS(F130, H130, Hoja2!$A$1:$A$18))</f>
        <v>1</v>
      </c>
      <c r="J130" s="387">
        <v>45644.0</v>
      </c>
      <c r="K130" s="401"/>
      <c r="L130" s="685"/>
      <c r="M130" s="597"/>
      <c r="N130" s="363"/>
      <c r="O130" s="363"/>
      <c r="P130" s="363"/>
      <c r="Q130" s="363"/>
      <c r="R130" s="363"/>
      <c r="S130" s="363"/>
      <c r="T130" s="363"/>
      <c r="U130" s="363"/>
      <c r="V130" s="363"/>
      <c r="W130" s="363"/>
      <c r="X130" s="363"/>
      <c r="Y130" s="363"/>
      <c r="Z130" s="363"/>
      <c r="AA130" s="408"/>
      <c r="AB130" s="408"/>
      <c r="AC130" s="408"/>
      <c r="AD130" s="408"/>
      <c r="AE130" s="408"/>
      <c r="AF130" s="408"/>
      <c r="AG130" s="408"/>
    </row>
    <row r="131" ht="15.75" customHeight="1">
      <c r="A131" s="742" t="s">
        <v>1825</v>
      </c>
      <c r="B131" s="409" t="s">
        <v>2352</v>
      </c>
      <c r="C131" s="743" t="s">
        <v>2353</v>
      </c>
      <c r="D131" s="744" t="s">
        <v>75</v>
      </c>
      <c r="E131" s="639">
        <v>45631.0</v>
      </c>
      <c r="F131" s="639">
        <v>45631.0</v>
      </c>
      <c r="G131" s="639"/>
      <c r="H131" s="639">
        <v>45632.0</v>
      </c>
      <c r="I131" s="731">
        <f>IF(ISBLANK(H131), NETWORKDAYS(F131, TODAY(),Hoja2!$A$1:$A$18), NETWORKDAYS(F131, H131, Hoja2!$A$1:$A$18))</f>
        <v>2</v>
      </c>
      <c r="J131" s="639"/>
      <c r="K131" s="639">
        <v>45632.0</v>
      </c>
      <c r="L131" s="640" t="s">
        <v>2354</v>
      </c>
      <c r="M131" s="363"/>
      <c r="N131" s="363"/>
      <c r="O131" s="363"/>
      <c r="P131" s="363"/>
      <c r="Q131" s="363"/>
      <c r="R131" s="363"/>
      <c r="S131" s="363"/>
      <c r="T131" s="363"/>
      <c r="U131" s="363"/>
      <c r="V131" s="363"/>
      <c r="W131" s="363"/>
      <c r="X131" s="363"/>
      <c r="Y131" s="363"/>
      <c r="Z131" s="363"/>
    </row>
    <row r="132" ht="15.75" customHeight="1">
      <c r="A132" s="623" t="s">
        <v>1825</v>
      </c>
      <c r="B132" s="402" t="s">
        <v>2355</v>
      </c>
      <c r="C132" s="404" t="s">
        <v>2356</v>
      </c>
      <c r="D132" s="401" t="s">
        <v>75</v>
      </c>
      <c r="E132" s="405">
        <v>45631.0</v>
      </c>
      <c r="F132" s="405">
        <v>45631.0</v>
      </c>
      <c r="G132" s="405"/>
      <c r="H132" s="405">
        <v>45632.0</v>
      </c>
      <c r="I132" s="731">
        <f>IF(ISBLANK(H132), NETWORKDAYS(F132, TODAY(),Hoja2!$A$1:$A$18), NETWORKDAYS(F132, H132, Hoja2!$A$1:$A$18))</f>
        <v>2</v>
      </c>
      <c r="J132" s="405"/>
      <c r="K132" s="405">
        <v>45632.0</v>
      </c>
      <c r="L132" s="627" t="s">
        <v>2354</v>
      </c>
      <c r="M132" s="363"/>
      <c r="N132" s="363"/>
      <c r="O132" s="363"/>
      <c r="P132" s="363"/>
      <c r="Q132" s="363"/>
      <c r="R132" s="363"/>
      <c r="S132" s="363"/>
      <c r="T132" s="363"/>
      <c r="U132" s="363"/>
      <c r="V132" s="363"/>
      <c r="W132" s="363"/>
      <c r="X132" s="363"/>
      <c r="Y132" s="363"/>
      <c r="Z132" s="363"/>
    </row>
    <row r="133" ht="15.75" customHeight="1">
      <c r="A133" s="745" t="s">
        <v>1825</v>
      </c>
      <c r="B133" s="402" t="s">
        <v>2355</v>
      </c>
      <c r="C133" s="710" t="s">
        <v>2357</v>
      </c>
      <c r="D133" s="401" t="s">
        <v>75</v>
      </c>
      <c r="E133" s="405">
        <v>45631.0</v>
      </c>
      <c r="F133" s="405">
        <v>45631.0</v>
      </c>
      <c r="G133" s="682"/>
      <c r="H133" s="405">
        <v>45632.0</v>
      </c>
      <c r="I133" s="731">
        <f>IF(ISBLANK(H133), NETWORKDAYS(F133, TODAY(),Hoja2!$A$1:$A$18), NETWORKDAYS(F133, H133, Hoja2!$A$1:$A$18))</f>
        <v>2</v>
      </c>
      <c r="J133" s="682"/>
      <c r="K133" s="405">
        <v>45632.0</v>
      </c>
      <c r="L133" s="627" t="s">
        <v>2354</v>
      </c>
      <c r="M133" s="363"/>
      <c r="N133" s="363"/>
      <c r="O133" s="363"/>
      <c r="P133" s="363"/>
      <c r="Q133" s="363"/>
      <c r="R133" s="363"/>
      <c r="S133" s="363"/>
      <c r="T133" s="363"/>
      <c r="U133" s="363"/>
      <c r="V133" s="363"/>
      <c r="W133" s="363"/>
      <c r="X133" s="363"/>
      <c r="Y133" s="363"/>
      <c r="Z133" s="363"/>
    </row>
    <row r="134" ht="15.75" customHeight="1">
      <c r="A134" s="386" t="s">
        <v>1825</v>
      </c>
      <c r="B134" s="386" t="s">
        <v>2358</v>
      </c>
      <c r="C134" s="380" t="s">
        <v>2359</v>
      </c>
      <c r="D134" s="380" t="s">
        <v>75</v>
      </c>
      <c r="E134" s="405">
        <v>45637.0</v>
      </c>
      <c r="F134" s="405">
        <v>45637.0</v>
      </c>
      <c r="G134" s="405">
        <v>45642.0</v>
      </c>
      <c r="H134" s="405">
        <v>45642.0</v>
      </c>
      <c r="I134" s="383">
        <f>IF(ISBLANK(H134), NETWORKDAYS(F134, TODAY(),Hoja2!$A$1:$A$18), NETWORKDAYS(F134, H134, Hoja2!$A$1:$A$18))</f>
        <v>4</v>
      </c>
      <c r="J134" s="405">
        <v>45642.0</v>
      </c>
      <c r="K134" s="405">
        <v>45644.0</v>
      </c>
      <c r="L134" s="404" t="s">
        <v>2360</v>
      </c>
      <c r="M134" s="363"/>
      <c r="N134" s="363"/>
      <c r="O134" s="363"/>
      <c r="P134" s="363"/>
      <c r="Q134" s="363"/>
      <c r="R134" s="363"/>
      <c r="S134" s="363"/>
      <c r="T134" s="363"/>
      <c r="U134" s="363"/>
      <c r="V134" s="363"/>
      <c r="W134" s="363"/>
      <c r="X134" s="363"/>
      <c r="Y134" s="363"/>
      <c r="Z134" s="363"/>
      <c r="AA134" s="363"/>
      <c r="AB134" s="363"/>
      <c r="AC134" s="363"/>
      <c r="AD134" s="363"/>
      <c r="AE134" s="363"/>
      <c r="AF134" s="363"/>
      <c r="AG134" s="363"/>
    </row>
    <row r="135" ht="15.75" customHeight="1">
      <c r="A135" s="386" t="s">
        <v>1825</v>
      </c>
      <c r="B135" s="386" t="s">
        <v>2358</v>
      </c>
      <c r="C135" s="380" t="s">
        <v>2361</v>
      </c>
      <c r="D135" s="380" t="s">
        <v>75</v>
      </c>
      <c r="E135" s="405">
        <v>45637.0</v>
      </c>
      <c r="F135" s="405">
        <v>45638.0</v>
      </c>
      <c r="G135" s="405">
        <v>45642.0</v>
      </c>
      <c r="H135" s="405">
        <v>45642.0</v>
      </c>
      <c r="I135" s="383">
        <f>IF(ISBLANK(H135), NETWORKDAYS(F135, TODAY(),Hoja2!$A$1:$A$18), NETWORKDAYS(F135, H135, Hoja2!$A$1:$A$18))</f>
        <v>3</v>
      </c>
      <c r="J135" s="405">
        <v>45642.0</v>
      </c>
      <c r="K135" s="405">
        <v>45644.0</v>
      </c>
      <c r="L135" s="404" t="s">
        <v>2362</v>
      </c>
      <c r="M135" s="363"/>
      <c r="N135" s="363"/>
      <c r="O135" s="363"/>
      <c r="P135" s="363"/>
      <c r="Q135" s="363"/>
      <c r="R135" s="363"/>
      <c r="S135" s="363"/>
      <c r="T135" s="363"/>
      <c r="U135" s="363"/>
      <c r="V135" s="363"/>
      <c r="W135" s="363"/>
      <c r="X135" s="363"/>
      <c r="Y135" s="363"/>
      <c r="Z135" s="363"/>
      <c r="AA135" s="363"/>
      <c r="AB135" s="363"/>
      <c r="AC135" s="363"/>
      <c r="AD135" s="363"/>
      <c r="AE135" s="363"/>
      <c r="AF135" s="363"/>
      <c r="AG135" s="363"/>
    </row>
    <row r="136" ht="15.75" customHeight="1">
      <c r="A136" s="596" t="s">
        <v>2082</v>
      </c>
      <c r="B136" s="378" t="s">
        <v>2363</v>
      </c>
      <c r="C136" s="372"/>
      <c r="D136" s="374" t="s">
        <v>75</v>
      </c>
      <c r="E136" s="373">
        <v>45644.0</v>
      </c>
      <c r="F136" s="373">
        <v>45644.0</v>
      </c>
      <c r="G136" s="373"/>
      <c r="H136" s="373">
        <v>45644.0</v>
      </c>
      <c r="I136" s="375">
        <f>IF(ISBLANK(H136), NETWORKDAYS(F136, TODAY(),Hoja2!$A$1:$A$18), NETWORKDAYS(F136, H136, Hoja2!$A$1:$A$18))</f>
        <v>1</v>
      </c>
      <c r="J136" s="373"/>
      <c r="K136" s="373"/>
      <c r="L136" s="376"/>
      <c r="M136" s="597"/>
      <c r="N136" s="363"/>
      <c r="O136" s="363"/>
      <c r="P136" s="363"/>
      <c r="Q136" s="363"/>
      <c r="R136" s="363"/>
      <c r="S136" s="363"/>
      <c r="T136" s="363"/>
      <c r="U136" s="363"/>
      <c r="V136" s="363"/>
      <c r="W136" s="363"/>
      <c r="X136" s="363"/>
      <c r="Y136" s="363"/>
      <c r="Z136" s="363"/>
      <c r="AA136" s="408"/>
      <c r="AB136" s="408"/>
      <c r="AC136" s="408"/>
      <c r="AD136" s="408"/>
      <c r="AE136" s="408"/>
      <c r="AF136" s="408"/>
      <c r="AG136" s="408"/>
    </row>
    <row r="137" ht="15.75" customHeight="1">
      <c r="A137" s="599" t="s">
        <v>2082</v>
      </c>
      <c r="B137" s="599" t="s">
        <v>2213</v>
      </c>
      <c r="C137" s="741" t="s">
        <v>2364</v>
      </c>
      <c r="D137" s="604" t="s">
        <v>2203</v>
      </c>
      <c r="E137" s="673">
        <v>45643.0</v>
      </c>
      <c r="F137" s="673">
        <v>45643.0</v>
      </c>
      <c r="G137" s="605"/>
      <c r="H137" s="605"/>
      <c r="I137" s="606">
        <f>IF(ISBLANK(H137), NETWORKDAYS(F137, TODAY(),Hoja2!$A$1:$A$18), NETWORKDAYS(F137, H137, Hoja2!$A$1:$A$18))</f>
        <v>262</v>
      </c>
      <c r="J137" s="673">
        <v>45643.0</v>
      </c>
      <c r="K137" s="605">
        <v>45644.0</v>
      </c>
      <c r="L137" s="746" t="s">
        <v>2365</v>
      </c>
      <c r="M137" s="632"/>
      <c r="N137" s="369"/>
      <c r="O137" s="369"/>
      <c r="P137" s="369"/>
      <c r="Q137" s="369"/>
      <c r="R137" s="369"/>
      <c r="S137" s="369"/>
      <c r="T137" s="369"/>
      <c r="U137" s="369"/>
      <c r="V137" s="369"/>
      <c r="W137" s="369"/>
      <c r="X137" s="369"/>
      <c r="Y137" s="369"/>
      <c r="Z137" s="369"/>
    </row>
    <row r="138" ht="15.75" customHeight="1">
      <c r="A138" s="599" t="s">
        <v>2082</v>
      </c>
      <c r="B138" s="602"/>
      <c r="C138" s="741" t="s">
        <v>2366</v>
      </c>
      <c r="D138" s="604" t="s">
        <v>2203</v>
      </c>
      <c r="E138" s="673">
        <v>45643.0</v>
      </c>
      <c r="F138" s="673">
        <v>45643.0</v>
      </c>
      <c r="G138" s="605"/>
      <c r="H138" s="605"/>
      <c r="I138" s="606">
        <f>IF(ISBLANK(H138), NETWORKDAYS(F138, TODAY(),Hoja2!$A$1:$A$18), NETWORKDAYS(F138, H138, Hoja2!$A$1:$A$18))</f>
        <v>262</v>
      </c>
      <c r="J138" s="673">
        <v>45643.0</v>
      </c>
      <c r="K138" s="605">
        <v>45644.0</v>
      </c>
      <c r="L138" s="633" t="s">
        <v>2365</v>
      </c>
      <c r="M138" s="632"/>
      <c r="N138" s="369"/>
      <c r="O138" s="369"/>
      <c r="P138" s="369"/>
      <c r="Q138" s="369"/>
      <c r="R138" s="369"/>
      <c r="S138" s="369"/>
      <c r="T138" s="369"/>
      <c r="U138" s="369"/>
      <c r="V138" s="369"/>
      <c r="W138" s="369"/>
      <c r="X138" s="369"/>
      <c r="Y138" s="369"/>
      <c r="Z138" s="369"/>
    </row>
    <row r="139" ht="15.75" customHeight="1">
      <c r="A139" s="699" t="s">
        <v>1810</v>
      </c>
      <c r="B139" s="704" t="s">
        <v>2367</v>
      </c>
      <c r="C139" s="699"/>
      <c r="D139" s="712" t="s">
        <v>2203</v>
      </c>
      <c r="E139" s="706">
        <v>45644.0</v>
      </c>
      <c r="F139" s="706">
        <v>45645.0</v>
      </c>
      <c r="G139" s="707"/>
      <c r="H139" s="708">
        <v>45645.0</v>
      </c>
      <c r="I139" s="375">
        <f>IF(ISBLANK(H139), NETWORKDAYS(F139, TODAY(),Hoja2!$A$1:$A$18), NETWORKDAYS(F139, H139, Hoja2!$A$1:$A$18))</f>
        <v>1</v>
      </c>
      <c r="J139" s="708">
        <v>45645.0</v>
      </c>
      <c r="K139" s="708">
        <v>45645.0</v>
      </c>
      <c r="L139" s="709"/>
      <c r="M139" s="734"/>
      <c r="N139" s="734"/>
      <c r="O139" s="734"/>
      <c r="P139" s="734"/>
      <c r="Q139" s="734"/>
      <c r="R139" s="734"/>
      <c r="S139" s="734"/>
      <c r="T139" s="734"/>
      <c r="U139" s="734"/>
      <c r="V139" s="734"/>
      <c r="W139" s="734"/>
      <c r="X139" s="734"/>
      <c r="Y139" s="734"/>
      <c r="Z139" s="734"/>
      <c r="AA139" s="735"/>
      <c r="AB139" s="735"/>
      <c r="AC139" s="735"/>
      <c r="AD139" s="735"/>
      <c r="AE139" s="735"/>
      <c r="AF139" s="735"/>
      <c r="AG139" s="735"/>
    </row>
    <row r="140" ht="15.75" customHeight="1">
      <c r="A140" s="362" t="s">
        <v>1810</v>
      </c>
      <c r="B140" s="599" t="s">
        <v>2368</v>
      </c>
      <c r="C140" s="362" t="s">
        <v>2369</v>
      </c>
      <c r="D140" s="594" t="s">
        <v>2203</v>
      </c>
      <c r="E140" s="373">
        <v>45635.0</v>
      </c>
      <c r="F140" s="373">
        <v>45636.0</v>
      </c>
      <c r="G140" s="373">
        <v>45637.0</v>
      </c>
      <c r="H140" s="702">
        <v>45639.0</v>
      </c>
      <c r="I140" s="375">
        <f>IF(ISBLANK(H140), NETWORKDAYS(F140, TODAY(),Hoja2!$A$1:$A$18), NETWORKDAYS(F140, H140, Hoja2!$A$1:$A$18))</f>
        <v>4</v>
      </c>
      <c r="J140" s="702"/>
      <c r="K140" s="702"/>
      <c r="L140" s="595" t="s">
        <v>2370</v>
      </c>
      <c r="M140" s="363"/>
      <c r="N140" s="363"/>
      <c r="O140" s="363"/>
      <c r="P140" s="363"/>
      <c r="Q140" s="363"/>
      <c r="R140" s="363"/>
      <c r="S140" s="363"/>
      <c r="T140" s="363"/>
      <c r="U140" s="363"/>
      <c r="V140" s="363"/>
      <c r="W140" s="363"/>
      <c r="X140" s="363"/>
      <c r="Y140" s="363"/>
      <c r="Z140" s="363"/>
    </row>
    <row r="141" ht="15.75" customHeight="1">
      <c r="A141" s="362" t="s">
        <v>1810</v>
      </c>
      <c r="B141" s="602"/>
      <c r="C141" s="596" t="s">
        <v>2371</v>
      </c>
      <c r="D141" s="596" t="s">
        <v>2203</v>
      </c>
      <c r="E141" s="373">
        <v>45636.0</v>
      </c>
      <c r="F141" s="373">
        <v>45636.0</v>
      </c>
      <c r="G141" s="373"/>
      <c r="H141" s="373">
        <v>45636.0</v>
      </c>
      <c r="I141" s="375">
        <f>IF(ISBLANK(H141), NETWORKDAYS(F141, TODAY(),Hoja2!$A$1:$A$18), NETWORKDAYS(F141, H141, Hoja2!$A$1:$A$18))</f>
        <v>1</v>
      </c>
      <c r="J141" s="702"/>
      <c r="K141" s="373">
        <v>45636.0</v>
      </c>
      <c r="L141" s="747" t="s">
        <v>2372</v>
      </c>
      <c r="M141" s="363"/>
      <c r="N141" s="363"/>
      <c r="O141" s="363"/>
      <c r="P141" s="363"/>
      <c r="Q141" s="363"/>
      <c r="R141" s="363"/>
      <c r="S141" s="363"/>
      <c r="T141" s="363"/>
      <c r="U141" s="363"/>
      <c r="V141" s="363"/>
      <c r="W141" s="363"/>
      <c r="X141" s="363"/>
      <c r="Y141" s="363"/>
      <c r="Z141" s="363"/>
    </row>
    <row r="142" ht="15.75" customHeight="1">
      <c r="A142" s="362" t="s">
        <v>1810</v>
      </c>
      <c r="B142" s="602"/>
      <c r="C142" s="362" t="s">
        <v>2373</v>
      </c>
      <c r="D142" s="596" t="s">
        <v>2203</v>
      </c>
      <c r="E142" s="373">
        <v>45637.0</v>
      </c>
      <c r="F142" s="373">
        <v>45636.0</v>
      </c>
      <c r="G142" s="373"/>
      <c r="H142" s="702"/>
      <c r="I142" s="375">
        <f>IF(ISBLANK(H142), NETWORKDAYS(F142, TODAY(),Hoja2!$A$1:$A$18), NETWORKDAYS(F142, H142, Hoja2!$A$1:$A$18))</f>
        <v>267</v>
      </c>
      <c r="J142" s="702"/>
      <c r="K142" s="702"/>
      <c r="L142" s="595" t="s">
        <v>2374</v>
      </c>
      <c r="M142" s="363"/>
      <c r="N142" s="363"/>
      <c r="O142" s="363"/>
      <c r="P142" s="363"/>
      <c r="Q142" s="363"/>
      <c r="R142" s="363"/>
      <c r="S142" s="363"/>
      <c r="T142" s="363"/>
      <c r="U142" s="363"/>
      <c r="V142" s="363"/>
      <c r="W142" s="363"/>
      <c r="X142" s="363"/>
      <c r="Y142" s="363"/>
      <c r="Z142" s="363"/>
    </row>
    <row r="143" ht="15.75" customHeight="1">
      <c r="A143" s="362" t="s">
        <v>1810</v>
      </c>
      <c r="B143" s="546"/>
      <c r="C143" s="578" t="s">
        <v>2375</v>
      </c>
      <c r="D143" s="596" t="s">
        <v>2203</v>
      </c>
      <c r="E143" s="373">
        <v>45637.0</v>
      </c>
      <c r="F143" s="373">
        <v>45636.0</v>
      </c>
      <c r="G143" s="373"/>
      <c r="H143" s="702">
        <v>45639.0</v>
      </c>
      <c r="I143" s="375">
        <f>IF(ISBLANK(H143), NETWORKDAYS(F143, TODAY(),Hoja2!$A$1:$A$18), NETWORKDAYS(F143, H143, Hoja2!$A$1:$A$18))</f>
        <v>4</v>
      </c>
      <c r="J143" s="702"/>
      <c r="K143" s="702">
        <v>45639.0</v>
      </c>
      <c r="L143" s="595" t="s">
        <v>2376</v>
      </c>
      <c r="M143" s="363"/>
      <c r="N143" s="363"/>
      <c r="O143" s="363"/>
      <c r="P143" s="363"/>
      <c r="Q143" s="363"/>
      <c r="R143" s="363"/>
      <c r="S143" s="363"/>
      <c r="T143" s="363"/>
      <c r="U143" s="363"/>
      <c r="V143" s="363"/>
      <c r="W143" s="363"/>
      <c r="X143" s="363"/>
      <c r="Y143" s="363"/>
      <c r="Z143" s="363"/>
    </row>
    <row r="144" ht="15.75" customHeight="1">
      <c r="A144" s="386" t="s">
        <v>1825</v>
      </c>
      <c r="B144" s="386" t="s">
        <v>2377</v>
      </c>
      <c r="C144" s="401"/>
      <c r="D144" s="401" t="s">
        <v>11</v>
      </c>
      <c r="E144" s="387">
        <v>45644.0</v>
      </c>
      <c r="F144" s="387">
        <v>45644.0</v>
      </c>
      <c r="G144" s="386"/>
      <c r="H144" s="401"/>
      <c r="I144" s="383">
        <f>IF(ISBLANK(H144), NETWORKDAYS(F144, TODAY(),Hoja2!$A$1:$A$18), NETWORKDAYS(F144, H144, Hoja2!$A$1:$A$18))</f>
        <v>261</v>
      </c>
      <c r="J144" s="401"/>
      <c r="K144" s="401"/>
      <c r="L144" s="685" t="s">
        <v>2378</v>
      </c>
      <c r="M144" s="597"/>
      <c r="N144" s="363"/>
      <c r="O144" s="363"/>
      <c r="P144" s="363"/>
      <c r="Q144" s="363"/>
      <c r="R144" s="363"/>
      <c r="S144" s="363"/>
      <c r="T144" s="363"/>
      <c r="U144" s="363"/>
      <c r="V144" s="363"/>
      <c r="W144" s="363"/>
      <c r="X144" s="363"/>
      <c r="Y144" s="363"/>
      <c r="Z144" s="363"/>
      <c r="AA144" s="408"/>
      <c r="AB144" s="408"/>
      <c r="AC144" s="408"/>
      <c r="AD144" s="408"/>
      <c r="AE144" s="408"/>
      <c r="AF144" s="408"/>
      <c r="AG144" s="408"/>
    </row>
    <row r="145" ht="15.75" customHeight="1">
      <c r="A145" s="395" t="s">
        <v>1810</v>
      </c>
      <c r="B145" s="386" t="s">
        <v>2379</v>
      </c>
      <c r="C145" s="625"/>
      <c r="D145" s="626" t="s">
        <v>75</v>
      </c>
      <c r="E145" s="405">
        <v>45653.0</v>
      </c>
      <c r="F145" s="405">
        <v>45653.0</v>
      </c>
      <c r="G145" s="405"/>
      <c r="H145" s="405">
        <v>45653.0</v>
      </c>
      <c r="I145" s="399">
        <f>IF(ISBLANK(H145), NETWORKDAYS(F145, TODAY(),Hoja2!$A$1:$A$18), NETWORKDAYS(F145, H145, Hoja2!$A$1:$A$18))</f>
        <v>1</v>
      </c>
      <c r="J145" s="405"/>
      <c r="K145" s="405"/>
      <c r="L145" s="627"/>
      <c r="M145" s="363"/>
      <c r="N145" s="363"/>
      <c r="O145" s="363"/>
      <c r="P145" s="363"/>
      <c r="Q145" s="363"/>
      <c r="R145" s="363"/>
      <c r="S145" s="363"/>
      <c r="T145" s="363"/>
      <c r="U145" s="363"/>
      <c r="V145" s="363"/>
      <c r="W145" s="363"/>
      <c r="X145" s="363"/>
      <c r="Y145" s="363"/>
      <c r="Z145" s="363"/>
    </row>
    <row r="146" ht="15.75" customHeight="1">
      <c r="A146" s="395" t="s">
        <v>1810</v>
      </c>
      <c r="B146" s="386" t="s">
        <v>2380</v>
      </c>
      <c r="C146" s="625"/>
      <c r="D146" s="380" t="s">
        <v>2203</v>
      </c>
      <c r="E146" s="405">
        <v>45653.0</v>
      </c>
      <c r="F146" s="405">
        <v>45653.0</v>
      </c>
      <c r="G146" s="405"/>
      <c r="H146" s="405">
        <v>45653.0</v>
      </c>
      <c r="I146" s="399">
        <f>IF(ISBLANK(H146), NETWORKDAYS(F146, TODAY(),Hoja2!$A$1:$A$18), NETWORKDAYS(F146, H146, Hoja2!$A$1:$A$18))</f>
        <v>1</v>
      </c>
      <c r="J146" s="405"/>
      <c r="K146" s="405">
        <v>45653.0</v>
      </c>
      <c r="L146" s="627" t="s">
        <v>2381</v>
      </c>
      <c r="M146" s="363"/>
      <c r="N146" s="363"/>
      <c r="O146" s="363"/>
      <c r="P146" s="363"/>
      <c r="Q146" s="363"/>
      <c r="R146" s="363"/>
      <c r="S146" s="363"/>
      <c r="T146" s="363"/>
      <c r="U146" s="363"/>
      <c r="V146" s="363"/>
      <c r="W146" s="363"/>
      <c r="X146" s="363"/>
      <c r="Y146" s="363"/>
      <c r="Z146" s="363"/>
    </row>
    <row r="147" ht="15.75" customHeight="1">
      <c r="A147" s="386" t="s">
        <v>1825</v>
      </c>
      <c r="B147" s="386" t="s">
        <v>2382</v>
      </c>
      <c r="C147" s="380"/>
      <c r="D147" s="380" t="s">
        <v>75</v>
      </c>
      <c r="E147" s="405">
        <v>45660.0</v>
      </c>
      <c r="F147" s="405">
        <v>45660.0</v>
      </c>
      <c r="G147" s="626"/>
      <c r="H147" s="405">
        <v>45660.0</v>
      </c>
      <c r="I147" s="383">
        <f>IF(ISBLANK(H147), NETWORKDAYS(F147, TODAY(),Hoja2!$A$1:$A$18), NETWORKDAYS(F147, H147, Hoja2!$A$1:$A$18))</f>
        <v>1</v>
      </c>
      <c r="J147" s="626"/>
      <c r="K147" s="626"/>
      <c r="L147" s="404"/>
      <c r="M147" s="363"/>
      <c r="N147" s="363"/>
      <c r="O147" s="363"/>
      <c r="P147" s="363"/>
      <c r="Q147" s="363"/>
      <c r="R147" s="363"/>
      <c r="S147" s="363"/>
      <c r="T147" s="363"/>
      <c r="U147" s="363"/>
      <c r="V147" s="363"/>
      <c r="W147" s="363"/>
      <c r="X147" s="363"/>
      <c r="Y147" s="363"/>
      <c r="Z147" s="363"/>
      <c r="AA147" s="363"/>
      <c r="AB147" s="363"/>
      <c r="AC147" s="363"/>
      <c r="AD147" s="363"/>
      <c r="AE147" s="363"/>
      <c r="AF147" s="363"/>
      <c r="AG147" s="363"/>
    </row>
    <row r="148" ht="15.75" customHeight="1">
      <c r="A148" s="386" t="s">
        <v>1825</v>
      </c>
      <c r="B148" s="386" t="s">
        <v>2383</v>
      </c>
      <c r="C148" s="380"/>
      <c r="D148" s="380" t="s">
        <v>75</v>
      </c>
      <c r="E148" s="405">
        <v>45650.0</v>
      </c>
      <c r="F148" s="405">
        <v>45650.0</v>
      </c>
      <c r="G148" s="626"/>
      <c r="H148" s="405">
        <v>45656.0</v>
      </c>
      <c r="I148" s="383">
        <f>IF(ISBLANK(H148), NETWORKDAYS(F148, TODAY(),Hoja2!$A$1:$A$18), NETWORKDAYS(F148, H148, Hoja2!$A$1:$A$18))</f>
        <v>4</v>
      </c>
      <c r="J148" s="626"/>
      <c r="K148" s="626"/>
      <c r="L148" s="404"/>
      <c r="M148" s="363"/>
      <c r="N148" s="363"/>
      <c r="O148" s="363"/>
      <c r="P148" s="363"/>
      <c r="Q148" s="363"/>
      <c r="R148" s="363"/>
      <c r="S148" s="363"/>
      <c r="T148" s="363"/>
      <c r="U148" s="363"/>
      <c r="V148" s="363"/>
      <c r="W148" s="363"/>
      <c r="X148" s="363"/>
      <c r="Y148" s="363"/>
      <c r="Z148" s="363"/>
      <c r="AA148" s="363"/>
      <c r="AB148" s="363"/>
      <c r="AC148" s="363"/>
      <c r="AD148" s="363"/>
      <c r="AE148" s="363"/>
      <c r="AF148" s="363"/>
      <c r="AG148" s="363"/>
    </row>
    <row r="149" ht="15.75" customHeight="1">
      <c r="A149" s="386" t="s">
        <v>1825</v>
      </c>
      <c r="B149" s="386" t="s">
        <v>2384</v>
      </c>
      <c r="C149" s="380"/>
      <c r="D149" s="380" t="s">
        <v>75</v>
      </c>
      <c r="E149" s="405">
        <v>45656.0</v>
      </c>
      <c r="F149" s="405">
        <v>45659.0</v>
      </c>
      <c r="G149" s="626"/>
      <c r="H149" s="405">
        <v>45659.0</v>
      </c>
      <c r="I149" s="383">
        <f>IF(ISBLANK(H149), NETWORKDAYS(F149, TODAY(),Hoja2!$A$1:$A$18), NETWORKDAYS(F149, H149, Hoja2!$A$1:$A$18))</f>
        <v>1</v>
      </c>
      <c r="J149" s="626"/>
      <c r="K149" s="626"/>
      <c r="L149" s="404" t="s">
        <v>2385</v>
      </c>
      <c r="M149" s="363"/>
      <c r="N149" s="363"/>
      <c r="O149" s="363"/>
      <c r="P149" s="363"/>
      <c r="Q149" s="363"/>
      <c r="R149" s="363"/>
      <c r="S149" s="363"/>
      <c r="T149" s="363"/>
      <c r="U149" s="363"/>
      <c r="V149" s="363"/>
      <c r="W149" s="363"/>
      <c r="X149" s="363"/>
      <c r="Y149" s="363"/>
      <c r="Z149" s="363"/>
      <c r="AA149" s="363"/>
      <c r="AB149" s="363"/>
      <c r="AC149" s="363"/>
      <c r="AD149" s="363"/>
      <c r="AE149" s="363"/>
      <c r="AF149" s="363"/>
      <c r="AG149" s="363"/>
    </row>
    <row r="150" ht="15.75" customHeight="1">
      <c r="A150" s="386" t="s">
        <v>1817</v>
      </c>
      <c r="B150" s="748" t="s">
        <v>2386</v>
      </c>
      <c r="C150" s="749"/>
      <c r="D150" s="750" t="s">
        <v>75</v>
      </c>
      <c r="E150" s="751">
        <v>45639.0</v>
      </c>
      <c r="F150" s="751">
        <v>45642.0</v>
      </c>
      <c r="G150" s="749"/>
      <c r="H150" s="751">
        <v>45653.0</v>
      </c>
      <c r="I150" s="683">
        <f>IF(ISBLANK(H150), NETWORKDAYS(F150, TODAY(),Hoja2!$A$1:$A$18), NETWORKDAYS(F150, H150, Hoja2!$A$1:$A$18))</f>
        <v>9</v>
      </c>
      <c r="J150" s="749"/>
      <c r="K150" s="749"/>
      <c r="L150" s="752" t="s">
        <v>2387</v>
      </c>
      <c r="M150" s="394"/>
      <c r="N150" s="394"/>
      <c r="O150" s="394"/>
      <c r="P150" s="394"/>
      <c r="Q150" s="394"/>
      <c r="R150" s="394"/>
      <c r="S150" s="394"/>
      <c r="T150" s="394"/>
      <c r="U150" s="394"/>
      <c r="V150" s="394"/>
      <c r="W150" s="394"/>
      <c r="X150" s="394"/>
      <c r="Y150" s="394"/>
      <c r="Z150" s="394"/>
      <c r="AA150" s="394"/>
      <c r="AB150" s="394"/>
      <c r="AC150" s="394"/>
      <c r="AD150" s="394"/>
      <c r="AE150" s="394"/>
      <c r="AF150" s="394"/>
      <c r="AG150" s="394"/>
    </row>
    <row r="151" ht="15.75" customHeight="1">
      <c r="A151" s="401" t="s">
        <v>1835</v>
      </c>
      <c r="B151" s="753" t="s">
        <v>2388</v>
      </c>
      <c r="C151" s="403"/>
      <c r="D151" s="626" t="s">
        <v>75</v>
      </c>
      <c r="E151" s="405">
        <v>45656.0</v>
      </c>
      <c r="F151" s="405">
        <v>45656.0</v>
      </c>
      <c r="G151" s="403"/>
      <c r="H151" s="405">
        <v>45656.0</v>
      </c>
      <c r="I151" s="383">
        <f>IF(ISBLANK(H151), NETWORKDAYS(F151, TODAY(),Hoja2!$A$1:$A$18), NETWORKDAYS(F151, H151, Hoja2!$A$1:$A$18))</f>
        <v>1</v>
      </c>
      <c r="J151" s="403"/>
      <c r="K151" s="405">
        <v>45656.0</v>
      </c>
      <c r="L151" s="403"/>
      <c r="M151" s="408"/>
      <c r="N151" s="408"/>
      <c r="O151" s="408"/>
      <c r="P151" s="408"/>
      <c r="Q151" s="408"/>
      <c r="R151" s="408"/>
      <c r="S151" s="408"/>
      <c r="T151" s="408"/>
      <c r="U151" s="408"/>
      <c r="V151" s="408"/>
      <c r="W151" s="408"/>
      <c r="X151" s="408"/>
      <c r="Y151" s="408"/>
      <c r="Z151" s="408"/>
    </row>
    <row r="152" ht="15.75" customHeight="1">
      <c r="A152" s="386" t="s">
        <v>1825</v>
      </c>
      <c r="B152" s="386" t="s">
        <v>2389</v>
      </c>
      <c r="C152" s="380" t="s">
        <v>2390</v>
      </c>
      <c r="D152" s="380" t="s">
        <v>75</v>
      </c>
      <c r="E152" s="405">
        <v>45664.0</v>
      </c>
      <c r="F152" s="405">
        <v>45664.0</v>
      </c>
      <c r="G152" s="626"/>
      <c r="H152" s="405">
        <v>45664.0</v>
      </c>
      <c r="I152" s="383">
        <f>IF(ISBLANK(H152), NETWORKDAYS(F152, TODAY(),Hoja2!$A$1:$A$18), NETWORKDAYS(F152, H152, Hoja2!$A$1:$A$18))</f>
        <v>1</v>
      </c>
      <c r="J152" s="626"/>
      <c r="K152" s="626"/>
      <c r="L152" s="404" t="s">
        <v>2391</v>
      </c>
    </row>
    <row r="153" ht="15.75" customHeight="1">
      <c r="A153" s="386" t="s">
        <v>1825</v>
      </c>
      <c r="B153" s="402" t="s">
        <v>2392</v>
      </c>
      <c r="C153" s="380" t="s">
        <v>2393</v>
      </c>
      <c r="D153" s="380" t="s">
        <v>75</v>
      </c>
      <c r="E153" s="405">
        <v>45656.0</v>
      </c>
      <c r="F153" s="405">
        <v>45665.0</v>
      </c>
      <c r="G153" s="626"/>
      <c r="H153" s="405">
        <v>45665.0</v>
      </c>
      <c r="I153" s="383">
        <f>IF(ISBLANK(H153), NETWORKDAYS(F153, TODAY(),Hoja2!$A$1:$A$18), NETWORKDAYS(F153, H153, Hoja2!$A$1:$A$18))</f>
        <v>1</v>
      </c>
      <c r="J153" s="405">
        <v>45665.0</v>
      </c>
      <c r="K153" s="626"/>
      <c r="L153" s="404"/>
      <c r="M153" s="363"/>
      <c r="N153" s="363"/>
      <c r="O153" s="363"/>
      <c r="P153" s="363"/>
      <c r="Q153" s="363"/>
      <c r="R153" s="363"/>
      <c r="S153" s="363"/>
      <c r="T153" s="363"/>
      <c r="U153" s="363"/>
      <c r="V153" s="363"/>
      <c r="W153" s="363"/>
      <c r="X153" s="363"/>
      <c r="Y153" s="363"/>
      <c r="Z153" s="363"/>
      <c r="AA153" s="363"/>
      <c r="AB153" s="363"/>
      <c r="AC153" s="363"/>
      <c r="AD153" s="363"/>
      <c r="AE153" s="363"/>
      <c r="AF153" s="363"/>
      <c r="AG153" s="363"/>
    </row>
    <row r="154" ht="15.75" customHeight="1">
      <c r="A154" s="386" t="s">
        <v>1825</v>
      </c>
      <c r="B154" s="546"/>
      <c r="C154" s="380" t="s">
        <v>2394</v>
      </c>
      <c r="D154" s="380" t="s">
        <v>75</v>
      </c>
      <c r="E154" s="405">
        <v>45656.0</v>
      </c>
      <c r="F154" s="405">
        <v>45665.0</v>
      </c>
      <c r="G154" s="626"/>
      <c r="H154" s="405">
        <v>45665.0</v>
      </c>
      <c r="I154" s="383">
        <f>IF(ISBLANK(H154), NETWORKDAYS(F154, TODAY(),Hoja2!$A$1:$A$18), NETWORKDAYS(F154, H154, Hoja2!$A$1:$A$18))</f>
        <v>1</v>
      </c>
      <c r="J154" s="405">
        <v>45665.0</v>
      </c>
      <c r="K154" s="626"/>
      <c r="L154" s="404"/>
      <c r="M154" s="363"/>
      <c r="N154" s="363"/>
      <c r="O154" s="363"/>
      <c r="P154" s="363"/>
      <c r="Q154" s="363"/>
      <c r="R154" s="363"/>
      <c r="S154" s="363"/>
      <c r="T154" s="363"/>
      <c r="U154" s="363"/>
      <c r="V154" s="363"/>
      <c r="W154" s="363"/>
      <c r="X154" s="363"/>
      <c r="Y154" s="363"/>
      <c r="Z154" s="363"/>
      <c r="AA154" s="363"/>
      <c r="AB154" s="363"/>
      <c r="AC154" s="363"/>
      <c r="AD154" s="363"/>
      <c r="AE154" s="363"/>
      <c r="AF154" s="363"/>
      <c r="AG154" s="363"/>
    </row>
    <row r="155" ht="15.75" customHeight="1">
      <c r="A155" s="386" t="s">
        <v>2082</v>
      </c>
      <c r="B155" s="379" t="s">
        <v>2395</v>
      </c>
      <c r="C155" s="404"/>
      <c r="D155" s="626" t="s">
        <v>75</v>
      </c>
      <c r="E155" s="405">
        <v>45666.0</v>
      </c>
      <c r="F155" s="405">
        <v>45666.0</v>
      </c>
      <c r="G155" s="405"/>
      <c r="H155" s="405">
        <v>45666.0</v>
      </c>
      <c r="I155" s="383">
        <f>IF(ISBLANK(H155), NETWORKDAYS(F155, TODAY(),Hoja2!$A$1:$A$18), NETWORKDAYS(F155, H155, Hoja2!$A$1:$A$18))</f>
        <v>1</v>
      </c>
      <c r="J155" s="405"/>
      <c r="K155" s="405"/>
      <c r="L155" s="627"/>
      <c r="M155" s="754"/>
      <c r="N155" s="559"/>
      <c r="O155" s="560"/>
      <c r="P155" s="559"/>
      <c r="Q155" s="560"/>
      <c r="R155" s="559"/>
      <c r="S155" s="560"/>
      <c r="T155" s="559"/>
      <c r="U155" s="560"/>
      <c r="V155" s="559"/>
      <c r="W155" s="560"/>
      <c r="X155" s="559"/>
      <c r="Y155" s="560"/>
      <c r="Z155" s="559"/>
      <c r="AA155" s="560"/>
      <c r="AB155" s="559"/>
      <c r="AC155" s="560"/>
      <c r="AD155" s="559"/>
      <c r="AE155" s="560"/>
      <c r="AF155" s="559"/>
      <c r="AG155" s="560"/>
    </row>
    <row r="156" ht="15.75" customHeight="1">
      <c r="A156" s="386" t="s">
        <v>2082</v>
      </c>
      <c r="B156" s="755" t="s">
        <v>2396</v>
      </c>
      <c r="C156" s="404" t="s">
        <v>2397</v>
      </c>
      <c r="D156" s="380" t="s">
        <v>75</v>
      </c>
      <c r="E156" s="405">
        <v>45664.0</v>
      </c>
      <c r="F156" s="405">
        <v>45664.0</v>
      </c>
      <c r="G156" s="405"/>
      <c r="H156" s="405">
        <v>45667.0</v>
      </c>
      <c r="I156" s="383">
        <f>IF(ISBLANK(H156), NETWORKDAYS(F156, TODAY(),Hoja2!$A$1:$A$18), NETWORKDAYS(F156, H156, Hoja2!$A$1:$A$18))</f>
        <v>4</v>
      </c>
      <c r="J156" s="405"/>
      <c r="K156" s="405"/>
      <c r="L156" s="627" t="s">
        <v>2398</v>
      </c>
      <c r="M156" s="597"/>
      <c r="N156" s="363"/>
      <c r="O156" s="363"/>
      <c r="P156" s="363"/>
      <c r="Q156" s="363"/>
      <c r="R156" s="363"/>
      <c r="S156" s="363"/>
      <c r="T156" s="363"/>
      <c r="U156" s="363"/>
      <c r="V156" s="363"/>
      <c r="W156" s="363"/>
      <c r="X156" s="363"/>
      <c r="Y156" s="363"/>
      <c r="Z156" s="363"/>
    </row>
    <row r="157" ht="15.75" customHeight="1">
      <c r="A157" s="386" t="s">
        <v>1825</v>
      </c>
      <c r="B157" s="727" t="s">
        <v>2399</v>
      </c>
      <c r="C157" s="756"/>
      <c r="D157" s="380" t="s">
        <v>1812</v>
      </c>
      <c r="E157" s="405">
        <v>45609.0</v>
      </c>
      <c r="F157" s="405">
        <v>45610.0</v>
      </c>
      <c r="G157" s="381">
        <v>45622.0</v>
      </c>
      <c r="H157" s="381">
        <v>45623.0</v>
      </c>
      <c r="I157" s="383">
        <f>IF(ISBLANK(H157), NETWORKDAYS(F157, TODAY(),Hoja2!$A$1:$A$18), NETWORKDAYS(F157, H157, Hoja2!$A$1:$A$18))</f>
        <v>10</v>
      </c>
      <c r="J157" s="381">
        <v>45623.0</v>
      </c>
      <c r="K157" s="381">
        <v>45667.0</v>
      </c>
      <c r="L157" s="757" t="s">
        <v>2400</v>
      </c>
      <c r="M157" s="384"/>
      <c r="N157" s="384"/>
      <c r="O157" s="384"/>
      <c r="P157" s="384"/>
      <c r="Q157" s="384"/>
      <c r="R157" s="384"/>
      <c r="S157" s="384"/>
      <c r="T157" s="384"/>
      <c r="U157" s="384"/>
      <c r="V157" s="384"/>
      <c r="W157" s="384"/>
      <c r="X157" s="384"/>
      <c r="Y157" s="384"/>
      <c r="Z157" s="384"/>
    </row>
    <row r="158" ht="15.75" customHeight="1">
      <c r="A158" s="386" t="s">
        <v>1825</v>
      </c>
      <c r="B158" s="408"/>
      <c r="C158" s="377" t="s">
        <v>2401</v>
      </c>
      <c r="D158" s="380" t="s">
        <v>1812</v>
      </c>
      <c r="E158" s="682">
        <v>45610.0</v>
      </c>
      <c r="F158" s="758">
        <v>45611.0</v>
      </c>
      <c r="G158" s="657"/>
      <c r="H158" s="657">
        <v>45617.0</v>
      </c>
      <c r="I158" s="683">
        <f>IF(ISBLANK(H158), NETWORKDAYS(F158, TODAY(),Hoja2!$A$1:$A$18), NETWORKDAYS(F158, H158, Hoja2!$A$1:$A$18))</f>
        <v>5</v>
      </c>
      <c r="J158" s="657">
        <v>45622.0</v>
      </c>
      <c r="K158" s="381">
        <v>45667.0</v>
      </c>
      <c r="L158" s="759" t="s">
        <v>2402</v>
      </c>
      <c r="M158" s="384"/>
      <c r="N158" s="384"/>
      <c r="O158" s="384"/>
      <c r="P158" s="384"/>
      <c r="Q158" s="384"/>
      <c r="R158" s="384"/>
      <c r="S158" s="384"/>
      <c r="T158" s="384"/>
      <c r="U158" s="384"/>
      <c r="V158" s="384"/>
      <c r="W158" s="384"/>
      <c r="X158" s="384"/>
      <c r="Y158" s="384"/>
      <c r="Z158" s="384"/>
    </row>
    <row r="159" ht="15.75" customHeight="1">
      <c r="A159" s="386" t="s">
        <v>1825</v>
      </c>
      <c r="B159" s="408"/>
      <c r="C159" s="377" t="s">
        <v>2403</v>
      </c>
      <c r="D159" s="380" t="s">
        <v>1812</v>
      </c>
      <c r="E159" s="405">
        <v>45610.0</v>
      </c>
      <c r="F159" s="682">
        <v>45621.0</v>
      </c>
      <c r="G159" s="657">
        <v>45621.0</v>
      </c>
      <c r="H159" s="657">
        <v>45621.0</v>
      </c>
      <c r="I159" s="683">
        <f>IF(ISBLANK(H159), NETWORKDAYS(F159, TODAY(),Hoja2!$A$1:$A$18), NETWORKDAYS(F159, H159, Hoja2!$A$1:$A$18))</f>
        <v>1</v>
      </c>
      <c r="J159" s="657">
        <v>45622.0</v>
      </c>
      <c r="K159" s="381">
        <v>45667.0</v>
      </c>
      <c r="L159" s="760" t="s">
        <v>2404</v>
      </c>
      <c r="M159" s="384"/>
      <c r="N159" s="384"/>
      <c r="O159" s="384"/>
      <c r="P159" s="384"/>
      <c r="Q159" s="384"/>
      <c r="R159" s="384"/>
      <c r="S159" s="384"/>
      <c r="T159" s="384"/>
      <c r="U159" s="384"/>
      <c r="V159" s="384"/>
      <c r="W159" s="384"/>
      <c r="X159" s="384"/>
      <c r="Y159" s="384"/>
      <c r="Z159" s="384"/>
    </row>
    <row r="160" ht="15.75" customHeight="1">
      <c r="A160" s="402" t="s">
        <v>1825</v>
      </c>
      <c r="B160" s="408"/>
      <c r="C160" s="653" t="s">
        <v>2405</v>
      </c>
      <c r="D160" s="380" t="s">
        <v>1812</v>
      </c>
      <c r="E160" s="682">
        <v>45610.0</v>
      </c>
      <c r="F160" s="682">
        <v>45621.0</v>
      </c>
      <c r="G160" s="657"/>
      <c r="H160" s="657">
        <v>45622.0</v>
      </c>
      <c r="I160" s="683">
        <f>IF(ISBLANK(H160), NETWORKDAYS(F160, TODAY(),Hoja2!$A$1:$A$18), NETWORKDAYS(F160, H160, Hoja2!$A$1:$A$18))</f>
        <v>2</v>
      </c>
      <c r="J160" s="657">
        <v>45622.0</v>
      </c>
      <c r="K160" s="381">
        <v>45667.0</v>
      </c>
      <c r="L160" s="757" t="s">
        <v>2406</v>
      </c>
      <c r="M160" s="384"/>
      <c r="N160" s="384"/>
      <c r="O160" s="384"/>
      <c r="P160" s="384"/>
      <c r="Q160" s="384"/>
      <c r="R160" s="384"/>
      <c r="S160" s="384"/>
      <c r="T160" s="384"/>
      <c r="U160" s="384"/>
      <c r="V160" s="384"/>
      <c r="W160" s="384"/>
      <c r="X160" s="384"/>
      <c r="Y160" s="384"/>
      <c r="Z160" s="384"/>
    </row>
    <row r="161" ht="15.75" customHeight="1">
      <c r="A161" s="386" t="s">
        <v>1825</v>
      </c>
      <c r="B161" s="572"/>
      <c r="C161" s="379" t="s">
        <v>2407</v>
      </c>
      <c r="D161" s="380" t="s">
        <v>1812</v>
      </c>
      <c r="E161" s="405">
        <v>45624.0</v>
      </c>
      <c r="F161" s="405">
        <v>45628.0</v>
      </c>
      <c r="G161" s="381"/>
      <c r="H161" s="381">
        <v>45629.0</v>
      </c>
      <c r="I161" s="383">
        <f>IF(ISBLANK(H161), NETWORKDAYS(F161, TODAY(),Hoja2!$A$1:$A$18), NETWORKDAYS(F161, H161, Hoja2!$A$1:$A$18))</f>
        <v>2</v>
      </c>
      <c r="J161" s="381">
        <v>45629.0</v>
      </c>
      <c r="K161" s="381">
        <v>45667.0</v>
      </c>
      <c r="L161" s="759" t="s">
        <v>2408</v>
      </c>
      <c r="M161" s="384"/>
      <c r="N161" s="384"/>
      <c r="O161" s="384"/>
      <c r="P161" s="384"/>
      <c r="Q161" s="384"/>
      <c r="R161" s="384"/>
      <c r="S161" s="384"/>
      <c r="T161" s="384"/>
      <c r="U161" s="384"/>
      <c r="V161" s="384"/>
      <c r="W161" s="384"/>
      <c r="X161" s="384"/>
      <c r="Y161" s="384"/>
      <c r="Z161" s="384"/>
    </row>
    <row r="162" ht="15.75" customHeight="1">
      <c r="A162" s="742" t="s">
        <v>1825</v>
      </c>
      <c r="B162" s="386" t="s">
        <v>2355</v>
      </c>
      <c r="C162" s="674" t="s">
        <v>2409</v>
      </c>
      <c r="D162" s="761" t="s">
        <v>2203</v>
      </c>
      <c r="E162" s="405">
        <v>45631.0</v>
      </c>
      <c r="F162" s="405">
        <v>45635.0</v>
      </c>
      <c r="G162" s="405">
        <v>45649.0</v>
      </c>
      <c r="H162" s="405">
        <v>45645.0</v>
      </c>
      <c r="I162" s="383">
        <f>IF(ISBLANK(H162), NETWORKDAYS(F162, TODAY(),Hoja2!$A$1:$A$18), NETWORKDAYS(F162, H162, Hoja2!$A$1:$A$18))</f>
        <v>9</v>
      </c>
      <c r="J162" s="405">
        <v>45645.0</v>
      </c>
      <c r="K162" s="405">
        <v>45667.0</v>
      </c>
      <c r="L162" s="627" t="s">
        <v>2410</v>
      </c>
      <c r="M162" s="363"/>
      <c r="N162" s="363"/>
      <c r="O162" s="363"/>
      <c r="P162" s="363"/>
      <c r="Q162" s="363"/>
      <c r="R162" s="363"/>
      <c r="S162" s="363"/>
      <c r="T162" s="363"/>
      <c r="U162" s="363"/>
      <c r="V162" s="363"/>
      <c r="W162" s="363"/>
      <c r="X162" s="363"/>
      <c r="Y162" s="363"/>
      <c r="Z162" s="363"/>
    </row>
    <row r="163" ht="15.75" customHeight="1">
      <c r="A163" s="745" t="s">
        <v>1825</v>
      </c>
      <c r="B163" s="409" t="s">
        <v>2355</v>
      </c>
      <c r="C163" s="762" t="s">
        <v>2411</v>
      </c>
      <c r="D163" s="761" t="s">
        <v>2203</v>
      </c>
      <c r="E163" s="639">
        <v>45631.0</v>
      </c>
      <c r="F163" s="639">
        <v>45644.0</v>
      </c>
      <c r="G163" s="639">
        <v>45649.0</v>
      </c>
      <c r="H163" s="639">
        <v>45645.0</v>
      </c>
      <c r="I163" s="731">
        <f>IF(ISBLANK(H163), NETWORKDAYS(F163, TODAY(),Hoja2!$A$1:$A$18), NETWORKDAYS(F163, H163, Hoja2!$A$1:$A$18))</f>
        <v>2</v>
      </c>
      <c r="J163" s="639">
        <v>45645.0</v>
      </c>
      <c r="K163" s="639">
        <v>45667.0</v>
      </c>
      <c r="L163" s="640" t="s">
        <v>2412</v>
      </c>
      <c r="M163" s="363"/>
      <c r="N163" s="363"/>
      <c r="O163" s="363"/>
      <c r="P163" s="363"/>
      <c r="Q163" s="363"/>
      <c r="R163" s="363"/>
      <c r="S163" s="363"/>
      <c r="T163" s="363"/>
      <c r="U163" s="363"/>
      <c r="V163" s="363"/>
      <c r="W163" s="363"/>
      <c r="X163" s="363"/>
      <c r="Y163" s="363"/>
      <c r="Z163" s="363"/>
    </row>
    <row r="164" ht="15.75" customHeight="1">
      <c r="A164" s="745" t="s">
        <v>1825</v>
      </c>
      <c r="B164" s="402" t="s">
        <v>2355</v>
      </c>
      <c r="C164" s="763" t="s">
        <v>2413</v>
      </c>
      <c r="D164" s="761" t="s">
        <v>2203</v>
      </c>
      <c r="E164" s="405">
        <v>45631.0</v>
      </c>
      <c r="F164" s="405">
        <v>45644.0</v>
      </c>
      <c r="G164" s="405">
        <v>45649.0</v>
      </c>
      <c r="H164" s="682">
        <v>45650.0</v>
      </c>
      <c r="I164" s="731">
        <f>IF(ISBLANK(H164), NETWORKDAYS(F164, TODAY(),Hoja2!$A$1:$A$18), NETWORKDAYS(F164, H164, Hoja2!$A$1:$A$18))</f>
        <v>5</v>
      </c>
      <c r="J164" s="682">
        <v>45650.0</v>
      </c>
      <c r="K164" s="682">
        <v>45667.0</v>
      </c>
      <c r="L164" s="627" t="s">
        <v>2414</v>
      </c>
      <c r="M164" s="363"/>
      <c r="N164" s="363"/>
      <c r="O164" s="363"/>
      <c r="P164" s="363"/>
      <c r="Q164" s="363"/>
      <c r="R164" s="363"/>
      <c r="S164" s="363"/>
      <c r="T164" s="363"/>
      <c r="U164" s="363"/>
      <c r="V164" s="363"/>
      <c r="W164" s="363"/>
      <c r="X164" s="363"/>
      <c r="Y164" s="363"/>
      <c r="Z164" s="363"/>
    </row>
    <row r="165" ht="15.75" customHeight="1">
      <c r="A165" s="745" t="s">
        <v>1825</v>
      </c>
      <c r="B165" s="402" t="s">
        <v>2355</v>
      </c>
      <c r="C165" s="763" t="s">
        <v>2415</v>
      </c>
      <c r="D165" s="761" t="s">
        <v>2203</v>
      </c>
      <c r="E165" s="682">
        <v>45631.0</v>
      </c>
      <c r="F165" s="682">
        <v>45644.0</v>
      </c>
      <c r="G165" s="682">
        <v>45649.0</v>
      </c>
      <c r="H165" s="682">
        <v>45650.0</v>
      </c>
      <c r="I165" s="660">
        <f>IF(ISBLANK(H165), NETWORKDAYS(F165, TODAY(),Hoja2!$A$1:$A$18), NETWORKDAYS(F165, H165, Hoja2!$A$1:$A$18))</f>
        <v>5</v>
      </c>
      <c r="J165" s="682">
        <v>45650.0</v>
      </c>
      <c r="K165" s="682">
        <v>45667.0</v>
      </c>
      <c r="L165" s="684" t="s">
        <v>2416</v>
      </c>
      <c r="M165" s="363"/>
      <c r="N165" s="363"/>
      <c r="O165" s="363"/>
      <c r="P165" s="363"/>
      <c r="Q165" s="363"/>
      <c r="R165" s="363"/>
      <c r="S165" s="363"/>
      <c r="T165" s="363"/>
      <c r="U165" s="363"/>
      <c r="V165" s="363"/>
      <c r="W165" s="363"/>
      <c r="X165" s="363"/>
      <c r="Y165" s="363"/>
      <c r="Z165" s="363"/>
    </row>
    <row r="166" ht="15.75" customHeight="1">
      <c r="A166" s="401" t="s">
        <v>1835</v>
      </c>
      <c r="B166" s="386" t="s">
        <v>2417</v>
      </c>
      <c r="C166" s="396"/>
      <c r="D166" s="380" t="s">
        <v>75</v>
      </c>
      <c r="E166" s="405">
        <v>45667.0</v>
      </c>
      <c r="F166" s="405">
        <v>45667.0</v>
      </c>
      <c r="G166" s="405">
        <v>45670.0</v>
      </c>
      <c r="H166" s="405">
        <v>45667.0</v>
      </c>
      <c r="I166" s="383">
        <f>IF(ISBLANK(H166), NETWORKDAYS(F166, TODAY(),Hoja2!$A$1:$A$18), NETWORKDAYS(F166, H166, Hoja2!$A$1:$A$18))</f>
        <v>1</v>
      </c>
      <c r="J166" s="405"/>
      <c r="K166" s="405"/>
      <c r="L166" s="722"/>
      <c r="M166" s="597"/>
      <c r="N166" s="363"/>
      <c r="O166" s="363"/>
      <c r="P166" s="363"/>
      <c r="Q166" s="363"/>
      <c r="R166" s="363"/>
      <c r="S166" s="363"/>
      <c r="T166" s="363"/>
      <c r="U166" s="363"/>
      <c r="V166" s="363"/>
      <c r="W166" s="363"/>
      <c r="X166" s="363"/>
      <c r="Y166" s="363"/>
      <c r="Z166" s="363"/>
    </row>
    <row r="167" ht="15.75" customHeight="1">
      <c r="A167" s="386" t="s">
        <v>2082</v>
      </c>
      <c r="B167" s="379" t="s">
        <v>2418</v>
      </c>
      <c r="C167" s="404"/>
      <c r="D167" s="626" t="s">
        <v>75</v>
      </c>
      <c r="E167" s="405">
        <v>45667.0</v>
      </c>
      <c r="F167" s="405">
        <v>45667.0</v>
      </c>
      <c r="G167" s="405"/>
      <c r="H167" s="405">
        <v>45667.0</v>
      </c>
      <c r="I167" s="383">
        <f>IF(ISBLANK(H167), NETWORKDAYS(F167, TODAY(),Hoja2!$A$1:$A$18), NETWORKDAYS(F167, H167, Hoja2!$A$1:$A$18))</f>
        <v>1</v>
      </c>
      <c r="J167" s="405"/>
      <c r="K167" s="405"/>
      <c r="L167" s="627"/>
      <c r="M167" s="597"/>
      <c r="N167" s="363"/>
      <c r="O167" s="363"/>
      <c r="P167" s="363"/>
      <c r="Q167" s="363"/>
      <c r="R167" s="363"/>
      <c r="S167" s="363"/>
      <c r="T167" s="363"/>
      <c r="U167" s="363"/>
      <c r="V167" s="363"/>
      <c r="W167" s="363"/>
      <c r="X167" s="363"/>
      <c r="Y167" s="363"/>
      <c r="Z167" s="363"/>
    </row>
    <row r="168" ht="15.75" customHeight="1">
      <c r="A168" s="401" t="s">
        <v>1835</v>
      </c>
      <c r="B168" s="753" t="s">
        <v>2419</v>
      </c>
      <c r="C168" s="403"/>
      <c r="D168" s="626" t="s">
        <v>75</v>
      </c>
      <c r="E168" s="405">
        <v>45667.0</v>
      </c>
      <c r="F168" s="406">
        <v>45667.0</v>
      </c>
      <c r="G168" s="403"/>
      <c r="H168" s="405">
        <v>45671.0</v>
      </c>
      <c r="I168" s="383">
        <f>IF(ISBLANK(H168), NETWORKDAYS(F168, TODAY(),Hoja2!$A$1:$A$18), NETWORKDAYS(F168, H168, Hoja2!$A$1:$A$18))</f>
        <v>3</v>
      </c>
      <c r="J168" s="405">
        <v>45671.0</v>
      </c>
      <c r="K168" s="405">
        <v>45671.0</v>
      </c>
      <c r="L168" s="407" t="s">
        <v>2420</v>
      </c>
      <c r="M168" s="408"/>
      <c r="N168" s="408"/>
      <c r="O168" s="408"/>
      <c r="P168" s="408"/>
      <c r="Q168" s="408"/>
      <c r="R168" s="408"/>
      <c r="S168" s="408"/>
      <c r="T168" s="408"/>
      <c r="U168" s="408"/>
      <c r="V168" s="408"/>
      <c r="W168" s="408"/>
      <c r="X168" s="408"/>
      <c r="Y168" s="408"/>
      <c r="Z168" s="408"/>
    </row>
    <row r="169" ht="15.75" customHeight="1">
      <c r="A169" s="386" t="s">
        <v>2082</v>
      </c>
      <c r="B169" s="379" t="s">
        <v>2421</v>
      </c>
      <c r="C169" s="404"/>
      <c r="D169" s="626" t="s">
        <v>75</v>
      </c>
      <c r="E169" s="405">
        <v>45667.0</v>
      </c>
      <c r="F169" s="405">
        <v>45670.0</v>
      </c>
      <c r="G169" s="405"/>
      <c r="H169" s="405">
        <v>45670.0</v>
      </c>
      <c r="I169" s="383">
        <f>IF(ISBLANK(H169), NETWORKDAYS(F169, TODAY(),Hoja2!$A$1:$A$18), NETWORKDAYS(F169, H169, Hoja2!$A$1:$A$18))</f>
        <v>1</v>
      </c>
      <c r="J169" s="405">
        <v>45670.0</v>
      </c>
      <c r="K169" s="405">
        <v>45672.0</v>
      </c>
      <c r="L169" s="627"/>
      <c r="M169" s="597"/>
      <c r="N169" s="363"/>
      <c r="O169" s="363"/>
      <c r="P169" s="363"/>
      <c r="Q169" s="363"/>
      <c r="R169" s="363"/>
      <c r="S169" s="363"/>
      <c r="T169" s="363"/>
      <c r="U169" s="363"/>
      <c r="V169" s="363"/>
      <c r="W169" s="363"/>
      <c r="X169" s="363"/>
      <c r="Y169" s="363"/>
      <c r="Z169" s="363"/>
    </row>
    <row r="170" ht="15.75" customHeight="1">
      <c r="A170" s="386" t="s">
        <v>2082</v>
      </c>
      <c r="B170" s="755" t="s">
        <v>2422</v>
      </c>
      <c r="C170" s="404" t="s">
        <v>2423</v>
      </c>
      <c r="D170" s="626" t="s">
        <v>2203</v>
      </c>
      <c r="E170" s="405">
        <v>45672.0</v>
      </c>
      <c r="F170" s="405"/>
      <c r="G170" s="405"/>
      <c r="H170" s="626"/>
      <c r="I170" s="383"/>
      <c r="J170" s="405"/>
      <c r="K170" s="722">
        <v>45692.0</v>
      </c>
      <c r="L170" s="627" t="s">
        <v>2424</v>
      </c>
      <c r="M170" s="597"/>
      <c r="N170" s="363"/>
      <c r="O170" s="363"/>
      <c r="P170" s="363"/>
      <c r="Q170" s="363"/>
      <c r="R170" s="363"/>
      <c r="S170" s="363"/>
      <c r="T170" s="363"/>
      <c r="U170" s="363"/>
      <c r="V170" s="363"/>
      <c r="W170" s="363"/>
      <c r="X170" s="363"/>
      <c r="Y170" s="363"/>
      <c r="Z170" s="363"/>
    </row>
    <row r="171" ht="15.75" customHeight="1">
      <c r="A171" s="386" t="s">
        <v>2082</v>
      </c>
      <c r="B171" s="755" t="s">
        <v>2422</v>
      </c>
      <c r="C171" s="404" t="s">
        <v>2425</v>
      </c>
      <c r="D171" s="626" t="s">
        <v>2203</v>
      </c>
      <c r="E171" s="405">
        <v>45672.0</v>
      </c>
      <c r="F171" s="405">
        <v>45673.0</v>
      </c>
      <c r="G171" s="405"/>
      <c r="H171" s="405">
        <v>45673.0</v>
      </c>
      <c r="I171" s="383">
        <f>IF(ISBLANK(H171), NETWORKDAYS(F171, TODAY(),Hoja2!$A$1:$A$18), NETWORKDAYS(F171, H171, Hoja2!$A$1:$A$18))</f>
        <v>1</v>
      </c>
      <c r="J171" s="381">
        <v>45678.0</v>
      </c>
      <c r="K171" s="722">
        <v>45692.0</v>
      </c>
      <c r="L171" s="627"/>
      <c r="M171" s="597"/>
      <c r="N171" s="363"/>
      <c r="O171" s="363"/>
      <c r="P171" s="363"/>
      <c r="Q171" s="363"/>
      <c r="R171" s="363"/>
      <c r="S171" s="363"/>
      <c r="T171" s="363"/>
      <c r="U171" s="363"/>
      <c r="V171" s="363"/>
      <c r="W171" s="363"/>
      <c r="X171" s="363"/>
      <c r="Y171" s="363"/>
      <c r="Z171" s="363"/>
    </row>
    <row r="172" ht="15.75" customHeight="1">
      <c r="A172" s="386" t="s">
        <v>2082</v>
      </c>
      <c r="B172" s="379" t="s">
        <v>2426</v>
      </c>
      <c r="C172" s="404"/>
      <c r="D172" s="626" t="s">
        <v>75</v>
      </c>
      <c r="E172" s="405">
        <v>45673.0</v>
      </c>
      <c r="F172" s="405">
        <v>45673.0</v>
      </c>
      <c r="G172" s="405"/>
      <c r="H172" s="405">
        <v>45673.0</v>
      </c>
      <c r="I172" s="383">
        <f>IF(ISBLANK(H172), NETWORKDAYS(F172, TODAY(),Hoja2!$A$1:$A$18), NETWORKDAYS(F172, H172, Hoja2!$A$1:$A$18))</f>
        <v>1</v>
      </c>
      <c r="J172" s="405"/>
      <c r="K172" s="405"/>
      <c r="L172" s="722" t="s">
        <v>2427</v>
      </c>
      <c r="M172" s="597"/>
      <c r="N172" s="363"/>
      <c r="O172" s="363"/>
      <c r="P172" s="363"/>
      <c r="Q172" s="363"/>
      <c r="R172" s="363"/>
      <c r="S172" s="363"/>
      <c r="T172" s="363"/>
      <c r="U172" s="363"/>
      <c r="V172" s="363"/>
      <c r="W172" s="363"/>
      <c r="X172" s="363"/>
      <c r="Y172" s="363"/>
      <c r="Z172" s="363"/>
    </row>
    <row r="173" ht="15.75" customHeight="1">
      <c r="A173" s="386" t="s">
        <v>2082</v>
      </c>
      <c r="B173" s="379" t="s">
        <v>2428</v>
      </c>
      <c r="C173" s="404"/>
      <c r="D173" s="626" t="s">
        <v>75</v>
      </c>
      <c r="E173" s="405">
        <v>45671.0</v>
      </c>
      <c r="F173" s="405">
        <v>45671.0</v>
      </c>
      <c r="G173" s="405"/>
      <c r="H173" s="405">
        <v>45672.0</v>
      </c>
      <c r="I173" s="383">
        <f>IF(ISBLANK(H173), NETWORKDAYS(F173, TODAY(),Hoja2!$A$1:$A$18), NETWORKDAYS(F173, H173, Hoja2!$A$1:$A$18))</f>
        <v>2</v>
      </c>
      <c r="J173" s="405">
        <v>45672.0</v>
      </c>
      <c r="K173" s="405">
        <v>45674.0</v>
      </c>
      <c r="L173" s="627" t="s">
        <v>2429</v>
      </c>
      <c r="M173" s="597"/>
      <c r="N173" s="363"/>
      <c r="O173" s="363"/>
      <c r="P173" s="363"/>
      <c r="Q173" s="363"/>
      <c r="R173" s="363"/>
      <c r="S173" s="363"/>
      <c r="T173" s="363"/>
      <c r="U173" s="363"/>
      <c r="V173" s="363"/>
      <c r="W173" s="363"/>
      <c r="X173" s="363"/>
      <c r="Y173" s="363"/>
      <c r="Z173" s="363"/>
    </row>
    <row r="174" ht="15.75" customHeight="1">
      <c r="A174" s="386" t="s">
        <v>2082</v>
      </c>
      <c r="B174" s="379" t="s">
        <v>2430</v>
      </c>
      <c r="C174" s="404"/>
      <c r="D174" s="626" t="s">
        <v>11</v>
      </c>
      <c r="E174" s="405">
        <v>45667.0</v>
      </c>
      <c r="F174" s="405">
        <v>45667.0</v>
      </c>
      <c r="G174" s="405"/>
      <c r="H174" s="405">
        <v>45673.0</v>
      </c>
      <c r="I174" s="383">
        <f>IF(ISBLANK(H174), NETWORKDAYS(F174, TODAY(),Hoja2!$A$1:$A$18), NETWORKDAYS(F174, H174, Hoja2!$A$1:$A$18))</f>
        <v>5</v>
      </c>
      <c r="J174" s="405"/>
      <c r="K174" s="405"/>
      <c r="L174" s="627" t="s">
        <v>2431</v>
      </c>
      <c r="M174" s="597"/>
      <c r="N174" s="363"/>
      <c r="O174" s="363"/>
      <c r="P174" s="363"/>
      <c r="Q174" s="363"/>
      <c r="R174" s="363"/>
      <c r="S174" s="363"/>
      <c r="T174" s="363"/>
      <c r="U174" s="363"/>
      <c r="V174" s="363"/>
      <c r="W174" s="363"/>
      <c r="X174" s="363"/>
      <c r="Y174" s="363"/>
      <c r="Z174" s="363"/>
    </row>
    <row r="175" ht="15.75" customHeight="1">
      <c r="A175" s="386" t="s">
        <v>2082</v>
      </c>
      <c r="B175" s="755" t="s">
        <v>2432</v>
      </c>
      <c r="C175" s="404"/>
      <c r="D175" s="626" t="s">
        <v>11</v>
      </c>
      <c r="E175" s="405">
        <v>45677.0</v>
      </c>
      <c r="F175" s="405">
        <v>45677.0</v>
      </c>
      <c r="G175" s="405"/>
      <c r="H175" s="405">
        <v>45677.0</v>
      </c>
      <c r="I175" s="383">
        <f>IF(ISBLANK(H175), NETWORKDAYS(F175, TODAY(),Hoja2!$A$1:$A$18), NETWORKDAYS(F175, H175, Hoja2!$A$1:$A$18))</f>
        <v>1</v>
      </c>
      <c r="J175" s="405"/>
      <c r="K175" s="405">
        <v>45677.0</v>
      </c>
      <c r="L175" s="627"/>
      <c r="M175" s="597"/>
      <c r="N175" s="363"/>
      <c r="O175" s="363"/>
      <c r="P175" s="363"/>
      <c r="Q175" s="363"/>
      <c r="R175" s="363"/>
      <c r="S175" s="363"/>
      <c r="T175" s="363"/>
      <c r="U175" s="363"/>
      <c r="V175" s="363"/>
      <c r="W175" s="363"/>
      <c r="X175" s="363"/>
      <c r="Y175" s="363"/>
      <c r="Z175" s="363"/>
    </row>
    <row r="176" ht="45.0" customHeight="1">
      <c r="A176" s="362" t="s">
        <v>1810</v>
      </c>
      <c r="B176" s="599" t="s">
        <v>2433</v>
      </c>
      <c r="C176" s="631"/>
      <c r="D176" s="374" t="s">
        <v>214</v>
      </c>
      <c r="E176" s="373">
        <v>45611.0</v>
      </c>
      <c r="F176" s="373">
        <v>45622.0</v>
      </c>
      <c r="G176" s="373">
        <v>45624.0</v>
      </c>
      <c r="H176" s="374"/>
      <c r="I176" s="375">
        <f>IF(ISBLANK(H176), NETWORKDAYS(F176, TODAY(),Hoja2!$A$1:$A$18), NETWORKDAYS(F176, H176, Hoja2!$A$1:$A$18))</f>
        <v>277</v>
      </c>
      <c r="J176" s="631"/>
      <c r="K176" s="631"/>
      <c r="L176" s="393" t="s">
        <v>2434</v>
      </c>
    </row>
    <row r="177" ht="15.75" customHeight="1">
      <c r="A177" s="362" t="s">
        <v>1810</v>
      </c>
      <c r="B177" s="602"/>
      <c r="C177" s="370" t="s">
        <v>2435</v>
      </c>
      <c r="D177" s="374" t="s">
        <v>2203</v>
      </c>
      <c r="E177" s="373">
        <v>45611.0</v>
      </c>
      <c r="F177" s="373">
        <v>45624.0</v>
      </c>
      <c r="G177" s="373">
        <v>45624.0</v>
      </c>
      <c r="H177" s="373">
        <v>45628.0</v>
      </c>
      <c r="I177" s="375">
        <f>IF(ISBLANK(H177), NETWORKDAYS(F177, TODAY(),Hoja2!$A$1:$A$18), NETWORKDAYS(F177, H177, Hoja2!$A$1:$A$18))</f>
        <v>3</v>
      </c>
      <c r="J177" s="631"/>
      <c r="K177" s="591">
        <v>45631.0</v>
      </c>
      <c r="L177" s="764" t="s">
        <v>2436</v>
      </c>
    </row>
    <row r="178" ht="15.75" customHeight="1">
      <c r="A178" s="362" t="s">
        <v>1810</v>
      </c>
      <c r="B178" s="546"/>
      <c r="C178" s="765" t="s">
        <v>2437</v>
      </c>
      <c r="D178" s="374" t="s">
        <v>2203</v>
      </c>
      <c r="E178" s="373">
        <v>45611.0</v>
      </c>
      <c r="F178" s="373">
        <v>45629.0</v>
      </c>
      <c r="G178" s="373">
        <v>45631.0</v>
      </c>
      <c r="H178" s="373"/>
      <c r="I178" s="375">
        <f>IF(ISBLANK(H178), NETWORKDAYS(F178, TODAY(),Hoja2!$A$1:$A$18), NETWORKDAYS(F178, H178, Hoja2!$A$1:$A$18))</f>
        <v>272</v>
      </c>
      <c r="J178" s="631"/>
      <c r="K178" s="591">
        <v>45658.0</v>
      </c>
      <c r="L178" s="764" t="s">
        <v>2438</v>
      </c>
    </row>
    <row r="179" ht="15.75" customHeight="1">
      <c r="A179" s="699" t="s">
        <v>1810</v>
      </c>
      <c r="B179" s="717" t="s">
        <v>2439</v>
      </c>
      <c r="C179" s="699"/>
      <c r="D179" s="705" t="s">
        <v>75</v>
      </c>
      <c r="E179" s="706">
        <v>45644.0</v>
      </c>
      <c r="F179" s="706">
        <v>45644.0</v>
      </c>
      <c r="G179" s="707"/>
      <c r="H179" s="708">
        <v>45658.0</v>
      </c>
      <c r="I179" s="375">
        <f>IF(ISBLANK(H179), NETWORKDAYS(F179, TODAY(),Hoja2!$A$1:$A$18), NETWORKDAYS(F179, H179, Hoja2!$A$1:$A$18))</f>
        <v>10</v>
      </c>
      <c r="J179" s="708"/>
      <c r="K179" s="708"/>
      <c r="L179" s="709" t="s">
        <v>2440</v>
      </c>
      <c r="M179" s="734"/>
      <c r="N179" s="734"/>
      <c r="O179" s="734"/>
      <c r="P179" s="734"/>
      <c r="Q179" s="734"/>
      <c r="R179" s="734"/>
      <c r="S179" s="734"/>
      <c r="T179" s="734"/>
      <c r="U179" s="734"/>
      <c r="V179" s="734"/>
      <c r="W179" s="734"/>
      <c r="X179" s="734"/>
      <c r="Y179" s="734"/>
      <c r="Z179" s="734"/>
      <c r="AA179" s="735"/>
      <c r="AB179" s="735"/>
      <c r="AC179" s="735"/>
      <c r="AD179" s="735"/>
      <c r="AE179" s="735"/>
      <c r="AF179" s="735"/>
      <c r="AG179" s="735"/>
    </row>
    <row r="180" ht="15.75" customHeight="1">
      <c r="A180" s="401" t="s">
        <v>1835</v>
      </c>
      <c r="B180" s="386" t="s">
        <v>2441</v>
      </c>
      <c r="C180" s="396" t="s">
        <v>2442</v>
      </c>
      <c r="D180" s="380" t="s">
        <v>2203</v>
      </c>
      <c r="E180" s="405">
        <v>45667.0</v>
      </c>
      <c r="F180" s="405">
        <v>45667.0</v>
      </c>
      <c r="G180" s="405">
        <v>45670.0</v>
      </c>
      <c r="H180" s="405">
        <v>45672.0</v>
      </c>
      <c r="I180" s="383">
        <f>IF(ISBLANK(H180), NETWORKDAYS(F180, TODAY(),Hoja2!$A$1:$A$18), NETWORKDAYS(F180, H180, Hoja2!$A$1:$A$18))</f>
        <v>4</v>
      </c>
      <c r="J180" s="405">
        <v>45672.0</v>
      </c>
      <c r="K180" s="405">
        <v>45678.0</v>
      </c>
      <c r="L180" s="722" t="s">
        <v>2443</v>
      </c>
      <c r="M180" s="597"/>
      <c r="N180" s="363"/>
      <c r="O180" s="363"/>
      <c r="P180" s="363"/>
      <c r="Q180" s="363"/>
      <c r="R180" s="363"/>
      <c r="S180" s="363"/>
      <c r="T180" s="363"/>
      <c r="U180" s="363"/>
      <c r="V180" s="363"/>
      <c r="W180" s="363"/>
      <c r="X180" s="363"/>
      <c r="Y180" s="363"/>
      <c r="Z180" s="363"/>
    </row>
    <row r="181" ht="15.75" customHeight="1">
      <c r="A181" s="386" t="s">
        <v>2082</v>
      </c>
      <c r="B181" s="379" t="s">
        <v>2444</v>
      </c>
      <c r="C181" s="404"/>
      <c r="D181" s="626" t="s">
        <v>75</v>
      </c>
      <c r="E181" s="405">
        <v>45678.0</v>
      </c>
      <c r="F181" s="405">
        <v>45678.0</v>
      </c>
      <c r="G181" s="405"/>
      <c r="H181" s="405">
        <v>45679.0</v>
      </c>
      <c r="I181" s="383">
        <f>IF(ISBLANK(H181), NETWORKDAYS(F181, TODAY(),Hoja2!$A$1:$A$18), NETWORKDAYS(F181, H181, Hoja2!$A$1:$A$18))</f>
        <v>2</v>
      </c>
      <c r="J181" s="405"/>
      <c r="K181" s="405"/>
      <c r="L181" s="627" t="s">
        <v>2445</v>
      </c>
      <c r="M181" s="597"/>
      <c r="N181" s="363"/>
      <c r="O181" s="363"/>
      <c r="P181" s="363"/>
      <c r="Q181" s="363"/>
      <c r="R181" s="363"/>
      <c r="S181" s="363"/>
      <c r="T181" s="363"/>
      <c r="U181" s="363"/>
      <c r="V181" s="363"/>
      <c r="W181" s="363"/>
      <c r="X181" s="363"/>
      <c r="Y181" s="363"/>
      <c r="Z181" s="363"/>
    </row>
    <row r="182" ht="15.75" customHeight="1">
      <c r="A182" s="386" t="s">
        <v>2082</v>
      </c>
      <c r="B182" s="379" t="s">
        <v>2446</v>
      </c>
      <c r="C182" s="404"/>
      <c r="D182" s="626" t="s">
        <v>2447</v>
      </c>
      <c r="E182" s="405">
        <v>45671.0</v>
      </c>
      <c r="F182" s="405">
        <v>45671.0</v>
      </c>
      <c r="G182" s="405"/>
      <c r="H182" s="405">
        <v>45680.0</v>
      </c>
      <c r="I182" s="383">
        <f>IF(ISBLANK(H182), NETWORKDAYS(F182, TODAY(),Hoja2!$A$1:$A$18), NETWORKDAYS(F182, H182, Hoja2!$A$1:$A$18))</f>
        <v>8</v>
      </c>
      <c r="J182" s="405"/>
      <c r="K182" s="405">
        <v>45680.0</v>
      </c>
      <c r="L182" s="627" t="s">
        <v>2448</v>
      </c>
      <c r="M182" s="597"/>
      <c r="N182" s="363"/>
      <c r="O182" s="363"/>
      <c r="P182" s="363"/>
      <c r="Q182" s="363"/>
      <c r="R182" s="363"/>
      <c r="S182" s="363"/>
      <c r="T182" s="363"/>
      <c r="U182" s="363"/>
      <c r="V182" s="363"/>
      <c r="W182" s="363"/>
      <c r="X182" s="363"/>
      <c r="Y182" s="363"/>
      <c r="Z182" s="363"/>
    </row>
    <row r="183" ht="15.75" customHeight="1">
      <c r="A183" s="377" t="s">
        <v>1817</v>
      </c>
      <c r="B183" s="720" t="s">
        <v>2449</v>
      </c>
      <c r="C183" s="625"/>
      <c r="D183" s="380" t="s">
        <v>2203</v>
      </c>
      <c r="E183" s="405">
        <v>45664.0</v>
      </c>
      <c r="F183" s="405">
        <v>45664.0</v>
      </c>
      <c r="G183" s="405">
        <v>45665.0</v>
      </c>
      <c r="H183" s="405">
        <v>45666.0</v>
      </c>
      <c r="I183" s="383">
        <f>IF(ISBLANK(H183), NETWORKDAYS(F183, TODAY(),Hoja2!$A$1:$A$18), NETWORKDAYS(F183, H183, Hoja2!$A$1:$A$18))</f>
        <v>3</v>
      </c>
      <c r="J183" s="405">
        <v>45666.0</v>
      </c>
      <c r="K183" s="405">
        <v>45674.0</v>
      </c>
      <c r="L183" s="627" t="s">
        <v>2450</v>
      </c>
      <c r="M183" s="597"/>
      <c r="N183" s="363"/>
      <c r="O183" s="363"/>
      <c r="P183" s="363"/>
      <c r="Q183" s="363"/>
      <c r="R183" s="363"/>
      <c r="S183" s="363"/>
      <c r="T183" s="363"/>
      <c r="U183" s="363"/>
      <c r="V183" s="363"/>
      <c r="W183" s="363"/>
      <c r="X183" s="363"/>
      <c r="Y183" s="363"/>
      <c r="Z183" s="363"/>
    </row>
    <row r="184" ht="15.75" customHeight="1">
      <c r="A184" s="578" t="s">
        <v>1810</v>
      </c>
      <c r="B184" s="766" t="s">
        <v>1343</v>
      </c>
      <c r="C184" s="580"/>
      <c r="D184" s="594" t="s">
        <v>2203</v>
      </c>
      <c r="E184" s="373">
        <v>45307.0</v>
      </c>
      <c r="F184" s="373">
        <v>45677.0</v>
      </c>
      <c r="G184" s="373"/>
      <c r="H184" s="373">
        <v>45678.0</v>
      </c>
      <c r="I184" s="375">
        <f>IF(ISBLANK(H184), NETWORKDAYS(F184, TODAY(),Hoja2!$A$1:$A$18), NETWORKDAYS(F184, H184, Hoja2!$A$1:$A$18))</f>
        <v>2</v>
      </c>
      <c r="J184" s="373"/>
      <c r="K184" s="373">
        <v>45680.0</v>
      </c>
      <c r="L184" s="376"/>
      <c r="M184" s="363"/>
      <c r="N184" s="363"/>
      <c r="O184" s="363"/>
      <c r="P184" s="363"/>
      <c r="Q184" s="363"/>
      <c r="R184" s="363"/>
      <c r="S184" s="363"/>
      <c r="T184" s="363"/>
      <c r="U184" s="363"/>
      <c r="V184" s="363"/>
      <c r="W184" s="363"/>
      <c r="X184" s="363"/>
      <c r="Y184" s="363"/>
      <c r="Z184" s="363"/>
    </row>
    <row r="185" ht="15.75" customHeight="1">
      <c r="A185" s="362" t="s">
        <v>1810</v>
      </c>
      <c r="B185" s="767" t="s">
        <v>2451</v>
      </c>
      <c r="C185" s="580"/>
      <c r="D185" s="594" t="s">
        <v>2203</v>
      </c>
      <c r="E185" s="373">
        <v>45678.0</v>
      </c>
      <c r="F185" s="373">
        <v>45677.0</v>
      </c>
      <c r="G185" s="373"/>
      <c r="H185" s="373">
        <v>45680.0</v>
      </c>
      <c r="I185" s="375">
        <f>IF(ISBLANK(H185), NETWORKDAYS(F185, TODAY(),Hoja2!$A$1:$A$18), NETWORKDAYS(F185, H185, Hoja2!$A$1:$A$18))</f>
        <v>4</v>
      </c>
      <c r="J185" s="373"/>
      <c r="K185" s="373">
        <v>45680.0</v>
      </c>
      <c r="L185" s="376"/>
      <c r="M185" s="363"/>
      <c r="N185" s="363"/>
      <c r="O185" s="363"/>
      <c r="P185" s="363"/>
      <c r="Q185" s="363"/>
      <c r="R185" s="363"/>
      <c r="S185" s="363"/>
      <c r="T185" s="363"/>
      <c r="U185" s="363"/>
      <c r="V185" s="363"/>
      <c r="W185" s="363"/>
      <c r="X185" s="363"/>
      <c r="Y185" s="363"/>
      <c r="Z185" s="363"/>
    </row>
    <row r="186" ht="15.75" customHeight="1">
      <c r="A186" s="362" t="s">
        <v>1810</v>
      </c>
      <c r="B186" s="768" t="s">
        <v>2452</v>
      </c>
      <c r="C186" s="580" t="s">
        <v>2453</v>
      </c>
      <c r="D186" s="594" t="s">
        <v>2203</v>
      </c>
      <c r="E186" s="373">
        <v>45678.0</v>
      </c>
      <c r="F186" s="373">
        <v>45680.0</v>
      </c>
      <c r="G186" s="373"/>
      <c r="H186" s="373">
        <v>45680.0</v>
      </c>
      <c r="I186" s="375">
        <f>IF(ISBLANK(H186), NETWORKDAYS(F186, TODAY(),Hoja2!$A$1:$A$18), NETWORKDAYS(F186, H186, Hoja2!$A$1:$A$18))</f>
        <v>1</v>
      </c>
      <c r="J186" s="373"/>
      <c r="K186" s="373">
        <v>45680.0</v>
      </c>
      <c r="L186" s="376"/>
      <c r="M186" s="363"/>
      <c r="N186" s="363"/>
      <c r="O186" s="363"/>
      <c r="P186" s="363"/>
      <c r="Q186" s="363"/>
      <c r="R186" s="363"/>
      <c r="S186" s="363"/>
      <c r="T186" s="363"/>
      <c r="U186" s="363"/>
      <c r="V186" s="363"/>
      <c r="W186" s="363"/>
      <c r="X186" s="363"/>
      <c r="Y186" s="363"/>
      <c r="Z186" s="363"/>
    </row>
    <row r="187" ht="15.75" customHeight="1">
      <c r="A187" s="362" t="s">
        <v>1810</v>
      </c>
      <c r="B187" s="767" t="s">
        <v>2454</v>
      </c>
      <c r="C187" s="580"/>
      <c r="D187" s="594" t="s">
        <v>2203</v>
      </c>
      <c r="E187" s="373">
        <v>45678.0</v>
      </c>
      <c r="F187" s="373">
        <v>45680.0</v>
      </c>
      <c r="G187" s="373"/>
      <c r="H187" s="373">
        <v>45680.0</v>
      </c>
      <c r="I187" s="375">
        <f>IF(ISBLANK(H187), NETWORKDAYS(F187, TODAY(),Hoja2!$A$1:$A$18), NETWORKDAYS(F187, H187, Hoja2!$A$1:$A$18))</f>
        <v>1</v>
      </c>
      <c r="J187" s="373"/>
      <c r="K187" s="373">
        <v>45680.0</v>
      </c>
      <c r="L187" s="376"/>
      <c r="M187" s="363"/>
      <c r="N187" s="363"/>
      <c r="O187" s="363"/>
      <c r="P187" s="363"/>
      <c r="Q187" s="363"/>
      <c r="R187" s="363"/>
      <c r="S187" s="363"/>
      <c r="T187" s="363"/>
      <c r="U187" s="363"/>
      <c r="V187" s="363"/>
      <c r="W187" s="363"/>
      <c r="X187" s="363"/>
      <c r="Y187" s="363"/>
      <c r="Z187" s="363"/>
    </row>
    <row r="188" ht="15.75" customHeight="1">
      <c r="A188" s="362" t="s">
        <v>1810</v>
      </c>
      <c r="B188" s="767" t="s">
        <v>2455</v>
      </c>
      <c r="C188" s="580"/>
      <c r="D188" s="594" t="s">
        <v>2203</v>
      </c>
      <c r="E188" s="373">
        <v>45678.0</v>
      </c>
      <c r="F188" s="373">
        <v>45680.0</v>
      </c>
      <c r="G188" s="373"/>
      <c r="H188" s="373">
        <v>45680.0</v>
      </c>
      <c r="I188" s="375">
        <f>IF(ISBLANK(H188), NETWORKDAYS(F188, TODAY(),Hoja2!$A$1:$A$18), NETWORKDAYS(F188, H188, Hoja2!$A$1:$A$18))</f>
        <v>1</v>
      </c>
      <c r="J188" s="373"/>
      <c r="K188" s="373">
        <v>45680.0</v>
      </c>
      <c r="L188" s="376"/>
      <c r="M188" s="363"/>
      <c r="N188" s="363"/>
      <c r="O188" s="363"/>
      <c r="P188" s="363"/>
      <c r="Q188" s="363"/>
      <c r="R188" s="363"/>
      <c r="S188" s="363"/>
      <c r="T188" s="363"/>
      <c r="U188" s="363"/>
      <c r="V188" s="363"/>
      <c r="W188" s="363"/>
      <c r="X188" s="363"/>
      <c r="Y188" s="363"/>
      <c r="Z188" s="363"/>
    </row>
    <row r="189" ht="15.75" customHeight="1">
      <c r="A189" s="401" t="s">
        <v>1835</v>
      </c>
      <c r="B189" s="755" t="s">
        <v>2456</v>
      </c>
      <c r="C189" s="769" t="s">
        <v>2457</v>
      </c>
      <c r="D189" s="380" t="s">
        <v>2458</v>
      </c>
      <c r="E189" s="405">
        <v>45667.0</v>
      </c>
      <c r="F189" s="770">
        <v>45670.0</v>
      </c>
      <c r="G189" s="404"/>
      <c r="H189" s="770">
        <v>45674.0</v>
      </c>
      <c r="I189" s="383">
        <f>IF(ISBLANK(H189), NETWORKDAYS(F189, TODAY(),Hoja2!$A$1:$A$18), NETWORKDAYS(F189, H189, Hoja2!$A$1:$A$18))</f>
        <v>5</v>
      </c>
      <c r="J189" s="404"/>
      <c r="K189" s="404"/>
      <c r="L189" s="404" t="s">
        <v>2459</v>
      </c>
    </row>
    <row r="190" ht="15.75" customHeight="1">
      <c r="A190" s="362" t="s">
        <v>1810</v>
      </c>
      <c r="B190" s="767" t="s">
        <v>2460</v>
      </c>
      <c r="C190" s="580"/>
      <c r="D190" s="594" t="s">
        <v>2203</v>
      </c>
      <c r="E190" s="373">
        <v>45678.0</v>
      </c>
      <c r="F190" s="373">
        <v>45681.0</v>
      </c>
      <c r="G190" s="373"/>
      <c r="H190" s="373">
        <v>45681.0</v>
      </c>
      <c r="I190" s="375">
        <f>IF(ISBLANK(H190), NETWORKDAYS(F190, TODAY(),Hoja2!$A$1:$A$18), NETWORKDAYS(F190, H190, Hoja2!$A$1:$A$18))</f>
        <v>1</v>
      </c>
      <c r="J190" s="373">
        <v>45686.0</v>
      </c>
      <c r="K190" s="373">
        <v>45686.0</v>
      </c>
      <c r="L190" s="376" t="s">
        <v>2461</v>
      </c>
      <c r="M190" s="363"/>
      <c r="N190" s="363"/>
      <c r="O190" s="363"/>
      <c r="P190" s="363"/>
      <c r="Q190" s="363"/>
      <c r="R190" s="363"/>
      <c r="S190" s="363"/>
      <c r="T190" s="363"/>
      <c r="U190" s="363"/>
      <c r="V190" s="363"/>
      <c r="W190" s="363"/>
      <c r="X190" s="363"/>
      <c r="Y190" s="363"/>
      <c r="Z190" s="363"/>
    </row>
    <row r="191" ht="15.75" customHeight="1">
      <c r="A191" s="386" t="s">
        <v>1825</v>
      </c>
      <c r="B191" s="401" t="s">
        <v>2462</v>
      </c>
      <c r="C191" s="401"/>
      <c r="D191" s="380" t="s">
        <v>2203</v>
      </c>
      <c r="E191" s="405">
        <v>45666.0</v>
      </c>
      <c r="F191" s="387">
        <v>45685.0</v>
      </c>
      <c r="G191" s="380" t="s">
        <v>2463</v>
      </c>
      <c r="H191" s="387">
        <v>45686.0</v>
      </c>
      <c r="I191" s="383">
        <f>IF(ISBLANK(H191), NETWORKDAYS(F191, TODAY(),Hoja2!$A$1:$A$18), NETWORKDAYS(F191, H191, Hoja2!$A$1:$A$18))</f>
        <v>2</v>
      </c>
      <c r="J191" s="387">
        <v>45686.0</v>
      </c>
      <c r="K191" s="387">
        <v>45688.0</v>
      </c>
      <c r="L191" s="685" t="s">
        <v>2464</v>
      </c>
      <c r="M191" s="597"/>
      <c r="N191" s="363"/>
      <c r="O191" s="363"/>
      <c r="P191" s="363"/>
      <c r="Q191" s="363"/>
      <c r="R191" s="363"/>
      <c r="S191" s="363"/>
      <c r="T191" s="363"/>
      <c r="U191" s="363"/>
      <c r="V191" s="363"/>
      <c r="W191" s="363"/>
      <c r="X191" s="363"/>
      <c r="Y191" s="363"/>
      <c r="Z191" s="363"/>
    </row>
    <row r="192" ht="15.75" customHeight="1">
      <c r="A192" s="386" t="s">
        <v>2082</v>
      </c>
      <c r="B192" s="379" t="s">
        <v>2465</v>
      </c>
      <c r="C192" s="404"/>
      <c r="D192" s="626" t="s">
        <v>75</v>
      </c>
      <c r="E192" s="405">
        <v>45687.0</v>
      </c>
      <c r="F192" s="405">
        <v>45687.0</v>
      </c>
      <c r="G192" s="405"/>
      <c r="H192" s="405">
        <v>45687.0</v>
      </c>
      <c r="I192" s="383">
        <f>IF(ISBLANK(H192), NETWORKDAYS(F192, TODAY(),Hoja2!$A$1:$A$18), NETWORKDAYS(F192, H192, Hoja2!$A$1:$A$18))</f>
        <v>1</v>
      </c>
      <c r="J192" s="405"/>
      <c r="K192" s="405"/>
      <c r="L192" s="627" t="s">
        <v>2466</v>
      </c>
      <c r="M192" s="597"/>
      <c r="N192" s="363"/>
      <c r="O192" s="363"/>
      <c r="P192" s="363"/>
      <c r="Q192" s="363"/>
      <c r="R192" s="363"/>
      <c r="S192" s="363"/>
      <c r="T192" s="363"/>
      <c r="U192" s="363"/>
      <c r="V192" s="363"/>
      <c r="W192" s="363"/>
      <c r="X192" s="363"/>
      <c r="Y192" s="363"/>
      <c r="Z192" s="363"/>
    </row>
    <row r="193" ht="15.75" customHeight="1">
      <c r="A193" s="401" t="s">
        <v>1835</v>
      </c>
      <c r="B193" s="401" t="s">
        <v>2467</v>
      </c>
      <c r="C193" s="403"/>
      <c r="D193" s="626" t="s">
        <v>2203</v>
      </c>
      <c r="E193" s="405">
        <v>45685.0</v>
      </c>
      <c r="F193" s="406">
        <v>45685.0</v>
      </c>
      <c r="G193" s="403"/>
      <c r="H193" s="771">
        <v>45687.0</v>
      </c>
      <c r="I193" s="383">
        <f>IF(ISBLANK(H193), NETWORKDAYS(F193, TODAY(),Hoja2!$A$1:$A$18), NETWORKDAYS(F193, H193, Hoja2!$A$1:$A$18))</f>
        <v>3</v>
      </c>
      <c r="J193" s="771">
        <v>45687.0</v>
      </c>
      <c r="K193" s="771">
        <v>45687.0</v>
      </c>
      <c r="L193" s="407" t="s">
        <v>2468</v>
      </c>
      <c r="M193" s="408"/>
      <c r="N193" s="408"/>
      <c r="O193" s="408"/>
      <c r="P193" s="408"/>
      <c r="Q193" s="408"/>
      <c r="R193" s="408"/>
      <c r="S193" s="408"/>
      <c r="T193" s="408"/>
      <c r="U193" s="408"/>
      <c r="V193" s="408"/>
      <c r="W193" s="408"/>
      <c r="X193" s="408"/>
      <c r="Y193" s="408"/>
      <c r="Z193" s="408"/>
    </row>
    <row r="194" ht="15.0" customHeight="1">
      <c r="A194" s="401" t="s">
        <v>1835</v>
      </c>
      <c r="B194" s="755" t="s">
        <v>2456</v>
      </c>
      <c r="C194" s="674" t="s">
        <v>2469</v>
      </c>
      <c r="D194" s="380" t="s">
        <v>2458</v>
      </c>
      <c r="E194" s="405">
        <v>45681.0</v>
      </c>
      <c r="F194" s="405">
        <v>45681.0</v>
      </c>
      <c r="G194" s="405"/>
      <c r="H194" s="405">
        <v>45681.0</v>
      </c>
      <c r="I194" s="383">
        <f>IF(ISBLANK(H194), NETWORKDAYS(F194, TODAY(),Hoja2!$A$1:$A$18), NETWORKDAYS(F194, H194, Hoja2!$A$1:$A$18))</f>
        <v>1</v>
      </c>
      <c r="J194" s="405">
        <v>45681.0</v>
      </c>
      <c r="K194" s="405"/>
      <c r="L194" s="627"/>
    </row>
    <row r="195" ht="15.75" customHeight="1">
      <c r="A195" s="386" t="s">
        <v>1825</v>
      </c>
      <c r="B195" s="386" t="s">
        <v>2470</v>
      </c>
      <c r="C195" s="401"/>
      <c r="D195" s="380" t="s">
        <v>75</v>
      </c>
      <c r="E195" s="405">
        <v>45685.0</v>
      </c>
      <c r="F195" s="387">
        <v>45685.0</v>
      </c>
      <c r="G195" s="380"/>
      <c r="H195" s="387">
        <v>45688.0</v>
      </c>
      <c r="I195" s="383">
        <f>IF(ISBLANK(H195), NETWORKDAYS(F195, TODAY(),Hoja2!$A$1:$A$18), NETWORKDAYS(F195, H195, Hoja2!$A$1:$A$18))</f>
        <v>4</v>
      </c>
      <c r="J195" s="387">
        <v>45688.0</v>
      </c>
      <c r="K195" s="387">
        <v>45688.0</v>
      </c>
      <c r="L195" s="685" t="s">
        <v>2471</v>
      </c>
      <c r="M195" s="597"/>
      <c r="N195" s="363"/>
      <c r="O195" s="363"/>
      <c r="P195" s="363"/>
      <c r="Q195" s="363"/>
      <c r="R195" s="363"/>
      <c r="S195" s="363"/>
      <c r="T195" s="363"/>
      <c r="U195" s="363"/>
      <c r="V195" s="363"/>
      <c r="W195" s="363"/>
      <c r="X195" s="363"/>
      <c r="Y195" s="363"/>
      <c r="Z195" s="363"/>
    </row>
    <row r="196" ht="15.75" customHeight="1">
      <c r="A196" s="772" t="s">
        <v>1810</v>
      </c>
      <c r="B196" s="773" t="s">
        <v>2472</v>
      </c>
      <c r="C196" s="774"/>
      <c r="D196" s="775" t="s">
        <v>2203</v>
      </c>
      <c r="E196" s="776">
        <v>45610.0</v>
      </c>
      <c r="F196" s="776">
        <v>45629.0</v>
      </c>
      <c r="G196" s="776"/>
      <c r="H196" s="776">
        <v>45636.0</v>
      </c>
      <c r="I196" s="777">
        <f>IF(ISBLANK(H196), NETWORKDAYS(F196, TODAY(),Hoja2!$A$1:$A$18), NETWORKDAYS(F196, H196, Hoja2!$A$1:$A$18))</f>
        <v>6</v>
      </c>
      <c r="J196" s="776">
        <v>45636.0</v>
      </c>
      <c r="K196" s="776">
        <v>45691.0</v>
      </c>
      <c r="L196" s="778" t="s">
        <v>2473</v>
      </c>
      <c r="M196" s="363"/>
      <c r="N196" s="363"/>
      <c r="O196" s="363"/>
      <c r="P196" s="363"/>
      <c r="Q196" s="363"/>
      <c r="R196" s="363"/>
      <c r="S196" s="363"/>
      <c r="T196" s="363"/>
      <c r="U196" s="363"/>
      <c r="V196" s="363"/>
      <c r="W196" s="363"/>
      <c r="X196" s="363"/>
      <c r="Y196" s="363"/>
      <c r="Z196" s="363"/>
    </row>
    <row r="197" ht="15.75" customHeight="1">
      <c r="A197" s="779" t="s">
        <v>1810</v>
      </c>
      <c r="B197" s="599" t="s">
        <v>2474</v>
      </c>
      <c r="C197" s="609" t="s">
        <v>2475</v>
      </c>
      <c r="D197" s="610" t="s">
        <v>2203</v>
      </c>
      <c r="E197" s="642">
        <v>45688.0</v>
      </c>
      <c r="F197" s="642">
        <v>45688.0</v>
      </c>
      <c r="G197" s="642"/>
      <c r="H197" s="642">
        <v>45688.0</v>
      </c>
      <c r="I197" s="587">
        <f>IF(ISBLANK(H197), NETWORKDAYS(F197, TODAY(),Hoja2!$A$1:$A$18), NETWORKDAYS(F197, H197, Hoja2!$A$1:$A$18))</f>
        <v>1</v>
      </c>
      <c r="J197" s="642"/>
      <c r="K197" s="642">
        <v>45688.0</v>
      </c>
      <c r="L197" s="780" t="s">
        <v>2476</v>
      </c>
      <c r="M197" s="363"/>
      <c r="N197" s="363"/>
      <c r="O197" s="363"/>
      <c r="P197" s="363"/>
      <c r="Q197" s="363"/>
      <c r="R197" s="363"/>
      <c r="S197" s="363"/>
      <c r="T197" s="363"/>
      <c r="U197" s="363"/>
      <c r="V197" s="363"/>
      <c r="W197" s="363"/>
      <c r="X197" s="363"/>
      <c r="Y197" s="363"/>
      <c r="Z197" s="363"/>
    </row>
    <row r="198" ht="15.75" customHeight="1">
      <c r="A198" s="779" t="s">
        <v>1810</v>
      </c>
      <c r="B198" s="608"/>
      <c r="C198" s="781" t="s">
        <v>2477</v>
      </c>
      <c r="D198" s="610" t="s">
        <v>2203</v>
      </c>
      <c r="E198" s="642">
        <v>45555.0</v>
      </c>
      <c r="F198" s="642">
        <v>45555.0</v>
      </c>
      <c r="G198" s="642"/>
      <c r="H198" s="642">
        <v>45688.0</v>
      </c>
      <c r="I198" s="587">
        <f>IF(ISBLANK(H198), NETWORKDAYS(F198, TODAY(),Hoja2!$A$1:$A$18), NETWORKDAYS(F198, H198, Hoja2!$A$1:$A$18))</f>
        <v>92</v>
      </c>
      <c r="J198" s="642"/>
      <c r="K198" s="642">
        <v>45688.0</v>
      </c>
      <c r="L198" s="643" t="s">
        <v>2478</v>
      </c>
      <c r="M198" s="363"/>
      <c r="N198" s="363"/>
      <c r="O198" s="363"/>
      <c r="P198" s="363"/>
      <c r="Q198" s="363"/>
      <c r="R198" s="363"/>
      <c r="S198" s="363"/>
      <c r="T198" s="363"/>
      <c r="U198" s="363"/>
      <c r="V198" s="363"/>
      <c r="W198" s="363"/>
      <c r="X198" s="363"/>
      <c r="Y198" s="363"/>
      <c r="Z198" s="363"/>
    </row>
    <row r="199" ht="15.75" customHeight="1">
      <c r="A199" s="362" t="s">
        <v>1810</v>
      </c>
      <c r="B199" s="608"/>
      <c r="C199" s="782" t="s">
        <v>2479</v>
      </c>
      <c r="D199" s="610" t="s">
        <v>2203</v>
      </c>
      <c r="E199" s="373">
        <v>45566.0</v>
      </c>
      <c r="F199" s="373">
        <v>45568.0</v>
      </c>
      <c r="G199" s="373"/>
      <c r="H199" s="642">
        <v>45688.0</v>
      </c>
      <c r="I199" s="375">
        <f>IF(ISBLANK(H199), NETWORKDAYS(F199, TODAY(),Hoja2!$A$1:$A$18), NETWORKDAYS(F199, H199, Hoja2!$A$1:$A$18))</f>
        <v>83</v>
      </c>
      <c r="J199" s="373"/>
      <c r="K199" s="642">
        <v>45688.0</v>
      </c>
      <c r="L199" s="376" t="s">
        <v>2480</v>
      </c>
      <c r="M199" s="363"/>
      <c r="N199" s="363"/>
      <c r="O199" s="363"/>
      <c r="P199" s="363"/>
      <c r="Q199" s="363"/>
      <c r="R199" s="363"/>
      <c r="S199" s="363"/>
      <c r="T199" s="363"/>
      <c r="U199" s="363"/>
      <c r="V199" s="363"/>
      <c r="W199" s="363"/>
      <c r="X199" s="363"/>
      <c r="Y199" s="363"/>
      <c r="Z199" s="363"/>
    </row>
    <row r="200" ht="15.75" customHeight="1">
      <c r="A200" s="362" t="s">
        <v>1810</v>
      </c>
      <c r="B200" s="723"/>
      <c r="C200" s="782" t="s">
        <v>2481</v>
      </c>
      <c r="D200" s="610" t="s">
        <v>2203</v>
      </c>
      <c r="E200" s="373">
        <v>45566.0</v>
      </c>
      <c r="F200" s="373">
        <v>45566.0</v>
      </c>
      <c r="G200" s="373"/>
      <c r="H200" s="642">
        <v>45688.0</v>
      </c>
      <c r="I200" s="375">
        <f>IF(ISBLANK(H200), NETWORKDAYS(F200, TODAY(),Hoja2!$A$1:$A$18), NETWORKDAYS(F200, H200, Hoja2!$A$1:$A$18))</f>
        <v>85</v>
      </c>
      <c r="J200" s="373"/>
      <c r="K200" s="642">
        <v>45688.0</v>
      </c>
      <c r="L200" s="595" t="s">
        <v>2482</v>
      </c>
      <c r="M200" s="363"/>
      <c r="N200" s="363"/>
      <c r="O200" s="363"/>
      <c r="P200" s="363"/>
      <c r="Q200" s="363"/>
      <c r="R200" s="363"/>
      <c r="S200" s="363"/>
      <c r="T200" s="363"/>
      <c r="U200" s="363"/>
      <c r="V200" s="363"/>
      <c r="W200" s="363"/>
      <c r="X200" s="363"/>
      <c r="Y200" s="363"/>
      <c r="Z200" s="363"/>
    </row>
    <row r="201" ht="15.75" customHeight="1">
      <c r="A201" s="362" t="s">
        <v>1810</v>
      </c>
      <c r="B201" s="396" t="s">
        <v>2483</v>
      </c>
      <c r="C201" s="580"/>
      <c r="D201" s="594" t="s">
        <v>2203</v>
      </c>
      <c r="E201" s="373">
        <v>45386.0</v>
      </c>
      <c r="F201" s="373">
        <v>45386.0</v>
      </c>
      <c r="G201" s="373"/>
      <c r="H201" s="373">
        <v>45688.0</v>
      </c>
      <c r="I201" s="375">
        <f>IF(ISBLANK(H201), NETWORKDAYS(F201, TODAY(),Hoja2!$A$1:$A$18), NETWORKDAYS(F201, H201, Hoja2!$A$1:$A$18))</f>
        <v>206</v>
      </c>
      <c r="J201" s="373"/>
      <c r="K201" s="373">
        <v>45688.0</v>
      </c>
      <c r="L201" s="376" t="s">
        <v>2484</v>
      </c>
      <c r="M201" s="363"/>
      <c r="N201" s="363"/>
      <c r="O201" s="363"/>
      <c r="P201" s="363"/>
      <c r="Q201" s="363"/>
      <c r="R201" s="363"/>
      <c r="S201" s="363"/>
      <c r="T201" s="363"/>
      <c r="U201" s="363"/>
      <c r="V201" s="363"/>
      <c r="W201" s="363"/>
      <c r="X201" s="363"/>
      <c r="Y201" s="363"/>
      <c r="Z201" s="363"/>
    </row>
    <row r="202" ht="15.75" customHeight="1">
      <c r="A202" s="596" t="s">
        <v>2082</v>
      </c>
      <c r="B202" s="599" t="s">
        <v>2422</v>
      </c>
      <c r="C202" s="690"/>
      <c r="D202" s="626" t="s">
        <v>2203</v>
      </c>
      <c r="E202" s="373">
        <v>45602.0</v>
      </c>
      <c r="F202" s="644">
        <v>45624.0</v>
      </c>
      <c r="G202" s="373">
        <v>45630.0</v>
      </c>
      <c r="H202" s="373">
        <v>45646.0</v>
      </c>
      <c r="I202" s="375">
        <f>IF(ISBLANK(H202), NETWORKDAYS(F202, TODAY(),Hoja2!$A$1:$A$18), NETWORKDAYS(F202, H202, Hoja2!$A$1:$A$18))</f>
        <v>17</v>
      </c>
      <c r="J202" s="373">
        <v>45646.0</v>
      </c>
      <c r="K202" s="644">
        <v>45692.0</v>
      </c>
      <c r="L202" s="592" t="s">
        <v>2485</v>
      </c>
      <c r="M202" s="632"/>
      <c r="N202" s="369"/>
      <c r="O202" s="369"/>
      <c r="P202" s="369"/>
      <c r="Q202" s="369"/>
      <c r="R202" s="369"/>
      <c r="S202" s="369"/>
      <c r="T202" s="369"/>
      <c r="U202" s="369"/>
      <c r="V202" s="369"/>
      <c r="W202" s="369"/>
      <c r="X202" s="369"/>
      <c r="Y202" s="369"/>
      <c r="Z202" s="369"/>
    </row>
    <row r="203" ht="15.0" customHeight="1">
      <c r="A203" s="596" t="s">
        <v>2082</v>
      </c>
      <c r="B203" s="608"/>
      <c r="C203" s="546" t="s">
        <v>2486</v>
      </c>
      <c r="D203" s="610" t="s">
        <v>214</v>
      </c>
      <c r="E203" s="642">
        <v>45602.0</v>
      </c>
      <c r="F203" s="611">
        <v>45625.0</v>
      </c>
      <c r="G203" s="642"/>
      <c r="H203" s="610"/>
      <c r="I203" s="648">
        <f>IF(ISBLANK(H203), NETWORKDAYS(F203, TODAY(),Hoja2!$A$1:$A$18), NETWORKDAYS(F203, H203, Hoja2!$A$1:$A$18))</f>
        <v>274</v>
      </c>
      <c r="J203" s="620"/>
      <c r="K203" s="620"/>
      <c r="L203" s="612" t="s">
        <v>2487</v>
      </c>
      <c r="M203" s="632"/>
      <c r="N203" s="369"/>
      <c r="O203" s="369"/>
      <c r="P203" s="369"/>
      <c r="Q203" s="369"/>
      <c r="R203" s="369"/>
      <c r="S203" s="369"/>
      <c r="T203" s="369"/>
      <c r="U203" s="369"/>
      <c r="V203" s="369"/>
      <c r="W203" s="369"/>
      <c r="X203" s="369"/>
      <c r="Y203" s="369"/>
      <c r="Z203" s="369"/>
    </row>
    <row r="204" ht="15.75" customHeight="1">
      <c r="A204" s="596" t="s">
        <v>2082</v>
      </c>
      <c r="B204" s="608"/>
      <c r="C204" s="783" t="s">
        <v>2488</v>
      </c>
      <c r="D204" s="374" t="s">
        <v>75</v>
      </c>
      <c r="E204" s="670">
        <v>45632.0</v>
      </c>
      <c r="F204" s="644">
        <v>45642.0</v>
      </c>
      <c r="G204" s="373"/>
      <c r="H204" s="373">
        <v>45642.0</v>
      </c>
      <c r="I204" s="375">
        <f>IF(ISBLANK(H204), NETWORKDAYS(F204, TODAY(),Hoja2!$A$1:$A$18), NETWORKDAYS(F204, H204, Hoja2!$A$1:$A$18))</f>
        <v>1</v>
      </c>
      <c r="J204" s="373">
        <v>45643.0</v>
      </c>
      <c r="K204" s="631"/>
      <c r="L204" s="592"/>
      <c r="M204" s="632"/>
      <c r="N204" s="369"/>
      <c r="O204" s="369"/>
      <c r="P204" s="369"/>
      <c r="Q204" s="369"/>
      <c r="R204" s="369"/>
      <c r="S204" s="369"/>
      <c r="T204" s="369"/>
      <c r="U204" s="369"/>
      <c r="V204" s="369"/>
      <c r="W204" s="369"/>
      <c r="X204" s="369"/>
      <c r="Y204" s="369"/>
      <c r="Z204" s="369"/>
    </row>
    <row r="205" ht="15.75" customHeight="1">
      <c r="A205" s="596" t="s">
        <v>2082</v>
      </c>
      <c r="B205" s="608"/>
      <c r="C205" s="783" t="s">
        <v>2489</v>
      </c>
      <c r="D205" s="374" t="s">
        <v>75</v>
      </c>
      <c r="E205" s="670">
        <v>45632.0</v>
      </c>
      <c r="F205" s="644">
        <v>45642.0</v>
      </c>
      <c r="G205" s="373"/>
      <c r="H205" s="373">
        <v>45642.0</v>
      </c>
      <c r="I205" s="375">
        <f>IF(ISBLANK(H205), NETWORKDAYS(F205, TODAY(),Hoja2!$A$1:$A$18), NETWORKDAYS(F205, H205, Hoja2!$A$1:$A$18))</f>
        <v>1</v>
      </c>
      <c r="J205" s="373">
        <v>45643.0</v>
      </c>
      <c r="K205" s="631"/>
      <c r="L205" s="592"/>
      <c r="M205" s="632"/>
      <c r="N205" s="369"/>
      <c r="O205" s="369"/>
      <c r="P205" s="369"/>
      <c r="Q205" s="369"/>
      <c r="R205" s="369"/>
      <c r="S205" s="369"/>
      <c r="T205" s="369"/>
      <c r="U205" s="369"/>
      <c r="V205" s="369"/>
      <c r="W205" s="369"/>
      <c r="X205" s="369"/>
      <c r="Y205" s="369"/>
      <c r="Z205" s="369"/>
    </row>
    <row r="206" ht="15.75" customHeight="1">
      <c r="A206" s="596" t="s">
        <v>2082</v>
      </c>
      <c r="B206" s="608"/>
      <c r="C206" s="784" t="s">
        <v>2490</v>
      </c>
      <c r="D206" s="594" t="s">
        <v>2203</v>
      </c>
      <c r="E206" s="670">
        <v>45632.0</v>
      </c>
      <c r="F206" s="644">
        <v>45632.0</v>
      </c>
      <c r="G206" s="373"/>
      <c r="H206" s="591">
        <v>45635.0</v>
      </c>
      <c r="I206" s="375">
        <f>IF(ISBLANK(H206), NETWORKDAYS(F206, TODAY(),Hoja2!$A$1:$A$18), NETWORKDAYS(F206, H206, Hoja2!$A$1:$A$18))</f>
        <v>2</v>
      </c>
      <c r="J206" s="591">
        <v>45635.0</v>
      </c>
      <c r="K206" s="591">
        <v>45636.0</v>
      </c>
      <c r="L206" s="592" t="s">
        <v>2491</v>
      </c>
      <c r="M206" s="632"/>
      <c r="N206" s="369"/>
      <c r="O206" s="369"/>
      <c r="P206" s="369"/>
      <c r="Q206" s="369"/>
      <c r="R206" s="369"/>
      <c r="S206" s="369"/>
      <c r="T206" s="369"/>
      <c r="U206" s="369"/>
      <c r="V206" s="369"/>
      <c r="W206" s="369"/>
      <c r="X206" s="369"/>
      <c r="Y206" s="369"/>
      <c r="Z206" s="369"/>
    </row>
    <row r="207" ht="15.75" customHeight="1">
      <c r="A207" s="596" t="s">
        <v>2082</v>
      </c>
      <c r="B207" s="608"/>
      <c r="C207" s="411" t="s">
        <v>2492</v>
      </c>
      <c r="D207" s="594" t="s">
        <v>75</v>
      </c>
      <c r="E207" s="373">
        <v>45644.0</v>
      </c>
      <c r="F207" s="644">
        <v>45644.0</v>
      </c>
      <c r="G207" s="373"/>
      <c r="H207" s="591">
        <v>45646.0</v>
      </c>
      <c r="I207" s="375">
        <f>IF(ISBLANK(H207), NETWORKDAYS(F207, TODAY(),Hoja2!$A$1:$A$18), NETWORKDAYS(F207, H207, Hoja2!$A$1:$A$18))</f>
        <v>3</v>
      </c>
      <c r="J207" s="591"/>
      <c r="K207" s="591"/>
      <c r="L207" s="592" t="s">
        <v>2493</v>
      </c>
      <c r="M207" s="632"/>
      <c r="N207" s="369"/>
      <c r="O207" s="369"/>
      <c r="P207" s="369"/>
      <c r="Q207" s="369"/>
      <c r="R207" s="369"/>
      <c r="S207" s="369"/>
      <c r="T207" s="369"/>
      <c r="U207" s="369"/>
      <c r="V207" s="369"/>
      <c r="W207" s="369"/>
      <c r="X207" s="369"/>
      <c r="Y207" s="369"/>
      <c r="Z207" s="369"/>
    </row>
    <row r="208" ht="15.75" customHeight="1">
      <c r="A208" s="386" t="s">
        <v>2082</v>
      </c>
      <c r="B208" s="723"/>
      <c r="C208" s="379" t="s">
        <v>2494</v>
      </c>
      <c r="D208" s="626" t="s">
        <v>701</v>
      </c>
      <c r="E208" s="405">
        <v>45660.0</v>
      </c>
      <c r="F208" s="405">
        <v>45660.0</v>
      </c>
      <c r="G208" s="405"/>
      <c r="H208" s="405">
        <v>45664.0</v>
      </c>
      <c r="I208" s="383">
        <f>IF(ISBLANK(H208), NETWORKDAYS(F208, TODAY(),Hoja2!$A$1:$A$18), NETWORKDAYS(F208, H208, Hoja2!$A$1:$A$18))</f>
        <v>3</v>
      </c>
      <c r="J208" s="405">
        <v>45664.0</v>
      </c>
      <c r="K208" s="405"/>
      <c r="L208" s="627" t="s">
        <v>2495</v>
      </c>
      <c r="M208" s="597"/>
      <c r="N208" s="363"/>
      <c r="O208" s="363"/>
      <c r="P208" s="363"/>
      <c r="Q208" s="363"/>
      <c r="R208" s="363"/>
      <c r="S208" s="363"/>
      <c r="T208" s="363"/>
      <c r="U208" s="363"/>
      <c r="V208" s="363"/>
      <c r="W208" s="363"/>
      <c r="X208" s="363"/>
      <c r="Y208" s="363"/>
      <c r="Z208" s="363"/>
    </row>
    <row r="209" ht="15.75" customHeight="1">
      <c r="A209" s="744" t="s">
        <v>1835</v>
      </c>
      <c r="B209" s="785" t="s">
        <v>2456</v>
      </c>
      <c r="C209" s="786" t="s">
        <v>2496</v>
      </c>
      <c r="D209" s="380" t="s">
        <v>2458</v>
      </c>
      <c r="E209" s="639">
        <v>45572.0</v>
      </c>
      <c r="F209" s="639">
        <v>45573.0</v>
      </c>
      <c r="G209" s="639">
        <v>45572.0</v>
      </c>
      <c r="H209" s="639">
        <v>45574.0</v>
      </c>
      <c r="I209" s="731">
        <f>IF(ISBLANK(H209), NETWORKDAYS(F209, TODAY(),Hoja2!$A$1:$A$18), NETWORKDAYS(F209, H209, Hoja2!$A$1:$A$18))</f>
        <v>2</v>
      </c>
      <c r="J209" s="639">
        <v>45629.0</v>
      </c>
      <c r="K209" s="639"/>
      <c r="L209" s="640" t="s">
        <v>2497</v>
      </c>
      <c r="M209" s="597"/>
      <c r="N209" s="363"/>
      <c r="O209" s="363"/>
      <c r="P209" s="363"/>
      <c r="Q209" s="363"/>
      <c r="R209" s="363"/>
      <c r="S209" s="363"/>
      <c r="T209" s="363"/>
      <c r="U209" s="363"/>
      <c r="V209" s="363"/>
      <c r="W209" s="363"/>
      <c r="X209" s="363"/>
      <c r="Y209" s="363"/>
      <c r="Z209" s="363"/>
    </row>
    <row r="210" ht="15.75" customHeight="1">
      <c r="A210" s="401" t="s">
        <v>1835</v>
      </c>
      <c r="B210" s="785" t="s">
        <v>2456</v>
      </c>
      <c r="C210" s="404" t="s">
        <v>2498</v>
      </c>
      <c r="D210" s="380" t="s">
        <v>2458</v>
      </c>
      <c r="E210" s="405">
        <v>45574.0</v>
      </c>
      <c r="F210" s="405">
        <v>45574.0</v>
      </c>
      <c r="G210" s="405">
        <v>45582.0</v>
      </c>
      <c r="H210" s="682">
        <v>45596.0</v>
      </c>
      <c r="I210" s="383">
        <f>IF(ISBLANK(H210), NETWORKDAYS(F210, TODAY(),Hoja2!$A$1:$A$18), NETWORKDAYS(F210, H210, Hoja2!$A$1:$A$18))</f>
        <v>16</v>
      </c>
      <c r="J210" s="639">
        <v>45629.0</v>
      </c>
      <c r="K210" s="405"/>
      <c r="L210" s="627" t="s">
        <v>2499</v>
      </c>
      <c r="M210" s="597"/>
      <c r="N210" s="363"/>
      <c r="O210" s="363"/>
      <c r="P210" s="363"/>
      <c r="Q210" s="363"/>
      <c r="R210" s="363"/>
      <c r="S210" s="363"/>
      <c r="T210" s="363"/>
      <c r="U210" s="363"/>
      <c r="V210" s="363"/>
      <c r="W210" s="363"/>
      <c r="X210" s="363"/>
      <c r="Y210" s="363"/>
      <c r="Z210" s="363"/>
    </row>
    <row r="211" ht="15.75" customHeight="1">
      <c r="A211" s="679" t="s">
        <v>1835</v>
      </c>
      <c r="B211" s="785" t="s">
        <v>2456</v>
      </c>
      <c r="C211" s="710" t="s">
        <v>2500</v>
      </c>
      <c r="D211" s="380" t="s">
        <v>2458</v>
      </c>
      <c r="E211" s="682">
        <v>45574.0</v>
      </c>
      <c r="F211" s="682">
        <v>45574.0</v>
      </c>
      <c r="G211" s="682">
        <v>45582.0</v>
      </c>
      <c r="H211" s="682">
        <v>45596.0</v>
      </c>
      <c r="I211" s="683">
        <f>IF(ISBLANK(H211), NETWORKDAYS(F211, TODAY(),Hoja2!$A$1:$A$18), NETWORKDAYS(F211, H211, Hoja2!$A$1:$A$18))</f>
        <v>16</v>
      </c>
      <c r="J211" s="639">
        <v>45629.0</v>
      </c>
      <c r="K211" s="682"/>
      <c r="L211" s="684" t="s">
        <v>2501</v>
      </c>
      <c r="M211" s="597"/>
      <c r="N211" s="363"/>
      <c r="O211" s="363"/>
      <c r="P211" s="363"/>
      <c r="Q211" s="363"/>
      <c r="R211" s="363"/>
      <c r="S211" s="363"/>
      <c r="T211" s="363"/>
      <c r="U211" s="363"/>
      <c r="V211" s="363"/>
      <c r="W211" s="363"/>
      <c r="X211" s="363"/>
      <c r="Y211" s="363"/>
      <c r="Z211" s="363"/>
    </row>
    <row r="212" ht="15.75" customHeight="1">
      <c r="A212" s="679" t="s">
        <v>1835</v>
      </c>
      <c r="B212" s="785" t="s">
        <v>2456</v>
      </c>
      <c r="C212" s="737" t="s">
        <v>2502</v>
      </c>
      <c r="D212" s="380" t="s">
        <v>2458</v>
      </c>
      <c r="E212" s="682">
        <v>45574.0</v>
      </c>
      <c r="F212" s="682">
        <v>45594.0</v>
      </c>
      <c r="G212" s="682">
        <v>45595.0</v>
      </c>
      <c r="H212" s="682">
        <v>45596.0</v>
      </c>
      <c r="I212" s="683">
        <f>IF(ISBLANK(H212), NETWORKDAYS(F212, TODAY(),Hoja2!$A$1:$A$18), NETWORKDAYS(F212, H212, Hoja2!$A$1:$A$18))</f>
        <v>3</v>
      </c>
      <c r="J212" s="639">
        <v>45629.0</v>
      </c>
      <c r="K212" s="682"/>
      <c r="L212" s="684" t="s">
        <v>2503</v>
      </c>
      <c r="M212" s="597"/>
      <c r="N212" s="363"/>
      <c r="O212" s="363"/>
      <c r="P212" s="363"/>
      <c r="Q212" s="363"/>
      <c r="R212" s="363"/>
      <c r="S212" s="363"/>
      <c r="T212" s="363"/>
      <c r="U212" s="363"/>
      <c r="V212" s="363"/>
      <c r="W212" s="363"/>
      <c r="X212" s="363"/>
      <c r="Y212" s="363"/>
      <c r="Z212" s="363"/>
    </row>
    <row r="213" ht="15.75" customHeight="1">
      <c r="A213" s="401" t="s">
        <v>1835</v>
      </c>
      <c r="B213" s="785" t="s">
        <v>2456</v>
      </c>
      <c r="C213" s="404" t="s">
        <v>2504</v>
      </c>
      <c r="D213" s="380" t="s">
        <v>2458</v>
      </c>
      <c r="E213" s="405">
        <v>45574.0</v>
      </c>
      <c r="F213" s="405">
        <v>45597.0</v>
      </c>
      <c r="G213" s="405">
        <v>45601.0</v>
      </c>
      <c r="H213" s="405"/>
      <c r="I213" s="383">
        <f>IF(ISBLANK(H213), NETWORKDAYS(F213, TODAY(),Hoja2!$A$1:$A$18), NETWORKDAYS(F213, H213, Hoja2!$A$1:$A$18))</f>
        <v>292</v>
      </c>
      <c r="J213" s="639">
        <v>45629.0</v>
      </c>
      <c r="K213" s="405"/>
      <c r="L213" s="627" t="s">
        <v>2505</v>
      </c>
      <c r="M213" s="597"/>
      <c r="N213" s="363"/>
      <c r="O213" s="363"/>
      <c r="P213" s="363"/>
      <c r="Q213" s="363"/>
      <c r="R213" s="363"/>
      <c r="S213" s="363"/>
      <c r="T213" s="363"/>
      <c r="U213" s="363"/>
      <c r="V213" s="363"/>
      <c r="W213" s="363"/>
      <c r="X213" s="363"/>
      <c r="Y213" s="363"/>
      <c r="Z213" s="363"/>
    </row>
    <row r="214" ht="15.75" customHeight="1">
      <c r="A214" s="401" t="s">
        <v>1835</v>
      </c>
      <c r="B214" s="785" t="s">
        <v>2456</v>
      </c>
      <c r="C214" s="743" t="s">
        <v>2506</v>
      </c>
      <c r="D214" s="380" t="s">
        <v>2458</v>
      </c>
      <c r="E214" s="405">
        <v>45574.0</v>
      </c>
      <c r="F214" s="639">
        <v>45602.0</v>
      </c>
      <c r="G214" s="639">
        <v>45604.0</v>
      </c>
      <c r="H214" s="639">
        <v>45609.0</v>
      </c>
      <c r="I214" s="383">
        <f>IF(ISBLANK(H214), NETWORKDAYS(F214, TODAY(),Hoja2!$A$1:$A$18), NETWORKDAYS(F214, H214, Hoja2!$A$1:$A$18))</f>
        <v>5</v>
      </c>
      <c r="J214" s="639">
        <v>45629.0</v>
      </c>
      <c r="K214" s="639"/>
      <c r="L214" s="640" t="s">
        <v>2507</v>
      </c>
      <c r="M214" s="597"/>
      <c r="N214" s="363"/>
      <c r="O214" s="363"/>
      <c r="P214" s="363"/>
      <c r="Q214" s="363"/>
      <c r="R214" s="363"/>
      <c r="S214" s="363"/>
      <c r="T214" s="363"/>
      <c r="U214" s="363"/>
      <c r="V214" s="363"/>
      <c r="W214" s="363"/>
      <c r="X214" s="363"/>
      <c r="Y214" s="363"/>
      <c r="Z214" s="363"/>
    </row>
    <row r="215" ht="15.75" customHeight="1">
      <c r="A215" s="401" t="s">
        <v>1835</v>
      </c>
      <c r="B215" s="785" t="s">
        <v>2456</v>
      </c>
      <c r="C215" s="743" t="s">
        <v>2508</v>
      </c>
      <c r="D215" s="380" t="s">
        <v>2458</v>
      </c>
      <c r="E215" s="405">
        <v>45574.0</v>
      </c>
      <c r="F215" s="639">
        <v>45610.0</v>
      </c>
      <c r="G215" s="639">
        <v>45617.0</v>
      </c>
      <c r="H215" s="639">
        <v>45617.0</v>
      </c>
      <c r="I215" s="383">
        <f>IF(ISBLANK(H215), NETWORKDAYS(F215, TODAY(),Hoja2!$A$1:$A$18), NETWORKDAYS(F215, H215, Hoja2!$A$1:$A$18))</f>
        <v>6</v>
      </c>
      <c r="J215" s="639">
        <v>45629.0</v>
      </c>
      <c r="K215" s="639"/>
      <c r="L215" s="640" t="s">
        <v>2509</v>
      </c>
      <c r="M215" s="597"/>
      <c r="N215" s="363"/>
      <c r="O215" s="363"/>
      <c r="P215" s="363"/>
      <c r="Q215" s="363"/>
      <c r="R215" s="363"/>
      <c r="S215" s="363"/>
      <c r="T215" s="363"/>
      <c r="U215" s="363"/>
      <c r="V215" s="363"/>
      <c r="W215" s="363"/>
      <c r="X215" s="363"/>
      <c r="Y215" s="363"/>
      <c r="Z215" s="363"/>
    </row>
    <row r="216" ht="15.75" customHeight="1">
      <c r="A216" s="401" t="s">
        <v>1835</v>
      </c>
      <c r="B216" s="785" t="s">
        <v>2456</v>
      </c>
      <c r="C216" s="743" t="s">
        <v>2510</v>
      </c>
      <c r="D216" s="380" t="s">
        <v>2458</v>
      </c>
      <c r="E216" s="405">
        <v>45574.0</v>
      </c>
      <c r="F216" s="639">
        <v>45617.0</v>
      </c>
      <c r="G216" s="639">
        <v>45617.0</v>
      </c>
      <c r="H216" s="639">
        <v>45617.0</v>
      </c>
      <c r="I216" s="383">
        <f>IF(ISBLANK(H216), NETWORKDAYS(F216, TODAY(),Hoja2!$A$1:$A$18), NETWORKDAYS(F216, H216, Hoja2!$A$1:$A$18))</f>
        <v>1</v>
      </c>
      <c r="J216" s="639">
        <v>45629.0</v>
      </c>
      <c r="K216" s="639"/>
      <c r="L216" s="640" t="s">
        <v>2511</v>
      </c>
      <c r="M216" s="597"/>
      <c r="N216" s="363"/>
      <c r="O216" s="363"/>
      <c r="P216" s="363"/>
      <c r="Q216" s="363"/>
      <c r="R216" s="363"/>
      <c r="S216" s="363"/>
      <c r="T216" s="363"/>
      <c r="U216" s="363"/>
      <c r="V216" s="363"/>
      <c r="W216" s="363"/>
      <c r="X216" s="363"/>
      <c r="Y216" s="363"/>
      <c r="Z216" s="363"/>
    </row>
    <row r="217" ht="15.75" customHeight="1">
      <c r="A217" s="401" t="s">
        <v>1835</v>
      </c>
      <c r="B217" s="785" t="s">
        <v>2456</v>
      </c>
      <c r="C217" s="743" t="s">
        <v>2512</v>
      </c>
      <c r="D217" s="380" t="s">
        <v>2458</v>
      </c>
      <c r="E217" s="405">
        <v>45574.0</v>
      </c>
      <c r="F217" s="639">
        <v>45618.0</v>
      </c>
      <c r="G217" s="639">
        <v>45621.0</v>
      </c>
      <c r="H217" s="639">
        <v>45625.0</v>
      </c>
      <c r="I217" s="383">
        <f>IF(ISBLANK(H217), NETWORKDAYS(F217, TODAY(),Hoja2!$A$1:$A$18), NETWORKDAYS(F217, H217, Hoja2!$A$1:$A$18))</f>
        <v>6</v>
      </c>
      <c r="J217" s="639">
        <v>45629.0</v>
      </c>
      <c r="K217" s="639"/>
      <c r="L217" s="640" t="s">
        <v>2513</v>
      </c>
      <c r="M217" s="597"/>
      <c r="N217" s="363"/>
      <c r="O217" s="363"/>
      <c r="P217" s="363"/>
      <c r="Q217" s="363"/>
      <c r="R217" s="363"/>
      <c r="S217" s="363"/>
      <c r="T217" s="363"/>
      <c r="U217" s="363"/>
      <c r="V217" s="363"/>
      <c r="W217" s="363"/>
      <c r="X217" s="363"/>
      <c r="Y217" s="363"/>
      <c r="Z217" s="363"/>
    </row>
    <row r="218" ht="15.75" customHeight="1">
      <c r="A218" s="401" t="s">
        <v>1835</v>
      </c>
      <c r="B218" s="785" t="s">
        <v>2456</v>
      </c>
      <c r="C218" s="743" t="s">
        <v>2514</v>
      </c>
      <c r="D218" s="380" t="s">
        <v>2458</v>
      </c>
      <c r="E218" s="405">
        <v>45574.0</v>
      </c>
      <c r="F218" s="639">
        <v>45621.0</v>
      </c>
      <c r="G218" s="639">
        <v>45621.0</v>
      </c>
      <c r="H218" s="639">
        <v>45625.0</v>
      </c>
      <c r="I218" s="383">
        <f>IF(ISBLANK(H218), NETWORKDAYS(F218, TODAY(),Hoja2!$A$1:$A$18), NETWORKDAYS(F218, H218, Hoja2!$A$1:$A$18))</f>
        <v>5</v>
      </c>
      <c r="J218" s="639">
        <v>45629.0</v>
      </c>
      <c r="K218" s="639"/>
      <c r="L218" s="640" t="s">
        <v>2515</v>
      </c>
      <c r="M218" s="597"/>
      <c r="N218" s="363"/>
      <c r="O218" s="363"/>
      <c r="P218" s="363"/>
      <c r="Q218" s="363"/>
      <c r="R218" s="363"/>
      <c r="S218" s="363"/>
      <c r="T218" s="363"/>
      <c r="U218" s="363"/>
      <c r="V218" s="363"/>
      <c r="W218" s="363"/>
      <c r="X218" s="363"/>
      <c r="Y218" s="363"/>
      <c r="Z218" s="363"/>
    </row>
    <row r="219" ht="15.75" customHeight="1">
      <c r="A219" s="401" t="s">
        <v>1835</v>
      </c>
      <c r="B219" s="785" t="s">
        <v>2456</v>
      </c>
      <c r="C219" s="743" t="s">
        <v>2516</v>
      </c>
      <c r="D219" s="380" t="s">
        <v>2458</v>
      </c>
      <c r="E219" s="405">
        <v>45574.0</v>
      </c>
      <c r="F219" s="639">
        <v>45625.0</v>
      </c>
      <c r="G219" s="639"/>
      <c r="H219" s="639">
        <v>45629.0</v>
      </c>
      <c r="I219" s="383">
        <f>IF(ISBLANK(H219), NETWORKDAYS(F219, TODAY(),Hoja2!$A$1:$A$18), NETWORKDAYS(F219, H219, Hoja2!$A$1:$A$18))</f>
        <v>3</v>
      </c>
      <c r="J219" s="639">
        <v>45629.0</v>
      </c>
      <c r="K219" s="639"/>
      <c r="L219" s="640" t="s">
        <v>2517</v>
      </c>
      <c r="M219" s="597"/>
      <c r="N219" s="363"/>
      <c r="O219" s="363"/>
      <c r="P219" s="363"/>
      <c r="Q219" s="363"/>
      <c r="R219" s="363"/>
      <c r="S219" s="363"/>
      <c r="T219" s="363"/>
      <c r="U219" s="363"/>
      <c r="V219" s="363"/>
      <c r="W219" s="363"/>
      <c r="X219" s="363"/>
      <c r="Y219" s="363"/>
      <c r="Z219" s="363"/>
    </row>
    <row r="220" ht="15.0" hidden="1" customHeight="1">
      <c r="A220" s="401"/>
      <c r="B220" s="787"/>
      <c r="C220" s="788"/>
      <c r="D220" s="789"/>
      <c r="E220" s="758"/>
      <c r="F220" s="639"/>
      <c r="G220" s="639"/>
      <c r="H220" s="639"/>
      <c r="I220" s="383"/>
      <c r="J220" s="639"/>
      <c r="K220" s="639"/>
      <c r="L220" s="640"/>
      <c r="M220" s="597"/>
      <c r="N220" s="363"/>
      <c r="O220" s="363"/>
      <c r="P220" s="363"/>
      <c r="Q220" s="363"/>
      <c r="R220" s="363"/>
      <c r="S220" s="363"/>
      <c r="T220" s="363"/>
      <c r="U220" s="363"/>
      <c r="V220" s="363"/>
      <c r="W220" s="363"/>
      <c r="X220" s="363"/>
      <c r="Y220" s="363"/>
      <c r="Z220" s="363"/>
    </row>
    <row r="221" ht="15.75" hidden="1" customHeight="1">
      <c r="A221" s="401" t="s">
        <v>1835</v>
      </c>
      <c r="B221" s="787"/>
      <c r="C221" s="790" t="s">
        <v>2518</v>
      </c>
      <c r="D221" s="791" t="s">
        <v>1838</v>
      </c>
      <c r="E221" s="721">
        <v>45574.0</v>
      </c>
      <c r="F221" s="639">
        <v>45631.0</v>
      </c>
      <c r="G221" s="639"/>
      <c r="H221" s="639"/>
      <c r="I221" s="383">
        <f>IF(ISBLANK(H221), NETWORKDAYS(F221, TODAY(),Hoja2!$A$1:$A$18), NETWORKDAYS(F221, H221, Hoja2!$A$1:$A$18))</f>
        <v>270</v>
      </c>
      <c r="J221" s="639"/>
      <c r="K221" s="639"/>
      <c r="L221" s="732" t="s">
        <v>2519</v>
      </c>
      <c r="M221" s="597"/>
      <c r="N221" s="363"/>
      <c r="O221" s="363"/>
      <c r="P221" s="363"/>
      <c r="Q221" s="363"/>
      <c r="R221" s="363"/>
      <c r="S221" s="363"/>
      <c r="T221" s="363"/>
      <c r="U221" s="363"/>
      <c r="V221" s="363"/>
      <c r="W221" s="363"/>
      <c r="X221" s="363"/>
      <c r="Y221" s="363"/>
      <c r="Z221" s="363"/>
    </row>
    <row r="222" ht="15.75" hidden="1" customHeight="1">
      <c r="A222" s="401" t="s">
        <v>1835</v>
      </c>
      <c r="B222" s="787"/>
      <c r="C222" s="790" t="s">
        <v>2520</v>
      </c>
      <c r="D222" s="791" t="s">
        <v>1838</v>
      </c>
      <c r="E222" s="721">
        <v>45574.0</v>
      </c>
      <c r="F222" s="639">
        <v>45631.0</v>
      </c>
      <c r="G222" s="639"/>
      <c r="H222" s="639"/>
      <c r="I222" s="383">
        <f>IF(ISBLANK(H222), NETWORKDAYS(F222, TODAY(),Hoja2!$A$1:$A$18), NETWORKDAYS(F222, H222, Hoja2!$A$1:$A$18))</f>
        <v>270</v>
      </c>
      <c r="J222" s="639"/>
      <c r="K222" s="639"/>
      <c r="L222" s="732" t="s">
        <v>2519</v>
      </c>
      <c r="M222" s="597"/>
      <c r="N222" s="363"/>
      <c r="O222" s="363"/>
      <c r="P222" s="363"/>
      <c r="Q222" s="363"/>
      <c r="R222" s="363"/>
      <c r="S222" s="363"/>
      <c r="T222" s="363"/>
      <c r="U222" s="363"/>
      <c r="V222" s="363"/>
      <c r="W222" s="363"/>
      <c r="X222" s="363"/>
      <c r="Y222" s="363"/>
      <c r="Z222" s="363"/>
    </row>
    <row r="223" ht="15.75" hidden="1" customHeight="1">
      <c r="A223" s="401" t="s">
        <v>1835</v>
      </c>
      <c r="B223" s="787"/>
      <c r="C223" s="792" t="s">
        <v>2521</v>
      </c>
      <c r="D223" s="791" t="s">
        <v>1838</v>
      </c>
      <c r="E223" s="721">
        <v>45574.0</v>
      </c>
      <c r="F223" s="639">
        <v>45631.0</v>
      </c>
      <c r="G223" s="639"/>
      <c r="H223" s="639"/>
      <c r="I223" s="383">
        <f>IF(ISBLANK(H223), NETWORKDAYS(F223, TODAY(),Hoja2!$A$1:$A$18), NETWORKDAYS(F223, H223, Hoja2!$A$1:$A$18))</f>
        <v>270</v>
      </c>
      <c r="J223" s="639"/>
      <c r="K223" s="639"/>
      <c r="L223" s="732" t="s">
        <v>2522</v>
      </c>
      <c r="M223" s="597"/>
      <c r="N223" s="363"/>
      <c r="O223" s="363"/>
      <c r="P223" s="363"/>
      <c r="Q223" s="363"/>
      <c r="R223" s="363"/>
      <c r="S223" s="363"/>
      <c r="T223" s="363"/>
      <c r="U223" s="363"/>
      <c r="V223" s="363"/>
      <c r="W223" s="363"/>
      <c r="X223" s="363"/>
      <c r="Y223" s="363"/>
      <c r="Z223" s="363"/>
    </row>
    <row r="224" ht="15.75" hidden="1" customHeight="1">
      <c r="A224" s="679" t="s">
        <v>1835</v>
      </c>
      <c r="B224" s="787"/>
      <c r="C224" s="793" t="s">
        <v>2523</v>
      </c>
      <c r="D224" s="791" t="s">
        <v>1838</v>
      </c>
      <c r="E224" s="794">
        <v>45574.0</v>
      </c>
      <c r="F224" s="659">
        <v>45638.0</v>
      </c>
      <c r="G224" s="659"/>
      <c r="H224" s="659"/>
      <c r="I224" s="683">
        <f>IF(ISBLANK(H224), NETWORKDAYS(F224, TODAY(),Hoja2!$A$1:$A$18), NETWORKDAYS(F224, H224, Hoja2!$A$1:$A$18))</f>
        <v>265</v>
      </c>
      <c r="J224" s="659"/>
      <c r="K224" s="659"/>
      <c r="L224" s="795" t="s">
        <v>2524</v>
      </c>
      <c r="M224" s="597"/>
      <c r="N224" s="363"/>
      <c r="O224" s="363"/>
      <c r="P224" s="363"/>
      <c r="Q224" s="363"/>
      <c r="R224" s="363"/>
      <c r="S224" s="363"/>
      <c r="T224" s="363"/>
      <c r="U224" s="363"/>
      <c r="V224" s="363"/>
      <c r="W224" s="363"/>
      <c r="X224" s="363"/>
      <c r="Y224" s="363"/>
      <c r="Z224" s="363"/>
    </row>
    <row r="225" ht="15.75" hidden="1" customHeight="1">
      <c r="A225" s="401" t="s">
        <v>1835</v>
      </c>
      <c r="B225" s="787"/>
      <c r="C225" s="396" t="s">
        <v>2525</v>
      </c>
      <c r="D225" s="791" t="s">
        <v>1838</v>
      </c>
      <c r="E225" s="405">
        <v>45636.0</v>
      </c>
      <c r="F225" s="405">
        <v>45636.0</v>
      </c>
      <c r="G225" s="405"/>
      <c r="H225" s="405"/>
      <c r="I225" s="383">
        <f>IF(ISBLANK(H225), NETWORKDAYS(F225, TODAY(),Hoja2!$A$1:$A$18), NETWORKDAYS(F225, H225, Hoja2!$A$1:$A$18))</f>
        <v>267</v>
      </c>
      <c r="J225" s="405">
        <v>45645.0</v>
      </c>
      <c r="K225" s="405"/>
      <c r="L225" s="722" t="s">
        <v>2526</v>
      </c>
      <c r="M225" s="597"/>
      <c r="N225" s="363"/>
      <c r="O225" s="363"/>
      <c r="P225" s="363"/>
      <c r="Q225" s="363"/>
      <c r="R225" s="363"/>
      <c r="S225" s="363"/>
      <c r="T225" s="363"/>
      <c r="U225" s="363"/>
      <c r="V225" s="363"/>
      <c r="W225" s="363"/>
      <c r="X225" s="363"/>
      <c r="Y225" s="363"/>
      <c r="Z225" s="363"/>
    </row>
    <row r="226" ht="15.75" hidden="1" customHeight="1">
      <c r="A226" s="401" t="s">
        <v>1835</v>
      </c>
      <c r="B226" s="787"/>
      <c r="C226" s="396" t="s">
        <v>2527</v>
      </c>
      <c r="D226" s="626" t="s">
        <v>701</v>
      </c>
      <c r="E226" s="405">
        <v>45645.0</v>
      </c>
      <c r="F226" s="405">
        <v>45646.0</v>
      </c>
      <c r="G226" s="405"/>
      <c r="H226" s="405"/>
      <c r="I226" s="383">
        <f>IF(ISBLANK(H226), NETWORKDAYS(F226, TODAY(),Hoja2!$A$1:$A$18), NETWORKDAYS(F226, H226, Hoja2!$A$1:$A$18))</f>
        <v>259</v>
      </c>
      <c r="J226" s="405">
        <v>45664.0</v>
      </c>
      <c r="K226" s="405"/>
      <c r="L226" s="722" t="s">
        <v>2528</v>
      </c>
      <c r="M226" s="597"/>
      <c r="N226" s="363"/>
      <c r="O226" s="363"/>
      <c r="P226" s="363"/>
      <c r="Q226" s="363"/>
      <c r="R226" s="363"/>
      <c r="S226" s="363"/>
      <c r="T226" s="363"/>
      <c r="U226" s="363"/>
      <c r="V226" s="363"/>
      <c r="W226" s="363"/>
      <c r="X226" s="363"/>
      <c r="Y226" s="363"/>
      <c r="Z226" s="363"/>
    </row>
    <row r="227" ht="15.75" hidden="1" customHeight="1">
      <c r="A227" s="401" t="s">
        <v>1835</v>
      </c>
      <c r="B227" s="796"/>
      <c r="C227" s="396" t="s">
        <v>2529</v>
      </c>
      <c r="D227" s="626" t="s">
        <v>701</v>
      </c>
      <c r="E227" s="405">
        <v>45652.0</v>
      </c>
      <c r="F227" s="405">
        <v>45652.0</v>
      </c>
      <c r="G227" s="405"/>
      <c r="H227" s="405"/>
      <c r="I227" s="383">
        <f>IF(ISBLANK(H227), NETWORKDAYS(F227, TODAY(),Hoja2!$A$1:$A$18), NETWORKDAYS(F227, H227, Hoja2!$A$1:$A$18))</f>
        <v>256</v>
      </c>
      <c r="J227" s="405">
        <v>45664.0</v>
      </c>
      <c r="K227" s="405"/>
      <c r="L227" s="722" t="s">
        <v>2530</v>
      </c>
      <c r="M227" s="597"/>
      <c r="N227" s="363"/>
      <c r="O227" s="363"/>
      <c r="P227" s="363"/>
      <c r="Q227" s="363"/>
      <c r="R227" s="363"/>
      <c r="S227" s="363"/>
      <c r="T227" s="363"/>
      <c r="U227" s="363"/>
      <c r="V227" s="363"/>
      <c r="W227" s="363"/>
      <c r="X227" s="363"/>
      <c r="Y227" s="363"/>
      <c r="Z227" s="363"/>
    </row>
    <row r="228" ht="15.75" customHeight="1">
      <c r="A228" s="386" t="s">
        <v>2082</v>
      </c>
      <c r="B228" s="386" t="s">
        <v>2422</v>
      </c>
      <c r="C228" s="407" t="s">
        <v>2531</v>
      </c>
      <c r="D228" s="626" t="s">
        <v>2203</v>
      </c>
      <c r="E228" s="405">
        <v>45678.0</v>
      </c>
      <c r="F228" s="405">
        <v>45678.0</v>
      </c>
      <c r="G228" s="405"/>
      <c r="H228" s="405">
        <v>45678.0</v>
      </c>
      <c r="I228" s="797">
        <f>IF(ISBLANK(H228), NETWORKDAYS(F228, TODAY(),Hoja2!$A$1:$A$18), NETWORKDAYS(F228, H228, Hoja2!$A$1:$A$18))</f>
        <v>1</v>
      </c>
      <c r="J228" s="381">
        <v>45678.0</v>
      </c>
      <c r="K228" s="644">
        <v>45692.0</v>
      </c>
      <c r="L228" s="759" t="s">
        <v>2532</v>
      </c>
    </row>
    <row r="229" ht="15.75" customHeight="1">
      <c r="A229" s="386" t="s">
        <v>2082</v>
      </c>
      <c r="B229" s="379" t="s">
        <v>2533</v>
      </c>
      <c r="C229" s="404"/>
      <c r="D229" s="626" t="s">
        <v>11</v>
      </c>
      <c r="E229" s="405">
        <v>45687.0</v>
      </c>
      <c r="F229" s="405">
        <v>45688.0</v>
      </c>
      <c r="G229" s="405"/>
      <c r="H229" s="405">
        <v>45688.0</v>
      </c>
      <c r="I229" s="383">
        <f>IF(ISBLANK(H229), NETWORKDAYS(F229, TODAY(),Hoja2!$A$1:$A$18), NETWORKDAYS(F229, H229, Hoja2!$A$1:$A$18))</f>
        <v>1</v>
      </c>
      <c r="J229" s="405"/>
      <c r="K229" s="405"/>
      <c r="L229" s="627" t="s">
        <v>2534</v>
      </c>
      <c r="M229" s="597"/>
      <c r="N229" s="363"/>
      <c r="O229" s="363"/>
      <c r="P229" s="363"/>
      <c r="Q229" s="363"/>
      <c r="R229" s="363"/>
      <c r="S229" s="363"/>
      <c r="T229" s="363"/>
      <c r="U229" s="363"/>
      <c r="V229" s="363"/>
      <c r="W229" s="363"/>
      <c r="X229" s="363"/>
      <c r="Y229" s="363"/>
      <c r="Z229" s="363"/>
    </row>
    <row r="230" ht="15.75" customHeight="1">
      <c r="A230" s="401" t="s">
        <v>1835</v>
      </c>
      <c r="B230" s="628" t="s">
        <v>2535</v>
      </c>
      <c r="C230" s="403"/>
      <c r="D230" s="626" t="s">
        <v>75</v>
      </c>
      <c r="E230" s="405">
        <v>45692.0</v>
      </c>
      <c r="F230" s="406">
        <v>45693.0</v>
      </c>
      <c r="G230" s="771"/>
      <c r="H230" s="406">
        <v>45693.0</v>
      </c>
      <c r="I230" s="383">
        <f>IF(ISBLANK(H230), NETWORKDAYS(F230, TODAY(),Hoja2!$A$1:$A$18), NETWORKDAYS(F230, H230, Hoja2!$A$1:$A$18))</f>
        <v>1</v>
      </c>
      <c r="J230" s="403"/>
      <c r="K230" s="631"/>
      <c r="L230" s="591" t="s">
        <v>2536</v>
      </c>
      <c r="M230" s="408"/>
      <c r="N230" s="408"/>
      <c r="O230" s="408"/>
      <c r="P230" s="408"/>
      <c r="Q230" s="408"/>
      <c r="R230" s="408"/>
      <c r="S230" s="408"/>
      <c r="T230" s="408"/>
      <c r="U230" s="408"/>
      <c r="V230" s="408"/>
      <c r="W230" s="408"/>
      <c r="X230" s="408"/>
      <c r="Y230" s="408"/>
      <c r="Z230" s="408"/>
    </row>
    <row r="231" ht="15.75" customHeight="1">
      <c r="A231" s="386" t="s">
        <v>2082</v>
      </c>
      <c r="B231" s="379" t="s">
        <v>2537</v>
      </c>
      <c r="C231" s="404"/>
      <c r="D231" s="626" t="s">
        <v>75</v>
      </c>
      <c r="E231" s="405">
        <v>45692.0</v>
      </c>
      <c r="F231" s="405">
        <v>45693.0</v>
      </c>
      <c r="G231" s="405"/>
      <c r="H231" s="405">
        <v>45693.0</v>
      </c>
      <c r="I231" s="383">
        <f>IF(ISBLANK(H231), NETWORKDAYS(F231, TODAY(),Hoja2!$A$1:$A$18), NETWORKDAYS(F231, H231, Hoja2!$A$1:$A$18))</f>
        <v>1</v>
      </c>
      <c r="J231" s="405"/>
      <c r="K231" s="405">
        <v>45693.0</v>
      </c>
      <c r="L231" s="722" t="s">
        <v>2538</v>
      </c>
      <c r="M231" s="597"/>
      <c r="N231" s="363"/>
      <c r="O231" s="363"/>
      <c r="P231" s="363"/>
      <c r="Q231" s="363"/>
      <c r="R231" s="363"/>
      <c r="S231" s="363"/>
      <c r="T231" s="363"/>
      <c r="U231" s="363"/>
      <c r="V231" s="363"/>
      <c r="W231" s="363"/>
      <c r="X231" s="363"/>
      <c r="Y231" s="363"/>
      <c r="Z231" s="363"/>
    </row>
    <row r="232" ht="15.75" customHeight="1">
      <c r="A232" s="386" t="s">
        <v>2082</v>
      </c>
      <c r="B232" s="379" t="s">
        <v>2539</v>
      </c>
      <c r="C232" s="404"/>
      <c r="D232" s="626" t="s">
        <v>75</v>
      </c>
      <c r="E232" s="405">
        <v>45692.0</v>
      </c>
      <c r="F232" s="405">
        <v>45693.0</v>
      </c>
      <c r="G232" s="405"/>
      <c r="H232" s="405">
        <v>45693.0</v>
      </c>
      <c r="I232" s="383">
        <f>IF(ISBLANK(H232), NETWORKDAYS(F232, TODAY(),Hoja2!$A$1:$A$18), NETWORKDAYS(F232, H232, Hoja2!$A$1:$A$18))</f>
        <v>1</v>
      </c>
      <c r="J232" s="405"/>
      <c r="K232" s="405">
        <v>45693.0</v>
      </c>
      <c r="L232" s="722" t="s">
        <v>2538</v>
      </c>
      <c r="M232" s="597"/>
      <c r="N232" s="363"/>
      <c r="O232" s="363"/>
      <c r="P232" s="363"/>
      <c r="Q232" s="363"/>
      <c r="R232" s="363"/>
      <c r="S232" s="363"/>
      <c r="T232" s="363"/>
      <c r="U232" s="363"/>
      <c r="V232" s="363"/>
      <c r="W232" s="363"/>
      <c r="X232" s="363"/>
      <c r="Y232" s="363"/>
      <c r="Z232" s="363"/>
    </row>
    <row r="233" ht="15.75" customHeight="1">
      <c r="A233" s="401" t="s">
        <v>1835</v>
      </c>
      <c r="B233" s="628" t="s">
        <v>2540</v>
      </c>
      <c r="C233" s="759" t="s">
        <v>2541</v>
      </c>
      <c r="D233" s="380" t="s">
        <v>75</v>
      </c>
      <c r="E233" s="405">
        <v>45698.0</v>
      </c>
      <c r="F233" s="405">
        <v>45698.0</v>
      </c>
      <c r="G233" s="381"/>
      <c r="H233" s="626"/>
      <c r="I233" s="383">
        <f>IF(ISBLANK(H233), NETWORKDAYS(F233, TODAY(),Hoja2!$A$1:$A$18), NETWORKDAYS(F233, H233, Hoja2!$A$1:$A$18))</f>
        <v>224</v>
      </c>
      <c r="J233" s="403"/>
      <c r="K233" s="771"/>
      <c r="L233" s="798"/>
      <c r="M233" s="408"/>
      <c r="N233" s="408"/>
      <c r="O233" s="408"/>
      <c r="P233" s="408"/>
      <c r="Q233" s="408"/>
      <c r="R233" s="408"/>
      <c r="S233" s="408"/>
      <c r="T233" s="408"/>
      <c r="U233" s="408"/>
      <c r="V233" s="408"/>
      <c r="W233" s="408"/>
      <c r="X233" s="408"/>
      <c r="Y233" s="408"/>
      <c r="Z233" s="408"/>
    </row>
    <row r="234" ht="15.75" customHeight="1">
      <c r="A234" s="401" t="s">
        <v>1835</v>
      </c>
      <c r="B234" s="628" t="s">
        <v>2540</v>
      </c>
      <c r="C234" s="799" t="s">
        <v>2542</v>
      </c>
      <c r="D234" s="380" t="s">
        <v>75</v>
      </c>
      <c r="E234" s="405">
        <v>45698.0</v>
      </c>
      <c r="F234" s="405">
        <v>45698.0</v>
      </c>
      <c r="G234" s="381"/>
      <c r="H234" s="405">
        <v>45699.0</v>
      </c>
      <c r="I234" s="383">
        <f>IF(ISBLANK(H234), NETWORKDAYS(F234, TODAY(),Hoja2!$A$1:$A$18), NETWORKDAYS(F234, H234, Hoja2!$A$1:$A$18))</f>
        <v>2</v>
      </c>
      <c r="J234" s="403"/>
      <c r="K234" s="771"/>
      <c r="L234" s="798"/>
      <c r="M234" s="408"/>
      <c r="N234" s="408"/>
      <c r="O234" s="408"/>
      <c r="P234" s="408"/>
      <c r="Q234" s="408"/>
      <c r="R234" s="408"/>
      <c r="S234" s="408"/>
      <c r="T234" s="408"/>
      <c r="U234" s="408"/>
      <c r="V234" s="408"/>
      <c r="W234" s="408"/>
      <c r="X234" s="408"/>
      <c r="Y234" s="408"/>
      <c r="Z234" s="408"/>
    </row>
    <row r="235" ht="15.75" customHeight="1">
      <c r="A235" s="600" t="s">
        <v>1810</v>
      </c>
      <c r="B235" s="800" t="s">
        <v>2543</v>
      </c>
      <c r="C235" s="801" t="s">
        <v>2544</v>
      </c>
      <c r="D235" s="584" t="s">
        <v>2203</v>
      </c>
      <c r="E235" s="585">
        <v>45684.0</v>
      </c>
      <c r="F235" s="585">
        <v>45684.0</v>
      </c>
      <c r="G235" s="585"/>
      <c r="H235" s="585">
        <v>45700.0</v>
      </c>
      <c r="I235" s="606">
        <f>IF(ISBLANK(H235), NETWORKDAYS(F235, TODAY(),Hoja2!$A$1:$A$18), NETWORKDAYS(F235, H235, Hoja2!$A$1:$A$18))</f>
        <v>13</v>
      </c>
      <c r="J235" s="585"/>
      <c r="K235" s="585">
        <v>45700.0</v>
      </c>
      <c r="L235" s="588" t="s">
        <v>2545</v>
      </c>
      <c r="M235" s="363"/>
      <c r="N235" s="363"/>
      <c r="O235" s="363"/>
      <c r="P235" s="363"/>
      <c r="Q235" s="363"/>
      <c r="R235" s="363"/>
      <c r="S235" s="363"/>
      <c r="T235" s="363"/>
      <c r="U235" s="363"/>
      <c r="V235" s="363"/>
      <c r="W235" s="363"/>
      <c r="X235" s="363"/>
      <c r="Y235" s="363"/>
      <c r="Z235" s="363"/>
    </row>
    <row r="236" ht="15.75" customHeight="1">
      <c r="A236" s="401" t="s">
        <v>1835</v>
      </c>
      <c r="B236" s="628" t="s">
        <v>2546</v>
      </c>
      <c r="C236" s="403"/>
      <c r="D236" s="626" t="s">
        <v>75</v>
      </c>
      <c r="E236" s="405">
        <v>45700.0</v>
      </c>
      <c r="F236" s="405">
        <v>45700.0</v>
      </c>
      <c r="G236" s="381"/>
      <c r="H236" s="405">
        <v>45700.0</v>
      </c>
      <c r="I236" s="383">
        <f>IF(ISBLANK(H236), NETWORKDAYS(F236, TODAY(),Hoja2!$A$1:$A$18), NETWORKDAYS(F236, H236, Hoja2!$A$1:$A$18))</f>
        <v>1</v>
      </c>
      <c r="J236" s="403"/>
      <c r="K236" s="403"/>
      <c r="L236" s="722"/>
      <c r="M236" s="408"/>
      <c r="N236" s="408"/>
      <c r="O236" s="408"/>
      <c r="P236" s="408"/>
      <c r="Q236" s="408"/>
      <c r="R236" s="408"/>
      <c r="S236" s="408"/>
      <c r="T236" s="408"/>
      <c r="U236" s="408"/>
      <c r="V236" s="408"/>
      <c r="W236" s="408"/>
      <c r="X236" s="408"/>
      <c r="Y236" s="408"/>
      <c r="Z236" s="408"/>
    </row>
    <row r="237" ht="15.75" customHeight="1">
      <c r="A237" s="401" t="s">
        <v>1835</v>
      </c>
      <c r="B237" s="802" t="s">
        <v>2547</v>
      </c>
      <c r="C237" s="590" t="s">
        <v>1837</v>
      </c>
      <c r="D237" s="626" t="s">
        <v>2548</v>
      </c>
      <c r="E237" s="405">
        <v>45665.0</v>
      </c>
      <c r="F237" s="405">
        <v>45665.0</v>
      </c>
      <c r="G237" s="405">
        <v>45667.0</v>
      </c>
      <c r="H237" s="405">
        <v>45670.0</v>
      </c>
      <c r="I237" s="383">
        <f>IF(ISBLANK(H237), NETWORKDAYS(F237, TODAY(),Hoja2!$A$1:$A$18), NETWORKDAYS(F237, H237, Hoja2!$A$1:$A$18))</f>
        <v>4</v>
      </c>
      <c r="J237" s="405"/>
      <c r="K237" s="405"/>
      <c r="L237" s="722"/>
      <c r="M237" s="597"/>
      <c r="N237" s="363"/>
      <c r="O237" s="363"/>
      <c r="P237" s="363"/>
      <c r="Q237" s="363"/>
      <c r="R237" s="363"/>
      <c r="S237" s="363"/>
      <c r="T237" s="363"/>
      <c r="U237" s="363"/>
      <c r="V237" s="363"/>
      <c r="W237" s="363"/>
      <c r="X237" s="363"/>
      <c r="Y237" s="363"/>
      <c r="Z237" s="363"/>
    </row>
    <row r="238" ht="15.75" customHeight="1">
      <c r="A238" s="401" t="s">
        <v>1835</v>
      </c>
      <c r="B238" s="803"/>
      <c r="C238" s="590" t="s">
        <v>2549</v>
      </c>
      <c r="D238" s="380" t="s">
        <v>2203</v>
      </c>
      <c r="E238" s="405">
        <v>45665.0</v>
      </c>
      <c r="F238" s="405">
        <v>45666.0</v>
      </c>
      <c r="G238" s="405"/>
      <c r="H238" s="405">
        <v>45670.0</v>
      </c>
      <c r="I238" s="383">
        <f>IF(ISBLANK(H238), NETWORKDAYS(F238, TODAY(),Hoja2!$A$1:$A$18), NETWORKDAYS(F238, H238, Hoja2!$A$1:$A$18))</f>
        <v>3</v>
      </c>
      <c r="J238" s="405">
        <v>45670.0</v>
      </c>
      <c r="K238" s="405"/>
      <c r="L238" s="722" t="s">
        <v>2550</v>
      </c>
      <c r="M238" s="597"/>
      <c r="N238" s="363"/>
      <c r="O238" s="363"/>
      <c r="P238" s="363"/>
      <c r="Q238" s="363"/>
      <c r="R238" s="363"/>
      <c r="S238" s="363"/>
      <c r="T238" s="363"/>
      <c r="U238" s="363"/>
      <c r="V238" s="363"/>
      <c r="W238" s="363"/>
      <c r="X238" s="363"/>
      <c r="Y238" s="363"/>
      <c r="Z238" s="363"/>
    </row>
    <row r="239" ht="15.75" customHeight="1">
      <c r="A239" s="386" t="s">
        <v>1825</v>
      </c>
      <c r="B239" s="386" t="s">
        <v>2551</v>
      </c>
      <c r="C239" s="386" t="s">
        <v>2552</v>
      </c>
      <c r="D239" s="380" t="s">
        <v>75</v>
      </c>
      <c r="E239" s="405">
        <v>45692.0</v>
      </c>
      <c r="F239" s="387">
        <v>45701.0</v>
      </c>
      <c r="G239" s="380"/>
      <c r="H239" s="387">
        <v>45701.0</v>
      </c>
      <c r="I239" s="383">
        <f>IF(ISBLANK(H239), NETWORKDAYS(F239, TODAY(),Hoja2!$A$1:$A$18), NETWORKDAYS(F239, H239, Hoja2!$A$1:$A$18))</f>
        <v>1</v>
      </c>
      <c r="J239" s="401"/>
      <c r="K239" s="401"/>
      <c r="L239" s="804" t="s">
        <v>2553</v>
      </c>
      <c r="M239" s="597"/>
      <c r="N239" s="363"/>
      <c r="O239" s="363"/>
      <c r="P239" s="363"/>
      <c r="Q239" s="363"/>
      <c r="R239" s="363"/>
      <c r="S239" s="363"/>
      <c r="T239" s="363"/>
      <c r="U239" s="363"/>
      <c r="V239" s="363"/>
      <c r="W239" s="363"/>
      <c r="X239" s="363"/>
      <c r="Y239" s="363"/>
      <c r="Z239" s="363"/>
    </row>
    <row r="240" ht="15.75" customHeight="1">
      <c r="A240" s="599" t="s">
        <v>2082</v>
      </c>
      <c r="B240" s="608"/>
      <c r="C240" s="741" t="s">
        <v>2554</v>
      </c>
      <c r="D240" s="604" t="s">
        <v>75</v>
      </c>
      <c r="E240" s="673">
        <v>45588.0</v>
      </c>
      <c r="F240" s="605">
        <v>45631.0</v>
      </c>
      <c r="G240" s="605"/>
      <c r="H240" s="605">
        <v>45631.0</v>
      </c>
      <c r="I240" s="606">
        <f>IF(ISBLANK(H240), NETWORKDAYS(F240, TODAY(),Hoja2!$A$1:$A$18), NETWORKDAYS(F240, H240, Hoja2!$A$1:$A$18))</f>
        <v>1</v>
      </c>
      <c r="J240" s="605">
        <v>45631.0</v>
      </c>
      <c r="K240" s="605">
        <v>45631.0</v>
      </c>
      <c r="L240" s="633" t="s">
        <v>2555</v>
      </c>
      <c r="M240" s="632"/>
      <c r="N240" s="369"/>
      <c r="O240" s="369"/>
      <c r="P240" s="369"/>
      <c r="Q240" s="369"/>
      <c r="R240" s="369"/>
      <c r="S240" s="369"/>
      <c r="T240" s="369"/>
      <c r="U240" s="369"/>
      <c r="V240" s="369"/>
      <c r="W240" s="369"/>
      <c r="X240" s="369"/>
      <c r="Y240" s="369"/>
      <c r="Z240" s="369"/>
    </row>
    <row r="241" ht="15.75" customHeight="1">
      <c r="A241" s="599" t="s">
        <v>2082</v>
      </c>
      <c r="B241" s="608"/>
      <c r="C241" s="741" t="s">
        <v>2556</v>
      </c>
      <c r="D241" s="604" t="s">
        <v>75</v>
      </c>
      <c r="E241" s="673">
        <v>45643.0</v>
      </c>
      <c r="F241" s="605"/>
      <c r="G241" s="605"/>
      <c r="H241" s="605"/>
      <c r="I241" s="606">
        <f>IF(ISBLANK(H241), NETWORKDAYS(F241, TODAY(),Hoja2!$A$1:$A$18), NETWORKDAYS(F241, H241, Hoja2!$A$1:$A$18))</f>
        <v>32848</v>
      </c>
      <c r="J241" s="605"/>
      <c r="K241" s="605"/>
      <c r="L241" s="746" t="s">
        <v>2557</v>
      </c>
      <c r="M241" s="632"/>
      <c r="N241" s="369"/>
      <c r="O241" s="369"/>
      <c r="P241" s="369"/>
      <c r="Q241" s="369"/>
      <c r="R241" s="369"/>
      <c r="S241" s="369"/>
      <c r="T241" s="369"/>
      <c r="U241" s="369"/>
      <c r="V241" s="369"/>
      <c r="W241" s="369"/>
      <c r="X241" s="369"/>
      <c r="Y241" s="369"/>
      <c r="Z241" s="369"/>
    </row>
    <row r="242" ht="15.75" hidden="1" customHeight="1">
      <c r="D242" s="805"/>
    </row>
    <row r="243" ht="15.75" hidden="1" customHeight="1">
      <c r="A243" s="377" t="s">
        <v>1817</v>
      </c>
      <c r="B243" s="720" t="s">
        <v>2558</v>
      </c>
      <c r="C243" s="625"/>
      <c r="D243" s="626" t="s">
        <v>214</v>
      </c>
      <c r="E243" s="405">
        <v>45686.0</v>
      </c>
      <c r="F243" s="405">
        <v>45686.0</v>
      </c>
      <c r="G243" s="405"/>
      <c r="H243" s="405"/>
      <c r="I243" s="383">
        <f>IF(ISBLANK(H243), NETWORKDAYS(F243, TODAY(),Hoja2!$A$1:$A$18), NETWORKDAYS(F243, H243, Hoja2!$A$1:$A$18))</f>
        <v>232</v>
      </c>
      <c r="J243" s="405"/>
      <c r="K243" s="405"/>
      <c r="L243" s="627" t="s">
        <v>2559</v>
      </c>
    </row>
    <row r="244" ht="15.75" hidden="1" customHeight="1">
      <c r="A244" s="377" t="s">
        <v>1817</v>
      </c>
      <c r="B244" s="720" t="s">
        <v>2560</v>
      </c>
      <c r="C244" s="625"/>
      <c r="D244" s="626" t="s">
        <v>701</v>
      </c>
      <c r="E244" s="405">
        <v>45593.0</v>
      </c>
      <c r="F244" s="405">
        <v>45593.0</v>
      </c>
      <c r="G244" s="405">
        <v>45596.0</v>
      </c>
      <c r="H244" s="405">
        <v>45601.0</v>
      </c>
      <c r="I244" s="383">
        <f>IF(ISBLANK(H244), NETWORKDAYS(F244, TODAY(),Hoja2!$A$1:$A$18), NETWORKDAYS(F244, H244, Hoja2!$A$1:$A$18))</f>
        <v>6</v>
      </c>
      <c r="J244" s="405">
        <v>45660.0</v>
      </c>
      <c r="K244" s="405"/>
      <c r="L244" s="627" t="s">
        <v>2561</v>
      </c>
      <c r="M244" s="363"/>
      <c r="N244" s="363"/>
      <c r="O244" s="363"/>
      <c r="P244" s="363"/>
      <c r="Q244" s="363"/>
      <c r="R244" s="363"/>
      <c r="S244" s="363"/>
      <c r="T244" s="363"/>
      <c r="U244" s="363"/>
      <c r="V244" s="363"/>
      <c r="W244" s="363"/>
      <c r="X244" s="363"/>
      <c r="Y244" s="363"/>
      <c r="Z244" s="363"/>
    </row>
    <row r="245" ht="15.75" hidden="1" customHeight="1">
      <c r="A245" s="386" t="s">
        <v>1817</v>
      </c>
      <c r="B245" s="802" t="s">
        <v>2562</v>
      </c>
      <c r="C245" s="625" t="s">
        <v>2563</v>
      </c>
      <c r="D245" s="626" t="s">
        <v>2564</v>
      </c>
      <c r="E245" s="405">
        <v>45615.0</v>
      </c>
      <c r="F245" s="405">
        <v>45615.0</v>
      </c>
      <c r="G245" s="405"/>
      <c r="H245" s="405">
        <v>45632.0</v>
      </c>
      <c r="I245" s="383">
        <f>IF(ISBLANK(H245), NETWORKDAYS(F245, TODAY(),Hoja2!$A$1:$A$18), NETWORKDAYS(F245, H245, Hoja2!$A$1:$A$18))</f>
        <v>14</v>
      </c>
      <c r="J245" s="405"/>
      <c r="K245" s="405"/>
      <c r="L245" s="627" t="s">
        <v>2565</v>
      </c>
      <c r="M245" s="363"/>
      <c r="N245" s="363"/>
      <c r="O245" s="363"/>
      <c r="P245" s="363"/>
      <c r="Q245" s="363"/>
      <c r="R245" s="363"/>
      <c r="S245" s="363"/>
      <c r="T245" s="363"/>
      <c r="U245" s="363"/>
      <c r="V245" s="363"/>
      <c r="W245" s="363"/>
      <c r="X245" s="363"/>
      <c r="Y245" s="363"/>
      <c r="Z245" s="363"/>
    </row>
    <row r="246" ht="15.75" hidden="1" customHeight="1">
      <c r="A246" s="386" t="s">
        <v>1817</v>
      </c>
      <c r="B246" s="803"/>
      <c r="C246" s="404" t="s">
        <v>2566</v>
      </c>
      <c r="D246" s="626" t="s">
        <v>75</v>
      </c>
      <c r="E246" s="405">
        <v>45636.0</v>
      </c>
      <c r="F246" s="405">
        <v>45637.0</v>
      </c>
      <c r="G246" s="405">
        <v>45638.0</v>
      </c>
      <c r="H246" s="405">
        <v>45642.0</v>
      </c>
      <c r="I246" s="383">
        <f>IF(ISBLANK(H246), NETWORKDAYS(F246, TODAY(),Hoja2!$A$1:$A$18), NETWORKDAYS(F246, H246, Hoja2!$A$1:$A$18))</f>
        <v>4</v>
      </c>
      <c r="J246" s="405"/>
      <c r="K246" s="405"/>
      <c r="L246" s="627" t="s">
        <v>2567</v>
      </c>
      <c r="M246" s="363"/>
      <c r="N246" s="363"/>
      <c r="O246" s="363"/>
      <c r="P246" s="363"/>
      <c r="Q246" s="363"/>
      <c r="R246" s="363"/>
      <c r="S246" s="363"/>
      <c r="T246" s="363"/>
      <c r="U246" s="363"/>
      <c r="V246" s="363"/>
      <c r="W246" s="363"/>
      <c r="X246" s="363"/>
      <c r="Y246" s="363"/>
      <c r="Z246" s="363"/>
    </row>
    <row r="247" ht="30.0" hidden="1" customHeight="1">
      <c r="A247" s="386" t="s">
        <v>1817</v>
      </c>
      <c r="B247" s="379" t="s">
        <v>2297</v>
      </c>
      <c r="C247" s="674" t="s">
        <v>2568</v>
      </c>
      <c r="D247" s="380" t="s">
        <v>237</v>
      </c>
      <c r="E247" s="405"/>
      <c r="F247" s="405"/>
      <c r="G247" s="405"/>
      <c r="H247" s="626">
        <v>0.0</v>
      </c>
      <c r="I247" s="383">
        <f>IF(ISBLANK(H247), NETWORKDAYS(F247, TODAY(),Hoja2!$A$1:$A$18), NETWORKDAYS(F247, H247, Hoja2!$A$1:$A$18))</f>
        <v>0</v>
      </c>
      <c r="J247" s="405"/>
      <c r="K247" s="405"/>
      <c r="L247" s="627"/>
      <c r="M247" s="363"/>
      <c r="N247" s="363"/>
      <c r="O247" s="363"/>
      <c r="P247" s="363"/>
      <c r="Q247" s="363"/>
      <c r="R247" s="363"/>
      <c r="S247" s="363"/>
      <c r="T247" s="363"/>
      <c r="U247" s="363"/>
      <c r="V247" s="363"/>
      <c r="W247" s="363"/>
      <c r="X247" s="363"/>
      <c r="Y247" s="363"/>
      <c r="Z247" s="363"/>
    </row>
    <row r="248" ht="15.75" hidden="1" customHeight="1">
      <c r="A248" s="806" t="s">
        <v>2569</v>
      </c>
      <c r="B248" s="583" t="s">
        <v>2570</v>
      </c>
      <c r="C248" s="663" t="s">
        <v>2571</v>
      </c>
      <c r="D248" s="584" t="s">
        <v>237</v>
      </c>
      <c r="E248" s="585"/>
      <c r="F248" s="585"/>
      <c r="G248" s="585"/>
      <c r="H248" s="584">
        <v>0.0</v>
      </c>
      <c r="I248" s="648">
        <f>IF(ISBLANK(H248), NETWORKDAYS(F248, TODAY(),Hoja2!$A$1:$A$18), NETWORKDAYS(F248, H248, Hoja2!$A$1:$A$18))</f>
        <v>0</v>
      </c>
      <c r="J248" s="585"/>
      <c r="K248" s="585"/>
      <c r="L248" s="588" t="s">
        <v>2572</v>
      </c>
      <c r="M248" s="597"/>
      <c r="N248" s="363"/>
      <c r="O248" s="363"/>
      <c r="P248" s="363"/>
      <c r="Q248" s="363"/>
      <c r="R248" s="363"/>
      <c r="S248" s="363"/>
      <c r="T248" s="363"/>
      <c r="U248" s="363"/>
      <c r="V248" s="363"/>
      <c r="W248" s="363"/>
      <c r="X248" s="363"/>
      <c r="Y248" s="363"/>
      <c r="Z248" s="363"/>
    </row>
    <row r="249" ht="15.75" customHeight="1">
      <c r="A249" s="596" t="s">
        <v>2082</v>
      </c>
      <c r="B249" s="590" t="s">
        <v>2573</v>
      </c>
      <c r="C249" s="580"/>
      <c r="D249" s="374" t="s">
        <v>75</v>
      </c>
      <c r="E249" s="373">
        <v>45664.0</v>
      </c>
      <c r="F249" s="373"/>
      <c r="G249" s="373"/>
      <c r="H249" s="373">
        <v>45674.0</v>
      </c>
      <c r="I249" s="375">
        <f>IF(ISBLANK(H249), NETWORKDAYS(F249, TODAY(),Hoja2!$A$1:$A$18), NETWORKDAYS(F249, H249, Hoja2!$A$1:$A$18))</f>
        <v>32609</v>
      </c>
      <c r="J249" s="373"/>
      <c r="K249" s="373"/>
      <c r="L249" s="376"/>
      <c r="M249" s="597"/>
      <c r="N249" s="363"/>
      <c r="O249" s="363"/>
      <c r="P249" s="363"/>
      <c r="Q249" s="363"/>
      <c r="R249" s="363"/>
      <c r="S249" s="363"/>
      <c r="T249" s="363"/>
      <c r="U249" s="363"/>
      <c r="V249" s="363"/>
      <c r="W249" s="363"/>
      <c r="X249" s="363"/>
      <c r="Y249" s="363"/>
      <c r="Z249" s="363"/>
    </row>
    <row r="250" ht="15.75" customHeight="1">
      <c r="A250" s="386" t="s">
        <v>1825</v>
      </c>
      <c r="B250" s="410" t="s">
        <v>2574</v>
      </c>
      <c r="C250" s="380" t="s">
        <v>2575</v>
      </c>
      <c r="D250" s="386" t="s">
        <v>75</v>
      </c>
      <c r="E250" s="405">
        <v>45664.0</v>
      </c>
      <c r="F250" s="405">
        <v>45667.0</v>
      </c>
      <c r="G250" s="405">
        <v>45670.0</v>
      </c>
      <c r="H250" s="405">
        <v>45670.0</v>
      </c>
      <c r="I250" s="383">
        <f>IF(ISBLANK(H250), NETWORKDAYS(F250, TODAY(),Hoja2!$A$1:$A$18), NETWORKDAYS(F250, H250, Hoja2!$A$1:$A$18))</f>
        <v>2</v>
      </c>
      <c r="J250" s="626"/>
      <c r="K250" s="626"/>
      <c r="L250" s="404" t="s">
        <v>2576</v>
      </c>
      <c r="M250" s="363"/>
      <c r="N250" s="363"/>
      <c r="O250" s="363"/>
      <c r="P250" s="363"/>
      <c r="Q250" s="363"/>
      <c r="R250" s="363"/>
      <c r="S250" s="363"/>
      <c r="T250" s="363"/>
      <c r="U250" s="363"/>
      <c r="V250" s="363"/>
      <c r="W250" s="363"/>
      <c r="X250" s="363"/>
      <c r="Y250" s="363"/>
      <c r="Z250" s="363"/>
    </row>
    <row r="251" ht="15.75" customHeight="1">
      <c r="A251" s="623" t="s">
        <v>1825</v>
      </c>
      <c r="B251" s="386" t="s">
        <v>2577</v>
      </c>
      <c r="C251" s="401"/>
      <c r="D251" s="727" t="s">
        <v>2203</v>
      </c>
      <c r="E251" s="387">
        <v>45665.0</v>
      </c>
      <c r="F251" s="387">
        <v>45670.0</v>
      </c>
      <c r="G251" s="405">
        <v>45325.0</v>
      </c>
      <c r="H251" s="387">
        <v>45672.0</v>
      </c>
      <c r="I251" s="383">
        <f>IF(ISBLANK(H251), NETWORKDAYS(F251, TODAY(),Hoja2!$A$1:$A$18), NETWORKDAYS(F251, H251, Hoja2!$A$1:$A$18))</f>
        <v>3</v>
      </c>
      <c r="J251" s="387">
        <v>45672.0</v>
      </c>
      <c r="K251" s="387">
        <v>45673.0</v>
      </c>
      <c r="L251" s="627" t="s">
        <v>2578</v>
      </c>
      <c r="M251" s="597"/>
      <c r="N251" s="363"/>
      <c r="O251" s="363"/>
      <c r="P251" s="363"/>
      <c r="Q251" s="363"/>
      <c r="R251" s="363"/>
      <c r="S251" s="363"/>
      <c r="T251" s="363"/>
      <c r="U251" s="363"/>
      <c r="V251" s="363"/>
      <c r="W251" s="363"/>
      <c r="X251" s="363"/>
      <c r="Y251" s="363"/>
      <c r="Z251" s="363"/>
    </row>
    <row r="252" ht="15.75" customHeight="1">
      <c r="A252" s="386" t="s">
        <v>2082</v>
      </c>
      <c r="B252" s="755" t="s">
        <v>2422</v>
      </c>
      <c r="C252" s="404" t="s">
        <v>2579</v>
      </c>
      <c r="D252" s="626" t="s">
        <v>75</v>
      </c>
      <c r="E252" s="405">
        <v>45693.0</v>
      </c>
      <c r="F252" s="405">
        <v>45693.0</v>
      </c>
      <c r="G252" s="405"/>
      <c r="H252" s="626"/>
      <c r="I252" s="383">
        <f>IF(ISBLANK(H252), NETWORKDAYS(F252, TODAY(),Hoja2!$A$1:$A$18), NETWORKDAYS(F252, H252, Hoja2!$A$1:$A$18))</f>
        <v>227</v>
      </c>
      <c r="J252" s="405"/>
      <c r="K252" s="405"/>
      <c r="L252" s="627" t="s">
        <v>2580</v>
      </c>
      <c r="M252" s="597"/>
      <c r="N252" s="363"/>
      <c r="O252" s="363"/>
      <c r="P252" s="363"/>
      <c r="Q252" s="363"/>
      <c r="R252" s="363"/>
      <c r="S252" s="363"/>
      <c r="T252" s="363"/>
      <c r="U252" s="363"/>
      <c r="V252" s="363"/>
      <c r="W252" s="363"/>
      <c r="X252" s="363"/>
      <c r="Y252" s="363"/>
      <c r="Z252" s="363"/>
    </row>
    <row r="253" ht="15.75" customHeight="1">
      <c r="A253" s="386" t="s">
        <v>1825</v>
      </c>
      <c r="B253" s="402" t="s">
        <v>2581</v>
      </c>
      <c r="C253" s="380" t="s">
        <v>2582</v>
      </c>
      <c r="D253" s="380" t="s">
        <v>75</v>
      </c>
      <c r="E253" s="405">
        <v>45636.0</v>
      </c>
      <c r="F253" s="405">
        <v>45637.0</v>
      </c>
      <c r="G253" s="626"/>
      <c r="H253" s="626"/>
      <c r="I253" s="383">
        <f>IF(ISBLANK(H253), NETWORKDAYS(F253, TODAY(),Hoja2!$A$1:$A$18), NETWORKDAYS(F253, H253, Hoja2!$A$1:$A$18))</f>
        <v>266</v>
      </c>
      <c r="J253" s="626"/>
      <c r="K253" s="626"/>
      <c r="L253" s="404" t="s">
        <v>2583</v>
      </c>
      <c r="M253" s="363"/>
      <c r="N253" s="363"/>
      <c r="O253" s="363"/>
      <c r="P253" s="363"/>
      <c r="Q253" s="363"/>
      <c r="R253" s="363"/>
      <c r="S253" s="363"/>
      <c r="T253" s="363"/>
      <c r="U253" s="363"/>
      <c r="V253" s="363"/>
      <c r="W253" s="363"/>
      <c r="X253" s="363"/>
      <c r="Y253" s="363"/>
      <c r="Z253" s="363"/>
    </row>
    <row r="254" ht="15.75" customHeight="1">
      <c r="A254" s="386" t="s">
        <v>1825</v>
      </c>
      <c r="B254" s="410"/>
      <c r="C254" s="380" t="s">
        <v>2584</v>
      </c>
      <c r="D254" s="386" t="s">
        <v>214</v>
      </c>
      <c r="E254" s="405">
        <v>45660.0</v>
      </c>
      <c r="F254" s="405">
        <v>45666.0</v>
      </c>
      <c r="G254" s="405">
        <v>45667.0</v>
      </c>
      <c r="H254" s="405">
        <v>45702.0</v>
      </c>
      <c r="I254" s="383">
        <f>IF(ISBLANK(H254), NETWORKDAYS(F254, TODAY(),Hoja2!$A$1:$A$18), NETWORKDAYS(F254, H254, Hoja2!$A$1:$A$18))</f>
        <v>27</v>
      </c>
      <c r="J254" s="626"/>
      <c r="K254" s="626"/>
      <c r="L254" s="404" t="s">
        <v>2585</v>
      </c>
      <c r="M254" s="363"/>
      <c r="N254" s="363"/>
      <c r="O254" s="363"/>
      <c r="P254" s="363"/>
      <c r="Q254" s="363"/>
      <c r="R254" s="363"/>
      <c r="S254" s="363"/>
      <c r="T254" s="363"/>
      <c r="U254" s="363"/>
      <c r="V254" s="363"/>
      <c r="W254" s="363"/>
      <c r="X254" s="363"/>
      <c r="Y254" s="363"/>
      <c r="Z254" s="363"/>
    </row>
    <row r="255" ht="15.75" customHeight="1">
      <c r="A255" s="779" t="s">
        <v>1810</v>
      </c>
      <c r="B255" s="807" t="s">
        <v>2586</v>
      </c>
      <c r="C255" s="636"/>
      <c r="D255" s="618" t="s">
        <v>2158</v>
      </c>
      <c r="E255" s="642">
        <v>45678.0</v>
      </c>
      <c r="F255" s="642">
        <v>45680.0</v>
      </c>
      <c r="G255" s="642"/>
      <c r="H255" s="642">
        <v>45680.0</v>
      </c>
      <c r="I255" s="587">
        <f>IF(ISBLANK(H255), NETWORKDAYS(F255, TODAY(),Hoja2!$A$1:$A$18), NETWORKDAYS(F255, H255, Hoja2!$A$1:$A$18))</f>
        <v>1</v>
      </c>
      <c r="J255" s="642">
        <v>45686.0</v>
      </c>
      <c r="K255" s="642">
        <v>45706.0</v>
      </c>
      <c r="L255" s="643" t="s">
        <v>2587</v>
      </c>
      <c r="M255" s="363"/>
      <c r="N255" s="363"/>
      <c r="O255" s="363"/>
      <c r="P255" s="363"/>
      <c r="Q255" s="363"/>
      <c r="R255" s="363"/>
      <c r="S255" s="363"/>
      <c r="T255" s="363"/>
      <c r="U255" s="363"/>
      <c r="V255" s="363"/>
      <c r="W255" s="363"/>
      <c r="X255" s="363"/>
      <c r="Y255" s="363"/>
      <c r="Z255" s="363"/>
    </row>
    <row r="256" ht="15.75" customHeight="1">
      <c r="A256" s="386" t="s">
        <v>2082</v>
      </c>
      <c r="B256" s="379" t="s">
        <v>2588</v>
      </c>
      <c r="C256" s="404"/>
      <c r="D256" s="626" t="s">
        <v>75</v>
      </c>
      <c r="E256" s="405">
        <v>45707.0</v>
      </c>
      <c r="F256" s="405">
        <v>45707.0</v>
      </c>
      <c r="G256" s="405"/>
      <c r="H256" s="405">
        <v>45708.0</v>
      </c>
      <c r="I256" s="383">
        <f>IF(ISBLANK(H256), NETWORKDAYS(F256, TODAY(),Hoja2!$A$1:$A$18), NETWORKDAYS(F256, H256, Hoja2!$A$1:$A$18))</f>
        <v>2</v>
      </c>
      <c r="J256" s="405"/>
      <c r="K256" s="405">
        <v>45708.0</v>
      </c>
      <c r="L256" s="627" t="s">
        <v>2589</v>
      </c>
      <c r="M256" s="597"/>
      <c r="N256" s="363"/>
      <c r="O256" s="363"/>
      <c r="P256" s="363"/>
      <c r="Q256" s="363"/>
      <c r="R256" s="363"/>
      <c r="S256" s="363"/>
      <c r="T256" s="363"/>
      <c r="U256" s="363"/>
      <c r="V256" s="363"/>
      <c r="W256" s="363"/>
      <c r="X256" s="363"/>
      <c r="Y256" s="363"/>
      <c r="Z256" s="363"/>
    </row>
    <row r="257" ht="15.75" customHeight="1">
      <c r="A257" s="386" t="s">
        <v>2082</v>
      </c>
      <c r="B257" s="379" t="s">
        <v>2590</v>
      </c>
      <c r="C257" s="404"/>
      <c r="D257" s="626" t="s">
        <v>75</v>
      </c>
      <c r="E257" s="405">
        <v>45707.0</v>
      </c>
      <c r="F257" s="405">
        <v>45707.0</v>
      </c>
      <c r="G257" s="405"/>
      <c r="H257" s="405">
        <v>45708.0</v>
      </c>
      <c r="I257" s="383">
        <f>IF(ISBLANK(H257), NETWORKDAYS(F257, TODAY(),Hoja2!$A$1:$A$18), NETWORKDAYS(F257, H257, Hoja2!$A$1:$A$18))</f>
        <v>2</v>
      </c>
      <c r="J257" s="405"/>
      <c r="K257" s="405">
        <v>45708.0</v>
      </c>
      <c r="L257" s="722" t="s">
        <v>2591</v>
      </c>
      <c r="M257" s="597"/>
      <c r="N257" s="363"/>
      <c r="O257" s="363"/>
      <c r="P257" s="363"/>
      <c r="Q257" s="363"/>
      <c r="R257" s="363"/>
      <c r="S257" s="363"/>
      <c r="T257" s="363"/>
      <c r="U257" s="363"/>
      <c r="V257" s="363"/>
      <c r="W257" s="363"/>
      <c r="X257" s="363"/>
      <c r="Y257" s="363"/>
      <c r="Z257" s="363"/>
    </row>
    <row r="258" ht="15.75" customHeight="1">
      <c r="A258" s="386" t="s">
        <v>2082</v>
      </c>
      <c r="B258" s="379" t="s">
        <v>2592</v>
      </c>
      <c r="C258" s="404"/>
      <c r="D258" s="626" t="s">
        <v>75</v>
      </c>
      <c r="E258" s="405">
        <v>45707.0</v>
      </c>
      <c r="F258" s="405">
        <v>45707.0</v>
      </c>
      <c r="G258" s="405"/>
      <c r="H258" s="405">
        <v>45708.0</v>
      </c>
      <c r="I258" s="383">
        <f>IF(ISBLANK(H258), NETWORKDAYS(F258, TODAY(),Hoja2!$A$1:$A$18), NETWORKDAYS(F258, H258, Hoja2!$A$1:$A$18))</f>
        <v>2</v>
      </c>
      <c r="J258" s="405"/>
      <c r="K258" s="405"/>
      <c r="L258" s="722" t="s">
        <v>2593</v>
      </c>
      <c r="M258" s="597"/>
      <c r="N258" s="363"/>
      <c r="O258" s="363"/>
      <c r="P258" s="363"/>
      <c r="Q258" s="363"/>
      <c r="R258" s="363"/>
      <c r="S258" s="363"/>
      <c r="T258" s="363"/>
      <c r="U258" s="363"/>
      <c r="V258" s="363"/>
      <c r="W258" s="363"/>
      <c r="X258" s="363"/>
      <c r="Y258" s="363"/>
      <c r="Z258" s="363"/>
    </row>
    <row r="259" ht="15.75" customHeight="1">
      <c r="A259" s="401" t="s">
        <v>1810</v>
      </c>
      <c r="B259" s="628" t="s">
        <v>2594</v>
      </c>
      <c r="C259" s="625"/>
      <c r="D259" s="626" t="s">
        <v>75</v>
      </c>
      <c r="E259" s="405">
        <v>45706.0</v>
      </c>
      <c r="F259" s="405">
        <v>45706.0</v>
      </c>
      <c r="G259" s="405"/>
      <c r="H259" s="405">
        <v>45707.0</v>
      </c>
      <c r="I259" s="383">
        <f>IF(ISBLANK(H259), NETWORKDAYS(F259, TODAY(),Hoja2!$A$1:$A$18), NETWORKDAYS(F259, H259, Hoja2!$A$1:$A$18))</f>
        <v>2</v>
      </c>
      <c r="J259" s="405"/>
      <c r="K259" s="405">
        <v>45707.0</v>
      </c>
      <c r="L259" s="627" t="s">
        <v>2595</v>
      </c>
      <c r="M259" s="363"/>
      <c r="N259" s="363"/>
      <c r="O259" s="363"/>
      <c r="P259" s="363"/>
      <c r="Q259" s="363"/>
      <c r="R259" s="363"/>
      <c r="S259" s="363"/>
      <c r="T259" s="363"/>
      <c r="U259" s="363"/>
      <c r="V259" s="363"/>
      <c r="W259" s="363"/>
      <c r="X259" s="363"/>
      <c r="Y259" s="363"/>
      <c r="Z259" s="363"/>
    </row>
    <row r="260" ht="15.75" customHeight="1">
      <c r="A260" s="401" t="s">
        <v>1835</v>
      </c>
      <c r="B260" s="755" t="s">
        <v>2456</v>
      </c>
      <c r="C260" s="404" t="s">
        <v>2596</v>
      </c>
      <c r="D260" s="380" t="s">
        <v>75</v>
      </c>
      <c r="E260" s="405">
        <v>45597.0</v>
      </c>
      <c r="F260" s="405"/>
      <c r="G260" s="405"/>
      <c r="H260" s="626">
        <v>0.0</v>
      </c>
      <c r="I260" s="383">
        <f>IF(ISBLANK(H260), NETWORKDAYS(F260, TODAY(),Hoja2!$A$1:$A$18), NETWORKDAYS(F260, H260, Hoja2!$A$1:$A$18))</f>
        <v>0</v>
      </c>
      <c r="J260" s="405"/>
      <c r="K260" s="405"/>
      <c r="L260" s="627"/>
      <c r="M260" s="597"/>
      <c r="N260" s="363"/>
      <c r="O260" s="363"/>
      <c r="P260" s="363"/>
      <c r="Q260" s="363"/>
      <c r="R260" s="363"/>
      <c r="S260" s="363"/>
      <c r="T260" s="363"/>
      <c r="U260" s="363"/>
      <c r="V260" s="363"/>
      <c r="W260" s="363"/>
      <c r="X260" s="363"/>
      <c r="Y260" s="363"/>
      <c r="Z260" s="363"/>
    </row>
    <row r="261" ht="15.75" customHeight="1">
      <c r="A261" s="401" t="s">
        <v>1835</v>
      </c>
      <c r="B261" s="628" t="s">
        <v>2540</v>
      </c>
      <c r="C261" s="799" t="s">
        <v>2597</v>
      </c>
      <c r="D261" s="380" t="s">
        <v>2158</v>
      </c>
      <c r="E261" s="405">
        <v>45698.0</v>
      </c>
      <c r="F261" s="405">
        <v>45698.0</v>
      </c>
      <c r="G261" s="381"/>
      <c r="H261" s="626"/>
      <c r="I261" s="383">
        <f>IF(ISBLANK(H261), NETWORKDAYS(F261, TODAY(),Hoja2!$A$1:$A$18), NETWORKDAYS(F261, H261, Hoja2!$A$1:$A$18))</f>
        <v>224</v>
      </c>
      <c r="J261" s="403"/>
      <c r="K261" s="771">
        <v>45698.0</v>
      </c>
      <c r="L261" s="798" t="s">
        <v>2598</v>
      </c>
      <c r="M261" s="408"/>
      <c r="N261" s="408"/>
      <c r="O261" s="408"/>
      <c r="P261" s="408"/>
      <c r="Q261" s="408"/>
      <c r="R261" s="408"/>
      <c r="S261" s="408"/>
      <c r="T261" s="408"/>
      <c r="U261" s="408"/>
      <c r="V261" s="408"/>
      <c r="W261" s="408"/>
      <c r="X261" s="408"/>
      <c r="Y261" s="408"/>
      <c r="Z261" s="408"/>
    </row>
    <row r="262" ht="15.75" customHeight="1">
      <c r="A262" s="401" t="s">
        <v>1835</v>
      </c>
      <c r="B262" s="628" t="s">
        <v>2540</v>
      </c>
      <c r="C262" s="592" t="s">
        <v>2599</v>
      </c>
      <c r="D262" s="380" t="s">
        <v>75</v>
      </c>
      <c r="E262" s="405">
        <v>45707.0</v>
      </c>
      <c r="F262" s="405">
        <v>45708.0</v>
      </c>
      <c r="G262" s="381"/>
      <c r="H262" s="405">
        <v>45709.0</v>
      </c>
      <c r="I262" s="383">
        <f>IF(ISBLANK(H262), NETWORKDAYS(F262, TODAY(),Hoja2!$A$1:$A$18), NETWORKDAYS(F262, H262, Hoja2!$A$1:$A$18))</f>
        <v>2</v>
      </c>
      <c r="J262" s="403"/>
      <c r="K262" s="771"/>
      <c r="L262" s="798" t="s">
        <v>2600</v>
      </c>
      <c r="M262" s="408"/>
      <c r="N262" s="408"/>
      <c r="O262" s="408"/>
      <c r="P262" s="408"/>
      <c r="Q262" s="408"/>
      <c r="R262" s="408"/>
      <c r="S262" s="408"/>
      <c r="T262" s="408"/>
      <c r="U262" s="408"/>
      <c r="V262" s="408"/>
      <c r="W262" s="408"/>
      <c r="X262" s="408"/>
      <c r="Y262" s="408"/>
      <c r="Z262" s="408"/>
    </row>
    <row r="263" ht="15.75" customHeight="1">
      <c r="A263" s="401" t="s">
        <v>1835</v>
      </c>
      <c r="B263" s="628" t="s">
        <v>2540</v>
      </c>
      <c r="C263" s="808" t="s">
        <v>2601</v>
      </c>
      <c r="D263" s="380" t="s">
        <v>214</v>
      </c>
      <c r="E263" s="405">
        <v>45698.0</v>
      </c>
      <c r="F263" s="405">
        <v>45698.0</v>
      </c>
      <c r="G263" s="381"/>
      <c r="H263" s="626"/>
      <c r="I263" s="383">
        <f>IF(ISBLANK(H263), NETWORKDAYS(F263, TODAY(),Hoja2!$A$1:$A$18), NETWORKDAYS(F263, H263, Hoja2!$A$1:$A$18))</f>
        <v>224</v>
      </c>
      <c r="J263" s="403"/>
      <c r="K263" s="771"/>
      <c r="L263" s="760" t="s">
        <v>2602</v>
      </c>
      <c r="M263" s="408"/>
      <c r="N263" s="408"/>
      <c r="O263" s="408"/>
      <c r="P263" s="408"/>
      <c r="Q263" s="408"/>
      <c r="R263" s="408"/>
      <c r="S263" s="408"/>
      <c r="T263" s="408"/>
      <c r="U263" s="408"/>
      <c r="V263" s="408"/>
      <c r="W263" s="408"/>
      <c r="X263" s="408"/>
      <c r="Y263" s="408"/>
      <c r="Z263" s="408"/>
    </row>
    <row r="264" ht="15.75" customHeight="1">
      <c r="A264" s="401" t="s">
        <v>1835</v>
      </c>
      <c r="B264" s="628" t="s">
        <v>2540</v>
      </c>
      <c r="C264" s="759" t="s">
        <v>2603</v>
      </c>
      <c r="D264" s="380" t="s">
        <v>75</v>
      </c>
      <c r="E264" s="405">
        <v>45700.0</v>
      </c>
      <c r="F264" s="405">
        <v>45701.0</v>
      </c>
      <c r="G264" s="381"/>
      <c r="H264" s="626"/>
      <c r="I264" s="383">
        <f>IF(ISBLANK(H264), NETWORKDAYS(F264, TODAY(),Hoja2!$A$1:$A$18), NETWORKDAYS(F264, H264, Hoja2!$A$1:$A$18))</f>
        <v>221</v>
      </c>
      <c r="J264" s="403"/>
      <c r="K264" s="771"/>
      <c r="L264" s="760"/>
      <c r="M264" s="408"/>
      <c r="N264" s="408"/>
      <c r="O264" s="408"/>
      <c r="P264" s="408"/>
      <c r="Q264" s="408"/>
      <c r="R264" s="408"/>
      <c r="S264" s="408"/>
      <c r="T264" s="408"/>
      <c r="U264" s="408"/>
      <c r="V264" s="408"/>
      <c r="W264" s="408"/>
      <c r="X264" s="408"/>
      <c r="Y264" s="408"/>
      <c r="Z264" s="408"/>
    </row>
    <row r="265" ht="15.75" customHeight="1">
      <c r="A265" s="401" t="s">
        <v>1835</v>
      </c>
      <c r="B265" s="628" t="s">
        <v>2540</v>
      </c>
      <c r="C265" s="759" t="s">
        <v>2604</v>
      </c>
      <c r="D265" s="380" t="s">
        <v>75</v>
      </c>
      <c r="E265" s="405">
        <v>45701.0</v>
      </c>
      <c r="F265" s="405">
        <v>45701.0</v>
      </c>
      <c r="G265" s="381"/>
      <c r="H265" s="405">
        <v>45707.0</v>
      </c>
      <c r="I265" s="383">
        <f>IF(ISBLANK(H265), NETWORKDAYS(F265, TODAY(),Hoja2!$A$1:$A$18), NETWORKDAYS(F265, H265, Hoja2!$A$1:$A$18))</f>
        <v>5</v>
      </c>
      <c r="J265" s="403"/>
      <c r="K265" s="771"/>
      <c r="L265" s="760" t="s">
        <v>2605</v>
      </c>
      <c r="M265" s="408"/>
      <c r="N265" s="408"/>
      <c r="O265" s="408"/>
      <c r="P265" s="408"/>
      <c r="Q265" s="408"/>
      <c r="R265" s="408"/>
      <c r="S265" s="408"/>
      <c r="T265" s="408"/>
      <c r="U265" s="408"/>
      <c r="V265" s="408"/>
      <c r="W265" s="408"/>
      <c r="X265" s="408"/>
      <c r="Y265" s="408"/>
      <c r="Z265" s="408"/>
    </row>
    <row r="266" ht="15.75" customHeight="1">
      <c r="A266" s="401" t="s">
        <v>1835</v>
      </c>
      <c r="B266" s="628" t="s">
        <v>2540</v>
      </c>
      <c r="C266" s="759" t="s">
        <v>2606</v>
      </c>
      <c r="D266" s="380" t="s">
        <v>75</v>
      </c>
      <c r="E266" s="405">
        <v>45700.0</v>
      </c>
      <c r="F266" s="405"/>
      <c r="G266" s="381"/>
      <c r="H266" s="626"/>
      <c r="I266" s="383">
        <f>IF(ISBLANK(H266), NETWORKDAYS(F266, TODAY(),Hoja2!$A$1:$A$18), NETWORKDAYS(F266, H266, Hoja2!$A$1:$A$18))</f>
        <v>32848</v>
      </c>
      <c r="J266" s="403"/>
      <c r="K266" s="771"/>
      <c r="L266" s="760"/>
      <c r="M266" s="408"/>
      <c r="N266" s="408"/>
      <c r="O266" s="408"/>
      <c r="P266" s="408"/>
      <c r="Q266" s="408"/>
      <c r="R266" s="408"/>
      <c r="S266" s="408"/>
      <c r="T266" s="408"/>
      <c r="U266" s="408"/>
      <c r="V266" s="408"/>
      <c r="W266" s="408"/>
      <c r="X266" s="408"/>
      <c r="Y266" s="408"/>
      <c r="Z266" s="408"/>
    </row>
    <row r="267" ht="15.75" customHeight="1">
      <c r="A267" s="401" t="s">
        <v>1835</v>
      </c>
      <c r="B267" s="628" t="s">
        <v>2540</v>
      </c>
      <c r="C267" s="759" t="s">
        <v>2607</v>
      </c>
      <c r="D267" s="380" t="s">
        <v>75</v>
      </c>
      <c r="E267" s="405">
        <v>45699.0</v>
      </c>
      <c r="F267" s="405">
        <v>45700.0</v>
      </c>
      <c r="G267" s="381"/>
      <c r="H267" s="405">
        <v>45701.0</v>
      </c>
      <c r="I267" s="383">
        <f>IF(ISBLANK(H267), NETWORKDAYS(F267, TODAY(),Hoja2!$A$1:$A$18), NETWORKDAYS(F267, H267, Hoja2!$A$1:$A$18))</f>
        <v>2</v>
      </c>
      <c r="J267" s="403"/>
      <c r="K267" s="771">
        <v>45701.0</v>
      </c>
      <c r="L267" s="760" t="s">
        <v>2608</v>
      </c>
      <c r="M267" s="408"/>
      <c r="N267" s="408"/>
      <c r="O267" s="408"/>
      <c r="P267" s="408"/>
      <c r="Q267" s="408"/>
      <c r="R267" s="408"/>
      <c r="S267" s="408"/>
      <c r="T267" s="408"/>
      <c r="U267" s="408"/>
      <c r="V267" s="408"/>
      <c r="W267" s="408"/>
      <c r="X267" s="408"/>
      <c r="Y267" s="408"/>
      <c r="Z267" s="408"/>
    </row>
    <row r="268" ht="15.75" customHeight="1">
      <c r="A268" s="401" t="s">
        <v>1835</v>
      </c>
      <c r="B268" s="628" t="s">
        <v>2540</v>
      </c>
      <c r="C268" s="759" t="s">
        <v>2609</v>
      </c>
      <c r="D268" s="380" t="s">
        <v>75</v>
      </c>
      <c r="E268" s="405">
        <v>45702.0</v>
      </c>
      <c r="F268" s="405">
        <v>45702.0</v>
      </c>
      <c r="G268" s="381"/>
      <c r="H268" s="405">
        <v>45702.0</v>
      </c>
      <c r="I268" s="383">
        <f>IF(ISBLANK(H268), NETWORKDAYS(F268, TODAY(),Hoja2!$A$1:$A$18), NETWORKDAYS(F268, H268, Hoja2!$A$1:$A$18))</f>
        <v>1</v>
      </c>
      <c r="J268" s="403"/>
      <c r="K268" s="405">
        <v>45702.0</v>
      </c>
      <c r="L268" s="760"/>
      <c r="M268" s="408"/>
      <c r="N268" s="408"/>
      <c r="O268" s="408"/>
      <c r="P268" s="408"/>
      <c r="Q268" s="408"/>
      <c r="R268" s="408"/>
      <c r="S268" s="408"/>
      <c r="T268" s="408"/>
      <c r="U268" s="408"/>
      <c r="V268" s="408"/>
      <c r="W268" s="408"/>
      <c r="X268" s="408"/>
      <c r="Y268" s="408"/>
      <c r="Z268" s="408"/>
    </row>
    <row r="269" ht="15.75" customHeight="1">
      <c r="A269" s="386" t="s">
        <v>1825</v>
      </c>
      <c r="B269" s="628" t="s">
        <v>2610</v>
      </c>
      <c r="C269" s="616"/>
      <c r="D269" s="401" t="s">
        <v>75</v>
      </c>
      <c r="E269" s="809">
        <v>45712.0</v>
      </c>
      <c r="F269" s="809">
        <v>45712.0</v>
      </c>
      <c r="G269" s="387"/>
      <c r="H269" s="809">
        <v>45712.0</v>
      </c>
      <c r="I269" s="383">
        <f>IF(ISBLANK(H269), NETWORKDAYS(F269, TODAY(),Hoja2!$A$1:$A$18), NETWORKDAYS(F269, H269, Hoja2!$A$1:$A$18))</f>
        <v>1</v>
      </c>
      <c r="J269" s="383"/>
      <c r="K269" s="401"/>
      <c r="L269" s="804" t="s">
        <v>2611</v>
      </c>
      <c r="M269" s="597"/>
      <c r="N269" s="363"/>
      <c r="O269" s="363"/>
      <c r="P269" s="363"/>
      <c r="Q269" s="363"/>
      <c r="R269" s="363"/>
      <c r="S269" s="363"/>
      <c r="T269" s="363"/>
      <c r="U269" s="363"/>
      <c r="V269" s="363"/>
      <c r="W269" s="363"/>
      <c r="X269" s="363"/>
      <c r="Y269" s="363"/>
      <c r="Z269" s="363"/>
    </row>
    <row r="270" ht="15.75" customHeight="1">
      <c r="A270" s="401" t="s">
        <v>1835</v>
      </c>
      <c r="B270" s="628" t="s">
        <v>2612</v>
      </c>
      <c r="C270" s="810"/>
      <c r="D270" s="626" t="s">
        <v>75</v>
      </c>
      <c r="E270" s="405">
        <v>45698.0</v>
      </c>
      <c r="F270" s="405">
        <v>45699.0</v>
      </c>
      <c r="G270" s="381"/>
      <c r="H270" s="405">
        <v>45713.0</v>
      </c>
      <c r="I270" s="383">
        <f>IF(ISBLANK(H270), NETWORKDAYS(F270, TODAY(),Hoja2!$A$1:$A$18), NETWORKDAYS(F270, H270, Hoja2!$A$1:$A$18))</f>
        <v>11</v>
      </c>
      <c r="J270" s="403"/>
      <c r="K270" s="403"/>
      <c r="L270" s="722" t="s">
        <v>2613</v>
      </c>
      <c r="M270" s="408"/>
      <c r="N270" s="408"/>
      <c r="O270" s="408"/>
      <c r="P270" s="408"/>
      <c r="Q270" s="408"/>
      <c r="R270" s="408"/>
      <c r="S270" s="408"/>
      <c r="T270" s="408"/>
      <c r="U270" s="408"/>
      <c r="V270" s="408"/>
      <c r="W270" s="408"/>
      <c r="X270" s="408"/>
      <c r="Y270" s="408"/>
      <c r="Z270" s="408"/>
    </row>
    <row r="271" ht="15.75" customHeight="1">
      <c r="A271" s="401" t="s">
        <v>1835</v>
      </c>
      <c r="B271" s="628" t="s">
        <v>2540</v>
      </c>
      <c r="C271" s="675" t="s">
        <v>2614</v>
      </c>
      <c r="D271" s="380" t="s">
        <v>2615</v>
      </c>
      <c r="E271" s="405">
        <v>45705.0</v>
      </c>
      <c r="F271" s="405">
        <v>45705.0</v>
      </c>
      <c r="G271" s="381">
        <v>45706.0</v>
      </c>
      <c r="H271" s="626"/>
      <c r="I271" s="383">
        <f>IF(ISBLANK(H271), NETWORKDAYS(F271, TODAY(),Hoja2!$A$1:$A$18), NETWORKDAYS(F271, H271, Hoja2!$A$1:$A$18))</f>
        <v>219</v>
      </c>
      <c r="J271" s="403"/>
      <c r="K271" s="771"/>
      <c r="L271" s="760" t="s">
        <v>2616</v>
      </c>
      <c r="M271" s="408"/>
      <c r="N271" s="408"/>
      <c r="O271" s="408"/>
      <c r="P271" s="408"/>
      <c r="Q271" s="408"/>
      <c r="R271" s="408"/>
      <c r="S271" s="408"/>
      <c r="T271" s="408"/>
      <c r="U271" s="408"/>
      <c r="V271" s="408"/>
      <c r="W271" s="408"/>
      <c r="X271" s="408"/>
      <c r="Y271" s="408"/>
      <c r="Z271" s="408"/>
    </row>
    <row r="272" ht="15.75" customHeight="1">
      <c r="A272" s="675" t="s">
        <v>1931</v>
      </c>
      <c r="B272" s="811" t="s">
        <v>2617</v>
      </c>
      <c r="C272" s="812"/>
      <c r="D272" s="594" t="s">
        <v>75</v>
      </c>
      <c r="E272" s="392">
        <v>45712.0</v>
      </c>
      <c r="F272" s="392">
        <v>45713.0</v>
      </c>
      <c r="G272" s="385"/>
      <c r="H272" s="392">
        <v>45713.0</v>
      </c>
      <c r="I272" s="375">
        <f>IF(ISBLANK(H272), NETWORKDAYS(F272, TODAY(),Hoja2!$A$1:$A$18), NETWORKDAYS(F272, H272, Hoja2!$A$1:$A$18))</f>
        <v>1</v>
      </c>
      <c r="J272" s="385"/>
      <c r="K272" s="385"/>
      <c r="L272" s="811" t="s">
        <v>2618</v>
      </c>
      <c r="M272" s="394"/>
      <c r="N272" s="394"/>
      <c r="O272" s="394"/>
      <c r="P272" s="394"/>
      <c r="Q272" s="394"/>
      <c r="R272" s="394"/>
      <c r="S272" s="394"/>
      <c r="T272" s="394"/>
      <c r="U272" s="394"/>
      <c r="V272" s="394"/>
      <c r="W272" s="394"/>
      <c r="X272" s="394"/>
      <c r="Y272" s="394"/>
      <c r="Z272" s="394"/>
      <c r="AA272" s="394"/>
      <c r="AB272" s="394"/>
      <c r="AC272" s="394"/>
      <c r="AD272" s="394"/>
      <c r="AE272" s="394"/>
      <c r="AF272" s="394"/>
      <c r="AG272" s="394"/>
    </row>
    <row r="273" ht="15.75" customHeight="1">
      <c r="A273" s="401" t="s">
        <v>1835</v>
      </c>
      <c r="B273" s="628" t="s">
        <v>2540</v>
      </c>
      <c r="C273" s="411" t="s">
        <v>2619</v>
      </c>
      <c r="D273" s="380" t="s">
        <v>2620</v>
      </c>
      <c r="E273" s="405">
        <v>45712.0</v>
      </c>
      <c r="F273" s="405">
        <v>45712.0</v>
      </c>
      <c r="G273" s="381"/>
      <c r="H273" s="405">
        <v>45713.0</v>
      </c>
      <c r="I273" s="383">
        <f>IF(ISBLANK(H273), NETWORKDAYS(F273, TODAY(),Hoja2!$A$1:$A$18), NETWORKDAYS(F273, H273, Hoja2!$A$1:$A$18))</f>
        <v>2</v>
      </c>
      <c r="J273" s="403"/>
      <c r="K273" s="403"/>
      <c r="L273" s="798" t="s">
        <v>2621</v>
      </c>
      <c r="M273" s="408"/>
      <c r="N273" s="408"/>
      <c r="O273" s="408"/>
      <c r="P273" s="408"/>
      <c r="Q273" s="408"/>
      <c r="R273" s="408"/>
      <c r="S273" s="408"/>
      <c r="T273" s="408"/>
      <c r="U273" s="408"/>
      <c r="V273" s="408"/>
      <c r="W273" s="408"/>
      <c r="X273" s="408"/>
      <c r="Y273" s="408"/>
      <c r="Z273" s="408"/>
    </row>
    <row r="274" ht="15.75" customHeight="1">
      <c r="A274" s="401" t="s">
        <v>1810</v>
      </c>
      <c r="B274" s="813" t="s">
        <v>2622</v>
      </c>
      <c r="C274" s="812"/>
      <c r="D274" s="750" t="s">
        <v>75</v>
      </c>
      <c r="E274" s="751">
        <v>45714.0</v>
      </c>
      <c r="F274" s="751">
        <v>45715.0</v>
      </c>
      <c r="G274" s="749"/>
      <c r="H274" s="751">
        <v>45715.0</v>
      </c>
      <c r="I274" s="383">
        <f>IF(ISBLANK(H274), NETWORKDAYS(F274, TODAY(),Hoja2!$A$1:$A$18), NETWORKDAYS(F274, H274, Hoja2!$A$1:$A$18))</f>
        <v>1</v>
      </c>
      <c r="J274" s="749"/>
      <c r="K274" s="751"/>
      <c r="L274" s="814" t="s">
        <v>2623</v>
      </c>
      <c r="M274" s="363"/>
      <c r="N274" s="363"/>
      <c r="O274" s="363"/>
      <c r="P274" s="363"/>
      <c r="Q274" s="363"/>
      <c r="R274" s="363"/>
      <c r="S274" s="363"/>
      <c r="T274" s="363"/>
      <c r="U274" s="363"/>
      <c r="V274" s="363"/>
      <c r="W274" s="363"/>
      <c r="X274" s="363"/>
      <c r="Y274" s="363"/>
      <c r="Z274" s="363"/>
    </row>
    <row r="275" ht="15.75" customHeight="1">
      <c r="A275" s="401" t="s">
        <v>1835</v>
      </c>
      <c r="B275" s="628" t="s">
        <v>2624</v>
      </c>
      <c r="C275" s="810"/>
      <c r="D275" s="626" t="s">
        <v>75</v>
      </c>
      <c r="E275" s="405">
        <v>45716.0</v>
      </c>
      <c r="F275" s="405">
        <v>45716.0</v>
      </c>
      <c r="G275" s="381"/>
      <c r="H275" s="405">
        <v>45716.0</v>
      </c>
      <c r="I275" s="383">
        <f>IF(ISBLANK(H275), NETWORKDAYS(F275, TODAY(),Hoja2!$A$1:$A$18), NETWORKDAYS(F275, H275, Hoja2!$A$1:$A$18))</f>
        <v>1</v>
      </c>
      <c r="J275" s="403"/>
      <c r="K275" s="403"/>
      <c r="L275" s="722" t="s">
        <v>2625</v>
      </c>
      <c r="M275" s="408"/>
      <c r="N275" s="408"/>
      <c r="O275" s="408"/>
      <c r="P275" s="408"/>
      <c r="Q275" s="408"/>
      <c r="R275" s="408"/>
      <c r="S275" s="408"/>
      <c r="T275" s="408"/>
      <c r="U275" s="408"/>
      <c r="V275" s="408"/>
      <c r="W275" s="408"/>
      <c r="X275" s="408"/>
      <c r="Y275" s="408"/>
      <c r="Z275" s="408"/>
    </row>
    <row r="276" ht="15.75" customHeight="1">
      <c r="A276" s="362" t="s">
        <v>1931</v>
      </c>
      <c r="B276" s="362" t="s">
        <v>2626</v>
      </c>
      <c r="C276" s="815"/>
      <c r="D276" s="374" t="s">
        <v>75</v>
      </c>
      <c r="E276" s="816">
        <v>45712.0</v>
      </c>
      <c r="F276" s="816">
        <v>45713.0</v>
      </c>
      <c r="G276" s="817"/>
      <c r="H276" s="816">
        <v>45715.0</v>
      </c>
      <c r="I276" s="375">
        <f>IF(ISBLANK(H276), NETWORKDAYS(F276, TODAY(),Hoja2!$A$1:$A$18), NETWORKDAYS(F276, H276, Hoja2!$A$1:$A$18))</f>
        <v>3</v>
      </c>
      <c r="J276" s="817"/>
      <c r="K276" s="817"/>
      <c r="L276" s="767" t="s">
        <v>2627</v>
      </c>
      <c r="M276" s="818"/>
      <c r="N276" s="818"/>
      <c r="O276" s="818"/>
      <c r="P276" s="818"/>
      <c r="Q276" s="818"/>
      <c r="R276" s="818"/>
      <c r="S276" s="818"/>
      <c r="T276" s="818"/>
      <c r="U276" s="818"/>
      <c r="V276" s="818"/>
      <c r="W276" s="818"/>
      <c r="X276" s="818"/>
      <c r="Y276" s="818"/>
      <c r="Z276" s="818"/>
      <c r="AA276" s="818"/>
      <c r="AB276" s="818"/>
      <c r="AC276" s="818"/>
      <c r="AD276" s="818"/>
      <c r="AE276" s="818"/>
      <c r="AF276" s="818"/>
      <c r="AG276" s="818"/>
    </row>
    <row r="277" ht="15.75" customHeight="1">
      <c r="A277" s="401" t="s">
        <v>1835</v>
      </c>
      <c r="B277" s="628" t="s">
        <v>2628</v>
      </c>
      <c r="C277" s="810"/>
      <c r="D277" s="626" t="s">
        <v>75</v>
      </c>
      <c r="E277" s="405">
        <v>45716.0</v>
      </c>
      <c r="F277" s="405">
        <v>45716.0</v>
      </c>
      <c r="G277" s="381"/>
      <c r="H277" s="405">
        <v>45716.0</v>
      </c>
      <c r="I277" s="383">
        <f>IF(ISBLANK(H277), NETWORKDAYS(F277, TODAY(),Hoja2!$A$1:$A$18), NETWORKDAYS(F277, H277, Hoja2!$A$1:$A$18))</f>
        <v>1</v>
      </c>
      <c r="J277" s="403"/>
      <c r="K277" s="403"/>
      <c r="L277" s="722" t="s">
        <v>2629</v>
      </c>
      <c r="M277" s="408"/>
      <c r="N277" s="408"/>
      <c r="O277" s="408"/>
      <c r="P277" s="408"/>
      <c r="Q277" s="408"/>
      <c r="R277" s="408"/>
      <c r="S277" s="408"/>
      <c r="T277" s="408"/>
      <c r="U277" s="408"/>
      <c r="V277" s="408"/>
      <c r="W277" s="408"/>
      <c r="X277" s="408"/>
      <c r="Y277" s="408"/>
      <c r="Z277" s="408"/>
    </row>
    <row r="278" ht="15.75" customHeight="1">
      <c r="A278" s="401" t="s">
        <v>1835</v>
      </c>
      <c r="B278" s="628" t="s">
        <v>2630</v>
      </c>
      <c r="C278" s="810"/>
      <c r="D278" s="626" t="s">
        <v>75</v>
      </c>
      <c r="E278" s="405">
        <v>45712.0</v>
      </c>
      <c r="F278" s="405">
        <v>45712.0</v>
      </c>
      <c r="G278" s="381"/>
      <c r="H278" s="405">
        <v>45719.0</v>
      </c>
      <c r="I278" s="383">
        <f>IF(ISBLANK(H278), NETWORKDAYS(F278, TODAY(),Hoja2!$A$1:$A$18), NETWORKDAYS(F278, H278, Hoja2!$A$1:$A$18))</f>
        <v>6</v>
      </c>
      <c r="J278" s="403"/>
      <c r="K278" s="403"/>
      <c r="L278" s="722" t="s">
        <v>2631</v>
      </c>
      <c r="M278" s="408"/>
      <c r="N278" s="408"/>
      <c r="O278" s="408"/>
      <c r="P278" s="408"/>
      <c r="Q278" s="408"/>
      <c r="R278" s="408"/>
      <c r="S278" s="408"/>
      <c r="T278" s="408"/>
      <c r="U278" s="408"/>
      <c r="V278" s="408"/>
      <c r="W278" s="408"/>
      <c r="X278" s="408"/>
      <c r="Y278" s="408"/>
      <c r="Z278" s="408"/>
    </row>
    <row r="279" ht="15.75" customHeight="1">
      <c r="A279" s="675" t="s">
        <v>1931</v>
      </c>
      <c r="B279" s="580" t="s">
        <v>2632</v>
      </c>
      <c r="C279" s="819"/>
      <c r="D279" s="374" t="s">
        <v>75</v>
      </c>
      <c r="E279" s="373">
        <v>45715.0</v>
      </c>
      <c r="F279" s="373">
        <v>45715.0</v>
      </c>
      <c r="G279" s="373"/>
      <c r="H279" s="373">
        <v>45719.0</v>
      </c>
      <c r="I279" s="375">
        <f>IF(ISBLANK(H279), NETWORKDAYS(F279, TODAY(),Hoja2!$A$1:$A$18), NETWORKDAYS(F279, H279, Hoja2!$A$1:$A$18))</f>
        <v>3</v>
      </c>
      <c r="J279" s="373"/>
      <c r="K279" s="373"/>
      <c r="L279" s="376" t="s">
        <v>2633</v>
      </c>
      <c r="M279" s="597"/>
      <c r="N279" s="363"/>
      <c r="O279" s="363"/>
      <c r="P279" s="363"/>
      <c r="Q279" s="363"/>
      <c r="R279" s="363"/>
      <c r="S279" s="363"/>
      <c r="T279" s="363"/>
      <c r="U279" s="363"/>
      <c r="V279" s="363"/>
      <c r="W279" s="363"/>
      <c r="X279" s="363"/>
      <c r="Y279" s="363"/>
      <c r="Z279" s="363"/>
    </row>
    <row r="280" ht="15.75" customHeight="1">
      <c r="A280" s="675" t="s">
        <v>1931</v>
      </c>
      <c r="B280" s="580" t="s">
        <v>2634</v>
      </c>
      <c r="C280" s="819"/>
      <c r="D280" s="374" t="s">
        <v>75</v>
      </c>
      <c r="E280" s="373">
        <v>45715.0</v>
      </c>
      <c r="F280" s="373">
        <v>45719.0</v>
      </c>
      <c r="G280" s="373"/>
      <c r="H280" s="373">
        <v>45719.0</v>
      </c>
      <c r="I280" s="375">
        <f>IF(ISBLANK(H280), NETWORKDAYS(F280, TODAY(),Hoja2!$A$1:$A$18), NETWORKDAYS(F280, H280, Hoja2!$A$1:$A$18))</f>
        <v>1</v>
      </c>
      <c r="J280" s="373"/>
      <c r="K280" s="373"/>
      <c r="L280" s="376" t="s">
        <v>2635</v>
      </c>
      <c r="M280" s="597"/>
      <c r="N280" s="363"/>
      <c r="O280" s="363"/>
      <c r="P280" s="363"/>
      <c r="Q280" s="363"/>
      <c r="R280" s="363"/>
      <c r="S280" s="363"/>
      <c r="T280" s="363"/>
      <c r="U280" s="363"/>
      <c r="V280" s="363"/>
      <c r="W280" s="363"/>
      <c r="X280" s="363"/>
      <c r="Y280" s="363"/>
      <c r="Z280" s="363"/>
    </row>
    <row r="281" ht="15.75" hidden="1" customHeight="1">
      <c r="A281" s="675" t="s">
        <v>1931</v>
      </c>
      <c r="B281" s="580" t="s">
        <v>2636</v>
      </c>
      <c r="C281" s="580"/>
      <c r="D281" s="374" t="s">
        <v>237</v>
      </c>
      <c r="E281" s="373">
        <v>45715.0</v>
      </c>
      <c r="F281" s="373"/>
      <c r="G281" s="373"/>
      <c r="H281" s="373"/>
      <c r="I281" s="374"/>
      <c r="J281" s="373"/>
      <c r="K281" s="373"/>
      <c r="L281" s="376"/>
      <c r="M281" s="597"/>
      <c r="N281" s="363"/>
      <c r="O281" s="363"/>
      <c r="P281" s="363"/>
      <c r="Q281" s="363"/>
      <c r="R281" s="363"/>
      <c r="S281" s="363"/>
      <c r="T281" s="363"/>
      <c r="U281" s="363"/>
      <c r="V281" s="363"/>
      <c r="W281" s="363"/>
      <c r="X281" s="363"/>
      <c r="Y281" s="363"/>
      <c r="Z281" s="363"/>
    </row>
    <row r="282" ht="15.75" customHeight="1">
      <c r="A282" s="675" t="s">
        <v>1931</v>
      </c>
      <c r="B282" s="372" t="s">
        <v>2637</v>
      </c>
      <c r="C282" s="819"/>
      <c r="D282" s="594" t="s">
        <v>75</v>
      </c>
      <c r="E282" s="373">
        <v>45719.0</v>
      </c>
      <c r="F282" s="373">
        <v>45719.0</v>
      </c>
      <c r="G282" s="373"/>
      <c r="H282" s="373"/>
      <c r="I282" s="375">
        <f>IF(ISBLANK(H282), NETWORKDAYS(F282, TODAY(),Hoja2!$A$1:$A$18), NETWORKDAYS(F282, H282, Hoja2!$A$1:$A$18))</f>
        <v>209</v>
      </c>
      <c r="J282" s="373"/>
      <c r="K282" s="373"/>
      <c r="L282" s="376" t="s">
        <v>2638</v>
      </c>
      <c r="M282" s="597"/>
      <c r="N282" s="363"/>
      <c r="O282" s="363"/>
      <c r="P282" s="363"/>
      <c r="Q282" s="363"/>
      <c r="R282" s="363"/>
      <c r="S282" s="363"/>
      <c r="T282" s="363"/>
      <c r="U282" s="363"/>
      <c r="V282" s="363"/>
      <c r="W282" s="363"/>
      <c r="X282" s="363"/>
      <c r="Y282" s="363"/>
      <c r="Z282" s="363"/>
    </row>
    <row r="283" ht="15.75" customHeight="1">
      <c r="A283" s="675" t="s">
        <v>1931</v>
      </c>
      <c r="B283" s="782" t="s">
        <v>2639</v>
      </c>
      <c r="C283" s="580"/>
      <c r="D283" s="374" t="s">
        <v>75</v>
      </c>
      <c r="E283" s="373">
        <v>45700.0</v>
      </c>
      <c r="F283" s="373">
        <v>45701.0</v>
      </c>
      <c r="G283" s="373">
        <v>45714.0</v>
      </c>
      <c r="H283" s="373">
        <v>45714.0</v>
      </c>
      <c r="I283" s="375">
        <f>IF(ISBLANK(H283), NETWORKDAYS(F283, TODAY(),Hoja2!$A$1:$A$18), NETWORKDAYS(F283, H283, Hoja2!$A$1:$A$18))</f>
        <v>10</v>
      </c>
      <c r="J283" s="373"/>
      <c r="K283" s="373"/>
      <c r="L283" s="376" t="s">
        <v>2640</v>
      </c>
      <c r="M283" s="597"/>
      <c r="N283" s="363"/>
      <c r="O283" s="363"/>
      <c r="P283" s="363"/>
      <c r="Q283" s="363"/>
      <c r="R283" s="363"/>
      <c r="S283" s="363"/>
      <c r="T283" s="363"/>
      <c r="U283" s="363"/>
      <c r="V283" s="363"/>
      <c r="W283" s="363"/>
      <c r="X283" s="363"/>
      <c r="Y283" s="363"/>
      <c r="Z283" s="363"/>
    </row>
    <row r="284" ht="15.75" customHeight="1">
      <c r="A284" s="675" t="s">
        <v>1931</v>
      </c>
      <c r="B284" s="371" t="s">
        <v>2641</v>
      </c>
      <c r="C284" s="690"/>
      <c r="D284" s="820" t="s">
        <v>75</v>
      </c>
      <c r="E284" s="691">
        <v>45712.0</v>
      </c>
      <c r="F284" s="691">
        <v>45712.0</v>
      </c>
      <c r="G284" s="690"/>
      <c r="H284" s="691">
        <v>45721.0</v>
      </c>
      <c r="I284" s="375">
        <f>IF(ISBLANK(H284), NETWORKDAYS(F284, TODAY(),Hoja2!$A$1:$A$18), NETWORKDAYS(F284, H284, Hoja2!$A$1:$A$18))</f>
        <v>8</v>
      </c>
      <c r="J284" s="690"/>
      <c r="K284" s="690"/>
      <c r="L284" s="821" t="s">
        <v>2642</v>
      </c>
    </row>
    <row r="285" ht="15.75" customHeight="1">
      <c r="A285" s="401" t="s">
        <v>1835</v>
      </c>
      <c r="B285" s="782" t="s">
        <v>2643</v>
      </c>
      <c r="C285" s="808" t="s">
        <v>2644</v>
      </c>
      <c r="D285" s="380" t="s">
        <v>75</v>
      </c>
      <c r="E285" s="405">
        <v>45687.0</v>
      </c>
      <c r="F285" s="406">
        <v>45687.0</v>
      </c>
      <c r="G285" s="403"/>
      <c r="H285" s="405">
        <v>45692.0</v>
      </c>
      <c r="I285" s="383">
        <f>IF(ISBLANK(H285), NETWORKDAYS(F285, TODAY(),Hoja2!$A$1:$A$18), NETWORKDAYS(F285, H285, Hoja2!$A$1:$A$18))</f>
        <v>4</v>
      </c>
      <c r="J285" s="405">
        <v>45692.0</v>
      </c>
      <c r="K285" s="403"/>
      <c r="L285" s="759" t="s">
        <v>2645</v>
      </c>
      <c r="M285" s="408"/>
      <c r="N285" s="408"/>
      <c r="O285" s="408"/>
      <c r="P285" s="408"/>
      <c r="Q285" s="408"/>
      <c r="R285" s="408"/>
      <c r="S285" s="408"/>
      <c r="T285" s="408"/>
      <c r="U285" s="408"/>
      <c r="V285" s="408"/>
      <c r="W285" s="408"/>
      <c r="X285" s="408"/>
      <c r="Y285" s="408"/>
      <c r="Z285" s="408"/>
    </row>
    <row r="286" ht="15.75" customHeight="1">
      <c r="A286" s="401" t="s">
        <v>1835</v>
      </c>
      <c r="B286" s="590" t="s">
        <v>2646</v>
      </c>
      <c r="C286" s="808"/>
      <c r="D286" s="380" t="s">
        <v>75</v>
      </c>
      <c r="E286" s="405">
        <v>45720.0</v>
      </c>
      <c r="F286" s="406">
        <v>45720.0</v>
      </c>
      <c r="G286" s="403"/>
      <c r="H286" s="405">
        <v>45721.0</v>
      </c>
      <c r="I286" s="383">
        <f>IF(ISBLANK(H286), NETWORKDAYS(F286, TODAY(),Hoja2!$A$1:$A$18), NETWORKDAYS(F286, H286, Hoja2!$A$1:$A$18))</f>
        <v>2</v>
      </c>
      <c r="J286" s="405"/>
      <c r="K286" s="403"/>
      <c r="L286" s="799" t="s">
        <v>2647</v>
      </c>
      <c r="M286" s="408"/>
      <c r="N286" s="408"/>
      <c r="O286" s="408"/>
      <c r="P286" s="408"/>
      <c r="Q286" s="408"/>
      <c r="R286" s="408"/>
      <c r="S286" s="408"/>
      <c r="T286" s="408"/>
      <c r="U286" s="408"/>
      <c r="V286" s="408"/>
      <c r="W286" s="408"/>
      <c r="X286" s="408"/>
      <c r="Y286" s="408"/>
      <c r="Z286" s="408"/>
    </row>
    <row r="287" ht="15.75" customHeight="1">
      <c r="A287" s="401" t="s">
        <v>1810</v>
      </c>
      <c r="B287" s="616" t="s">
        <v>2648</v>
      </c>
      <c r="C287" s="819"/>
      <c r="D287" s="626" t="s">
        <v>75</v>
      </c>
      <c r="E287" s="405">
        <v>45722.0</v>
      </c>
      <c r="F287" s="405">
        <v>45722.0</v>
      </c>
      <c r="G287" s="405"/>
      <c r="H287" s="405">
        <v>45722.0</v>
      </c>
      <c r="I287" s="383">
        <f>IF(ISBLANK(H287), NETWORKDAYS(F287, TODAY(),Hoja2!$A$1:$A$18), NETWORKDAYS(F287, H287, Hoja2!$A$1:$A$18))</f>
        <v>1</v>
      </c>
      <c r="J287" s="405"/>
      <c r="K287" s="405"/>
      <c r="L287" s="822" t="s">
        <v>2649</v>
      </c>
      <c r="M287" s="363"/>
      <c r="N287" s="363"/>
      <c r="O287" s="363"/>
      <c r="P287" s="363"/>
      <c r="Q287" s="363"/>
      <c r="R287" s="363"/>
      <c r="S287" s="363"/>
      <c r="T287" s="363"/>
      <c r="U287" s="363"/>
      <c r="V287" s="363"/>
      <c r="W287" s="363"/>
      <c r="X287" s="363"/>
      <c r="Y287" s="363"/>
      <c r="Z287" s="363"/>
    </row>
    <row r="288" ht="15.75" customHeight="1">
      <c r="A288" s="401" t="s">
        <v>1810</v>
      </c>
      <c r="B288" s="596" t="s">
        <v>2650</v>
      </c>
      <c r="C288" s="819"/>
      <c r="D288" s="626" t="s">
        <v>75</v>
      </c>
      <c r="E288" s="405">
        <v>45722.0</v>
      </c>
      <c r="F288" s="405">
        <v>45723.0</v>
      </c>
      <c r="G288" s="405"/>
      <c r="H288" s="405">
        <v>45723.0</v>
      </c>
      <c r="I288" s="383">
        <f>IF(ISBLANK(H288), NETWORKDAYS(F288, TODAY(),Hoja2!$A$1:$A$18), NETWORKDAYS(F288, H288, Hoja2!$A$1:$A$18))</f>
        <v>1</v>
      </c>
      <c r="J288" s="405"/>
      <c r="K288" s="405"/>
      <c r="L288" s="822" t="s">
        <v>2651</v>
      </c>
      <c r="M288" s="363"/>
      <c r="N288" s="363"/>
      <c r="O288" s="363"/>
      <c r="P288" s="363"/>
      <c r="Q288" s="363"/>
      <c r="R288" s="363"/>
      <c r="S288" s="363"/>
      <c r="T288" s="363"/>
      <c r="U288" s="363"/>
      <c r="V288" s="363"/>
      <c r="W288" s="363"/>
      <c r="X288" s="363"/>
      <c r="Y288" s="363"/>
      <c r="Z288" s="363"/>
    </row>
    <row r="289" ht="15.75" customHeight="1">
      <c r="A289" s="401" t="s">
        <v>1835</v>
      </c>
      <c r="B289" s="823" t="s">
        <v>2652</v>
      </c>
      <c r="C289" s="810"/>
      <c r="D289" s="374" t="s">
        <v>75</v>
      </c>
      <c r="E289" s="373">
        <v>45722.0</v>
      </c>
      <c r="F289" s="689">
        <v>45723.0</v>
      </c>
      <c r="G289" s="631"/>
      <c r="H289" s="689">
        <v>45723.0</v>
      </c>
      <c r="I289" s="383">
        <f>IF(ISBLANK(H289), NETWORKDAYS(F289, TODAY(),Hoja2!$A$1:$A$18), NETWORKDAYS(F289, H289, Hoja2!$A$1:$A$18))</f>
        <v>1</v>
      </c>
      <c r="J289" s="631"/>
      <c r="K289" s="631"/>
      <c r="L289" s="631" t="s">
        <v>2653</v>
      </c>
      <c r="M289" s="824" t="s">
        <v>2654</v>
      </c>
      <c r="N289" s="408"/>
      <c r="O289" s="408"/>
      <c r="P289" s="408"/>
      <c r="Q289" s="408"/>
      <c r="R289" s="408"/>
      <c r="S289" s="408"/>
      <c r="T289" s="408"/>
      <c r="U289" s="408"/>
      <c r="V289" s="408"/>
      <c r="W289" s="408"/>
      <c r="X289" s="408"/>
      <c r="Y289" s="408"/>
      <c r="Z289" s="408"/>
    </row>
    <row r="290" ht="15.75" hidden="1" customHeight="1">
      <c r="A290" s="401" t="s">
        <v>1835</v>
      </c>
      <c r="B290" s="823" t="s">
        <v>2655</v>
      </c>
      <c r="C290" s="631"/>
      <c r="D290" s="374" t="s">
        <v>237</v>
      </c>
      <c r="E290" s="373">
        <v>45722.0</v>
      </c>
      <c r="F290" s="825"/>
      <c r="G290" s="631"/>
      <c r="H290" s="374"/>
      <c r="I290" s="383">
        <f>IF(ISBLANK(H290), NETWORKDAYS(F290, TODAY(),Hoja2!$A$1:$A$18), NETWORKDAYS(F290, H290, Hoja2!$A$1:$A$18))</f>
        <v>32848</v>
      </c>
      <c r="J290" s="631"/>
      <c r="K290" s="631"/>
      <c r="L290" s="631" t="s">
        <v>2656</v>
      </c>
      <c r="M290" s="408"/>
      <c r="N290" s="408"/>
      <c r="O290" s="408"/>
      <c r="P290" s="408"/>
      <c r="Q290" s="408"/>
      <c r="R290" s="408"/>
      <c r="S290" s="408"/>
      <c r="T290" s="408"/>
      <c r="U290" s="408"/>
      <c r="V290" s="408"/>
      <c r="W290" s="408"/>
      <c r="X290" s="408"/>
      <c r="Y290" s="408"/>
      <c r="Z290" s="408"/>
    </row>
    <row r="291" ht="15.75" hidden="1" customHeight="1">
      <c r="A291" s="401" t="s">
        <v>1835</v>
      </c>
      <c r="B291" s="823" t="s">
        <v>2657</v>
      </c>
      <c r="C291" s="631"/>
      <c r="D291" s="374" t="s">
        <v>237</v>
      </c>
      <c r="E291" s="373">
        <v>45722.0</v>
      </c>
      <c r="F291" s="825"/>
      <c r="G291" s="631"/>
      <c r="H291" s="374"/>
      <c r="I291" s="383">
        <f>IF(ISBLANK(H291), NETWORKDAYS(F291, TODAY(),Hoja2!$A$1:$A$18), NETWORKDAYS(F291, H291, Hoja2!$A$1:$A$18))</f>
        <v>32848</v>
      </c>
      <c r="J291" s="631"/>
      <c r="K291" s="631"/>
      <c r="L291" s="631"/>
      <c r="M291" s="408"/>
      <c r="N291" s="408"/>
      <c r="O291" s="408"/>
      <c r="P291" s="408"/>
      <c r="Q291" s="408"/>
      <c r="R291" s="408"/>
      <c r="S291" s="408"/>
      <c r="T291" s="408"/>
      <c r="U291" s="408"/>
      <c r="V291" s="408"/>
      <c r="W291" s="408"/>
      <c r="X291" s="408"/>
      <c r="Y291" s="408"/>
      <c r="Z291" s="408"/>
    </row>
    <row r="292" ht="15.75" customHeight="1">
      <c r="A292" s="401" t="s">
        <v>1835</v>
      </c>
      <c r="B292" s="823" t="s">
        <v>2658</v>
      </c>
      <c r="C292" s="810"/>
      <c r="D292" s="374" t="s">
        <v>75</v>
      </c>
      <c r="E292" s="373">
        <v>45722.0</v>
      </c>
      <c r="F292" s="689">
        <v>45723.0</v>
      </c>
      <c r="G292" s="631"/>
      <c r="H292" s="689">
        <v>45723.0</v>
      </c>
      <c r="I292" s="383">
        <f>IF(ISBLANK(H292), NETWORKDAYS(F292, TODAY(),Hoja2!$A$1:$A$18), NETWORKDAYS(F292, H292, Hoja2!$A$1:$A$18))</f>
        <v>1</v>
      </c>
      <c r="J292" s="631"/>
      <c r="K292" s="591">
        <v>45723.0</v>
      </c>
      <c r="L292" s="631" t="s">
        <v>2659</v>
      </c>
      <c r="M292" s="408" t="s">
        <v>2660</v>
      </c>
      <c r="N292" s="408"/>
      <c r="O292" s="408"/>
      <c r="P292" s="408"/>
      <c r="Q292" s="408"/>
      <c r="R292" s="408"/>
      <c r="S292" s="408"/>
      <c r="T292" s="408"/>
      <c r="U292" s="408"/>
      <c r="V292" s="408"/>
      <c r="W292" s="408"/>
      <c r="X292" s="408"/>
      <c r="Y292" s="408"/>
      <c r="Z292" s="408"/>
    </row>
    <row r="293" ht="15.75" customHeight="1">
      <c r="A293" s="401" t="s">
        <v>1835</v>
      </c>
      <c r="B293" s="823" t="s">
        <v>2661</v>
      </c>
      <c r="C293" s="810"/>
      <c r="D293" s="374" t="s">
        <v>75</v>
      </c>
      <c r="E293" s="373">
        <v>45722.0</v>
      </c>
      <c r="F293" s="689">
        <v>45722.0</v>
      </c>
      <c r="G293" s="631"/>
      <c r="H293" s="689">
        <v>45723.0</v>
      </c>
      <c r="I293" s="383">
        <f>IF(ISBLANK(H293), NETWORKDAYS(F293, TODAY(),Hoja2!$A$1:$A$18), NETWORKDAYS(F293, H293, Hoja2!$A$1:$A$18))</f>
        <v>2</v>
      </c>
      <c r="J293" s="631"/>
      <c r="K293" s="591">
        <v>45723.0</v>
      </c>
      <c r="L293" s="631" t="s">
        <v>2662</v>
      </c>
      <c r="M293" s="408" t="s">
        <v>2660</v>
      </c>
      <c r="N293" s="408"/>
      <c r="O293" s="408"/>
      <c r="P293" s="408"/>
      <c r="Q293" s="408"/>
      <c r="R293" s="408"/>
      <c r="S293" s="408"/>
      <c r="T293" s="408"/>
      <c r="U293" s="408"/>
      <c r="V293" s="408"/>
      <c r="W293" s="408"/>
      <c r="X293" s="408"/>
      <c r="Y293" s="408"/>
      <c r="Z293" s="408"/>
    </row>
    <row r="294" ht="15.75" customHeight="1">
      <c r="A294" s="401" t="s">
        <v>1835</v>
      </c>
      <c r="B294" s="826" t="s">
        <v>2663</v>
      </c>
      <c r="C294" s="810"/>
      <c r="D294" s="626" t="s">
        <v>75</v>
      </c>
      <c r="E294" s="373">
        <v>45721.0</v>
      </c>
      <c r="F294" s="689">
        <v>45721.0</v>
      </c>
      <c r="G294" s="631"/>
      <c r="H294" s="373">
        <v>45722.0</v>
      </c>
      <c r="I294" s="383">
        <f>IF(ISBLANK(H294), NETWORKDAYS(F294, TODAY(),Hoja2!$A$1:$A$18), NETWORKDAYS(F294, H294, Hoja2!$A$1:$A$18))</f>
        <v>2</v>
      </c>
      <c r="J294" s="373">
        <v>45722.0</v>
      </c>
      <c r="K294" s="591">
        <v>45723.0</v>
      </c>
      <c r="L294" s="631" t="s">
        <v>2664</v>
      </c>
      <c r="M294" s="408" t="s">
        <v>2660</v>
      </c>
      <c r="N294" s="408"/>
      <c r="O294" s="408"/>
      <c r="P294" s="408"/>
      <c r="Q294" s="408"/>
      <c r="R294" s="408"/>
      <c r="S294" s="408"/>
      <c r="T294" s="408"/>
      <c r="U294" s="408"/>
      <c r="V294" s="408"/>
      <c r="W294" s="408"/>
      <c r="X294" s="408"/>
      <c r="Y294" s="408"/>
      <c r="Z294" s="408"/>
    </row>
    <row r="295" ht="15.75" customHeight="1">
      <c r="A295" s="401" t="s">
        <v>1835</v>
      </c>
      <c r="B295" s="827" t="s">
        <v>2665</v>
      </c>
      <c r="C295" s="810"/>
      <c r="D295" s="374" t="s">
        <v>75</v>
      </c>
      <c r="E295" s="373">
        <v>45726.0</v>
      </c>
      <c r="F295" s="689">
        <v>45727.0</v>
      </c>
      <c r="G295" s="631"/>
      <c r="H295" s="373">
        <v>45727.0</v>
      </c>
      <c r="I295" s="383">
        <f>IF(ISBLANK(H295), NETWORKDAYS(F295, TODAY(),Hoja2!$A$1:$A$18), NETWORKDAYS(F295, H295, Hoja2!$A$1:$A$18))</f>
        <v>1</v>
      </c>
      <c r="J295" s="631"/>
      <c r="K295" s="631"/>
      <c r="L295" s="631" t="s">
        <v>2666</v>
      </c>
      <c r="M295" s="408"/>
      <c r="N295" s="408"/>
      <c r="O295" s="408"/>
      <c r="P295" s="408"/>
      <c r="Q295" s="408"/>
      <c r="R295" s="408"/>
      <c r="S295" s="408"/>
      <c r="T295" s="408"/>
      <c r="U295" s="408"/>
      <c r="V295" s="408"/>
      <c r="W295" s="408"/>
      <c r="X295" s="408"/>
      <c r="Y295" s="408"/>
      <c r="Z295" s="408"/>
    </row>
    <row r="296" ht="15.75" customHeight="1">
      <c r="A296" s="401" t="s">
        <v>1835</v>
      </c>
      <c r="B296" s="766" t="s">
        <v>2667</v>
      </c>
      <c r="C296" s="828"/>
      <c r="D296" s="374" t="s">
        <v>75</v>
      </c>
      <c r="E296" s="373">
        <v>45726.0</v>
      </c>
      <c r="F296" s="373">
        <v>45726.0</v>
      </c>
      <c r="H296" s="829">
        <v>45727.0</v>
      </c>
      <c r="I296" s="383">
        <f>IF(ISBLANK(H296), NETWORKDAYS(F296, TODAY(),Hoja2!$A$1:$A$18), NETWORKDAYS(F296, H296, Hoja2!$A$1:$A$18))</f>
        <v>2</v>
      </c>
      <c r="K296" s="829">
        <v>45727.0</v>
      </c>
      <c r="L296" s="766" t="s">
        <v>2668</v>
      </c>
    </row>
    <row r="297" ht="15.75" customHeight="1">
      <c r="A297" s="401" t="s">
        <v>1835</v>
      </c>
      <c r="B297" s="675" t="s">
        <v>2669</v>
      </c>
      <c r="C297" s="674"/>
      <c r="D297" s="380" t="s">
        <v>75</v>
      </c>
      <c r="E297" s="405">
        <v>45722.0</v>
      </c>
      <c r="F297" s="405">
        <v>45722.0</v>
      </c>
      <c r="G297" s="405">
        <v>45694.0</v>
      </c>
      <c r="H297" s="405">
        <v>45727.0</v>
      </c>
      <c r="I297" s="383">
        <f>IF(ISBLANK(H297), NETWORKDAYS(F297, TODAY(),Hoja2!$A$1:$A$18), NETWORKDAYS(F297, H297, Hoja2!$A$1:$A$18))</f>
        <v>4</v>
      </c>
      <c r="J297" s="405">
        <v>45727.0</v>
      </c>
      <c r="K297" s="405">
        <v>45728.0</v>
      </c>
      <c r="L297" s="822" t="s">
        <v>2670</v>
      </c>
      <c r="M297" s="408"/>
      <c r="N297" s="408"/>
      <c r="O297" s="408"/>
      <c r="P297" s="408"/>
      <c r="Q297" s="408"/>
      <c r="R297" s="408"/>
      <c r="S297" s="408"/>
      <c r="T297" s="408"/>
      <c r="U297" s="408"/>
      <c r="V297" s="408"/>
      <c r="W297" s="408"/>
      <c r="X297" s="408"/>
      <c r="Y297" s="408"/>
      <c r="Z297" s="408"/>
    </row>
    <row r="298" ht="15.75" customHeight="1">
      <c r="A298" s="401" t="s">
        <v>1835</v>
      </c>
      <c r="B298" s="596" t="s">
        <v>2671</v>
      </c>
      <c r="C298" s="396"/>
      <c r="D298" s="380" t="s">
        <v>75</v>
      </c>
      <c r="E298" s="830">
        <v>45714.0</v>
      </c>
      <c r="F298" s="405">
        <v>45716.0</v>
      </c>
      <c r="G298" s="405"/>
      <c r="H298" s="381">
        <v>45722.0</v>
      </c>
      <c r="I298" s="383">
        <f>IF(ISBLANK(H298), NETWORKDAYS(F298, TODAY(),Hoja2!$A$1:$A$18), NETWORKDAYS(F298, H298, Hoja2!$A$1:$A$18))</f>
        <v>5</v>
      </c>
      <c r="J298" s="381">
        <v>45722.0</v>
      </c>
      <c r="K298" s="381">
        <v>45728.0</v>
      </c>
      <c r="L298" s="799" t="s">
        <v>2672</v>
      </c>
      <c r="M298" s="831" t="s">
        <v>2673</v>
      </c>
      <c r="N298" s="408"/>
      <c r="O298" s="408"/>
      <c r="P298" s="408"/>
      <c r="Q298" s="408"/>
      <c r="R298" s="408"/>
      <c r="S298" s="408"/>
      <c r="T298" s="408"/>
      <c r="U298" s="408"/>
      <c r="V298" s="408"/>
      <c r="W298" s="408"/>
      <c r="X298" s="408"/>
      <c r="Y298" s="408"/>
      <c r="Z298" s="408"/>
    </row>
    <row r="299" ht="15.75" customHeight="1">
      <c r="A299" s="401" t="s">
        <v>1810</v>
      </c>
      <c r="B299" s="832" t="s">
        <v>2674</v>
      </c>
      <c r="C299" s="812"/>
      <c r="D299" s="833" t="s">
        <v>75</v>
      </c>
      <c r="E299" s="751">
        <v>45694.0</v>
      </c>
      <c r="F299" s="751">
        <v>45695.0</v>
      </c>
      <c r="G299" s="749"/>
      <c r="H299" s="834">
        <v>45729.0</v>
      </c>
      <c r="I299" s="383">
        <f>IF(ISBLANK(H299), NETWORKDAYS(F299, TODAY(),Hoja2!$A$1:$A$18), NETWORKDAYS(F299, H299, Hoja2!$A$1:$A$18))</f>
        <v>25</v>
      </c>
      <c r="J299" s="751">
        <v>45715.0</v>
      </c>
      <c r="K299" s="834">
        <v>45729.0</v>
      </c>
      <c r="L299" s="835" t="s">
        <v>2675</v>
      </c>
      <c r="M299" s="363"/>
      <c r="N299" s="363"/>
      <c r="O299" s="363"/>
      <c r="P299" s="363"/>
      <c r="Q299" s="363"/>
      <c r="R299" s="363"/>
      <c r="S299" s="363"/>
      <c r="T299" s="363"/>
      <c r="U299" s="363"/>
      <c r="V299" s="363"/>
      <c r="W299" s="363"/>
      <c r="X299" s="363"/>
      <c r="Y299" s="363"/>
      <c r="Z299" s="363"/>
    </row>
    <row r="300" ht="15.75" customHeight="1">
      <c r="A300" s="401" t="s">
        <v>1810</v>
      </c>
      <c r="B300" s="836" t="s">
        <v>2676</v>
      </c>
      <c r="C300" s="828"/>
      <c r="D300" s="837" t="s">
        <v>75</v>
      </c>
      <c r="E300" s="829">
        <v>45726.0</v>
      </c>
      <c r="F300" s="829">
        <v>45726.0</v>
      </c>
      <c r="H300" s="829">
        <v>45733.0</v>
      </c>
      <c r="I300" s="383">
        <f>IF(ISBLANK(H300), NETWORKDAYS(F300, TODAY(),Hoja2!$A$1:$A$18), NETWORKDAYS(F300, H300, Hoja2!$A$1:$A$18))</f>
        <v>6</v>
      </c>
      <c r="L300" s="408" t="s">
        <v>2677</v>
      </c>
    </row>
    <row r="301" ht="15.75" customHeight="1">
      <c r="A301" s="401" t="s">
        <v>1810</v>
      </c>
      <c r="B301" s="838" t="s">
        <v>2678</v>
      </c>
      <c r="C301" s="839"/>
      <c r="D301" s="390" t="s">
        <v>75</v>
      </c>
      <c r="E301" s="758">
        <v>45730.0</v>
      </c>
      <c r="F301" s="758">
        <v>45733.0</v>
      </c>
      <c r="G301" s="758"/>
      <c r="H301" s="758">
        <v>45733.0</v>
      </c>
      <c r="I301" s="383">
        <f>IF(ISBLANK(H301), NETWORKDAYS(F301, TODAY(),Hoja2!$A$1:$A$18), NETWORKDAYS(F301, H301, Hoja2!$A$1:$A$18))</f>
        <v>1</v>
      </c>
      <c r="J301" s="758"/>
      <c r="K301" s="758"/>
      <c r="L301" s="840" t="s">
        <v>2679</v>
      </c>
      <c r="M301" s="363"/>
      <c r="N301" s="363"/>
      <c r="O301" s="363"/>
      <c r="P301" s="363"/>
      <c r="Q301" s="363"/>
      <c r="R301" s="363"/>
      <c r="S301" s="363"/>
      <c r="T301" s="363"/>
      <c r="U301" s="363"/>
      <c r="V301" s="363"/>
      <c r="W301" s="363"/>
      <c r="X301" s="363"/>
      <c r="Y301" s="363"/>
      <c r="Z301" s="363"/>
    </row>
    <row r="302" ht="15.75" customHeight="1">
      <c r="A302" s="401" t="s">
        <v>1835</v>
      </c>
      <c r="B302" s="821" t="s">
        <v>2680</v>
      </c>
      <c r="C302" s="841"/>
      <c r="D302" s="374" t="s">
        <v>75</v>
      </c>
      <c r="E302" s="691">
        <v>45730.0</v>
      </c>
      <c r="F302" s="691">
        <v>45730.0</v>
      </c>
      <c r="G302" s="690"/>
      <c r="H302" s="691">
        <v>45730.0</v>
      </c>
      <c r="I302" s="383">
        <f>IF(ISBLANK(H302), NETWORKDAYS(F302, TODAY(),Hoja2!$A$1:$A$18), NETWORKDAYS(F302, H302, Hoja2!$A$1:$A$18))</f>
        <v>1</v>
      </c>
      <c r="J302" s="690"/>
      <c r="K302" s="690"/>
      <c r="L302" s="690" t="s">
        <v>2681</v>
      </c>
    </row>
    <row r="303" ht="15.75" customHeight="1">
      <c r="A303" s="401" t="s">
        <v>1835</v>
      </c>
      <c r="B303" s="823" t="s">
        <v>2682</v>
      </c>
      <c r="C303" s="810"/>
      <c r="D303" s="374" t="s">
        <v>75</v>
      </c>
      <c r="E303" s="373">
        <v>45726.0</v>
      </c>
      <c r="F303" s="689">
        <v>45726.0</v>
      </c>
      <c r="G303" s="631"/>
      <c r="H303" s="373">
        <v>45727.0</v>
      </c>
      <c r="I303" s="383">
        <f>IF(ISBLANK(H303), NETWORKDAYS(F303, TODAY(),Hoja2!$A$1:$A$18), NETWORKDAYS(F303, H303, Hoja2!$A$1:$A$18))</f>
        <v>2</v>
      </c>
      <c r="J303" s="631"/>
      <c r="K303" s="631"/>
      <c r="L303" s="631" t="s">
        <v>2683</v>
      </c>
      <c r="M303" s="408"/>
      <c r="N303" s="408"/>
      <c r="O303" s="408"/>
      <c r="P303" s="408"/>
      <c r="Q303" s="408"/>
      <c r="R303" s="408"/>
      <c r="S303" s="408"/>
      <c r="T303" s="408"/>
      <c r="U303" s="408"/>
      <c r="V303" s="408"/>
      <c r="W303" s="408"/>
      <c r="X303" s="408"/>
      <c r="Y303" s="408"/>
      <c r="Z303" s="408"/>
    </row>
    <row r="304" ht="15.75" customHeight="1">
      <c r="A304" s="679" t="s">
        <v>1835</v>
      </c>
      <c r="B304" s="842" t="s">
        <v>2684</v>
      </c>
      <c r="C304" s="843"/>
      <c r="D304" s="604" t="s">
        <v>75</v>
      </c>
      <c r="E304" s="605">
        <v>45726.0</v>
      </c>
      <c r="F304" s="844">
        <v>45729.0</v>
      </c>
      <c r="G304" s="366"/>
      <c r="H304" s="605">
        <v>45736.0</v>
      </c>
      <c r="I304" s="845">
        <f>IF(ISBLANK(H304), NETWORKDAYS(F304, TODAY(),Hoja2!$A$1:$A$18), NETWORKDAYS(F304, H304, Hoja2!$A$1:$A$18))</f>
        <v>6</v>
      </c>
      <c r="J304" s="368">
        <v>45735.0</v>
      </c>
      <c r="K304" s="368">
        <v>45736.0</v>
      </c>
      <c r="L304" s="366" t="s">
        <v>2685</v>
      </c>
      <c r="M304" s="408"/>
      <c r="N304" s="408"/>
      <c r="O304" s="408"/>
      <c r="P304" s="408"/>
      <c r="Q304" s="408"/>
      <c r="R304" s="408"/>
      <c r="S304" s="408"/>
      <c r="T304" s="408"/>
      <c r="U304" s="408"/>
      <c r="V304" s="408"/>
      <c r="W304" s="408"/>
      <c r="X304" s="408"/>
      <c r="Y304" s="408"/>
      <c r="Z304" s="408"/>
    </row>
    <row r="305" ht="15.75" customHeight="1">
      <c r="A305" s="401" t="s">
        <v>1810</v>
      </c>
      <c r="B305" s="846" t="s">
        <v>2686</v>
      </c>
      <c r="C305" s="839"/>
      <c r="D305" s="390" t="s">
        <v>75</v>
      </c>
      <c r="E305" s="758">
        <v>45737.0</v>
      </c>
      <c r="F305" s="758">
        <v>45737.0</v>
      </c>
      <c r="G305" s="758"/>
      <c r="H305" s="758">
        <v>45737.0</v>
      </c>
      <c r="I305" s="383">
        <f>IF(ISBLANK(H305), NETWORKDAYS(F305, TODAY(),Hoja2!$A$1:$A$18), NETWORKDAYS(F305, H305, Hoja2!$A$1:$A$18))</f>
        <v>1</v>
      </c>
      <c r="J305" s="758"/>
      <c r="K305" s="758"/>
      <c r="L305" s="840" t="s">
        <v>2687</v>
      </c>
      <c r="M305" s="363"/>
      <c r="N305" s="363"/>
      <c r="O305" s="363"/>
      <c r="P305" s="363"/>
      <c r="Q305" s="363"/>
      <c r="R305" s="363"/>
      <c r="S305" s="363"/>
      <c r="T305" s="363"/>
      <c r="U305" s="363"/>
      <c r="V305" s="363"/>
      <c r="W305" s="363"/>
      <c r="X305" s="363"/>
      <c r="Y305" s="363"/>
      <c r="Z305" s="363"/>
    </row>
    <row r="306" ht="15.75" customHeight="1">
      <c r="A306" s="401" t="s">
        <v>1835</v>
      </c>
      <c r="B306" s="847" t="s">
        <v>2688</v>
      </c>
      <c r="C306" s="671"/>
      <c r="D306" s="374" t="s">
        <v>75</v>
      </c>
      <c r="E306" s="605">
        <v>45737.0</v>
      </c>
      <c r="F306" s="605">
        <v>45737.0</v>
      </c>
      <c r="G306" s="366"/>
      <c r="H306" s="605">
        <v>45737.0</v>
      </c>
      <c r="I306" s="383">
        <f>IF(ISBLANK(H306), NETWORKDAYS(F306, TODAY(),Hoja2!$A$1:$A$18), NETWORKDAYS(F306, H306, Hoja2!$A$1:$A$18))</f>
        <v>1</v>
      </c>
      <c r="J306" s="366"/>
      <c r="K306" s="366"/>
      <c r="L306" s="366" t="s">
        <v>2689</v>
      </c>
      <c r="M306" s="408"/>
      <c r="N306" s="408"/>
      <c r="O306" s="408"/>
      <c r="P306" s="408"/>
      <c r="Q306" s="408"/>
      <c r="R306" s="408"/>
      <c r="S306" s="408"/>
      <c r="T306" s="408"/>
      <c r="U306" s="408"/>
      <c r="V306" s="408"/>
      <c r="W306" s="408"/>
      <c r="X306" s="408"/>
      <c r="Y306" s="408"/>
      <c r="Z306" s="408"/>
    </row>
    <row r="307" ht="15.75" customHeight="1">
      <c r="A307" s="386" t="s">
        <v>1825</v>
      </c>
      <c r="B307" s="590" t="s">
        <v>2690</v>
      </c>
      <c r="C307" s="616"/>
      <c r="D307" s="401" t="s">
        <v>75</v>
      </c>
      <c r="E307" s="809">
        <v>45734.0</v>
      </c>
      <c r="F307" s="809">
        <v>45734.0</v>
      </c>
      <c r="G307" s="387"/>
      <c r="H307" s="809">
        <v>45741.0</v>
      </c>
      <c r="I307" s="375">
        <f>IF(ISBLANK(H307), NETWORKDAYS(F307, TODAY(),Hoja2!$A$1:$A$18), NETWORKDAYS(F307, H307, Hoja2!$A$1:$A$18))</f>
        <v>6</v>
      </c>
      <c r="J307" s="383"/>
      <c r="K307" s="809">
        <v>45741.0</v>
      </c>
      <c r="L307" s="848" t="s">
        <v>2691</v>
      </c>
      <c r="M307" s="849"/>
      <c r="N307" s="363"/>
      <c r="O307" s="363"/>
      <c r="P307" s="363"/>
      <c r="Q307" s="363"/>
      <c r="R307" s="363"/>
      <c r="S307" s="363"/>
      <c r="T307" s="363"/>
      <c r="U307" s="363"/>
      <c r="V307" s="363"/>
      <c r="W307" s="363"/>
      <c r="X307" s="363"/>
      <c r="Y307" s="363"/>
      <c r="Z307" s="363"/>
    </row>
    <row r="308" ht="15.75" customHeight="1">
      <c r="A308" s="401" t="s">
        <v>1835</v>
      </c>
      <c r="B308" s="847" t="s">
        <v>2692</v>
      </c>
      <c r="C308" s="671"/>
      <c r="D308" s="374" t="s">
        <v>75</v>
      </c>
      <c r="E308" s="605">
        <v>45741.0</v>
      </c>
      <c r="F308" s="605">
        <v>45741.0</v>
      </c>
      <c r="G308" s="366"/>
      <c r="H308" s="605">
        <v>45741.0</v>
      </c>
      <c r="I308" s="383">
        <f>IF(ISBLANK(H308), NETWORKDAYS(F308, TODAY(),Hoja2!$A$1:$A$18), NETWORKDAYS(F308, H308, Hoja2!$A$1:$A$18))</f>
        <v>1</v>
      </c>
      <c r="J308" s="366"/>
      <c r="K308" s="605">
        <v>45741.0</v>
      </c>
      <c r="L308" s="850" t="s">
        <v>2693</v>
      </c>
      <c r="M308" s="408"/>
      <c r="N308" s="408"/>
      <c r="O308" s="408"/>
      <c r="P308" s="408"/>
      <c r="Q308" s="408"/>
      <c r="R308" s="408"/>
      <c r="S308" s="408"/>
      <c r="T308" s="408"/>
      <c r="U308" s="408"/>
      <c r="V308" s="408"/>
      <c r="W308" s="408"/>
      <c r="X308" s="408"/>
      <c r="Y308" s="408"/>
      <c r="Z308" s="408"/>
    </row>
    <row r="309" ht="15.75" customHeight="1">
      <c r="A309" s="401" t="s">
        <v>1835</v>
      </c>
      <c r="B309" s="847" t="s">
        <v>2694</v>
      </c>
      <c r="C309" s="671"/>
      <c r="D309" s="374" t="s">
        <v>75</v>
      </c>
      <c r="E309" s="605">
        <v>45741.0</v>
      </c>
      <c r="F309" s="605">
        <v>45741.0</v>
      </c>
      <c r="G309" s="366"/>
      <c r="H309" s="605">
        <v>45741.0</v>
      </c>
      <c r="I309" s="383">
        <f>IF(ISBLANK(H309), NETWORKDAYS(F309, TODAY(),Hoja2!$A$1:$A$18), NETWORKDAYS(F309, H309, Hoja2!$A$1:$A$18))</f>
        <v>1</v>
      </c>
      <c r="J309" s="366"/>
      <c r="K309" s="366"/>
      <c r="L309" s="850" t="s">
        <v>2695</v>
      </c>
      <c r="M309" s="408"/>
      <c r="N309" s="408"/>
      <c r="O309" s="408"/>
      <c r="P309" s="408"/>
      <c r="Q309" s="408"/>
      <c r="R309" s="408"/>
      <c r="S309" s="408"/>
      <c r="T309" s="408"/>
      <c r="U309" s="408"/>
      <c r="V309" s="408"/>
      <c r="W309" s="408"/>
      <c r="X309" s="408"/>
      <c r="Y309" s="408"/>
      <c r="Z309" s="408"/>
    </row>
    <row r="310" ht="15.0" customHeight="1">
      <c r="A310" s="401" t="s">
        <v>1835</v>
      </c>
      <c r="B310" s="851" t="s">
        <v>2696</v>
      </c>
      <c r="C310" s="828"/>
      <c r="D310" s="805" t="s">
        <v>75</v>
      </c>
      <c r="E310" s="829">
        <v>45742.0</v>
      </c>
      <c r="F310" s="829">
        <v>45743.0</v>
      </c>
      <c r="I310" s="383">
        <f>IF(ISBLANK(H310), NETWORKDAYS(F310, TODAY(),Hoja2!$A$1:$A$18), NETWORKDAYS(F310, H310, Hoja2!$A$1:$A$18))</f>
        <v>191</v>
      </c>
      <c r="L310" s="408" t="s">
        <v>2697</v>
      </c>
    </row>
    <row r="311" ht="15.75" customHeight="1">
      <c r="A311" s="386" t="s">
        <v>1825</v>
      </c>
      <c r="B311" s="396" t="s">
        <v>2698</v>
      </c>
      <c r="C311" s="616"/>
      <c r="D311" s="401" t="s">
        <v>75</v>
      </c>
      <c r="E311" s="809">
        <v>45744.0</v>
      </c>
      <c r="F311" s="809">
        <v>45744.0</v>
      </c>
      <c r="G311" s="387"/>
      <c r="H311" s="809">
        <v>45744.0</v>
      </c>
      <c r="I311" s="375">
        <f>IF(ISBLANK(H311), NETWORKDAYS(F311, TODAY(),Hoja2!$A$1:$A$18), NETWORKDAYS(F311, H311, Hoja2!$A$1:$A$18))</f>
        <v>1</v>
      </c>
      <c r="J311" s="383"/>
      <c r="K311" s="809">
        <v>45744.0</v>
      </c>
      <c r="L311" s="848" t="s">
        <v>2699</v>
      </c>
      <c r="M311" s="849"/>
      <c r="N311" s="363"/>
      <c r="O311" s="363"/>
      <c r="P311" s="363"/>
      <c r="Q311" s="363"/>
      <c r="R311" s="363"/>
      <c r="S311" s="363"/>
      <c r="T311" s="363"/>
      <c r="U311" s="363"/>
      <c r="V311" s="363"/>
      <c r="W311" s="363"/>
      <c r="X311" s="363"/>
      <c r="Y311" s="363"/>
      <c r="Z311" s="363"/>
    </row>
    <row r="312" ht="15.0" customHeight="1">
      <c r="A312" s="744" t="s">
        <v>1835</v>
      </c>
      <c r="B312" s="851" t="s">
        <v>2700</v>
      </c>
      <c r="C312" s="841"/>
      <c r="D312" s="805" t="s">
        <v>75</v>
      </c>
      <c r="E312" s="829">
        <v>45743.0</v>
      </c>
      <c r="F312" s="829">
        <v>45744.0</v>
      </c>
      <c r="G312" s="408"/>
      <c r="H312" s="829">
        <v>45744.0</v>
      </c>
      <c r="I312" s="731">
        <f>IF(ISBLANK(H312), NETWORKDAYS(F312, TODAY(),Hoja2!$A$1:$A$18), NETWORKDAYS(F312, H312, Hoja2!$A$1:$A$18))</f>
        <v>1</v>
      </c>
      <c r="J312" s="408"/>
      <c r="K312" s="829">
        <v>45744.0</v>
      </c>
      <c r="L312" s="408" t="s">
        <v>2701</v>
      </c>
    </row>
    <row r="313" ht="15.75" customHeight="1">
      <c r="A313" s="401" t="s">
        <v>1835</v>
      </c>
      <c r="B313" s="651" t="s">
        <v>2702</v>
      </c>
      <c r="C313" s="810"/>
      <c r="D313" s="852" t="s">
        <v>75</v>
      </c>
      <c r="E313" s="405">
        <v>45744.0</v>
      </c>
      <c r="F313" s="405">
        <v>45744.0</v>
      </c>
      <c r="G313" s="403"/>
      <c r="H313" s="405">
        <v>45744.0</v>
      </c>
      <c r="I313" s="383">
        <f>IF(ISBLANK(H313), NETWORKDAYS(F313, TODAY(),Hoja2!$A$1:$A$18), NETWORKDAYS(F313, H313, Hoja2!$A$1:$A$18))</f>
        <v>1</v>
      </c>
      <c r="J313" s="405"/>
      <c r="K313" s="405">
        <v>45744.0</v>
      </c>
      <c r="L313" s="403" t="s">
        <v>2703</v>
      </c>
      <c r="M313" s="408"/>
      <c r="N313" s="408"/>
      <c r="O313" s="408"/>
      <c r="P313" s="408"/>
      <c r="Q313" s="408"/>
      <c r="R313" s="408"/>
      <c r="S313" s="408"/>
      <c r="T313" s="408"/>
      <c r="U313" s="408"/>
      <c r="V313" s="408"/>
      <c r="W313" s="408"/>
      <c r="X313" s="408"/>
      <c r="Y313" s="408"/>
      <c r="Z313" s="408"/>
    </row>
    <row r="314" ht="15.75" customHeight="1">
      <c r="A314" s="401" t="s">
        <v>1835</v>
      </c>
      <c r="B314" s="853" t="s">
        <v>1836</v>
      </c>
      <c r="C314" s="810"/>
      <c r="D314" s="852" t="s">
        <v>75</v>
      </c>
      <c r="E314" s="405">
        <v>45671.0</v>
      </c>
      <c r="F314" s="406">
        <v>45673.0</v>
      </c>
      <c r="G314" s="403" t="s">
        <v>1839</v>
      </c>
      <c r="H314" s="405">
        <v>45680.0</v>
      </c>
      <c r="I314" s="383">
        <f>IF(ISBLANK(H314), NETWORKDAYS(F314, TODAY(),Hoja2!$A$1:$A$18), NETWORKDAYS(F314, H314, Hoja2!$A$1:$A$18))</f>
        <v>6</v>
      </c>
      <c r="J314" s="405">
        <v>45680.0</v>
      </c>
      <c r="K314" s="403"/>
      <c r="L314" s="403" t="s">
        <v>2704</v>
      </c>
      <c r="M314" s="824" t="s">
        <v>2705</v>
      </c>
      <c r="N314" s="408"/>
      <c r="O314" s="408"/>
      <c r="P314" s="408"/>
      <c r="Q314" s="408"/>
      <c r="R314" s="408"/>
      <c r="S314" s="408"/>
      <c r="T314" s="408"/>
      <c r="U314" s="408"/>
      <c r="V314" s="408"/>
      <c r="W314" s="408"/>
      <c r="X314" s="408"/>
      <c r="Y314" s="408"/>
      <c r="Z314" s="408"/>
    </row>
    <row r="315" ht="15.75" customHeight="1">
      <c r="A315" s="679" t="s">
        <v>1835</v>
      </c>
      <c r="B315" s="854" t="s">
        <v>2706</v>
      </c>
      <c r="C315" s="411"/>
      <c r="D315" s="672" t="s">
        <v>75</v>
      </c>
      <c r="E315" s="605">
        <v>45736.0</v>
      </c>
      <c r="F315" s="605">
        <v>45736.0</v>
      </c>
      <c r="G315" s="366"/>
      <c r="H315" s="605">
        <v>45749.0</v>
      </c>
      <c r="I315" s="683">
        <f>IF(ISBLANK(H315), NETWORKDAYS(F315, TODAY(),Hoja2!$A$1:$A$18), NETWORKDAYS(F315, H315, Hoja2!$A$1:$A$18))</f>
        <v>10</v>
      </c>
      <c r="J315" s="368">
        <v>45749.0</v>
      </c>
      <c r="K315" s="368">
        <v>45755.0</v>
      </c>
      <c r="L315" s="850" t="s">
        <v>1358</v>
      </c>
      <c r="M315" s="408"/>
      <c r="N315" s="408"/>
      <c r="O315" s="408"/>
      <c r="P315" s="408"/>
      <c r="Q315" s="408"/>
      <c r="R315" s="408"/>
      <c r="S315" s="408"/>
      <c r="T315" s="408"/>
      <c r="U315" s="408"/>
      <c r="V315" s="408"/>
      <c r="W315" s="408"/>
      <c r="X315" s="408"/>
      <c r="Y315" s="408"/>
      <c r="Z315" s="408"/>
    </row>
    <row r="316" ht="15.75" customHeight="1">
      <c r="A316" s="386" t="s">
        <v>1825</v>
      </c>
      <c r="B316" s="396" t="s">
        <v>2707</v>
      </c>
      <c r="C316" s="616"/>
      <c r="D316" s="386" t="s">
        <v>75</v>
      </c>
      <c r="E316" s="809">
        <v>45741.0</v>
      </c>
      <c r="F316" s="809">
        <v>45741.0</v>
      </c>
      <c r="G316" s="387"/>
      <c r="H316" s="387">
        <v>45755.0</v>
      </c>
      <c r="I316" s="383">
        <f>IF(ISBLANK(H316), NETWORKDAYS(F316, TODAY(),Hoja2!$A$1:$A$18), NETWORKDAYS(F316, H316, Hoja2!$A$1:$A$18))</f>
        <v>11</v>
      </c>
      <c r="J316" s="809"/>
      <c r="K316" s="387">
        <v>45755.0</v>
      </c>
      <c r="L316" s="848" t="s">
        <v>2708</v>
      </c>
      <c r="M316" s="597"/>
      <c r="N316" s="363"/>
      <c r="O316" s="363"/>
      <c r="P316" s="363"/>
      <c r="Q316" s="363"/>
      <c r="R316" s="363"/>
      <c r="S316" s="363"/>
      <c r="T316" s="363"/>
      <c r="U316" s="363"/>
      <c r="V316" s="363"/>
      <c r="W316" s="363"/>
      <c r="X316" s="363"/>
      <c r="Y316" s="363"/>
      <c r="Z316" s="363"/>
    </row>
    <row r="317" ht="15.75" customHeight="1">
      <c r="A317" s="401" t="s">
        <v>1810</v>
      </c>
      <c r="B317" s="855" t="s">
        <v>2709</v>
      </c>
      <c r="C317" s="812"/>
      <c r="D317" s="594" t="s">
        <v>75</v>
      </c>
      <c r="E317" s="751">
        <v>45709.0</v>
      </c>
      <c r="F317" s="751">
        <v>45715.0</v>
      </c>
      <c r="G317" s="749"/>
      <c r="H317" s="751">
        <v>45757.0</v>
      </c>
      <c r="I317" s="856">
        <f>IF(ISBLANK(H317), NETWORKDAYS(F317, TODAY(),Hoja2!$A$1:$A$18), NETWORKDAYS(F317, H317, Hoja2!$A$1:$A$18))</f>
        <v>31</v>
      </c>
      <c r="J317" s="751">
        <v>45716.0</v>
      </c>
      <c r="K317" s="751">
        <v>45757.0</v>
      </c>
      <c r="L317" s="835" t="s">
        <v>2710</v>
      </c>
      <c r="M317" s="363"/>
      <c r="N317" s="363"/>
      <c r="O317" s="363"/>
      <c r="P317" s="363"/>
      <c r="Q317" s="363"/>
      <c r="R317" s="363"/>
      <c r="S317" s="363"/>
      <c r="T317" s="363"/>
      <c r="U317" s="363"/>
      <c r="V317" s="363"/>
      <c r="W317" s="363"/>
      <c r="X317" s="363"/>
      <c r="Y317" s="363"/>
      <c r="Z317" s="363"/>
    </row>
    <row r="318" ht="15.75" customHeight="1">
      <c r="A318" s="596" t="s">
        <v>1810</v>
      </c>
      <c r="B318" s="857" t="s">
        <v>2711</v>
      </c>
      <c r="C318" s="858"/>
      <c r="D318" s="594" t="s">
        <v>75</v>
      </c>
      <c r="E318" s="859">
        <v>45695.0</v>
      </c>
      <c r="F318" s="814">
        <v>45712.0</v>
      </c>
      <c r="G318" s="859">
        <v>45715.0</v>
      </c>
      <c r="H318" s="859">
        <v>45757.0</v>
      </c>
      <c r="I318" s="375">
        <f>IF(ISBLANK(H318), NETWORKDAYS(F318, TODAY(),Hoja2!$A$1:$A$18), NETWORKDAYS(F318, H318, Hoja2!$A$1:$A$18))</f>
        <v>34</v>
      </c>
      <c r="J318" s="859">
        <v>45715.0</v>
      </c>
      <c r="K318" s="859">
        <v>45757.0</v>
      </c>
      <c r="L318" s="385" t="s">
        <v>2712</v>
      </c>
      <c r="M318" s="860"/>
      <c r="N318" s="860"/>
      <c r="O318" s="860"/>
      <c r="P318" s="860"/>
      <c r="Q318" s="860"/>
      <c r="R318" s="860"/>
      <c r="S318" s="860"/>
      <c r="T318" s="860"/>
      <c r="U318" s="860"/>
      <c r="V318" s="860"/>
      <c r="W318" s="860"/>
      <c r="X318" s="860"/>
      <c r="Y318" s="860"/>
      <c r="Z318" s="860"/>
      <c r="AA318" s="860"/>
      <c r="AB318" s="860"/>
      <c r="AC318" s="860"/>
      <c r="AD318" s="860"/>
      <c r="AE318" s="860"/>
      <c r="AF318" s="860"/>
      <c r="AG318" s="860"/>
    </row>
    <row r="319" ht="15.75" customHeight="1">
      <c r="A319" s="401" t="s">
        <v>1810</v>
      </c>
      <c r="B319" s="590" t="s">
        <v>2713</v>
      </c>
      <c r="C319" s="819"/>
      <c r="D319" s="594" t="s">
        <v>75</v>
      </c>
      <c r="E319" s="405">
        <v>45755.0</v>
      </c>
      <c r="F319" s="405">
        <v>45755.0</v>
      </c>
      <c r="G319" s="405"/>
      <c r="H319" s="405">
        <v>45757.0</v>
      </c>
      <c r="I319" s="383">
        <f>IF(ISBLANK(H319), NETWORKDAYS(F319, TODAY(),Hoja2!$A$1:$A$18), NETWORKDAYS(F319, H319, Hoja2!$A$1:$A$18))</f>
        <v>3</v>
      </c>
      <c r="J319" s="405"/>
      <c r="K319" s="405">
        <v>45757.0</v>
      </c>
      <c r="L319" s="822" t="s">
        <v>2714</v>
      </c>
      <c r="M319" s="363"/>
      <c r="N319" s="363"/>
      <c r="O319" s="363"/>
      <c r="P319" s="363"/>
      <c r="Q319" s="363"/>
      <c r="R319" s="363"/>
      <c r="S319" s="363"/>
      <c r="T319" s="363"/>
      <c r="U319" s="363"/>
      <c r="V319" s="363"/>
      <c r="W319" s="363"/>
      <c r="X319" s="363"/>
      <c r="Y319" s="363"/>
      <c r="Z319" s="363"/>
    </row>
    <row r="320" ht="15.75" customHeight="1">
      <c r="A320" s="401" t="s">
        <v>1835</v>
      </c>
      <c r="B320" s="823" t="s">
        <v>2715</v>
      </c>
      <c r="C320" s="810"/>
      <c r="D320" s="374" t="s">
        <v>75</v>
      </c>
      <c r="E320" s="373">
        <v>45749.0</v>
      </c>
      <c r="F320" s="373">
        <v>45749.0</v>
      </c>
      <c r="G320" s="631"/>
      <c r="H320" s="373">
        <v>45757.0</v>
      </c>
      <c r="I320" s="383">
        <f>IF(ISBLANK(H320), NETWORKDAYS(F320, TODAY(),Hoja2!$A$1:$A$18), NETWORKDAYS(F320, H320, Hoja2!$A$1:$A$18))</f>
        <v>7</v>
      </c>
      <c r="J320" s="631"/>
      <c r="K320" s="373">
        <v>45757.0</v>
      </c>
      <c r="L320" s="861" t="s">
        <v>2716</v>
      </c>
      <c r="M320" s="408"/>
      <c r="N320" s="408"/>
      <c r="O320" s="408"/>
      <c r="P320" s="408"/>
      <c r="Q320" s="408"/>
      <c r="R320" s="408"/>
      <c r="S320" s="408"/>
      <c r="T320" s="408"/>
      <c r="U320" s="408"/>
      <c r="V320" s="408"/>
      <c r="W320" s="408"/>
      <c r="X320" s="408"/>
      <c r="Y320" s="408"/>
      <c r="Z320" s="408"/>
    </row>
    <row r="321" ht="29.25" customHeight="1">
      <c r="A321" s="704" t="s">
        <v>2082</v>
      </c>
      <c r="B321" s="479" t="s">
        <v>2717</v>
      </c>
      <c r="C321" s="862" t="s">
        <v>2718</v>
      </c>
      <c r="D321" s="436"/>
      <c r="E321" s="712" t="s">
        <v>2719</v>
      </c>
      <c r="F321" s="706">
        <v>45688.0</v>
      </c>
      <c r="G321" s="706">
        <v>45691.0</v>
      </c>
      <c r="H321" s="706">
        <v>45694.0</v>
      </c>
      <c r="I321" s="705"/>
      <c r="J321" s="701">
        <f>IF(ISBLANK(I321), NETWORKDAYS(G321, TODAY(),Hoja2!$A$1:$A$18), NETWORKDAYS(G321, I321, Hoja2!$A$1:$A$18))</f>
        <v>229</v>
      </c>
      <c r="K321" s="706"/>
      <c r="L321" s="706"/>
      <c r="M321" s="863" t="s">
        <v>2720</v>
      </c>
      <c r="N321" s="597"/>
      <c r="O321" s="363"/>
      <c r="P321" s="363"/>
      <c r="Q321" s="363"/>
      <c r="R321" s="363"/>
      <c r="S321" s="363"/>
      <c r="T321" s="363"/>
      <c r="U321" s="363"/>
      <c r="V321" s="363"/>
      <c r="W321" s="363"/>
      <c r="X321" s="363"/>
      <c r="Y321" s="363"/>
      <c r="Z321" s="363"/>
      <c r="AA321" s="363"/>
    </row>
    <row r="322" ht="15.75" customHeight="1">
      <c r="A322" s="454"/>
      <c r="B322" s="454"/>
      <c r="C322" s="454"/>
      <c r="D322" s="864"/>
      <c r="E322" s="454"/>
      <c r="F322" s="454"/>
      <c r="G322" s="454"/>
      <c r="H322" s="454"/>
      <c r="I322" s="454"/>
      <c r="J322" s="454"/>
      <c r="K322" s="454"/>
      <c r="L322" s="454"/>
      <c r="M322" s="454"/>
      <c r="N322" s="454"/>
      <c r="O322" s="454"/>
      <c r="P322" s="454"/>
      <c r="Q322" s="454"/>
      <c r="R322" s="454"/>
      <c r="S322" s="454"/>
      <c r="T322" s="454"/>
      <c r="U322" s="454"/>
      <c r="V322" s="454"/>
      <c r="W322" s="454"/>
      <c r="X322" s="454"/>
      <c r="Y322" s="454"/>
      <c r="Z322" s="454"/>
    </row>
    <row r="323" ht="15.75" customHeight="1">
      <c r="A323" s="454"/>
      <c r="B323" s="454"/>
      <c r="C323" s="454"/>
      <c r="D323" s="864"/>
      <c r="E323" s="454"/>
      <c r="F323" s="454"/>
      <c r="G323" s="454"/>
      <c r="H323" s="454"/>
      <c r="I323" s="454"/>
      <c r="J323" s="454"/>
      <c r="K323" s="454"/>
      <c r="L323" s="454"/>
      <c r="M323" s="454"/>
      <c r="N323" s="454"/>
      <c r="O323" s="454"/>
      <c r="P323" s="454"/>
      <c r="Q323" s="454"/>
      <c r="R323" s="454"/>
      <c r="S323" s="454"/>
      <c r="T323" s="454"/>
      <c r="U323" s="454"/>
      <c r="V323" s="454"/>
      <c r="W323" s="454"/>
      <c r="X323" s="454"/>
      <c r="Y323" s="454"/>
      <c r="Z323" s="454"/>
    </row>
    <row r="324" ht="15.75" customHeight="1">
      <c r="A324" s="454"/>
      <c r="B324" s="454"/>
      <c r="C324" s="454"/>
      <c r="D324" s="864"/>
      <c r="E324" s="454"/>
      <c r="F324" s="454"/>
      <c r="G324" s="454"/>
      <c r="H324" s="454"/>
      <c r="I324" s="454"/>
      <c r="J324" s="454"/>
      <c r="K324" s="454"/>
      <c r="L324" s="454"/>
      <c r="M324" s="454"/>
      <c r="N324" s="454"/>
      <c r="O324" s="454"/>
      <c r="P324" s="454"/>
      <c r="Q324" s="454"/>
      <c r="R324" s="454"/>
      <c r="S324" s="454"/>
      <c r="T324" s="454"/>
      <c r="U324" s="454"/>
      <c r="V324" s="454"/>
      <c r="W324" s="454"/>
      <c r="X324" s="454"/>
      <c r="Y324" s="454"/>
      <c r="Z324" s="454"/>
    </row>
    <row r="325" ht="15.75" customHeight="1">
      <c r="A325" s="454"/>
      <c r="B325" s="454"/>
      <c r="C325" s="454"/>
      <c r="D325" s="864"/>
      <c r="E325" s="454"/>
      <c r="F325" s="454"/>
      <c r="G325" s="454"/>
      <c r="H325" s="454"/>
      <c r="I325" s="454"/>
      <c r="J325" s="454"/>
      <c r="K325" s="454"/>
      <c r="L325" s="454"/>
      <c r="M325" s="454"/>
      <c r="N325" s="454"/>
      <c r="O325" s="454"/>
      <c r="P325" s="454"/>
      <c r="Q325" s="454"/>
      <c r="R325" s="454"/>
      <c r="S325" s="454"/>
      <c r="T325" s="454"/>
      <c r="U325" s="454"/>
      <c r="V325" s="454"/>
      <c r="W325" s="454"/>
      <c r="X325" s="454"/>
      <c r="Y325" s="454"/>
      <c r="Z325" s="454"/>
    </row>
    <row r="326" ht="15.75" customHeight="1">
      <c r="A326" s="454"/>
      <c r="B326" s="454"/>
      <c r="C326" s="454"/>
      <c r="D326" s="864"/>
      <c r="E326" s="454"/>
      <c r="F326" s="454"/>
      <c r="G326" s="454"/>
      <c r="H326" s="454"/>
      <c r="I326" s="454"/>
      <c r="J326" s="454"/>
      <c r="K326" s="454"/>
      <c r="L326" s="454"/>
      <c r="M326" s="454"/>
      <c r="N326" s="454"/>
      <c r="O326" s="454"/>
      <c r="P326" s="454"/>
      <c r="Q326" s="454"/>
      <c r="R326" s="454"/>
      <c r="S326" s="454"/>
      <c r="T326" s="454"/>
      <c r="U326" s="454"/>
      <c r="V326" s="454"/>
      <c r="W326" s="454"/>
      <c r="X326" s="454"/>
      <c r="Y326" s="454"/>
      <c r="Z326" s="454"/>
    </row>
    <row r="327" ht="15.75" customHeight="1">
      <c r="A327" s="454"/>
      <c r="B327" s="454"/>
      <c r="C327" s="454"/>
      <c r="D327" s="864"/>
      <c r="E327" s="454"/>
      <c r="F327" s="454"/>
      <c r="G327" s="454"/>
      <c r="H327" s="454"/>
      <c r="I327" s="454"/>
      <c r="J327" s="454"/>
      <c r="K327" s="454"/>
      <c r="L327" s="454"/>
      <c r="M327" s="454"/>
      <c r="N327" s="454"/>
      <c r="O327" s="454"/>
      <c r="P327" s="454"/>
      <c r="Q327" s="454"/>
      <c r="R327" s="454"/>
      <c r="S327" s="454"/>
      <c r="T327" s="454"/>
      <c r="U327" s="454"/>
      <c r="V327" s="454"/>
      <c r="W327" s="454"/>
      <c r="X327" s="454"/>
      <c r="Y327" s="454"/>
      <c r="Z327" s="454"/>
    </row>
    <row r="328" ht="15.75" customHeight="1">
      <c r="A328" s="454"/>
      <c r="B328" s="454"/>
      <c r="C328" s="454"/>
      <c r="D328" s="864"/>
      <c r="E328" s="454"/>
      <c r="F328" s="454"/>
      <c r="G328" s="454"/>
      <c r="H328" s="454"/>
      <c r="I328" s="454"/>
      <c r="J328" s="454"/>
      <c r="K328" s="454"/>
      <c r="L328" s="454"/>
      <c r="M328" s="454"/>
      <c r="N328" s="454"/>
      <c r="O328" s="454"/>
      <c r="P328" s="454"/>
      <c r="Q328" s="454"/>
      <c r="R328" s="454"/>
      <c r="S328" s="454"/>
      <c r="T328" s="454"/>
      <c r="U328" s="454"/>
      <c r="V328" s="454"/>
      <c r="W328" s="454"/>
      <c r="X328" s="454"/>
      <c r="Y328" s="454"/>
      <c r="Z328" s="454"/>
    </row>
    <row r="329" ht="15.75" customHeight="1">
      <c r="A329" s="454"/>
      <c r="B329" s="454"/>
      <c r="C329" s="454"/>
      <c r="D329" s="864"/>
      <c r="E329" s="454"/>
      <c r="F329" s="454"/>
      <c r="G329" s="454"/>
      <c r="H329" s="454"/>
      <c r="I329" s="454"/>
      <c r="J329" s="454"/>
      <c r="K329" s="454"/>
      <c r="L329" s="454"/>
      <c r="M329" s="454"/>
      <c r="N329" s="454"/>
      <c r="O329" s="454"/>
      <c r="P329" s="454"/>
      <c r="Q329" s="454"/>
      <c r="R329" s="454"/>
      <c r="S329" s="454"/>
      <c r="T329" s="454"/>
      <c r="U329" s="454"/>
      <c r="V329" s="454"/>
      <c r="W329" s="454"/>
      <c r="X329" s="454"/>
      <c r="Y329" s="454"/>
      <c r="Z329" s="454"/>
    </row>
    <row r="330" ht="15.75" customHeight="1">
      <c r="A330" s="454"/>
      <c r="B330" s="454"/>
      <c r="C330" s="454"/>
      <c r="D330" s="864"/>
      <c r="E330" s="454"/>
      <c r="F330" s="454"/>
      <c r="G330" s="454"/>
      <c r="H330" s="454"/>
      <c r="I330" s="454"/>
      <c r="J330" s="454"/>
      <c r="K330" s="454"/>
      <c r="L330" s="454"/>
      <c r="M330" s="454"/>
      <c r="N330" s="454"/>
      <c r="O330" s="454"/>
      <c r="P330" s="454"/>
      <c r="Q330" s="454"/>
      <c r="R330" s="454"/>
      <c r="S330" s="454"/>
      <c r="T330" s="454"/>
      <c r="U330" s="454"/>
      <c r="V330" s="454"/>
      <c r="W330" s="454"/>
      <c r="X330" s="454"/>
      <c r="Y330" s="454"/>
      <c r="Z330" s="454"/>
    </row>
    <row r="331" ht="15.75" customHeight="1">
      <c r="A331" s="454"/>
      <c r="B331" s="454"/>
      <c r="C331" s="454"/>
      <c r="D331" s="864"/>
      <c r="E331" s="454"/>
      <c r="F331" s="454"/>
      <c r="G331" s="454"/>
      <c r="H331" s="454"/>
      <c r="I331" s="454"/>
      <c r="J331" s="454"/>
      <c r="K331" s="454"/>
      <c r="L331" s="454"/>
      <c r="M331" s="454"/>
      <c r="N331" s="454"/>
      <c r="O331" s="454"/>
      <c r="P331" s="454"/>
      <c r="Q331" s="454"/>
      <c r="R331" s="454"/>
      <c r="S331" s="454"/>
      <c r="T331" s="454"/>
      <c r="U331" s="454"/>
      <c r="V331" s="454"/>
      <c r="W331" s="454"/>
      <c r="X331" s="454"/>
      <c r="Y331" s="454"/>
      <c r="Z331" s="454"/>
    </row>
    <row r="332" ht="15.75" customHeight="1">
      <c r="A332" s="454"/>
      <c r="B332" s="454"/>
      <c r="C332" s="454"/>
      <c r="D332" s="864"/>
      <c r="E332" s="454"/>
      <c r="F332" s="454"/>
      <c r="G332" s="454"/>
      <c r="H332" s="454"/>
      <c r="I332" s="454"/>
      <c r="J332" s="454"/>
      <c r="K332" s="454"/>
      <c r="L332" s="454"/>
      <c r="M332" s="454"/>
      <c r="N332" s="454"/>
      <c r="O332" s="454"/>
      <c r="P332" s="454"/>
      <c r="Q332" s="454"/>
      <c r="R332" s="454"/>
      <c r="S332" s="454"/>
      <c r="T332" s="454"/>
      <c r="U332" s="454"/>
      <c r="V332" s="454"/>
      <c r="W332" s="454"/>
      <c r="X332" s="454"/>
      <c r="Y332" s="454"/>
      <c r="Z332" s="454"/>
    </row>
    <row r="333" ht="15.75" customHeight="1">
      <c r="A333" s="454"/>
      <c r="B333" s="454"/>
      <c r="C333" s="454"/>
      <c r="D333" s="864"/>
      <c r="E333" s="454"/>
      <c r="F333" s="454"/>
      <c r="G333" s="454"/>
      <c r="H333" s="454"/>
      <c r="I333" s="454"/>
      <c r="J333" s="454"/>
      <c r="K333" s="454"/>
      <c r="L333" s="454"/>
      <c r="M333" s="454"/>
      <c r="N333" s="454"/>
      <c r="O333" s="454"/>
      <c r="P333" s="454"/>
      <c r="Q333" s="454"/>
      <c r="R333" s="454"/>
      <c r="S333" s="454"/>
      <c r="T333" s="454"/>
      <c r="U333" s="454"/>
      <c r="V333" s="454"/>
      <c r="W333" s="454"/>
      <c r="X333" s="454"/>
      <c r="Y333" s="454"/>
      <c r="Z333" s="454"/>
    </row>
    <row r="334" ht="15.75" customHeight="1">
      <c r="A334" s="454"/>
      <c r="B334" s="454"/>
      <c r="C334" s="454"/>
      <c r="D334" s="864"/>
      <c r="E334" s="454"/>
      <c r="F334" s="454"/>
      <c r="G334" s="454"/>
      <c r="H334" s="454"/>
      <c r="I334" s="454"/>
      <c r="J334" s="454"/>
      <c r="K334" s="454"/>
      <c r="L334" s="454"/>
      <c r="M334" s="454"/>
      <c r="N334" s="454"/>
      <c r="O334" s="454"/>
      <c r="P334" s="454"/>
      <c r="Q334" s="454"/>
      <c r="R334" s="454"/>
      <c r="S334" s="454"/>
      <c r="T334" s="454"/>
      <c r="U334" s="454"/>
      <c r="V334" s="454"/>
      <c r="W334" s="454"/>
      <c r="X334" s="454"/>
      <c r="Y334" s="454"/>
      <c r="Z334" s="454"/>
    </row>
    <row r="335" ht="15.75" customHeight="1">
      <c r="A335" s="454"/>
      <c r="B335" s="454"/>
      <c r="C335" s="454"/>
      <c r="D335" s="864"/>
      <c r="E335" s="454"/>
      <c r="F335" s="454"/>
      <c r="G335" s="454"/>
      <c r="H335" s="454"/>
      <c r="I335" s="454"/>
      <c r="J335" s="454"/>
      <c r="K335" s="454"/>
      <c r="L335" s="454"/>
      <c r="M335" s="454"/>
      <c r="N335" s="454"/>
      <c r="O335" s="454"/>
      <c r="P335" s="454"/>
      <c r="Q335" s="454"/>
      <c r="R335" s="454"/>
      <c r="S335" s="454"/>
      <c r="T335" s="454"/>
      <c r="U335" s="454"/>
      <c r="V335" s="454"/>
      <c r="W335" s="454"/>
      <c r="X335" s="454"/>
      <c r="Y335" s="454"/>
      <c r="Z335" s="454"/>
    </row>
    <row r="336" ht="15.75" customHeight="1">
      <c r="A336" s="454"/>
      <c r="B336" s="454"/>
      <c r="C336" s="454"/>
      <c r="D336" s="864"/>
      <c r="E336" s="454"/>
      <c r="F336" s="454"/>
      <c r="G336" s="454"/>
      <c r="H336" s="454"/>
      <c r="I336" s="454"/>
      <c r="J336" s="454"/>
      <c r="K336" s="454"/>
      <c r="L336" s="454"/>
      <c r="M336" s="454"/>
      <c r="N336" s="454"/>
      <c r="O336" s="454"/>
      <c r="P336" s="454"/>
      <c r="Q336" s="454"/>
      <c r="R336" s="454"/>
      <c r="S336" s="454"/>
      <c r="T336" s="454"/>
      <c r="U336" s="454"/>
      <c r="V336" s="454"/>
      <c r="W336" s="454"/>
      <c r="X336" s="454"/>
      <c r="Y336" s="454"/>
      <c r="Z336" s="454"/>
    </row>
    <row r="337" ht="15.75" customHeight="1">
      <c r="A337" s="454"/>
      <c r="B337" s="454"/>
      <c r="C337" s="454"/>
      <c r="D337" s="864"/>
      <c r="E337" s="454"/>
      <c r="F337" s="454"/>
      <c r="G337" s="454"/>
      <c r="H337" s="454"/>
      <c r="I337" s="454"/>
      <c r="J337" s="454"/>
      <c r="K337" s="454"/>
      <c r="L337" s="454"/>
      <c r="M337" s="454"/>
      <c r="N337" s="454"/>
      <c r="O337" s="454"/>
      <c r="P337" s="454"/>
      <c r="Q337" s="454"/>
      <c r="R337" s="454"/>
      <c r="S337" s="454"/>
      <c r="T337" s="454"/>
      <c r="U337" s="454"/>
      <c r="V337" s="454"/>
      <c r="W337" s="454"/>
      <c r="X337" s="454"/>
      <c r="Y337" s="454"/>
      <c r="Z337" s="454"/>
    </row>
    <row r="338" ht="15.75" customHeight="1">
      <c r="A338" s="454"/>
      <c r="B338" s="454"/>
      <c r="C338" s="454"/>
      <c r="D338" s="864"/>
      <c r="E338" s="454"/>
      <c r="F338" s="454"/>
      <c r="G338" s="454"/>
      <c r="H338" s="454"/>
      <c r="I338" s="454"/>
      <c r="J338" s="454"/>
      <c r="K338" s="454"/>
      <c r="L338" s="454"/>
      <c r="M338" s="454"/>
      <c r="N338" s="454"/>
      <c r="O338" s="454"/>
      <c r="P338" s="454"/>
      <c r="Q338" s="454"/>
      <c r="R338" s="454"/>
      <c r="S338" s="454"/>
      <c r="T338" s="454"/>
      <c r="U338" s="454"/>
      <c r="V338" s="454"/>
      <c r="W338" s="454"/>
      <c r="X338" s="454"/>
      <c r="Y338" s="454"/>
      <c r="Z338" s="454"/>
    </row>
    <row r="339" ht="15.75" customHeight="1">
      <c r="A339" s="454"/>
      <c r="B339" s="454"/>
      <c r="C339" s="454"/>
      <c r="D339" s="864"/>
      <c r="E339" s="454"/>
      <c r="F339" s="454"/>
      <c r="G339" s="454"/>
      <c r="H339" s="454"/>
      <c r="I339" s="454"/>
      <c r="J339" s="454"/>
      <c r="K339" s="454"/>
      <c r="L339" s="454"/>
      <c r="M339" s="454"/>
      <c r="N339" s="454"/>
      <c r="O339" s="454"/>
      <c r="P339" s="454"/>
      <c r="Q339" s="454"/>
      <c r="R339" s="454"/>
      <c r="S339" s="454"/>
      <c r="T339" s="454"/>
      <c r="U339" s="454"/>
      <c r="V339" s="454"/>
      <c r="W339" s="454"/>
      <c r="X339" s="454"/>
      <c r="Y339" s="454"/>
      <c r="Z339" s="454"/>
    </row>
    <row r="340" ht="15.75" customHeight="1">
      <c r="A340" s="454"/>
      <c r="B340" s="454"/>
      <c r="C340" s="454"/>
      <c r="D340" s="864"/>
      <c r="E340" s="454"/>
      <c r="F340" s="454"/>
      <c r="G340" s="454"/>
      <c r="H340" s="454"/>
      <c r="I340" s="454"/>
      <c r="J340" s="454"/>
      <c r="K340" s="454"/>
      <c r="L340" s="454"/>
      <c r="M340" s="454"/>
      <c r="N340" s="454"/>
      <c r="O340" s="454"/>
      <c r="P340" s="454"/>
      <c r="Q340" s="454"/>
      <c r="R340" s="454"/>
      <c r="S340" s="454"/>
      <c r="T340" s="454"/>
      <c r="U340" s="454"/>
      <c r="V340" s="454"/>
      <c r="W340" s="454"/>
      <c r="X340" s="454"/>
      <c r="Y340" s="454"/>
      <c r="Z340" s="454"/>
    </row>
    <row r="341" ht="15.75" customHeight="1">
      <c r="A341" s="454"/>
      <c r="B341" s="454"/>
      <c r="C341" s="454"/>
      <c r="D341" s="864"/>
      <c r="E341" s="454"/>
      <c r="F341" s="454"/>
      <c r="G341" s="454"/>
      <c r="H341" s="454"/>
      <c r="I341" s="454"/>
      <c r="J341" s="454"/>
      <c r="K341" s="454"/>
      <c r="L341" s="454"/>
      <c r="M341" s="454"/>
      <c r="N341" s="454"/>
      <c r="O341" s="454"/>
      <c r="P341" s="454"/>
      <c r="Q341" s="454"/>
      <c r="R341" s="454"/>
      <c r="S341" s="454"/>
      <c r="T341" s="454"/>
      <c r="U341" s="454"/>
      <c r="V341" s="454"/>
      <c r="W341" s="454"/>
      <c r="X341" s="454"/>
      <c r="Y341" s="454"/>
      <c r="Z341" s="454"/>
    </row>
    <row r="342" ht="15.75" customHeight="1">
      <c r="A342" s="454"/>
      <c r="B342" s="454"/>
      <c r="C342" s="454"/>
      <c r="D342" s="864"/>
      <c r="E342" s="454"/>
      <c r="F342" s="454"/>
      <c r="G342" s="454"/>
      <c r="H342" s="454"/>
      <c r="I342" s="454"/>
      <c r="J342" s="454"/>
      <c r="K342" s="454"/>
      <c r="L342" s="454"/>
      <c r="M342" s="454"/>
      <c r="N342" s="454"/>
      <c r="O342" s="454"/>
      <c r="P342" s="454"/>
      <c r="Q342" s="454"/>
      <c r="R342" s="454"/>
      <c r="S342" s="454"/>
      <c r="T342" s="454"/>
      <c r="U342" s="454"/>
      <c r="V342" s="454"/>
      <c r="W342" s="454"/>
      <c r="X342" s="454"/>
      <c r="Y342" s="454"/>
      <c r="Z342" s="454"/>
    </row>
    <row r="343" ht="15.75" customHeight="1">
      <c r="A343" s="454"/>
      <c r="B343" s="454"/>
      <c r="C343" s="454"/>
      <c r="D343" s="864"/>
      <c r="E343" s="454"/>
      <c r="F343" s="454"/>
      <c r="G343" s="454"/>
      <c r="H343" s="454"/>
      <c r="I343" s="454"/>
      <c r="J343" s="454"/>
      <c r="K343" s="454"/>
      <c r="L343" s="454"/>
      <c r="M343" s="454"/>
      <c r="N343" s="454"/>
      <c r="O343" s="454"/>
      <c r="P343" s="454"/>
      <c r="Q343" s="454"/>
      <c r="R343" s="454"/>
      <c r="S343" s="454"/>
      <c r="T343" s="454"/>
      <c r="U343" s="454"/>
      <c r="V343" s="454"/>
      <c r="W343" s="454"/>
      <c r="X343" s="454"/>
      <c r="Y343" s="454"/>
      <c r="Z343" s="454"/>
    </row>
    <row r="344" ht="15.75" customHeight="1">
      <c r="A344" s="454"/>
      <c r="B344" s="454"/>
      <c r="C344" s="454"/>
      <c r="D344" s="864"/>
      <c r="E344" s="454"/>
      <c r="F344" s="454"/>
      <c r="G344" s="454"/>
      <c r="H344" s="454"/>
      <c r="I344" s="454"/>
      <c r="J344" s="454"/>
      <c r="K344" s="454"/>
      <c r="L344" s="454"/>
      <c r="M344" s="454"/>
      <c r="N344" s="454"/>
      <c r="O344" s="454"/>
      <c r="P344" s="454"/>
      <c r="Q344" s="454"/>
      <c r="R344" s="454"/>
      <c r="S344" s="454"/>
      <c r="T344" s="454"/>
      <c r="U344" s="454"/>
      <c r="V344" s="454"/>
      <c r="W344" s="454"/>
      <c r="X344" s="454"/>
      <c r="Y344" s="454"/>
      <c r="Z344" s="454"/>
    </row>
    <row r="345" ht="15.75" customHeight="1">
      <c r="A345" s="454"/>
      <c r="B345" s="454"/>
      <c r="C345" s="454"/>
      <c r="D345" s="864"/>
      <c r="E345" s="454"/>
      <c r="F345" s="454"/>
      <c r="G345" s="454"/>
      <c r="H345" s="454"/>
      <c r="I345" s="454"/>
      <c r="J345" s="454"/>
      <c r="K345" s="454"/>
      <c r="L345" s="454"/>
      <c r="M345" s="454"/>
      <c r="N345" s="454"/>
      <c r="O345" s="454"/>
      <c r="P345" s="454"/>
      <c r="Q345" s="454"/>
      <c r="R345" s="454"/>
      <c r="S345" s="454"/>
      <c r="T345" s="454"/>
      <c r="U345" s="454"/>
      <c r="V345" s="454"/>
      <c r="W345" s="454"/>
      <c r="X345" s="454"/>
      <c r="Y345" s="454"/>
      <c r="Z345" s="454"/>
    </row>
    <row r="346" ht="15.75" customHeight="1">
      <c r="A346" s="454"/>
      <c r="B346" s="454"/>
      <c r="C346" s="454"/>
      <c r="D346" s="864"/>
      <c r="E346" s="454"/>
      <c r="F346" s="454"/>
      <c r="G346" s="454"/>
      <c r="H346" s="454"/>
      <c r="I346" s="454"/>
      <c r="J346" s="454"/>
      <c r="K346" s="454"/>
      <c r="L346" s="454"/>
      <c r="M346" s="454"/>
      <c r="N346" s="454"/>
      <c r="O346" s="454"/>
      <c r="P346" s="454"/>
      <c r="Q346" s="454"/>
      <c r="R346" s="454"/>
      <c r="S346" s="454"/>
      <c r="T346" s="454"/>
      <c r="U346" s="454"/>
      <c r="V346" s="454"/>
      <c r="W346" s="454"/>
      <c r="X346" s="454"/>
      <c r="Y346" s="454"/>
      <c r="Z346" s="454"/>
    </row>
    <row r="347" ht="15.75" customHeight="1">
      <c r="A347" s="454"/>
      <c r="B347" s="454"/>
      <c r="C347" s="454"/>
      <c r="D347" s="864"/>
      <c r="E347" s="454"/>
      <c r="F347" s="454"/>
      <c r="G347" s="454"/>
      <c r="H347" s="454"/>
      <c r="I347" s="454"/>
      <c r="J347" s="454"/>
      <c r="K347" s="454"/>
      <c r="L347" s="454"/>
      <c r="M347" s="454"/>
      <c r="N347" s="454"/>
      <c r="O347" s="454"/>
      <c r="P347" s="454"/>
      <c r="Q347" s="454"/>
      <c r="R347" s="454"/>
      <c r="S347" s="454"/>
      <c r="T347" s="454"/>
      <c r="U347" s="454"/>
      <c r="V347" s="454"/>
      <c r="W347" s="454"/>
      <c r="X347" s="454"/>
      <c r="Y347" s="454"/>
      <c r="Z347" s="454"/>
    </row>
    <row r="348" ht="15.75" customHeight="1">
      <c r="A348" s="454"/>
      <c r="B348" s="454"/>
      <c r="C348" s="454"/>
      <c r="D348" s="864"/>
      <c r="E348" s="454"/>
      <c r="F348" s="454"/>
      <c r="G348" s="454"/>
      <c r="H348" s="454"/>
      <c r="I348" s="454"/>
      <c r="J348" s="454"/>
      <c r="K348" s="454"/>
      <c r="L348" s="454"/>
      <c r="M348" s="454"/>
      <c r="N348" s="454"/>
      <c r="O348" s="454"/>
      <c r="P348" s="454"/>
      <c r="Q348" s="454"/>
      <c r="R348" s="454"/>
      <c r="S348" s="454"/>
      <c r="T348" s="454"/>
      <c r="U348" s="454"/>
      <c r="V348" s="454"/>
      <c r="W348" s="454"/>
      <c r="X348" s="454"/>
      <c r="Y348" s="454"/>
      <c r="Z348" s="454"/>
    </row>
    <row r="349" ht="15.75" customHeight="1">
      <c r="A349" s="454"/>
      <c r="B349" s="454"/>
      <c r="C349" s="454"/>
      <c r="D349" s="864"/>
      <c r="E349" s="454"/>
      <c r="F349" s="454"/>
      <c r="G349" s="454"/>
      <c r="H349" s="454"/>
      <c r="I349" s="454"/>
      <c r="J349" s="454"/>
      <c r="K349" s="454"/>
      <c r="L349" s="454"/>
      <c r="M349" s="454"/>
      <c r="N349" s="454"/>
      <c r="O349" s="454"/>
      <c r="P349" s="454"/>
      <c r="Q349" s="454"/>
      <c r="R349" s="454"/>
      <c r="S349" s="454"/>
      <c r="T349" s="454"/>
      <c r="U349" s="454"/>
      <c r="V349" s="454"/>
      <c r="W349" s="454"/>
      <c r="X349" s="454"/>
      <c r="Y349" s="454"/>
      <c r="Z349" s="454"/>
    </row>
    <row r="350" ht="15.75" customHeight="1">
      <c r="A350" s="454"/>
      <c r="B350" s="454"/>
      <c r="C350" s="454"/>
      <c r="D350" s="864"/>
      <c r="E350" s="454"/>
      <c r="F350" s="454"/>
      <c r="G350" s="454"/>
      <c r="H350" s="454"/>
      <c r="I350" s="454"/>
      <c r="J350" s="454"/>
      <c r="K350" s="454"/>
      <c r="L350" s="454"/>
      <c r="M350" s="454"/>
      <c r="N350" s="454"/>
      <c r="O350" s="454"/>
      <c r="P350" s="454"/>
      <c r="Q350" s="454"/>
      <c r="R350" s="454"/>
      <c r="S350" s="454"/>
      <c r="T350" s="454"/>
      <c r="U350" s="454"/>
      <c r="V350" s="454"/>
      <c r="W350" s="454"/>
      <c r="X350" s="454"/>
      <c r="Y350" s="454"/>
      <c r="Z350" s="454"/>
    </row>
    <row r="351" ht="15.75" customHeight="1">
      <c r="A351" s="454"/>
      <c r="B351" s="454"/>
      <c r="C351" s="454"/>
      <c r="D351" s="864"/>
      <c r="E351" s="454"/>
      <c r="F351" s="454"/>
      <c r="G351" s="454"/>
      <c r="H351" s="454"/>
      <c r="I351" s="454"/>
      <c r="J351" s="454"/>
      <c r="K351" s="454"/>
      <c r="L351" s="454"/>
      <c r="M351" s="454"/>
      <c r="N351" s="454"/>
      <c r="O351" s="454"/>
      <c r="P351" s="454"/>
      <c r="Q351" s="454"/>
      <c r="R351" s="454"/>
      <c r="S351" s="454"/>
      <c r="T351" s="454"/>
      <c r="U351" s="454"/>
      <c r="V351" s="454"/>
      <c r="W351" s="454"/>
      <c r="X351" s="454"/>
      <c r="Y351" s="454"/>
      <c r="Z351" s="454"/>
    </row>
    <row r="352" ht="15.75" customHeight="1">
      <c r="A352" s="454"/>
      <c r="B352" s="454"/>
      <c r="C352" s="454"/>
      <c r="D352" s="864"/>
      <c r="E352" s="454"/>
      <c r="F352" s="454"/>
      <c r="G352" s="454"/>
      <c r="H352" s="454"/>
      <c r="I352" s="454"/>
      <c r="J352" s="454"/>
      <c r="K352" s="454"/>
      <c r="L352" s="454"/>
      <c r="M352" s="454"/>
      <c r="N352" s="454"/>
      <c r="O352" s="454"/>
      <c r="P352" s="454"/>
      <c r="Q352" s="454"/>
      <c r="R352" s="454"/>
      <c r="S352" s="454"/>
      <c r="T352" s="454"/>
      <c r="U352" s="454"/>
      <c r="V352" s="454"/>
      <c r="W352" s="454"/>
      <c r="X352" s="454"/>
      <c r="Y352" s="454"/>
      <c r="Z352" s="454"/>
    </row>
    <row r="353" ht="15.75" customHeight="1">
      <c r="A353" s="454"/>
      <c r="B353" s="454"/>
      <c r="C353" s="454"/>
      <c r="D353" s="864"/>
      <c r="E353" s="454"/>
      <c r="F353" s="454"/>
      <c r="G353" s="454"/>
      <c r="H353" s="454"/>
      <c r="I353" s="454"/>
      <c r="J353" s="454"/>
      <c r="K353" s="454"/>
      <c r="L353" s="454"/>
      <c r="M353" s="454"/>
      <c r="N353" s="454"/>
      <c r="O353" s="454"/>
      <c r="P353" s="454"/>
      <c r="Q353" s="454"/>
      <c r="R353" s="454"/>
      <c r="S353" s="454"/>
      <c r="T353" s="454"/>
      <c r="U353" s="454"/>
      <c r="V353" s="454"/>
      <c r="W353" s="454"/>
      <c r="X353" s="454"/>
      <c r="Y353" s="454"/>
      <c r="Z353" s="454"/>
    </row>
    <row r="354" ht="15.75" customHeight="1">
      <c r="A354" s="454"/>
      <c r="B354" s="454"/>
      <c r="C354" s="454"/>
      <c r="D354" s="864"/>
      <c r="E354" s="454"/>
      <c r="F354" s="454"/>
      <c r="G354" s="454"/>
      <c r="H354" s="454"/>
      <c r="I354" s="454"/>
      <c r="J354" s="454"/>
      <c r="K354" s="454"/>
      <c r="L354" s="454"/>
      <c r="M354" s="454"/>
      <c r="N354" s="454"/>
      <c r="O354" s="454"/>
      <c r="P354" s="454"/>
      <c r="Q354" s="454"/>
      <c r="R354" s="454"/>
      <c r="S354" s="454"/>
      <c r="T354" s="454"/>
      <c r="U354" s="454"/>
      <c r="V354" s="454"/>
      <c r="W354" s="454"/>
      <c r="X354" s="454"/>
      <c r="Y354" s="454"/>
      <c r="Z354" s="454"/>
    </row>
    <row r="355" ht="15.75" customHeight="1">
      <c r="A355" s="454"/>
      <c r="B355" s="454"/>
      <c r="C355" s="454"/>
      <c r="D355" s="864"/>
      <c r="E355" s="454"/>
      <c r="F355" s="454"/>
      <c r="G355" s="454"/>
      <c r="H355" s="454"/>
      <c r="I355" s="454"/>
      <c r="J355" s="454"/>
      <c r="K355" s="454"/>
      <c r="L355" s="454"/>
      <c r="M355" s="454"/>
      <c r="N355" s="454"/>
      <c r="O355" s="454"/>
      <c r="P355" s="454"/>
      <c r="Q355" s="454"/>
      <c r="R355" s="454"/>
      <c r="S355" s="454"/>
      <c r="T355" s="454"/>
      <c r="U355" s="454"/>
      <c r="V355" s="454"/>
      <c r="W355" s="454"/>
      <c r="X355" s="454"/>
      <c r="Y355" s="454"/>
      <c r="Z355" s="454"/>
    </row>
    <row r="356" ht="15.75" customHeight="1">
      <c r="A356" s="454"/>
      <c r="B356" s="454"/>
      <c r="C356" s="454"/>
      <c r="D356" s="864"/>
      <c r="E356" s="454"/>
      <c r="F356" s="454"/>
      <c r="G356" s="454"/>
      <c r="H356" s="454"/>
      <c r="I356" s="454"/>
      <c r="J356" s="454"/>
      <c r="K356" s="454"/>
      <c r="L356" s="454"/>
      <c r="M356" s="454"/>
      <c r="N356" s="454"/>
      <c r="O356" s="454"/>
      <c r="P356" s="454"/>
      <c r="Q356" s="454"/>
      <c r="R356" s="454"/>
      <c r="S356" s="454"/>
      <c r="T356" s="454"/>
      <c r="U356" s="454"/>
      <c r="V356" s="454"/>
      <c r="W356" s="454"/>
      <c r="X356" s="454"/>
      <c r="Y356" s="454"/>
      <c r="Z356" s="454"/>
    </row>
    <row r="357" ht="15.75" customHeight="1">
      <c r="A357" s="454"/>
      <c r="B357" s="454"/>
      <c r="C357" s="454"/>
      <c r="D357" s="864"/>
      <c r="E357" s="454"/>
      <c r="F357" s="454"/>
      <c r="G357" s="454"/>
      <c r="H357" s="454"/>
      <c r="I357" s="454"/>
      <c r="J357" s="454"/>
      <c r="K357" s="454"/>
      <c r="L357" s="454"/>
      <c r="M357" s="454"/>
      <c r="N357" s="454"/>
      <c r="O357" s="454"/>
      <c r="P357" s="454"/>
      <c r="Q357" s="454"/>
      <c r="R357" s="454"/>
      <c r="S357" s="454"/>
      <c r="T357" s="454"/>
      <c r="U357" s="454"/>
      <c r="V357" s="454"/>
      <c r="W357" s="454"/>
      <c r="X357" s="454"/>
      <c r="Y357" s="454"/>
      <c r="Z357" s="454"/>
    </row>
    <row r="358" ht="15.75" customHeight="1">
      <c r="A358" s="454"/>
      <c r="B358" s="454"/>
      <c r="C358" s="454"/>
      <c r="D358" s="864"/>
      <c r="E358" s="454"/>
      <c r="F358" s="454"/>
      <c r="G358" s="454"/>
      <c r="H358" s="454"/>
      <c r="I358" s="454"/>
      <c r="J358" s="454"/>
      <c r="K358" s="454"/>
      <c r="L358" s="454"/>
      <c r="M358" s="454"/>
      <c r="N358" s="454"/>
      <c r="O358" s="454"/>
      <c r="P358" s="454"/>
      <c r="Q358" s="454"/>
      <c r="R358" s="454"/>
      <c r="S358" s="454"/>
      <c r="T358" s="454"/>
      <c r="U358" s="454"/>
      <c r="V358" s="454"/>
      <c r="W358" s="454"/>
      <c r="X358" s="454"/>
      <c r="Y358" s="454"/>
      <c r="Z358" s="454"/>
    </row>
    <row r="359" ht="15.75" customHeight="1">
      <c r="A359" s="454"/>
      <c r="B359" s="454"/>
      <c r="C359" s="454"/>
      <c r="D359" s="864"/>
      <c r="E359" s="454"/>
      <c r="F359" s="454"/>
      <c r="G359" s="454"/>
      <c r="H359" s="454"/>
      <c r="I359" s="454"/>
      <c r="J359" s="454"/>
      <c r="K359" s="454"/>
      <c r="L359" s="454"/>
      <c r="M359" s="454"/>
      <c r="N359" s="454"/>
      <c r="O359" s="454"/>
      <c r="P359" s="454"/>
      <c r="Q359" s="454"/>
      <c r="R359" s="454"/>
      <c r="S359" s="454"/>
      <c r="T359" s="454"/>
      <c r="U359" s="454"/>
      <c r="V359" s="454"/>
      <c r="W359" s="454"/>
      <c r="X359" s="454"/>
      <c r="Y359" s="454"/>
      <c r="Z359" s="454"/>
    </row>
    <row r="360" ht="15.75" customHeight="1">
      <c r="A360" s="454"/>
      <c r="B360" s="454"/>
      <c r="C360" s="454"/>
      <c r="D360" s="864"/>
      <c r="E360" s="454"/>
      <c r="F360" s="454"/>
      <c r="G360" s="454"/>
      <c r="H360" s="454"/>
      <c r="I360" s="454"/>
      <c r="J360" s="454"/>
      <c r="K360" s="454"/>
      <c r="L360" s="454"/>
      <c r="M360" s="454"/>
      <c r="N360" s="454"/>
      <c r="O360" s="454"/>
      <c r="P360" s="454"/>
      <c r="Q360" s="454"/>
      <c r="R360" s="454"/>
      <c r="S360" s="454"/>
      <c r="T360" s="454"/>
      <c r="U360" s="454"/>
      <c r="V360" s="454"/>
      <c r="W360" s="454"/>
      <c r="X360" s="454"/>
      <c r="Y360" s="454"/>
      <c r="Z360" s="454"/>
    </row>
    <row r="361" ht="15.75" customHeight="1">
      <c r="A361" s="454"/>
      <c r="B361" s="454"/>
      <c r="C361" s="454"/>
      <c r="D361" s="864"/>
      <c r="E361" s="454"/>
      <c r="F361" s="454"/>
      <c r="G361" s="454"/>
      <c r="H361" s="454"/>
      <c r="I361" s="454"/>
      <c r="J361" s="454"/>
      <c r="K361" s="454"/>
      <c r="L361" s="454"/>
      <c r="M361" s="454"/>
      <c r="N361" s="454"/>
      <c r="O361" s="454"/>
      <c r="P361" s="454"/>
      <c r="Q361" s="454"/>
      <c r="R361" s="454"/>
      <c r="S361" s="454"/>
      <c r="T361" s="454"/>
      <c r="U361" s="454"/>
      <c r="V361" s="454"/>
      <c r="W361" s="454"/>
      <c r="X361" s="454"/>
      <c r="Y361" s="454"/>
      <c r="Z361" s="454"/>
    </row>
    <row r="362" ht="15.75" customHeight="1">
      <c r="A362" s="454"/>
      <c r="B362" s="454"/>
      <c r="C362" s="454"/>
      <c r="D362" s="864"/>
      <c r="E362" s="454"/>
      <c r="F362" s="454"/>
      <c r="G362" s="454"/>
      <c r="H362" s="454"/>
      <c r="I362" s="454"/>
      <c r="J362" s="454"/>
      <c r="K362" s="454"/>
      <c r="L362" s="454"/>
      <c r="M362" s="454"/>
      <c r="N362" s="454"/>
      <c r="O362" s="454"/>
      <c r="P362" s="454"/>
      <c r="Q362" s="454"/>
      <c r="R362" s="454"/>
      <c r="S362" s="454"/>
      <c r="T362" s="454"/>
      <c r="U362" s="454"/>
      <c r="V362" s="454"/>
      <c r="W362" s="454"/>
      <c r="X362" s="454"/>
      <c r="Y362" s="454"/>
      <c r="Z362" s="454"/>
    </row>
    <row r="363" ht="15.75" customHeight="1">
      <c r="A363" s="454"/>
      <c r="B363" s="454"/>
      <c r="C363" s="454"/>
      <c r="D363" s="864"/>
      <c r="E363" s="454"/>
      <c r="F363" s="454"/>
      <c r="G363" s="454"/>
      <c r="H363" s="454"/>
      <c r="I363" s="454"/>
      <c r="J363" s="454"/>
      <c r="K363" s="454"/>
      <c r="L363" s="454"/>
      <c r="M363" s="454"/>
      <c r="N363" s="454"/>
      <c r="O363" s="454"/>
      <c r="P363" s="454"/>
      <c r="Q363" s="454"/>
      <c r="R363" s="454"/>
      <c r="S363" s="454"/>
      <c r="T363" s="454"/>
      <c r="U363" s="454"/>
      <c r="V363" s="454"/>
      <c r="W363" s="454"/>
      <c r="X363" s="454"/>
      <c r="Y363" s="454"/>
      <c r="Z363" s="454"/>
    </row>
    <row r="364" ht="15.75" customHeight="1">
      <c r="A364" s="454"/>
      <c r="B364" s="454"/>
      <c r="C364" s="454"/>
      <c r="D364" s="864"/>
      <c r="E364" s="454"/>
      <c r="F364" s="454"/>
      <c r="G364" s="454"/>
      <c r="H364" s="454"/>
      <c r="I364" s="454"/>
      <c r="J364" s="454"/>
      <c r="K364" s="454"/>
      <c r="L364" s="454"/>
      <c r="M364" s="454"/>
      <c r="N364" s="454"/>
      <c r="O364" s="454"/>
      <c r="P364" s="454"/>
      <c r="Q364" s="454"/>
      <c r="R364" s="454"/>
      <c r="S364" s="454"/>
      <c r="T364" s="454"/>
      <c r="U364" s="454"/>
      <c r="V364" s="454"/>
      <c r="W364" s="454"/>
      <c r="X364" s="454"/>
      <c r="Y364" s="454"/>
      <c r="Z364" s="454"/>
    </row>
    <row r="365" ht="15.75" customHeight="1">
      <c r="A365" s="454"/>
      <c r="B365" s="454"/>
      <c r="C365" s="454"/>
      <c r="D365" s="864"/>
      <c r="E365" s="454"/>
      <c r="F365" s="454"/>
      <c r="G365" s="454"/>
      <c r="H365" s="454"/>
      <c r="I365" s="454"/>
      <c r="J365" s="454"/>
      <c r="K365" s="454"/>
      <c r="L365" s="454"/>
      <c r="M365" s="454"/>
      <c r="N365" s="454"/>
      <c r="O365" s="454"/>
      <c r="P365" s="454"/>
      <c r="Q365" s="454"/>
      <c r="R365" s="454"/>
      <c r="S365" s="454"/>
      <c r="T365" s="454"/>
      <c r="U365" s="454"/>
      <c r="V365" s="454"/>
      <c r="W365" s="454"/>
      <c r="X365" s="454"/>
      <c r="Y365" s="454"/>
      <c r="Z365" s="454"/>
    </row>
    <row r="366" ht="15.75" customHeight="1">
      <c r="A366" s="454"/>
      <c r="B366" s="454"/>
      <c r="C366" s="454"/>
      <c r="D366" s="864"/>
      <c r="E366" s="454"/>
      <c r="F366" s="454"/>
      <c r="G366" s="454"/>
      <c r="H366" s="454"/>
      <c r="I366" s="454"/>
      <c r="J366" s="454"/>
      <c r="K366" s="454"/>
      <c r="L366" s="454"/>
      <c r="M366" s="454"/>
      <c r="N366" s="454"/>
      <c r="O366" s="454"/>
      <c r="P366" s="454"/>
      <c r="Q366" s="454"/>
      <c r="R366" s="454"/>
      <c r="S366" s="454"/>
      <c r="T366" s="454"/>
      <c r="U366" s="454"/>
      <c r="V366" s="454"/>
      <c r="W366" s="454"/>
      <c r="X366" s="454"/>
      <c r="Y366" s="454"/>
      <c r="Z366" s="454"/>
    </row>
    <row r="367" ht="15.75" customHeight="1">
      <c r="A367" s="454"/>
      <c r="B367" s="454"/>
      <c r="C367" s="454"/>
      <c r="D367" s="864"/>
      <c r="E367" s="454"/>
      <c r="F367" s="454"/>
      <c r="G367" s="454"/>
      <c r="H367" s="454"/>
      <c r="I367" s="454"/>
      <c r="J367" s="454"/>
      <c r="K367" s="454"/>
      <c r="L367" s="454"/>
      <c r="M367" s="454"/>
      <c r="N367" s="454"/>
      <c r="O367" s="454"/>
      <c r="P367" s="454"/>
      <c r="Q367" s="454"/>
      <c r="R367" s="454"/>
      <c r="S367" s="454"/>
      <c r="T367" s="454"/>
      <c r="U367" s="454"/>
      <c r="V367" s="454"/>
      <c r="W367" s="454"/>
      <c r="X367" s="454"/>
      <c r="Y367" s="454"/>
      <c r="Z367" s="454"/>
    </row>
    <row r="368" ht="15.75" customHeight="1">
      <c r="A368" s="454"/>
      <c r="B368" s="454"/>
      <c r="C368" s="454"/>
      <c r="D368" s="864"/>
      <c r="E368" s="454"/>
      <c r="F368" s="454"/>
      <c r="G368" s="454"/>
      <c r="H368" s="454"/>
      <c r="I368" s="454"/>
      <c r="J368" s="454"/>
      <c r="K368" s="454"/>
      <c r="L368" s="454"/>
      <c r="M368" s="454"/>
      <c r="N368" s="454"/>
      <c r="O368" s="454"/>
      <c r="P368" s="454"/>
      <c r="Q368" s="454"/>
      <c r="R368" s="454"/>
      <c r="S368" s="454"/>
      <c r="T368" s="454"/>
      <c r="U368" s="454"/>
      <c r="V368" s="454"/>
      <c r="W368" s="454"/>
      <c r="X368" s="454"/>
      <c r="Y368" s="454"/>
      <c r="Z368" s="454"/>
    </row>
    <row r="369" ht="15.75" customHeight="1">
      <c r="A369" s="454"/>
      <c r="B369" s="454"/>
      <c r="C369" s="454"/>
      <c r="D369" s="864"/>
      <c r="E369" s="454"/>
      <c r="F369" s="454"/>
      <c r="G369" s="454"/>
      <c r="H369" s="454"/>
      <c r="I369" s="454"/>
      <c r="J369" s="454"/>
      <c r="K369" s="454"/>
      <c r="L369" s="454"/>
      <c r="M369" s="454"/>
      <c r="N369" s="454"/>
      <c r="O369" s="454"/>
      <c r="P369" s="454"/>
      <c r="Q369" s="454"/>
      <c r="R369" s="454"/>
      <c r="S369" s="454"/>
      <c r="T369" s="454"/>
      <c r="U369" s="454"/>
      <c r="V369" s="454"/>
      <c r="W369" s="454"/>
      <c r="X369" s="454"/>
      <c r="Y369" s="454"/>
      <c r="Z369" s="454"/>
    </row>
    <row r="370" ht="15.75" customHeight="1">
      <c r="A370" s="454"/>
      <c r="B370" s="454"/>
      <c r="C370" s="454"/>
      <c r="D370" s="864"/>
      <c r="E370" s="454"/>
      <c r="F370" s="454"/>
      <c r="G370" s="454"/>
      <c r="H370" s="454"/>
      <c r="I370" s="454"/>
      <c r="J370" s="454"/>
      <c r="K370" s="454"/>
      <c r="L370" s="454"/>
      <c r="M370" s="454"/>
      <c r="N370" s="454"/>
      <c r="O370" s="454"/>
      <c r="P370" s="454"/>
      <c r="Q370" s="454"/>
      <c r="R370" s="454"/>
      <c r="S370" s="454"/>
      <c r="T370" s="454"/>
      <c r="U370" s="454"/>
      <c r="V370" s="454"/>
      <c r="W370" s="454"/>
      <c r="X370" s="454"/>
      <c r="Y370" s="454"/>
      <c r="Z370" s="454"/>
    </row>
    <row r="371" ht="15.75" customHeight="1">
      <c r="A371" s="454"/>
      <c r="B371" s="454"/>
      <c r="C371" s="454"/>
      <c r="D371" s="864"/>
      <c r="E371" s="454"/>
      <c r="F371" s="454"/>
      <c r="G371" s="454"/>
      <c r="H371" s="454"/>
      <c r="I371" s="454"/>
      <c r="J371" s="454"/>
      <c r="K371" s="454"/>
      <c r="L371" s="454"/>
      <c r="M371" s="454"/>
      <c r="N371" s="454"/>
      <c r="O371" s="454"/>
      <c r="P371" s="454"/>
      <c r="Q371" s="454"/>
      <c r="R371" s="454"/>
      <c r="S371" s="454"/>
      <c r="T371" s="454"/>
      <c r="U371" s="454"/>
      <c r="V371" s="454"/>
      <c r="W371" s="454"/>
      <c r="X371" s="454"/>
      <c r="Y371" s="454"/>
      <c r="Z371" s="454"/>
    </row>
    <row r="372" ht="15.75" customHeight="1">
      <c r="A372" s="454"/>
      <c r="B372" s="454"/>
      <c r="C372" s="454"/>
      <c r="D372" s="864"/>
      <c r="E372" s="454"/>
      <c r="F372" s="454"/>
      <c r="G372" s="454"/>
      <c r="H372" s="454"/>
      <c r="I372" s="454"/>
      <c r="J372" s="454"/>
      <c r="K372" s="454"/>
      <c r="L372" s="454"/>
      <c r="M372" s="454"/>
      <c r="N372" s="454"/>
      <c r="O372" s="454"/>
      <c r="P372" s="454"/>
      <c r="Q372" s="454"/>
      <c r="R372" s="454"/>
      <c r="S372" s="454"/>
      <c r="T372" s="454"/>
      <c r="U372" s="454"/>
      <c r="V372" s="454"/>
      <c r="W372" s="454"/>
      <c r="X372" s="454"/>
      <c r="Y372" s="454"/>
      <c r="Z372" s="454"/>
    </row>
    <row r="373" ht="15.75" customHeight="1">
      <c r="A373" s="454"/>
      <c r="B373" s="454"/>
      <c r="C373" s="454"/>
      <c r="D373" s="864"/>
      <c r="E373" s="454"/>
      <c r="F373" s="454"/>
      <c r="G373" s="454"/>
      <c r="H373" s="454"/>
      <c r="I373" s="454"/>
      <c r="J373" s="454"/>
      <c r="K373" s="454"/>
      <c r="L373" s="454"/>
      <c r="M373" s="454"/>
      <c r="N373" s="454"/>
      <c r="O373" s="454"/>
      <c r="P373" s="454"/>
      <c r="Q373" s="454"/>
      <c r="R373" s="454"/>
      <c r="S373" s="454"/>
      <c r="T373" s="454"/>
      <c r="U373" s="454"/>
      <c r="V373" s="454"/>
      <c r="W373" s="454"/>
      <c r="X373" s="454"/>
      <c r="Y373" s="454"/>
      <c r="Z373" s="454"/>
    </row>
    <row r="374" ht="15.75" customHeight="1">
      <c r="A374" s="454"/>
      <c r="B374" s="454"/>
      <c r="C374" s="454"/>
      <c r="D374" s="864"/>
      <c r="E374" s="454"/>
      <c r="F374" s="454"/>
      <c r="G374" s="454"/>
      <c r="H374" s="454"/>
      <c r="I374" s="454"/>
      <c r="J374" s="454"/>
      <c r="K374" s="454"/>
      <c r="L374" s="454"/>
      <c r="M374" s="454"/>
      <c r="N374" s="454"/>
      <c r="O374" s="454"/>
      <c r="P374" s="454"/>
      <c r="Q374" s="454"/>
      <c r="R374" s="454"/>
      <c r="S374" s="454"/>
      <c r="T374" s="454"/>
      <c r="U374" s="454"/>
      <c r="V374" s="454"/>
      <c r="W374" s="454"/>
      <c r="X374" s="454"/>
      <c r="Y374" s="454"/>
      <c r="Z374" s="454"/>
    </row>
    <row r="375" ht="15.75" customHeight="1">
      <c r="A375" s="454"/>
      <c r="B375" s="454"/>
      <c r="C375" s="454"/>
      <c r="D375" s="864"/>
      <c r="E375" s="454"/>
      <c r="F375" s="454"/>
      <c r="G375" s="454"/>
      <c r="H375" s="454"/>
      <c r="I375" s="454"/>
      <c r="J375" s="454"/>
      <c r="K375" s="454"/>
      <c r="L375" s="454"/>
      <c r="M375" s="454"/>
      <c r="N375" s="454"/>
      <c r="O375" s="454"/>
      <c r="P375" s="454"/>
      <c r="Q375" s="454"/>
      <c r="R375" s="454"/>
      <c r="S375" s="454"/>
      <c r="T375" s="454"/>
      <c r="U375" s="454"/>
      <c r="V375" s="454"/>
      <c r="W375" s="454"/>
      <c r="X375" s="454"/>
      <c r="Y375" s="454"/>
      <c r="Z375" s="454"/>
    </row>
    <row r="376" ht="15.75" customHeight="1">
      <c r="A376" s="454"/>
      <c r="B376" s="454"/>
      <c r="C376" s="454"/>
      <c r="D376" s="864"/>
      <c r="E376" s="454"/>
      <c r="F376" s="454"/>
      <c r="G376" s="454"/>
      <c r="H376" s="454"/>
      <c r="I376" s="454"/>
      <c r="J376" s="454"/>
      <c r="K376" s="454"/>
      <c r="L376" s="454"/>
      <c r="M376" s="454"/>
      <c r="N376" s="454"/>
      <c r="O376" s="454"/>
      <c r="P376" s="454"/>
      <c r="Q376" s="454"/>
      <c r="R376" s="454"/>
      <c r="S376" s="454"/>
      <c r="T376" s="454"/>
      <c r="U376" s="454"/>
      <c r="V376" s="454"/>
      <c r="W376" s="454"/>
      <c r="X376" s="454"/>
      <c r="Y376" s="454"/>
      <c r="Z376" s="454"/>
    </row>
    <row r="377" ht="15.75" customHeight="1">
      <c r="A377" s="454"/>
      <c r="B377" s="454"/>
      <c r="C377" s="454"/>
      <c r="D377" s="864"/>
      <c r="E377" s="454"/>
      <c r="F377" s="454"/>
      <c r="G377" s="454"/>
      <c r="H377" s="454"/>
      <c r="I377" s="454"/>
      <c r="J377" s="454"/>
      <c r="K377" s="454"/>
      <c r="L377" s="454"/>
      <c r="M377" s="454"/>
      <c r="N377" s="454"/>
      <c r="O377" s="454"/>
      <c r="P377" s="454"/>
      <c r="Q377" s="454"/>
      <c r="R377" s="454"/>
      <c r="S377" s="454"/>
      <c r="T377" s="454"/>
      <c r="U377" s="454"/>
      <c r="V377" s="454"/>
      <c r="W377" s="454"/>
      <c r="X377" s="454"/>
      <c r="Y377" s="454"/>
      <c r="Z377" s="454"/>
    </row>
    <row r="378" ht="15.75" customHeight="1">
      <c r="A378" s="454"/>
      <c r="B378" s="454"/>
      <c r="C378" s="454"/>
      <c r="D378" s="864"/>
      <c r="E378" s="454"/>
      <c r="F378" s="454"/>
      <c r="G378" s="454"/>
      <c r="H378" s="454"/>
      <c r="I378" s="454"/>
      <c r="J378" s="454"/>
      <c r="K378" s="454"/>
      <c r="L378" s="454"/>
      <c r="M378" s="454"/>
      <c r="N378" s="454"/>
      <c r="O378" s="454"/>
      <c r="P378" s="454"/>
      <c r="Q378" s="454"/>
      <c r="R378" s="454"/>
      <c r="S378" s="454"/>
      <c r="T378" s="454"/>
      <c r="U378" s="454"/>
      <c r="V378" s="454"/>
      <c r="W378" s="454"/>
      <c r="X378" s="454"/>
      <c r="Y378" s="454"/>
      <c r="Z378" s="454"/>
    </row>
    <row r="379" ht="15.75" customHeight="1">
      <c r="A379" s="454"/>
      <c r="B379" s="454"/>
      <c r="C379" s="454"/>
      <c r="D379" s="864"/>
      <c r="E379" s="454"/>
      <c r="F379" s="454"/>
      <c r="G379" s="454"/>
      <c r="H379" s="454"/>
      <c r="I379" s="454"/>
      <c r="J379" s="454"/>
      <c r="K379" s="454"/>
      <c r="L379" s="454"/>
      <c r="M379" s="454"/>
      <c r="N379" s="454"/>
      <c r="O379" s="454"/>
      <c r="P379" s="454"/>
      <c r="Q379" s="454"/>
      <c r="R379" s="454"/>
      <c r="S379" s="454"/>
      <c r="T379" s="454"/>
      <c r="U379" s="454"/>
      <c r="V379" s="454"/>
      <c r="W379" s="454"/>
      <c r="X379" s="454"/>
      <c r="Y379" s="454"/>
      <c r="Z379" s="454"/>
    </row>
    <row r="380" ht="15.75" customHeight="1">
      <c r="A380" s="454"/>
      <c r="B380" s="454"/>
      <c r="C380" s="454"/>
      <c r="D380" s="864"/>
      <c r="E380" s="454"/>
      <c r="F380" s="454"/>
      <c r="G380" s="454"/>
      <c r="H380" s="454"/>
      <c r="I380" s="454"/>
      <c r="J380" s="454"/>
      <c r="K380" s="454"/>
      <c r="L380" s="454"/>
      <c r="M380" s="454"/>
      <c r="N380" s="454"/>
      <c r="O380" s="454"/>
      <c r="P380" s="454"/>
      <c r="Q380" s="454"/>
      <c r="R380" s="454"/>
      <c r="S380" s="454"/>
      <c r="T380" s="454"/>
      <c r="U380" s="454"/>
      <c r="V380" s="454"/>
      <c r="W380" s="454"/>
      <c r="X380" s="454"/>
      <c r="Y380" s="454"/>
      <c r="Z380" s="454"/>
    </row>
    <row r="381" ht="15.75" customHeight="1">
      <c r="A381" s="454"/>
      <c r="B381" s="454"/>
      <c r="C381" s="454"/>
      <c r="D381" s="864"/>
      <c r="E381" s="454"/>
      <c r="F381" s="454"/>
      <c r="G381" s="454"/>
      <c r="H381" s="454"/>
      <c r="I381" s="454"/>
      <c r="J381" s="454"/>
      <c r="K381" s="454"/>
      <c r="L381" s="454"/>
      <c r="M381" s="454"/>
      <c r="N381" s="454"/>
      <c r="O381" s="454"/>
      <c r="P381" s="454"/>
      <c r="Q381" s="454"/>
      <c r="R381" s="454"/>
      <c r="S381" s="454"/>
      <c r="T381" s="454"/>
      <c r="U381" s="454"/>
      <c r="V381" s="454"/>
      <c r="W381" s="454"/>
      <c r="X381" s="454"/>
      <c r="Y381" s="454"/>
      <c r="Z381" s="454"/>
    </row>
    <row r="382" ht="15.75" customHeight="1">
      <c r="A382" s="454"/>
      <c r="B382" s="454"/>
      <c r="C382" s="454"/>
      <c r="D382" s="864"/>
      <c r="E382" s="454"/>
      <c r="F382" s="454"/>
      <c r="G382" s="454"/>
      <c r="H382" s="454"/>
      <c r="I382" s="454"/>
      <c r="J382" s="454"/>
      <c r="K382" s="454"/>
      <c r="L382" s="454"/>
      <c r="M382" s="454"/>
      <c r="N382" s="454"/>
      <c r="O382" s="454"/>
      <c r="P382" s="454"/>
      <c r="Q382" s="454"/>
      <c r="R382" s="454"/>
      <c r="S382" s="454"/>
      <c r="T382" s="454"/>
      <c r="U382" s="454"/>
      <c r="V382" s="454"/>
      <c r="W382" s="454"/>
      <c r="X382" s="454"/>
      <c r="Y382" s="454"/>
      <c r="Z382" s="454"/>
    </row>
    <row r="383" ht="15.75" customHeight="1">
      <c r="A383" s="454"/>
      <c r="B383" s="454"/>
      <c r="C383" s="454"/>
      <c r="D383" s="864"/>
      <c r="E383" s="454"/>
      <c r="F383" s="454"/>
      <c r="G383" s="454"/>
      <c r="H383" s="454"/>
      <c r="I383" s="454"/>
      <c r="J383" s="454"/>
      <c r="K383" s="454"/>
      <c r="L383" s="454"/>
      <c r="M383" s="454"/>
      <c r="N383" s="454"/>
      <c r="O383" s="454"/>
      <c r="P383" s="454"/>
      <c r="Q383" s="454"/>
      <c r="R383" s="454"/>
      <c r="S383" s="454"/>
      <c r="T383" s="454"/>
      <c r="U383" s="454"/>
      <c r="V383" s="454"/>
      <c r="W383" s="454"/>
      <c r="X383" s="454"/>
      <c r="Y383" s="454"/>
      <c r="Z383" s="454"/>
    </row>
    <row r="384" ht="15.75" customHeight="1">
      <c r="A384" s="454"/>
      <c r="B384" s="454"/>
      <c r="C384" s="454"/>
      <c r="D384" s="864"/>
      <c r="E384" s="454"/>
      <c r="F384" s="454"/>
      <c r="G384" s="454"/>
      <c r="H384" s="454"/>
      <c r="I384" s="454"/>
      <c r="J384" s="454"/>
      <c r="K384" s="454"/>
      <c r="L384" s="454"/>
      <c r="M384" s="454"/>
      <c r="N384" s="454"/>
      <c r="O384" s="454"/>
      <c r="P384" s="454"/>
      <c r="Q384" s="454"/>
      <c r="R384" s="454"/>
      <c r="S384" s="454"/>
      <c r="T384" s="454"/>
      <c r="U384" s="454"/>
      <c r="V384" s="454"/>
      <c r="W384" s="454"/>
      <c r="X384" s="454"/>
      <c r="Y384" s="454"/>
      <c r="Z384" s="454"/>
    </row>
    <row r="385" ht="15.75" customHeight="1">
      <c r="A385" s="454"/>
      <c r="B385" s="454"/>
      <c r="C385" s="454"/>
      <c r="D385" s="864"/>
      <c r="E385" s="454"/>
      <c r="F385" s="454"/>
      <c r="G385" s="454"/>
      <c r="H385" s="454"/>
      <c r="I385" s="454"/>
      <c r="J385" s="454"/>
      <c r="K385" s="454"/>
      <c r="L385" s="454"/>
      <c r="M385" s="454"/>
      <c r="N385" s="454"/>
      <c r="O385" s="454"/>
      <c r="P385" s="454"/>
      <c r="Q385" s="454"/>
      <c r="R385" s="454"/>
      <c r="S385" s="454"/>
      <c r="T385" s="454"/>
      <c r="U385" s="454"/>
      <c r="V385" s="454"/>
      <c r="W385" s="454"/>
      <c r="X385" s="454"/>
      <c r="Y385" s="454"/>
      <c r="Z385" s="454"/>
    </row>
    <row r="386" ht="15.75" customHeight="1">
      <c r="A386" s="454"/>
      <c r="B386" s="454"/>
      <c r="C386" s="454"/>
      <c r="D386" s="864"/>
      <c r="E386" s="454"/>
      <c r="F386" s="454"/>
      <c r="G386" s="454"/>
      <c r="H386" s="454"/>
      <c r="I386" s="454"/>
      <c r="J386" s="454"/>
      <c r="K386" s="454"/>
      <c r="L386" s="454"/>
      <c r="M386" s="454"/>
      <c r="N386" s="454"/>
      <c r="O386" s="454"/>
      <c r="P386" s="454"/>
      <c r="Q386" s="454"/>
      <c r="R386" s="454"/>
      <c r="S386" s="454"/>
      <c r="T386" s="454"/>
      <c r="U386" s="454"/>
      <c r="V386" s="454"/>
      <c r="W386" s="454"/>
      <c r="X386" s="454"/>
      <c r="Y386" s="454"/>
      <c r="Z386" s="454"/>
    </row>
    <row r="387" ht="15.75" customHeight="1">
      <c r="A387" s="454"/>
      <c r="B387" s="454"/>
      <c r="C387" s="454"/>
      <c r="D387" s="864"/>
      <c r="E387" s="454"/>
      <c r="F387" s="454"/>
      <c r="G387" s="454"/>
      <c r="H387" s="454"/>
      <c r="I387" s="454"/>
      <c r="J387" s="454"/>
      <c r="K387" s="454"/>
      <c r="L387" s="454"/>
      <c r="M387" s="454"/>
      <c r="N387" s="454"/>
      <c r="O387" s="454"/>
      <c r="P387" s="454"/>
      <c r="Q387" s="454"/>
      <c r="R387" s="454"/>
      <c r="S387" s="454"/>
      <c r="T387" s="454"/>
      <c r="U387" s="454"/>
      <c r="V387" s="454"/>
      <c r="W387" s="454"/>
      <c r="X387" s="454"/>
      <c r="Y387" s="454"/>
      <c r="Z387" s="454"/>
    </row>
    <row r="388" ht="15.75" customHeight="1">
      <c r="A388" s="454"/>
      <c r="B388" s="454"/>
      <c r="C388" s="454"/>
      <c r="D388" s="864"/>
      <c r="E388" s="454"/>
      <c r="F388" s="454"/>
      <c r="G388" s="454"/>
      <c r="H388" s="454"/>
      <c r="I388" s="454"/>
      <c r="J388" s="454"/>
      <c r="K388" s="454"/>
      <c r="L388" s="454"/>
      <c r="M388" s="454"/>
      <c r="N388" s="454"/>
      <c r="O388" s="454"/>
      <c r="P388" s="454"/>
      <c r="Q388" s="454"/>
      <c r="R388" s="454"/>
      <c r="S388" s="454"/>
      <c r="T388" s="454"/>
      <c r="U388" s="454"/>
      <c r="V388" s="454"/>
      <c r="W388" s="454"/>
      <c r="X388" s="454"/>
      <c r="Y388" s="454"/>
      <c r="Z388" s="454"/>
    </row>
    <row r="389" ht="15.75" customHeight="1">
      <c r="A389" s="454"/>
      <c r="B389" s="454"/>
      <c r="C389" s="454"/>
      <c r="D389" s="864"/>
      <c r="E389" s="454"/>
      <c r="F389" s="454"/>
      <c r="G389" s="454"/>
      <c r="H389" s="454"/>
      <c r="I389" s="454"/>
      <c r="J389" s="454"/>
      <c r="K389" s="454"/>
      <c r="L389" s="454"/>
      <c r="M389" s="454"/>
      <c r="N389" s="454"/>
      <c r="O389" s="454"/>
      <c r="P389" s="454"/>
      <c r="Q389" s="454"/>
      <c r="R389" s="454"/>
      <c r="S389" s="454"/>
      <c r="T389" s="454"/>
      <c r="U389" s="454"/>
      <c r="V389" s="454"/>
      <c r="W389" s="454"/>
      <c r="X389" s="454"/>
      <c r="Y389" s="454"/>
      <c r="Z389" s="454"/>
    </row>
    <row r="390" ht="15.75" customHeight="1">
      <c r="A390" s="454"/>
      <c r="B390" s="454"/>
      <c r="C390" s="454"/>
      <c r="D390" s="864"/>
      <c r="E390" s="454"/>
      <c r="F390" s="454"/>
      <c r="G390" s="454"/>
      <c r="H390" s="454"/>
      <c r="I390" s="454"/>
      <c r="J390" s="454"/>
      <c r="K390" s="454"/>
      <c r="L390" s="454"/>
      <c r="M390" s="454"/>
      <c r="N390" s="454"/>
      <c r="O390" s="454"/>
      <c r="P390" s="454"/>
      <c r="Q390" s="454"/>
      <c r="R390" s="454"/>
      <c r="S390" s="454"/>
      <c r="T390" s="454"/>
      <c r="U390" s="454"/>
      <c r="V390" s="454"/>
      <c r="W390" s="454"/>
      <c r="X390" s="454"/>
      <c r="Y390" s="454"/>
      <c r="Z390" s="454"/>
    </row>
    <row r="391" ht="15.75" customHeight="1">
      <c r="A391" s="454"/>
      <c r="B391" s="454"/>
      <c r="C391" s="454"/>
      <c r="D391" s="864"/>
      <c r="E391" s="454"/>
      <c r="F391" s="454"/>
      <c r="G391" s="454"/>
      <c r="H391" s="454"/>
      <c r="I391" s="454"/>
      <c r="J391" s="454"/>
      <c r="K391" s="454"/>
      <c r="L391" s="454"/>
      <c r="M391" s="454"/>
      <c r="N391" s="454"/>
      <c r="O391" s="454"/>
      <c r="P391" s="454"/>
      <c r="Q391" s="454"/>
      <c r="R391" s="454"/>
      <c r="S391" s="454"/>
      <c r="T391" s="454"/>
      <c r="U391" s="454"/>
      <c r="V391" s="454"/>
      <c r="W391" s="454"/>
      <c r="X391" s="454"/>
      <c r="Y391" s="454"/>
      <c r="Z391" s="454"/>
    </row>
    <row r="392" ht="15.75" customHeight="1">
      <c r="A392" s="454"/>
      <c r="B392" s="454"/>
      <c r="C392" s="454"/>
      <c r="D392" s="864"/>
      <c r="E392" s="454"/>
      <c r="F392" s="454"/>
      <c r="G392" s="454"/>
      <c r="H392" s="454"/>
      <c r="I392" s="454"/>
      <c r="J392" s="454"/>
      <c r="K392" s="454"/>
      <c r="L392" s="454"/>
      <c r="M392" s="454"/>
      <c r="N392" s="454"/>
      <c r="O392" s="454"/>
      <c r="P392" s="454"/>
      <c r="Q392" s="454"/>
      <c r="R392" s="454"/>
      <c r="S392" s="454"/>
      <c r="T392" s="454"/>
      <c r="U392" s="454"/>
      <c r="V392" s="454"/>
      <c r="W392" s="454"/>
      <c r="X392" s="454"/>
      <c r="Y392" s="454"/>
      <c r="Z392" s="454"/>
    </row>
    <row r="393" ht="15.75" customHeight="1">
      <c r="A393" s="454"/>
      <c r="B393" s="454"/>
      <c r="C393" s="454"/>
      <c r="D393" s="864"/>
      <c r="E393" s="454"/>
      <c r="F393" s="454"/>
      <c r="G393" s="454"/>
      <c r="H393" s="454"/>
      <c r="I393" s="454"/>
      <c r="J393" s="454"/>
      <c r="K393" s="454"/>
      <c r="L393" s="454"/>
      <c r="M393" s="454"/>
      <c r="N393" s="454"/>
      <c r="O393" s="454"/>
      <c r="P393" s="454"/>
      <c r="Q393" s="454"/>
      <c r="R393" s="454"/>
      <c r="S393" s="454"/>
      <c r="T393" s="454"/>
      <c r="U393" s="454"/>
      <c r="V393" s="454"/>
      <c r="W393" s="454"/>
      <c r="X393" s="454"/>
      <c r="Y393" s="454"/>
      <c r="Z393" s="454"/>
    </row>
    <row r="394" ht="15.75" customHeight="1">
      <c r="A394" s="454"/>
      <c r="B394" s="454"/>
      <c r="C394" s="454"/>
      <c r="D394" s="864"/>
      <c r="E394" s="454"/>
      <c r="F394" s="454"/>
      <c r="G394" s="454"/>
      <c r="H394" s="454"/>
      <c r="I394" s="454"/>
      <c r="J394" s="454"/>
      <c r="K394" s="454"/>
      <c r="L394" s="454"/>
      <c r="M394" s="454"/>
      <c r="N394" s="454"/>
      <c r="O394" s="454"/>
      <c r="P394" s="454"/>
      <c r="Q394" s="454"/>
      <c r="R394" s="454"/>
      <c r="S394" s="454"/>
      <c r="T394" s="454"/>
      <c r="U394" s="454"/>
      <c r="V394" s="454"/>
      <c r="W394" s="454"/>
      <c r="X394" s="454"/>
      <c r="Y394" s="454"/>
      <c r="Z394" s="454"/>
    </row>
    <row r="395" ht="15.75" customHeight="1">
      <c r="A395" s="454"/>
      <c r="B395" s="454"/>
      <c r="C395" s="454"/>
      <c r="D395" s="864"/>
      <c r="E395" s="454"/>
      <c r="F395" s="454"/>
      <c r="G395" s="454"/>
      <c r="H395" s="454"/>
      <c r="I395" s="454"/>
      <c r="J395" s="454"/>
      <c r="K395" s="454"/>
      <c r="L395" s="454"/>
      <c r="M395" s="454"/>
      <c r="N395" s="454"/>
      <c r="O395" s="454"/>
      <c r="P395" s="454"/>
      <c r="Q395" s="454"/>
      <c r="R395" s="454"/>
      <c r="S395" s="454"/>
      <c r="T395" s="454"/>
      <c r="U395" s="454"/>
      <c r="V395" s="454"/>
      <c r="W395" s="454"/>
      <c r="X395" s="454"/>
      <c r="Y395" s="454"/>
      <c r="Z395" s="454"/>
    </row>
    <row r="396" ht="15.75" customHeight="1">
      <c r="A396" s="454"/>
      <c r="B396" s="454"/>
      <c r="C396" s="454"/>
      <c r="D396" s="864"/>
      <c r="E396" s="454"/>
      <c r="F396" s="454"/>
      <c r="G396" s="454"/>
      <c r="H396" s="454"/>
      <c r="I396" s="454"/>
      <c r="J396" s="454"/>
      <c r="K396" s="454"/>
      <c r="L396" s="454"/>
      <c r="M396" s="454"/>
      <c r="N396" s="454"/>
      <c r="O396" s="454"/>
      <c r="P396" s="454"/>
      <c r="Q396" s="454"/>
      <c r="R396" s="454"/>
      <c r="S396" s="454"/>
      <c r="T396" s="454"/>
      <c r="U396" s="454"/>
      <c r="V396" s="454"/>
      <c r="W396" s="454"/>
      <c r="X396" s="454"/>
      <c r="Y396" s="454"/>
      <c r="Z396" s="454"/>
    </row>
    <row r="397" ht="15.75" customHeight="1">
      <c r="A397" s="454"/>
      <c r="B397" s="454"/>
      <c r="C397" s="454"/>
      <c r="D397" s="864"/>
      <c r="E397" s="454"/>
      <c r="F397" s="454"/>
      <c r="G397" s="454"/>
      <c r="H397" s="454"/>
      <c r="I397" s="454"/>
      <c r="J397" s="454"/>
      <c r="K397" s="454"/>
      <c r="L397" s="454"/>
      <c r="M397" s="454"/>
      <c r="N397" s="454"/>
      <c r="O397" s="454"/>
      <c r="P397" s="454"/>
      <c r="Q397" s="454"/>
      <c r="R397" s="454"/>
      <c r="S397" s="454"/>
      <c r="T397" s="454"/>
      <c r="U397" s="454"/>
      <c r="V397" s="454"/>
      <c r="W397" s="454"/>
      <c r="X397" s="454"/>
      <c r="Y397" s="454"/>
      <c r="Z397" s="454"/>
    </row>
    <row r="398" ht="15.75" customHeight="1">
      <c r="A398" s="454"/>
      <c r="B398" s="454"/>
      <c r="C398" s="454"/>
      <c r="D398" s="864"/>
      <c r="E398" s="454"/>
      <c r="F398" s="454"/>
      <c r="G398" s="454"/>
      <c r="H398" s="454"/>
      <c r="I398" s="454"/>
      <c r="J398" s="454"/>
      <c r="K398" s="454"/>
      <c r="L398" s="454"/>
      <c r="M398" s="454"/>
      <c r="N398" s="454"/>
      <c r="O398" s="454"/>
      <c r="P398" s="454"/>
      <c r="Q398" s="454"/>
      <c r="R398" s="454"/>
      <c r="S398" s="454"/>
      <c r="T398" s="454"/>
      <c r="U398" s="454"/>
      <c r="V398" s="454"/>
      <c r="W398" s="454"/>
      <c r="X398" s="454"/>
      <c r="Y398" s="454"/>
      <c r="Z398" s="454"/>
    </row>
    <row r="399" ht="15.75" customHeight="1">
      <c r="A399" s="454"/>
      <c r="B399" s="454"/>
      <c r="C399" s="454"/>
      <c r="D399" s="864"/>
      <c r="E399" s="454"/>
      <c r="F399" s="454"/>
      <c r="G399" s="454"/>
      <c r="H399" s="454"/>
      <c r="I399" s="454"/>
      <c r="J399" s="454"/>
      <c r="K399" s="454"/>
      <c r="L399" s="454"/>
      <c r="M399" s="454"/>
      <c r="N399" s="454"/>
      <c r="O399" s="454"/>
      <c r="P399" s="454"/>
      <c r="Q399" s="454"/>
      <c r="R399" s="454"/>
      <c r="S399" s="454"/>
      <c r="T399" s="454"/>
      <c r="U399" s="454"/>
      <c r="V399" s="454"/>
      <c r="W399" s="454"/>
      <c r="X399" s="454"/>
      <c r="Y399" s="454"/>
      <c r="Z399" s="454"/>
    </row>
    <row r="400" ht="15.75" customHeight="1">
      <c r="A400" s="454"/>
      <c r="B400" s="454"/>
      <c r="C400" s="454"/>
      <c r="D400" s="864"/>
      <c r="E400" s="454"/>
      <c r="F400" s="454"/>
      <c r="G400" s="454"/>
      <c r="H400" s="454"/>
      <c r="I400" s="454"/>
      <c r="J400" s="454"/>
      <c r="K400" s="454"/>
      <c r="L400" s="454"/>
      <c r="M400" s="454"/>
      <c r="N400" s="454"/>
      <c r="O400" s="454"/>
      <c r="P400" s="454"/>
      <c r="Q400" s="454"/>
      <c r="R400" s="454"/>
      <c r="S400" s="454"/>
      <c r="T400" s="454"/>
      <c r="U400" s="454"/>
      <c r="V400" s="454"/>
      <c r="W400" s="454"/>
      <c r="X400" s="454"/>
      <c r="Y400" s="454"/>
      <c r="Z400" s="454"/>
    </row>
    <row r="401" ht="15.75" customHeight="1">
      <c r="A401" s="454"/>
      <c r="B401" s="454"/>
      <c r="C401" s="454"/>
      <c r="D401" s="864"/>
      <c r="E401" s="454"/>
      <c r="F401" s="454"/>
      <c r="G401" s="454"/>
      <c r="H401" s="454"/>
      <c r="I401" s="454"/>
      <c r="J401" s="454"/>
      <c r="K401" s="454"/>
      <c r="L401" s="454"/>
      <c r="M401" s="454"/>
      <c r="N401" s="454"/>
      <c r="O401" s="454"/>
      <c r="P401" s="454"/>
      <c r="Q401" s="454"/>
      <c r="R401" s="454"/>
      <c r="S401" s="454"/>
      <c r="T401" s="454"/>
      <c r="U401" s="454"/>
      <c r="V401" s="454"/>
      <c r="W401" s="454"/>
      <c r="X401" s="454"/>
      <c r="Y401" s="454"/>
      <c r="Z401" s="454"/>
    </row>
    <row r="402" ht="15.75" customHeight="1">
      <c r="A402" s="454"/>
      <c r="B402" s="454"/>
      <c r="C402" s="454"/>
      <c r="D402" s="864"/>
      <c r="E402" s="454"/>
      <c r="F402" s="454"/>
      <c r="G402" s="454"/>
      <c r="H402" s="454"/>
      <c r="I402" s="454"/>
      <c r="J402" s="454"/>
      <c r="K402" s="454"/>
      <c r="L402" s="454"/>
      <c r="M402" s="454"/>
      <c r="N402" s="454"/>
      <c r="O402" s="454"/>
      <c r="P402" s="454"/>
      <c r="Q402" s="454"/>
      <c r="R402" s="454"/>
      <c r="S402" s="454"/>
      <c r="T402" s="454"/>
      <c r="U402" s="454"/>
      <c r="V402" s="454"/>
      <c r="W402" s="454"/>
      <c r="X402" s="454"/>
      <c r="Y402" s="454"/>
      <c r="Z402" s="454"/>
    </row>
    <row r="403" ht="15.75" customHeight="1">
      <c r="A403" s="454"/>
      <c r="B403" s="454"/>
      <c r="C403" s="454"/>
      <c r="D403" s="864"/>
      <c r="E403" s="454"/>
      <c r="F403" s="454"/>
      <c r="G403" s="454"/>
      <c r="H403" s="454"/>
      <c r="I403" s="454"/>
      <c r="J403" s="454"/>
      <c r="K403" s="454"/>
      <c r="L403" s="454"/>
      <c r="M403" s="454"/>
      <c r="N403" s="454"/>
      <c r="O403" s="454"/>
      <c r="P403" s="454"/>
      <c r="Q403" s="454"/>
      <c r="R403" s="454"/>
      <c r="S403" s="454"/>
      <c r="T403" s="454"/>
      <c r="U403" s="454"/>
      <c r="V403" s="454"/>
      <c r="W403" s="454"/>
      <c r="X403" s="454"/>
      <c r="Y403" s="454"/>
      <c r="Z403" s="454"/>
    </row>
    <row r="404" ht="15.75" customHeight="1">
      <c r="A404" s="454"/>
      <c r="B404" s="454"/>
      <c r="C404" s="454"/>
      <c r="D404" s="864"/>
      <c r="E404" s="454"/>
      <c r="F404" s="454"/>
      <c r="G404" s="454"/>
      <c r="H404" s="454"/>
      <c r="I404" s="454"/>
      <c r="J404" s="454"/>
      <c r="K404" s="454"/>
      <c r="L404" s="454"/>
      <c r="M404" s="454"/>
      <c r="N404" s="454"/>
      <c r="O404" s="454"/>
      <c r="P404" s="454"/>
      <c r="Q404" s="454"/>
      <c r="R404" s="454"/>
      <c r="S404" s="454"/>
      <c r="T404" s="454"/>
      <c r="U404" s="454"/>
      <c r="V404" s="454"/>
      <c r="W404" s="454"/>
      <c r="X404" s="454"/>
      <c r="Y404" s="454"/>
      <c r="Z404" s="454"/>
    </row>
    <row r="405" ht="15.75" customHeight="1">
      <c r="A405" s="454"/>
      <c r="B405" s="454"/>
      <c r="C405" s="454"/>
      <c r="D405" s="864"/>
      <c r="E405" s="454"/>
      <c r="F405" s="454"/>
      <c r="G405" s="454"/>
      <c r="H405" s="454"/>
      <c r="I405" s="454"/>
      <c r="J405" s="454"/>
      <c r="K405" s="454"/>
      <c r="L405" s="454"/>
      <c r="M405" s="454"/>
      <c r="N405" s="454"/>
      <c r="O405" s="454"/>
      <c r="P405" s="454"/>
      <c r="Q405" s="454"/>
      <c r="R405" s="454"/>
      <c r="S405" s="454"/>
      <c r="T405" s="454"/>
      <c r="U405" s="454"/>
      <c r="V405" s="454"/>
      <c r="W405" s="454"/>
      <c r="X405" s="454"/>
      <c r="Y405" s="454"/>
      <c r="Z405" s="454"/>
    </row>
    <row r="406" ht="15.75" customHeight="1">
      <c r="A406" s="454"/>
      <c r="B406" s="454"/>
      <c r="C406" s="454"/>
      <c r="D406" s="864"/>
      <c r="E406" s="454"/>
      <c r="F406" s="454"/>
      <c r="G406" s="454"/>
      <c r="H406" s="454"/>
      <c r="I406" s="454"/>
      <c r="J406" s="454"/>
      <c r="K406" s="454"/>
      <c r="L406" s="454"/>
      <c r="M406" s="454"/>
      <c r="N406" s="454"/>
      <c r="O406" s="454"/>
      <c r="P406" s="454"/>
      <c r="Q406" s="454"/>
      <c r="R406" s="454"/>
      <c r="S406" s="454"/>
      <c r="T406" s="454"/>
      <c r="U406" s="454"/>
      <c r="V406" s="454"/>
      <c r="W406" s="454"/>
      <c r="X406" s="454"/>
      <c r="Y406" s="454"/>
      <c r="Z406" s="454"/>
    </row>
    <row r="407" ht="15.75" customHeight="1">
      <c r="A407" s="454"/>
      <c r="B407" s="454"/>
      <c r="C407" s="454"/>
      <c r="D407" s="864"/>
      <c r="E407" s="454"/>
      <c r="F407" s="454"/>
      <c r="G407" s="454"/>
      <c r="H407" s="454"/>
      <c r="I407" s="454"/>
      <c r="J407" s="454"/>
      <c r="K407" s="454"/>
      <c r="L407" s="454"/>
      <c r="M407" s="454"/>
      <c r="N407" s="454"/>
      <c r="O407" s="454"/>
      <c r="P407" s="454"/>
      <c r="Q407" s="454"/>
      <c r="R407" s="454"/>
      <c r="S407" s="454"/>
      <c r="T407" s="454"/>
      <c r="U407" s="454"/>
      <c r="V407" s="454"/>
      <c r="W407" s="454"/>
      <c r="X407" s="454"/>
      <c r="Y407" s="454"/>
      <c r="Z407" s="454"/>
    </row>
    <row r="408" ht="15.75" customHeight="1">
      <c r="A408" s="454"/>
      <c r="B408" s="454"/>
      <c r="C408" s="454"/>
      <c r="D408" s="864"/>
      <c r="E408" s="454"/>
      <c r="F408" s="454"/>
      <c r="G408" s="454"/>
      <c r="H408" s="454"/>
      <c r="I408" s="454"/>
      <c r="J408" s="454"/>
      <c r="K408" s="454"/>
      <c r="L408" s="454"/>
      <c r="M408" s="454"/>
      <c r="N408" s="454"/>
      <c r="O408" s="454"/>
      <c r="P408" s="454"/>
      <c r="Q408" s="454"/>
      <c r="R408" s="454"/>
      <c r="S408" s="454"/>
      <c r="T408" s="454"/>
      <c r="U408" s="454"/>
      <c r="V408" s="454"/>
      <c r="W408" s="454"/>
      <c r="X408" s="454"/>
      <c r="Y408" s="454"/>
      <c r="Z408" s="454"/>
    </row>
    <row r="409" ht="15.75" customHeight="1">
      <c r="A409" s="454"/>
      <c r="B409" s="454"/>
      <c r="C409" s="454"/>
      <c r="D409" s="864"/>
      <c r="E409" s="454"/>
      <c r="F409" s="454"/>
      <c r="G409" s="454"/>
      <c r="H409" s="454"/>
      <c r="I409" s="454"/>
      <c r="J409" s="454"/>
      <c r="K409" s="454"/>
      <c r="L409" s="454"/>
      <c r="M409" s="454"/>
      <c r="N409" s="454"/>
      <c r="O409" s="454"/>
      <c r="P409" s="454"/>
      <c r="Q409" s="454"/>
      <c r="R409" s="454"/>
      <c r="S409" s="454"/>
      <c r="T409" s="454"/>
      <c r="U409" s="454"/>
      <c r="V409" s="454"/>
      <c r="W409" s="454"/>
      <c r="X409" s="454"/>
      <c r="Y409" s="454"/>
      <c r="Z409" s="454"/>
    </row>
    <row r="410" ht="15.75" customHeight="1">
      <c r="A410" s="454"/>
      <c r="B410" s="454"/>
      <c r="C410" s="454"/>
      <c r="D410" s="864"/>
      <c r="E410" s="454"/>
      <c r="F410" s="454"/>
      <c r="G410" s="454"/>
      <c r="H410" s="454"/>
      <c r="I410" s="454"/>
      <c r="J410" s="454"/>
      <c r="K410" s="454"/>
      <c r="L410" s="454"/>
      <c r="M410" s="454"/>
      <c r="N410" s="454"/>
      <c r="O410" s="454"/>
      <c r="P410" s="454"/>
      <c r="Q410" s="454"/>
      <c r="R410" s="454"/>
      <c r="S410" s="454"/>
      <c r="T410" s="454"/>
      <c r="U410" s="454"/>
      <c r="V410" s="454"/>
      <c r="W410" s="454"/>
      <c r="X410" s="454"/>
      <c r="Y410" s="454"/>
      <c r="Z410" s="454"/>
    </row>
    <row r="411" ht="15.75" customHeight="1">
      <c r="A411" s="454"/>
      <c r="B411" s="454"/>
      <c r="C411" s="454"/>
      <c r="D411" s="864"/>
      <c r="E411" s="454"/>
      <c r="F411" s="454"/>
      <c r="G411" s="454"/>
      <c r="H411" s="454"/>
      <c r="I411" s="454"/>
      <c r="J411" s="454"/>
      <c r="K411" s="454"/>
      <c r="L411" s="454"/>
      <c r="M411" s="454"/>
      <c r="N411" s="454"/>
      <c r="O411" s="454"/>
      <c r="P411" s="454"/>
      <c r="Q411" s="454"/>
      <c r="R411" s="454"/>
      <c r="S411" s="454"/>
      <c r="T411" s="454"/>
      <c r="U411" s="454"/>
      <c r="V411" s="454"/>
      <c r="W411" s="454"/>
      <c r="X411" s="454"/>
      <c r="Y411" s="454"/>
      <c r="Z411" s="454"/>
    </row>
    <row r="412" ht="15.75" customHeight="1">
      <c r="A412" s="454"/>
      <c r="B412" s="454"/>
      <c r="C412" s="454"/>
      <c r="D412" s="864"/>
      <c r="E412" s="454"/>
      <c r="F412" s="454"/>
      <c r="G412" s="454"/>
      <c r="H412" s="454"/>
      <c r="I412" s="454"/>
      <c r="J412" s="454"/>
      <c r="K412" s="454"/>
      <c r="L412" s="454"/>
      <c r="M412" s="454"/>
      <c r="N412" s="454"/>
      <c r="O412" s="454"/>
      <c r="P412" s="454"/>
      <c r="Q412" s="454"/>
      <c r="R412" s="454"/>
      <c r="S412" s="454"/>
      <c r="T412" s="454"/>
      <c r="U412" s="454"/>
      <c r="V412" s="454"/>
      <c r="W412" s="454"/>
      <c r="X412" s="454"/>
      <c r="Y412" s="454"/>
      <c r="Z412" s="454"/>
    </row>
    <row r="413" ht="15.75" customHeight="1">
      <c r="A413" s="454"/>
      <c r="B413" s="454"/>
      <c r="C413" s="454"/>
      <c r="D413" s="864"/>
      <c r="E413" s="454"/>
      <c r="F413" s="454"/>
      <c r="G413" s="454"/>
      <c r="H413" s="454"/>
      <c r="I413" s="454"/>
      <c r="J413" s="454"/>
      <c r="K413" s="454"/>
      <c r="L413" s="454"/>
      <c r="M413" s="454"/>
      <c r="N413" s="454"/>
      <c r="O413" s="454"/>
      <c r="P413" s="454"/>
      <c r="Q413" s="454"/>
      <c r="R413" s="454"/>
      <c r="S413" s="454"/>
      <c r="T413" s="454"/>
      <c r="U413" s="454"/>
      <c r="V413" s="454"/>
      <c r="W413" s="454"/>
      <c r="X413" s="454"/>
      <c r="Y413" s="454"/>
      <c r="Z413" s="454"/>
    </row>
    <row r="414" ht="15.75" customHeight="1">
      <c r="A414" s="454"/>
      <c r="B414" s="454"/>
      <c r="C414" s="454"/>
      <c r="D414" s="864"/>
      <c r="E414" s="454"/>
      <c r="F414" s="454"/>
      <c r="G414" s="454"/>
      <c r="H414" s="454"/>
      <c r="I414" s="454"/>
      <c r="J414" s="454"/>
      <c r="K414" s="454"/>
      <c r="L414" s="454"/>
      <c r="M414" s="454"/>
      <c r="N414" s="454"/>
      <c r="O414" s="454"/>
      <c r="P414" s="454"/>
      <c r="Q414" s="454"/>
      <c r="R414" s="454"/>
      <c r="S414" s="454"/>
      <c r="T414" s="454"/>
      <c r="U414" s="454"/>
      <c r="V414" s="454"/>
      <c r="W414" s="454"/>
      <c r="X414" s="454"/>
      <c r="Y414" s="454"/>
      <c r="Z414" s="454"/>
    </row>
    <row r="415" ht="15.75" customHeight="1">
      <c r="A415" s="454"/>
      <c r="B415" s="454"/>
      <c r="C415" s="454"/>
      <c r="D415" s="864"/>
      <c r="E415" s="454"/>
      <c r="F415" s="454"/>
      <c r="G415" s="454"/>
      <c r="H415" s="454"/>
      <c r="I415" s="454"/>
      <c r="J415" s="454"/>
      <c r="K415" s="454"/>
      <c r="L415" s="454"/>
      <c r="M415" s="454"/>
      <c r="N415" s="454"/>
      <c r="O415" s="454"/>
      <c r="P415" s="454"/>
      <c r="Q415" s="454"/>
      <c r="R415" s="454"/>
      <c r="S415" s="454"/>
      <c r="T415" s="454"/>
      <c r="U415" s="454"/>
      <c r="V415" s="454"/>
      <c r="W415" s="454"/>
      <c r="X415" s="454"/>
      <c r="Y415" s="454"/>
      <c r="Z415" s="454"/>
    </row>
    <row r="416" ht="15.75" customHeight="1">
      <c r="A416" s="454"/>
      <c r="B416" s="454"/>
      <c r="C416" s="454"/>
      <c r="D416" s="864"/>
      <c r="E416" s="454"/>
      <c r="F416" s="454"/>
      <c r="G416" s="454"/>
      <c r="H416" s="454"/>
      <c r="I416" s="454"/>
      <c r="J416" s="454"/>
      <c r="K416" s="454"/>
      <c r="L416" s="454"/>
      <c r="M416" s="454"/>
      <c r="N416" s="454"/>
      <c r="O416" s="454"/>
      <c r="P416" s="454"/>
      <c r="Q416" s="454"/>
      <c r="R416" s="454"/>
      <c r="S416" s="454"/>
      <c r="T416" s="454"/>
      <c r="U416" s="454"/>
      <c r="V416" s="454"/>
      <c r="W416" s="454"/>
      <c r="X416" s="454"/>
      <c r="Y416" s="454"/>
      <c r="Z416" s="454"/>
    </row>
    <row r="417" ht="15.75" customHeight="1">
      <c r="A417" s="454"/>
      <c r="B417" s="454"/>
      <c r="C417" s="454"/>
      <c r="D417" s="864"/>
      <c r="E417" s="454"/>
      <c r="F417" s="454"/>
      <c r="G417" s="454"/>
      <c r="H417" s="454"/>
      <c r="I417" s="454"/>
      <c r="J417" s="454"/>
      <c r="K417" s="454"/>
      <c r="L417" s="454"/>
      <c r="M417" s="454"/>
      <c r="N417" s="454"/>
      <c r="O417" s="454"/>
      <c r="P417" s="454"/>
      <c r="Q417" s="454"/>
      <c r="R417" s="454"/>
      <c r="S417" s="454"/>
      <c r="T417" s="454"/>
      <c r="U417" s="454"/>
      <c r="V417" s="454"/>
      <c r="W417" s="454"/>
      <c r="X417" s="454"/>
      <c r="Y417" s="454"/>
      <c r="Z417" s="454"/>
    </row>
    <row r="418" ht="15.75" customHeight="1">
      <c r="A418" s="454"/>
      <c r="B418" s="454"/>
      <c r="C418" s="454"/>
      <c r="D418" s="864"/>
      <c r="E418" s="454"/>
      <c r="F418" s="454"/>
      <c r="G418" s="454"/>
      <c r="H418" s="454"/>
      <c r="I418" s="454"/>
      <c r="J418" s="454"/>
      <c r="K418" s="454"/>
      <c r="L418" s="454"/>
      <c r="M418" s="454"/>
      <c r="N418" s="454"/>
      <c r="O418" s="454"/>
      <c r="P418" s="454"/>
      <c r="Q418" s="454"/>
      <c r="R418" s="454"/>
      <c r="S418" s="454"/>
      <c r="T418" s="454"/>
      <c r="U418" s="454"/>
      <c r="V418" s="454"/>
      <c r="W418" s="454"/>
      <c r="X418" s="454"/>
      <c r="Y418" s="454"/>
      <c r="Z418" s="454"/>
    </row>
    <row r="419" ht="15.75" customHeight="1">
      <c r="A419" s="454"/>
      <c r="B419" s="454"/>
      <c r="C419" s="454"/>
      <c r="D419" s="864"/>
      <c r="E419" s="454"/>
      <c r="F419" s="454"/>
      <c r="G419" s="454"/>
      <c r="H419" s="454"/>
      <c r="I419" s="454"/>
      <c r="J419" s="454"/>
      <c r="K419" s="454"/>
      <c r="L419" s="454"/>
      <c r="M419" s="454"/>
      <c r="N419" s="454"/>
      <c r="O419" s="454"/>
      <c r="P419" s="454"/>
      <c r="Q419" s="454"/>
      <c r="R419" s="454"/>
      <c r="S419" s="454"/>
      <c r="T419" s="454"/>
      <c r="U419" s="454"/>
      <c r="V419" s="454"/>
      <c r="W419" s="454"/>
      <c r="X419" s="454"/>
      <c r="Y419" s="454"/>
      <c r="Z419" s="454"/>
    </row>
    <row r="420" ht="15.75" customHeight="1">
      <c r="A420" s="454"/>
      <c r="B420" s="454"/>
      <c r="C420" s="454"/>
      <c r="D420" s="864"/>
      <c r="E420" s="454"/>
      <c r="F420" s="454"/>
      <c r="G420" s="454"/>
      <c r="H420" s="454"/>
      <c r="I420" s="454"/>
      <c r="J420" s="454"/>
      <c r="K420" s="454"/>
      <c r="L420" s="454"/>
      <c r="M420" s="454"/>
      <c r="N420" s="454"/>
      <c r="O420" s="454"/>
      <c r="P420" s="454"/>
      <c r="Q420" s="454"/>
      <c r="R420" s="454"/>
      <c r="S420" s="454"/>
      <c r="T420" s="454"/>
      <c r="U420" s="454"/>
      <c r="V420" s="454"/>
      <c r="W420" s="454"/>
      <c r="X420" s="454"/>
      <c r="Y420" s="454"/>
      <c r="Z420" s="454"/>
    </row>
    <row r="421" ht="15.75" customHeight="1">
      <c r="A421" s="454"/>
      <c r="B421" s="454"/>
      <c r="C421" s="454"/>
      <c r="D421" s="864"/>
      <c r="E421" s="454"/>
      <c r="F421" s="454"/>
      <c r="G421" s="454"/>
      <c r="H421" s="454"/>
      <c r="I421" s="454"/>
      <c r="J421" s="454"/>
      <c r="K421" s="454"/>
      <c r="L421" s="454"/>
      <c r="M421" s="454"/>
      <c r="N421" s="454"/>
      <c r="O421" s="454"/>
      <c r="P421" s="454"/>
      <c r="Q421" s="454"/>
      <c r="R421" s="454"/>
      <c r="S421" s="454"/>
      <c r="T421" s="454"/>
      <c r="U421" s="454"/>
      <c r="V421" s="454"/>
      <c r="W421" s="454"/>
      <c r="X421" s="454"/>
      <c r="Y421" s="454"/>
      <c r="Z421" s="454"/>
    </row>
    <row r="422" ht="15.75" customHeight="1">
      <c r="A422" s="454"/>
      <c r="B422" s="454"/>
      <c r="C422" s="454"/>
      <c r="D422" s="864"/>
      <c r="E422" s="454"/>
      <c r="F422" s="454"/>
      <c r="G422" s="454"/>
      <c r="H422" s="454"/>
      <c r="I422" s="454"/>
      <c r="J422" s="454"/>
      <c r="K422" s="454"/>
      <c r="L422" s="454"/>
      <c r="M422" s="454"/>
      <c r="N422" s="454"/>
      <c r="O422" s="454"/>
      <c r="P422" s="454"/>
      <c r="Q422" s="454"/>
      <c r="R422" s="454"/>
      <c r="S422" s="454"/>
      <c r="T422" s="454"/>
      <c r="U422" s="454"/>
      <c r="V422" s="454"/>
      <c r="W422" s="454"/>
      <c r="X422" s="454"/>
      <c r="Y422" s="454"/>
      <c r="Z422" s="454"/>
    </row>
    <row r="423" ht="15.75" customHeight="1">
      <c r="A423" s="454"/>
      <c r="B423" s="454"/>
      <c r="C423" s="454"/>
      <c r="D423" s="864"/>
      <c r="E423" s="454"/>
      <c r="F423" s="454"/>
      <c r="G423" s="454"/>
      <c r="H423" s="454"/>
      <c r="I423" s="454"/>
      <c r="J423" s="454"/>
      <c r="K423" s="454"/>
      <c r="L423" s="454"/>
      <c r="M423" s="454"/>
      <c r="N423" s="454"/>
      <c r="O423" s="454"/>
      <c r="P423" s="454"/>
      <c r="Q423" s="454"/>
      <c r="R423" s="454"/>
      <c r="S423" s="454"/>
      <c r="T423" s="454"/>
      <c r="U423" s="454"/>
      <c r="V423" s="454"/>
      <c r="W423" s="454"/>
      <c r="X423" s="454"/>
      <c r="Y423" s="454"/>
      <c r="Z423" s="454"/>
    </row>
    <row r="424" ht="15.75" customHeight="1">
      <c r="A424" s="454"/>
      <c r="B424" s="454"/>
      <c r="C424" s="454"/>
      <c r="D424" s="864"/>
      <c r="E424" s="454"/>
      <c r="F424" s="454"/>
      <c r="G424" s="454"/>
      <c r="H424" s="454"/>
      <c r="I424" s="454"/>
      <c r="J424" s="454"/>
      <c r="K424" s="454"/>
      <c r="L424" s="454"/>
      <c r="M424" s="454"/>
      <c r="N424" s="454"/>
      <c r="O424" s="454"/>
      <c r="P424" s="454"/>
      <c r="Q424" s="454"/>
      <c r="R424" s="454"/>
      <c r="S424" s="454"/>
      <c r="T424" s="454"/>
      <c r="U424" s="454"/>
      <c r="V424" s="454"/>
      <c r="W424" s="454"/>
      <c r="X424" s="454"/>
      <c r="Y424" s="454"/>
      <c r="Z424" s="454"/>
    </row>
    <row r="425" ht="15.75" customHeight="1">
      <c r="A425" s="454"/>
      <c r="B425" s="454"/>
      <c r="C425" s="454"/>
      <c r="D425" s="864"/>
      <c r="E425" s="454"/>
      <c r="F425" s="454"/>
      <c r="G425" s="454"/>
      <c r="H425" s="454"/>
      <c r="I425" s="454"/>
      <c r="J425" s="454"/>
      <c r="K425" s="454"/>
      <c r="L425" s="454"/>
      <c r="M425" s="454"/>
      <c r="N425" s="454"/>
      <c r="O425" s="454"/>
      <c r="P425" s="454"/>
      <c r="Q425" s="454"/>
      <c r="R425" s="454"/>
      <c r="S425" s="454"/>
      <c r="T425" s="454"/>
      <c r="U425" s="454"/>
      <c r="V425" s="454"/>
      <c r="W425" s="454"/>
      <c r="X425" s="454"/>
      <c r="Y425" s="454"/>
      <c r="Z425" s="454"/>
    </row>
    <row r="426" ht="15.75" customHeight="1">
      <c r="A426" s="454"/>
      <c r="B426" s="454"/>
      <c r="C426" s="454"/>
      <c r="D426" s="864"/>
      <c r="E426" s="454"/>
      <c r="F426" s="454"/>
      <c r="G426" s="454"/>
      <c r="H426" s="454"/>
      <c r="I426" s="454"/>
      <c r="J426" s="454"/>
      <c r="K426" s="454"/>
      <c r="L426" s="454"/>
      <c r="M426" s="454"/>
      <c r="N426" s="454"/>
      <c r="O426" s="454"/>
      <c r="P426" s="454"/>
      <c r="Q426" s="454"/>
      <c r="R426" s="454"/>
      <c r="S426" s="454"/>
      <c r="T426" s="454"/>
      <c r="U426" s="454"/>
      <c r="V426" s="454"/>
      <c r="W426" s="454"/>
      <c r="X426" s="454"/>
      <c r="Y426" s="454"/>
      <c r="Z426" s="454"/>
    </row>
    <row r="427" ht="15.75" customHeight="1">
      <c r="A427" s="454"/>
      <c r="B427" s="454"/>
      <c r="C427" s="454"/>
      <c r="D427" s="864"/>
      <c r="E427" s="454"/>
      <c r="F427" s="454"/>
      <c r="G427" s="454"/>
      <c r="H427" s="454"/>
      <c r="I427" s="454"/>
      <c r="J427" s="454"/>
      <c r="K427" s="454"/>
      <c r="L427" s="454"/>
      <c r="M427" s="454"/>
      <c r="N427" s="454"/>
      <c r="O427" s="454"/>
      <c r="P427" s="454"/>
      <c r="Q427" s="454"/>
      <c r="R427" s="454"/>
      <c r="S427" s="454"/>
      <c r="T427" s="454"/>
      <c r="U427" s="454"/>
      <c r="V427" s="454"/>
      <c r="W427" s="454"/>
      <c r="X427" s="454"/>
      <c r="Y427" s="454"/>
      <c r="Z427" s="454"/>
    </row>
    <row r="428" ht="15.75" customHeight="1">
      <c r="A428" s="454"/>
      <c r="B428" s="454"/>
      <c r="C428" s="454"/>
      <c r="D428" s="864"/>
      <c r="E428" s="454"/>
      <c r="F428" s="454"/>
      <c r="G428" s="454"/>
      <c r="H428" s="454"/>
      <c r="I428" s="454"/>
      <c r="J428" s="454"/>
      <c r="K428" s="454"/>
      <c r="L428" s="454"/>
      <c r="M428" s="454"/>
      <c r="N428" s="454"/>
      <c r="O428" s="454"/>
      <c r="P428" s="454"/>
      <c r="Q428" s="454"/>
      <c r="R428" s="454"/>
      <c r="S428" s="454"/>
      <c r="T428" s="454"/>
      <c r="U428" s="454"/>
      <c r="V428" s="454"/>
      <c r="W428" s="454"/>
      <c r="X428" s="454"/>
      <c r="Y428" s="454"/>
      <c r="Z428" s="454"/>
    </row>
    <row r="429" ht="15.75" customHeight="1">
      <c r="A429" s="454"/>
      <c r="B429" s="454"/>
      <c r="C429" s="454"/>
      <c r="D429" s="864"/>
      <c r="E429" s="454"/>
      <c r="F429" s="454"/>
      <c r="G429" s="454"/>
      <c r="H429" s="454"/>
      <c r="I429" s="454"/>
      <c r="J429" s="454"/>
      <c r="K429" s="454"/>
      <c r="L429" s="454"/>
      <c r="M429" s="454"/>
      <c r="N429" s="454"/>
      <c r="O429" s="454"/>
      <c r="P429" s="454"/>
      <c r="Q429" s="454"/>
      <c r="R429" s="454"/>
      <c r="S429" s="454"/>
      <c r="T429" s="454"/>
      <c r="U429" s="454"/>
      <c r="V429" s="454"/>
      <c r="W429" s="454"/>
      <c r="X429" s="454"/>
      <c r="Y429" s="454"/>
      <c r="Z429" s="454"/>
    </row>
    <row r="430" ht="15.75" customHeight="1">
      <c r="A430" s="454"/>
      <c r="B430" s="454"/>
      <c r="C430" s="454"/>
      <c r="D430" s="864"/>
      <c r="E430" s="454"/>
      <c r="F430" s="454"/>
      <c r="G430" s="454"/>
      <c r="H430" s="454"/>
      <c r="I430" s="454"/>
      <c r="J430" s="454"/>
      <c r="K430" s="454"/>
      <c r="L430" s="454"/>
      <c r="M430" s="454"/>
      <c r="N430" s="454"/>
      <c r="O430" s="454"/>
      <c r="P430" s="454"/>
      <c r="Q430" s="454"/>
      <c r="R430" s="454"/>
      <c r="S430" s="454"/>
      <c r="T430" s="454"/>
      <c r="U430" s="454"/>
      <c r="V430" s="454"/>
      <c r="W430" s="454"/>
      <c r="X430" s="454"/>
      <c r="Y430" s="454"/>
      <c r="Z430" s="454"/>
    </row>
    <row r="431" ht="15.75" customHeight="1">
      <c r="A431" s="454"/>
      <c r="B431" s="454"/>
      <c r="C431" s="454"/>
      <c r="D431" s="864"/>
      <c r="E431" s="454"/>
      <c r="F431" s="454"/>
      <c r="G431" s="454"/>
      <c r="H431" s="454"/>
      <c r="I431" s="454"/>
      <c r="J431" s="454"/>
      <c r="K431" s="454"/>
      <c r="L431" s="454"/>
      <c r="M431" s="454"/>
      <c r="N431" s="454"/>
      <c r="O431" s="454"/>
      <c r="P431" s="454"/>
      <c r="Q431" s="454"/>
      <c r="R431" s="454"/>
      <c r="S431" s="454"/>
      <c r="T431" s="454"/>
      <c r="U431" s="454"/>
      <c r="V431" s="454"/>
      <c r="W431" s="454"/>
      <c r="X431" s="454"/>
      <c r="Y431" s="454"/>
      <c r="Z431" s="454"/>
    </row>
    <row r="432" ht="15.75" customHeight="1">
      <c r="A432" s="454"/>
      <c r="B432" s="454"/>
      <c r="C432" s="454"/>
      <c r="D432" s="864"/>
      <c r="E432" s="454"/>
      <c r="F432" s="454"/>
      <c r="G432" s="454"/>
      <c r="H432" s="454"/>
      <c r="I432" s="454"/>
      <c r="J432" s="454"/>
      <c r="K432" s="454"/>
      <c r="L432" s="454"/>
      <c r="M432" s="454"/>
      <c r="N432" s="454"/>
      <c r="O432" s="454"/>
      <c r="P432" s="454"/>
      <c r="Q432" s="454"/>
      <c r="R432" s="454"/>
      <c r="S432" s="454"/>
      <c r="T432" s="454"/>
      <c r="U432" s="454"/>
      <c r="V432" s="454"/>
      <c r="W432" s="454"/>
      <c r="X432" s="454"/>
      <c r="Y432" s="454"/>
      <c r="Z432" s="454"/>
    </row>
    <row r="433" ht="15.75" customHeight="1">
      <c r="A433" s="454"/>
      <c r="B433" s="454"/>
      <c r="C433" s="454"/>
      <c r="D433" s="864"/>
      <c r="E433" s="454"/>
      <c r="F433" s="454"/>
      <c r="G433" s="454"/>
      <c r="H433" s="454"/>
      <c r="I433" s="454"/>
      <c r="J433" s="454"/>
      <c r="K433" s="454"/>
      <c r="L433" s="454"/>
      <c r="M433" s="454"/>
      <c r="N433" s="454"/>
      <c r="O433" s="454"/>
      <c r="P433" s="454"/>
      <c r="Q433" s="454"/>
      <c r="R433" s="454"/>
      <c r="S433" s="454"/>
      <c r="T433" s="454"/>
      <c r="U433" s="454"/>
      <c r="V433" s="454"/>
      <c r="W433" s="454"/>
      <c r="X433" s="454"/>
      <c r="Y433" s="454"/>
      <c r="Z433" s="454"/>
    </row>
    <row r="434" ht="15.75" customHeight="1">
      <c r="A434" s="454"/>
      <c r="B434" s="454"/>
      <c r="C434" s="454"/>
      <c r="D434" s="864"/>
      <c r="E434" s="454"/>
      <c r="F434" s="454"/>
      <c r="G434" s="454"/>
      <c r="H434" s="454"/>
      <c r="I434" s="454"/>
      <c r="J434" s="454"/>
      <c r="K434" s="454"/>
      <c r="L434" s="454"/>
      <c r="M434" s="454"/>
      <c r="N434" s="454"/>
      <c r="O434" s="454"/>
      <c r="P434" s="454"/>
      <c r="Q434" s="454"/>
      <c r="R434" s="454"/>
      <c r="S434" s="454"/>
      <c r="T434" s="454"/>
      <c r="U434" s="454"/>
      <c r="V434" s="454"/>
      <c r="W434" s="454"/>
      <c r="X434" s="454"/>
      <c r="Y434" s="454"/>
      <c r="Z434" s="454"/>
    </row>
    <row r="435" ht="15.75" customHeight="1">
      <c r="A435" s="454"/>
      <c r="B435" s="454"/>
      <c r="C435" s="454"/>
      <c r="D435" s="864"/>
      <c r="E435" s="454"/>
      <c r="F435" s="454"/>
      <c r="G435" s="454"/>
      <c r="H435" s="454"/>
      <c r="I435" s="454"/>
      <c r="J435" s="454"/>
      <c r="K435" s="454"/>
      <c r="L435" s="454"/>
      <c r="M435" s="454"/>
      <c r="N435" s="454"/>
      <c r="O435" s="454"/>
      <c r="P435" s="454"/>
      <c r="Q435" s="454"/>
      <c r="R435" s="454"/>
      <c r="S435" s="454"/>
      <c r="T435" s="454"/>
      <c r="U435" s="454"/>
      <c r="V435" s="454"/>
      <c r="W435" s="454"/>
      <c r="X435" s="454"/>
      <c r="Y435" s="454"/>
      <c r="Z435" s="454"/>
    </row>
    <row r="436" ht="15.75" customHeight="1">
      <c r="A436" s="454"/>
      <c r="B436" s="454"/>
      <c r="C436" s="454"/>
      <c r="D436" s="864"/>
      <c r="E436" s="454"/>
      <c r="F436" s="454"/>
      <c r="G436" s="454"/>
      <c r="H436" s="454"/>
      <c r="I436" s="454"/>
      <c r="J436" s="454"/>
      <c r="K436" s="454"/>
      <c r="L436" s="454"/>
      <c r="M436" s="454"/>
      <c r="N436" s="454"/>
      <c r="O436" s="454"/>
      <c r="P436" s="454"/>
      <c r="Q436" s="454"/>
      <c r="R436" s="454"/>
      <c r="S436" s="454"/>
      <c r="T436" s="454"/>
      <c r="U436" s="454"/>
      <c r="V436" s="454"/>
      <c r="W436" s="454"/>
      <c r="X436" s="454"/>
      <c r="Y436" s="454"/>
      <c r="Z436" s="454"/>
    </row>
    <row r="437" ht="15.75" customHeight="1">
      <c r="A437" s="454"/>
      <c r="B437" s="454"/>
      <c r="C437" s="454"/>
      <c r="D437" s="864"/>
      <c r="E437" s="454"/>
      <c r="F437" s="454"/>
      <c r="G437" s="454"/>
      <c r="H437" s="454"/>
      <c r="I437" s="454"/>
      <c r="J437" s="454"/>
      <c r="K437" s="454"/>
      <c r="L437" s="454"/>
      <c r="M437" s="454"/>
      <c r="N437" s="454"/>
      <c r="O437" s="454"/>
      <c r="P437" s="454"/>
      <c r="Q437" s="454"/>
      <c r="R437" s="454"/>
      <c r="S437" s="454"/>
      <c r="T437" s="454"/>
      <c r="U437" s="454"/>
      <c r="V437" s="454"/>
      <c r="W437" s="454"/>
      <c r="X437" s="454"/>
      <c r="Y437" s="454"/>
      <c r="Z437" s="454"/>
    </row>
    <row r="438" ht="15.75" customHeight="1">
      <c r="A438" s="454"/>
      <c r="B438" s="454"/>
      <c r="C438" s="454"/>
      <c r="D438" s="864"/>
      <c r="E438" s="454"/>
      <c r="F438" s="454"/>
      <c r="G438" s="454"/>
      <c r="H438" s="454"/>
      <c r="I438" s="454"/>
      <c r="J438" s="454"/>
      <c r="K438" s="454"/>
      <c r="L438" s="454"/>
      <c r="M438" s="454"/>
      <c r="N438" s="454"/>
      <c r="O438" s="454"/>
      <c r="P438" s="454"/>
      <c r="Q438" s="454"/>
      <c r="R438" s="454"/>
      <c r="S438" s="454"/>
      <c r="T438" s="454"/>
      <c r="U438" s="454"/>
      <c r="V438" s="454"/>
      <c r="W438" s="454"/>
      <c r="X438" s="454"/>
      <c r="Y438" s="454"/>
      <c r="Z438" s="454"/>
    </row>
    <row r="439" ht="15.75" customHeight="1">
      <c r="A439" s="454"/>
      <c r="B439" s="454"/>
      <c r="C439" s="454"/>
      <c r="D439" s="864"/>
      <c r="E439" s="454"/>
      <c r="F439" s="454"/>
      <c r="G439" s="454"/>
      <c r="H439" s="454"/>
      <c r="I439" s="454"/>
      <c r="J439" s="454"/>
      <c r="K439" s="454"/>
      <c r="L439" s="454"/>
      <c r="M439" s="454"/>
      <c r="N439" s="454"/>
      <c r="O439" s="454"/>
      <c r="P439" s="454"/>
      <c r="Q439" s="454"/>
      <c r="R439" s="454"/>
      <c r="S439" s="454"/>
      <c r="T439" s="454"/>
      <c r="U439" s="454"/>
      <c r="V439" s="454"/>
      <c r="W439" s="454"/>
      <c r="X439" s="454"/>
      <c r="Y439" s="454"/>
      <c r="Z439" s="454"/>
    </row>
    <row r="440" ht="15.75" customHeight="1">
      <c r="A440" s="454"/>
      <c r="B440" s="454"/>
      <c r="C440" s="454"/>
      <c r="D440" s="864"/>
      <c r="E440" s="454"/>
      <c r="F440" s="454"/>
      <c r="G440" s="454"/>
      <c r="H440" s="454"/>
      <c r="I440" s="454"/>
      <c r="J440" s="454"/>
      <c r="K440" s="454"/>
      <c r="L440" s="454"/>
      <c r="M440" s="454"/>
      <c r="N440" s="454"/>
      <c r="O440" s="454"/>
      <c r="P440" s="454"/>
      <c r="Q440" s="454"/>
      <c r="R440" s="454"/>
      <c r="S440" s="454"/>
      <c r="T440" s="454"/>
      <c r="U440" s="454"/>
      <c r="V440" s="454"/>
      <c r="W440" s="454"/>
      <c r="X440" s="454"/>
      <c r="Y440" s="454"/>
      <c r="Z440" s="454"/>
    </row>
    <row r="441" ht="15.75" customHeight="1">
      <c r="A441" s="454"/>
      <c r="B441" s="454"/>
      <c r="C441" s="454"/>
      <c r="D441" s="864"/>
      <c r="E441" s="454"/>
      <c r="F441" s="454"/>
      <c r="G441" s="454"/>
      <c r="H441" s="454"/>
      <c r="I441" s="454"/>
      <c r="J441" s="454"/>
      <c r="K441" s="454"/>
      <c r="L441" s="454"/>
      <c r="M441" s="454"/>
      <c r="N441" s="454"/>
      <c r="O441" s="454"/>
      <c r="P441" s="454"/>
      <c r="Q441" s="454"/>
      <c r="R441" s="454"/>
      <c r="S441" s="454"/>
      <c r="T441" s="454"/>
      <c r="U441" s="454"/>
      <c r="V441" s="454"/>
      <c r="W441" s="454"/>
      <c r="X441" s="454"/>
      <c r="Y441" s="454"/>
      <c r="Z441" s="454"/>
    </row>
    <row r="442" ht="15.75" customHeight="1">
      <c r="A442" s="454"/>
      <c r="B442" s="454"/>
      <c r="C442" s="454"/>
      <c r="D442" s="864"/>
      <c r="E442" s="454"/>
      <c r="F442" s="454"/>
      <c r="G442" s="454"/>
      <c r="H442" s="454"/>
      <c r="I442" s="454"/>
      <c r="J442" s="454"/>
      <c r="K442" s="454"/>
      <c r="L442" s="454"/>
      <c r="M442" s="454"/>
      <c r="N442" s="454"/>
      <c r="O442" s="454"/>
      <c r="P442" s="454"/>
      <c r="Q442" s="454"/>
      <c r="R442" s="454"/>
      <c r="S442" s="454"/>
      <c r="T442" s="454"/>
      <c r="U442" s="454"/>
      <c r="V442" s="454"/>
      <c r="W442" s="454"/>
      <c r="X442" s="454"/>
      <c r="Y442" s="454"/>
      <c r="Z442" s="454"/>
    </row>
    <row r="443" ht="15.75" customHeight="1">
      <c r="A443" s="454"/>
      <c r="B443" s="454"/>
      <c r="C443" s="454"/>
      <c r="D443" s="864"/>
      <c r="E443" s="454"/>
      <c r="F443" s="454"/>
      <c r="G443" s="454"/>
      <c r="H443" s="454"/>
      <c r="I443" s="454"/>
      <c r="J443" s="454"/>
      <c r="K443" s="454"/>
      <c r="L443" s="454"/>
      <c r="M443" s="454"/>
      <c r="N443" s="454"/>
      <c r="O443" s="454"/>
      <c r="P443" s="454"/>
      <c r="Q443" s="454"/>
      <c r="R443" s="454"/>
      <c r="S443" s="454"/>
      <c r="T443" s="454"/>
      <c r="U443" s="454"/>
      <c r="V443" s="454"/>
      <c r="W443" s="454"/>
      <c r="X443" s="454"/>
      <c r="Y443" s="454"/>
      <c r="Z443" s="454"/>
    </row>
    <row r="444" ht="15.75" customHeight="1">
      <c r="A444" s="454"/>
      <c r="B444" s="454"/>
      <c r="C444" s="454"/>
      <c r="D444" s="864"/>
      <c r="E444" s="454"/>
      <c r="F444" s="454"/>
      <c r="G444" s="454"/>
      <c r="H444" s="454"/>
      <c r="I444" s="454"/>
      <c r="J444" s="454"/>
      <c r="K444" s="454"/>
      <c r="L444" s="454"/>
      <c r="M444" s="454"/>
      <c r="N444" s="454"/>
      <c r="O444" s="454"/>
      <c r="P444" s="454"/>
      <c r="Q444" s="454"/>
      <c r="R444" s="454"/>
      <c r="S444" s="454"/>
      <c r="T444" s="454"/>
      <c r="U444" s="454"/>
      <c r="V444" s="454"/>
      <c r="W444" s="454"/>
      <c r="X444" s="454"/>
      <c r="Y444" s="454"/>
      <c r="Z444" s="454"/>
    </row>
    <row r="445" ht="15.75" customHeight="1">
      <c r="A445" s="454"/>
      <c r="B445" s="454"/>
      <c r="C445" s="454"/>
      <c r="D445" s="864"/>
      <c r="E445" s="454"/>
      <c r="F445" s="454"/>
      <c r="G445" s="454"/>
      <c r="H445" s="454"/>
      <c r="I445" s="454"/>
      <c r="J445" s="454"/>
      <c r="K445" s="454"/>
      <c r="L445" s="454"/>
      <c r="M445" s="454"/>
      <c r="N445" s="454"/>
      <c r="O445" s="454"/>
      <c r="P445" s="454"/>
      <c r="Q445" s="454"/>
      <c r="R445" s="454"/>
      <c r="S445" s="454"/>
      <c r="T445" s="454"/>
      <c r="U445" s="454"/>
      <c r="V445" s="454"/>
      <c r="W445" s="454"/>
      <c r="X445" s="454"/>
      <c r="Y445" s="454"/>
      <c r="Z445" s="454"/>
    </row>
    <row r="446" ht="15.75" customHeight="1">
      <c r="A446" s="454"/>
      <c r="B446" s="454"/>
      <c r="C446" s="454"/>
      <c r="D446" s="864"/>
      <c r="E446" s="454"/>
      <c r="F446" s="454"/>
      <c r="G446" s="454"/>
      <c r="H446" s="454"/>
      <c r="I446" s="454"/>
      <c r="J446" s="454"/>
      <c r="K446" s="454"/>
      <c r="L446" s="454"/>
      <c r="M446" s="454"/>
      <c r="N446" s="454"/>
      <c r="O446" s="454"/>
      <c r="P446" s="454"/>
      <c r="Q446" s="454"/>
      <c r="R446" s="454"/>
      <c r="S446" s="454"/>
      <c r="T446" s="454"/>
      <c r="U446" s="454"/>
      <c r="V446" s="454"/>
      <c r="W446" s="454"/>
      <c r="X446" s="454"/>
      <c r="Y446" s="454"/>
      <c r="Z446" s="454"/>
    </row>
    <row r="447" ht="15.75" customHeight="1">
      <c r="A447" s="454"/>
      <c r="B447" s="454"/>
      <c r="C447" s="454"/>
      <c r="D447" s="864"/>
      <c r="E447" s="454"/>
      <c r="F447" s="454"/>
      <c r="G447" s="454"/>
      <c r="H447" s="454"/>
      <c r="I447" s="454"/>
      <c r="J447" s="454"/>
      <c r="K447" s="454"/>
      <c r="L447" s="454"/>
      <c r="M447" s="454"/>
      <c r="N447" s="454"/>
      <c r="O447" s="454"/>
      <c r="P447" s="454"/>
      <c r="Q447" s="454"/>
      <c r="R447" s="454"/>
      <c r="S447" s="454"/>
      <c r="T447" s="454"/>
      <c r="U447" s="454"/>
      <c r="V447" s="454"/>
      <c r="W447" s="454"/>
      <c r="X447" s="454"/>
      <c r="Y447" s="454"/>
      <c r="Z447" s="454"/>
    </row>
    <row r="448" ht="15.75" customHeight="1">
      <c r="A448" s="454"/>
      <c r="B448" s="454"/>
      <c r="C448" s="454"/>
      <c r="D448" s="864"/>
      <c r="E448" s="454"/>
      <c r="F448" s="454"/>
      <c r="G448" s="454"/>
      <c r="H448" s="454"/>
      <c r="I448" s="454"/>
      <c r="J448" s="454"/>
      <c r="K448" s="454"/>
      <c r="L448" s="454"/>
      <c r="M448" s="454"/>
      <c r="N448" s="454"/>
      <c r="O448" s="454"/>
      <c r="P448" s="454"/>
      <c r="Q448" s="454"/>
      <c r="R448" s="454"/>
      <c r="S448" s="454"/>
      <c r="T448" s="454"/>
      <c r="U448" s="454"/>
      <c r="V448" s="454"/>
      <c r="W448" s="454"/>
      <c r="X448" s="454"/>
      <c r="Y448" s="454"/>
      <c r="Z448" s="454"/>
    </row>
    <row r="449" ht="15.75" customHeight="1">
      <c r="A449" s="454"/>
      <c r="B449" s="454"/>
      <c r="C449" s="454"/>
      <c r="D449" s="864"/>
      <c r="E449" s="454"/>
      <c r="F449" s="454"/>
      <c r="G449" s="454"/>
      <c r="H449" s="454"/>
      <c r="I449" s="454"/>
      <c r="J449" s="454"/>
      <c r="K449" s="454"/>
      <c r="L449" s="454"/>
      <c r="M449" s="454"/>
      <c r="N449" s="454"/>
      <c r="O449" s="454"/>
      <c r="P449" s="454"/>
      <c r="Q449" s="454"/>
      <c r="R449" s="454"/>
      <c r="S449" s="454"/>
      <c r="T449" s="454"/>
      <c r="U449" s="454"/>
      <c r="V449" s="454"/>
      <c r="W449" s="454"/>
      <c r="X449" s="454"/>
      <c r="Y449" s="454"/>
      <c r="Z449" s="454"/>
    </row>
    <row r="450" ht="15.75" customHeight="1">
      <c r="A450" s="454"/>
      <c r="B450" s="454"/>
      <c r="C450" s="454"/>
      <c r="D450" s="864"/>
      <c r="E450" s="454"/>
      <c r="F450" s="454"/>
      <c r="G450" s="454"/>
      <c r="H450" s="454"/>
      <c r="I450" s="454"/>
      <c r="J450" s="454"/>
      <c r="K450" s="454"/>
      <c r="L450" s="454"/>
      <c r="M450" s="454"/>
      <c r="N450" s="454"/>
      <c r="O450" s="454"/>
      <c r="P450" s="454"/>
      <c r="Q450" s="454"/>
      <c r="R450" s="454"/>
      <c r="S450" s="454"/>
      <c r="T450" s="454"/>
      <c r="U450" s="454"/>
      <c r="V450" s="454"/>
      <c r="W450" s="454"/>
      <c r="X450" s="454"/>
      <c r="Y450" s="454"/>
      <c r="Z450" s="454"/>
    </row>
    <row r="451" ht="15.75" customHeight="1">
      <c r="A451" s="454"/>
      <c r="B451" s="454"/>
      <c r="C451" s="454"/>
      <c r="D451" s="864"/>
      <c r="E451" s="454"/>
      <c r="F451" s="454"/>
      <c r="G451" s="454"/>
      <c r="H451" s="454"/>
      <c r="I451" s="454"/>
      <c r="J451" s="454"/>
      <c r="K451" s="454"/>
      <c r="L451" s="454"/>
      <c r="M451" s="454"/>
      <c r="N451" s="454"/>
      <c r="O451" s="454"/>
      <c r="P451" s="454"/>
      <c r="Q451" s="454"/>
      <c r="R451" s="454"/>
      <c r="S451" s="454"/>
      <c r="T451" s="454"/>
      <c r="U451" s="454"/>
      <c r="V451" s="454"/>
      <c r="W451" s="454"/>
      <c r="X451" s="454"/>
      <c r="Y451" s="454"/>
      <c r="Z451" s="454"/>
    </row>
    <row r="452" ht="15.75" customHeight="1">
      <c r="A452" s="454"/>
      <c r="B452" s="454"/>
      <c r="C452" s="454"/>
      <c r="D452" s="864"/>
      <c r="E452" s="454"/>
      <c r="F452" s="454"/>
      <c r="G452" s="454"/>
      <c r="H452" s="454"/>
      <c r="I452" s="454"/>
      <c r="J452" s="454"/>
      <c r="K452" s="454"/>
      <c r="L452" s="454"/>
      <c r="M452" s="454"/>
      <c r="N452" s="454"/>
      <c r="O452" s="454"/>
      <c r="P452" s="454"/>
      <c r="Q452" s="454"/>
      <c r="R452" s="454"/>
      <c r="S452" s="454"/>
      <c r="T452" s="454"/>
      <c r="U452" s="454"/>
      <c r="V452" s="454"/>
      <c r="W452" s="454"/>
      <c r="X452" s="454"/>
      <c r="Y452" s="454"/>
      <c r="Z452" s="454"/>
    </row>
    <row r="453" ht="15.75" customHeight="1">
      <c r="A453" s="454"/>
      <c r="B453" s="454"/>
      <c r="C453" s="454"/>
      <c r="D453" s="864"/>
      <c r="E453" s="454"/>
      <c r="F453" s="454"/>
      <c r="G453" s="454"/>
      <c r="H453" s="454"/>
      <c r="I453" s="454"/>
      <c r="J453" s="454"/>
      <c r="K453" s="454"/>
      <c r="L453" s="454"/>
      <c r="M453" s="454"/>
      <c r="N453" s="454"/>
      <c r="O453" s="454"/>
      <c r="P453" s="454"/>
      <c r="Q453" s="454"/>
      <c r="R453" s="454"/>
      <c r="S453" s="454"/>
      <c r="T453" s="454"/>
      <c r="U453" s="454"/>
      <c r="V453" s="454"/>
      <c r="W453" s="454"/>
      <c r="X453" s="454"/>
      <c r="Y453" s="454"/>
      <c r="Z453" s="454"/>
    </row>
    <row r="454" ht="15.75" customHeight="1">
      <c r="A454" s="454"/>
      <c r="B454" s="454"/>
      <c r="C454" s="454"/>
      <c r="D454" s="864"/>
      <c r="E454" s="454"/>
      <c r="F454" s="454"/>
      <c r="G454" s="454"/>
      <c r="H454" s="454"/>
      <c r="I454" s="454"/>
      <c r="J454" s="454"/>
      <c r="K454" s="454"/>
      <c r="L454" s="454"/>
      <c r="M454" s="454"/>
      <c r="N454" s="454"/>
      <c r="O454" s="454"/>
      <c r="P454" s="454"/>
      <c r="Q454" s="454"/>
      <c r="R454" s="454"/>
      <c r="S454" s="454"/>
      <c r="T454" s="454"/>
      <c r="U454" s="454"/>
      <c r="V454" s="454"/>
      <c r="W454" s="454"/>
      <c r="X454" s="454"/>
      <c r="Y454" s="454"/>
      <c r="Z454" s="454"/>
    </row>
    <row r="455" ht="15.75" customHeight="1">
      <c r="A455" s="454"/>
      <c r="B455" s="454"/>
      <c r="C455" s="454"/>
      <c r="D455" s="864"/>
      <c r="E455" s="454"/>
      <c r="F455" s="454"/>
      <c r="G455" s="454"/>
      <c r="H455" s="454"/>
      <c r="I455" s="454"/>
      <c r="J455" s="454"/>
      <c r="K455" s="454"/>
      <c r="L455" s="454"/>
      <c r="M455" s="454"/>
      <c r="N455" s="454"/>
      <c r="O455" s="454"/>
      <c r="P455" s="454"/>
      <c r="Q455" s="454"/>
      <c r="R455" s="454"/>
      <c r="S455" s="454"/>
      <c r="T455" s="454"/>
      <c r="U455" s="454"/>
      <c r="V455" s="454"/>
      <c r="W455" s="454"/>
      <c r="X455" s="454"/>
      <c r="Y455" s="454"/>
      <c r="Z455" s="454"/>
    </row>
    <row r="456" ht="15.75" customHeight="1">
      <c r="A456" s="454"/>
      <c r="B456" s="454"/>
      <c r="C456" s="454"/>
      <c r="D456" s="864"/>
      <c r="E456" s="454"/>
      <c r="F456" s="454"/>
      <c r="G456" s="454"/>
      <c r="H456" s="454"/>
      <c r="I456" s="454"/>
      <c r="J456" s="454"/>
      <c r="K456" s="454"/>
      <c r="L456" s="454"/>
      <c r="M456" s="454"/>
      <c r="N456" s="454"/>
      <c r="O456" s="454"/>
      <c r="P456" s="454"/>
      <c r="Q456" s="454"/>
      <c r="R456" s="454"/>
      <c r="S456" s="454"/>
      <c r="T456" s="454"/>
      <c r="U456" s="454"/>
      <c r="V456" s="454"/>
      <c r="W456" s="454"/>
      <c r="X456" s="454"/>
      <c r="Y456" s="454"/>
      <c r="Z456" s="454"/>
    </row>
    <row r="457" ht="15.75" customHeight="1">
      <c r="A457" s="454"/>
      <c r="B457" s="454"/>
      <c r="C457" s="454"/>
      <c r="D457" s="864"/>
      <c r="E457" s="454"/>
      <c r="F457" s="454"/>
      <c r="G457" s="454"/>
      <c r="H457" s="454"/>
      <c r="I457" s="454"/>
      <c r="J457" s="454"/>
      <c r="K457" s="454"/>
      <c r="L457" s="454"/>
      <c r="M457" s="454"/>
      <c r="N457" s="454"/>
      <c r="O457" s="454"/>
      <c r="P457" s="454"/>
      <c r="Q457" s="454"/>
      <c r="R457" s="454"/>
      <c r="S457" s="454"/>
      <c r="T457" s="454"/>
      <c r="U457" s="454"/>
      <c r="V457" s="454"/>
      <c r="W457" s="454"/>
      <c r="X457" s="454"/>
      <c r="Y457" s="454"/>
      <c r="Z457" s="454"/>
    </row>
    <row r="458" ht="15.75" customHeight="1">
      <c r="A458" s="454"/>
      <c r="B458" s="454"/>
      <c r="C458" s="454"/>
      <c r="D458" s="864"/>
      <c r="E458" s="454"/>
      <c r="F458" s="454"/>
      <c r="G458" s="454"/>
      <c r="H458" s="454"/>
      <c r="I458" s="454"/>
      <c r="J458" s="454"/>
      <c r="K458" s="454"/>
      <c r="L458" s="454"/>
      <c r="M458" s="454"/>
      <c r="N458" s="454"/>
      <c r="O458" s="454"/>
      <c r="P458" s="454"/>
      <c r="Q458" s="454"/>
      <c r="R458" s="454"/>
      <c r="S458" s="454"/>
      <c r="T458" s="454"/>
      <c r="U458" s="454"/>
      <c r="V458" s="454"/>
      <c r="W458" s="454"/>
      <c r="X458" s="454"/>
      <c r="Y458" s="454"/>
      <c r="Z458" s="454"/>
    </row>
    <row r="459" ht="15.75" customHeight="1">
      <c r="A459" s="454"/>
      <c r="B459" s="454"/>
      <c r="C459" s="454"/>
      <c r="D459" s="864"/>
      <c r="E459" s="454"/>
      <c r="F459" s="454"/>
      <c r="G459" s="454"/>
      <c r="H459" s="454"/>
      <c r="I459" s="454"/>
      <c r="J459" s="454"/>
      <c r="K459" s="454"/>
      <c r="L459" s="454"/>
      <c r="M459" s="454"/>
      <c r="N459" s="454"/>
      <c r="O459" s="454"/>
      <c r="P459" s="454"/>
      <c r="Q459" s="454"/>
      <c r="R459" s="454"/>
      <c r="S459" s="454"/>
      <c r="T459" s="454"/>
      <c r="U459" s="454"/>
      <c r="V459" s="454"/>
      <c r="W459" s="454"/>
      <c r="X459" s="454"/>
      <c r="Y459" s="454"/>
      <c r="Z459" s="454"/>
    </row>
    <row r="460" ht="15.75" customHeight="1">
      <c r="A460" s="454"/>
      <c r="B460" s="454"/>
      <c r="C460" s="454"/>
      <c r="D460" s="864"/>
      <c r="E460" s="454"/>
      <c r="F460" s="454"/>
      <c r="G460" s="454"/>
      <c r="H460" s="454"/>
      <c r="I460" s="454"/>
      <c r="J460" s="454"/>
      <c r="K460" s="454"/>
      <c r="L460" s="454"/>
      <c r="M460" s="454"/>
      <c r="N460" s="454"/>
      <c r="O460" s="454"/>
      <c r="P460" s="454"/>
      <c r="Q460" s="454"/>
      <c r="R460" s="454"/>
      <c r="S460" s="454"/>
      <c r="T460" s="454"/>
      <c r="U460" s="454"/>
      <c r="V460" s="454"/>
      <c r="W460" s="454"/>
      <c r="X460" s="454"/>
      <c r="Y460" s="454"/>
      <c r="Z460" s="454"/>
    </row>
    <row r="461" ht="15.75" customHeight="1">
      <c r="A461" s="454"/>
      <c r="B461" s="454"/>
      <c r="C461" s="454"/>
      <c r="D461" s="864"/>
      <c r="E461" s="454"/>
      <c r="F461" s="454"/>
      <c r="G461" s="454"/>
      <c r="H461" s="454"/>
      <c r="I461" s="454"/>
      <c r="J461" s="454"/>
      <c r="K461" s="454"/>
      <c r="L461" s="454"/>
      <c r="M461" s="454"/>
      <c r="N461" s="454"/>
      <c r="O461" s="454"/>
      <c r="P461" s="454"/>
      <c r="Q461" s="454"/>
      <c r="R461" s="454"/>
      <c r="S461" s="454"/>
      <c r="T461" s="454"/>
      <c r="U461" s="454"/>
      <c r="V461" s="454"/>
      <c r="W461" s="454"/>
      <c r="X461" s="454"/>
      <c r="Y461" s="454"/>
      <c r="Z461" s="454"/>
    </row>
    <row r="462" ht="15.75" customHeight="1">
      <c r="A462" s="454"/>
      <c r="B462" s="454"/>
      <c r="C462" s="454"/>
      <c r="D462" s="864"/>
      <c r="E462" s="454"/>
      <c r="F462" s="454"/>
      <c r="G462" s="454"/>
      <c r="H462" s="454"/>
      <c r="I462" s="454"/>
      <c r="J462" s="454"/>
      <c r="K462" s="454"/>
      <c r="L462" s="454"/>
      <c r="M462" s="454"/>
      <c r="N462" s="454"/>
      <c r="O462" s="454"/>
      <c r="P462" s="454"/>
      <c r="Q462" s="454"/>
      <c r="R462" s="454"/>
      <c r="S462" s="454"/>
      <c r="T462" s="454"/>
      <c r="U462" s="454"/>
      <c r="V462" s="454"/>
      <c r="W462" s="454"/>
      <c r="X462" s="454"/>
      <c r="Y462" s="454"/>
      <c r="Z462" s="454"/>
    </row>
    <row r="463" ht="15.75" customHeight="1">
      <c r="A463" s="454"/>
      <c r="B463" s="454"/>
      <c r="C463" s="454"/>
      <c r="D463" s="864"/>
      <c r="E463" s="454"/>
      <c r="F463" s="454"/>
      <c r="G463" s="454"/>
      <c r="H463" s="454"/>
      <c r="I463" s="454"/>
      <c r="J463" s="454"/>
      <c r="K463" s="454"/>
      <c r="L463" s="454"/>
      <c r="M463" s="454"/>
      <c r="N463" s="454"/>
      <c r="O463" s="454"/>
      <c r="P463" s="454"/>
      <c r="Q463" s="454"/>
      <c r="R463" s="454"/>
      <c r="S463" s="454"/>
      <c r="T463" s="454"/>
      <c r="U463" s="454"/>
      <c r="V463" s="454"/>
      <c r="W463" s="454"/>
      <c r="X463" s="454"/>
      <c r="Y463" s="454"/>
      <c r="Z463" s="454"/>
    </row>
    <row r="464" ht="15.75" customHeight="1">
      <c r="A464" s="454"/>
      <c r="B464" s="454"/>
      <c r="C464" s="454"/>
      <c r="D464" s="864"/>
      <c r="E464" s="454"/>
      <c r="F464" s="454"/>
      <c r="G464" s="454"/>
      <c r="H464" s="454"/>
      <c r="I464" s="454"/>
      <c r="J464" s="454"/>
      <c r="K464" s="454"/>
      <c r="L464" s="454"/>
      <c r="M464" s="454"/>
      <c r="N464" s="454"/>
      <c r="O464" s="454"/>
      <c r="P464" s="454"/>
      <c r="Q464" s="454"/>
      <c r="R464" s="454"/>
      <c r="S464" s="454"/>
      <c r="T464" s="454"/>
      <c r="U464" s="454"/>
      <c r="V464" s="454"/>
      <c r="W464" s="454"/>
      <c r="X464" s="454"/>
      <c r="Y464" s="454"/>
      <c r="Z464" s="454"/>
    </row>
    <row r="465" ht="15.75" customHeight="1">
      <c r="A465" s="454"/>
      <c r="B465" s="454"/>
      <c r="C465" s="454"/>
      <c r="D465" s="864"/>
      <c r="E465" s="454"/>
      <c r="F465" s="454"/>
      <c r="G465" s="454"/>
      <c r="H465" s="454"/>
      <c r="I465" s="454"/>
      <c r="J465" s="454"/>
      <c r="K465" s="454"/>
      <c r="L465" s="454"/>
      <c r="M465" s="454"/>
      <c r="N465" s="454"/>
      <c r="O465" s="454"/>
      <c r="P465" s="454"/>
      <c r="Q465" s="454"/>
      <c r="R465" s="454"/>
      <c r="S465" s="454"/>
      <c r="T465" s="454"/>
      <c r="U465" s="454"/>
      <c r="V465" s="454"/>
      <c r="W465" s="454"/>
      <c r="X465" s="454"/>
      <c r="Y465" s="454"/>
      <c r="Z465" s="454"/>
    </row>
    <row r="466" ht="15.75" customHeight="1">
      <c r="A466" s="454"/>
      <c r="B466" s="454"/>
      <c r="C466" s="454"/>
      <c r="D466" s="864"/>
      <c r="E466" s="454"/>
      <c r="F466" s="454"/>
      <c r="G466" s="454"/>
      <c r="H466" s="454"/>
      <c r="I466" s="454"/>
      <c r="J466" s="454"/>
      <c r="K466" s="454"/>
      <c r="L466" s="454"/>
      <c r="M466" s="454"/>
      <c r="N466" s="454"/>
      <c r="O466" s="454"/>
      <c r="P466" s="454"/>
      <c r="Q466" s="454"/>
      <c r="R466" s="454"/>
      <c r="S466" s="454"/>
      <c r="T466" s="454"/>
      <c r="U466" s="454"/>
      <c r="V466" s="454"/>
      <c r="W466" s="454"/>
      <c r="X466" s="454"/>
      <c r="Y466" s="454"/>
      <c r="Z466" s="454"/>
    </row>
    <row r="467" ht="15.75" customHeight="1">
      <c r="A467" s="454"/>
      <c r="B467" s="454"/>
      <c r="C467" s="454"/>
      <c r="D467" s="864"/>
      <c r="E467" s="454"/>
      <c r="F467" s="454"/>
      <c r="G467" s="454"/>
      <c r="H467" s="454"/>
      <c r="I467" s="454"/>
      <c r="J467" s="454"/>
      <c r="K467" s="454"/>
      <c r="L467" s="454"/>
      <c r="M467" s="454"/>
      <c r="N467" s="454"/>
      <c r="O467" s="454"/>
      <c r="P467" s="454"/>
      <c r="Q467" s="454"/>
      <c r="R467" s="454"/>
      <c r="S467" s="454"/>
      <c r="T467" s="454"/>
      <c r="U467" s="454"/>
      <c r="V467" s="454"/>
      <c r="W467" s="454"/>
      <c r="X467" s="454"/>
      <c r="Y467" s="454"/>
      <c r="Z467" s="454"/>
    </row>
    <row r="468" ht="15.75" customHeight="1">
      <c r="A468" s="454"/>
      <c r="B468" s="454"/>
      <c r="C468" s="454"/>
      <c r="D468" s="864"/>
      <c r="E468" s="454"/>
      <c r="F468" s="454"/>
      <c r="G468" s="454"/>
      <c r="H468" s="454"/>
      <c r="I468" s="454"/>
      <c r="J468" s="454"/>
      <c r="K468" s="454"/>
      <c r="L468" s="454"/>
      <c r="M468" s="454"/>
      <c r="N468" s="454"/>
      <c r="O468" s="454"/>
      <c r="P468" s="454"/>
      <c r="Q468" s="454"/>
      <c r="R468" s="454"/>
      <c r="S468" s="454"/>
      <c r="T468" s="454"/>
      <c r="U468" s="454"/>
      <c r="V468" s="454"/>
      <c r="W468" s="454"/>
      <c r="X468" s="454"/>
      <c r="Y468" s="454"/>
      <c r="Z468" s="454"/>
    </row>
    <row r="469" ht="15.75" customHeight="1">
      <c r="A469" s="454"/>
      <c r="B469" s="454"/>
      <c r="C469" s="454"/>
      <c r="D469" s="864"/>
      <c r="E469" s="454"/>
      <c r="F469" s="454"/>
      <c r="G469" s="454"/>
      <c r="H469" s="454"/>
      <c r="I469" s="454"/>
      <c r="J469" s="454"/>
      <c r="K469" s="454"/>
      <c r="L469" s="454"/>
      <c r="M469" s="454"/>
      <c r="N469" s="454"/>
      <c r="O469" s="454"/>
      <c r="P469" s="454"/>
      <c r="Q469" s="454"/>
      <c r="R469" s="454"/>
      <c r="S469" s="454"/>
      <c r="T469" s="454"/>
      <c r="U469" s="454"/>
      <c r="V469" s="454"/>
      <c r="W469" s="454"/>
      <c r="X469" s="454"/>
      <c r="Y469" s="454"/>
      <c r="Z469" s="454"/>
    </row>
    <row r="470" ht="15.75" customHeight="1">
      <c r="A470" s="454"/>
      <c r="B470" s="454"/>
      <c r="C470" s="454"/>
      <c r="D470" s="864"/>
      <c r="E470" s="454"/>
      <c r="F470" s="454"/>
      <c r="G470" s="454"/>
      <c r="H470" s="454"/>
      <c r="I470" s="454"/>
      <c r="J470" s="454"/>
      <c r="K470" s="454"/>
      <c r="L470" s="454"/>
      <c r="M470" s="454"/>
      <c r="N470" s="454"/>
      <c r="O470" s="454"/>
      <c r="P470" s="454"/>
      <c r="Q470" s="454"/>
      <c r="R470" s="454"/>
      <c r="S470" s="454"/>
      <c r="T470" s="454"/>
      <c r="U470" s="454"/>
      <c r="V470" s="454"/>
      <c r="W470" s="454"/>
      <c r="X470" s="454"/>
      <c r="Y470" s="454"/>
      <c r="Z470" s="454"/>
    </row>
    <row r="471" ht="15.75" customHeight="1">
      <c r="A471" s="454"/>
      <c r="B471" s="454"/>
      <c r="C471" s="454"/>
      <c r="D471" s="864"/>
      <c r="E471" s="454"/>
      <c r="F471" s="454"/>
      <c r="G471" s="454"/>
      <c r="H471" s="454"/>
      <c r="I471" s="454"/>
      <c r="J471" s="454"/>
      <c r="K471" s="454"/>
      <c r="L471" s="454"/>
      <c r="M471" s="454"/>
      <c r="N471" s="454"/>
      <c r="O471" s="454"/>
      <c r="P471" s="454"/>
      <c r="Q471" s="454"/>
      <c r="R471" s="454"/>
      <c r="S471" s="454"/>
      <c r="T471" s="454"/>
      <c r="U471" s="454"/>
      <c r="V471" s="454"/>
      <c r="W471" s="454"/>
      <c r="X471" s="454"/>
      <c r="Y471" s="454"/>
      <c r="Z471" s="454"/>
    </row>
    <row r="472" ht="15.75" customHeight="1">
      <c r="A472" s="454"/>
      <c r="B472" s="454"/>
      <c r="C472" s="454"/>
      <c r="D472" s="864"/>
      <c r="E472" s="454"/>
      <c r="F472" s="454"/>
      <c r="G472" s="454"/>
      <c r="H472" s="454"/>
      <c r="I472" s="454"/>
      <c r="J472" s="454"/>
      <c r="K472" s="454"/>
      <c r="L472" s="454"/>
      <c r="M472" s="454"/>
      <c r="N472" s="454"/>
      <c r="O472" s="454"/>
      <c r="P472" s="454"/>
      <c r="Q472" s="454"/>
      <c r="R472" s="454"/>
      <c r="S472" s="454"/>
      <c r="T472" s="454"/>
      <c r="U472" s="454"/>
      <c r="V472" s="454"/>
      <c r="W472" s="454"/>
      <c r="X472" s="454"/>
      <c r="Y472" s="454"/>
      <c r="Z472" s="454"/>
    </row>
    <row r="473" ht="15.75" customHeight="1">
      <c r="A473" s="454"/>
      <c r="B473" s="454"/>
      <c r="C473" s="454"/>
      <c r="D473" s="864"/>
      <c r="E473" s="454"/>
      <c r="F473" s="454"/>
      <c r="G473" s="454"/>
      <c r="H473" s="454"/>
      <c r="I473" s="454"/>
      <c r="J473" s="454"/>
      <c r="K473" s="454"/>
      <c r="L473" s="454"/>
      <c r="M473" s="454"/>
      <c r="N473" s="454"/>
      <c r="O473" s="454"/>
      <c r="P473" s="454"/>
      <c r="Q473" s="454"/>
      <c r="R473" s="454"/>
      <c r="S473" s="454"/>
      <c r="T473" s="454"/>
      <c r="U473" s="454"/>
      <c r="V473" s="454"/>
      <c r="W473" s="454"/>
      <c r="X473" s="454"/>
      <c r="Y473" s="454"/>
      <c r="Z473" s="454"/>
    </row>
    <row r="474" ht="15.75" customHeight="1">
      <c r="A474" s="454"/>
      <c r="B474" s="454"/>
      <c r="C474" s="454"/>
      <c r="D474" s="864"/>
      <c r="E474" s="454"/>
      <c r="F474" s="454"/>
      <c r="G474" s="454"/>
      <c r="H474" s="454"/>
      <c r="I474" s="454"/>
      <c r="J474" s="454"/>
      <c r="K474" s="454"/>
      <c r="L474" s="454"/>
      <c r="M474" s="454"/>
      <c r="N474" s="454"/>
      <c r="O474" s="454"/>
      <c r="P474" s="454"/>
      <c r="Q474" s="454"/>
      <c r="R474" s="454"/>
      <c r="S474" s="454"/>
      <c r="T474" s="454"/>
      <c r="U474" s="454"/>
      <c r="V474" s="454"/>
      <c r="W474" s="454"/>
      <c r="X474" s="454"/>
      <c r="Y474" s="454"/>
      <c r="Z474" s="454"/>
    </row>
    <row r="475" ht="15.75" customHeight="1">
      <c r="A475" s="454"/>
      <c r="B475" s="454"/>
      <c r="C475" s="454"/>
      <c r="D475" s="864"/>
      <c r="E475" s="454"/>
      <c r="F475" s="454"/>
      <c r="G475" s="454"/>
      <c r="H475" s="454"/>
      <c r="I475" s="454"/>
      <c r="J475" s="454"/>
      <c r="K475" s="454"/>
      <c r="L475" s="454"/>
      <c r="M475" s="454"/>
      <c r="N475" s="454"/>
      <c r="O475" s="454"/>
      <c r="P475" s="454"/>
      <c r="Q475" s="454"/>
      <c r="R475" s="454"/>
      <c r="S475" s="454"/>
      <c r="T475" s="454"/>
      <c r="U475" s="454"/>
      <c r="V475" s="454"/>
      <c r="W475" s="454"/>
      <c r="X475" s="454"/>
      <c r="Y475" s="454"/>
      <c r="Z475" s="454"/>
    </row>
    <row r="476" ht="15.75" customHeight="1">
      <c r="A476" s="454"/>
      <c r="B476" s="454"/>
      <c r="C476" s="454"/>
      <c r="D476" s="864"/>
      <c r="E476" s="454"/>
      <c r="F476" s="454"/>
      <c r="G476" s="454"/>
      <c r="H476" s="454"/>
      <c r="I476" s="454"/>
      <c r="J476" s="454"/>
      <c r="K476" s="454"/>
      <c r="L476" s="454"/>
      <c r="M476" s="454"/>
      <c r="N476" s="454"/>
      <c r="O476" s="454"/>
      <c r="P476" s="454"/>
      <c r="Q476" s="454"/>
      <c r="R476" s="454"/>
      <c r="S476" s="454"/>
      <c r="T476" s="454"/>
      <c r="U476" s="454"/>
      <c r="V476" s="454"/>
      <c r="W476" s="454"/>
      <c r="X476" s="454"/>
      <c r="Y476" s="454"/>
      <c r="Z476" s="454"/>
    </row>
    <row r="477" ht="15.75" customHeight="1">
      <c r="A477" s="454"/>
      <c r="B477" s="454"/>
      <c r="C477" s="454"/>
      <c r="D477" s="864"/>
      <c r="E477" s="454"/>
      <c r="F477" s="454"/>
      <c r="G477" s="454"/>
      <c r="H477" s="454"/>
      <c r="I477" s="454"/>
      <c r="J477" s="454"/>
      <c r="K477" s="454"/>
      <c r="L477" s="454"/>
      <c r="M477" s="454"/>
      <c r="N477" s="454"/>
      <c r="O477" s="454"/>
      <c r="P477" s="454"/>
      <c r="Q477" s="454"/>
      <c r="R477" s="454"/>
      <c r="S477" s="454"/>
      <c r="T477" s="454"/>
      <c r="U477" s="454"/>
      <c r="V477" s="454"/>
      <c r="W477" s="454"/>
      <c r="X477" s="454"/>
      <c r="Y477" s="454"/>
      <c r="Z477" s="454"/>
    </row>
    <row r="478" ht="15.75" customHeight="1">
      <c r="A478" s="454"/>
      <c r="B478" s="454"/>
      <c r="C478" s="454"/>
      <c r="D478" s="864"/>
      <c r="E478" s="454"/>
      <c r="F478" s="454"/>
      <c r="G478" s="454"/>
      <c r="H478" s="454"/>
      <c r="I478" s="454"/>
      <c r="J478" s="454"/>
      <c r="K478" s="454"/>
      <c r="L478" s="454"/>
      <c r="M478" s="454"/>
      <c r="N478" s="454"/>
      <c r="O478" s="454"/>
      <c r="P478" s="454"/>
      <c r="Q478" s="454"/>
      <c r="R478" s="454"/>
      <c r="S478" s="454"/>
      <c r="T478" s="454"/>
      <c r="U478" s="454"/>
      <c r="V478" s="454"/>
      <c r="W478" s="454"/>
      <c r="X478" s="454"/>
      <c r="Y478" s="454"/>
      <c r="Z478" s="454"/>
    </row>
    <row r="479" ht="15.75" customHeight="1">
      <c r="A479" s="454"/>
      <c r="B479" s="454"/>
      <c r="C479" s="454"/>
      <c r="D479" s="864"/>
      <c r="E479" s="454"/>
      <c r="F479" s="454"/>
      <c r="G479" s="454"/>
      <c r="H479" s="454"/>
      <c r="I479" s="454"/>
      <c r="J479" s="454"/>
      <c r="K479" s="454"/>
      <c r="L479" s="454"/>
      <c r="M479" s="454"/>
      <c r="N479" s="454"/>
      <c r="O479" s="454"/>
      <c r="P479" s="454"/>
      <c r="Q479" s="454"/>
      <c r="R479" s="454"/>
      <c r="S479" s="454"/>
      <c r="T479" s="454"/>
      <c r="U479" s="454"/>
      <c r="V479" s="454"/>
      <c r="W479" s="454"/>
      <c r="X479" s="454"/>
      <c r="Y479" s="454"/>
      <c r="Z479" s="454"/>
    </row>
    <row r="480" ht="15.75" customHeight="1">
      <c r="A480" s="454"/>
      <c r="B480" s="454"/>
      <c r="C480" s="454"/>
      <c r="D480" s="864"/>
      <c r="E480" s="454"/>
      <c r="F480" s="454"/>
      <c r="G480" s="454"/>
      <c r="H480" s="454"/>
      <c r="I480" s="454"/>
      <c r="J480" s="454"/>
      <c r="K480" s="454"/>
      <c r="L480" s="454"/>
      <c r="M480" s="454"/>
      <c r="N480" s="454"/>
      <c r="O480" s="454"/>
      <c r="P480" s="454"/>
      <c r="Q480" s="454"/>
      <c r="R480" s="454"/>
      <c r="S480" s="454"/>
      <c r="T480" s="454"/>
      <c r="U480" s="454"/>
      <c r="V480" s="454"/>
      <c r="W480" s="454"/>
      <c r="X480" s="454"/>
      <c r="Y480" s="454"/>
      <c r="Z480" s="454"/>
    </row>
    <row r="481" ht="15.75" customHeight="1">
      <c r="A481" s="454"/>
      <c r="B481" s="454"/>
      <c r="C481" s="454"/>
      <c r="D481" s="864"/>
      <c r="E481" s="454"/>
      <c r="F481" s="454"/>
      <c r="G481" s="454"/>
      <c r="H481" s="454"/>
      <c r="I481" s="454"/>
      <c r="J481" s="454"/>
      <c r="K481" s="454"/>
      <c r="L481" s="454"/>
      <c r="M481" s="454"/>
      <c r="N481" s="454"/>
      <c r="O481" s="454"/>
      <c r="P481" s="454"/>
      <c r="Q481" s="454"/>
      <c r="R481" s="454"/>
      <c r="S481" s="454"/>
      <c r="T481" s="454"/>
      <c r="U481" s="454"/>
      <c r="V481" s="454"/>
      <c r="W481" s="454"/>
      <c r="X481" s="454"/>
      <c r="Y481" s="454"/>
      <c r="Z481" s="454"/>
    </row>
    <row r="482" ht="15.75" customHeight="1">
      <c r="A482" s="454"/>
      <c r="B482" s="454"/>
      <c r="C482" s="454"/>
      <c r="D482" s="864"/>
      <c r="E482" s="454"/>
      <c r="F482" s="454"/>
      <c r="G482" s="454"/>
      <c r="H482" s="454"/>
      <c r="I482" s="454"/>
      <c r="J482" s="454"/>
      <c r="K482" s="454"/>
      <c r="L482" s="454"/>
      <c r="M482" s="454"/>
      <c r="N482" s="454"/>
      <c r="O482" s="454"/>
      <c r="P482" s="454"/>
      <c r="Q482" s="454"/>
      <c r="R482" s="454"/>
      <c r="S482" s="454"/>
      <c r="T482" s="454"/>
      <c r="U482" s="454"/>
      <c r="V482" s="454"/>
      <c r="W482" s="454"/>
      <c r="X482" s="454"/>
      <c r="Y482" s="454"/>
      <c r="Z482" s="454"/>
    </row>
    <row r="483" ht="15.75" customHeight="1">
      <c r="A483" s="454"/>
      <c r="B483" s="454"/>
      <c r="C483" s="454"/>
      <c r="D483" s="864"/>
      <c r="E483" s="454"/>
      <c r="F483" s="454"/>
      <c r="G483" s="454"/>
      <c r="H483" s="454"/>
      <c r="I483" s="454"/>
      <c r="J483" s="454"/>
      <c r="K483" s="454"/>
      <c r="L483" s="454"/>
      <c r="M483" s="454"/>
      <c r="N483" s="454"/>
      <c r="O483" s="454"/>
      <c r="P483" s="454"/>
      <c r="Q483" s="454"/>
      <c r="R483" s="454"/>
      <c r="S483" s="454"/>
      <c r="T483" s="454"/>
      <c r="U483" s="454"/>
      <c r="V483" s="454"/>
      <c r="W483" s="454"/>
      <c r="X483" s="454"/>
      <c r="Y483" s="454"/>
      <c r="Z483" s="454"/>
    </row>
    <row r="484" ht="15.75" customHeight="1">
      <c r="A484" s="454"/>
      <c r="B484" s="454"/>
      <c r="C484" s="454"/>
      <c r="D484" s="864"/>
      <c r="E484" s="454"/>
      <c r="F484" s="454"/>
      <c r="G484" s="454"/>
      <c r="H484" s="454"/>
      <c r="I484" s="454"/>
      <c r="J484" s="454"/>
      <c r="K484" s="454"/>
      <c r="L484" s="454"/>
      <c r="M484" s="454"/>
      <c r="N484" s="454"/>
      <c r="O484" s="454"/>
      <c r="P484" s="454"/>
      <c r="Q484" s="454"/>
      <c r="R484" s="454"/>
      <c r="S484" s="454"/>
      <c r="T484" s="454"/>
      <c r="U484" s="454"/>
      <c r="V484" s="454"/>
      <c r="W484" s="454"/>
      <c r="X484" s="454"/>
      <c r="Y484" s="454"/>
      <c r="Z484" s="454"/>
    </row>
    <row r="485" ht="15.75" customHeight="1">
      <c r="A485" s="454"/>
      <c r="B485" s="454"/>
      <c r="C485" s="454"/>
      <c r="D485" s="864"/>
      <c r="E485" s="454"/>
      <c r="F485" s="454"/>
      <c r="G485" s="454"/>
      <c r="H485" s="454"/>
      <c r="I485" s="454"/>
      <c r="J485" s="454"/>
      <c r="K485" s="454"/>
      <c r="L485" s="454"/>
      <c r="M485" s="454"/>
      <c r="N485" s="454"/>
      <c r="O485" s="454"/>
      <c r="P485" s="454"/>
      <c r="Q485" s="454"/>
      <c r="R485" s="454"/>
      <c r="S485" s="454"/>
      <c r="T485" s="454"/>
      <c r="U485" s="454"/>
      <c r="V485" s="454"/>
      <c r="W485" s="454"/>
      <c r="X485" s="454"/>
      <c r="Y485" s="454"/>
      <c r="Z485" s="454"/>
    </row>
    <row r="486" ht="15.75" customHeight="1">
      <c r="A486" s="454"/>
      <c r="B486" s="454"/>
      <c r="C486" s="454"/>
      <c r="D486" s="864"/>
      <c r="E486" s="454"/>
      <c r="F486" s="454"/>
      <c r="G486" s="454"/>
      <c r="H486" s="454"/>
      <c r="I486" s="454"/>
      <c r="J486" s="454"/>
      <c r="K486" s="454"/>
      <c r="L486" s="454"/>
      <c r="M486" s="454"/>
      <c r="N486" s="454"/>
      <c r="O486" s="454"/>
      <c r="P486" s="454"/>
      <c r="Q486" s="454"/>
      <c r="R486" s="454"/>
      <c r="S486" s="454"/>
      <c r="T486" s="454"/>
      <c r="U486" s="454"/>
      <c r="V486" s="454"/>
      <c r="W486" s="454"/>
      <c r="X486" s="454"/>
      <c r="Y486" s="454"/>
      <c r="Z486" s="454"/>
    </row>
    <row r="487" ht="15.75" customHeight="1">
      <c r="A487" s="454"/>
      <c r="B487" s="454"/>
      <c r="C487" s="454"/>
      <c r="D487" s="864"/>
      <c r="E487" s="454"/>
      <c r="F487" s="454"/>
      <c r="G487" s="454"/>
      <c r="H487" s="454"/>
      <c r="I487" s="454"/>
      <c r="J487" s="454"/>
      <c r="K487" s="454"/>
      <c r="L487" s="454"/>
      <c r="M487" s="454"/>
      <c r="N487" s="454"/>
      <c r="O487" s="454"/>
      <c r="P487" s="454"/>
      <c r="Q487" s="454"/>
      <c r="R487" s="454"/>
      <c r="S487" s="454"/>
      <c r="T487" s="454"/>
      <c r="U487" s="454"/>
      <c r="V487" s="454"/>
      <c r="W487" s="454"/>
      <c r="X487" s="454"/>
      <c r="Y487" s="454"/>
      <c r="Z487" s="454"/>
    </row>
    <row r="488" ht="15.75" customHeight="1">
      <c r="A488" s="454"/>
      <c r="B488" s="454"/>
      <c r="C488" s="454"/>
      <c r="D488" s="864"/>
      <c r="E488" s="454"/>
      <c r="F488" s="454"/>
      <c r="G488" s="454"/>
      <c r="H488" s="454"/>
      <c r="I488" s="454"/>
      <c r="J488" s="454"/>
      <c r="K488" s="454"/>
      <c r="L488" s="454"/>
      <c r="M488" s="454"/>
      <c r="N488" s="454"/>
      <c r="O488" s="454"/>
      <c r="P488" s="454"/>
      <c r="Q488" s="454"/>
      <c r="R488" s="454"/>
      <c r="S488" s="454"/>
      <c r="T488" s="454"/>
      <c r="U488" s="454"/>
      <c r="V488" s="454"/>
      <c r="W488" s="454"/>
      <c r="X488" s="454"/>
      <c r="Y488" s="454"/>
      <c r="Z488" s="454"/>
    </row>
    <row r="489" ht="15.75" customHeight="1">
      <c r="A489" s="454"/>
      <c r="B489" s="454"/>
      <c r="C489" s="454"/>
      <c r="D489" s="864"/>
      <c r="E489" s="454"/>
      <c r="F489" s="454"/>
      <c r="G489" s="454"/>
      <c r="H489" s="454"/>
      <c r="I489" s="454"/>
      <c r="J489" s="454"/>
      <c r="K489" s="454"/>
      <c r="L489" s="454"/>
      <c r="M489" s="454"/>
      <c r="N489" s="454"/>
      <c r="O489" s="454"/>
      <c r="P489" s="454"/>
      <c r="Q489" s="454"/>
      <c r="R489" s="454"/>
      <c r="S489" s="454"/>
      <c r="T489" s="454"/>
      <c r="U489" s="454"/>
      <c r="V489" s="454"/>
      <c r="W489" s="454"/>
      <c r="X489" s="454"/>
      <c r="Y489" s="454"/>
      <c r="Z489" s="454"/>
    </row>
    <row r="490" ht="15.75" customHeight="1">
      <c r="A490" s="454"/>
      <c r="B490" s="454"/>
      <c r="C490" s="454"/>
      <c r="D490" s="864"/>
      <c r="E490" s="454"/>
      <c r="F490" s="454"/>
      <c r="G490" s="454"/>
      <c r="H490" s="454"/>
      <c r="I490" s="454"/>
      <c r="J490" s="454"/>
      <c r="K490" s="454"/>
      <c r="L490" s="454"/>
      <c r="M490" s="454"/>
      <c r="N490" s="454"/>
      <c r="O490" s="454"/>
      <c r="P490" s="454"/>
      <c r="Q490" s="454"/>
      <c r="R490" s="454"/>
      <c r="S490" s="454"/>
      <c r="T490" s="454"/>
      <c r="U490" s="454"/>
      <c r="V490" s="454"/>
      <c r="W490" s="454"/>
      <c r="X490" s="454"/>
      <c r="Y490" s="454"/>
      <c r="Z490" s="454"/>
    </row>
    <row r="491" ht="15.75" customHeight="1">
      <c r="A491" s="454"/>
      <c r="B491" s="454"/>
      <c r="C491" s="454"/>
      <c r="D491" s="864"/>
      <c r="E491" s="454"/>
      <c r="F491" s="454"/>
      <c r="G491" s="454"/>
      <c r="H491" s="454"/>
      <c r="I491" s="454"/>
      <c r="J491" s="454"/>
      <c r="K491" s="454"/>
      <c r="L491" s="454"/>
      <c r="M491" s="454"/>
      <c r="N491" s="454"/>
      <c r="O491" s="454"/>
      <c r="P491" s="454"/>
      <c r="Q491" s="454"/>
      <c r="R491" s="454"/>
      <c r="S491" s="454"/>
      <c r="T491" s="454"/>
      <c r="U491" s="454"/>
      <c r="V491" s="454"/>
      <c r="W491" s="454"/>
      <c r="X491" s="454"/>
      <c r="Y491" s="454"/>
      <c r="Z491" s="454"/>
    </row>
    <row r="492" ht="15.75" customHeight="1">
      <c r="A492" s="454"/>
      <c r="B492" s="454"/>
      <c r="C492" s="454"/>
      <c r="D492" s="864"/>
      <c r="E492" s="454"/>
      <c r="F492" s="454"/>
      <c r="G492" s="454"/>
      <c r="H492" s="454"/>
      <c r="I492" s="454"/>
      <c r="J492" s="454"/>
      <c r="K492" s="454"/>
      <c r="L492" s="454"/>
      <c r="M492" s="454"/>
      <c r="N492" s="454"/>
      <c r="O492" s="454"/>
      <c r="P492" s="454"/>
      <c r="Q492" s="454"/>
      <c r="R492" s="454"/>
      <c r="S492" s="454"/>
      <c r="T492" s="454"/>
      <c r="U492" s="454"/>
      <c r="V492" s="454"/>
      <c r="W492" s="454"/>
      <c r="X492" s="454"/>
      <c r="Y492" s="454"/>
      <c r="Z492" s="454"/>
    </row>
    <row r="493" ht="15.75" customHeight="1">
      <c r="A493" s="454"/>
      <c r="B493" s="454"/>
      <c r="C493" s="454"/>
      <c r="D493" s="864"/>
      <c r="E493" s="454"/>
      <c r="F493" s="454"/>
      <c r="G493" s="454"/>
      <c r="H493" s="454"/>
      <c r="I493" s="454"/>
      <c r="J493" s="454"/>
      <c r="K493" s="454"/>
      <c r="L493" s="454"/>
      <c r="M493" s="454"/>
      <c r="N493" s="454"/>
      <c r="O493" s="454"/>
      <c r="P493" s="454"/>
      <c r="Q493" s="454"/>
      <c r="R493" s="454"/>
      <c r="S493" s="454"/>
      <c r="T493" s="454"/>
      <c r="U493" s="454"/>
      <c r="V493" s="454"/>
      <c r="W493" s="454"/>
      <c r="X493" s="454"/>
      <c r="Y493" s="454"/>
      <c r="Z493" s="454"/>
    </row>
    <row r="494" ht="15.75" customHeight="1">
      <c r="A494" s="454"/>
      <c r="B494" s="454"/>
      <c r="C494" s="454"/>
      <c r="D494" s="864"/>
      <c r="E494" s="454"/>
      <c r="F494" s="454"/>
      <c r="G494" s="454"/>
      <c r="H494" s="454"/>
      <c r="I494" s="454"/>
      <c r="J494" s="454"/>
      <c r="K494" s="454"/>
      <c r="L494" s="454"/>
      <c r="M494" s="454"/>
      <c r="N494" s="454"/>
      <c r="O494" s="454"/>
      <c r="P494" s="454"/>
      <c r="Q494" s="454"/>
      <c r="R494" s="454"/>
      <c r="S494" s="454"/>
      <c r="T494" s="454"/>
      <c r="U494" s="454"/>
      <c r="V494" s="454"/>
      <c r="W494" s="454"/>
      <c r="X494" s="454"/>
      <c r="Y494" s="454"/>
      <c r="Z494" s="454"/>
    </row>
    <row r="495" ht="15.75" customHeight="1">
      <c r="A495" s="454"/>
      <c r="B495" s="454"/>
      <c r="C495" s="454"/>
      <c r="D495" s="864"/>
      <c r="E495" s="454"/>
      <c r="F495" s="454"/>
      <c r="G495" s="454"/>
      <c r="H495" s="454"/>
      <c r="I495" s="454"/>
      <c r="J495" s="454"/>
      <c r="K495" s="454"/>
      <c r="L495" s="454"/>
      <c r="M495" s="454"/>
      <c r="N495" s="454"/>
      <c r="O495" s="454"/>
      <c r="P495" s="454"/>
      <c r="Q495" s="454"/>
      <c r="R495" s="454"/>
      <c r="S495" s="454"/>
      <c r="T495" s="454"/>
      <c r="U495" s="454"/>
      <c r="V495" s="454"/>
      <c r="W495" s="454"/>
      <c r="X495" s="454"/>
      <c r="Y495" s="454"/>
      <c r="Z495" s="454"/>
    </row>
    <row r="496" ht="15.75" customHeight="1">
      <c r="A496" s="454"/>
      <c r="B496" s="454"/>
      <c r="C496" s="454"/>
      <c r="D496" s="864"/>
      <c r="E496" s="454"/>
      <c r="F496" s="454"/>
      <c r="G496" s="454"/>
      <c r="H496" s="454"/>
      <c r="I496" s="454"/>
      <c r="J496" s="454"/>
      <c r="K496" s="454"/>
      <c r="L496" s="454"/>
      <c r="M496" s="454"/>
      <c r="N496" s="454"/>
      <c r="O496" s="454"/>
      <c r="P496" s="454"/>
      <c r="Q496" s="454"/>
      <c r="R496" s="454"/>
      <c r="S496" s="454"/>
      <c r="T496" s="454"/>
      <c r="U496" s="454"/>
      <c r="V496" s="454"/>
      <c r="W496" s="454"/>
      <c r="X496" s="454"/>
      <c r="Y496" s="454"/>
      <c r="Z496" s="454"/>
    </row>
    <row r="497" ht="15.75" customHeight="1">
      <c r="A497" s="454"/>
      <c r="B497" s="454"/>
      <c r="C497" s="454"/>
      <c r="D497" s="864"/>
      <c r="E497" s="454"/>
      <c r="F497" s="454"/>
      <c r="G497" s="454"/>
      <c r="H497" s="454"/>
      <c r="I497" s="454"/>
      <c r="J497" s="454"/>
      <c r="K497" s="454"/>
      <c r="L497" s="454"/>
      <c r="M497" s="454"/>
      <c r="N497" s="454"/>
      <c r="O497" s="454"/>
      <c r="P497" s="454"/>
      <c r="Q497" s="454"/>
      <c r="R497" s="454"/>
      <c r="S497" s="454"/>
      <c r="T497" s="454"/>
      <c r="U497" s="454"/>
      <c r="V497" s="454"/>
      <c r="W497" s="454"/>
      <c r="X497" s="454"/>
      <c r="Y497" s="454"/>
      <c r="Z497" s="454"/>
    </row>
    <row r="498" ht="15.75" customHeight="1">
      <c r="A498" s="454"/>
      <c r="B498" s="454"/>
      <c r="C498" s="454"/>
      <c r="D498" s="864"/>
      <c r="E498" s="454"/>
      <c r="F498" s="454"/>
      <c r="G498" s="454"/>
      <c r="H498" s="454"/>
      <c r="I498" s="454"/>
      <c r="J498" s="454"/>
      <c r="K498" s="454"/>
      <c r="L498" s="454"/>
      <c r="M498" s="454"/>
      <c r="N498" s="454"/>
      <c r="O498" s="454"/>
      <c r="P498" s="454"/>
      <c r="Q498" s="454"/>
      <c r="R498" s="454"/>
      <c r="S498" s="454"/>
      <c r="T498" s="454"/>
      <c r="U498" s="454"/>
      <c r="V498" s="454"/>
      <c r="W498" s="454"/>
      <c r="X498" s="454"/>
      <c r="Y498" s="454"/>
      <c r="Z498" s="454"/>
    </row>
    <row r="499" ht="15.75" customHeight="1">
      <c r="A499" s="454"/>
      <c r="B499" s="454"/>
      <c r="C499" s="454"/>
      <c r="D499" s="864"/>
      <c r="E499" s="454"/>
      <c r="F499" s="454"/>
      <c r="G499" s="454"/>
      <c r="H499" s="454"/>
      <c r="I499" s="454"/>
      <c r="J499" s="454"/>
      <c r="K499" s="454"/>
      <c r="L499" s="454"/>
      <c r="M499" s="454"/>
      <c r="N499" s="454"/>
      <c r="O499" s="454"/>
      <c r="P499" s="454"/>
      <c r="Q499" s="454"/>
      <c r="R499" s="454"/>
      <c r="S499" s="454"/>
      <c r="T499" s="454"/>
      <c r="U499" s="454"/>
      <c r="V499" s="454"/>
      <c r="W499" s="454"/>
      <c r="X499" s="454"/>
      <c r="Y499" s="454"/>
      <c r="Z499" s="454"/>
    </row>
    <row r="500" ht="15.75" customHeight="1">
      <c r="A500" s="454"/>
      <c r="B500" s="454"/>
      <c r="C500" s="454"/>
      <c r="D500" s="864"/>
      <c r="E500" s="454"/>
      <c r="F500" s="454"/>
      <c r="G500" s="454"/>
      <c r="H500" s="454"/>
      <c r="I500" s="454"/>
      <c r="J500" s="454"/>
      <c r="K500" s="454"/>
      <c r="L500" s="454"/>
      <c r="M500" s="454"/>
      <c r="N500" s="454"/>
      <c r="O500" s="454"/>
      <c r="P500" s="454"/>
      <c r="Q500" s="454"/>
      <c r="R500" s="454"/>
      <c r="S500" s="454"/>
      <c r="T500" s="454"/>
      <c r="U500" s="454"/>
      <c r="V500" s="454"/>
      <c r="W500" s="454"/>
      <c r="X500" s="454"/>
      <c r="Y500" s="454"/>
      <c r="Z500" s="454"/>
    </row>
    <row r="501" ht="15.75" customHeight="1">
      <c r="A501" s="454"/>
      <c r="B501" s="454"/>
      <c r="C501" s="454"/>
      <c r="D501" s="864"/>
      <c r="E501" s="454"/>
      <c r="F501" s="454"/>
      <c r="G501" s="454"/>
      <c r="H501" s="454"/>
      <c r="I501" s="454"/>
      <c r="J501" s="454"/>
      <c r="K501" s="454"/>
      <c r="L501" s="454"/>
      <c r="M501" s="454"/>
      <c r="N501" s="454"/>
      <c r="O501" s="454"/>
      <c r="P501" s="454"/>
      <c r="Q501" s="454"/>
      <c r="R501" s="454"/>
      <c r="S501" s="454"/>
      <c r="T501" s="454"/>
      <c r="U501" s="454"/>
      <c r="V501" s="454"/>
      <c r="W501" s="454"/>
      <c r="X501" s="454"/>
      <c r="Y501" s="454"/>
      <c r="Z501" s="454"/>
    </row>
    <row r="502" ht="15.75" customHeight="1">
      <c r="A502" s="454"/>
      <c r="B502" s="454"/>
      <c r="C502" s="454"/>
      <c r="D502" s="864"/>
      <c r="E502" s="454"/>
      <c r="F502" s="454"/>
      <c r="G502" s="454"/>
      <c r="H502" s="454"/>
      <c r="I502" s="454"/>
      <c r="J502" s="454"/>
      <c r="K502" s="454"/>
      <c r="L502" s="454"/>
      <c r="M502" s="454"/>
      <c r="N502" s="454"/>
      <c r="O502" s="454"/>
      <c r="P502" s="454"/>
      <c r="Q502" s="454"/>
      <c r="R502" s="454"/>
      <c r="S502" s="454"/>
      <c r="T502" s="454"/>
      <c r="U502" s="454"/>
      <c r="V502" s="454"/>
      <c r="W502" s="454"/>
      <c r="X502" s="454"/>
      <c r="Y502" s="454"/>
      <c r="Z502" s="454"/>
    </row>
    <row r="503" ht="15.75" customHeight="1">
      <c r="A503" s="454"/>
      <c r="B503" s="454"/>
      <c r="C503" s="454"/>
      <c r="D503" s="864"/>
      <c r="E503" s="454"/>
      <c r="F503" s="454"/>
      <c r="G503" s="454"/>
      <c r="H503" s="454"/>
      <c r="I503" s="454"/>
      <c r="J503" s="454"/>
      <c r="K503" s="454"/>
      <c r="L503" s="454"/>
      <c r="M503" s="454"/>
      <c r="N503" s="454"/>
      <c r="O503" s="454"/>
      <c r="P503" s="454"/>
      <c r="Q503" s="454"/>
      <c r="R503" s="454"/>
      <c r="S503" s="454"/>
      <c r="T503" s="454"/>
      <c r="U503" s="454"/>
      <c r="V503" s="454"/>
      <c r="W503" s="454"/>
      <c r="X503" s="454"/>
      <c r="Y503" s="454"/>
      <c r="Z503" s="454"/>
    </row>
    <row r="504" ht="15.75" customHeight="1">
      <c r="A504" s="454"/>
      <c r="B504" s="454"/>
      <c r="C504" s="454"/>
      <c r="D504" s="864"/>
      <c r="E504" s="454"/>
      <c r="F504" s="454"/>
      <c r="G504" s="454"/>
      <c r="H504" s="454"/>
      <c r="I504" s="454"/>
      <c r="J504" s="454"/>
      <c r="K504" s="454"/>
      <c r="L504" s="454"/>
      <c r="M504" s="454"/>
      <c r="N504" s="454"/>
      <c r="O504" s="454"/>
      <c r="P504" s="454"/>
      <c r="Q504" s="454"/>
      <c r="R504" s="454"/>
      <c r="S504" s="454"/>
      <c r="T504" s="454"/>
      <c r="U504" s="454"/>
      <c r="V504" s="454"/>
      <c r="W504" s="454"/>
      <c r="X504" s="454"/>
      <c r="Y504" s="454"/>
      <c r="Z504" s="454"/>
    </row>
    <row r="505" ht="15.75" customHeight="1">
      <c r="A505" s="454"/>
      <c r="B505" s="454"/>
      <c r="C505" s="454"/>
      <c r="D505" s="864"/>
      <c r="E505" s="454"/>
      <c r="F505" s="454"/>
      <c r="G505" s="454"/>
      <c r="H505" s="454"/>
      <c r="I505" s="454"/>
      <c r="J505" s="454"/>
      <c r="K505" s="454"/>
      <c r="L505" s="454"/>
      <c r="M505" s="454"/>
      <c r="N505" s="454"/>
      <c r="O505" s="454"/>
      <c r="P505" s="454"/>
      <c r="Q505" s="454"/>
      <c r="R505" s="454"/>
      <c r="S505" s="454"/>
      <c r="T505" s="454"/>
      <c r="U505" s="454"/>
      <c r="V505" s="454"/>
      <c r="W505" s="454"/>
      <c r="X505" s="454"/>
      <c r="Y505" s="454"/>
      <c r="Z505" s="454"/>
    </row>
    <row r="506" ht="15.75" customHeight="1">
      <c r="A506" s="454"/>
      <c r="B506" s="454"/>
      <c r="C506" s="454"/>
      <c r="D506" s="864"/>
      <c r="E506" s="454"/>
      <c r="F506" s="454"/>
      <c r="G506" s="454"/>
      <c r="H506" s="454"/>
      <c r="I506" s="454"/>
      <c r="J506" s="454"/>
      <c r="K506" s="454"/>
      <c r="L506" s="454"/>
      <c r="M506" s="454"/>
      <c r="N506" s="454"/>
      <c r="O506" s="454"/>
      <c r="P506" s="454"/>
      <c r="Q506" s="454"/>
      <c r="R506" s="454"/>
      <c r="S506" s="454"/>
      <c r="T506" s="454"/>
      <c r="U506" s="454"/>
      <c r="V506" s="454"/>
      <c r="W506" s="454"/>
      <c r="X506" s="454"/>
      <c r="Y506" s="454"/>
      <c r="Z506" s="454"/>
    </row>
    <row r="507" ht="15.75" customHeight="1">
      <c r="A507" s="454"/>
      <c r="B507" s="454"/>
      <c r="C507" s="454"/>
      <c r="D507" s="864"/>
      <c r="E507" s="454"/>
      <c r="F507" s="454"/>
      <c r="G507" s="454"/>
      <c r="H507" s="454"/>
      <c r="I507" s="454"/>
      <c r="J507" s="454"/>
      <c r="K507" s="454"/>
      <c r="L507" s="454"/>
      <c r="M507" s="454"/>
      <c r="N507" s="454"/>
      <c r="O507" s="454"/>
      <c r="P507" s="454"/>
      <c r="Q507" s="454"/>
      <c r="R507" s="454"/>
      <c r="S507" s="454"/>
      <c r="T507" s="454"/>
      <c r="U507" s="454"/>
      <c r="V507" s="454"/>
      <c r="W507" s="454"/>
      <c r="X507" s="454"/>
      <c r="Y507" s="454"/>
      <c r="Z507" s="454"/>
    </row>
    <row r="508" ht="15.75" customHeight="1">
      <c r="A508" s="454"/>
      <c r="B508" s="454"/>
      <c r="C508" s="454"/>
      <c r="D508" s="864"/>
      <c r="E508" s="454"/>
      <c r="F508" s="454"/>
      <c r="G508" s="454"/>
      <c r="H508" s="454"/>
      <c r="I508" s="454"/>
      <c r="J508" s="454"/>
      <c r="K508" s="454"/>
      <c r="L508" s="454"/>
      <c r="M508" s="454"/>
      <c r="N508" s="454"/>
      <c r="O508" s="454"/>
      <c r="P508" s="454"/>
      <c r="Q508" s="454"/>
      <c r="R508" s="454"/>
      <c r="S508" s="454"/>
      <c r="T508" s="454"/>
      <c r="U508" s="454"/>
      <c r="V508" s="454"/>
      <c r="W508" s="454"/>
      <c r="X508" s="454"/>
      <c r="Y508" s="454"/>
      <c r="Z508" s="454"/>
    </row>
    <row r="509" ht="15.75" customHeight="1">
      <c r="A509" s="454"/>
      <c r="B509" s="454"/>
      <c r="C509" s="454"/>
      <c r="D509" s="864"/>
      <c r="E509" s="454"/>
      <c r="F509" s="454"/>
      <c r="G509" s="454"/>
      <c r="H509" s="454"/>
      <c r="I509" s="454"/>
      <c r="J509" s="454"/>
      <c r="K509" s="454"/>
      <c r="L509" s="454"/>
      <c r="M509" s="454"/>
      <c r="N509" s="454"/>
      <c r="O509" s="454"/>
      <c r="P509" s="454"/>
      <c r="Q509" s="454"/>
      <c r="R509" s="454"/>
      <c r="S509" s="454"/>
      <c r="T509" s="454"/>
      <c r="U509" s="454"/>
      <c r="V509" s="454"/>
      <c r="W509" s="454"/>
      <c r="X509" s="454"/>
      <c r="Y509" s="454"/>
      <c r="Z509" s="454"/>
    </row>
    <row r="510" ht="15.75" customHeight="1">
      <c r="A510" s="454"/>
      <c r="B510" s="454"/>
      <c r="C510" s="454"/>
      <c r="D510" s="864"/>
      <c r="E510" s="454"/>
      <c r="F510" s="454"/>
      <c r="G510" s="454"/>
      <c r="H510" s="454"/>
      <c r="I510" s="454"/>
      <c r="J510" s="454"/>
      <c r="K510" s="454"/>
      <c r="L510" s="454"/>
      <c r="M510" s="454"/>
      <c r="N510" s="454"/>
      <c r="O510" s="454"/>
      <c r="P510" s="454"/>
      <c r="Q510" s="454"/>
      <c r="R510" s="454"/>
      <c r="S510" s="454"/>
      <c r="T510" s="454"/>
      <c r="U510" s="454"/>
      <c r="V510" s="454"/>
      <c r="W510" s="454"/>
      <c r="X510" s="454"/>
      <c r="Y510" s="454"/>
      <c r="Z510" s="454"/>
    </row>
    <row r="511" ht="15.75" customHeight="1">
      <c r="A511" s="454"/>
      <c r="B511" s="454"/>
      <c r="C511" s="454"/>
      <c r="D511" s="864"/>
      <c r="E511" s="454"/>
      <c r="F511" s="454"/>
      <c r="G511" s="454"/>
      <c r="H511" s="454"/>
      <c r="I511" s="454"/>
      <c r="J511" s="454"/>
      <c r="K511" s="454"/>
      <c r="L511" s="454"/>
      <c r="M511" s="454"/>
      <c r="N511" s="454"/>
      <c r="O511" s="454"/>
      <c r="P511" s="454"/>
      <c r="Q511" s="454"/>
      <c r="R511" s="454"/>
      <c r="S511" s="454"/>
      <c r="T511" s="454"/>
      <c r="U511" s="454"/>
      <c r="V511" s="454"/>
      <c r="W511" s="454"/>
      <c r="X511" s="454"/>
      <c r="Y511" s="454"/>
      <c r="Z511" s="454"/>
    </row>
    <row r="512" ht="15.75" customHeight="1">
      <c r="A512" s="454"/>
      <c r="B512" s="454"/>
      <c r="C512" s="454"/>
      <c r="D512" s="864"/>
      <c r="E512" s="454"/>
      <c r="F512" s="454"/>
      <c r="G512" s="454"/>
      <c r="H512" s="454"/>
      <c r="I512" s="454"/>
      <c r="J512" s="454"/>
      <c r="K512" s="454"/>
      <c r="L512" s="454"/>
      <c r="M512" s="454"/>
      <c r="N512" s="454"/>
      <c r="O512" s="454"/>
      <c r="P512" s="454"/>
      <c r="Q512" s="454"/>
      <c r="R512" s="454"/>
      <c r="S512" s="454"/>
      <c r="T512" s="454"/>
      <c r="U512" s="454"/>
      <c r="V512" s="454"/>
      <c r="W512" s="454"/>
      <c r="X512" s="454"/>
      <c r="Y512" s="454"/>
      <c r="Z512" s="454"/>
    </row>
    <row r="513" ht="15.75" customHeight="1">
      <c r="A513" s="454"/>
      <c r="B513" s="454"/>
      <c r="C513" s="454"/>
      <c r="D513" s="864"/>
      <c r="E513" s="454"/>
      <c r="F513" s="454"/>
      <c r="G513" s="454"/>
      <c r="H513" s="454"/>
      <c r="I513" s="454"/>
      <c r="J513" s="454"/>
      <c r="K513" s="454"/>
      <c r="L513" s="454"/>
      <c r="M513" s="454"/>
      <c r="N513" s="454"/>
      <c r="O513" s="454"/>
      <c r="P513" s="454"/>
      <c r="Q513" s="454"/>
      <c r="R513" s="454"/>
      <c r="S513" s="454"/>
      <c r="T513" s="454"/>
      <c r="U513" s="454"/>
      <c r="V513" s="454"/>
      <c r="W513" s="454"/>
      <c r="X513" s="454"/>
      <c r="Y513" s="454"/>
      <c r="Z513" s="454"/>
    </row>
    <row r="514" ht="15.75" customHeight="1">
      <c r="A514" s="454"/>
      <c r="B514" s="454"/>
      <c r="C514" s="454"/>
      <c r="D514" s="864"/>
      <c r="E514" s="454"/>
      <c r="F514" s="454"/>
      <c r="G514" s="454"/>
      <c r="H514" s="454"/>
      <c r="I514" s="454"/>
      <c r="J514" s="454"/>
      <c r="K514" s="454"/>
      <c r="L514" s="454"/>
      <c r="M514" s="454"/>
      <c r="N514" s="454"/>
      <c r="O514" s="454"/>
      <c r="P514" s="454"/>
      <c r="Q514" s="454"/>
      <c r="R514" s="454"/>
      <c r="S514" s="454"/>
      <c r="T514" s="454"/>
      <c r="U514" s="454"/>
      <c r="V514" s="454"/>
      <c r="W514" s="454"/>
      <c r="X514" s="454"/>
      <c r="Y514" s="454"/>
      <c r="Z514" s="454"/>
    </row>
    <row r="515" ht="15.75" customHeight="1">
      <c r="A515" s="454"/>
      <c r="B515" s="454"/>
      <c r="C515" s="454"/>
      <c r="D515" s="864"/>
      <c r="E515" s="454"/>
      <c r="F515" s="454"/>
      <c r="G515" s="454"/>
      <c r="H515" s="454"/>
      <c r="I515" s="454"/>
      <c r="J515" s="454"/>
      <c r="K515" s="454"/>
      <c r="L515" s="454"/>
      <c r="M515" s="454"/>
      <c r="N515" s="454"/>
      <c r="O515" s="454"/>
      <c r="P515" s="454"/>
      <c r="Q515" s="454"/>
      <c r="R515" s="454"/>
      <c r="S515" s="454"/>
      <c r="T515" s="454"/>
      <c r="U515" s="454"/>
      <c r="V515" s="454"/>
      <c r="W515" s="454"/>
      <c r="X515" s="454"/>
      <c r="Y515" s="454"/>
      <c r="Z515" s="454"/>
    </row>
    <row r="516" ht="15.75" customHeight="1">
      <c r="A516" s="454"/>
      <c r="B516" s="454"/>
      <c r="C516" s="454"/>
      <c r="D516" s="864"/>
      <c r="E516" s="454"/>
      <c r="F516" s="454"/>
      <c r="G516" s="454"/>
      <c r="H516" s="454"/>
      <c r="I516" s="454"/>
      <c r="J516" s="454"/>
      <c r="K516" s="454"/>
      <c r="L516" s="454"/>
      <c r="M516" s="454"/>
      <c r="N516" s="454"/>
      <c r="O516" s="454"/>
      <c r="P516" s="454"/>
      <c r="Q516" s="454"/>
      <c r="R516" s="454"/>
      <c r="S516" s="454"/>
      <c r="T516" s="454"/>
      <c r="U516" s="454"/>
      <c r="V516" s="454"/>
      <c r="W516" s="454"/>
      <c r="X516" s="454"/>
      <c r="Y516" s="454"/>
      <c r="Z516" s="454"/>
    </row>
    <row r="517" ht="15.75" customHeight="1">
      <c r="A517" s="454"/>
      <c r="B517" s="454"/>
      <c r="C517" s="454"/>
      <c r="D517" s="864"/>
      <c r="E517" s="454"/>
      <c r="F517" s="454"/>
      <c r="G517" s="454"/>
      <c r="H517" s="454"/>
      <c r="I517" s="454"/>
      <c r="J517" s="454"/>
      <c r="K517" s="454"/>
      <c r="L517" s="454"/>
      <c r="M517" s="454"/>
      <c r="N517" s="454"/>
      <c r="O517" s="454"/>
      <c r="P517" s="454"/>
      <c r="Q517" s="454"/>
      <c r="R517" s="454"/>
      <c r="S517" s="454"/>
      <c r="T517" s="454"/>
      <c r="U517" s="454"/>
      <c r="V517" s="454"/>
      <c r="W517" s="454"/>
      <c r="X517" s="454"/>
      <c r="Y517" s="454"/>
      <c r="Z517" s="454"/>
    </row>
    <row r="518" ht="15.75" customHeight="1">
      <c r="A518" s="454"/>
      <c r="B518" s="454"/>
      <c r="C518" s="454"/>
      <c r="D518" s="864"/>
      <c r="E518" s="454"/>
      <c r="F518" s="454"/>
      <c r="G518" s="454"/>
      <c r="H518" s="454"/>
      <c r="I518" s="454"/>
      <c r="J518" s="454"/>
      <c r="K518" s="454"/>
      <c r="L518" s="454"/>
      <c r="M518" s="454"/>
      <c r="N518" s="454"/>
      <c r="O518" s="454"/>
      <c r="P518" s="454"/>
      <c r="Q518" s="454"/>
      <c r="R518" s="454"/>
      <c r="S518" s="454"/>
      <c r="T518" s="454"/>
      <c r="U518" s="454"/>
      <c r="V518" s="454"/>
      <c r="W518" s="454"/>
      <c r="X518" s="454"/>
      <c r="Y518" s="454"/>
      <c r="Z518" s="454"/>
    </row>
    <row r="519" ht="15.75" customHeight="1">
      <c r="A519" s="454"/>
      <c r="B519" s="454"/>
      <c r="C519" s="454"/>
      <c r="D519" s="864"/>
      <c r="E519" s="454"/>
      <c r="F519" s="454"/>
      <c r="G519" s="454"/>
      <c r="H519" s="454"/>
      <c r="I519" s="454"/>
      <c r="J519" s="454"/>
      <c r="K519" s="454"/>
      <c r="L519" s="454"/>
      <c r="M519" s="454"/>
      <c r="N519" s="454"/>
      <c r="O519" s="454"/>
      <c r="P519" s="454"/>
      <c r="Q519" s="454"/>
      <c r="R519" s="454"/>
      <c r="S519" s="454"/>
      <c r="T519" s="454"/>
      <c r="U519" s="454"/>
      <c r="V519" s="454"/>
      <c r="W519" s="454"/>
      <c r="X519" s="454"/>
      <c r="Y519" s="454"/>
      <c r="Z519" s="454"/>
    </row>
    <row r="520" ht="15.75" customHeight="1">
      <c r="A520" s="454"/>
      <c r="B520" s="454"/>
      <c r="C520" s="454"/>
      <c r="D520" s="864"/>
      <c r="E520" s="454"/>
      <c r="F520" s="454"/>
      <c r="G520" s="454"/>
      <c r="H520" s="454"/>
      <c r="I520" s="454"/>
      <c r="J520" s="454"/>
      <c r="K520" s="454"/>
      <c r="L520" s="454"/>
      <c r="M520" s="454"/>
      <c r="N520" s="454"/>
      <c r="O520" s="454"/>
      <c r="P520" s="454"/>
      <c r="Q520" s="454"/>
      <c r="R520" s="454"/>
      <c r="S520" s="454"/>
      <c r="T520" s="454"/>
      <c r="U520" s="454"/>
      <c r="V520" s="454"/>
      <c r="W520" s="454"/>
      <c r="X520" s="454"/>
      <c r="Y520" s="454"/>
      <c r="Z520" s="454"/>
    </row>
    <row r="521" ht="15.75" customHeight="1">
      <c r="D521" s="865"/>
    </row>
    <row r="522" ht="15.75" customHeight="1">
      <c r="D522" s="865"/>
    </row>
    <row r="523" ht="15.75" customHeight="1">
      <c r="D523" s="865"/>
    </row>
    <row r="524" ht="15.75" customHeight="1">
      <c r="D524" s="865"/>
    </row>
    <row r="525" ht="15.75" customHeight="1">
      <c r="D525" s="865"/>
    </row>
    <row r="526" ht="15.75" customHeight="1">
      <c r="D526" s="865"/>
    </row>
    <row r="527" ht="15.75" customHeight="1">
      <c r="D527" s="865"/>
    </row>
    <row r="528" ht="15.75" customHeight="1">
      <c r="D528" s="865"/>
    </row>
    <row r="529" ht="15.75" customHeight="1">
      <c r="D529" s="865"/>
    </row>
    <row r="530" ht="15.75" customHeight="1">
      <c r="D530" s="865"/>
    </row>
    <row r="531" ht="15.75" customHeight="1">
      <c r="D531" s="865"/>
    </row>
    <row r="532" ht="15.75" customHeight="1">
      <c r="D532" s="865"/>
    </row>
    <row r="533" ht="15.75" customHeight="1">
      <c r="D533" s="865"/>
    </row>
    <row r="534" ht="15.75" customHeight="1">
      <c r="D534" s="865"/>
    </row>
    <row r="535" ht="15.75" customHeight="1">
      <c r="D535" s="865"/>
    </row>
    <row r="536" ht="15.75" customHeight="1">
      <c r="D536" s="865"/>
    </row>
    <row r="537" ht="15.75" customHeight="1">
      <c r="D537" s="865"/>
    </row>
    <row r="538" ht="15.75" customHeight="1">
      <c r="D538" s="865"/>
    </row>
    <row r="539" ht="15.75" customHeight="1">
      <c r="D539" s="865"/>
    </row>
    <row r="540" ht="15.75" customHeight="1">
      <c r="D540" s="865"/>
    </row>
    <row r="541" ht="15.75" customHeight="1">
      <c r="D541" s="865"/>
    </row>
    <row r="542" ht="15.75" customHeight="1">
      <c r="D542" s="865"/>
    </row>
    <row r="543" ht="15.75" customHeight="1">
      <c r="D543" s="865"/>
    </row>
    <row r="544" ht="15.75" customHeight="1">
      <c r="D544" s="865"/>
    </row>
    <row r="545" ht="15.75" customHeight="1">
      <c r="D545" s="865"/>
    </row>
    <row r="546" ht="15.75" customHeight="1">
      <c r="D546" s="865"/>
    </row>
    <row r="547" ht="15.75" customHeight="1">
      <c r="D547" s="865"/>
    </row>
    <row r="548" ht="15.75" customHeight="1">
      <c r="D548" s="865"/>
    </row>
    <row r="549" ht="15.75" customHeight="1">
      <c r="D549" s="865"/>
    </row>
    <row r="550" ht="15.75" customHeight="1">
      <c r="D550" s="865"/>
    </row>
    <row r="551" ht="15.75" customHeight="1">
      <c r="D551" s="865"/>
    </row>
    <row r="552" ht="15.75" customHeight="1">
      <c r="D552" s="865"/>
    </row>
    <row r="553" ht="15.75" customHeight="1">
      <c r="D553" s="865"/>
    </row>
    <row r="554" ht="15.75" customHeight="1">
      <c r="D554" s="865"/>
    </row>
    <row r="555" ht="15.75" customHeight="1">
      <c r="D555" s="865"/>
    </row>
    <row r="556" ht="15.75" customHeight="1">
      <c r="D556" s="865"/>
    </row>
    <row r="557" ht="15.75" customHeight="1">
      <c r="D557" s="865"/>
    </row>
    <row r="558" ht="15.75" customHeight="1">
      <c r="D558" s="865"/>
    </row>
    <row r="559" ht="15.75" customHeight="1">
      <c r="D559" s="865"/>
    </row>
    <row r="560" ht="15.75" customHeight="1">
      <c r="D560" s="865"/>
    </row>
    <row r="561" ht="15.75" customHeight="1">
      <c r="D561" s="865"/>
    </row>
    <row r="562" ht="15.75" customHeight="1">
      <c r="D562" s="865"/>
    </row>
    <row r="563" ht="15.75" customHeight="1">
      <c r="D563" s="865"/>
    </row>
    <row r="564" ht="15.75" customHeight="1">
      <c r="D564" s="865"/>
    </row>
    <row r="565" ht="15.75" customHeight="1">
      <c r="D565" s="865"/>
    </row>
    <row r="566" ht="15.75" customHeight="1">
      <c r="D566" s="865"/>
    </row>
    <row r="567" ht="15.75" customHeight="1">
      <c r="D567" s="865"/>
    </row>
    <row r="568" ht="15.75" customHeight="1">
      <c r="D568" s="865"/>
    </row>
    <row r="569" ht="15.75" customHeight="1">
      <c r="D569" s="865"/>
    </row>
    <row r="570" ht="15.75" customHeight="1">
      <c r="D570" s="865"/>
    </row>
    <row r="571" ht="15.75" customHeight="1">
      <c r="D571" s="865"/>
    </row>
    <row r="572" ht="15.75" customHeight="1">
      <c r="D572" s="865"/>
    </row>
    <row r="573" ht="15.75" customHeight="1">
      <c r="D573" s="865"/>
    </row>
    <row r="574" ht="15.75" customHeight="1">
      <c r="D574" s="865"/>
    </row>
    <row r="575" ht="15.75" customHeight="1">
      <c r="D575" s="865"/>
    </row>
    <row r="576" ht="15.75" customHeight="1">
      <c r="D576" s="865"/>
    </row>
    <row r="577" ht="15.75" customHeight="1">
      <c r="D577" s="865"/>
    </row>
    <row r="578" ht="15.75" customHeight="1">
      <c r="D578" s="865"/>
    </row>
    <row r="579" ht="15.75" customHeight="1">
      <c r="D579" s="865"/>
    </row>
    <row r="580" ht="15.75" customHeight="1">
      <c r="D580" s="865"/>
    </row>
    <row r="581" ht="15.75" customHeight="1">
      <c r="D581" s="865"/>
    </row>
    <row r="582" ht="15.75" customHeight="1">
      <c r="D582" s="865"/>
    </row>
    <row r="583" ht="15.75" customHeight="1">
      <c r="D583" s="865"/>
    </row>
    <row r="584" ht="15.75" customHeight="1">
      <c r="D584" s="865"/>
    </row>
    <row r="585" ht="15.75" customHeight="1">
      <c r="D585" s="865"/>
    </row>
    <row r="586" ht="15.75" customHeight="1">
      <c r="D586" s="865"/>
    </row>
    <row r="587" ht="15.75" customHeight="1">
      <c r="D587" s="865"/>
    </row>
    <row r="588" ht="15.75" customHeight="1">
      <c r="D588" s="865"/>
    </row>
    <row r="589" ht="15.75" customHeight="1">
      <c r="D589" s="865"/>
    </row>
    <row r="590" ht="15.75" customHeight="1">
      <c r="D590" s="865"/>
    </row>
    <row r="591" ht="15.75" customHeight="1">
      <c r="D591" s="865"/>
    </row>
    <row r="592" ht="15.75" customHeight="1">
      <c r="D592" s="865"/>
    </row>
    <row r="593" ht="15.75" customHeight="1">
      <c r="D593" s="865"/>
    </row>
    <row r="594" ht="15.75" customHeight="1">
      <c r="D594" s="865"/>
    </row>
    <row r="595" ht="15.75" customHeight="1">
      <c r="D595" s="865"/>
    </row>
    <row r="596" ht="15.75" customHeight="1">
      <c r="D596" s="865"/>
    </row>
    <row r="597" ht="15.75" customHeight="1">
      <c r="D597" s="865"/>
    </row>
    <row r="598" ht="15.75" customHeight="1">
      <c r="D598" s="865"/>
    </row>
    <row r="599" ht="15.75" customHeight="1">
      <c r="D599" s="865"/>
    </row>
    <row r="600" ht="15.75" customHeight="1">
      <c r="D600" s="865"/>
    </row>
    <row r="601" ht="15.75" customHeight="1">
      <c r="D601" s="865"/>
    </row>
    <row r="602" ht="15.75" customHeight="1">
      <c r="D602" s="865"/>
    </row>
    <row r="603" ht="15.75" customHeight="1">
      <c r="D603" s="865"/>
    </row>
    <row r="604" ht="15.75" customHeight="1">
      <c r="D604" s="865"/>
    </row>
    <row r="605" ht="15.75" customHeight="1">
      <c r="D605" s="865"/>
    </row>
    <row r="606" ht="15.75" customHeight="1">
      <c r="D606" s="865"/>
    </row>
    <row r="607" ht="15.75" customHeight="1">
      <c r="D607" s="865"/>
    </row>
    <row r="608" ht="15.75" customHeight="1">
      <c r="D608" s="865"/>
    </row>
    <row r="609" ht="15.75" customHeight="1">
      <c r="D609" s="865"/>
    </row>
    <row r="610" ht="15.75" customHeight="1">
      <c r="D610" s="865"/>
    </row>
    <row r="611" ht="15.75" customHeight="1">
      <c r="D611" s="865"/>
    </row>
    <row r="612" ht="15.75" customHeight="1">
      <c r="D612" s="865"/>
    </row>
    <row r="613" ht="15.75" customHeight="1">
      <c r="D613" s="865"/>
    </row>
    <row r="614" ht="15.75" customHeight="1">
      <c r="D614" s="865"/>
    </row>
    <row r="615" ht="15.75" customHeight="1">
      <c r="D615" s="865"/>
    </row>
    <row r="616" ht="15.75" customHeight="1">
      <c r="D616" s="865"/>
    </row>
    <row r="617" ht="15.75" customHeight="1">
      <c r="D617" s="865"/>
    </row>
    <row r="618" ht="15.75" customHeight="1">
      <c r="D618" s="865"/>
    </row>
    <row r="619" ht="15.75" customHeight="1">
      <c r="D619" s="865"/>
    </row>
    <row r="620" ht="15.75" customHeight="1">
      <c r="D620" s="865"/>
    </row>
    <row r="621" ht="15.75" customHeight="1">
      <c r="D621" s="865"/>
    </row>
    <row r="622" ht="15.75" customHeight="1">
      <c r="D622" s="865"/>
    </row>
    <row r="623" ht="15.75" customHeight="1">
      <c r="D623" s="865"/>
    </row>
    <row r="624" ht="15.75" customHeight="1">
      <c r="D624" s="865"/>
    </row>
    <row r="625" ht="15.75" customHeight="1">
      <c r="D625" s="865"/>
    </row>
    <row r="626" ht="15.75" customHeight="1">
      <c r="D626" s="865"/>
    </row>
    <row r="627" ht="15.75" customHeight="1">
      <c r="D627" s="865"/>
    </row>
    <row r="628" ht="15.75" customHeight="1">
      <c r="D628" s="865"/>
    </row>
    <row r="629" ht="15.75" customHeight="1">
      <c r="D629" s="865"/>
    </row>
    <row r="630" ht="15.75" customHeight="1">
      <c r="D630" s="865"/>
    </row>
    <row r="631" ht="15.75" customHeight="1">
      <c r="D631" s="865"/>
    </row>
    <row r="632" ht="15.75" customHeight="1">
      <c r="D632" s="865"/>
    </row>
    <row r="633" ht="15.75" customHeight="1">
      <c r="D633" s="865"/>
    </row>
    <row r="634" ht="15.75" customHeight="1">
      <c r="D634" s="865"/>
    </row>
    <row r="635" ht="15.75" customHeight="1">
      <c r="D635" s="865"/>
    </row>
    <row r="636" ht="15.75" customHeight="1">
      <c r="D636" s="865"/>
    </row>
    <row r="637" ht="15.75" customHeight="1">
      <c r="D637" s="865"/>
    </row>
    <row r="638" ht="15.75" customHeight="1">
      <c r="D638" s="865"/>
    </row>
    <row r="639" ht="15.75" customHeight="1">
      <c r="D639" s="865"/>
    </row>
    <row r="640" ht="15.75" customHeight="1">
      <c r="D640" s="865"/>
    </row>
    <row r="641" ht="15.75" customHeight="1">
      <c r="D641" s="865"/>
    </row>
    <row r="642" ht="15.75" customHeight="1">
      <c r="D642" s="865"/>
    </row>
    <row r="643" ht="15.75" customHeight="1">
      <c r="D643" s="865"/>
    </row>
    <row r="644" ht="15.75" customHeight="1">
      <c r="D644" s="865"/>
    </row>
    <row r="645" ht="15.75" customHeight="1">
      <c r="D645" s="865"/>
    </row>
    <row r="646" ht="15.75" customHeight="1">
      <c r="D646" s="865"/>
    </row>
    <row r="647" ht="15.75" customHeight="1">
      <c r="D647" s="865"/>
    </row>
    <row r="648" ht="15.75" customHeight="1">
      <c r="D648" s="865"/>
    </row>
    <row r="649" ht="15.75" customHeight="1">
      <c r="D649" s="865"/>
    </row>
    <row r="650" ht="15.75" customHeight="1">
      <c r="D650" s="865"/>
    </row>
    <row r="651" ht="15.75" customHeight="1">
      <c r="D651" s="865"/>
    </row>
    <row r="652" ht="15.75" customHeight="1">
      <c r="D652" s="865"/>
    </row>
    <row r="653" ht="15.75" customHeight="1">
      <c r="D653" s="865"/>
    </row>
    <row r="654" ht="15.75" customHeight="1">
      <c r="D654" s="865"/>
    </row>
    <row r="655" ht="15.75" customHeight="1">
      <c r="D655" s="865"/>
    </row>
    <row r="656" ht="15.75" customHeight="1">
      <c r="D656" s="865"/>
    </row>
    <row r="657" ht="15.75" customHeight="1">
      <c r="D657" s="865"/>
    </row>
    <row r="658" ht="15.75" customHeight="1">
      <c r="D658" s="865"/>
    </row>
    <row r="659" ht="15.75" customHeight="1">
      <c r="D659" s="865"/>
    </row>
    <row r="660" ht="15.75" customHeight="1">
      <c r="D660" s="865"/>
    </row>
    <row r="661" ht="15.75" customHeight="1">
      <c r="D661" s="865"/>
    </row>
    <row r="662" ht="15.75" customHeight="1">
      <c r="D662" s="865"/>
    </row>
    <row r="663" ht="15.75" customHeight="1">
      <c r="D663" s="865"/>
    </row>
    <row r="664" ht="15.75" customHeight="1">
      <c r="D664" s="865"/>
    </row>
    <row r="665" ht="15.75" customHeight="1">
      <c r="D665" s="865"/>
    </row>
    <row r="666" ht="15.75" customHeight="1">
      <c r="D666" s="865"/>
    </row>
    <row r="667" ht="15.75" customHeight="1">
      <c r="D667" s="865"/>
    </row>
    <row r="668" ht="15.75" customHeight="1">
      <c r="D668" s="865"/>
    </row>
    <row r="669" ht="15.75" customHeight="1">
      <c r="D669" s="865"/>
    </row>
    <row r="670" ht="15.75" customHeight="1">
      <c r="D670" s="865"/>
    </row>
    <row r="671" ht="15.75" customHeight="1">
      <c r="D671" s="865"/>
    </row>
    <row r="672" ht="15.75" customHeight="1">
      <c r="D672" s="865"/>
    </row>
    <row r="673" ht="15.75" customHeight="1">
      <c r="D673" s="865"/>
    </row>
    <row r="674" ht="15.75" customHeight="1">
      <c r="D674" s="865"/>
    </row>
    <row r="675" ht="15.75" customHeight="1">
      <c r="D675" s="865"/>
    </row>
    <row r="676" ht="15.75" customHeight="1">
      <c r="D676" s="865"/>
    </row>
    <row r="677" ht="15.75" customHeight="1">
      <c r="D677" s="865"/>
    </row>
    <row r="678" ht="15.75" customHeight="1">
      <c r="D678" s="865"/>
    </row>
    <row r="679" ht="15.75" customHeight="1">
      <c r="D679" s="865"/>
    </row>
    <row r="680" ht="15.75" customHeight="1">
      <c r="D680" s="865"/>
    </row>
    <row r="681" ht="15.75" customHeight="1">
      <c r="D681" s="865"/>
    </row>
    <row r="682" ht="15.75" customHeight="1">
      <c r="D682" s="865"/>
    </row>
    <row r="683" ht="15.75" customHeight="1">
      <c r="D683" s="865"/>
    </row>
    <row r="684" ht="15.75" customHeight="1">
      <c r="D684" s="865"/>
    </row>
    <row r="685" ht="15.75" customHeight="1">
      <c r="D685" s="865"/>
    </row>
    <row r="686" ht="15.75" customHeight="1">
      <c r="D686" s="865"/>
    </row>
    <row r="687" ht="15.75" customHeight="1">
      <c r="D687" s="865"/>
    </row>
    <row r="688" ht="15.75" customHeight="1">
      <c r="D688" s="865"/>
    </row>
    <row r="689" ht="15.75" customHeight="1">
      <c r="D689" s="865"/>
    </row>
    <row r="690" ht="15.75" customHeight="1">
      <c r="D690" s="865"/>
    </row>
    <row r="691" ht="15.75" customHeight="1">
      <c r="D691" s="865"/>
    </row>
    <row r="692" ht="15.75" customHeight="1">
      <c r="D692" s="865"/>
    </row>
    <row r="693" ht="15.75" customHeight="1">
      <c r="D693" s="865"/>
    </row>
    <row r="694" ht="15.75" customHeight="1">
      <c r="D694" s="865"/>
    </row>
    <row r="695" ht="15.75" customHeight="1">
      <c r="D695" s="865"/>
    </row>
    <row r="696" ht="15.75" customHeight="1">
      <c r="D696" s="865"/>
    </row>
    <row r="697" ht="15.75" customHeight="1">
      <c r="D697" s="865"/>
    </row>
    <row r="698" ht="15.75" customHeight="1">
      <c r="D698" s="865"/>
    </row>
    <row r="699" ht="15.75" customHeight="1">
      <c r="D699" s="865"/>
    </row>
    <row r="700" ht="15.75" customHeight="1">
      <c r="D700" s="865"/>
    </row>
    <row r="701" ht="15.75" customHeight="1">
      <c r="D701" s="865"/>
    </row>
    <row r="702" ht="15.75" customHeight="1">
      <c r="D702" s="865"/>
    </row>
    <row r="703" ht="15.75" customHeight="1">
      <c r="D703" s="865"/>
    </row>
    <row r="704" ht="15.75" customHeight="1">
      <c r="D704" s="865"/>
    </row>
    <row r="705" ht="15.75" customHeight="1">
      <c r="D705" s="865"/>
    </row>
    <row r="706" ht="15.75" customHeight="1">
      <c r="D706" s="865"/>
    </row>
    <row r="707" ht="15.75" customHeight="1">
      <c r="D707" s="865"/>
    </row>
    <row r="708" ht="15.75" customHeight="1">
      <c r="D708" s="865"/>
    </row>
    <row r="709" ht="15.75" customHeight="1">
      <c r="D709" s="865"/>
    </row>
    <row r="710" ht="15.75" customHeight="1">
      <c r="D710" s="865"/>
    </row>
    <row r="711" ht="15.75" customHeight="1">
      <c r="D711" s="865"/>
    </row>
    <row r="712" ht="15.75" customHeight="1">
      <c r="D712" s="865"/>
    </row>
    <row r="713" ht="15.75" customHeight="1">
      <c r="D713" s="865"/>
    </row>
    <row r="714" ht="15.75" customHeight="1">
      <c r="D714" s="865"/>
    </row>
    <row r="715" ht="15.75" customHeight="1">
      <c r="D715" s="865"/>
    </row>
    <row r="716" ht="15.75" customHeight="1">
      <c r="D716" s="865"/>
    </row>
    <row r="717" ht="15.75" customHeight="1">
      <c r="D717" s="865"/>
    </row>
    <row r="718" ht="15.75" customHeight="1">
      <c r="D718" s="865"/>
    </row>
    <row r="719" ht="15.75" customHeight="1">
      <c r="D719" s="865"/>
    </row>
    <row r="720" ht="15.75" customHeight="1">
      <c r="D720" s="865"/>
    </row>
    <row r="721" ht="15.75" customHeight="1">
      <c r="D721" s="865"/>
    </row>
    <row r="722" ht="15.75" customHeight="1">
      <c r="D722" s="865"/>
    </row>
    <row r="723" ht="15.75" customHeight="1">
      <c r="D723" s="865"/>
    </row>
    <row r="724" ht="15.75" customHeight="1">
      <c r="D724" s="865"/>
    </row>
    <row r="725" ht="15.75" customHeight="1">
      <c r="D725" s="865"/>
    </row>
    <row r="726" ht="15.75" customHeight="1">
      <c r="D726" s="865"/>
    </row>
    <row r="727" ht="15.75" customHeight="1">
      <c r="D727" s="865"/>
    </row>
    <row r="728" ht="15.75" customHeight="1">
      <c r="D728" s="865"/>
    </row>
    <row r="729" ht="15.75" customHeight="1">
      <c r="D729" s="865"/>
    </row>
    <row r="730" ht="15.75" customHeight="1">
      <c r="D730" s="865"/>
    </row>
    <row r="731" ht="15.75" customHeight="1">
      <c r="D731" s="865"/>
    </row>
    <row r="732" ht="15.75" customHeight="1">
      <c r="D732" s="865"/>
    </row>
    <row r="733" ht="15.75" customHeight="1">
      <c r="D733" s="865"/>
    </row>
    <row r="734" ht="15.75" customHeight="1">
      <c r="D734" s="865"/>
    </row>
    <row r="735" ht="15.75" customHeight="1">
      <c r="D735" s="865"/>
    </row>
    <row r="736" ht="15.75" customHeight="1">
      <c r="D736" s="865"/>
    </row>
    <row r="737" ht="15.75" customHeight="1">
      <c r="D737" s="865"/>
    </row>
    <row r="738" ht="15.75" customHeight="1">
      <c r="D738" s="865"/>
    </row>
    <row r="739" ht="15.75" customHeight="1">
      <c r="D739" s="865"/>
    </row>
    <row r="740" ht="15.75" customHeight="1">
      <c r="D740" s="865"/>
    </row>
    <row r="741" ht="15.75" customHeight="1">
      <c r="D741" s="865"/>
    </row>
    <row r="742" ht="15.75" customHeight="1">
      <c r="D742" s="865"/>
    </row>
    <row r="743" ht="15.75" customHeight="1">
      <c r="D743" s="865"/>
    </row>
    <row r="744" ht="15.75" customHeight="1">
      <c r="D744" s="865"/>
    </row>
    <row r="745" ht="15.75" customHeight="1">
      <c r="D745" s="865"/>
    </row>
    <row r="746" ht="15.75" customHeight="1">
      <c r="D746" s="865"/>
    </row>
    <row r="747" ht="15.75" customHeight="1">
      <c r="D747" s="865"/>
    </row>
    <row r="748" ht="15.75" customHeight="1">
      <c r="D748" s="865"/>
    </row>
    <row r="749" ht="15.75" customHeight="1">
      <c r="D749" s="865"/>
    </row>
    <row r="750" ht="15.75" customHeight="1">
      <c r="D750" s="865"/>
    </row>
    <row r="751" ht="15.75" customHeight="1">
      <c r="D751" s="865"/>
    </row>
    <row r="752" ht="15.75" customHeight="1">
      <c r="D752" s="865"/>
    </row>
    <row r="753" ht="15.75" customHeight="1">
      <c r="D753" s="865"/>
    </row>
    <row r="754" ht="15.75" customHeight="1">
      <c r="D754" s="865"/>
    </row>
    <row r="755" ht="15.75" customHeight="1">
      <c r="D755" s="865"/>
    </row>
    <row r="756" ht="15.75" customHeight="1">
      <c r="D756" s="865"/>
    </row>
    <row r="757" ht="15.75" customHeight="1">
      <c r="D757" s="865"/>
    </row>
    <row r="758" ht="15.75" customHeight="1">
      <c r="D758" s="865"/>
    </row>
    <row r="759" ht="15.75" customHeight="1">
      <c r="D759" s="865"/>
    </row>
    <row r="760" ht="15.75" customHeight="1">
      <c r="D760" s="865"/>
    </row>
    <row r="761" ht="15.75" customHeight="1">
      <c r="D761" s="865"/>
    </row>
    <row r="762" ht="15.75" customHeight="1">
      <c r="D762" s="865"/>
    </row>
    <row r="763" ht="15.75" customHeight="1">
      <c r="D763" s="865"/>
    </row>
    <row r="764" ht="15.75" customHeight="1">
      <c r="D764" s="865"/>
    </row>
    <row r="765" ht="15.75" customHeight="1">
      <c r="D765" s="865"/>
    </row>
    <row r="766" ht="15.75" customHeight="1">
      <c r="D766" s="865"/>
    </row>
    <row r="767" ht="15.75" customHeight="1">
      <c r="D767" s="865"/>
    </row>
    <row r="768" ht="15.75" customHeight="1">
      <c r="D768" s="865"/>
    </row>
    <row r="769" ht="15.75" customHeight="1">
      <c r="D769" s="865"/>
    </row>
    <row r="770" ht="15.75" customHeight="1">
      <c r="D770" s="865"/>
    </row>
    <row r="771" ht="15.75" customHeight="1">
      <c r="D771" s="865"/>
    </row>
    <row r="772" ht="15.75" customHeight="1">
      <c r="D772" s="865"/>
    </row>
    <row r="773" ht="15.75" customHeight="1">
      <c r="D773" s="865"/>
    </row>
    <row r="774" ht="15.75" customHeight="1">
      <c r="D774" s="865"/>
    </row>
    <row r="775" ht="15.75" customHeight="1">
      <c r="D775" s="865"/>
    </row>
    <row r="776" ht="15.75" customHeight="1">
      <c r="D776" s="865"/>
    </row>
    <row r="777" ht="15.75" customHeight="1">
      <c r="D777" s="865"/>
    </row>
    <row r="778" ht="15.75" customHeight="1">
      <c r="D778" s="865"/>
    </row>
    <row r="779" ht="15.75" customHeight="1">
      <c r="D779" s="865"/>
    </row>
    <row r="780" ht="15.75" customHeight="1">
      <c r="D780" s="865"/>
    </row>
    <row r="781" ht="15.75" customHeight="1">
      <c r="D781" s="865"/>
    </row>
    <row r="782" ht="15.75" customHeight="1">
      <c r="D782" s="865"/>
    </row>
    <row r="783" ht="15.75" customHeight="1">
      <c r="D783" s="865"/>
    </row>
    <row r="784" ht="15.75" customHeight="1">
      <c r="D784" s="865"/>
    </row>
    <row r="785" ht="15.75" customHeight="1">
      <c r="D785" s="865"/>
    </row>
    <row r="786" ht="15.75" customHeight="1">
      <c r="D786" s="865"/>
    </row>
    <row r="787" ht="15.75" customHeight="1">
      <c r="D787" s="865"/>
    </row>
    <row r="788" ht="15.75" customHeight="1">
      <c r="D788" s="865"/>
    </row>
    <row r="789" ht="15.75" customHeight="1">
      <c r="D789" s="865"/>
    </row>
    <row r="790" ht="15.75" customHeight="1">
      <c r="D790" s="865"/>
    </row>
    <row r="791" ht="15.75" customHeight="1">
      <c r="D791" s="865"/>
    </row>
    <row r="792" ht="15.75" customHeight="1">
      <c r="D792" s="865"/>
    </row>
    <row r="793" ht="15.75" customHeight="1">
      <c r="D793" s="865"/>
    </row>
    <row r="794" ht="15.75" customHeight="1">
      <c r="D794" s="865"/>
    </row>
    <row r="795" ht="15.75" customHeight="1">
      <c r="D795" s="865"/>
    </row>
    <row r="796" ht="15.75" customHeight="1">
      <c r="D796" s="865"/>
    </row>
    <row r="797" ht="15.75" customHeight="1">
      <c r="D797" s="865"/>
    </row>
    <row r="798" ht="15.75" customHeight="1">
      <c r="D798" s="865"/>
    </row>
    <row r="799" ht="15.75" customHeight="1">
      <c r="D799" s="865"/>
    </row>
    <row r="800" ht="15.75" customHeight="1">
      <c r="D800" s="865"/>
    </row>
    <row r="801" ht="15.75" customHeight="1">
      <c r="D801" s="865"/>
    </row>
    <row r="802" ht="15.75" customHeight="1">
      <c r="D802" s="865"/>
    </row>
    <row r="803" ht="15.75" customHeight="1">
      <c r="D803" s="865"/>
    </row>
    <row r="804" ht="15.75" customHeight="1">
      <c r="D804" s="865"/>
    </row>
    <row r="805" ht="15.75" customHeight="1">
      <c r="D805" s="865"/>
    </row>
    <row r="806" ht="15.75" customHeight="1">
      <c r="D806" s="865"/>
    </row>
    <row r="807" ht="15.75" customHeight="1">
      <c r="D807" s="865"/>
    </row>
    <row r="808" ht="15.75" customHeight="1">
      <c r="D808" s="865"/>
    </row>
    <row r="809" ht="15.75" customHeight="1">
      <c r="D809" s="865"/>
    </row>
    <row r="810" ht="15.75" customHeight="1">
      <c r="D810" s="865"/>
    </row>
    <row r="811" ht="15.75" customHeight="1">
      <c r="D811" s="865"/>
    </row>
    <row r="812" ht="15.75" customHeight="1">
      <c r="D812" s="865"/>
    </row>
    <row r="813" ht="15.75" customHeight="1">
      <c r="D813" s="865"/>
    </row>
    <row r="814" ht="15.75" customHeight="1">
      <c r="D814" s="865"/>
    </row>
    <row r="815" ht="15.75" customHeight="1">
      <c r="D815" s="865"/>
    </row>
    <row r="816" ht="15.75" customHeight="1">
      <c r="D816" s="865"/>
    </row>
    <row r="817" ht="15.75" customHeight="1">
      <c r="D817" s="865"/>
    </row>
    <row r="818" ht="15.75" customHeight="1">
      <c r="D818" s="865"/>
    </row>
    <row r="819" ht="15.75" customHeight="1">
      <c r="D819" s="865"/>
    </row>
    <row r="820" ht="15.75" customHeight="1">
      <c r="D820" s="865"/>
    </row>
    <row r="821" ht="15.75" customHeight="1">
      <c r="D821" s="865"/>
    </row>
    <row r="822" ht="15.75" customHeight="1">
      <c r="D822" s="865"/>
    </row>
    <row r="823" ht="15.75" customHeight="1">
      <c r="D823" s="865"/>
    </row>
    <row r="824" ht="15.75" customHeight="1">
      <c r="D824" s="865"/>
    </row>
    <row r="825" ht="15.75" customHeight="1">
      <c r="D825" s="865"/>
    </row>
    <row r="826" ht="15.75" customHeight="1">
      <c r="D826" s="865"/>
    </row>
    <row r="827" ht="15.75" customHeight="1">
      <c r="D827" s="865"/>
    </row>
    <row r="828" ht="15.75" customHeight="1">
      <c r="D828" s="865"/>
    </row>
    <row r="829" ht="15.75" customHeight="1">
      <c r="D829" s="865"/>
    </row>
    <row r="830" ht="15.75" customHeight="1">
      <c r="D830" s="865"/>
    </row>
    <row r="831" ht="15.75" customHeight="1">
      <c r="D831" s="865"/>
    </row>
    <row r="832" ht="15.75" customHeight="1">
      <c r="D832" s="865"/>
    </row>
    <row r="833" ht="15.75" customHeight="1">
      <c r="D833" s="865"/>
    </row>
    <row r="834" ht="15.75" customHeight="1">
      <c r="D834" s="865"/>
    </row>
    <row r="835" ht="15.75" customHeight="1">
      <c r="D835" s="865"/>
    </row>
    <row r="836" ht="15.75" customHeight="1">
      <c r="D836" s="865"/>
    </row>
    <row r="837" ht="15.75" customHeight="1">
      <c r="D837" s="865"/>
    </row>
    <row r="838" ht="15.75" customHeight="1">
      <c r="D838" s="865"/>
    </row>
    <row r="839" ht="15.75" customHeight="1">
      <c r="D839" s="865"/>
    </row>
    <row r="840" ht="15.75" customHeight="1">
      <c r="D840" s="865"/>
    </row>
    <row r="841" ht="15.75" customHeight="1">
      <c r="D841" s="865"/>
    </row>
    <row r="842" ht="15.75" customHeight="1">
      <c r="D842" s="865"/>
    </row>
    <row r="843" ht="15.75" customHeight="1">
      <c r="D843" s="865"/>
    </row>
    <row r="844" ht="15.75" customHeight="1">
      <c r="D844" s="865"/>
    </row>
    <row r="845" ht="15.75" customHeight="1">
      <c r="D845" s="865"/>
    </row>
    <row r="846" ht="15.75" customHeight="1">
      <c r="D846" s="865"/>
    </row>
    <row r="847" ht="15.75" customHeight="1">
      <c r="D847" s="865"/>
    </row>
    <row r="848" ht="15.75" customHeight="1">
      <c r="D848" s="865"/>
    </row>
    <row r="849" ht="15.75" customHeight="1">
      <c r="D849" s="865"/>
    </row>
    <row r="850" ht="15.75" customHeight="1">
      <c r="D850" s="865"/>
    </row>
    <row r="851" ht="15.75" customHeight="1">
      <c r="D851" s="865"/>
    </row>
    <row r="852" ht="15.75" customHeight="1">
      <c r="D852" s="865"/>
    </row>
    <row r="853" ht="15.75" customHeight="1">
      <c r="D853" s="865"/>
    </row>
    <row r="854" ht="15.75" customHeight="1">
      <c r="D854" s="865"/>
    </row>
    <row r="855" ht="15.75" customHeight="1">
      <c r="D855" s="865"/>
    </row>
    <row r="856" ht="15.75" customHeight="1">
      <c r="D856" s="865"/>
    </row>
    <row r="857" ht="15.75" customHeight="1">
      <c r="D857" s="865"/>
    </row>
    <row r="858" ht="15.75" customHeight="1">
      <c r="D858" s="865"/>
    </row>
    <row r="859" ht="15.75" customHeight="1">
      <c r="D859" s="865"/>
    </row>
    <row r="860" ht="15.75" customHeight="1">
      <c r="D860" s="865"/>
    </row>
    <row r="861" ht="15.75" customHeight="1">
      <c r="D861" s="865"/>
    </row>
    <row r="862" ht="15.75" customHeight="1">
      <c r="D862" s="865"/>
    </row>
    <row r="863" ht="15.75" customHeight="1">
      <c r="D863" s="865"/>
    </row>
    <row r="864" ht="15.75" customHeight="1">
      <c r="D864" s="865"/>
    </row>
    <row r="865" ht="15.75" customHeight="1">
      <c r="D865" s="865"/>
    </row>
    <row r="866" ht="15.75" customHeight="1">
      <c r="D866" s="865"/>
    </row>
    <row r="867" ht="15.75" customHeight="1">
      <c r="D867" s="865"/>
    </row>
    <row r="868" ht="15.75" customHeight="1">
      <c r="D868" s="865"/>
    </row>
    <row r="869" ht="15.75" customHeight="1">
      <c r="D869" s="865"/>
    </row>
    <row r="870" ht="15.75" customHeight="1">
      <c r="D870" s="865"/>
    </row>
    <row r="871" ht="15.75" customHeight="1">
      <c r="D871" s="865"/>
    </row>
    <row r="872" ht="15.75" customHeight="1">
      <c r="D872" s="865"/>
    </row>
    <row r="873" ht="15.75" customHeight="1">
      <c r="D873" s="865"/>
    </row>
    <row r="874" ht="15.75" customHeight="1">
      <c r="D874" s="865"/>
    </row>
    <row r="875" ht="15.75" customHeight="1">
      <c r="D875" s="865"/>
    </row>
    <row r="876" ht="15.75" customHeight="1">
      <c r="D876" s="865"/>
    </row>
    <row r="877" ht="15.75" customHeight="1">
      <c r="D877" s="865"/>
    </row>
    <row r="878" ht="15.75" customHeight="1">
      <c r="D878" s="865"/>
    </row>
    <row r="879" ht="15.75" customHeight="1">
      <c r="D879" s="865"/>
    </row>
    <row r="880" ht="15.75" customHeight="1">
      <c r="D880" s="865"/>
    </row>
    <row r="881" ht="15.75" customHeight="1">
      <c r="D881" s="865"/>
    </row>
    <row r="882" ht="15.75" customHeight="1">
      <c r="D882" s="865"/>
    </row>
    <row r="883" ht="15.75" customHeight="1">
      <c r="D883" s="865"/>
    </row>
    <row r="884" ht="15.75" customHeight="1">
      <c r="D884" s="865"/>
    </row>
    <row r="885" ht="15.75" customHeight="1">
      <c r="D885" s="865"/>
    </row>
    <row r="886" ht="15.75" customHeight="1">
      <c r="D886" s="865"/>
    </row>
    <row r="887" ht="15.75" customHeight="1">
      <c r="D887" s="865"/>
    </row>
    <row r="888" ht="15.75" customHeight="1">
      <c r="D888" s="865"/>
    </row>
    <row r="889" ht="15.75" customHeight="1">
      <c r="D889" s="865"/>
    </row>
    <row r="890" ht="15.75" customHeight="1">
      <c r="D890" s="865"/>
    </row>
    <row r="891" ht="15.75" customHeight="1">
      <c r="D891" s="865"/>
    </row>
    <row r="892" ht="15.75" customHeight="1">
      <c r="D892" s="865"/>
    </row>
    <row r="893" ht="15.75" customHeight="1">
      <c r="D893" s="865"/>
    </row>
    <row r="894" ht="15.75" customHeight="1">
      <c r="D894" s="865"/>
    </row>
    <row r="895" ht="15.75" customHeight="1">
      <c r="D895" s="865"/>
    </row>
    <row r="896" ht="15.75" customHeight="1">
      <c r="D896" s="865"/>
    </row>
    <row r="897" ht="15.75" customHeight="1">
      <c r="D897" s="865"/>
    </row>
    <row r="898" ht="15.75" customHeight="1">
      <c r="D898" s="865"/>
    </row>
    <row r="899" ht="15.75" customHeight="1">
      <c r="D899" s="865"/>
    </row>
    <row r="900" ht="15.75" customHeight="1">
      <c r="D900" s="865"/>
    </row>
    <row r="901" ht="15.75" customHeight="1">
      <c r="D901" s="865"/>
    </row>
    <row r="902" ht="15.75" customHeight="1">
      <c r="D902" s="865"/>
    </row>
    <row r="903" ht="15.75" customHeight="1">
      <c r="D903" s="865"/>
    </row>
    <row r="904" ht="15.75" customHeight="1">
      <c r="D904" s="865"/>
    </row>
    <row r="905" ht="15.75" customHeight="1">
      <c r="D905" s="865"/>
    </row>
    <row r="906" ht="15.75" customHeight="1">
      <c r="D906" s="865"/>
    </row>
    <row r="907" ht="15.75" customHeight="1">
      <c r="D907" s="865"/>
    </row>
    <row r="908" ht="15.75" customHeight="1">
      <c r="D908" s="865"/>
    </row>
    <row r="909" ht="15.75" customHeight="1">
      <c r="D909" s="865"/>
    </row>
    <row r="910" ht="15.75" customHeight="1">
      <c r="D910" s="865"/>
    </row>
    <row r="911" ht="15.75" customHeight="1">
      <c r="D911" s="865"/>
    </row>
    <row r="912" ht="15.75" customHeight="1">
      <c r="D912" s="865"/>
    </row>
    <row r="913" ht="15.75" customHeight="1">
      <c r="D913" s="865"/>
    </row>
    <row r="914" ht="15.75" customHeight="1">
      <c r="D914" s="865"/>
    </row>
    <row r="915" ht="15.75" customHeight="1">
      <c r="D915" s="865"/>
    </row>
    <row r="916" ht="15.75" customHeight="1">
      <c r="D916" s="865"/>
    </row>
    <row r="917" ht="15.75" customHeight="1">
      <c r="D917" s="865"/>
    </row>
    <row r="918" ht="15.75" customHeight="1">
      <c r="D918" s="865"/>
    </row>
    <row r="919" ht="15.75" customHeight="1">
      <c r="D919" s="865"/>
    </row>
    <row r="920" ht="15.75" customHeight="1">
      <c r="D920" s="865"/>
    </row>
    <row r="921" ht="15.75" customHeight="1">
      <c r="D921" s="865"/>
    </row>
    <row r="922" ht="15.75" customHeight="1">
      <c r="D922" s="865"/>
    </row>
    <row r="923" ht="15.75" customHeight="1">
      <c r="D923" s="865"/>
    </row>
    <row r="924" ht="15.75" customHeight="1">
      <c r="D924" s="865"/>
    </row>
    <row r="925" ht="15.75" customHeight="1">
      <c r="D925" s="865"/>
    </row>
    <row r="926" ht="15.75" customHeight="1">
      <c r="D926" s="865"/>
    </row>
    <row r="927" ht="15.75" customHeight="1">
      <c r="D927" s="865"/>
    </row>
    <row r="928" ht="15.75" customHeight="1">
      <c r="D928" s="865"/>
    </row>
    <row r="929" ht="15.75" customHeight="1">
      <c r="D929" s="865"/>
    </row>
    <row r="930" ht="15.75" customHeight="1">
      <c r="D930" s="865"/>
    </row>
    <row r="931" ht="15.75" customHeight="1">
      <c r="D931" s="865"/>
    </row>
    <row r="932" ht="15.75" customHeight="1">
      <c r="D932" s="865"/>
    </row>
    <row r="933" ht="15.75" customHeight="1">
      <c r="D933" s="865"/>
    </row>
    <row r="934" ht="15.75" customHeight="1">
      <c r="D934" s="865"/>
    </row>
    <row r="935" ht="15.75" customHeight="1">
      <c r="D935" s="865"/>
    </row>
    <row r="936" ht="15.75" customHeight="1">
      <c r="D936" s="865"/>
    </row>
    <row r="937" ht="15.75" customHeight="1">
      <c r="D937" s="865"/>
    </row>
    <row r="938" ht="15.75" customHeight="1">
      <c r="D938" s="865"/>
    </row>
    <row r="939" ht="15.75" customHeight="1">
      <c r="D939" s="865"/>
    </row>
    <row r="940" ht="15.75" customHeight="1">
      <c r="D940" s="865"/>
    </row>
    <row r="941" ht="15.75" customHeight="1">
      <c r="D941" s="865"/>
    </row>
    <row r="942" ht="15.75" customHeight="1">
      <c r="D942" s="865"/>
    </row>
    <row r="943" ht="15.75" customHeight="1">
      <c r="D943" s="865"/>
    </row>
    <row r="944" ht="15.75" customHeight="1">
      <c r="D944" s="865"/>
    </row>
    <row r="945" ht="15.75" customHeight="1">
      <c r="D945" s="865"/>
    </row>
    <row r="946" ht="15.75" customHeight="1">
      <c r="D946" s="865"/>
    </row>
    <row r="947" ht="15.75" customHeight="1">
      <c r="D947" s="865"/>
    </row>
    <row r="948" ht="15.75" customHeight="1">
      <c r="D948" s="865"/>
    </row>
    <row r="949" ht="15.75" customHeight="1">
      <c r="D949" s="865"/>
    </row>
    <row r="950" ht="15.75" customHeight="1">
      <c r="D950" s="865"/>
    </row>
    <row r="951" ht="15.75" customHeight="1">
      <c r="D951" s="865"/>
    </row>
    <row r="952" ht="15.75" customHeight="1">
      <c r="D952" s="865"/>
    </row>
    <row r="953" ht="15.75" customHeight="1">
      <c r="D953" s="865"/>
    </row>
    <row r="954" ht="15.75" customHeight="1">
      <c r="D954" s="865"/>
    </row>
    <row r="955" ht="15.75" customHeight="1">
      <c r="D955" s="865"/>
    </row>
    <row r="956" ht="15.75" customHeight="1">
      <c r="D956" s="865"/>
    </row>
    <row r="957" ht="15.75" customHeight="1">
      <c r="D957" s="865"/>
    </row>
    <row r="958" ht="15.75" customHeight="1">
      <c r="D958" s="865"/>
    </row>
    <row r="959" ht="15.75" customHeight="1">
      <c r="D959" s="865"/>
    </row>
    <row r="960" ht="15.75" customHeight="1">
      <c r="D960" s="865"/>
    </row>
    <row r="961" ht="15.75" customHeight="1">
      <c r="D961" s="865"/>
    </row>
    <row r="962" ht="15.75" customHeight="1">
      <c r="D962" s="865"/>
    </row>
    <row r="963" ht="15.75" customHeight="1">
      <c r="D963" s="865"/>
    </row>
    <row r="964" ht="15.75" customHeight="1">
      <c r="D964" s="865"/>
    </row>
    <row r="965" ht="15.75" customHeight="1">
      <c r="D965" s="865"/>
    </row>
    <row r="966" ht="15.75" customHeight="1">
      <c r="D966" s="865"/>
    </row>
    <row r="967" ht="15.75" customHeight="1">
      <c r="D967" s="865"/>
    </row>
    <row r="968" ht="15.75" customHeight="1">
      <c r="D968" s="865"/>
    </row>
    <row r="969" ht="15.75" customHeight="1">
      <c r="D969" s="865"/>
    </row>
    <row r="970" ht="15.75" customHeight="1">
      <c r="D970" s="865"/>
    </row>
    <row r="971" ht="15.75" customHeight="1">
      <c r="D971" s="865"/>
    </row>
    <row r="972" ht="15.75" customHeight="1">
      <c r="D972" s="865"/>
    </row>
    <row r="973" ht="15.75" customHeight="1">
      <c r="D973" s="865"/>
    </row>
    <row r="974" ht="15.75" customHeight="1">
      <c r="D974" s="865"/>
    </row>
    <row r="975" ht="15.75" customHeight="1">
      <c r="D975" s="865"/>
    </row>
    <row r="976" ht="15.75" customHeight="1">
      <c r="D976" s="865"/>
    </row>
    <row r="977" ht="15.75" customHeight="1">
      <c r="D977" s="865"/>
    </row>
    <row r="978" ht="15.75" customHeight="1">
      <c r="D978" s="865"/>
    </row>
    <row r="979" ht="15.75" customHeight="1">
      <c r="D979" s="865"/>
    </row>
    <row r="980" ht="15.75" customHeight="1">
      <c r="D980" s="865"/>
    </row>
    <row r="981" ht="15.75" customHeight="1">
      <c r="D981" s="865"/>
    </row>
    <row r="982" ht="15.75" customHeight="1">
      <c r="D982" s="865"/>
    </row>
    <row r="983" ht="15.75" customHeight="1">
      <c r="D983" s="865"/>
    </row>
    <row r="984" ht="15.75" customHeight="1">
      <c r="D984" s="865"/>
    </row>
    <row r="985" ht="15.75" customHeight="1">
      <c r="D985" s="865"/>
    </row>
    <row r="986" ht="15.75" customHeight="1">
      <c r="D986" s="865"/>
    </row>
    <row r="987" ht="15.75" customHeight="1">
      <c r="D987" s="865"/>
    </row>
    <row r="988" ht="15.75" customHeight="1">
      <c r="D988" s="865"/>
    </row>
    <row r="989" ht="15.75" customHeight="1">
      <c r="D989" s="865"/>
    </row>
    <row r="990" ht="15.75" customHeight="1">
      <c r="D990" s="865"/>
    </row>
    <row r="991" ht="15.75" customHeight="1">
      <c r="D991" s="865"/>
    </row>
    <row r="992" ht="15.75" customHeight="1">
      <c r="D992" s="865"/>
    </row>
    <row r="993" ht="15.75" customHeight="1">
      <c r="D993" s="865"/>
    </row>
    <row r="994" ht="15.75" customHeight="1">
      <c r="D994" s="865"/>
    </row>
    <row r="995" ht="15.75" customHeight="1">
      <c r="D995" s="865"/>
    </row>
    <row r="996" ht="15.75" customHeight="1">
      <c r="D996" s="865"/>
    </row>
    <row r="997" ht="15.75" customHeight="1">
      <c r="D997" s="865"/>
    </row>
    <row r="998" ht="15.75" customHeight="1">
      <c r="D998" s="865"/>
    </row>
    <row r="999" ht="15.75" customHeight="1">
      <c r="D999" s="865"/>
    </row>
    <row r="1000" ht="15.75" customHeight="1">
      <c r="D1000" s="865"/>
    </row>
  </sheetData>
  <autoFilter ref="$A$1:$M$219"/>
  <mergeCells count="2">
    <mergeCell ref="B237:B238"/>
    <mergeCell ref="B245:B246"/>
  </mergeCells>
  <hyperlinks>
    <hyperlink r:id="rId1" ref="M14"/>
    <hyperlink r:id="rId2" ref="M32"/>
    <hyperlink r:id="rId3" ref="M33"/>
    <hyperlink r:id="rId4" ref="C59"/>
    <hyperlink r:id="rId5" ref="M289"/>
    <hyperlink r:id="rId6" ref="M298"/>
    <hyperlink r:id="rId7" ref="M314"/>
  </hyperlinks>
  <printOptions/>
  <pageMargins bottom="0.75" footer="0.0" header="0.0" left="0.7" right="0.7" top="0.75"/>
  <pageSetup orientation="landscape"/>
  <drawing r:id="rId8"/>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6" width="10.56"/>
  </cols>
  <sheetData>
    <row r="1" ht="17.25" customHeight="1">
      <c r="A1" s="829">
        <v>45292.0</v>
      </c>
      <c r="B1" s="408" t="s">
        <v>2721</v>
      </c>
    </row>
    <row r="2" ht="17.25" customHeight="1">
      <c r="A2" s="829">
        <v>45299.0</v>
      </c>
      <c r="B2" s="408" t="s">
        <v>2722</v>
      </c>
    </row>
    <row r="3" ht="17.25" customHeight="1">
      <c r="A3" s="829">
        <v>45376.0</v>
      </c>
      <c r="B3" s="408" t="s">
        <v>2723</v>
      </c>
    </row>
    <row r="4" ht="17.25" customHeight="1">
      <c r="A4" s="829">
        <v>45379.0</v>
      </c>
      <c r="B4" s="408" t="s">
        <v>2724</v>
      </c>
    </row>
    <row r="5" ht="17.25" customHeight="1">
      <c r="A5" s="829">
        <v>45380.0</v>
      </c>
      <c r="B5" s="408" t="s">
        <v>2725</v>
      </c>
    </row>
    <row r="6" ht="17.25" customHeight="1">
      <c r="A6" s="829">
        <v>45413.0</v>
      </c>
      <c r="B6" s="408" t="s">
        <v>2726</v>
      </c>
    </row>
    <row r="7" ht="17.25" customHeight="1">
      <c r="A7" s="829">
        <v>45425.0</v>
      </c>
      <c r="B7" s="408" t="s">
        <v>2727</v>
      </c>
    </row>
    <row r="8" ht="17.25" customHeight="1">
      <c r="A8" s="829">
        <v>45446.0</v>
      </c>
      <c r="B8" s="408" t="s">
        <v>2728</v>
      </c>
    </row>
    <row r="9" ht="17.25" customHeight="1">
      <c r="A9" s="829">
        <v>45453.0</v>
      </c>
      <c r="B9" s="408" t="s">
        <v>2729</v>
      </c>
    </row>
    <row r="10" ht="17.25" customHeight="1">
      <c r="A10" s="829">
        <v>45474.0</v>
      </c>
      <c r="B10" s="408" t="s">
        <v>2730</v>
      </c>
    </row>
    <row r="11" ht="17.25" customHeight="1">
      <c r="A11" s="829">
        <v>45493.0</v>
      </c>
      <c r="B11" s="408" t="s">
        <v>2731</v>
      </c>
    </row>
    <row r="12" ht="17.25" customHeight="1">
      <c r="A12" s="829">
        <v>45511.0</v>
      </c>
      <c r="B12" s="408" t="s">
        <v>2732</v>
      </c>
    </row>
    <row r="13" ht="17.25" customHeight="1">
      <c r="A13" s="829">
        <v>45523.0</v>
      </c>
      <c r="B13" s="408" t="s">
        <v>2733</v>
      </c>
    </row>
    <row r="14" ht="17.25" customHeight="1">
      <c r="A14" s="829">
        <v>45579.0</v>
      </c>
      <c r="B14" s="408" t="s">
        <v>2734</v>
      </c>
    </row>
    <row r="15" ht="17.25" customHeight="1">
      <c r="A15" s="829">
        <v>45600.0</v>
      </c>
      <c r="B15" s="408" t="s">
        <v>2735</v>
      </c>
    </row>
    <row r="16" ht="17.25" customHeight="1">
      <c r="A16" s="829">
        <v>45607.0</v>
      </c>
      <c r="B16" s="408" t="s">
        <v>2736</v>
      </c>
    </row>
    <row r="17" ht="17.25" customHeight="1">
      <c r="A17" s="829">
        <v>45634.0</v>
      </c>
      <c r="B17" s="408" t="s">
        <v>2737</v>
      </c>
    </row>
    <row r="18" ht="17.25" customHeight="1">
      <c r="A18" s="829">
        <v>45651.0</v>
      </c>
      <c r="B18" s="408" t="s">
        <v>2738</v>
      </c>
    </row>
    <row r="19" ht="17.25" customHeight="1"/>
    <row r="20" ht="17.25" customHeight="1"/>
    <row r="21" ht="17.25" customHeight="1"/>
    <row r="22" ht="17.25" customHeight="1"/>
    <row r="23" ht="17.25" customHeight="1"/>
    <row r="24" ht="17.25" customHeight="1"/>
    <row r="25" ht="17.25" customHeight="1"/>
    <row r="26" ht="17.25" customHeight="1"/>
    <row r="27" ht="17.25" customHeight="1"/>
    <row r="28" ht="17.25" customHeight="1"/>
    <row r="29" ht="17.25" customHeight="1"/>
    <row r="30" ht="17.25" customHeight="1"/>
    <row r="31" ht="17.25" customHeight="1"/>
    <row r="3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3.0" topLeftCell="B4" activePane="bottomRight" state="frozen"/>
      <selection activeCell="B1" sqref="B1" pane="topRight"/>
      <selection activeCell="A4" sqref="A4" pane="bottomLeft"/>
      <selection activeCell="B4" sqref="B4" pane="bottomRight"/>
    </sheetView>
  </sheetViews>
  <sheetFormatPr customHeight="1" defaultColWidth="11.22" defaultRowHeight="15.0"/>
  <cols>
    <col customWidth="1" min="1" max="1" width="18.0"/>
    <col customWidth="1" min="2" max="10" width="10.56"/>
    <col customWidth="1" min="11" max="12" width="13.56"/>
    <col customWidth="1" min="13" max="26" width="10.56"/>
  </cols>
  <sheetData>
    <row r="1">
      <c r="A1" s="851" t="s">
        <v>2739</v>
      </c>
      <c r="B1" s="408"/>
      <c r="C1" s="408"/>
      <c r="D1" s="408"/>
      <c r="E1" s="408"/>
      <c r="F1" s="408"/>
      <c r="G1" s="408"/>
      <c r="H1" s="408"/>
      <c r="I1" s="408"/>
      <c r="J1" s="408"/>
      <c r="K1" s="408"/>
      <c r="L1" s="408"/>
      <c r="M1" s="408"/>
      <c r="N1" s="408"/>
      <c r="O1" s="408"/>
      <c r="P1" s="408"/>
      <c r="Q1" s="408"/>
      <c r="R1" s="408"/>
      <c r="S1" s="408"/>
      <c r="T1" s="408"/>
      <c r="U1" s="408"/>
      <c r="V1" s="408"/>
      <c r="W1" s="408"/>
      <c r="X1" s="408"/>
      <c r="Y1" s="408"/>
      <c r="Z1" s="408"/>
    </row>
    <row r="2">
      <c r="A2" s="408"/>
      <c r="B2" s="408"/>
      <c r="C2" s="408"/>
      <c r="D2" s="408"/>
      <c r="E2" s="408"/>
      <c r="F2" s="408"/>
      <c r="G2" s="408"/>
      <c r="H2" s="408"/>
      <c r="I2" s="408"/>
      <c r="J2" s="408"/>
      <c r="K2" s="408"/>
      <c r="L2" s="408"/>
      <c r="M2" s="408"/>
      <c r="N2" s="408"/>
      <c r="O2" s="408"/>
      <c r="P2" s="408"/>
      <c r="Q2" s="408"/>
      <c r="R2" s="408"/>
      <c r="S2" s="408"/>
      <c r="T2" s="408"/>
      <c r="U2" s="408"/>
      <c r="V2" s="408"/>
      <c r="W2" s="408"/>
      <c r="X2" s="408"/>
      <c r="Y2" s="408"/>
      <c r="Z2" s="408"/>
    </row>
    <row r="3" ht="32.25" customHeight="1">
      <c r="A3" s="866" t="s">
        <v>2740</v>
      </c>
      <c r="B3" s="867">
        <v>45596.0</v>
      </c>
      <c r="C3" s="867">
        <v>45597.0</v>
      </c>
      <c r="D3" s="867">
        <v>45601.0</v>
      </c>
      <c r="E3" s="867">
        <v>45602.0</v>
      </c>
      <c r="F3" s="867">
        <v>45603.0</v>
      </c>
      <c r="G3" s="867">
        <v>45604.0</v>
      </c>
      <c r="H3" s="867">
        <v>45608.0</v>
      </c>
      <c r="I3" s="867">
        <v>45609.0</v>
      </c>
      <c r="J3" s="867">
        <v>45610.0</v>
      </c>
      <c r="K3" s="867">
        <v>45611.0</v>
      </c>
      <c r="L3" s="867">
        <v>45614.0</v>
      </c>
      <c r="M3" s="867">
        <v>45615.0</v>
      </c>
      <c r="N3" s="867">
        <v>45616.0</v>
      </c>
      <c r="O3" s="867">
        <v>45617.0</v>
      </c>
      <c r="P3" s="867">
        <v>45618.0</v>
      </c>
      <c r="Q3" s="868">
        <v>45621.0</v>
      </c>
      <c r="R3" s="868">
        <v>45622.0</v>
      </c>
      <c r="S3" s="868">
        <v>45623.0</v>
      </c>
      <c r="T3" s="868">
        <v>45624.0</v>
      </c>
      <c r="U3" s="868">
        <v>45625.0</v>
      </c>
      <c r="V3" s="868">
        <v>45628.0</v>
      </c>
      <c r="W3" s="868">
        <v>45629.0</v>
      </c>
      <c r="X3" s="868">
        <v>45630.0</v>
      </c>
      <c r="Y3" s="868">
        <v>45631.0</v>
      </c>
      <c r="Z3" s="868">
        <v>45632.0</v>
      </c>
      <c r="AA3" s="868">
        <v>45635.0</v>
      </c>
      <c r="AB3" s="868">
        <v>45636.0</v>
      </c>
      <c r="AC3" s="868">
        <v>45637.0</v>
      </c>
      <c r="AD3" s="868">
        <v>45638.0</v>
      </c>
      <c r="AE3" s="869">
        <v>45639.0</v>
      </c>
      <c r="AF3" s="867">
        <v>45642.0</v>
      </c>
      <c r="AG3" s="867">
        <v>45643.0</v>
      </c>
      <c r="AH3" s="867">
        <v>45644.0</v>
      </c>
      <c r="AI3" s="867">
        <v>45645.0</v>
      </c>
      <c r="AJ3" s="867">
        <v>45646.0</v>
      </c>
      <c r="AK3" s="867">
        <v>45649.0</v>
      </c>
      <c r="AL3" s="867">
        <v>45650.0</v>
      </c>
      <c r="AM3" s="867">
        <v>45652.0</v>
      </c>
      <c r="AN3" s="867">
        <v>45653.0</v>
      </c>
      <c r="AO3" s="867">
        <v>45656.0</v>
      </c>
      <c r="AP3" s="867">
        <v>45656.0</v>
      </c>
      <c r="AQ3" s="867">
        <v>45664.0</v>
      </c>
      <c r="AR3" s="867">
        <v>45665.0</v>
      </c>
      <c r="AS3" s="867">
        <v>45666.0</v>
      </c>
      <c r="AT3" s="867">
        <v>45667.0</v>
      </c>
      <c r="AU3" s="867">
        <v>45670.0</v>
      </c>
      <c r="AV3" s="867">
        <v>45671.0</v>
      </c>
      <c r="AW3" s="867">
        <v>45672.0</v>
      </c>
      <c r="AX3" s="867">
        <v>45673.0</v>
      </c>
      <c r="AY3" s="867">
        <v>45674.0</v>
      </c>
      <c r="AZ3" s="867">
        <v>45677.0</v>
      </c>
      <c r="BA3" s="867">
        <v>45678.0</v>
      </c>
      <c r="BB3" s="867">
        <v>45679.0</v>
      </c>
      <c r="BC3" s="867">
        <v>45680.0</v>
      </c>
      <c r="BD3" s="867">
        <v>45681.0</v>
      </c>
      <c r="BE3" s="867">
        <v>45684.0</v>
      </c>
      <c r="BF3" s="867">
        <v>45685.0</v>
      </c>
      <c r="BG3" s="867">
        <v>45686.0</v>
      </c>
      <c r="BH3" s="867">
        <v>45687.0</v>
      </c>
      <c r="BI3" s="867">
        <v>45688.0</v>
      </c>
      <c r="BJ3" s="868">
        <v>45691.0</v>
      </c>
      <c r="BK3" s="868">
        <v>45692.0</v>
      </c>
      <c r="BL3" s="868">
        <v>45693.0</v>
      </c>
      <c r="BM3" s="868">
        <v>45694.0</v>
      </c>
      <c r="BN3" s="868">
        <v>45695.0</v>
      </c>
      <c r="BO3" s="868">
        <v>45698.0</v>
      </c>
      <c r="BP3" s="868">
        <v>45699.0</v>
      </c>
      <c r="BQ3" s="868">
        <v>45700.0</v>
      </c>
      <c r="BR3" s="868">
        <v>45701.0</v>
      </c>
      <c r="BS3" s="868">
        <v>45702.0</v>
      </c>
      <c r="BT3" s="868">
        <v>45705.0</v>
      </c>
      <c r="BU3" s="868">
        <v>45706.0</v>
      </c>
      <c r="BV3" s="868">
        <v>45707.0</v>
      </c>
      <c r="BW3" s="868">
        <v>45708.0</v>
      </c>
      <c r="BX3" s="868">
        <v>45709.0</v>
      </c>
      <c r="BY3" s="868">
        <v>45712.0</v>
      </c>
      <c r="BZ3" s="868">
        <v>45713.0</v>
      </c>
      <c r="CA3" s="868">
        <v>45714.0</v>
      </c>
      <c r="CB3" s="868">
        <v>45715.0</v>
      </c>
      <c r="CC3" s="868">
        <v>45716.0</v>
      </c>
      <c r="CD3" s="868">
        <v>45719.0</v>
      </c>
      <c r="CE3" s="868">
        <v>45720.0</v>
      </c>
      <c r="CF3" s="868">
        <v>45721.0</v>
      </c>
      <c r="CG3" s="868">
        <v>45722.0</v>
      </c>
      <c r="CH3" s="868">
        <v>45723.0</v>
      </c>
      <c r="CI3" s="868">
        <v>45726.0</v>
      </c>
      <c r="CJ3" s="868">
        <v>45727.0</v>
      </c>
      <c r="CK3" s="868">
        <v>45728.0</v>
      </c>
      <c r="CL3" s="868">
        <v>45729.0</v>
      </c>
      <c r="CM3" s="868">
        <v>45730.0</v>
      </c>
      <c r="CN3" s="868">
        <v>45733.0</v>
      </c>
      <c r="CO3" s="868">
        <v>45734.0</v>
      </c>
      <c r="CP3" s="868">
        <v>45735.0</v>
      </c>
      <c r="CQ3" s="868">
        <v>45736.0</v>
      </c>
      <c r="CR3" s="868">
        <v>45737.0</v>
      </c>
      <c r="CS3" s="868">
        <v>45741.0</v>
      </c>
    </row>
    <row r="4" ht="30.75" customHeight="1">
      <c r="A4" s="870" t="s">
        <v>1825</v>
      </c>
      <c r="B4" s="871" t="s">
        <v>2741</v>
      </c>
      <c r="C4" s="872" t="s">
        <v>2742</v>
      </c>
      <c r="D4" s="690" t="s">
        <v>2741</v>
      </c>
      <c r="E4" s="690" t="s">
        <v>2741</v>
      </c>
      <c r="F4" s="690" t="s">
        <v>2741</v>
      </c>
      <c r="G4" s="690" t="s">
        <v>2741</v>
      </c>
      <c r="H4" s="690" t="s">
        <v>2741</v>
      </c>
      <c r="I4" s="690" t="s">
        <v>2741</v>
      </c>
      <c r="J4" s="690" t="s">
        <v>2741</v>
      </c>
      <c r="K4" s="690" t="s">
        <v>2741</v>
      </c>
      <c r="L4" s="690" t="s">
        <v>2741</v>
      </c>
      <c r="M4" s="690" t="s">
        <v>2741</v>
      </c>
      <c r="N4" s="690" t="s">
        <v>2741</v>
      </c>
      <c r="O4" s="690" t="s">
        <v>2743</v>
      </c>
      <c r="P4" s="873" t="s">
        <v>2741</v>
      </c>
      <c r="Q4" s="690" t="s">
        <v>2741</v>
      </c>
      <c r="R4" s="690" t="s">
        <v>2741</v>
      </c>
      <c r="S4" s="690" t="s">
        <v>2741</v>
      </c>
      <c r="T4" s="690" t="s">
        <v>2741</v>
      </c>
      <c r="U4" s="873" t="s">
        <v>2744</v>
      </c>
      <c r="V4" s="690" t="s">
        <v>2741</v>
      </c>
      <c r="W4" s="690" t="s">
        <v>2741</v>
      </c>
      <c r="X4" s="690" t="s">
        <v>2741</v>
      </c>
      <c r="Y4" s="690" t="s">
        <v>2741</v>
      </c>
      <c r="Z4" s="690" t="s">
        <v>2741</v>
      </c>
      <c r="AA4" s="690" t="s">
        <v>2741</v>
      </c>
      <c r="AB4" s="690" t="s">
        <v>2741</v>
      </c>
      <c r="AC4" s="690" t="s">
        <v>2741</v>
      </c>
      <c r="AD4" s="690" t="s">
        <v>2741</v>
      </c>
      <c r="AE4" s="874" t="s">
        <v>2745</v>
      </c>
      <c r="AF4" s="690" t="s">
        <v>2741</v>
      </c>
      <c r="AG4" s="690" t="s">
        <v>2741</v>
      </c>
      <c r="AH4" s="690" t="s">
        <v>2741</v>
      </c>
      <c r="AI4" s="690" t="s">
        <v>2741</v>
      </c>
      <c r="AJ4" s="690" t="s">
        <v>2741</v>
      </c>
      <c r="AK4" s="690" t="s">
        <v>2741</v>
      </c>
      <c r="AL4" s="874" t="s">
        <v>2746</v>
      </c>
      <c r="AM4" s="690" t="s">
        <v>2744</v>
      </c>
      <c r="AN4" s="690" t="s">
        <v>2744</v>
      </c>
      <c r="AO4" s="690" t="s">
        <v>2741</v>
      </c>
      <c r="AP4" s="874" t="s">
        <v>2747</v>
      </c>
      <c r="AQ4" s="690" t="s">
        <v>2741</v>
      </c>
      <c r="AR4" s="690" t="s">
        <v>2741</v>
      </c>
      <c r="AS4" s="874" t="s">
        <v>2747</v>
      </c>
      <c r="AT4" s="817" t="s">
        <v>2741</v>
      </c>
      <c r="AU4" s="690" t="s">
        <v>2741</v>
      </c>
      <c r="AV4" s="690" t="s">
        <v>2741</v>
      </c>
      <c r="AW4" s="690" t="s">
        <v>2741</v>
      </c>
      <c r="AX4" s="690" t="s">
        <v>2741</v>
      </c>
      <c r="AY4" s="874" t="s">
        <v>2747</v>
      </c>
      <c r="AZ4" s="690" t="s">
        <v>2741</v>
      </c>
      <c r="BA4" s="690" t="s">
        <v>2741</v>
      </c>
      <c r="BB4" s="690" t="s">
        <v>2741</v>
      </c>
      <c r="BC4" s="690" t="s">
        <v>2741</v>
      </c>
      <c r="BD4" s="690" t="s">
        <v>2741</v>
      </c>
      <c r="BE4" s="690" t="s">
        <v>2741</v>
      </c>
      <c r="BF4" s="690" t="s">
        <v>2741</v>
      </c>
      <c r="BG4" s="690" t="s">
        <v>2741</v>
      </c>
      <c r="BH4" s="690" t="s">
        <v>2741</v>
      </c>
      <c r="BI4" s="873" t="s">
        <v>2741</v>
      </c>
      <c r="BJ4" s="874" t="s">
        <v>2747</v>
      </c>
      <c r="BK4" s="873" t="s">
        <v>2748</v>
      </c>
      <c r="BL4" s="873" t="s">
        <v>2748</v>
      </c>
      <c r="BM4" s="873" t="s">
        <v>2748</v>
      </c>
      <c r="BN4" s="873" t="s">
        <v>2748</v>
      </c>
      <c r="BO4" s="873" t="s">
        <v>2748</v>
      </c>
      <c r="BP4" s="873" t="s">
        <v>2748</v>
      </c>
      <c r="BQ4" s="873" t="s">
        <v>2748</v>
      </c>
      <c r="BR4" s="690" t="s">
        <v>2741</v>
      </c>
      <c r="BS4" s="690" t="s">
        <v>2741</v>
      </c>
      <c r="BT4" s="690" t="s">
        <v>2741</v>
      </c>
      <c r="BU4" s="690" t="s">
        <v>2741</v>
      </c>
      <c r="BV4" s="690" t="s">
        <v>2741</v>
      </c>
      <c r="BW4" s="690" t="s">
        <v>2741</v>
      </c>
      <c r="BX4" s="690" t="s">
        <v>2741</v>
      </c>
      <c r="BY4" s="690" t="s">
        <v>2741</v>
      </c>
      <c r="BZ4" s="690" t="s">
        <v>2741</v>
      </c>
      <c r="CA4" s="690" t="s">
        <v>2741</v>
      </c>
      <c r="CB4" s="690" t="s">
        <v>2741</v>
      </c>
      <c r="CC4" s="690" t="s">
        <v>2741</v>
      </c>
      <c r="CD4" s="690" t="s">
        <v>2741</v>
      </c>
      <c r="CE4" s="690" t="s">
        <v>2741</v>
      </c>
      <c r="CF4" s="690" t="s">
        <v>2741</v>
      </c>
      <c r="CG4" s="690"/>
      <c r="CH4" s="690"/>
      <c r="CI4" s="874" t="s">
        <v>2749</v>
      </c>
      <c r="CJ4" s="690"/>
      <c r="CK4" s="690"/>
      <c r="CL4" s="690"/>
      <c r="CM4" s="690"/>
      <c r="CN4" s="690"/>
      <c r="CO4" s="690"/>
      <c r="CP4" s="690"/>
      <c r="CQ4" s="690"/>
      <c r="CR4" s="690"/>
      <c r="CS4" s="690" t="s">
        <v>2741</v>
      </c>
    </row>
    <row r="5" ht="15.75" customHeight="1">
      <c r="A5" s="870" t="s">
        <v>1810</v>
      </c>
      <c r="B5" s="871" t="s">
        <v>2741</v>
      </c>
      <c r="C5" s="690" t="s">
        <v>2741</v>
      </c>
      <c r="D5" s="690" t="s">
        <v>2741</v>
      </c>
      <c r="E5" s="690" t="s">
        <v>2741</v>
      </c>
      <c r="F5" s="690" t="s">
        <v>2741</v>
      </c>
      <c r="G5" s="690" t="s">
        <v>2741</v>
      </c>
      <c r="H5" s="690" t="s">
        <v>2741</v>
      </c>
      <c r="I5" s="690" t="s">
        <v>2741</v>
      </c>
      <c r="J5" s="690" t="s">
        <v>2741</v>
      </c>
      <c r="K5" s="690" t="s">
        <v>2741</v>
      </c>
      <c r="L5" s="690" t="s">
        <v>2748</v>
      </c>
      <c r="M5" s="690" t="s">
        <v>2748</v>
      </c>
      <c r="N5" s="690" t="s">
        <v>2748</v>
      </c>
      <c r="O5" s="690" t="s">
        <v>2748</v>
      </c>
      <c r="P5" s="873" t="s">
        <v>2748</v>
      </c>
      <c r="Q5" s="690" t="s">
        <v>2741</v>
      </c>
      <c r="R5" s="690" t="s">
        <v>2741</v>
      </c>
      <c r="S5" s="690" t="s">
        <v>2741</v>
      </c>
      <c r="T5" s="690" t="s">
        <v>2741</v>
      </c>
      <c r="U5" s="873" t="s">
        <v>2741</v>
      </c>
      <c r="V5" s="690" t="s">
        <v>2741</v>
      </c>
      <c r="W5" s="690" t="s">
        <v>2741</v>
      </c>
      <c r="X5" s="690" t="s">
        <v>2741</v>
      </c>
      <c r="Y5" s="690" t="s">
        <v>2741</v>
      </c>
      <c r="Z5" s="690" t="s">
        <v>2741</v>
      </c>
      <c r="AA5" s="690" t="s">
        <v>2741</v>
      </c>
      <c r="AB5" s="690" t="s">
        <v>2741</v>
      </c>
      <c r="AC5" s="690" t="s">
        <v>2741</v>
      </c>
      <c r="AD5" s="690" t="s">
        <v>2741</v>
      </c>
      <c r="AE5" s="875"/>
      <c r="AF5" s="690" t="s">
        <v>2741</v>
      </c>
      <c r="AG5" s="690" t="s">
        <v>2741</v>
      </c>
      <c r="AH5" s="690" t="s">
        <v>2741</v>
      </c>
      <c r="AI5" s="690" t="s">
        <v>2741</v>
      </c>
      <c r="AJ5" s="690" t="s">
        <v>2741</v>
      </c>
      <c r="AK5" s="690" t="s">
        <v>2741</v>
      </c>
      <c r="AL5" s="875"/>
      <c r="AM5" s="690" t="s">
        <v>2741</v>
      </c>
      <c r="AN5" s="690" t="s">
        <v>2741</v>
      </c>
      <c r="AO5" s="690" t="s">
        <v>2741</v>
      </c>
      <c r="AP5" s="875"/>
      <c r="AQ5" s="690" t="s">
        <v>2748</v>
      </c>
      <c r="AR5" s="690" t="s">
        <v>2748</v>
      </c>
      <c r="AS5" s="875"/>
      <c r="AT5" s="690" t="s">
        <v>2748</v>
      </c>
      <c r="AU5" s="690" t="s">
        <v>2748</v>
      </c>
      <c r="AV5" s="690" t="s">
        <v>2748</v>
      </c>
      <c r="AW5" s="690" t="s">
        <v>2748</v>
      </c>
      <c r="AX5" s="690" t="s">
        <v>2748</v>
      </c>
      <c r="AY5" s="875"/>
      <c r="AZ5" s="690" t="s">
        <v>2748</v>
      </c>
      <c r="BA5" s="690" t="s">
        <v>2741</v>
      </c>
      <c r="BB5" s="690" t="s">
        <v>2741</v>
      </c>
      <c r="BC5" s="690" t="s">
        <v>2741</v>
      </c>
      <c r="BD5" s="690" t="s">
        <v>2741</v>
      </c>
      <c r="BE5" s="690" t="s">
        <v>2741</v>
      </c>
      <c r="BF5" s="690" t="s">
        <v>2741</v>
      </c>
      <c r="BG5" s="690" t="s">
        <v>2741</v>
      </c>
      <c r="BH5" s="690" t="s">
        <v>2741</v>
      </c>
      <c r="BI5" s="873" t="s">
        <v>2741</v>
      </c>
      <c r="BJ5" s="875"/>
      <c r="BK5" s="873" t="s">
        <v>2741</v>
      </c>
      <c r="BL5" s="873" t="s">
        <v>2741</v>
      </c>
      <c r="BM5" s="690" t="s">
        <v>2741</v>
      </c>
      <c r="BN5" s="873" t="s">
        <v>2741</v>
      </c>
      <c r="BO5" s="690" t="s">
        <v>2741</v>
      </c>
      <c r="BP5" s="690" t="s">
        <v>2741</v>
      </c>
      <c r="BQ5" s="690" t="s">
        <v>2741</v>
      </c>
      <c r="BR5" s="690" t="s">
        <v>2741</v>
      </c>
      <c r="BS5" s="690" t="s">
        <v>2741</v>
      </c>
      <c r="BT5" s="690" t="s">
        <v>2741</v>
      </c>
      <c r="BU5" s="690" t="s">
        <v>2741</v>
      </c>
      <c r="BV5" s="690" t="s">
        <v>2741</v>
      </c>
      <c r="BW5" s="690" t="s">
        <v>2741</v>
      </c>
      <c r="BX5" s="690" t="s">
        <v>2741</v>
      </c>
      <c r="BY5" s="690" t="s">
        <v>2741</v>
      </c>
      <c r="BZ5" s="690" t="s">
        <v>2741</v>
      </c>
      <c r="CA5" s="690" t="s">
        <v>2741</v>
      </c>
      <c r="CB5" s="690" t="s">
        <v>2741</v>
      </c>
      <c r="CC5" s="690" t="s">
        <v>2741</v>
      </c>
      <c r="CD5" s="690" t="s">
        <v>2741</v>
      </c>
      <c r="CE5" s="690" t="s">
        <v>2741</v>
      </c>
      <c r="CF5" s="690" t="s">
        <v>2741</v>
      </c>
      <c r="CG5" s="690"/>
      <c r="CH5" s="690"/>
      <c r="CI5" s="875"/>
      <c r="CJ5" s="690"/>
      <c r="CK5" s="690"/>
      <c r="CL5" s="690"/>
      <c r="CM5" s="690"/>
      <c r="CN5" s="690"/>
      <c r="CO5" s="690"/>
      <c r="CP5" s="690"/>
      <c r="CQ5" s="690"/>
      <c r="CR5" s="690"/>
      <c r="CS5" s="690" t="s">
        <v>2741</v>
      </c>
    </row>
    <row r="6">
      <c r="A6" s="870" t="s">
        <v>1835</v>
      </c>
      <c r="B6" s="871" t="s">
        <v>2741</v>
      </c>
      <c r="C6" s="690" t="s">
        <v>2741</v>
      </c>
      <c r="D6" s="690" t="s">
        <v>2741</v>
      </c>
      <c r="E6" s="690" t="s">
        <v>2741</v>
      </c>
      <c r="F6" s="690" t="s">
        <v>2741</v>
      </c>
      <c r="G6" s="690" t="s">
        <v>2741</v>
      </c>
      <c r="H6" s="690" t="s">
        <v>2741</v>
      </c>
      <c r="I6" s="690" t="s">
        <v>2741</v>
      </c>
      <c r="J6" s="690" t="s">
        <v>2741</v>
      </c>
      <c r="K6" s="876" t="s">
        <v>2750</v>
      </c>
      <c r="L6" s="690" t="s">
        <v>2741</v>
      </c>
      <c r="M6" s="690" t="s">
        <v>2741</v>
      </c>
      <c r="N6" s="690" t="s">
        <v>2741</v>
      </c>
      <c r="O6" s="690" t="s">
        <v>2743</v>
      </c>
      <c r="P6" s="873" t="s">
        <v>2741</v>
      </c>
      <c r="Q6" s="690" t="s">
        <v>2741</v>
      </c>
      <c r="R6" s="690" t="s">
        <v>2741</v>
      </c>
      <c r="S6" s="690" t="s">
        <v>2741</v>
      </c>
      <c r="T6" s="690" t="s">
        <v>2741</v>
      </c>
      <c r="U6" s="873" t="s">
        <v>2741</v>
      </c>
      <c r="V6" s="690" t="s">
        <v>2741</v>
      </c>
      <c r="W6" s="690" t="s">
        <v>2741</v>
      </c>
      <c r="X6" s="690" t="s">
        <v>2741</v>
      </c>
      <c r="Y6" s="690" t="s">
        <v>2741</v>
      </c>
      <c r="Z6" s="690" t="s">
        <v>2741</v>
      </c>
      <c r="AA6" s="690" t="s">
        <v>2741</v>
      </c>
      <c r="AB6" s="690" t="s">
        <v>2741</v>
      </c>
      <c r="AC6" s="690" t="s">
        <v>2741</v>
      </c>
      <c r="AD6" s="690" t="s">
        <v>2741</v>
      </c>
      <c r="AE6" s="875"/>
      <c r="AF6" s="690" t="s">
        <v>2741</v>
      </c>
      <c r="AG6" s="690" t="s">
        <v>2741</v>
      </c>
      <c r="AH6" s="690" t="s">
        <v>2741</v>
      </c>
      <c r="AI6" s="690" t="s">
        <v>2741</v>
      </c>
      <c r="AJ6" s="690" t="s">
        <v>2741</v>
      </c>
      <c r="AK6" s="690" t="s">
        <v>2741</v>
      </c>
      <c r="AL6" s="875"/>
      <c r="AM6" s="690" t="s">
        <v>2741</v>
      </c>
      <c r="AN6" s="690" t="s">
        <v>2741</v>
      </c>
      <c r="AO6" s="690" t="s">
        <v>2741</v>
      </c>
      <c r="AP6" s="875"/>
      <c r="AQ6" s="690" t="s">
        <v>2741</v>
      </c>
      <c r="AR6" s="690" t="s">
        <v>2741</v>
      </c>
      <c r="AS6" s="875"/>
      <c r="AT6" s="690" t="s">
        <v>2741</v>
      </c>
      <c r="AU6" s="690" t="s">
        <v>2741</v>
      </c>
      <c r="AV6" s="690" t="s">
        <v>2741</v>
      </c>
      <c r="AW6" s="690" t="s">
        <v>2741</v>
      </c>
      <c r="AX6" s="690" t="s">
        <v>2741</v>
      </c>
      <c r="AY6" s="875"/>
      <c r="AZ6" s="690" t="s">
        <v>2741</v>
      </c>
      <c r="BA6" s="690" t="s">
        <v>2741</v>
      </c>
      <c r="BB6" s="690" t="s">
        <v>2741</v>
      </c>
      <c r="BC6" s="690" t="s">
        <v>2741</v>
      </c>
      <c r="BD6" s="690" t="s">
        <v>2741</v>
      </c>
      <c r="BE6" s="690" t="s">
        <v>2741</v>
      </c>
      <c r="BF6" s="690" t="s">
        <v>2741</v>
      </c>
      <c r="BG6" s="690" t="s">
        <v>2741</v>
      </c>
      <c r="BH6" s="690" t="s">
        <v>2741</v>
      </c>
      <c r="BI6" s="873" t="s">
        <v>2741</v>
      </c>
      <c r="BJ6" s="875"/>
      <c r="BK6" s="873" t="s">
        <v>2741</v>
      </c>
      <c r="BL6" s="873" t="s">
        <v>2741</v>
      </c>
      <c r="BM6" s="690" t="s">
        <v>2751</v>
      </c>
      <c r="BN6" s="873" t="s">
        <v>2741</v>
      </c>
      <c r="BO6" s="690" t="s">
        <v>2741</v>
      </c>
      <c r="BP6" s="690" t="s">
        <v>2741</v>
      </c>
      <c r="BQ6" s="690" t="s">
        <v>2741</v>
      </c>
      <c r="BR6" s="690" t="s">
        <v>2741</v>
      </c>
      <c r="BS6" s="690" t="s">
        <v>2741</v>
      </c>
      <c r="BT6" s="690" t="s">
        <v>2741</v>
      </c>
      <c r="BU6" s="690" t="s">
        <v>2741</v>
      </c>
      <c r="BV6" s="690" t="s">
        <v>2741</v>
      </c>
      <c r="BW6" s="690" t="s">
        <v>2741</v>
      </c>
      <c r="BX6" s="690" t="s">
        <v>2741</v>
      </c>
      <c r="BY6" s="690" t="s">
        <v>2741</v>
      </c>
      <c r="BZ6" s="690" t="s">
        <v>2741</v>
      </c>
      <c r="CA6" s="690" t="s">
        <v>2741</v>
      </c>
      <c r="CB6" s="690" t="s">
        <v>2741</v>
      </c>
      <c r="CC6" s="690" t="s">
        <v>2741</v>
      </c>
      <c r="CD6" s="690" t="s">
        <v>2741</v>
      </c>
      <c r="CE6" s="690" t="s">
        <v>2741</v>
      </c>
      <c r="CF6" s="690" t="s">
        <v>2741</v>
      </c>
      <c r="CG6" s="690"/>
      <c r="CH6" s="690"/>
      <c r="CI6" s="875"/>
      <c r="CJ6" s="690"/>
      <c r="CK6" s="690"/>
      <c r="CL6" s="690"/>
      <c r="CM6" s="690"/>
      <c r="CN6" s="690"/>
      <c r="CO6" s="690"/>
      <c r="CP6" s="690"/>
      <c r="CQ6" s="690"/>
      <c r="CR6" s="690"/>
      <c r="CS6" s="690" t="s">
        <v>2741</v>
      </c>
    </row>
    <row r="7" ht="15.75" hidden="1" customHeight="1">
      <c r="A7" s="870" t="s">
        <v>2752</v>
      </c>
      <c r="B7" s="871" t="s">
        <v>2741</v>
      </c>
      <c r="C7" s="690" t="s">
        <v>2741</v>
      </c>
      <c r="D7" s="690" t="s">
        <v>2741</v>
      </c>
      <c r="E7" s="690" t="s">
        <v>2741</v>
      </c>
      <c r="F7" s="690" t="s">
        <v>2741</v>
      </c>
      <c r="G7" s="690" t="s">
        <v>2741</v>
      </c>
      <c r="H7" s="690" t="s">
        <v>2741</v>
      </c>
      <c r="I7" s="690" t="s">
        <v>2741</v>
      </c>
      <c r="J7" s="690" t="s">
        <v>2741</v>
      </c>
      <c r="K7" s="690" t="s">
        <v>2741</v>
      </c>
      <c r="L7" s="876" t="s">
        <v>2750</v>
      </c>
      <c r="M7" s="690" t="s">
        <v>2741</v>
      </c>
      <c r="N7" s="690" t="s">
        <v>2741</v>
      </c>
      <c r="O7" s="690" t="s">
        <v>2743</v>
      </c>
      <c r="P7" s="873" t="s">
        <v>2741</v>
      </c>
      <c r="Q7" s="690" t="s">
        <v>2741</v>
      </c>
      <c r="R7" s="690" t="s">
        <v>2741</v>
      </c>
      <c r="S7" s="690" t="s">
        <v>2741</v>
      </c>
      <c r="T7" s="690" t="s">
        <v>2741</v>
      </c>
      <c r="U7" s="873" t="s">
        <v>2753</v>
      </c>
      <c r="V7" s="690" t="s">
        <v>2741</v>
      </c>
      <c r="W7" s="690" t="s">
        <v>2741</v>
      </c>
      <c r="X7" s="690" t="s">
        <v>2741</v>
      </c>
      <c r="Y7" s="690" t="s">
        <v>2741</v>
      </c>
      <c r="Z7" s="690" t="s">
        <v>2744</v>
      </c>
      <c r="AA7" s="690" t="s">
        <v>2741</v>
      </c>
      <c r="AB7" s="690" t="s">
        <v>2741</v>
      </c>
      <c r="AC7" s="690" t="s">
        <v>2741</v>
      </c>
      <c r="AD7" s="690" t="s">
        <v>2741</v>
      </c>
      <c r="AE7" s="875"/>
      <c r="AF7" s="690" t="s">
        <v>2741</v>
      </c>
      <c r="AG7" s="690" t="s">
        <v>2741</v>
      </c>
      <c r="AH7" s="690" t="s">
        <v>2741</v>
      </c>
      <c r="AI7" s="690" t="s">
        <v>2741</v>
      </c>
      <c r="AJ7" s="690" t="s">
        <v>2741</v>
      </c>
      <c r="AK7" s="690" t="s">
        <v>2741</v>
      </c>
      <c r="AL7" s="875"/>
      <c r="AM7" s="690" t="s">
        <v>2741</v>
      </c>
      <c r="AN7" s="690" t="s">
        <v>2741</v>
      </c>
      <c r="AO7" s="690" t="s">
        <v>2741</v>
      </c>
      <c r="AP7" s="875"/>
      <c r="AQ7" s="690" t="s">
        <v>2741</v>
      </c>
      <c r="AR7" s="690" t="s">
        <v>2741</v>
      </c>
      <c r="AS7" s="875"/>
      <c r="AT7" s="690" t="s">
        <v>2741</v>
      </c>
      <c r="AU7" s="690" t="s">
        <v>2744</v>
      </c>
      <c r="AV7" s="690" t="s">
        <v>2741</v>
      </c>
      <c r="AW7" s="690" t="s">
        <v>2741</v>
      </c>
      <c r="AX7" s="690" t="s">
        <v>2741</v>
      </c>
      <c r="AY7" s="875"/>
      <c r="AZ7" s="690" t="s">
        <v>2741</v>
      </c>
      <c r="BA7" s="690" t="s">
        <v>2741</v>
      </c>
      <c r="BB7" s="690" t="s">
        <v>2741</v>
      </c>
      <c r="BC7" s="690" t="s">
        <v>2741</v>
      </c>
      <c r="BD7" s="690" t="s">
        <v>2741</v>
      </c>
      <c r="BE7" s="690" t="s">
        <v>2741</v>
      </c>
      <c r="BF7" s="690" t="s">
        <v>2741</v>
      </c>
      <c r="BG7" s="690" t="s">
        <v>2741</v>
      </c>
      <c r="BH7" s="690" t="s">
        <v>2741</v>
      </c>
      <c r="BI7" s="873" t="s">
        <v>2741</v>
      </c>
      <c r="BJ7" s="875"/>
      <c r="BK7" s="873" t="s">
        <v>2741</v>
      </c>
      <c r="BL7" s="873" t="s">
        <v>2741</v>
      </c>
      <c r="BM7" s="690" t="s">
        <v>2741</v>
      </c>
      <c r="BN7" s="873" t="s">
        <v>2741</v>
      </c>
      <c r="BO7" s="690" t="s">
        <v>2744</v>
      </c>
      <c r="BP7" s="690"/>
      <c r="BQ7" s="690"/>
      <c r="BR7" s="690"/>
      <c r="BS7" s="690"/>
      <c r="BT7" s="690"/>
      <c r="BU7" s="690" t="s">
        <v>2741</v>
      </c>
      <c r="BV7" s="690" t="s">
        <v>2741</v>
      </c>
      <c r="BW7" s="690" t="s">
        <v>2741</v>
      </c>
      <c r="BX7" s="690" t="s">
        <v>2741</v>
      </c>
      <c r="BY7" s="690"/>
      <c r="BZ7" s="690"/>
      <c r="CA7" s="690"/>
      <c r="CB7" s="690"/>
      <c r="CC7" s="690"/>
      <c r="CD7" s="690"/>
      <c r="CE7" s="690"/>
      <c r="CF7" s="690"/>
      <c r="CG7" s="690"/>
      <c r="CH7" s="690"/>
      <c r="CI7" s="875"/>
      <c r="CJ7" s="690"/>
      <c r="CK7" s="690"/>
      <c r="CL7" s="690"/>
      <c r="CM7" s="690"/>
      <c r="CN7" s="690"/>
      <c r="CO7" s="690"/>
      <c r="CP7" s="690"/>
      <c r="CQ7" s="690"/>
      <c r="CR7" s="690"/>
      <c r="CS7" s="690"/>
    </row>
    <row r="8" ht="15.75" hidden="1" customHeight="1">
      <c r="A8" s="870" t="s">
        <v>2754</v>
      </c>
      <c r="B8" s="871" t="s">
        <v>2741</v>
      </c>
      <c r="C8" s="690" t="s">
        <v>2741</v>
      </c>
      <c r="D8" s="690" t="s">
        <v>2741</v>
      </c>
      <c r="E8" s="690" t="s">
        <v>2741</v>
      </c>
      <c r="F8" s="690" t="s">
        <v>2741</v>
      </c>
      <c r="G8" s="690" t="s">
        <v>2741</v>
      </c>
      <c r="H8" s="690" t="s">
        <v>2741</v>
      </c>
      <c r="I8" s="690" t="s">
        <v>2741</v>
      </c>
      <c r="J8" s="690" t="s">
        <v>2741</v>
      </c>
      <c r="K8" s="690" t="s">
        <v>2741</v>
      </c>
      <c r="L8" s="690" t="s">
        <v>2744</v>
      </c>
      <c r="M8" s="690" t="s">
        <v>2741</v>
      </c>
      <c r="N8" s="690" t="s">
        <v>2741</v>
      </c>
      <c r="O8" s="690" t="s">
        <v>2743</v>
      </c>
      <c r="P8" s="873" t="s">
        <v>2741</v>
      </c>
      <c r="Q8" s="690" t="s">
        <v>2741</v>
      </c>
      <c r="R8" s="690" t="s">
        <v>2741</v>
      </c>
      <c r="S8" s="690" t="s">
        <v>2741</v>
      </c>
      <c r="T8" s="690" t="s">
        <v>2741</v>
      </c>
      <c r="U8" s="873" t="s">
        <v>2741</v>
      </c>
      <c r="V8" s="690" t="s">
        <v>2741</v>
      </c>
      <c r="W8" s="690" t="s">
        <v>2755</v>
      </c>
      <c r="X8" s="690" t="s">
        <v>2741</v>
      </c>
      <c r="Y8" s="690" t="s">
        <v>2741</v>
      </c>
      <c r="Z8" s="690" t="s">
        <v>2741</v>
      </c>
      <c r="AA8" s="690" t="s">
        <v>2741</v>
      </c>
      <c r="AB8" s="690" t="s">
        <v>2744</v>
      </c>
      <c r="AC8" s="690" t="s">
        <v>2741</v>
      </c>
      <c r="AD8" s="690" t="s">
        <v>2741</v>
      </c>
      <c r="AE8" s="875"/>
      <c r="AF8" s="690" t="s">
        <v>2741</v>
      </c>
      <c r="AG8" s="690" t="s">
        <v>2741</v>
      </c>
      <c r="AH8" s="690" t="s">
        <v>2741</v>
      </c>
      <c r="AI8" s="690" t="s">
        <v>2741</v>
      </c>
      <c r="AJ8" s="690" t="s">
        <v>2741</v>
      </c>
      <c r="AK8" s="690" t="s">
        <v>2741</v>
      </c>
      <c r="AL8" s="875"/>
      <c r="AM8" s="690" t="s">
        <v>2741</v>
      </c>
      <c r="AN8" s="690" t="s">
        <v>2744</v>
      </c>
      <c r="AO8" s="690" t="s">
        <v>2741</v>
      </c>
      <c r="AP8" s="875"/>
      <c r="AQ8" s="690" t="s">
        <v>2741</v>
      </c>
      <c r="AR8" s="690" t="s">
        <v>2741</v>
      </c>
      <c r="AS8" s="875"/>
      <c r="AT8" s="690" t="s">
        <v>2741</v>
      </c>
      <c r="AU8" s="690" t="s">
        <v>2741</v>
      </c>
      <c r="AV8" s="690" t="s">
        <v>2741</v>
      </c>
      <c r="AW8" s="690" t="s">
        <v>2741</v>
      </c>
      <c r="AX8" s="690" t="s">
        <v>2741</v>
      </c>
      <c r="AY8" s="875"/>
      <c r="AZ8" s="690" t="s">
        <v>2741</v>
      </c>
      <c r="BA8" s="690" t="s">
        <v>2741</v>
      </c>
      <c r="BB8" s="690" t="s">
        <v>2741</v>
      </c>
      <c r="BC8" s="690" t="s">
        <v>2741</v>
      </c>
      <c r="BD8" s="690" t="s">
        <v>2741</v>
      </c>
      <c r="BE8" s="690" t="s">
        <v>2741</v>
      </c>
      <c r="BF8" s="690" t="s">
        <v>2741</v>
      </c>
      <c r="BG8" s="690" t="s">
        <v>2756</v>
      </c>
      <c r="BH8" s="690" t="s">
        <v>2741</v>
      </c>
      <c r="BI8" s="873" t="s">
        <v>2741</v>
      </c>
      <c r="BJ8" s="875"/>
      <c r="BK8" s="873" t="s">
        <v>2741</v>
      </c>
      <c r="BL8" s="873" t="s">
        <v>2741</v>
      </c>
      <c r="BM8" s="690" t="s">
        <v>2741</v>
      </c>
      <c r="BN8" s="873" t="s">
        <v>2741</v>
      </c>
      <c r="BO8" s="690" t="s">
        <v>2741</v>
      </c>
      <c r="BP8" s="690" t="s">
        <v>2741</v>
      </c>
      <c r="BQ8" s="690" t="s">
        <v>2741</v>
      </c>
      <c r="BR8" s="690" t="s">
        <v>2741</v>
      </c>
      <c r="BS8" s="690" t="s">
        <v>2741</v>
      </c>
      <c r="BT8" s="690" t="s">
        <v>2741</v>
      </c>
      <c r="BU8" s="690" t="s">
        <v>2741</v>
      </c>
      <c r="BV8" s="690" t="s">
        <v>2741</v>
      </c>
      <c r="BW8" s="690" t="s">
        <v>2741</v>
      </c>
      <c r="BX8" s="690" t="s">
        <v>2757</v>
      </c>
      <c r="BY8" s="690"/>
      <c r="BZ8" s="690"/>
      <c r="CA8" s="690"/>
      <c r="CB8" s="690"/>
      <c r="CC8" s="690"/>
      <c r="CD8" s="690"/>
      <c r="CE8" s="690"/>
      <c r="CF8" s="690"/>
      <c r="CG8" s="690"/>
      <c r="CH8" s="690"/>
      <c r="CI8" s="875"/>
      <c r="CJ8" s="690"/>
      <c r="CK8" s="690"/>
      <c r="CL8" s="690"/>
      <c r="CM8" s="690"/>
      <c r="CN8" s="690"/>
      <c r="CO8" s="690"/>
      <c r="CP8" s="690"/>
      <c r="CQ8" s="690"/>
      <c r="CR8" s="690"/>
      <c r="CS8" s="690"/>
    </row>
    <row r="9">
      <c r="A9" s="870" t="s">
        <v>1931</v>
      </c>
      <c r="B9" s="871" t="s">
        <v>2741</v>
      </c>
      <c r="C9" s="690" t="s">
        <v>2741</v>
      </c>
      <c r="D9" s="690" t="s">
        <v>2741</v>
      </c>
      <c r="E9" s="690" t="s">
        <v>2741</v>
      </c>
      <c r="F9" s="690" t="s">
        <v>2741</v>
      </c>
      <c r="G9" s="690" t="s">
        <v>2741</v>
      </c>
      <c r="H9" s="690" t="s">
        <v>2741</v>
      </c>
      <c r="I9" s="690" t="s">
        <v>2741</v>
      </c>
      <c r="J9" s="690" t="s">
        <v>2741</v>
      </c>
      <c r="K9" s="690" t="s">
        <v>2741</v>
      </c>
      <c r="L9" s="690" t="s">
        <v>2741</v>
      </c>
      <c r="M9" s="690" t="s">
        <v>2741</v>
      </c>
      <c r="N9" s="690" t="s">
        <v>2741</v>
      </c>
      <c r="O9" s="876" t="s">
        <v>2750</v>
      </c>
      <c r="P9" s="873" t="s">
        <v>2741</v>
      </c>
      <c r="Q9" s="690" t="s">
        <v>2741</v>
      </c>
      <c r="R9" s="690" t="s">
        <v>2741</v>
      </c>
      <c r="S9" s="690" t="s">
        <v>2741</v>
      </c>
      <c r="T9" s="690" t="s">
        <v>2741</v>
      </c>
      <c r="U9" s="873" t="s">
        <v>2741</v>
      </c>
      <c r="V9" s="690" t="s">
        <v>2741</v>
      </c>
      <c r="W9" s="690" t="s">
        <v>2741</v>
      </c>
      <c r="X9" s="690" t="s">
        <v>2741</v>
      </c>
      <c r="Y9" s="690" t="s">
        <v>2741</v>
      </c>
      <c r="Z9" s="690" t="s">
        <v>2741</v>
      </c>
      <c r="AA9" s="690" t="s">
        <v>2741</v>
      </c>
      <c r="AB9" s="690" t="s">
        <v>2741</v>
      </c>
      <c r="AC9" s="690" t="s">
        <v>2741</v>
      </c>
      <c r="AD9" s="690" t="s">
        <v>2741</v>
      </c>
      <c r="AE9" s="875"/>
      <c r="AF9" s="690" t="s">
        <v>2741</v>
      </c>
      <c r="AG9" s="690" t="s">
        <v>2741</v>
      </c>
      <c r="AH9" s="690" t="s">
        <v>2741</v>
      </c>
      <c r="AI9" s="690" t="s">
        <v>2741</v>
      </c>
      <c r="AJ9" s="690" t="s">
        <v>2741</v>
      </c>
      <c r="AK9" s="690" t="s">
        <v>2741</v>
      </c>
      <c r="AL9" s="875"/>
      <c r="AM9" s="690" t="s">
        <v>2741</v>
      </c>
      <c r="AN9" s="690" t="s">
        <v>2741</v>
      </c>
      <c r="AO9" s="690" t="s">
        <v>2741</v>
      </c>
      <c r="AP9" s="875"/>
      <c r="AQ9" s="690" t="s">
        <v>2741</v>
      </c>
      <c r="AR9" s="690" t="s">
        <v>2741</v>
      </c>
      <c r="AS9" s="875"/>
      <c r="AT9" s="690" t="s">
        <v>2741</v>
      </c>
      <c r="AU9" s="690" t="s">
        <v>2741</v>
      </c>
      <c r="AV9" s="690" t="s">
        <v>2741</v>
      </c>
      <c r="AW9" s="690" t="s">
        <v>2741</v>
      </c>
      <c r="AX9" s="690" t="s">
        <v>2741</v>
      </c>
      <c r="AY9" s="875"/>
      <c r="AZ9" s="690" t="s">
        <v>2741</v>
      </c>
      <c r="BA9" s="690" t="s">
        <v>2741</v>
      </c>
      <c r="BB9" s="690" t="s">
        <v>2741</v>
      </c>
      <c r="BC9" s="690" t="s">
        <v>2741</v>
      </c>
      <c r="BD9" s="690" t="s">
        <v>2741</v>
      </c>
      <c r="BE9" s="690" t="s">
        <v>2741</v>
      </c>
      <c r="BF9" s="690" t="s">
        <v>2741</v>
      </c>
      <c r="BG9" s="690" t="s">
        <v>2741</v>
      </c>
      <c r="BH9" s="690" t="s">
        <v>2741</v>
      </c>
      <c r="BI9" s="873" t="s">
        <v>2741</v>
      </c>
      <c r="BJ9" s="875"/>
      <c r="BK9" s="873" t="s">
        <v>2741</v>
      </c>
      <c r="BL9" s="873" t="s">
        <v>2741</v>
      </c>
      <c r="BM9" s="690" t="s">
        <v>2741</v>
      </c>
      <c r="BN9" s="873" t="s">
        <v>2741</v>
      </c>
      <c r="BO9" s="690" t="s">
        <v>2741</v>
      </c>
      <c r="BP9" s="690" t="s">
        <v>2741</v>
      </c>
      <c r="BQ9" s="690" t="s">
        <v>2741</v>
      </c>
      <c r="BR9" s="690" t="s">
        <v>2741</v>
      </c>
      <c r="BS9" s="690" t="s">
        <v>2741</v>
      </c>
      <c r="BT9" s="690" t="s">
        <v>2741</v>
      </c>
      <c r="BU9" s="690" t="s">
        <v>2741</v>
      </c>
      <c r="BV9" s="690" t="s">
        <v>2741</v>
      </c>
      <c r="BW9" s="690" t="s">
        <v>2741</v>
      </c>
      <c r="BX9" s="690" t="s">
        <v>2741</v>
      </c>
      <c r="BY9" s="690" t="s">
        <v>2741</v>
      </c>
      <c r="BZ9" s="690" t="s">
        <v>2741</v>
      </c>
      <c r="CA9" s="690" t="s">
        <v>2741</v>
      </c>
      <c r="CB9" s="690" t="s">
        <v>2741</v>
      </c>
      <c r="CC9" s="690" t="s">
        <v>2741</v>
      </c>
      <c r="CD9" s="690" t="s">
        <v>2741</v>
      </c>
      <c r="CE9" s="690" t="s">
        <v>2741</v>
      </c>
      <c r="CF9" s="690" t="s">
        <v>2741</v>
      </c>
      <c r="CG9" s="690"/>
      <c r="CH9" s="690"/>
      <c r="CI9" s="875"/>
      <c r="CJ9" s="690"/>
      <c r="CK9" s="690"/>
      <c r="CL9" s="690"/>
      <c r="CM9" s="690"/>
      <c r="CN9" s="690"/>
      <c r="CO9" s="690"/>
      <c r="CP9" s="690"/>
      <c r="CQ9" s="690"/>
      <c r="CR9" s="690"/>
      <c r="CS9" s="690" t="s">
        <v>2741</v>
      </c>
    </row>
    <row r="10">
      <c r="A10" s="870" t="s">
        <v>2758</v>
      </c>
      <c r="B10" s="871" t="s">
        <v>2741</v>
      </c>
      <c r="C10" s="690" t="s">
        <v>2741</v>
      </c>
      <c r="D10" s="690" t="s">
        <v>2741</v>
      </c>
      <c r="E10" s="690" t="s">
        <v>2741</v>
      </c>
      <c r="F10" s="690" t="s">
        <v>2741</v>
      </c>
      <c r="G10" s="690" t="s">
        <v>2741</v>
      </c>
      <c r="H10" s="690" t="s">
        <v>2741</v>
      </c>
      <c r="I10" s="690" t="s">
        <v>2744</v>
      </c>
      <c r="J10" s="690" t="s">
        <v>2741</v>
      </c>
      <c r="K10" s="690" t="s">
        <v>2744</v>
      </c>
      <c r="L10" s="690" t="s">
        <v>2741</v>
      </c>
      <c r="M10" s="690" t="s">
        <v>2741</v>
      </c>
      <c r="N10" s="690" t="s">
        <v>2744</v>
      </c>
      <c r="O10" s="690" t="s">
        <v>2743</v>
      </c>
      <c r="P10" s="873" t="s">
        <v>2744</v>
      </c>
      <c r="Q10" s="690" t="s">
        <v>2744</v>
      </c>
      <c r="R10" s="690" t="s">
        <v>2741</v>
      </c>
      <c r="S10" s="690" t="s">
        <v>2741</v>
      </c>
      <c r="T10" s="690" t="s">
        <v>2741</v>
      </c>
      <c r="U10" s="873" t="s">
        <v>2744</v>
      </c>
      <c r="V10" s="690" t="s">
        <v>2741</v>
      </c>
      <c r="W10" s="690" t="s">
        <v>2741</v>
      </c>
      <c r="X10" s="690" t="s">
        <v>2741</v>
      </c>
      <c r="Y10" s="690" t="s">
        <v>2741</v>
      </c>
      <c r="Z10" s="690" t="s">
        <v>2741</v>
      </c>
      <c r="AA10" s="690" t="s">
        <v>2741</v>
      </c>
      <c r="AB10" s="690" t="s">
        <v>2741</v>
      </c>
      <c r="AC10" s="690" t="s">
        <v>2741</v>
      </c>
      <c r="AD10" s="690" t="s">
        <v>2741</v>
      </c>
      <c r="AE10" s="875"/>
      <c r="AF10" s="690" t="s">
        <v>2741</v>
      </c>
      <c r="AG10" s="690" t="s">
        <v>2741</v>
      </c>
      <c r="AH10" s="690" t="s">
        <v>2741</v>
      </c>
      <c r="AI10" s="690" t="s">
        <v>2741</v>
      </c>
      <c r="AJ10" s="690" t="s">
        <v>2741</v>
      </c>
      <c r="AK10" s="690" t="s">
        <v>2744</v>
      </c>
      <c r="AL10" s="875"/>
      <c r="AM10" s="690" t="s">
        <v>2744</v>
      </c>
      <c r="AN10" s="690" t="s">
        <v>2741</v>
      </c>
      <c r="AO10" s="690" t="s">
        <v>2741</v>
      </c>
      <c r="AP10" s="875"/>
      <c r="AQ10" s="690" t="s">
        <v>2741</v>
      </c>
      <c r="AR10" s="690" t="s">
        <v>2741</v>
      </c>
      <c r="AS10" s="875"/>
      <c r="AT10" s="690" t="s">
        <v>2741</v>
      </c>
      <c r="AU10" s="690" t="s">
        <v>2741</v>
      </c>
      <c r="AV10" s="690" t="s">
        <v>2741</v>
      </c>
      <c r="AW10" s="690" t="s">
        <v>2741</v>
      </c>
      <c r="AX10" s="690" t="s">
        <v>2741</v>
      </c>
      <c r="AY10" s="875"/>
      <c r="AZ10" s="690" t="s">
        <v>2741</v>
      </c>
      <c r="BA10" s="690" t="s">
        <v>2744</v>
      </c>
      <c r="BB10" s="690" t="s">
        <v>2744</v>
      </c>
      <c r="BC10" s="690" t="s">
        <v>2744</v>
      </c>
      <c r="BD10" s="690" t="s">
        <v>2744</v>
      </c>
      <c r="BE10" s="690" t="s">
        <v>2744</v>
      </c>
      <c r="BF10" s="690" t="s">
        <v>2741</v>
      </c>
      <c r="BG10" s="690" t="s">
        <v>2741</v>
      </c>
      <c r="BH10" s="690" t="s">
        <v>2741</v>
      </c>
      <c r="BI10" s="873" t="s">
        <v>2741</v>
      </c>
      <c r="BJ10" s="875"/>
      <c r="BK10" s="873" t="s">
        <v>2741</v>
      </c>
      <c r="BL10" s="873" t="s">
        <v>2741</v>
      </c>
      <c r="BM10" s="690" t="s">
        <v>2741</v>
      </c>
      <c r="BN10" s="873" t="s">
        <v>2741</v>
      </c>
      <c r="BO10" s="690" t="s">
        <v>2741</v>
      </c>
      <c r="BP10" s="690" t="s">
        <v>2741</v>
      </c>
      <c r="BQ10" s="690" t="s">
        <v>2741</v>
      </c>
      <c r="BR10" s="690" t="s">
        <v>2741</v>
      </c>
      <c r="BS10" s="690" t="s">
        <v>2741</v>
      </c>
      <c r="BT10" s="690" t="s">
        <v>2741</v>
      </c>
      <c r="BU10" s="690" t="s">
        <v>2741</v>
      </c>
      <c r="BV10" s="690" t="s">
        <v>2741</v>
      </c>
      <c r="BW10" s="690" t="s">
        <v>2744</v>
      </c>
      <c r="BX10" s="690" t="s">
        <v>2741</v>
      </c>
      <c r="BY10" s="690" t="s">
        <v>2741</v>
      </c>
      <c r="BZ10" s="690" t="s">
        <v>2741</v>
      </c>
      <c r="CA10" s="690" t="s">
        <v>2741</v>
      </c>
      <c r="CB10" s="690" t="s">
        <v>2741</v>
      </c>
      <c r="CC10" s="690" t="s">
        <v>2741</v>
      </c>
      <c r="CD10" s="690" t="s">
        <v>2741</v>
      </c>
      <c r="CE10" s="690" t="s">
        <v>2741</v>
      </c>
      <c r="CF10" s="690" t="s">
        <v>2741</v>
      </c>
      <c r="CG10" s="690"/>
      <c r="CH10" s="690"/>
      <c r="CI10" s="875"/>
      <c r="CJ10" s="690"/>
      <c r="CK10" s="690"/>
      <c r="CL10" s="690"/>
      <c r="CM10" s="690"/>
      <c r="CN10" s="690"/>
      <c r="CO10" s="690"/>
      <c r="CP10" s="690"/>
      <c r="CQ10" s="690"/>
      <c r="CR10" s="690"/>
      <c r="CS10" s="690" t="s">
        <v>2741</v>
      </c>
    </row>
    <row r="11">
      <c r="A11" s="870" t="s">
        <v>2759</v>
      </c>
      <c r="B11" s="871" t="s">
        <v>2741</v>
      </c>
      <c r="C11" s="690" t="s">
        <v>2741</v>
      </c>
      <c r="D11" s="690" t="s">
        <v>2741</v>
      </c>
      <c r="E11" s="690" t="s">
        <v>2741</v>
      </c>
      <c r="F11" s="690" t="s">
        <v>2741</v>
      </c>
      <c r="G11" s="690" t="s">
        <v>2741</v>
      </c>
      <c r="H11" s="690" t="s">
        <v>2741</v>
      </c>
      <c r="I11" s="690" t="s">
        <v>2741</v>
      </c>
      <c r="J11" s="690" t="s">
        <v>2760</v>
      </c>
      <c r="K11" s="690" t="s">
        <v>2744</v>
      </c>
      <c r="L11" s="690" t="s">
        <v>2741</v>
      </c>
      <c r="M11" s="690" t="s">
        <v>2744</v>
      </c>
      <c r="N11" s="690" t="s">
        <v>2741</v>
      </c>
      <c r="O11" s="690" t="s">
        <v>2743</v>
      </c>
      <c r="P11" s="873" t="s">
        <v>2741</v>
      </c>
      <c r="Q11" s="690" t="s">
        <v>2741</v>
      </c>
      <c r="R11" s="690" t="s">
        <v>2741</v>
      </c>
      <c r="S11" s="690" t="s">
        <v>2744</v>
      </c>
      <c r="T11" s="690" t="s">
        <v>2744</v>
      </c>
      <c r="U11" s="873" t="s">
        <v>2744</v>
      </c>
      <c r="V11" s="690" t="s">
        <v>2741</v>
      </c>
      <c r="W11" s="690" t="s">
        <v>2741</v>
      </c>
      <c r="X11" s="690" t="s">
        <v>2741</v>
      </c>
      <c r="Y11" s="690" t="s">
        <v>2741</v>
      </c>
      <c r="Z11" s="690" t="s">
        <v>2741</v>
      </c>
      <c r="AA11" s="690" t="s">
        <v>2741</v>
      </c>
      <c r="AB11" s="690" t="s">
        <v>2741</v>
      </c>
      <c r="AC11" s="690" t="s">
        <v>2741</v>
      </c>
      <c r="AD11" s="690" t="s">
        <v>2744</v>
      </c>
      <c r="AE11" s="875"/>
      <c r="AF11" s="690" t="s">
        <v>2741</v>
      </c>
      <c r="AG11" s="690" t="s">
        <v>2741</v>
      </c>
      <c r="AH11" s="690" t="s">
        <v>2741</v>
      </c>
      <c r="AI11" s="690" t="s">
        <v>2741</v>
      </c>
      <c r="AJ11" s="690" t="s">
        <v>2741</v>
      </c>
      <c r="AK11" s="690" t="s">
        <v>2741</v>
      </c>
      <c r="AL11" s="875"/>
      <c r="AM11" s="690" t="s">
        <v>2741</v>
      </c>
      <c r="AN11" s="690" t="s">
        <v>2741</v>
      </c>
      <c r="AO11" s="690" t="s">
        <v>2741</v>
      </c>
      <c r="AP11" s="875"/>
      <c r="AQ11" s="690" t="s">
        <v>2741</v>
      </c>
      <c r="AR11" s="690" t="s">
        <v>2741</v>
      </c>
      <c r="AS11" s="875"/>
      <c r="AT11" s="690" t="s">
        <v>2741</v>
      </c>
      <c r="AU11" s="690" t="s">
        <v>2744</v>
      </c>
      <c r="AV11" s="690" t="s">
        <v>2744</v>
      </c>
      <c r="AW11" s="690" t="s">
        <v>2741</v>
      </c>
      <c r="AX11" s="690" t="s">
        <v>2741</v>
      </c>
      <c r="AY11" s="875"/>
      <c r="AZ11" s="690" t="s">
        <v>2744</v>
      </c>
      <c r="BA11" s="690" t="s">
        <v>2741</v>
      </c>
      <c r="BB11" s="690" t="s">
        <v>2741</v>
      </c>
      <c r="BC11" s="690" t="s">
        <v>2741</v>
      </c>
      <c r="BD11" s="690" t="s">
        <v>2741</v>
      </c>
      <c r="BE11" s="690" t="s">
        <v>2744</v>
      </c>
      <c r="BF11" s="690" t="s">
        <v>2744</v>
      </c>
      <c r="BG11" s="690" t="s">
        <v>2744</v>
      </c>
      <c r="BH11" s="690" t="s">
        <v>2741</v>
      </c>
      <c r="BI11" s="873" t="s">
        <v>2741</v>
      </c>
      <c r="BJ11" s="875"/>
      <c r="BK11" s="873" t="s">
        <v>2741</v>
      </c>
      <c r="BL11" s="873" t="s">
        <v>2741</v>
      </c>
      <c r="BM11" s="690" t="s">
        <v>2741</v>
      </c>
      <c r="BN11" s="873" t="s">
        <v>2741</v>
      </c>
      <c r="BO11" s="690" t="s">
        <v>2744</v>
      </c>
      <c r="BP11" s="690" t="s">
        <v>2741</v>
      </c>
      <c r="BQ11" s="690" t="s">
        <v>2741</v>
      </c>
      <c r="BR11" s="690" t="s">
        <v>2761</v>
      </c>
      <c r="BS11" s="690" t="s">
        <v>2741</v>
      </c>
      <c r="BT11" s="690" t="s">
        <v>2741</v>
      </c>
      <c r="BU11" s="690" t="s">
        <v>2741</v>
      </c>
      <c r="BV11" s="690" t="s">
        <v>2741</v>
      </c>
      <c r="BW11" s="690" t="s">
        <v>2741</v>
      </c>
      <c r="BX11" s="690" t="s">
        <v>2741</v>
      </c>
      <c r="BY11" s="690" t="s">
        <v>2741</v>
      </c>
      <c r="BZ11" s="690" t="s">
        <v>2741</v>
      </c>
      <c r="CA11" s="690" t="s">
        <v>2741</v>
      </c>
      <c r="CB11" s="690" t="s">
        <v>2744</v>
      </c>
      <c r="CC11" s="690" t="s">
        <v>2744</v>
      </c>
      <c r="CD11" s="690" t="s">
        <v>2741</v>
      </c>
      <c r="CE11" s="690" t="s">
        <v>2741</v>
      </c>
      <c r="CF11" s="690" t="s">
        <v>2741</v>
      </c>
      <c r="CG11" s="690"/>
      <c r="CH11" s="690"/>
      <c r="CI11" s="875"/>
      <c r="CJ11" s="690"/>
      <c r="CK11" s="690"/>
      <c r="CL11" s="690"/>
      <c r="CM11" s="690"/>
      <c r="CN11" s="690"/>
      <c r="CO11" s="690"/>
      <c r="CP11" s="690"/>
      <c r="CQ11" s="690"/>
      <c r="CR11" s="690"/>
      <c r="CS11" s="690" t="s">
        <v>2741</v>
      </c>
    </row>
    <row r="12">
      <c r="A12" s="870" t="s">
        <v>1924</v>
      </c>
      <c r="B12" s="871" t="s">
        <v>2741</v>
      </c>
      <c r="C12" s="690" t="s">
        <v>2744</v>
      </c>
      <c r="D12" s="690" t="s">
        <v>2741</v>
      </c>
      <c r="E12" s="690" t="s">
        <v>2741</v>
      </c>
      <c r="F12" s="690" t="s">
        <v>2744</v>
      </c>
      <c r="G12" s="690" t="s">
        <v>2744</v>
      </c>
      <c r="H12" s="690" t="s">
        <v>2741</v>
      </c>
      <c r="I12" s="690" t="s">
        <v>2744</v>
      </c>
      <c r="J12" s="690" t="s">
        <v>2741</v>
      </c>
      <c r="K12" s="690" t="s">
        <v>2744</v>
      </c>
      <c r="L12" s="690" t="s">
        <v>2741</v>
      </c>
      <c r="M12" s="690" t="s">
        <v>2744</v>
      </c>
      <c r="N12" s="690" t="s">
        <v>2744</v>
      </c>
      <c r="O12" s="690" t="s">
        <v>2743</v>
      </c>
      <c r="P12" s="873" t="s">
        <v>2741</v>
      </c>
      <c r="Q12" s="690" t="s">
        <v>2744</v>
      </c>
      <c r="R12" s="690" t="s">
        <v>2744</v>
      </c>
      <c r="S12" s="690" t="s">
        <v>2744</v>
      </c>
      <c r="T12" s="690" t="s">
        <v>2744</v>
      </c>
      <c r="U12" s="873" t="s">
        <v>2744</v>
      </c>
      <c r="V12" s="690" t="s">
        <v>2744</v>
      </c>
      <c r="W12" s="690" t="s">
        <v>2741</v>
      </c>
      <c r="X12" s="690" t="s">
        <v>2744</v>
      </c>
      <c r="Y12" s="690" t="s">
        <v>2744</v>
      </c>
      <c r="Z12" s="690" t="s">
        <v>2741</v>
      </c>
      <c r="AA12" s="690" t="s">
        <v>2744</v>
      </c>
      <c r="AB12" s="690" t="s">
        <v>2744</v>
      </c>
      <c r="AC12" s="690" t="s">
        <v>2741</v>
      </c>
      <c r="AD12" s="690" t="s">
        <v>2744</v>
      </c>
      <c r="AE12" s="875"/>
      <c r="AF12" s="690" t="s">
        <v>2744</v>
      </c>
      <c r="AG12" s="690" t="s">
        <v>2744</v>
      </c>
      <c r="AH12" s="690" t="s">
        <v>2744</v>
      </c>
      <c r="AI12" s="690" t="s">
        <v>2744</v>
      </c>
      <c r="AJ12" s="690" t="s">
        <v>2741</v>
      </c>
      <c r="AK12" s="690" t="s">
        <v>2741</v>
      </c>
      <c r="AL12" s="875"/>
      <c r="AM12" s="690" t="s">
        <v>2744</v>
      </c>
      <c r="AN12" s="690" t="s">
        <v>2744</v>
      </c>
      <c r="AO12" s="690" t="s">
        <v>2744</v>
      </c>
      <c r="AP12" s="875"/>
      <c r="AQ12" s="690" t="s">
        <v>2744</v>
      </c>
      <c r="AR12" s="690" t="s">
        <v>2744</v>
      </c>
      <c r="AS12" s="875"/>
      <c r="AT12" s="690" t="s">
        <v>2744</v>
      </c>
      <c r="AU12" s="690" t="s">
        <v>2744</v>
      </c>
      <c r="AV12" s="690" t="s">
        <v>2741</v>
      </c>
      <c r="AW12" s="690" t="s">
        <v>2741</v>
      </c>
      <c r="AX12" s="690" t="s">
        <v>2744</v>
      </c>
      <c r="AY12" s="875"/>
      <c r="AZ12" s="690" t="s">
        <v>2744</v>
      </c>
      <c r="BA12" s="690" t="s">
        <v>2744</v>
      </c>
      <c r="BB12" s="690" t="s">
        <v>2744</v>
      </c>
      <c r="BC12" s="690" t="s">
        <v>2741</v>
      </c>
      <c r="BD12" s="690" t="s">
        <v>2744</v>
      </c>
      <c r="BE12" s="690" t="s">
        <v>2741</v>
      </c>
      <c r="BF12" s="690" t="s">
        <v>2744</v>
      </c>
      <c r="BG12" s="690" t="s">
        <v>2744</v>
      </c>
      <c r="BH12" s="690" t="s">
        <v>2741</v>
      </c>
      <c r="BI12" s="873" t="s">
        <v>2744</v>
      </c>
      <c r="BJ12" s="875"/>
      <c r="BK12" s="873" t="s">
        <v>2744</v>
      </c>
      <c r="BL12" s="873" t="s">
        <v>2744</v>
      </c>
      <c r="BM12" s="690" t="s">
        <v>2741</v>
      </c>
      <c r="BN12" s="873" t="s">
        <v>2744</v>
      </c>
      <c r="BO12" s="690" t="s">
        <v>2744</v>
      </c>
      <c r="BP12" s="690" t="s">
        <v>2744</v>
      </c>
      <c r="BQ12" s="690" t="s">
        <v>2744</v>
      </c>
      <c r="BR12" s="690" t="s">
        <v>2741</v>
      </c>
      <c r="BS12" s="690" t="s">
        <v>2744</v>
      </c>
      <c r="BT12" s="690" t="s">
        <v>2744</v>
      </c>
      <c r="BU12" s="690" t="s">
        <v>2741</v>
      </c>
      <c r="BV12" s="690" t="s">
        <v>2741</v>
      </c>
      <c r="BW12" s="690" t="s">
        <v>2744</v>
      </c>
      <c r="BX12" s="690" t="s">
        <v>2744</v>
      </c>
      <c r="BY12" s="690" t="s">
        <v>2741</v>
      </c>
      <c r="BZ12" s="690" t="s">
        <v>2744</v>
      </c>
      <c r="CA12" s="690" t="s">
        <v>2744</v>
      </c>
      <c r="CB12" s="690" t="s">
        <v>2741</v>
      </c>
      <c r="CC12" s="690" t="s">
        <v>2744</v>
      </c>
      <c r="CD12" s="690" t="s">
        <v>2744</v>
      </c>
      <c r="CE12" s="690" t="s">
        <v>2741</v>
      </c>
      <c r="CF12" s="690" t="s">
        <v>2744</v>
      </c>
      <c r="CG12" s="690"/>
      <c r="CH12" s="690"/>
      <c r="CI12" s="875"/>
      <c r="CJ12" s="690"/>
      <c r="CK12" s="690"/>
      <c r="CL12" s="690"/>
      <c r="CM12" s="690"/>
      <c r="CN12" s="690"/>
      <c r="CO12" s="690"/>
      <c r="CP12" s="690"/>
      <c r="CQ12" s="690"/>
      <c r="CR12" s="690"/>
      <c r="CS12" s="690" t="s">
        <v>2744</v>
      </c>
    </row>
    <row r="13">
      <c r="A13" s="870" t="s">
        <v>2110</v>
      </c>
      <c r="B13" s="871" t="s">
        <v>2741</v>
      </c>
      <c r="C13" s="690" t="s">
        <v>2744</v>
      </c>
      <c r="D13" s="690" t="s">
        <v>2744</v>
      </c>
      <c r="E13" s="690" t="s">
        <v>2744</v>
      </c>
      <c r="F13" s="690" t="s">
        <v>2744</v>
      </c>
      <c r="G13" s="690" t="s">
        <v>2744</v>
      </c>
      <c r="H13" s="690" t="s">
        <v>2744</v>
      </c>
      <c r="I13" s="690" t="s">
        <v>2744</v>
      </c>
      <c r="J13" s="690" t="s">
        <v>2741</v>
      </c>
      <c r="K13" s="690" t="s">
        <v>2744</v>
      </c>
      <c r="L13" s="690" t="s">
        <v>2744</v>
      </c>
      <c r="M13" s="690" t="s">
        <v>2741</v>
      </c>
      <c r="N13" s="690" t="s">
        <v>2744</v>
      </c>
      <c r="O13" s="690" t="s">
        <v>2743</v>
      </c>
      <c r="P13" s="873" t="s">
        <v>2744</v>
      </c>
      <c r="Q13" s="690" t="s">
        <v>2744</v>
      </c>
      <c r="R13" s="690" t="s">
        <v>2744</v>
      </c>
      <c r="S13" s="690" t="s">
        <v>2744</v>
      </c>
      <c r="T13" s="690" t="s">
        <v>2744</v>
      </c>
      <c r="U13" s="873" t="s">
        <v>2744</v>
      </c>
      <c r="V13" s="690" t="s">
        <v>2741</v>
      </c>
      <c r="W13" s="690" t="s">
        <v>2744</v>
      </c>
      <c r="X13" s="690" t="s">
        <v>2744</v>
      </c>
      <c r="Y13" s="690" t="s">
        <v>2744</v>
      </c>
      <c r="Z13" s="690" t="s">
        <v>2744</v>
      </c>
      <c r="AA13" s="690" t="s">
        <v>2744</v>
      </c>
      <c r="AB13" s="690" t="s">
        <v>2744</v>
      </c>
      <c r="AC13" s="690" t="s">
        <v>2741</v>
      </c>
      <c r="AD13" s="690" t="s">
        <v>2744</v>
      </c>
      <c r="AE13" s="803"/>
      <c r="AF13" s="690" t="s">
        <v>2744</v>
      </c>
      <c r="AG13" s="690" t="s">
        <v>2744</v>
      </c>
      <c r="AH13" s="690" t="s">
        <v>2744</v>
      </c>
      <c r="AI13" s="690" t="s">
        <v>2741</v>
      </c>
      <c r="AJ13" s="690" t="s">
        <v>2744</v>
      </c>
      <c r="AK13" s="690" t="s">
        <v>2744</v>
      </c>
      <c r="AL13" s="803"/>
      <c r="AM13" s="690" t="s">
        <v>2744</v>
      </c>
      <c r="AN13" s="690" t="s">
        <v>2744</v>
      </c>
      <c r="AO13" s="690" t="s">
        <v>2744</v>
      </c>
      <c r="AP13" s="803"/>
      <c r="AQ13" s="690" t="s">
        <v>2744</v>
      </c>
      <c r="AR13" s="690" t="s">
        <v>2744</v>
      </c>
      <c r="AS13" s="803"/>
      <c r="AT13" s="690" t="s">
        <v>2744</v>
      </c>
      <c r="AU13" s="690" t="s">
        <v>2744</v>
      </c>
      <c r="AV13" s="690" t="s">
        <v>2744</v>
      </c>
      <c r="AW13" s="690" t="s">
        <v>2744</v>
      </c>
      <c r="AX13" s="690" t="s">
        <v>2744</v>
      </c>
      <c r="AY13" s="803"/>
      <c r="AZ13" s="690" t="s">
        <v>2744</v>
      </c>
      <c r="BA13" s="690" t="s">
        <v>2744</v>
      </c>
      <c r="BB13" s="690" t="s">
        <v>2744</v>
      </c>
      <c r="BC13" s="690" t="s">
        <v>2744</v>
      </c>
      <c r="BD13" s="690" t="s">
        <v>2744</v>
      </c>
      <c r="BE13" s="690" t="s">
        <v>2744</v>
      </c>
      <c r="BF13" s="690" t="s">
        <v>2744</v>
      </c>
      <c r="BG13" s="690" t="s">
        <v>2744</v>
      </c>
      <c r="BH13" s="690" t="s">
        <v>2744</v>
      </c>
      <c r="BI13" s="873" t="s">
        <v>2744</v>
      </c>
      <c r="BJ13" s="803"/>
      <c r="BK13" s="873" t="s">
        <v>2744</v>
      </c>
      <c r="BL13" s="873" t="s">
        <v>2744</v>
      </c>
      <c r="BM13" s="690" t="s">
        <v>2744</v>
      </c>
      <c r="BN13" s="873" t="s">
        <v>2744</v>
      </c>
      <c r="BO13" s="690" t="s">
        <v>2744</v>
      </c>
      <c r="BP13" s="690" t="s">
        <v>2744</v>
      </c>
      <c r="BQ13" s="690" t="s">
        <v>2744</v>
      </c>
      <c r="BR13" s="690" t="s">
        <v>2761</v>
      </c>
      <c r="BS13" s="690" t="s">
        <v>2744</v>
      </c>
      <c r="BT13" s="690" t="s">
        <v>2744</v>
      </c>
      <c r="BU13" s="690" t="s">
        <v>2744</v>
      </c>
      <c r="BV13" s="690" t="s">
        <v>2744</v>
      </c>
      <c r="BW13" s="690" t="s">
        <v>2744</v>
      </c>
      <c r="BX13" s="690" t="s">
        <v>2744</v>
      </c>
      <c r="BY13" s="690" t="s">
        <v>2744</v>
      </c>
      <c r="BZ13" s="690" t="s">
        <v>2744</v>
      </c>
      <c r="CA13" s="690" t="s">
        <v>2744</v>
      </c>
      <c r="CB13" s="690" t="s">
        <v>2744</v>
      </c>
      <c r="CC13" s="690" t="s">
        <v>2744</v>
      </c>
      <c r="CD13" s="690" t="s">
        <v>2741</v>
      </c>
      <c r="CE13" s="690" t="s">
        <v>2741</v>
      </c>
      <c r="CF13" s="690" t="s">
        <v>2741</v>
      </c>
      <c r="CG13" s="690"/>
      <c r="CH13" s="690"/>
      <c r="CI13" s="803"/>
      <c r="CJ13" s="690"/>
      <c r="CK13" s="690"/>
      <c r="CL13" s="690"/>
      <c r="CM13" s="690"/>
      <c r="CN13" s="690"/>
      <c r="CO13" s="690"/>
      <c r="CP13" s="690"/>
      <c r="CQ13" s="690"/>
      <c r="CR13" s="690"/>
      <c r="CS13" s="690" t="s">
        <v>2744</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AE4:AE13"/>
    <mergeCell ref="AL4:AL13"/>
    <mergeCell ref="AP4:AP13"/>
    <mergeCell ref="AS4:AS13"/>
    <mergeCell ref="AY4:AY13"/>
    <mergeCell ref="BJ4:BJ13"/>
    <mergeCell ref="CI4:CI13"/>
  </mergeCells>
  <printOptions/>
  <pageMargins bottom="0.75" footer="0.0" header="0.0" left="0.7" right="0.7" top="0.75"/>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2" max="2" width="9.22"/>
    <col customWidth="1" min="3" max="3" width="7.33"/>
    <col customWidth="1" min="4" max="4" width="12.11"/>
    <col customWidth="1" min="5" max="5" width="11.78"/>
    <col customWidth="1" min="6" max="6" width="61.56"/>
  </cols>
  <sheetData>
    <row r="1">
      <c r="A1" s="877" t="s">
        <v>2762</v>
      </c>
      <c r="B1" s="878" t="s">
        <v>2763</v>
      </c>
      <c r="C1" s="878" t="s">
        <v>2764</v>
      </c>
      <c r="D1" s="878" t="s">
        <v>2765</v>
      </c>
      <c r="E1" s="878" t="s">
        <v>2766</v>
      </c>
      <c r="F1" s="879" t="s">
        <v>2767</v>
      </c>
    </row>
    <row r="2">
      <c r="A2" s="880">
        <v>45793.0</v>
      </c>
      <c r="B2" s="881">
        <v>0.38333333333333336</v>
      </c>
      <c r="C2" s="881">
        <v>0.4652777777777778</v>
      </c>
      <c r="D2" s="881">
        <f t="shared" ref="D2:D4" si="1">C2-B2</f>
        <v>0.08194444444</v>
      </c>
      <c r="E2" s="882" t="s">
        <v>2768</v>
      </c>
      <c r="F2" s="883" t="s">
        <v>2769</v>
      </c>
      <c r="G2" s="884"/>
      <c r="H2" s="884"/>
      <c r="I2" s="884"/>
      <c r="J2" s="884"/>
      <c r="K2" s="884"/>
      <c r="L2" s="884"/>
      <c r="M2" s="884"/>
      <c r="N2" s="884"/>
      <c r="O2" s="884"/>
      <c r="P2" s="884"/>
      <c r="Q2" s="884"/>
      <c r="R2" s="884"/>
      <c r="S2" s="884"/>
      <c r="T2" s="884"/>
      <c r="U2" s="884"/>
      <c r="V2" s="884"/>
      <c r="W2" s="884"/>
      <c r="X2" s="884"/>
      <c r="Y2" s="884"/>
      <c r="Z2" s="884"/>
      <c r="AA2" s="884"/>
    </row>
    <row r="3">
      <c r="A3" s="880">
        <v>45817.0</v>
      </c>
      <c r="B3" s="885">
        <v>0.4423611111111111</v>
      </c>
      <c r="C3" s="885">
        <v>0.45069444444444445</v>
      </c>
      <c r="D3" s="881">
        <f t="shared" si="1"/>
        <v>0.008333333333</v>
      </c>
      <c r="E3" s="886" t="s">
        <v>2768</v>
      </c>
      <c r="F3" s="887" t="s">
        <v>2770</v>
      </c>
    </row>
    <row r="4">
      <c r="A4" s="888">
        <v>45817.0</v>
      </c>
      <c r="B4" s="889">
        <v>0.6326388888888889</v>
      </c>
      <c r="C4" s="889">
        <v>0.6479166666666667</v>
      </c>
      <c r="D4" s="890">
        <f t="shared" si="1"/>
        <v>0.01527777778</v>
      </c>
      <c r="E4" s="891" t="s">
        <v>2768</v>
      </c>
      <c r="F4" s="892" t="s">
        <v>2771</v>
      </c>
    </row>
    <row r="5">
      <c r="A5" s="893"/>
      <c r="B5" s="894"/>
      <c r="C5" s="894"/>
      <c r="D5" s="894"/>
      <c r="E5" s="894"/>
      <c r="F5" s="895"/>
    </row>
    <row r="6">
      <c r="A6" s="893"/>
      <c r="B6" s="894"/>
      <c r="C6" s="894"/>
      <c r="D6" s="894"/>
      <c r="E6" s="894"/>
      <c r="F6" s="895"/>
    </row>
    <row r="7">
      <c r="A7" s="893"/>
      <c r="B7" s="894"/>
      <c r="C7" s="894"/>
      <c r="D7" s="894"/>
      <c r="E7" s="894"/>
      <c r="F7" s="895"/>
    </row>
    <row r="8">
      <c r="A8" s="893"/>
      <c r="B8" s="894"/>
      <c r="C8" s="894"/>
      <c r="D8" s="894"/>
      <c r="E8" s="894"/>
      <c r="F8" s="895"/>
    </row>
    <row r="9">
      <c r="A9" s="893"/>
      <c r="B9" s="894"/>
      <c r="C9" s="894"/>
      <c r="D9" s="894"/>
      <c r="E9" s="894"/>
      <c r="F9" s="895"/>
    </row>
    <row r="10">
      <c r="A10" s="893"/>
      <c r="B10" s="894"/>
      <c r="C10" s="894"/>
      <c r="D10" s="894"/>
      <c r="E10" s="894"/>
      <c r="F10" s="895"/>
    </row>
    <row r="11">
      <c r="A11" s="893"/>
      <c r="B11" s="894"/>
      <c r="C11" s="894"/>
      <c r="D11" s="894"/>
      <c r="E11" s="894"/>
      <c r="F11" s="895"/>
    </row>
    <row r="12">
      <c r="A12" s="893"/>
      <c r="B12" s="894"/>
      <c r="C12" s="894"/>
      <c r="D12" s="894"/>
      <c r="E12" s="894"/>
      <c r="F12" s="895"/>
    </row>
    <row r="13">
      <c r="A13" s="893"/>
      <c r="B13" s="894"/>
      <c r="C13" s="894"/>
      <c r="D13" s="894"/>
      <c r="E13" s="894"/>
      <c r="F13" s="895"/>
    </row>
    <row r="14">
      <c r="A14" s="893"/>
      <c r="B14" s="894"/>
      <c r="C14" s="894"/>
      <c r="D14" s="894"/>
      <c r="E14" s="894"/>
      <c r="F14" s="895"/>
    </row>
    <row r="15">
      <c r="B15" s="865"/>
      <c r="C15" s="865"/>
      <c r="D15" s="865"/>
      <c r="E15" s="865"/>
      <c r="F15" s="896"/>
    </row>
    <row r="16">
      <c r="B16" s="865"/>
      <c r="C16" s="865"/>
      <c r="D16" s="865"/>
      <c r="E16" s="865"/>
      <c r="F16" s="896"/>
    </row>
    <row r="17">
      <c r="B17" s="865"/>
      <c r="C17" s="865"/>
      <c r="D17" s="865"/>
      <c r="E17" s="865"/>
      <c r="F17" s="896"/>
    </row>
    <row r="18">
      <c r="B18" s="865"/>
      <c r="C18" s="865"/>
      <c r="D18" s="865"/>
      <c r="E18" s="865"/>
      <c r="F18" s="896"/>
    </row>
    <row r="19">
      <c r="B19" s="865"/>
      <c r="C19" s="865"/>
      <c r="D19" s="865"/>
      <c r="E19" s="865"/>
      <c r="F19" s="896"/>
    </row>
    <row r="20">
      <c r="B20" s="865"/>
      <c r="C20" s="865"/>
      <c r="D20" s="865"/>
      <c r="E20" s="865"/>
      <c r="F20" s="896"/>
    </row>
    <row r="21">
      <c r="B21" s="865"/>
      <c r="C21" s="865"/>
      <c r="D21" s="865"/>
      <c r="E21" s="865"/>
      <c r="F21" s="896"/>
    </row>
    <row r="22">
      <c r="B22" s="865"/>
      <c r="C22" s="865"/>
      <c r="D22" s="865"/>
      <c r="E22" s="865"/>
      <c r="F22" s="896"/>
    </row>
    <row r="23">
      <c r="B23" s="865"/>
      <c r="C23" s="865"/>
      <c r="D23" s="865"/>
      <c r="E23" s="865"/>
      <c r="F23" s="896"/>
    </row>
    <row r="24">
      <c r="B24" s="865"/>
      <c r="C24" s="865"/>
      <c r="D24" s="865"/>
      <c r="E24" s="865"/>
      <c r="F24" s="896"/>
    </row>
    <row r="25">
      <c r="B25" s="865"/>
      <c r="C25" s="865"/>
      <c r="D25" s="865"/>
      <c r="E25" s="865"/>
      <c r="F25" s="896"/>
    </row>
    <row r="26">
      <c r="B26" s="865"/>
      <c r="C26" s="865"/>
      <c r="D26" s="865"/>
      <c r="E26" s="865"/>
      <c r="F26" s="896"/>
    </row>
    <row r="27">
      <c r="B27" s="865"/>
      <c r="C27" s="865"/>
      <c r="D27" s="865"/>
      <c r="E27" s="865"/>
      <c r="F27" s="896"/>
    </row>
    <row r="28">
      <c r="B28" s="865"/>
      <c r="C28" s="865"/>
      <c r="D28" s="865"/>
      <c r="E28" s="865"/>
      <c r="F28" s="896"/>
    </row>
    <row r="29">
      <c r="B29" s="865"/>
      <c r="C29" s="865"/>
      <c r="D29" s="865"/>
      <c r="E29" s="865"/>
      <c r="F29" s="896"/>
    </row>
    <row r="30">
      <c r="B30" s="865"/>
      <c r="C30" s="865"/>
      <c r="D30" s="865"/>
      <c r="E30" s="865"/>
      <c r="F30" s="896"/>
    </row>
    <row r="31">
      <c r="B31" s="865"/>
      <c r="C31" s="865"/>
      <c r="D31" s="865"/>
      <c r="E31" s="865"/>
      <c r="F31" s="896"/>
    </row>
    <row r="32">
      <c r="B32" s="865"/>
      <c r="C32" s="865"/>
      <c r="D32" s="865"/>
      <c r="E32" s="865"/>
      <c r="F32" s="896"/>
    </row>
    <row r="33">
      <c r="B33" s="865"/>
      <c r="C33" s="865"/>
      <c r="D33" s="865"/>
      <c r="E33" s="865"/>
      <c r="F33" s="896"/>
    </row>
    <row r="34">
      <c r="B34" s="865"/>
      <c r="C34" s="865"/>
      <c r="D34" s="865"/>
      <c r="E34" s="865"/>
      <c r="F34" s="896"/>
    </row>
    <row r="35">
      <c r="B35" s="865"/>
      <c r="C35" s="865"/>
      <c r="D35" s="865"/>
      <c r="E35" s="865"/>
      <c r="F35" s="896"/>
    </row>
    <row r="36">
      <c r="B36" s="865"/>
      <c r="C36" s="865"/>
      <c r="D36" s="865"/>
      <c r="E36" s="865"/>
      <c r="F36" s="896"/>
    </row>
    <row r="37">
      <c r="B37" s="865"/>
      <c r="C37" s="865"/>
      <c r="D37" s="865"/>
      <c r="E37" s="865"/>
      <c r="F37" s="896"/>
    </row>
    <row r="38">
      <c r="B38" s="865"/>
      <c r="C38" s="865"/>
      <c r="D38" s="865"/>
      <c r="E38" s="865"/>
      <c r="F38" s="896"/>
    </row>
    <row r="39">
      <c r="B39" s="865"/>
      <c r="C39" s="865"/>
      <c r="D39" s="865"/>
      <c r="E39" s="865"/>
      <c r="F39" s="896"/>
    </row>
    <row r="40">
      <c r="B40" s="865"/>
      <c r="C40" s="865"/>
      <c r="D40" s="865"/>
      <c r="E40" s="865"/>
      <c r="F40" s="896"/>
    </row>
    <row r="41">
      <c r="B41" s="865"/>
      <c r="C41" s="865"/>
      <c r="D41" s="865"/>
      <c r="E41" s="865"/>
      <c r="F41" s="896"/>
    </row>
    <row r="42">
      <c r="B42" s="865"/>
      <c r="C42" s="865"/>
      <c r="D42" s="865"/>
      <c r="E42" s="865"/>
      <c r="F42" s="896"/>
    </row>
    <row r="43">
      <c r="B43" s="865"/>
      <c r="C43" s="865"/>
      <c r="D43" s="865"/>
      <c r="E43" s="865"/>
      <c r="F43" s="896"/>
    </row>
    <row r="44">
      <c r="B44" s="865"/>
      <c r="C44" s="865"/>
      <c r="D44" s="865"/>
      <c r="E44" s="865"/>
      <c r="F44" s="896"/>
    </row>
    <row r="45">
      <c r="B45" s="865"/>
      <c r="C45" s="865"/>
      <c r="D45" s="865"/>
      <c r="E45" s="865"/>
      <c r="F45" s="896"/>
    </row>
    <row r="46">
      <c r="B46" s="865"/>
      <c r="C46" s="865"/>
      <c r="D46" s="865"/>
      <c r="E46" s="865"/>
      <c r="F46" s="896"/>
    </row>
    <row r="47">
      <c r="B47" s="865"/>
      <c r="C47" s="865"/>
      <c r="D47" s="865"/>
      <c r="E47" s="865"/>
      <c r="F47" s="896"/>
    </row>
    <row r="48">
      <c r="B48" s="865"/>
      <c r="C48" s="865"/>
      <c r="D48" s="865"/>
      <c r="E48" s="865"/>
      <c r="F48" s="896"/>
    </row>
    <row r="49">
      <c r="B49" s="865"/>
      <c r="C49" s="865"/>
      <c r="D49" s="865"/>
      <c r="E49" s="865"/>
      <c r="F49" s="896"/>
    </row>
    <row r="50">
      <c r="B50" s="865"/>
      <c r="C50" s="865"/>
      <c r="D50" s="865"/>
      <c r="E50" s="865"/>
      <c r="F50" s="896"/>
    </row>
    <row r="51">
      <c r="B51" s="865"/>
      <c r="C51" s="865"/>
      <c r="D51" s="865"/>
      <c r="E51" s="865"/>
      <c r="F51" s="896"/>
    </row>
    <row r="52">
      <c r="B52" s="865"/>
      <c r="C52" s="865"/>
      <c r="D52" s="865"/>
      <c r="E52" s="865"/>
      <c r="F52" s="896"/>
    </row>
    <row r="53">
      <c r="B53" s="865"/>
      <c r="C53" s="865"/>
      <c r="D53" s="865"/>
      <c r="E53" s="865"/>
      <c r="F53" s="896"/>
    </row>
    <row r="54">
      <c r="B54" s="865"/>
      <c r="C54" s="865"/>
      <c r="D54" s="865"/>
      <c r="E54" s="865"/>
      <c r="F54" s="896"/>
    </row>
    <row r="55">
      <c r="B55" s="865"/>
      <c r="C55" s="865"/>
      <c r="D55" s="865"/>
      <c r="E55" s="865"/>
      <c r="F55" s="896"/>
    </row>
    <row r="56">
      <c r="B56" s="865"/>
      <c r="C56" s="865"/>
      <c r="D56" s="865"/>
      <c r="E56" s="865"/>
      <c r="F56" s="896"/>
    </row>
    <row r="57">
      <c r="B57" s="865"/>
      <c r="C57" s="865"/>
      <c r="D57" s="865"/>
      <c r="E57" s="865"/>
      <c r="F57" s="896"/>
    </row>
    <row r="58">
      <c r="B58" s="865"/>
      <c r="C58" s="865"/>
      <c r="D58" s="865"/>
      <c r="E58" s="865"/>
      <c r="F58" s="896"/>
    </row>
    <row r="59">
      <c r="B59" s="865"/>
      <c r="C59" s="865"/>
      <c r="D59" s="865"/>
      <c r="E59" s="865"/>
      <c r="F59" s="896"/>
    </row>
    <row r="60">
      <c r="B60" s="865"/>
      <c r="C60" s="865"/>
      <c r="D60" s="865"/>
      <c r="E60" s="865"/>
      <c r="F60" s="896"/>
    </row>
    <row r="61">
      <c r="B61" s="865"/>
      <c r="C61" s="865"/>
      <c r="D61" s="865"/>
      <c r="E61" s="865"/>
      <c r="F61" s="896"/>
    </row>
    <row r="62">
      <c r="B62" s="865"/>
      <c r="C62" s="865"/>
      <c r="D62" s="865"/>
      <c r="E62" s="865"/>
      <c r="F62" s="896"/>
    </row>
    <row r="63">
      <c r="B63" s="865"/>
      <c r="C63" s="865"/>
      <c r="D63" s="865"/>
      <c r="E63" s="865"/>
      <c r="F63" s="896"/>
    </row>
    <row r="64">
      <c r="B64" s="865"/>
      <c r="C64" s="865"/>
      <c r="D64" s="865"/>
      <c r="E64" s="865"/>
      <c r="F64" s="896"/>
    </row>
    <row r="65">
      <c r="B65" s="865"/>
      <c r="C65" s="865"/>
      <c r="D65" s="865"/>
      <c r="E65" s="865"/>
      <c r="F65" s="896"/>
    </row>
    <row r="66">
      <c r="B66" s="865"/>
      <c r="C66" s="865"/>
      <c r="D66" s="865"/>
      <c r="E66" s="865"/>
      <c r="F66" s="896"/>
    </row>
    <row r="67">
      <c r="B67" s="865"/>
      <c r="C67" s="865"/>
      <c r="D67" s="865"/>
      <c r="E67" s="865"/>
      <c r="F67" s="896"/>
    </row>
    <row r="68">
      <c r="B68" s="865"/>
      <c r="C68" s="865"/>
      <c r="D68" s="865"/>
      <c r="E68" s="865"/>
      <c r="F68" s="896"/>
    </row>
    <row r="69">
      <c r="B69" s="865"/>
      <c r="C69" s="865"/>
      <c r="D69" s="865"/>
      <c r="E69" s="865"/>
      <c r="F69" s="896"/>
    </row>
    <row r="70">
      <c r="B70" s="865"/>
      <c r="C70" s="865"/>
      <c r="D70" s="865"/>
      <c r="E70" s="865"/>
      <c r="F70" s="896"/>
    </row>
    <row r="71">
      <c r="B71" s="865"/>
      <c r="C71" s="865"/>
      <c r="D71" s="865"/>
      <c r="E71" s="865"/>
      <c r="F71" s="896"/>
    </row>
    <row r="72">
      <c r="B72" s="865"/>
      <c r="C72" s="865"/>
      <c r="D72" s="865"/>
      <c r="E72" s="865"/>
      <c r="F72" s="896"/>
    </row>
    <row r="73">
      <c r="B73" s="865"/>
      <c r="C73" s="865"/>
      <c r="D73" s="865"/>
      <c r="E73" s="865"/>
      <c r="F73" s="896"/>
    </row>
    <row r="74">
      <c r="B74" s="865"/>
      <c r="C74" s="865"/>
      <c r="D74" s="865"/>
      <c r="E74" s="865"/>
      <c r="F74" s="896"/>
    </row>
    <row r="75">
      <c r="B75" s="865"/>
      <c r="C75" s="865"/>
      <c r="D75" s="865"/>
      <c r="E75" s="865"/>
      <c r="F75" s="896"/>
    </row>
    <row r="76">
      <c r="B76" s="865"/>
      <c r="C76" s="865"/>
      <c r="D76" s="865"/>
      <c r="E76" s="865"/>
      <c r="F76" s="896"/>
    </row>
    <row r="77">
      <c r="B77" s="865"/>
      <c r="C77" s="865"/>
      <c r="D77" s="865"/>
      <c r="E77" s="865"/>
      <c r="F77" s="896"/>
    </row>
    <row r="78">
      <c r="B78" s="865"/>
      <c r="C78" s="865"/>
      <c r="D78" s="865"/>
      <c r="E78" s="865"/>
      <c r="F78" s="896"/>
    </row>
    <row r="79">
      <c r="B79" s="865"/>
      <c r="C79" s="865"/>
      <c r="D79" s="865"/>
      <c r="E79" s="865"/>
      <c r="F79" s="896"/>
    </row>
    <row r="80">
      <c r="B80" s="865"/>
      <c r="C80" s="865"/>
      <c r="D80" s="865"/>
      <c r="E80" s="865"/>
      <c r="F80" s="896"/>
    </row>
    <row r="81">
      <c r="B81" s="865"/>
      <c r="C81" s="865"/>
      <c r="D81" s="865"/>
      <c r="E81" s="865"/>
      <c r="F81" s="896"/>
    </row>
    <row r="82">
      <c r="B82" s="865"/>
      <c r="C82" s="865"/>
      <c r="D82" s="865"/>
      <c r="E82" s="865"/>
      <c r="F82" s="896"/>
    </row>
    <row r="83">
      <c r="B83" s="865"/>
      <c r="C83" s="865"/>
      <c r="D83" s="865"/>
      <c r="E83" s="865"/>
      <c r="F83" s="896"/>
    </row>
    <row r="84">
      <c r="B84" s="865"/>
      <c r="C84" s="865"/>
      <c r="D84" s="865"/>
      <c r="E84" s="865"/>
      <c r="F84" s="896"/>
    </row>
    <row r="85">
      <c r="B85" s="865"/>
      <c r="C85" s="865"/>
      <c r="D85" s="865"/>
      <c r="E85" s="865"/>
      <c r="F85" s="896"/>
    </row>
    <row r="86">
      <c r="B86" s="865"/>
      <c r="C86" s="865"/>
      <c r="D86" s="865"/>
      <c r="E86" s="865"/>
      <c r="F86" s="896"/>
    </row>
    <row r="87">
      <c r="B87" s="865"/>
      <c r="C87" s="865"/>
      <c r="D87" s="865"/>
      <c r="E87" s="865"/>
      <c r="F87" s="896"/>
    </row>
    <row r="88">
      <c r="B88" s="865"/>
      <c r="C88" s="865"/>
      <c r="D88" s="865"/>
      <c r="E88" s="865"/>
      <c r="F88" s="896"/>
    </row>
    <row r="89">
      <c r="B89" s="865"/>
      <c r="C89" s="865"/>
      <c r="D89" s="865"/>
      <c r="E89" s="865"/>
      <c r="F89" s="896"/>
    </row>
    <row r="90">
      <c r="B90" s="865"/>
      <c r="C90" s="865"/>
      <c r="D90" s="865"/>
      <c r="E90" s="865"/>
      <c r="F90" s="896"/>
    </row>
    <row r="91">
      <c r="B91" s="865"/>
      <c r="C91" s="865"/>
      <c r="D91" s="865"/>
      <c r="E91" s="865"/>
      <c r="F91" s="896"/>
    </row>
    <row r="92">
      <c r="B92" s="865"/>
      <c r="C92" s="865"/>
      <c r="D92" s="865"/>
      <c r="E92" s="865"/>
      <c r="F92" s="896"/>
    </row>
    <row r="93">
      <c r="B93" s="865"/>
      <c r="C93" s="865"/>
      <c r="D93" s="865"/>
      <c r="E93" s="865"/>
      <c r="F93" s="896"/>
    </row>
    <row r="94">
      <c r="B94" s="865"/>
      <c r="C94" s="865"/>
      <c r="D94" s="865"/>
      <c r="E94" s="865"/>
      <c r="F94" s="896"/>
    </row>
    <row r="95">
      <c r="B95" s="865"/>
      <c r="C95" s="865"/>
      <c r="D95" s="865"/>
      <c r="E95" s="865"/>
      <c r="F95" s="896"/>
    </row>
    <row r="96">
      <c r="B96" s="865"/>
      <c r="C96" s="865"/>
      <c r="D96" s="865"/>
      <c r="E96" s="865"/>
      <c r="F96" s="896"/>
    </row>
    <row r="97">
      <c r="B97" s="865"/>
      <c r="C97" s="865"/>
      <c r="D97" s="865"/>
      <c r="E97" s="865"/>
      <c r="F97" s="896"/>
    </row>
    <row r="98">
      <c r="B98" s="865"/>
      <c r="C98" s="865"/>
      <c r="D98" s="865"/>
      <c r="E98" s="865"/>
      <c r="F98" s="896"/>
    </row>
    <row r="99">
      <c r="B99" s="865"/>
      <c r="C99" s="865"/>
      <c r="D99" s="865"/>
      <c r="E99" s="865"/>
      <c r="F99" s="896"/>
    </row>
    <row r="100">
      <c r="B100" s="865"/>
      <c r="C100" s="865"/>
      <c r="D100" s="865"/>
      <c r="E100" s="865"/>
      <c r="F100" s="896"/>
    </row>
    <row r="101">
      <c r="B101" s="865"/>
      <c r="C101" s="865"/>
      <c r="D101" s="865"/>
      <c r="E101" s="865"/>
      <c r="F101" s="896"/>
    </row>
    <row r="102">
      <c r="B102" s="865"/>
      <c r="C102" s="865"/>
      <c r="D102" s="865"/>
      <c r="E102" s="865"/>
      <c r="F102" s="896"/>
    </row>
    <row r="103">
      <c r="B103" s="865"/>
      <c r="C103" s="865"/>
      <c r="D103" s="865"/>
      <c r="E103" s="865"/>
      <c r="F103" s="896"/>
    </row>
    <row r="104">
      <c r="B104" s="865"/>
      <c r="C104" s="865"/>
      <c r="D104" s="865"/>
      <c r="E104" s="865"/>
      <c r="F104" s="896"/>
    </row>
    <row r="105">
      <c r="B105" s="865"/>
      <c r="C105" s="865"/>
      <c r="D105" s="865"/>
      <c r="E105" s="865"/>
      <c r="F105" s="896"/>
    </row>
    <row r="106">
      <c r="B106" s="865"/>
      <c r="C106" s="865"/>
      <c r="D106" s="865"/>
      <c r="E106" s="865"/>
      <c r="F106" s="896"/>
    </row>
    <row r="107">
      <c r="B107" s="865"/>
      <c r="C107" s="865"/>
      <c r="D107" s="865"/>
      <c r="E107" s="865"/>
      <c r="F107" s="896"/>
    </row>
    <row r="108">
      <c r="B108" s="865"/>
      <c r="C108" s="865"/>
      <c r="D108" s="865"/>
      <c r="E108" s="865"/>
      <c r="F108" s="896"/>
    </row>
    <row r="109">
      <c r="B109" s="865"/>
      <c r="C109" s="865"/>
      <c r="D109" s="865"/>
      <c r="E109" s="865"/>
      <c r="F109" s="896"/>
    </row>
    <row r="110">
      <c r="B110" s="865"/>
      <c r="C110" s="865"/>
      <c r="D110" s="865"/>
      <c r="E110" s="865"/>
      <c r="F110" s="896"/>
    </row>
    <row r="111">
      <c r="B111" s="865"/>
      <c r="C111" s="865"/>
      <c r="D111" s="865"/>
      <c r="E111" s="865"/>
      <c r="F111" s="896"/>
    </row>
    <row r="112">
      <c r="B112" s="865"/>
      <c r="C112" s="865"/>
      <c r="D112" s="865"/>
      <c r="E112" s="865"/>
      <c r="F112" s="896"/>
    </row>
    <row r="113">
      <c r="B113" s="865"/>
      <c r="C113" s="865"/>
      <c r="D113" s="865"/>
      <c r="E113" s="865"/>
      <c r="F113" s="896"/>
    </row>
    <row r="114">
      <c r="B114" s="865"/>
      <c r="C114" s="865"/>
      <c r="D114" s="865"/>
      <c r="E114" s="865"/>
      <c r="F114" s="896"/>
    </row>
    <row r="115">
      <c r="B115" s="865"/>
      <c r="C115" s="865"/>
      <c r="D115" s="865"/>
      <c r="E115" s="865"/>
      <c r="F115" s="896"/>
    </row>
    <row r="116">
      <c r="B116" s="865"/>
      <c r="C116" s="865"/>
      <c r="D116" s="865"/>
      <c r="E116" s="865"/>
      <c r="F116" s="896"/>
    </row>
    <row r="117">
      <c r="B117" s="865"/>
      <c r="C117" s="865"/>
      <c r="D117" s="865"/>
      <c r="E117" s="865"/>
      <c r="F117" s="896"/>
    </row>
    <row r="118">
      <c r="B118" s="865"/>
      <c r="C118" s="865"/>
      <c r="D118" s="865"/>
      <c r="E118" s="865"/>
      <c r="F118" s="896"/>
    </row>
    <row r="119">
      <c r="B119" s="865"/>
      <c r="C119" s="865"/>
      <c r="D119" s="865"/>
      <c r="E119" s="865"/>
      <c r="F119" s="896"/>
    </row>
    <row r="120">
      <c r="B120" s="865"/>
      <c r="C120" s="865"/>
      <c r="D120" s="865"/>
      <c r="E120" s="865"/>
      <c r="F120" s="896"/>
    </row>
    <row r="121">
      <c r="B121" s="865"/>
      <c r="C121" s="865"/>
      <c r="D121" s="865"/>
      <c r="E121" s="865"/>
      <c r="F121" s="896"/>
    </row>
    <row r="122">
      <c r="B122" s="865"/>
      <c r="C122" s="865"/>
      <c r="D122" s="865"/>
      <c r="E122" s="865"/>
      <c r="F122" s="896"/>
    </row>
    <row r="123">
      <c r="B123" s="865"/>
      <c r="C123" s="865"/>
      <c r="D123" s="865"/>
      <c r="E123" s="865"/>
      <c r="F123" s="896"/>
    </row>
    <row r="124">
      <c r="B124" s="865"/>
      <c r="C124" s="865"/>
      <c r="D124" s="865"/>
      <c r="E124" s="865"/>
      <c r="F124" s="896"/>
    </row>
    <row r="125">
      <c r="B125" s="865"/>
      <c r="C125" s="865"/>
      <c r="D125" s="865"/>
      <c r="E125" s="865"/>
      <c r="F125" s="896"/>
    </row>
    <row r="126">
      <c r="B126" s="865"/>
      <c r="C126" s="865"/>
      <c r="D126" s="865"/>
      <c r="E126" s="865"/>
      <c r="F126" s="896"/>
    </row>
    <row r="127">
      <c r="B127" s="865"/>
      <c r="C127" s="865"/>
      <c r="D127" s="865"/>
      <c r="E127" s="865"/>
      <c r="F127" s="896"/>
    </row>
    <row r="128">
      <c r="B128" s="865"/>
      <c r="C128" s="865"/>
      <c r="D128" s="865"/>
      <c r="E128" s="865"/>
      <c r="F128" s="896"/>
    </row>
    <row r="129">
      <c r="B129" s="865"/>
      <c r="C129" s="865"/>
      <c r="D129" s="865"/>
      <c r="E129" s="865"/>
      <c r="F129" s="896"/>
    </row>
    <row r="130">
      <c r="B130" s="865"/>
      <c r="C130" s="865"/>
      <c r="D130" s="865"/>
      <c r="E130" s="865"/>
      <c r="F130" s="896"/>
    </row>
    <row r="131">
      <c r="B131" s="865"/>
      <c r="C131" s="865"/>
      <c r="D131" s="865"/>
      <c r="E131" s="865"/>
      <c r="F131" s="896"/>
    </row>
    <row r="132">
      <c r="B132" s="865"/>
      <c r="C132" s="865"/>
      <c r="D132" s="865"/>
      <c r="E132" s="865"/>
      <c r="F132" s="896"/>
    </row>
    <row r="133">
      <c r="B133" s="865"/>
      <c r="C133" s="865"/>
      <c r="D133" s="865"/>
      <c r="E133" s="865"/>
      <c r="F133" s="896"/>
    </row>
    <row r="134">
      <c r="B134" s="865"/>
      <c r="C134" s="865"/>
      <c r="D134" s="865"/>
      <c r="E134" s="865"/>
      <c r="F134" s="896"/>
    </row>
    <row r="135">
      <c r="B135" s="865"/>
      <c r="C135" s="865"/>
      <c r="D135" s="865"/>
      <c r="E135" s="865"/>
      <c r="F135" s="896"/>
    </row>
    <row r="136">
      <c r="B136" s="865"/>
      <c r="C136" s="865"/>
      <c r="D136" s="865"/>
      <c r="E136" s="865"/>
      <c r="F136" s="896"/>
    </row>
    <row r="137">
      <c r="B137" s="865"/>
      <c r="C137" s="865"/>
      <c r="D137" s="865"/>
      <c r="E137" s="865"/>
      <c r="F137" s="896"/>
    </row>
    <row r="138">
      <c r="B138" s="865"/>
      <c r="C138" s="865"/>
      <c r="D138" s="865"/>
      <c r="E138" s="865"/>
      <c r="F138" s="896"/>
    </row>
    <row r="139">
      <c r="B139" s="865"/>
      <c r="C139" s="865"/>
      <c r="D139" s="865"/>
      <c r="E139" s="865"/>
      <c r="F139" s="896"/>
    </row>
    <row r="140">
      <c r="B140" s="865"/>
      <c r="C140" s="865"/>
      <c r="D140" s="865"/>
      <c r="E140" s="865"/>
      <c r="F140" s="896"/>
    </row>
    <row r="141">
      <c r="B141" s="865"/>
      <c r="C141" s="865"/>
      <c r="D141" s="865"/>
      <c r="E141" s="865"/>
      <c r="F141" s="896"/>
    </row>
    <row r="142">
      <c r="B142" s="865"/>
      <c r="C142" s="865"/>
      <c r="D142" s="865"/>
      <c r="E142" s="865"/>
      <c r="F142" s="896"/>
    </row>
    <row r="143">
      <c r="B143" s="865"/>
      <c r="C143" s="865"/>
      <c r="D143" s="865"/>
      <c r="E143" s="865"/>
      <c r="F143" s="896"/>
    </row>
    <row r="144">
      <c r="B144" s="865"/>
      <c r="C144" s="865"/>
      <c r="D144" s="865"/>
      <c r="E144" s="865"/>
      <c r="F144" s="896"/>
    </row>
    <row r="145">
      <c r="B145" s="865"/>
      <c r="C145" s="865"/>
      <c r="D145" s="865"/>
      <c r="E145" s="865"/>
      <c r="F145" s="896"/>
    </row>
    <row r="146">
      <c r="B146" s="865"/>
      <c r="C146" s="865"/>
      <c r="D146" s="865"/>
      <c r="E146" s="865"/>
      <c r="F146" s="896"/>
    </row>
    <row r="147">
      <c r="B147" s="865"/>
      <c r="C147" s="865"/>
      <c r="D147" s="865"/>
      <c r="E147" s="865"/>
      <c r="F147" s="896"/>
    </row>
    <row r="148">
      <c r="B148" s="865"/>
      <c r="C148" s="865"/>
      <c r="D148" s="865"/>
      <c r="E148" s="865"/>
      <c r="F148" s="896"/>
    </row>
    <row r="149">
      <c r="B149" s="865"/>
      <c r="C149" s="865"/>
      <c r="D149" s="865"/>
      <c r="E149" s="865"/>
      <c r="F149" s="896"/>
    </row>
    <row r="150">
      <c r="B150" s="865"/>
      <c r="C150" s="865"/>
      <c r="D150" s="865"/>
      <c r="E150" s="865"/>
      <c r="F150" s="896"/>
    </row>
    <row r="151">
      <c r="B151" s="865"/>
      <c r="C151" s="865"/>
      <c r="D151" s="865"/>
      <c r="E151" s="865"/>
      <c r="F151" s="896"/>
    </row>
    <row r="152">
      <c r="B152" s="865"/>
      <c r="C152" s="865"/>
      <c r="D152" s="865"/>
      <c r="E152" s="865"/>
      <c r="F152" s="896"/>
    </row>
    <row r="153">
      <c r="B153" s="865"/>
      <c r="C153" s="865"/>
      <c r="D153" s="865"/>
      <c r="E153" s="865"/>
      <c r="F153" s="896"/>
    </row>
    <row r="154">
      <c r="B154" s="865"/>
      <c r="C154" s="865"/>
      <c r="D154" s="865"/>
      <c r="E154" s="865"/>
      <c r="F154" s="896"/>
    </row>
    <row r="155">
      <c r="B155" s="865"/>
      <c r="C155" s="865"/>
      <c r="D155" s="865"/>
      <c r="E155" s="865"/>
      <c r="F155" s="896"/>
    </row>
    <row r="156">
      <c r="B156" s="865"/>
      <c r="C156" s="865"/>
      <c r="D156" s="865"/>
      <c r="E156" s="865"/>
      <c r="F156" s="896"/>
    </row>
    <row r="157">
      <c r="B157" s="865"/>
      <c r="C157" s="865"/>
      <c r="D157" s="865"/>
      <c r="E157" s="865"/>
      <c r="F157" s="896"/>
    </row>
    <row r="158">
      <c r="B158" s="865"/>
      <c r="C158" s="865"/>
      <c r="D158" s="865"/>
      <c r="E158" s="865"/>
      <c r="F158" s="896"/>
    </row>
    <row r="159">
      <c r="B159" s="865"/>
      <c r="C159" s="865"/>
      <c r="D159" s="865"/>
      <c r="E159" s="865"/>
      <c r="F159" s="896"/>
    </row>
    <row r="160">
      <c r="B160" s="865"/>
      <c r="C160" s="865"/>
      <c r="D160" s="865"/>
      <c r="E160" s="865"/>
      <c r="F160" s="896"/>
    </row>
    <row r="161">
      <c r="B161" s="865"/>
      <c r="C161" s="865"/>
      <c r="D161" s="865"/>
      <c r="E161" s="865"/>
      <c r="F161" s="896"/>
    </row>
    <row r="162">
      <c r="B162" s="865"/>
      <c r="C162" s="865"/>
      <c r="D162" s="865"/>
      <c r="E162" s="865"/>
      <c r="F162" s="896"/>
    </row>
    <row r="163">
      <c r="B163" s="865"/>
      <c r="C163" s="865"/>
      <c r="D163" s="865"/>
      <c r="E163" s="865"/>
      <c r="F163" s="896"/>
    </row>
    <row r="164">
      <c r="B164" s="865"/>
      <c r="C164" s="865"/>
      <c r="D164" s="865"/>
      <c r="E164" s="865"/>
      <c r="F164" s="896"/>
    </row>
    <row r="165">
      <c r="B165" s="865"/>
      <c r="C165" s="865"/>
      <c r="D165" s="865"/>
      <c r="E165" s="865"/>
      <c r="F165" s="896"/>
    </row>
    <row r="166">
      <c r="B166" s="865"/>
      <c r="C166" s="865"/>
      <c r="D166" s="865"/>
      <c r="E166" s="865"/>
      <c r="F166" s="896"/>
    </row>
    <row r="167">
      <c r="B167" s="865"/>
      <c r="C167" s="865"/>
      <c r="D167" s="865"/>
      <c r="E167" s="865"/>
      <c r="F167" s="896"/>
    </row>
    <row r="168">
      <c r="B168" s="865"/>
      <c r="C168" s="865"/>
      <c r="D168" s="865"/>
      <c r="E168" s="865"/>
      <c r="F168" s="896"/>
    </row>
    <row r="169">
      <c r="B169" s="865"/>
      <c r="C169" s="865"/>
      <c r="D169" s="865"/>
      <c r="E169" s="865"/>
      <c r="F169" s="896"/>
    </row>
    <row r="170">
      <c r="B170" s="865"/>
      <c r="C170" s="865"/>
      <c r="D170" s="865"/>
      <c r="E170" s="865"/>
      <c r="F170" s="896"/>
    </row>
    <row r="171">
      <c r="B171" s="865"/>
      <c r="C171" s="865"/>
      <c r="D171" s="865"/>
      <c r="E171" s="865"/>
      <c r="F171" s="896"/>
    </row>
    <row r="172">
      <c r="B172" s="865"/>
      <c r="C172" s="865"/>
      <c r="D172" s="865"/>
      <c r="E172" s="865"/>
      <c r="F172" s="896"/>
    </row>
    <row r="173">
      <c r="B173" s="865"/>
      <c r="C173" s="865"/>
      <c r="D173" s="865"/>
      <c r="E173" s="865"/>
      <c r="F173" s="896"/>
    </row>
    <row r="174">
      <c r="B174" s="865"/>
      <c r="C174" s="865"/>
      <c r="D174" s="865"/>
      <c r="E174" s="865"/>
      <c r="F174" s="896"/>
    </row>
    <row r="175">
      <c r="B175" s="865"/>
      <c r="C175" s="865"/>
      <c r="D175" s="865"/>
      <c r="E175" s="865"/>
      <c r="F175" s="896"/>
    </row>
    <row r="176">
      <c r="B176" s="865"/>
      <c r="C176" s="865"/>
      <c r="D176" s="865"/>
      <c r="E176" s="865"/>
      <c r="F176" s="896"/>
    </row>
    <row r="177">
      <c r="B177" s="865"/>
      <c r="C177" s="865"/>
      <c r="D177" s="865"/>
      <c r="E177" s="865"/>
      <c r="F177" s="896"/>
    </row>
    <row r="178">
      <c r="B178" s="865"/>
      <c r="C178" s="865"/>
      <c r="D178" s="865"/>
      <c r="E178" s="865"/>
      <c r="F178" s="896"/>
    </row>
    <row r="179">
      <c r="B179" s="865"/>
      <c r="C179" s="865"/>
      <c r="D179" s="865"/>
      <c r="E179" s="865"/>
      <c r="F179" s="896"/>
    </row>
    <row r="180">
      <c r="B180" s="865"/>
      <c r="C180" s="865"/>
      <c r="D180" s="865"/>
      <c r="E180" s="865"/>
      <c r="F180" s="896"/>
    </row>
    <row r="181">
      <c r="B181" s="865"/>
      <c r="C181" s="865"/>
      <c r="D181" s="865"/>
      <c r="E181" s="865"/>
      <c r="F181" s="896"/>
    </row>
    <row r="182">
      <c r="B182" s="865"/>
      <c r="C182" s="865"/>
      <c r="D182" s="865"/>
      <c r="E182" s="865"/>
      <c r="F182" s="896"/>
    </row>
    <row r="183">
      <c r="B183" s="865"/>
      <c r="C183" s="865"/>
      <c r="D183" s="865"/>
      <c r="E183" s="865"/>
      <c r="F183" s="896"/>
    </row>
    <row r="184">
      <c r="B184" s="865"/>
      <c r="C184" s="865"/>
      <c r="D184" s="865"/>
      <c r="E184" s="865"/>
      <c r="F184" s="896"/>
    </row>
    <row r="185">
      <c r="B185" s="865"/>
      <c r="C185" s="865"/>
      <c r="D185" s="865"/>
      <c r="E185" s="865"/>
      <c r="F185" s="896"/>
    </row>
    <row r="186">
      <c r="B186" s="865"/>
      <c r="C186" s="865"/>
      <c r="D186" s="865"/>
      <c r="E186" s="865"/>
      <c r="F186" s="896"/>
    </row>
    <row r="187">
      <c r="B187" s="865"/>
      <c r="C187" s="865"/>
      <c r="D187" s="865"/>
      <c r="E187" s="865"/>
      <c r="F187" s="896"/>
    </row>
    <row r="188">
      <c r="B188" s="865"/>
      <c r="C188" s="865"/>
      <c r="D188" s="865"/>
      <c r="E188" s="865"/>
      <c r="F188" s="896"/>
    </row>
    <row r="189">
      <c r="B189" s="865"/>
      <c r="C189" s="865"/>
      <c r="D189" s="865"/>
      <c r="E189" s="865"/>
      <c r="F189" s="896"/>
    </row>
    <row r="190">
      <c r="B190" s="865"/>
      <c r="C190" s="865"/>
      <c r="D190" s="865"/>
      <c r="E190" s="865"/>
      <c r="F190" s="896"/>
    </row>
    <row r="191">
      <c r="B191" s="865"/>
      <c r="C191" s="865"/>
      <c r="D191" s="865"/>
      <c r="E191" s="865"/>
      <c r="F191" s="896"/>
    </row>
    <row r="192">
      <c r="B192" s="865"/>
      <c r="C192" s="865"/>
      <c r="D192" s="865"/>
      <c r="E192" s="865"/>
      <c r="F192" s="896"/>
    </row>
    <row r="193">
      <c r="B193" s="865"/>
      <c r="C193" s="865"/>
      <c r="D193" s="865"/>
      <c r="E193" s="865"/>
      <c r="F193" s="896"/>
    </row>
    <row r="194">
      <c r="B194" s="865"/>
      <c r="C194" s="865"/>
      <c r="D194" s="865"/>
      <c r="E194" s="865"/>
      <c r="F194" s="896"/>
    </row>
    <row r="195">
      <c r="B195" s="865"/>
      <c r="C195" s="865"/>
      <c r="D195" s="865"/>
      <c r="E195" s="865"/>
      <c r="F195" s="896"/>
    </row>
    <row r="196">
      <c r="B196" s="865"/>
      <c r="C196" s="865"/>
      <c r="D196" s="865"/>
      <c r="E196" s="865"/>
      <c r="F196" s="896"/>
    </row>
    <row r="197">
      <c r="B197" s="865"/>
      <c r="C197" s="865"/>
      <c r="D197" s="865"/>
      <c r="E197" s="865"/>
      <c r="F197" s="896"/>
    </row>
    <row r="198">
      <c r="B198" s="865"/>
      <c r="C198" s="865"/>
      <c r="D198" s="865"/>
      <c r="E198" s="865"/>
      <c r="F198" s="896"/>
    </row>
    <row r="199">
      <c r="B199" s="865"/>
      <c r="C199" s="865"/>
      <c r="D199" s="865"/>
      <c r="E199" s="865"/>
      <c r="F199" s="896"/>
    </row>
    <row r="200">
      <c r="B200" s="865"/>
      <c r="C200" s="865"/>
      <c r="D200" s="865"/>
      <c r="E200" s="865"/>
      <c r="F200" s="896"/>
    </row>
    <row r="201">
      <c r="B201" s="865"/>
      <c r="C201" s="865"/>
      <c r="D201" s="865"/>
      <c r="E201" s="865"/>
      <c r="F201" s="896"/>
    </row>
    <row r="202">
      <c r="B202" s="865"/>
      <c r="C202" s="865"/>
      <c r="D202" s="865"/>
      <c r="E202" s="865"/>
      <c r="F202" s="896"/>
    </row>
    <row r="203">
      <c r="B203" s="865"/>
      <c r="C203" s="865"/>
      <c r="D203" s="865"/>
      <c r="E203" s="865"/>
      <c r="F203" s="896"/>
    </row>
    <row r="204">
      <c r="B204" s="865"/>
      <c r="C204" s="865"/>
      <c r="D204" s="865"/>
      <c r="E204" s="865"/>
      <c r="F204" s="896"/>
    </row>
    <row r="205">
      <c r="B205" s="865"/>
      <c r="C205" s="865"/>
      <c r="D205" s="865"/>
      <c r="E205" s="865"/>
      <c r="F205" s="896"/>
    </row>
    <row r="206">
      <c r="B206" s="865"/>
      <c r="C206" s="865"/>
      <c r="D206" s="865"/>
      <c r="E206" s="865"/>
      <c r="F206" s="896"/>
    </row>
    <row r="207">
      <c r="B207" s="865"/>
      <c r="C207" s="865"/>
      <c r="D207" s="865"/>
      <c r="E207" s="865"/>
      <c r="F207" s="896"/>
    </row>
    <row r="208">
      <c r="B208" s="865"/>
      <c r="C208" s="865"/>
      <c r="D208" s="865"/>
      <c r="E208" s="865"/>
      <c r="F208" s="896"/>
    </row>
    <row r="209">
      <c r="B209" s="865"/>
      <c r="C209" s="865"/>
      <c r="D209" s="865"/>
      <c r="E209" s="865"/>
      <c r="F209" s="896"/>
    </row>
    <row r="210">
      <c r="B210" s="865"/>
      <c r="C210" s="865"/>
      <c r="D210" s="865"/>
      <c r="E210" s="865"/>
      <c r="F210" s="896"/>
    </row>
    <row r="211">
      <c r="B211" s="865"/>
      <c r="C211" s="865"/>
      <c r="D211" s="865"/>
      <c r="E211" s="865"/>
      <c r="F211" s="896"/>
    </row>
    <row r="212">
      <c r="B212" s="865"/>
      <c r="C212" s="865"/>
      <c r="D212" s="865"/>
      <c r="E212" s="865"/>
      <c r="F212" s="896"/>
    </row>
    <row r="213">
      <c r="B213" s="865"/>
      <c r="C213" s="865"/>
      <c r="D213" s="865"/>
      <c r="E213" s="865"/>
      <c r="F213" s="896"/>
    </row>
    <row r="214">
      <c r="B214" s="865"/>
      <c r="C214" s="865"/>
      <c r="D214" s="865"/>
      <c r="E214" s="865"/>
      <c r="F214" s="896"/>
    </row>
    <row r="215">
      <c r="B215" s="865"/>
      <c r="C215" s="865"/>
      <c r="D215" s="865"/>
      <c r="E215" s="865"/>
      <c r="F215" s="896"/>
    </row>
    <row r="216">
      <c r="B216" s="865"/>
      <c r="C216" s="865"/>
      <c r="D216" s="865"/>
      <c r="E216" s="865"/>
      <c r="F216" s="896"/>
    </row>
    <row r="217">
      <c r="B217" s="865"/>
      <c r="C217" s="865"/>
      <c r="D217" s="865"/>
      <c r="E217" s="865"/>
      <c r="F217" s="896"/>
    </row>
    <row r="218">
      <c r="B218" s="865"/>
      <c r="C218" s="865"/>
      <c r="D218" s="865"/>
      <c r="E218" s="865"/>
      <c r="F218" s="896"/>
    </row>
    <row r="219">
      <c r="B219" s="865"/>
      <c r="C219" s="865"/>
      <c r="D219" s="865"/>
      <c r="E219" s="865"/>
      <c r="F219" s="896"/>
    </row>
    <row r="220">
      <c r="B220" s="865"/>
      <c r="C220" s="865"/>
      <c r="D220" s="865"/>
      <c r="E220" s="865"/>
      <c r="F220" s="896"/>
    </row>
    <row r="221">
      <c r="B221" s="865"/>
      <c r="C221" s="865"/>
      <c r="D221" s="865"/>
      <c r="E221" s="865"/>
      <c r="F221" s="896"/>
    </row>
    <row r="222">
      <c r="B222" s="865"/>
      <c r="C222" s="865"/>
      <c r="D222" s="865"/>
      <c r="E222" s="865"/>
      <c r="F222" s="896"/>
    </row>
    <row r="223">
      <c r="B223" s="865"/>
      <c r="C223" s="865"/>
      <c r="D223" s="865"/>
      <c r="E223" s="865"/>
      <c r="F223" s="896"/>
    </row>
    <row r="224">
      <c r="B224" s="865"/>
      <c r="C224" s="865"/>
      <c r="D224" s="865"/>
      <c r="E224" s="865"/>
      <c r="F224" s="896"/>
    </row>
    <row r="225">
      <c r="B225" s="865"/>
      <c r="C225" s="865"/>
      <c r="D225" s="865"/>
      <c r="E225" s="865"/>
      <c r="F225" s="896"/>
    </row>
    <row r="226">
      <c r="B226" s="865"/>
      <c r="C226" s="865"/>
      <c r="D226" s="865"/>
      <c r="E226" s="865"/>
      <c r="F226" s="896"/>
    </row>
    <row r="227">
      <c r="B227" s="865"/>
      <c r="C227" s="865"/>
      <c r="D227" s="865"/>
      <c r="E227" s="865"/>
      <c r="F227" s="896"/>
    </row>
    <row r="228">
      <c r="B228" s="865"/>
      <c r="C228" s="865"/>
      <c r="D228" s="865"/>
      <c r="E228" s="865"/>
      <c r="F228" s="896"/>
    </row>
    <row r="229">
      <c r="B229" s="865"/>
      <c r="C229" s="865"/>
      <c r="D229" s="865"/>
      <c r="E229" s="865"/>
      <c r="F229" s="896"/>
    </row>
    <row r="230">
      <c r="B230" s="865"/>
      <c r="C230" s="865"/>
      <c r="D230" s="865"/>
      <c r="E230" s="865"/>
      <c r="F230" s="896"/>
    </row>
    <row r="231">
      <c r="B231" s="865"/>
      <c r="C231" s="865"/>
      <c r="D231" s="865"/>
      <c r="E231" s="865"/>
      <c r="F231" s="896"/>
    </row>
    <row r="232">
      <c r="B232" s="865"/>
      <c r="C232" s="865"/>
      <c r="D232" s="865"/>
      <c r="E232" s="865"/>
      <c r="F232" s="896"/>
    </row>
    <row r="233">
      <c r="B233" s="865"/>
      <c r="C233" s="865"/>
      <c r="D233" s="865"/>
      <c r="E233" s="865"/>
      <c r="F233" s="896"/>
    </row>
    <row r="234">
      <c r="B234" s="865"/>
      <c r="C234" s="865"/>
      <c r="D234" s="865"/>
      <c r="E234" s="865"/>
      <c r="F234" s="896"/>
    </row>
    <row r="235">
      <c r="B235" s="865"/>
      <c r="C235" s="865"/>
      <c r="D235" s="865"/>
      <c r="E235" s="865"/>
      <c r="F235" s="896"/>
    </row>
    <row r="236">
      <c r="B236" s="865"/>
      <c r="C236" s="865"/>
      <c r="D236" s="865"/>
      <c r="E236" s="865"/>
      <c r="F236" s="896"/>
    </row>
    <row r="237">
      <c r="B237" s="865"/>
      <c r="C237" s="865"/>
      <c r="D237" s="865"/>
      <c r="E237" s="865"/>
      <c r="F237" s="896"/>
    </row>
    <row r="238">
      <c r="B238" s="865"/>
      <c r="C238" s="865"/>
      <c r="D238" s="865"/>
      <c r="E238" s="865"/>
      <c r="F238" s="896"/>
    </row>
    <row r="239">
      <c r="B239" s="865"/>
      <c r="C239" s="865"/>
      <c r="D239" s="865"/>
      <c r="E239" s="865"/>
      <c r="F239" s="896"/>
    </row>
    <row r="240">
      <c r="B240" s="865"/>
      <c r="C240" s="865"/>
      <c r="D240" s="865"/>
      <c r="E240" s="865"/>
      <c r="F240" s="896"/>
    </row>
    <row r="241">
      <c r="B241" s="865"/>
      <c r="C241" s="865"/>
      <c r="D241" s="865"/>
      <c r="E241" s="865"/>
      <c r="F241" s="896"/>
    </row>
    <row r="242">
      <c r="B242" s="865"/>
      <c r="C242" s="865"/>
      <c r="D242" s="865"/>
      <c r="E242" s="865"/>
      <c r="F242" s="896"/>
    </row>
    <row r="243">
      <c r="B243" s="865"/>
      <c r="C243" s="865"/>
      <c r="D243" s="865"/>
      <c r="E243" s="865"/>
      <c r="F243" s="896"/>
    </row>
    <row r="244">
      <c r="B244" s="865"/>
      <c r="C244" s="865"/>
      <c r="D244" s="865"/>
      <c r="E244" s="865"/>
      <c r="F244" s="896"/>
    </row>
    <row r="245">
      <c r="B245" s="865"/>
      <c r="C245" s="865"/>
      <c r="D245" s="865"/>
      <c r="E245" s="865"/>
      <c r="F245" s="896"/>
    </row>
    <row r="246">
      <c r="B246" s="865"/>
      <c r="C246" s="865"/>
      <c r="D246" s="865"/>
      <c r="E246" s="865"/>
      <c r="F246" s="896"/>
    </row>
    <row r="247">
      <c r="B247" s="865"/>
      <c r="C247" s="865"/>
      <c r="D247" s="865"/>
      <c r="E247" s="865"/>
      <c r="F247" s="896"/>
    </row>
    <row r="248">
      <c r="B248" s="865"/>
      <c r="C248" s="865"/>
      <c r="D248" s="865"/>
      <c r="E248" s="865"/>
      <c r="F248" s="896"/>
    </row>
    <row r="249">
      <c r="B249" s="865"/>
      <c r="C249" s="865"/>
      <c r="D249" s="865"/>
      <c r="E249" s="865"/>
      <c r="F249" s="896"/>
    </row>
    <row r="250">
      <c r="B250" s="865"/>
      <c r="C250" s="865"/>
      <c r="D250" s="865"/>
      <c r="E250" s="865"/>
      <c r="F250" s="896"/>
    </row>
    <row r="251">
      <c r="B251" s="865"/>
      <c r="C251" s="865"/>
      <c r="D251" s="865"/>
      <c r="E251" s="865"/>
      <c r="F251" s="896"/>
    </row>
    <row r="252">
      <c r="B252" s="865"/>
      <c r="C252" s="865"/>
      <c r="D252" s="865"/>
      <c r="E252" s="865"/>
      <c r="F252" s="896"/>
    </row>
    <row r="253">
      <c r="B253" s="865"/>
      <c r="C253" s="865"/>
      <c r="D253" s="865"/>
      <c r="E253" s="865"/>
      <c r="F253" s="896"/>
    </row>
    <row r="254">
      <c r="B254" s="865"/>
      <c r="C254" s="865"/>
      <c r="D254" s="865"/>
      <c r="E254" s="865"/>
      <c r="F254" s="896"/>
    </row>
    <row r="255">
      <c r="B255" s="865"/>
      <c r="C255" s="865"/>
      <c r="D255" s="865"/>
      <c r="E255" s="865"/>
      <c r="F255" s="896"/>
    </row>
    <row r="256">
      <c r="B256" s="865"/>
      <c r="C256" s="865"/>
      <c r="D256" s="865"/>
      <c r="E256" s="865"/>
      <c r="F256" s="896"/>
    </row>
    <row r="257">
      <c r="B257" s="865"/>
      <c r="C257" s="865"/>
      <c r="D257" s="865"/>
      <c r="E257" s="865"/>
      <c r="F257" s="896"/>
    </row>
    <row r="258">
      <c r="B258" s="865"/>
      <c r="C258" s="865"/>
      <c r="D258" s="865"/>
      <c r="E258" s="865"/>
      <c r="F258" s="896"/>
    </row>
    <row r="259">
      <c r="B259" s="865"/>
      <c r="C259" s="865"/>
      <c r="D259" s="865"/>
      <c r="E259" s="865"/>
      <c r="F259" s="896"/>
    </row>
    <row r="260">
      <c r="B260" s="865"/>
      <c r="C260" s="865"/>
      <c r="D260" s="865"/>
      <c r="E260" s="865"/>
      <c r="F260" s="896"/>
    </row>
    <row r="261">
      <c r="B261" s="865"/>
      <c r="C261" s="865"/>
      <c r="D261" s="865"/>
      <c r="E261" s="865"/>
      <c r="F261" s="896"/>
    </row>
    <row r="262">
      <c r="B262" s="865"/>
      <c r="C262" s="865"/>
      <c r="D262" s="865"/>
      <c r="E262" s="865"/>
      <c r="F262" s="896"/>
    </row>
    <row r="263">
      <c r="B263" s="865"/>
      <c r="C263" s="865"/>
      <c r="D263" s="865"/>
      <c r="E263" s="865"/>
      <c r="F263" s="896"/>
    </row>
    <row r="264">
      <c r="B264" s="865"/>
      <c r="C264" s="865"/>
      <c r="D264" s="865"/>
      <c r="E264" s="865"/>
      <c r="F264" s="896"/>
    </row>
    <row r="265">
      <c r="B265" s="865"/>
      <c r="C265" s="865"/>
      <c r="D265" s="865"/>
      <c r="E265" s="865"/>
      <c r="F265" s="896"/>
    </row>
    <row r="266">
      <c r="B266" s="865"/>
      <c r="C266" s="865"/>
      <c r="D266" s="865"/>
      <c r="E266" s="865"/>
      <c r="F266" s="896"/>
    </row>
    <row r="267">
      <c r="B267" s="865"/>
      <c r="C267" s="865"/>
      <c r="D267" s="865"/>
      <c r="E267" s="865"/>
      <c r="F267" s="896"/>
    </row>
    <row r="268">
      <c r="B268" s="865"/>
      <c r="C268" s="865"/>
      <c r="D268" s="865"/>
      <c r="E268" s="865"/>
      <c r="F268" s="896"/>
    </row>
    <row r="269">
      <c r="B269" s="865"/>
      <c r="C269" s="865"/>
      <c r="D269" s="865"/>
      <c r="E269" s="865"/>
      <c r="F269" s="896"/>
    </row>
    <row r="270">
      <c r="B270" s="865"/>
      <c r="C270" s="865"/>
      <c r="D270" s="865"/>
      <c r="E270" s="865"/>
      <c r="F270" s="896"/>
    </row>
    <row r="271">
      <c r="B271" s="865"/>
      <c r="C271" s="865"/>
      <c r="D271" s="865"/>
      <c r="E271" s="865"/>
      <c r="F271" s="896"/>
    </row>
    <row r="272">
      <c r="B272" s="865"/>
      <c r="C272" s="865"/>
      <c r="D272" s="865"/>
      <c r="E272" s="865"/>
      <c r="F272" s="896"/>
    </row>
    <row r="273">
      <c r="B273" s="865"/>
      <c r="C273" s="865"/>
      <c r="D273" s="865"/>
      <c r="E273" s="865"/>
      <c r="F273" s="896"/>
    </row>
    <row r="274">
      <c r="B274" s="865"/>
      <c r="C274" s="865"/>
      <c r="D274" s="865"/>
      <c r="E274" s="865"/>
      <c r="F274" s="896"/>
    </row>
    <row r="275">
      <c r="B275" s="865"/>
      <c r="C275" s="865"/>
      <c r="D275" s="865"/>
      <c r="E275" s="865"/>
      <c r="F275" s="896"/>
    </row>
    <row r="276">
      <c r="B276" s="865"/>
      <c r="C276" s="865"/>
      <c r="D276" s="865"/>
      <c r="E276" s="865"/>
      <c r="F276" s="896"/>
    </row>
    <row r="277">
      <c r="B277" s="865"/>
      <c r="C277" s="865"/>
      <c r="D277" s="865"/>
      <c r="E277" s="865"/>
      <c r="F277" s="896"/>
    </row>
    <row r="278">
      <c r="B278" s="865"/>
      <c r="C278" s="865"/>
      <c r="D278" s="865"/>
      <c r="E278" s="865"/>
      <c r="F278" s="896"/>
    </row>
    <row r="279">
      <c r="B279" s="865"/>
      <c r="C279" s="865"/>
      <c r="D279" s="865"/>
      <c r="E279" s="865"/>
      <c r="F279" s="896"/>
    </row>
    <row r="280">
      <c r="B280" s="865"/>
      <c r="C280" s="865"/>
      <c r="D280" s="865"/>
      <c r="E280" s="865"/>
      <c r="F280" s="896"/>
    </row>
    <row r="281">
      <c r="B281" s="865"/>
      <c r="C281" s="865"/>
      <c r="D281" s="865"/>
      <c r="E281" s="865"/>
      <c r="F281" s="896"/>
    </row>
    <row r="282">
      <c r="B282" s="865"/>
      <c r="C282" s="865"/>
      <c r="D282" s="865"/>
      <c r="E282" s="865"/>
      <c r="F282" s="896"/>
    </row>
    <row r="283">
      <c r="B283" s="865"/>
      <c r="C283" s="865"/>
      <c r="D283" s="865"/>
      <c r="E283" s="865"/>
      <c r="F283" s="896"/>
    </row>
    <row r="284">
      <c r="B284" s="865"/>
      <c r="C284" s="865"/>
      <c r="D284" s="865"/>
      <c r="E284" s="865"/>
      <c r="F284" s="896"/>
    </row>
    <row r="285">
      <c r="B285" s="865"/>
      <c r="C285" s="865"/>
      <c r="D285" s="865"/>
      <c r="E285" s="865"/>
      <c r="F285" s="896"/>
    </row>
    <row r="286">
      <c r="B286" s="865"/>
      <c r="C286" s="865"/>
      <c r="D286" s="865"/>
      <c r="E286" s="865"/>
      <c r="F286" s="896"/>
    </row>
    <row r="287">
      <c r="B287" s="865"/>
      <c r="C287" s="865"/>
      <c r="D287" s="865"/>
      <c r="E287" s="865"/>
      <c r="F287" s="896"/>
    </row>
    <row r="288">
      <c r="B288" s="865"/>
      <c r="C288" s="865"/>
      <c r="D288" s="865"/>
      <c r="E288" s="865"/>
      <c r="F288" s="896"/>
    </row>
    <row r="289">
      <c r="B289" s="865"/>
      <c r="C289" s="865"/>
      <c r="D289" s="865"/>
      <c r="E289" s="865"/>
      <c r="F289" s="896"/>
    </row>
    <row r="290">
      <c r="B290" s="865"/>
      <c r="C290" s="865"/>
      <c r="D290" s="865"/>
      <c r="E290" s="865"/>
      <c r="F290" s="896"/>
    </row>
    <row r="291">
      <c r="B291" s="865"/>
      <c r="C291" s="865"/>
      <c r="D291" s="865"/>
      <c r="E291" s="865"/>
      <c r="F291" s="896"/>
    </row>
    <row r="292">
      <c r="B292" s="865"/>
      <c r="C292" s="865"/>
      <c r="D292" s="865"/>
      <c r="E292" s="865"/>
      <c r="F292" s="896"/>
    </row>
    <row r="293">
      <c r="B293" s="865"/>
      <c r="C293" s="865"/>
      <c r="D293" s="865"/>
      <c r="E293" s="865"/>
      <c r="F293" s="896"/>
    </row>
    <row r="294">
      <c r="B294" s="865"/>
      <c r="C294" s="865"/>
      <c r="D294" s="865"/>
      <c r="E294" s="865"/>
      <c r="F294" s="896"/>
    </row>
    <row r="295">
      <c r="B295" s="865"/>
      <c r="C295" s="865"/>
      <c r="D295" s="865"/>
      <c r="E295" s="865"/>
      <c r="F295" s="896"/>
    </row>
    <row r="296">
      <c r="B296" s="865"/>
      <c r="C296" s="865"/>
      <c r="D296" s="865"/>
      <c r="E296" s="865"/>
      <c r="F296" s="896"/>
    </row>
    <row r="297">
      <c r="B297" s="865"/>
      <c r="C297" s="865"/>
      <c r="D297" s="865"/>
      <c r="E297" s="865"/>
      <c r="F297" s="896"/>
    </row>
    <row r="298">
      <c r="B298" s="865"/>
      <c r="C298" s="865"/>
      <c r="D298" s="865"/>
      <c r="E298" s="865"/>
      <c r="F298" s="896"/>
    </row>
    <row r="299">
      <c r="B299" s="865"/>
      <c r="C299" s="865"/>
      <c r="D299" s="865"/>
      <c r="E299" s="865"/>
      <c r="F299" s="896"/>
    </row>
    <row r="300">
      <c r="B300" s="865"/>
      <c r="C300" s="865"/>
      <c r="D300" s="865"/>
      <c r="E300" s="865"/>
      <c r="F300" s="896"/>
    </row>
    <row r="301">
      <c r="B301" s="865"/>
      <c r="C301" s="865"/>
      <c r="D301" s="865"/>
      <c r="E301" s="865"/>
      <c r="F301" s="896"/>
    </row>
    <row r="302">
      <c r="B302" s="865"/>
      <c r="C302" s="865"/>
      <c r="D302" s="865"/>
      <c r="E302" s="865"/>
      <c r="F302" s="896"/>
    </row>
    <row r="303">
      <c r="B303" s="865"/>
      <c r="C303" s="865"/>
      <c r="D303" s="865"/>
      <c r="E303" s="865"/>
      <c r="F303" s="896"/>
    </row>
    <row r="304">
      <c r="B304" s="865"/>
      <c r="C304" s="865"/>
      <c r="D304" s="865"/>
      <c r="E304" s="865"/>
      <c r="F304" s="896"/>
    </row>
    <row r="305">
      <c r="B305" s="865"/>
      <c r="C305" s="865"/>
      <c r="D305" s="865"/>
      <c r="E305" s="865"/>
      <c r="F305" s="896"/>
    </row>
    <row r="306">
      <c r="B306" s="865"/>
      <c r="C306" s="865"/>
      <c r="D306" s="865"/>
      <c r="E306" s="865"/>
      <c r="F306" s="896"/>
    </row>
    <row r="307">
      <c r="B307" s="865"/>
      <c r="C307" s="865"/>
      <c r="D307" s="865"/>
      <c r="E307" s="865"/>
      <c r="F307" s="896"/>
    </row>
    <row r="308">
      <c r="B308" s="865"/>
      <c r="C308" s="865"/>
      <c r="D308" s="865"/>
      <c r="E308" s="865"/>
      <c r="F308" s="896"/>
    </row>
    <row r="309">
      <c r="B309" s="865"/>
      <c r="C309" s="865"/>
      <c r="D309" s="865"/>
      <c r="E309" s="865"/>
      <c r="F309" s="896"/>
    </row>
    <row r="310">
      <c r="B310" s="865"/>
      <c r="C310" s="865"/>
      <c r="D310" s="865"/>
      <c r="E310" s="865"/>
      <c r="F310" s="896"/>
    </row>
    <row r="311">
      <c r="B311" s="865"/>
      <c r="C311" s="865"/>
      <c r="D311" s="865"/>
      <c r="E311" s="865"/>
      <c r="F311" s="896"/>
    </row>
    <row r="312">
      <c r="B312" s="865"/>
      <c r="C312" s="865"/>
      <c r="D312" s="865"/>
      <c r="E312" s="865"/>
      <c r="F312" s="896"/>
    </row>
    <row r="313">
      <c r="B313" s="865"/>
      <c r="C313" s="865"/>
      <c r="D313" s="865"/>
      <c r="E313" s="865"/>
      <c r="F313" s="896"/>
    </row>
    <row r="314">
      <c r="B314" s="865"/>
      <c r="C314" s="865"/>
      <c r="D314" s="865"/>
      <c r="E314" s="865"/>
      <c r="F314" s="896"/>
    </row>
    <row r="315">
      <c r="B315" s="865"/>
      <c r="C315" s="865"/>
      <c r="D315" s="865"/>
      <c r="E315" s="865"/>
      <c r="F315" s="896"/>
    </row>
    <row r="316">
      <c r="B316" s="865"/>
      <c r="C316" s="865"/>
      <c r="D316" s="865"/>
      <c r="E316" s="865"/>
      <c r="F316" s="896"/>
    </row>
    <row r="317">
      <c r="B317" s="865"/>
      <c r="C317" s="865"/>
      <c r="D317" s="865"/>
      <c r="E317" s="865"/>
      <c r="F317" s="896"/>
    </row>
    <row r="318">
      <c r="B318" s="865"/>
      <c r="C318" s="865"/>
      <c r="D318" s="865"/>
      <c r="E318" s="865"/>
      <c r="F318" s="896"/>
    </row>
    <row r="319">
      <c r="B319" s="865"/>
      <c r="C319" s="865"/>
      <c r="D319" s="865"/>
      <c r="E319" s="865"/>
      <c r="F319" s="896"/>
    </row>
    <row r="320">
      <c r="B320" s="865"/>
      <c r="C320" s="865"/>
      <c r="D320" s="865"/>
      <c r="E320" s="865"/>
      <c r="F320" s="896"/>
    </row>
    <row r="321">
      <c r="B321" s="865"/>
      <c r="C321" s="865"/>
      <c r="D321" s="865"/>
      <c r="E321" s="865"/>
      <c r="F321" s="896"/>
    </row>
    <row r="322">
      <c r="B322" s="865"/>
      <c r="C322" s="865"/>
      <c r="D322" s="865"/>
      <c r="E322" s="865"/>
      <c r="F322" s="896"/>
    </row>
    <row r="323">
      <c r="B323" s="865"/>
      <c r="C323" s="865"/>
      <c r="D323" s="865"/>
      <c r="E323" s="865"/>
      <c r="F323" s="896"/>
    </row>
    <row r="324">
      <c r="B324" s="865"/>
      <c r="C324" s="865"/>
      <c r="D324" s="865"/>
      <c r="E324" s="865"/>
      <c r="F324" s="896"/>
    </row>
    <row r="325">
      <c r="B325" s="865"/>
      <c r="C325" s="865"/>
      <c r="D325" s="865"/>
      <c r="E325" s="865"/>
      <c r="F325" s="896"/>
    </row>
    <row r="326">
      <c r="B326" s="865"/>
      <c r="C326" s="865"/>
      <c r="D326" s="865"/>
      <c r="E326" s="865"/>
      <c r="F326" s="896"/>
    </row>
    <row r="327">
      <c r="B327" s="865"/>
      <c r="C327" s="865"/>
      <c r="D327" s="865"/>
      <c r="E327" s="865"/>
      <c r="F327" s="896"/>
    </row>
    <row r="328">
      <c r="B328" s="865"/>
      <c r="C328" s="865"/>
      <c r="D328" s="865"/>
      <c r="E328" s="865"/>
      <c r="F328" s="896"/>
    </row>
    <row r="329">
      <c r="B329" s="865"/>
      <c r="C329" s="865"/>
      <c r="D329" s="865"/>
      <c r="E329" s="865"/>
      <c r="F329" s="896"/>
    </row>
    <row r="330">
      <c r="B330" s="865"/>
      <c r="C330" s="865"/>
      <c r="D330" s="865"/>
      <c r="E330" s="865"/>
      <c r="F330" s="896"/>
    </row>
    <row r="331">
      <c r="B331" s="865"/>
      <c r="C331" s="865"/>
      <c r="D331" s="865"/>
      <c r="E331" s="865"/>
      <c r="F331" s="896"/>
    </row>
    <row r="332">
      <c r="B332" s="865"/>
      <c r="C332" s="865"/>
      <c r="D332" s="865"/>
      <c r="E332" s="865"/>
      <c r="F332" s="896"/>
    </row>
    <row r="333">
      <c r="B333" s="865"/>
      <c r="C333" s="865"/>
      <c r="D333" s="865"/>
      <c r="E333" s="865"/>
      <c r="F333" s="896"/>
    </row>
    <row r="334">
      <c r="B334" s="865"/>
      <c r="C334" s="865"/>
      <c r="D334" s="865"/>
      <c r="E334" s="865"/>
      <c r="F334" s="896"/>
    </row>
    <row r="335">
      <c r="B335" s="865"/>
      <c r="C335" s="865"/>
      <c r="D335" s="865"/>
      <c r="E335" s="865"/>
      <c r="F335" s="896"/>
    </row>
    <row r="336">
      <c r="B336" s="865"/>
      <c r="C336" s="865"/>
      <c r="D336" s="865"/>
      <c r="E336" s="865"/>
      <c r="F336" s="896"/>
    </row>
    <row r="337">
      <c r="B337" s="865"/>
      <c r="C337" s="865"/>
      <c r="D337" s="865"/>
      <c r="E337" s="865"/>
      <c r="F337" s="896"/>
    </row>
    <row r="338">
      <c r="B338" s="865"/>
      <c r="C338" s="865"/>
      <c r="D338" s="865"/>
      <c r="E338" s="865"/>
      <c r="F338" s="896"/>
    </row>
    <row r="339">
      <c r="B339" s="865"/>
      <c r="C339" s="865"/>
      <c r="D339" s="865"/>
      <c r="E339" s="865"/>
      <c r="F339" s="896"/>
    </row>
    <row r="340">
      <c r="B340" s="865"/>
      <c r="C340" s="865"/>
      <c r="D340" s="865"/>
      <c r="E340" s="865"/>
      <c r="F340" s="896"/>
    </row>
    <row r="341">
      <c r="B341" s="865"/>
      <c r="C341" s="865"/>
      <c r="D341" s="865"/>
      <c r="E341" s="865"/>
      <c r="F341" s="896"/>
    </row>
    <row r="342">
      <c r="B342" s="865"/>
      <c r="C342" s="865"/>
      <c r="D342" s="865"/>
      <c r="E342" s="865"/>
      <c r="F342" s="896"/>
    </row>
    <row r="343">
      <c r="B343" s="865"/>
      <c r="C343" s="865"/>
      <c r="D343" s="865"/>
      <c r="E343" s="865"/>
      <c r="F343" s="896"/>
    </row>
    <row r="344">
      <c r="B344" s="865"/>
      <c r="C344" s="865"/>
      <c r="D344" s="865"/>
      <c r="E344" s="865"/>
      <c r="F344" s="896"/>
    </row>
    <row r="345">
      <c r="B345" s="865"/>
      <c r="C345" s="865"/>
      <c r="D345" s="865"/>
      <c r="E345" s="865"/>
      <c r="F345" s="896"/>
    </row>
    <row r="346">
      <c r="B346" s="865"/>
      <c r="C346" s="865"/>
      <c r="D346" s="865"/>
      <c r="E346" s="865"/>
      <c r="F346" s="896"/>
    </row>
    <row r="347">
      <c r="B347" s="865"/>
      <c r="C347" s="865"/>
      <c r="D347" s="865"/>
      <c r="E347" s="865"/>
      <c r="F347" s="896"/>
    </row>
    <row r="348">
      <c r="B348" s="865"/>
      <c r="C348" s="865"/>
      <c r="D348" s="865"/>
      <c r="E348" s="865"/>
      <c r="F348" s="896"/>
    </row>
    <row r="349">
      <c r="B349" s="865"/>
      <c r="C349" s="865"/>
      <c r="D349" s="865"/>
      <c r="E349" s="865"/>
      <c r="F349" s="896"/>
    </row>
    <row r="350">
      <c r="B350" s="865"/>
      <c r="C350" s="865"/>
      <c r="D350" s="865"/>
      <c r="E350" s="865"/>
      <c r="F350" s="896"/>
    </row>
    <row r="351">
      <c r="B351" s="865"/>
      <c r="C351" s="865"/>
      <c r="D351" s="865"/>
      <c r="E351" s="865"/>
      <c r="F351" s="896"/>
    </row>
    <row r="352">
      <c r="B352" s="865"/>
      <c r="C352" s="865"/>
      <c r="D352" s="865"/>
      <c r="E352" s="865"/>
      <c r="F352" s="896"/>
    </row>
    <row r="353">
      <c r="B353" s="865"/>
      <c r="C353" s="865"/>
      <c r="D353" s="865"/>
      <c r="E353" s="865"/>
      <c r="F353" s="896"/>
    </row>
    <row r="354">
      <c r="B354" s="865"/>
      <c r="C354" s="865"/>
      <c r="D354" s="865"/>
      <c r="E354" s="865"/>
      <c r="F354" s="896"/>
    </row>
    <row r="355">
      <c r="B355" s="865"/>
      <c r="C355" s="865"/>
      <c r="D355" s="865"/>
      <c r="E355" s="865"/>
      <c r="F355" s="896"/>
    </row>
    <row r="356">
      <c r="B356" s="865"/>
      <c r="C356" s="865"/>
      <c r="D356" s="865"/>
      <c r="E356" s="865"/>
      <c r="F356" s="896"/>
    </row>
    <row r="357">
      <c r="B357" s="865"/>
      <c r="C357" s="865"/>
      <c r="D357" s="865"/>
      <c r="E357" s="865"/>
      <c r="F357" s="896"/>
    </row>
    <row r="358">
      <c r="B358" s="865"/>
      <c r="C358" s="865"/>
      <c r="D358" s="865"/>
      <c r="E358" s="865"/>
      <c r="F358" s="896"/>
    </row>
    <row r="359">
      <c r="B359" s="865"/>
      <c r="C359" s="865"/>
      <c r="D359" s="865"/>
      <c r="E359" s="865"/>
      <c r="F359" s="896"/>
    </row>
    <row r="360">
      <c r="B360" s="865"/>
      <c r="C360" s="865"/>
      <c r="D360" s="865"/>
      <c r="E360" s="865"/>
      <c r="F360" s="896"/>
    </row>
    <row r="361">
      <c r="B361" s="865"/>
      <c r="C361" s="865"/>
      <c r="D361" s="865"/>
      <c r="E361" s="865"/>
      <c r="F361" s="896"/>
    </row>
    <row r="362">
      <c r="B362" s="865"/>
      <c r="C362" s="865"/>
      <c r="D362" s="865"/>
      <c r="E362" s="865"/>
      <c r="F362" s="896"/>
    </row>
    <row r="363">
      <c r="B363" s="865"/>
      <c r="C363" s="865"/>
      <c r="D363" s="865"/>
      <c r="E363" s="865"/>
      <c r="F363" s="896"/>
    </row>
    <row r="364">
      <c r="B364" s="865"/>
      <c r="C364" s="865"/>
      <c r="D364" s="865"/>
      <c r="E364" s="865"/>
      <c r="F364" s="896"/>
    </row>
    <row r="365">
      <c r="B365" s="865"/>
      <c r="C365" s="865"/>
      <c r="D365" s="865"/>
      <c r="E365" s="865"/>
      <c r="F365" s="896"/>
    </row>
    <row r="366">
      <c r="B366" s="865"/>
      <c r="C366" s="865"/>
      <c r="D366" s="865"/>
      <c r="E366" s="865"/>
      <c r="F366" s="896"/>
    </row>
    <row r="367">
      <c r="B367" s="865"/>
      <c r="C367" s="865"/>
      <c r="D367" s="865"/>
      <c r="E367" s="865"/>
      <c r="F367" s="896"/>
    </row>
    <row r="368">
      <c r="B368" s="865"/>
      <c r="C368" s="865"/>
      <c r="D368" s="865"/>
      <c r="E368" s="865"/>
      <c r="F368" s="896"/>
    </row>
    <row r="369">
      <c r="B369" s="865"/>
      <c r="C369" s="865"/>
      <c r="D369" s="865"/>
      <c r="E369" s="865"/>
      <c r="F369" s="896"/>
    </row>
    <row r="370">
      <c r="B370" s="865"/>
      <c r="C370" s="865"/>
      <c r="D370" s="865"/>
      <c r="E370" s="865"/>
      <c r="F370" s="896"/>
    </row>
    <row r="371">
      <c r="B371" s="865"/>
      <c r="C371" s="865"/>
      <c r="D371" s="865"/>
      <c r="E371" s="865"/>
      <c r="F371" s="896"/>
    </row>
    <row r="372">
      <c r="B372" s="865"/>
      <c r="C372" s="865"/>
      <c r="D372" s="865"/>
      <c r="E372" s="865"/>
      <c r="F372" s="896"/>
    </row>
    <row r="373">
      <c r="B373" s="865"/>
      <c r="C373" s="865"/>
      <c r="D373" s="865"/>
      <c r="E373" s="865"/>
      <c r="F373" s="896"/>
    </row>
    <row r="374">
      <c r="B374" s="865"/>
      <c r="C374" s="865"/>
      <c r="D374" s="865"/>
      <c r="E374" s="865"/>
      <c r="F374" s="896"/>
    </row>
    <row r="375">
      <c r="B375" s="865"/>
      <c r="C375" s="865"/>
      <c r="D375" s="865"/>
      <c r="E375" s="865"/>
      <c r="F375" s="896"/>
    </row>
    <row r="376">
      <c r="B376" s="865"/>
      <c r="C376" s="865"/>
      <c r="D376" s="865"/>
      <c r="E376" s="865"/>
      <c r="F376" s="896"/>
    </row>
    <row r="377">
      <c r="B377" s="865"/>
      <c r="C377" s="865"/>
      <c r="D377" s="865"/>
      <c r="E377" s="865"/>
      <c r="F377" s="896"/>
    </row>
    <row r="378">
      <c r="B378" s="865"/>
      <c r="C378" s="865"/>
      <c r="D378" s="865"/>
      <c r="E378" s="865"/>
      <c r="F378" s="896"/>
    </row>
    <row r="379">
      <c r="B379" s="865"/>
      <c r="C379" s="865"/>
      <c r="D379" s="865"/>
      <c r="E379" s="865"/>
      <c r="F379" s="896"/>
    </row>
    <row r="380">
      <c r="B380" s="865"/>
      <c r="C380" s="865"/>
      <c r="D380" s="865"/>
      <c r="E380" s="865"/>
      <c r="F380" s="896"/>
    </row>
    <row r="381">
      <c r="B381" s="865"/>
      <c r="C381" s="865"/>
      <c r="D381" s="865"/>
      <c r="E381" s="865"/>
      <c r="F381" s="896"/>
    </row>
    <row r="382">
      <c r="B382" s="865"/>
      <c r="C382" s="865"/>
      <c r="D382" s="865"/>
      <c r="E382" s="865"/>
      <c r="F382" s="896"/>
    </row>
    <row r="383">
      <c r="B383" s="865"/>
      <c r="C383" s="865"/>
      <c r="D383" s="865"/>
      <c r="E383" s="865"/>
      <c r="F383" s="896"/>
    </row>
    <row r="384">
      <c r="B384" s="865"/>
      <c r="C384" s="865"/>
      <c r="D384" s="865"/>
      <c r="E384" s="865"/>
      <c r="F384" s="896"/>
    </row>
    <row r="385">
      <c r="B385" s="865"/>
      <c r="C385" s="865"/>
      <c r="D385" s="865"/>
      <c r="E385" s="865"/>
      <c r="F385" s="896"/>
    </row>
    <row r="386">
      <c r="B386" s="865"/>
      <c r="C386" s="865"/>
      <c r="D386" s="865"/>
      <c r="E386" s="865"/>
      <c r="F386" s="896"/>
    </row>
    <row r="387">
      <c r="B387" s="865"/>
      <c r="C387" s="865"/>
      <c r="D387" s="865"/>
      <c r="E387" s="865"/>
      <c r="F387" s="896"/>
    </row>
    <row r="388">
      <c r="B388" s="865"/>
      <c r="C388" s="865"/>
      <c r="D388" s="865"/>
      <c r="E388" s="865"/>
      <c r="F388" s="896"/>
    </row>
    <row r="389">
      <c r="B389" s="865"/>
      <c r="C389" s="865"/>
      <c r="D389" s="865"/>
      <c r="E389" s="865"/>
      <c r="F389" s="896"/>
    </row>
    <row r="390">
      <c r="B390" s="865"/>
      <c r="C390" s="865"/>
      <c r="D390" s="865"/>
      <c r="E390" s="865"/>
      <c r="F390" s="896"/>
    </row>
    <row r="391">
      <c r="B391" s="865"/>
      <c r="C391" s="865"/>
      <c r="D391" s="865"/>
      <c r="E391" s="865"/>
      <c r="F391" s="896"/>
    </row>
    <row r="392">
      <c r="B392" s="865"/>
      <c r="C392" s="865"/>
      <c r="D392" s="865"/>
      <c r="E392" s="865"/>
      <c r="F392" s="896"/>
    </row>
    <row r="393">
      <c r="B393" s="865"/>
      <c r="C393" s="865"/>
      <c r="D393" s="865"/>
      <c r="E393" s="865"/>
      <c r="F393" s="896"/>
    </row>
    <row r="394">
      <c r="B394" s="865"/>
      <c r="C394" s="865"/>
      <c r="D394" s="865"/>
      <c r="E394" s="865"/>
      <c r="F394" s="896"/>
    </row>
    <row r="395">
      <c r="B395" s="865"/>
      <c r="C395" s="865"/>
      <c r="D395" s="865"/>
      <c r="E395" s="865"/>
      <c r="F395" s="896"/>
    </row>
    <row r="396">
      <c r="B396" s="865"/>
      <c r="C396" s="865"/>
      <c r="D396" s="865"/>
      <c r="E396" s="865"/>
      <c r="F396" s="896"/>
    </row>
    <row r="397">
      <c r="B397" s="865"/>
      <c r="C397" s="865"/>
      <c r="D397" s="865"/>
      <c r="E397" s="865"/>
      <c r="F397" s="896"/>
    </row>
    <row r="398">
      <c r="B398" s="865"/>
      <c r="C398" s="865"/>
      <c r="D398" s="865"/>
      <c r="E398" s="865"/>
      <c r="F398" s="896"/>
    </row>
    <row r="399">
      <c r="B399" s="865"/>
      <c r="C399" s="865"/>
      <c r="D399" s="865"/>
      <c r="E399" s="865"/>
      <c r="F399" s="896"/>
    </row>
    <row r="400">
      <c r="B400" s="865"/>
      <c r="C400" s="865"/>
      <c r="D400" s="865"/>
      <c r="E400" s="865"/>
      <c r="F400" s="896"/>
    </row>
    <row r="401">
      <c r="B401" s="865"/>
      <c r="C401" s="865"/>
      <c r="D401" s="865"/>
      <c r="E401" s="865"/>
      <c r="F401" s="896"/>
    </row>
    <row r="402">
      <c r="B402" s="865"/>
      <c r="C402" s="865"/>
      <c r="D402" s="865"/>
      <c r="E402" s="865"/>
      <c r="F402" s="896"/>
    </row>
    <row r="403">
      <c r="B403" s="865"/>
      <c r="C403" s="865"/>
      <c r="D403" s="865"/>
      <c r="E403" s="865"/>
      <c r="F403" s="896"/>
    </row>
    <row r="404">
      <c r="B404" s="865"/>
      <c r="C404" s="865"/>
      <c r="D404" s="865"/>
      <c r="E404" s="865"/>
      <c r="F404" s="896"/>
    </row>
    <row r="405">
      <c r="B405" s="865"/>
      <c r="C405" s="865"/>
      <c r="D405" s="865"/>
      <c r="E405" s="865"/>
      <c r="F405" s="896"/>
    </row>
    <row r="406">
      <c r="B406" s="865"/>
      <c r="C406" s="865"/>
      <c r="D406" s="865"/>
      <c r="E406" s="865"/>
      <c r="F406" s="896"/>
    </row>
    <row r="407">
      <c r="B407" s="865"/>
      <c r="C407" s="865"/>
      <c r="D407" s="865"/>
      <c r="E407" s="865"/>
      <c r="F407" s="896"/>
    </row>
    <row r="408">
      <c r="B408" s="865"/>
      <c r="C408" s="865"/>
      <c r="D408" s="865"/>
      <c r="E408" s="865"/>
      <c r="F408" s="896"/>
    </row>
    <row r="409">
      <c r="B409" s="865"/>
      <c r="C409" s="865"/>
      <c r="D409" s="865"/>
      <c r="E409" s="865"/>
      <c r="F409" s="896"/>
    </row>
    <row r="410">
      <c r="B410" s="865"/>
      <c r="C410" s="865"/>
      <c r="D410" s="865"/>
      <c r="E410" s="865"/>
      <c r="F410" s="896"/>
    </row>
    <row r="411">
      <c r="B411" s="865"/>
      <c r="C411" s="865"/>
      <c r="D411" s="865"/>
      <c r="E411" s="865"/>
      <c r="F411" s="896"/>
    </row>
    <row r="412">
      <c r="B412" s="865"/>
      <c r="C412" s="865"/>
      <c r="D412" s="865"/>
      <c r="E412" s="865"/>
      <c r="F412" s="896"/>
    </row>
    <row r="413">
      <c r="B413" s="865"/>
      <c r="C413" s="865"/>
      <c r="D413" s="865"/>
      <c r="E413" s="865"/>
      <c r="F413" s="896"/>
    </row>
    <row r="414">
      <c r="B414" s="865"/>
      <c r="C414" s="865"/>
      <c r="D414" s="865"/>
      <c r="E414" s="865"/>
      <c r="F414" s="896"/>
    </row>
    <row r="415">
      <c r="B415" s="865"/>
      <c r="C415" s="865"/>
      <c r="D415" s="865"/>
      <c r="E415" s="865"/>
      <c r="F415" s="896"/>
    </row>
    <row r="416">
      <c r="B416" s="865"/>
      <c r="C416" s="865"/>
      <c r="D416" s="865"/>
      <c r="E416" s="865"/>
      <c r="F416" s="896"/>
    </row>
    <row r="417">
      <c r="B417" s="865"/>
      <c r="C417" s="865"/>
      <c r="D417" s="865"/>
      <c r="E417" s="865"/>
      <c r="F417" s="896"/>
    </row>
    <row r="418">
      <c r="B418" s="865"/>
      <c r="C418" s="865"/>
      <c r="D418" s="865"/>
      <c r="E418" s="865"/>
      <c r="F418" s="896"/>
    </row>
    <row r="419">
      <c r="B419" s="865"/>
      <c r="C419" s="865"/>
      <c r="D419" s="865"/>
      <c r="E419" s="865"/>
      <c r="F419" s="896"/>
    </row>
    <row r="420">
      <c r="B420" s="865"/>
      <c r="C420" s="865"/>
      <c r="D420" s="865"/>
      <c r="E420" s="865"/>
      <c r="F420" s="896"/>
    </row>
    <row r="421">
      <c r="B421" s="865"/>
      <c r="C421" s="865"/>
      <c r="D421" s="865"/>
      <c r="E421" s="865"/>
      <c r="F421" s="896"/>
    </row>
    <row r="422">
      <c r="B422" s="865"/>
      <c r="C422" s="865"/>
      <c r="D422" s="865"/>
      <c r="E422" s="865"/>
      <c r="F422" s="896"/>
    </row>
    <row r="423">
      <c r="B423" s="865"/>
      <c r="C423" s="865"/>
      <c r="D423" s="865"/>
      <c r="E423" s="865"/>
      <c r="F423" s="896"/>
    </row>
    <row r="424">
      <c r="B424" s="865"/>
      <c r="C424" s="865"/>
      <c r="D424" s="865"/>
      <c r="E424" s="865"/>
      <c r="F424" s="896"/>
    </row>
    <row r="425">
      <c r="B425" s="865"/>
      <c r="C425" s="865"/>
      <c r="D425" s="865"/>
      <c r="E425" s="865"/>
      <c r="F425" s="896"/>
    </row>
    <row r="426">
      <c r="B426" s="865"/>
      <c r="C426" s="865"/>
      <c r="D426" s="865"/>
      <c r="E426" s="865"/>
      <c r="F426" s="896"/>
    </row>
    <row r="427">
      <c r="B427" s="865"/>
      <c r="C427" s="865"/>
      <c r="D427" s="865"/>
      <c r="E427" s="865"/>
      <c r="F427" s="896"/>
    </row>
    <row r="428">
      <c r="B428" s="865"/>
      <c r="C428" s="865"/>
      <c r="D428" s="865"/>
      <c r="E428" s="865"/>
      <c r="F428" s="896"/>
    </row>
    <row r="429">
      <c r="B429" s="865"/>
      <c r="C429" s="865"/>
      <c r="D429" s="865"/>
      <c r="E429" s="865"/>
      <c r="F429" s="896"/>
    </row>
    <row r="430">
      <c r="B430" s="865"/>
      <c r="C430" s="865"/>
      <c r="D430" s="865"/>
      <c r="E430" s="865"/>
      <c r="F430" s="896"/>
    </row>
    <row r="431">
      <c r="B431" s="865"/>
      <c r="C431" s="865"/>
      <c r="D431" s="865"/>
      <c r="E431" s="865"/>
      <c r="F431" s="896"/>
    </row>
    <row r="432">
      <c r="B432" s="865"/>
      <c r="C432" s="865"/>
      <c r="D432" s="865"/>
      <c r="E432" s="865"/>
      <c r="F432" s="896"/>
    </row>
    <row r="433">
      <c r="B433" s="865"/>
      <c r="C433" s="865"/>
      <c r="D433" s="865"/>
      <c r="E433" s="865"/>
      <c r="F433" s="896"/>
    </row>
    <row r="434">
      <c r="B434" s="865"/>
      <c r="C434" s="865"/>
      <c r="D434" s="865"/>
      <c r="E434" s="865"/>
      <c r="F434" s="896"/>
    </row>
    <row r="435">
      <c r="B435" s="865"/>
      <c r="C435" s="865"/>
      <c r="D435" s="865"/>
      <c r="E435" s="865"/>
      <c r="F435" s="896"/>
    </row>
    <row r="436">
      <c r="B436" s="865"/>
      <c r="C436" s="865"/>
      <c r="D436" s="865"/>
      <c r="E436" s="865"/>
      <c r="F436" s="896"/>
    </row>
    <row r="437">
      <c r="B437" s="865"/>
      <c r="C437" s="865"/>
      <c r="D437" s="865"/>
      <c r="E437" s="865"/>
      <c r="F437" s="896"/>
    </row>
    <row r="438">
      <c r="B438" s="865"/>
      <c r="C438" s="865"/>
      <c r="D438" s="865"/>
      <c r="E438" s="865"/>
      <c r="F438" s="896"/>
    </row>
    <row r="439">
      <c r="B439" s="865"/>
      <c r="C439" s="865"/>
      <c r="D439" s="865"/>
      <c r="E439" s="865"/>
      <c r="F439" s="896"/>
    </row>
    <row r="440">
      <c r="B440" s="865"/>
      <c r="C440" s="865"/>
      <c r="D440" s="865"/>
      <c r="E440" s="865"/>
      <c r="F440" s="896"/>
    </row>
    <row r="441">
      <c r="B441" s="865"/>
      <c r="C441" s="865"/>
      <c r="D441" s="865"/>
      <c r="E441" s="865"/>
      <c r="F441" s="896"/>
    </row>
    <row r="442">
      <c r="B442" s="865"/>
      <c r="C442" s="865"/>
      <c r="D442" s="865"/>
      <c r="E442" s="865"/>
      <c r="F442" s="896"/>
    </row>
    <row r="443">
      <c r="B443" s="865"/>
      <c r="C443" s="865"/>
      <c r="D443" s="865"/>
      <c r="E443" s="865"/>
      <c r="F443" s="896"/>
    </row>
    <row r="444">
      <c r="B444" s="865"/>
      <c r="C444" s="865"/>
      <c r="D444" s="865"/>
      <c r="E444" s="865"/>
      <c r="F444" s="896"/>
    </row>
    <row r="445">
      <c r="B445" s="865"/>
      <c r="C445" s="865"/>
      <c r="D445" s="865"/>
      <c r="E445" s="865"/>
      <c r="F445" s="896"/>
    </row>
    <row r="446">
      <c r="B446" s="865"/>
      <c r="C446" s="865"/>
      <c r="D446" s="865"/>
      <c r="E446" s="865"/>
      <c r="F446" s="896"/>
    </row>
    <row r="447">
      <c r="B447" s="865"/>
      <c r="C447" s="865"/>
      <c r="D447" s="865"/>
      <c r="E447" s="865"/>
      <c r="F447" s="896"/>
    </row>
    <row r="448">
      <c r="B448" s="865"/>
      <c r="C448" s="865"/>
      <c r="D448" s="865"/>
      <c r="E448" s="865"/>
      <c r="F448" s="896"/>
    </row>
    <row r="449">
      <c r="B449" s="865"/>
      <c r="C449" s="865"/>
      <c r="D449" s="865"/>
      <c r="E449" s="865"/>
      <c r="F449" s="896"/>
    </row>
    <row r="450">
      <c r="B450" s="865"/>
      <c r="C450" s="865"/>
      <c r="D450" s="865"/>
      <c r="E450" s="865"/>
      <c r="F450" s="896"/>
    </row>
    <row r="451">
      <c r="B451" s="865"/>
      <c r="C451" s="865"/>
      <c r="D451" s="865"/>
      <c r="E451" s="865"/>
      <c r="F451" s="896"/>
    </row>
    <row r="452">
      <c r="B452" s="865"/>
      <c r="C452" s="865"/>
      <c r="D452" s="865"/>
      <c r="E452" s="865"/>
      <c r="F452" s="896"/>
    </row>
    <row r="453">
      <c r="B453" s="865"/>
      <c r="C453" s="865"/>
      <c r="D453" s="865"/>
      <c r="E453" s="865"/>
      <c r="F453" s="896"/>
    </row>
    <row r="454">
      <c r="B454" s="865"/>
      <c r="C454" s="865"/>
      <c r="D454" s="865"/>
      <c r="E454" s="865"/>
      <c r="F454" s="896"/>
    </row>
    <row r="455">
      <c r="B455" s="865"/>
      <c r="C455" s="865"/>
      <c r="D455" s="865"/>
      <c r="E455" s="865"/>
      <c r="F455" s="896"/>
    </row>
    <row r="456">
      <c r="B456" s="865"/>
      <c r="C456" s="865"/>
      <c r="D456" s="865"/>
      <c r="E456" s="865"/>
      <c r="F456" s="896"/>
    </row>
    <row r="457">
      <c r="B457" s="865"/>
      <c r="C457" s="865"/>
      <c r="D457" s="865"/>
      <c r="E457" s="865"/>
      <c r="F457" s="896"/>
    </row>
    <row r="458">
      <c r="B458" s="865"/>
      <c r="C458" s="865"/>
      <c r="D458" s="865"/>
      <c r="E458" s="865"/>
      <c r="F458" s="896"/>
    </row>
    <row r="459">
      <c r="B459" s="865"/>
      <c r="C459" s="865"/>
      <c r="D459" s="865"/>
      <c r="E459" s="865"/>
      <c r="F459" s="896"/>
    </row>
    <row r="460">
      <c r="B460" s="865"/>
      <c r="C460" s="865"/>
      <c r="D460" s="865"/>
      <c r="E460" s="865"/>
      <c r="F460" s="896"/>
    </row>
    <row r="461">
      <c r="B461" s="865"/>
      <c r="C461" s="865"/>
      <c r="D461" s="865"/>
      <c r="E461" s="865"/>
      <c r="F461" s="896"/>
    </row>
    <row r="462">
      <c r="B462" s="865"/>
      <c r="C462" s="865"/>
      <c r="D462" s="865"/>
      <c r="E462" s="865"/>
      <c r="F462" s="896"/>
    </row>
    <row r="463">
      <c r="B463" s="865"/>
      <c r="C463" s="865"/>
      <c r="D463" s="865"/>
      <c r="E463" s="865"/>
      <c r="F463" s="896"/>
    </row>
    <row r="464">
      <c r="B464" s="865"/>
      <c r="C464" s="865"/>
      <c r="D464" s="865"/>
      <c r="E464" s="865"/>
      <c r="F464" s="896"/>
    </row>
    <row r="465">
      <c r="B465" s="865"/>
      <c r="C465" s="865"/>
      <c r="D465" s="865"/>
      <c r="E465" s="865"/>
      <c r="F465" s="896"/>
    </row>
    <row r="466">
      <c r="B466" s="865"/>
      <c r="C466" s="865"/>
      <c r="D466" s="865"/>
      <c r="E466" s="865"/>
      <c r="F466" s="896"/>
    </row>
    <row r="467">
      <c r="B467" s="865"/>
      <c r="C467" s="865"/>
      <c r="D467" s="865"/>
      <c r="E467" s="865"/>
      <c r="F467" s="896"/>
    </row>
    <row r="468">
      <c r="B468" s="865"/>
      <c r="C468" s="865"/>
      <c r="D468" s="865"/>
      <c r="E468" s="865"/>
      <c r="F468" s="896"/>
    </row>
    <row r="469">
      <c r="B469" s="865"/>
      <c r="C469" s="865"/>
      <c r="D469" s="865"/>
      <c r="E469" s="865"/>
      <c r="F469" s="896"/>
    </row>
    <row r="470">
      <c r="B470" s="865"/>
      <c r="C470" s="865"/>
      <c r="D470" s="865"/>
      <c r="E470" s="865"/>
      <c r="F470" s="896"/>
    </row>
    <row r="471">
      <c r="B471" s="865"/>
      <c r="C471" s="865"/>
      <c r="D471" s="865"/>
      <c r="E471" s="865"/>
      <c r="F471" s="896"/>
    </row>
    <row r="472">
      <c r="B472" s="865"/>
      <c r="C472" s="865"/>
      <c r="D472" s="865"/>
      <c r="E472" s="865"/>
      <c r="F472" s="896"/>
    </row>
    <row r="473">
      <c r="B473" s="865"/>
      <c r="C473" s="865"/>
      <c r="D473" s="865"/>
      <c r="E473" s="865"/>
      <c r="F473" s="896"/>
    </row>
    <row r="474">
      <c r="B474" s="865"/>
      <c r="C474" s="865"/>
      <c r="D474" s="865"/>
      <c r="E474" s="865"/>
      <c r="F474" s="896"/>
    </row>
    <row r="475">
      <c r="B475" s="865"/>
      <c r="C475" s="865"/>
      <c r="D475" s="865"/>
      <c r="E475" s="865"/>
      <c r="F475" s="896"/>
    </row>
    <row r="476">
      <c r="B476" s="865"/>
      <c r="C476" s="865"/>
      <c r="D476" s="865"/>
      <c r="E476" s="865"/>
      <c r="F476" s="896"/>
    </row>
    <row r="477">
      <c r="B477" s="865"/>
      <c r="C477" s="865"/>
      <c r="D477" s="865"/>
      <c r="E477" s="865"/>
      <c r="F477" s="896"/>
    </row>
    <row r="478">
      <c r="B478" s="865"/>
      <c r="C478" s="865"/>
      <c r="D478" s="865"/>
      <c r="E478" s="865"/>
      <c r="F478" s="896"/>
    </row>
    <row r="479">
      <c r="B479" s="865"/>
      <c r="C479" s="865"/>
      <c r="D479" s="865"/>
      <c r="E479" s="865"/>
      <c r="F479" s="896"/>
    </row>
    <row r="480">
      <c r="B480" s="865"/>
      <c r="C480" s="865"/>
      <c r="D480" s="865"/>
      <c r="E480" s="865"/>
      <c r="F480" s="896"/>
    </row>
    <row r="481">
      <c r="B481" s="865"/>
      <c r="C481" s="865"/>
      <c r="D481" s="865"/>
      <c r="E481" s="865"/>
      <c r="F481" s="896"/>
    </row>
    <row r="482">
      <c r="B482" s="865"/>
      <c r="C482" s="865"/>
      <c r="D482" s="865"/>
      <c r="E482" s="865"/>
      <c r="F482" s="896"/>
    </row>
    <row r="483">
      <c r="B483" s="865"/>
      <c r="C483" s="865"/>
      <c r="D483" s="865"/>
      <c r="E483" s="865"/>
      <c r="F483" s="896"/>
    </row>
    <row r="484">
      <c r="B484" s="865"/>
      <c r="C484" s="865"/>
      <c r="D484" s="865"/>
      <c r="E484" s="865"/>
      <c r="F484" s="896"/>
    </row>
    <row r="485">
      <c r="B485" s="865"/>
      <c r="C485" s="865"/>
      <c r="D485" s="865"/>
      <c r="E485" s="865"/>
      <c r="F485" s="896"/>
    </row>
    <row r="486">
      <c r="B486" s="865"/>
      <c r="C486" s="865"/>
      <c r="D486" s="865"/>
      <c r="E486" s="865"/>
      <c r="F486" s="896"/>
    </row>
    <row r="487">
      <c r="B487" s="865"/>
      <c r="C487" s="865"/>
      <c r="D487" s="865"/>
      <c r="E487" s="865"/>
      <c r="F487" s="896"/>
    </row>
    <row r="488">
      <c r="B488" s="865"/>
      <c r="C488" s="865"/>
      <c r="D488" s="865"/>
      <c r="E488" s="865"/>
      <c r="F488" s="896"/>
    </row>
    <row r="489">
      <c r="B489" s="865"/>
      <c r="C489" s="865"/>
      <c r="D489" s="865"/>
      <c r="E489" s="865"/>
      <c r="F489" s="896"/>
    </row>
    <row r="490">
      <c r="B490" s="865"/>
      <c r="C490" s="865"/>
      <c r="D490" s="865"/>
      <c r="E490" s="865"/>
      <c r="F490" s="896"/>
    </row>
    <row r="491">
      <c r="B491" s="865"/>
      <c r="C491" s="865"/>
      <c r="D491" s="865"/>
      <c r="E491" s="865"/>
      <c r="F491" s="896"/>
    </row>
    <row r="492">
      <c r="B492" s="865"/>
      <c r="C492" s="865"/>
      <c r="D492" s="865"/>
      <c r="E492" s="865"/>
      <c r="F492" s="896"/>
    </row>
    <row r="493">
      <c r="B493" s="865"/>
      <c r="C493" s="865"/>
      <c r="D493" s="865"/>
      <c r="E493" s="865"/>
      <c r="F493" s="896"/>
    </row>
    <row r="494">
      <c r="B494" s="865"/>
      <c r="C494" s="865"/>
      <c r="D494" s="865"/>
      <c r="E494" s="865"/>
      <c r="F494" s="896"/>
    </row>
    <row r="495">
      <c r="B495" s="865"/>
      <c r="C495" s="865"/>
      <c r="D495" s="865"/>
      <c r="E495" s="865"/>
      <c r="F495" s="896"/>
    </row>
    <row r="496">
      <c r="B496" s="865"/>
      <c r="C496" s="865"/>
      <c r="D496" s="865"/>
      <c r="E496" s="865"/>
      <c r="F496" s="896"/>
    </row>
    <row r="497">
      <c r="B497" s="865"/>
      <c r="C497" s="865"/>
      <c r="D497" s="865"/>
      <c r="E497" s="865"/>
      <c r="F497" s="896"/>
    </row>
    <row r="498">
      <c r="B498" s="865"/>
      <c r="C498" s="865"/>
      <c r="D498" s="865"/>
      <c r="E498" s="865"/>
      <c r="F498" s="896"/>
    </row>
    <row r="499">
      <c r="B499" s="865"/>
      <c r="C499" s="865"/>
      <c r="D499" s="865"/>
      <c r="E499" s="865"/>
      <c r="F499" s="896"/>
    </row>
    <row r="500">
      <c r="B500" s="865"/>
      <c r="C500" s="865"/>
      <c r="D500" s="865"/>
      <c r="E500" s="865"/>
      <c r="F500" s="896"/>
    </row>
    <row r="501">
      <c r="B501" s="865"/>
      <c r="C501" s="865"/>
      <c r="D501" s="865"/>
      <c r="E501" s="865"/>
      <c r="F501" s="896"/>
    </row>
    <row r="502">
      <c r="B502" s="865"/>
      <c r="C502" s="865"/>
      <c r="D502" s="865"/>
      <c r="E502" s="865"/>
      <c r="F502" s="896"/>
    </row>
    <row r="503">
      <c r="B503" s="865"/>
      <c r="C503" s="865"/>
      <c r="D503" s="865"/>
      <c r="E503" s="865"/>
      <c r="F503" s="896"/>
    </row>
    <row r="504">
      <c r="B504" s="865"/>
      <c r="C504" s="865"/>
      <c r="D504" s="865"/>
      <c r="E504" s="865"/>
      <c r="F504" s="896"/>
    </row>
    <row r="505">
      <c r="B505" s="865"/>
      <c r="C505" s="865"/>
      <c r="D505" s="865"/>
      <c r="E505" s="865"/>
      <c r="F505" s="896"/>
    </row>
    <row r="506">
      <c r="B506" s="865"/>
      <c r="C506" s="865"/>
      <c r="D506" s="865"/>
      <c r="E506" s="865"/>
      <c r="F506" s="896"/>
    </row>
    <row r="507">
      <c r="B507" s="865"/>
      <c r="C507" s="865"/>
      <c r="D507" s="865"/>
      <c r="E507" s="865"/>
      <c r="F507" s="896"/>
    </row>
    <row r="508">
      <c r="B508" s="865"/>
      <c r="C508" s="865"/>
      <c r="D508" s="865"/>
      <c r="E508" s="865"/>
      <c r="F508" s="896"/>
    </row>
    <row r="509">
      <c r="B509" s="865"/>
      <c r="C509" s="865"/>
      <c r="D509" s="865"/>
      <c r="E509" s="865"/>
      <c r="F509" s="896"/>
    </row>
    <row r="510">
      <c r="B510" s="865"/>
      <c r="C510" s="865"/>
      <c r="D510" s="865"/>
      <c r="E510" s="865"/>
      <c r="F510" s="896"/>
    </row>
    <row r="511">
      <c r="B511" s="865"/>
      <c r="C511" s="865"/>
      <c r="D511" s="865"/>
      <c r="E511" s="865"/>
      <c r="F511" s="896"/>
    </row>
    <row r="512">
      <c r="B512" s="865"/>
      <c r="C512" s="865"/>
      <c r="D512" s="865"/>
      <c r="E512" s="865"/>
      <c r="F512" s="896"/>
    </row>
    <row r="513">
      <c r="B513" s="865"/>
      <c r="C513" s="865"/>
      <c r="D513" s="865"/>
      <c r="E513" s="865"/>
      <c r="F513" s="896"/>
    </row>
    <row r="514">
      <c r="B514" s="865"/>
      <c r="C514" s="865"/>
      <c r="D514" s="865"/>
      <c r="E514" s="865"/>
      <c r="F514" s="896"/>
    </row>
    <row r="515">
      <c r="B515" s="865"/>
      <c r="C515" s="865"/>
      <c r="D515" s="865"/>
      <c r="E515" s="865"/>
      <c r="F515" s="896"/>
    </row>
    <row r="516">
      <c r="B516" s="865"/>
      <c r="C516" s="865"/>
      <c r="D516" s="865"/>
      <c r="E516" s="865"/>
      <c r="F516" s="896"/>
    </row>
    <row r="517">
      <c r="B517" s="865"/>
      <c r="C517" s="865"/>
      <c r="D517" s="865"/>
      <c r="E517" s="865"/>
      <c r="F517" s="896"/>
    </row>
    <row r="518">
      <c r="B518" s="865"/>
      <c r="C518" s="865"/>
      <c r="D518" s="865"/>
      <c r="E518" s="865"/>
      <c r="F518" s="896"/>
    </row>
    <row r="519">
      <c r="B519" s="865"/>
      <c r="C519" s="865"/>
      <c r="D519" s="865"/>
      <c r="E519" s="865"/>
      <c r="F519" s="896"/>
    </row>
    <row r="520">
      <c r="B520" s="865"/>
      <c r="C520" s="865"/>
      <c r="D520" s="865"/>
      <c r="E520" s="865"/>
      <c r="F520" s="896"/>
    </row>
    <row r="521">
      <c r="B521" s="865"/>
      <c r="C521" s="865"/>
      <c r="D521" s="865"/>
      <c r="E521" s="865"/>
      <c r="F521" s="896"/>
    </row>
    <row r="522">
      <c r="B522" s="865"/>
      <c r="C522" s="865"/>
      <c r="D522" s="865"/>
      <c r="E522" s="865"/>
      <c r="F522" s="896"/>
    </row>
    <row r="523">
      <c r="B523" s="865"/>
      <c r="C523" s="865"/>
      <c r="D523" s="865"/>
      <c r="E523" s="865"/>
      <c r="F523" s="896"/>
    </row>
    <row r="524">
      <c r="B524" s="865"/>
      <c r="C524" s="865"/>
      <c r="D524" s="865"/>
      <c r="E524" s="865"/>
      <c r="F524" s="896"/>
    </row>
    <row r="525">
      <c r="B525" s="865"/>
      <c r="C525" s="865"/>
      <c r="D525" s="865"/>
      <c r="E525" s="865"/>
      <c r="F525" s="896"/>
    </row>
    <row r="526">
      <c r="B526" s="865"/>
      <c r="C526" s="865"/>
      <c r="D526" s="865"/>
      <c r="E526" s="865"/>
      <c r="F526" s="896"/>
    </row>
    <row r="527">
      <c r="B527" s="865"/>
      <c r="C527" s="865"/>
      <c r="D527" s="865"/>
      <c r="E527" s="865"/>
      <c r="F527" s="896"/>
    </row>
    <row r="528">
      <c r="B528" s="865"/>
      <c r="C528" s="865"/>
      <c r="D528" s="865"/>
      <c r="E528" s="865"/>
      <c r="F528" s="896"/>
    </row>
    <row r="529">
      <c r="B529" s="865"/>
      <c r="C529" s="865"/>
      <c r="D529" s="865"/>
      <c r="E529" s="865"/>
      <c r="F529" s="896"/>
    </row>
    <row r="530">
      <c r="B530" s="865"/>
      <c r="C530" s="865"/>
      <c r="D530" s="865"/>
      <c r="E530" s="865"/>
      <c r="F530" s="896"/>
    </row>
    <row r="531">
      <c r="B531" s="865"/>
      <c r="C531" s="865"/>
      <c r="D531" s="865"/>
      <c r="E531" s="865"/>
      <c r="F531" s="896"/>
    </row>
    <row r="532">
      <c r="B532" s="865"/>
      <c r="C532" s="865"/>
      <c r="D532" s="865"/>
      <c r="E532" s="865"/>
      <c r="F532" s="896"/>
    </row>
    <row r="533">
      <c r="B533" s="865"/>
      <c r="C533" s="865"/>
      <c r="D533" s="865"/>
      <c r="E533" s="865"/>
      <c r="F533" s="896"/>
    </row>
    <row r="534">
      <c r="B534" s="865"/>
      <c r="C534" s="865"/>
      <c r="D534" s="865"/>
      <c r="E534" s="865"/>
      <c r="F534" s="896"/>
    </row>
    <row r="535">
      <c r="B535" s="865"/>
      <c r="C535" s="865"/>
      <c r="D535" s="865"/>
      <c r="E535" s="865"/>
      <c r="F535" s="896"/>
    </row>
    <row r="536">
      <c r="B536" s="865"/>
      <c r="C536" s="865"/>
      <c r="D536" s="865"/>
      <c r="E536" s="865"/>
      <c r="F536" s="896"/>
    </row>
    <row r="537">
      <c r="B537" s="865"/>
      <c r="C537" s="865"/>
      <c r="D537" s="865"/>
      <c r="E537" s="865"/>
      <c r="F537" s="896"/>
    </row>
    <row r="538">
      <c r="B538" s="865"/>
      <c r="C538" s="865"/>
      <c r="D538" s="865"/>
      <c r="E538" s="865"/>
      <c r="F538" s="896"/>
    </row>
    <row r="539">
      <c r="B539" s="865"/>
      <c r="C539" s="865"/>
      <c r="D539" s="865"/>
      <c r="E539" s="865"/>
      <c r="F539" s="896"/>
    </row>
    <row r="540">
      <c r="B540" s="865"/>
      <c r="C540" s="865"/>
      <c r="D540" s="865"/>
      <c r="E540" s="865"/>
      <c r="F540" s="896"/>
    </row>
    <row r="541">
      <c r="B541" s="865"/>
      <c r="C541" s="865"/>
      <c r="D541" s="865"/>
      <c r="E541" s="865"/>
      <c r="F541" s="896"/>
    </row>
    <row r="542">
      <c r="B542" s="865"/>
      <c r="C542" s="865"/>
      <c r="D542" s="865"/>
      <c r="E542" s="865"/>
      <c r="F542" s="896"/>
    </row>
    <row r="543">
      <c r="B543" s="865"/>
      <c r="C543" s="865"/>
      <c r="D543" s="865"/>
      <c r="E543" s="865"/>
      <c r="F543" s="896"/>
    </row>
    <row r="544">
      <c r="B544" s="865"/>
      <c r="C544" s="865"/>
      <c r="D544" s="865"/>
      <c r="E544" s="865"/>
      <c r="F544" s="896"/>
    </row>
    <row r="545">
      <c r="B545" s="865"/>
      <c r="C545" s="865"/>
      <c r="D545" s="865"/>
      <c r="E545" s="865"/>
      <c r="F545" s="896"/>
    </row>
    <row r="546">
      <c r="B546" s="865"/>
      <c r="C546" s="865"/>
      <c r="D546" s="865"/>
      <c r="E546" s="865"/>
      <c r="F546" s="896"/>
    </row>
    <row r="547">
      <c r="B547" s="865"/>
      <c r="C547" s="865"/>
      <c r="D547" s="865"/>
      <c r="E547" s="865"/>
      <c r="F547" s="896"/>
    </row>
    <row r="548">
      <c r="B548" s="865"/>
      <c r="C548" s="865"/>
      <c r="D548" s="865"/>
      <c r="E548" s="865"/>
      <c r="F548" s="896"/>
    </row>
    <row r="549">
      <c r="B549" s="865"/>
      <c r="C549" s="865"/>
      <c r="D549" s="865"/>
      <c r="E549" s="865"/>
      <c r="F549" s="896"/>
    </row>
    <row r="550">
      <c r="B550" s="865"/>
      <c r="C550" s="865"/>
      <c r="D550" s="865"/>
      <c r="E550" s="865"/>
      <c r="F550" s="896"/>
    </row>
    <row r="551">
      <c r="B551" s="865"/>
      <c r="C551" s="865"/>
      <c r="D551" s="865"/>
      <c r="E551" s="865"/>
      <c r="F551" s="896"/>
    </row>
    <row r="552">
      <c r="B552" s="865"/>
      <c r="C552" s="865"/>
      <c r="D552" s="865"/>
      <c r="E552" s="865"/>
      <c r="F552" s="896"/>
    </row>
    <row r="553">
      <c r="B553" s="865"/>
      <c r="C553" s="865"/>
      <c r="D553" s="865"/>
      <c r="E553" s="865"/>
      <c r="F553" s="896"/>
    </row>
    <row r="554">
      <c r="B554" s="865"/>
      <c r="C554" s="865"/>
      <c r="D554" s="865"/>
      <c r="E554" s="865"/>
      <c r="F554" s="896"/>
    </row>
    <row r="555">
      <c r="B555" s="865"/>
      <c r="C555" s="865"/>
      <c r="D555" s="865"/>
      <c r="E555" s="865"/>
      <c r="F555" s="896"/>
    </row>
    <row r="556">
      <c r="B556" s="865"/>
      <c r="C556" s="865"/>
      <c r="D556" s="865"/>
      <c r="E556" s="865"/>
      <c r="F556" s="896"/>
    </row>
    <row r="557">
      <c r="B557" s="865"/>
      <c r="C557" s="865"/>
      <c r="D557" s="865"/>
      <c r="E557" s="865"/>
      <c r="F557" s="896"/>
    </row>
    <row r="558">
      <c r="B558" s="865"/>
      <c r="C558" s="865"/>
      <c r="D558" s="865"/>
      <c r="E558" s="865"/>
      <c r="F558" s="896"/>
    </row>
    <row r="559">
      <c r="B559" s="865"/>
      <c r="C559" s="865"/>
      <c r="D559" s="865"/>
      <c r="E559" s="865"/>
      <c r="F559" s="896"/>
    </row>
    <row r="560">
      <c r="B560" s="865"/>
      <c r="C560" s="865"/>
      <c r="D560" s="865"/>
      <c r="E560" s="865"/>
      <c r="F560" s="896"/>
    </row>
    <row r="561">
      <c r="B561" s="865"/>
      <c r="C561" s="865"/>
      <c r="D561" s="865"/>
      <c r="E561" s="865"/>
      <c r="F561" s="896"/>
    </row>
    <row r="562">
      <c r="B562" s="865"/>
      <c r="C562" s="865"/>
      <c r="D562" s="865"/>
      <c r="E562" s="865"/>
      <c r="F562" s="896"/>
    </row>
    <row r="563">
      <c r="B563" s="865"/>
      <c r="C563" s="865"/>
      <c r="D563" s="865"/>
      <c r="E563" s="865"/>
      <c r="F563" s="896"/>
    </row>
    <row r="564">
      <c r="B564" s="865"/>
      <c r="C564" s="865"/>
      <c r="D564" s="865"/>
      <c r="E564" s="865"/>
      <c r="F564" s="896"/>
    </row>
    <row r="565">
      <c r="B565" s="865"/>
      <c r="C565" s="865"/>
      <c r="D565" s="865"/>
      <c r="E565" s="865"/>
      <c r="F565" s="896"/>
    </row>
    <row r="566">
      <c r="B566" s="865"/>
      <c r="C566" s="865"/>
      <c r="D566" s="865"/>
      <c r="E566" s="865"/>
      <c r="F566" s="896"/>
    </row>
    <row r="567">
      <c r="B567" s="865"/>
      <c r="C567" s="865"/>
      <c r="D567" s="865"/>
      <c r="E567" s="865"/>
      <c r="F567" s="896"/>
    </row>
    <row r="568">
      <c r="B568" s="865"/>
      <c r="C568" s="865"/>
      <c r="D568" s="865"/>
      <c r="E568" s="865"/>
      <c r="F568" s="896"/>
    </row>
    <row r="569">
      <c r="B569" s="865"/>
      <c r="C569" s="865"/>
      <c r="D569" s="865"/>
      <c r="E569" s="865"/>
      <c r="F569" s="896"/>
    </row>
    <row r="570">
      <c r="B570" s="865"/>
      <c r="C570" s="865"/>
      <c r="D570" s="865"/>
      <c r="E570" s="865"/>
      <c r="F570" s="896"/>
    </row>
    <row r="571">
      <c r="B571" s="865"/>
      <c r="C571" s="865"/>
      <c r="D571" s="865"/>
      <c r="E571" s="865"/>
      <c r="F571" s="896"/>
    </row>
    <row r="572">
      <c r="B572" s="865"/>
      <c r="C572" s="865"/>
      <c r="D572" s="865"/>
      <c r="E572" s="865"/>
      <c r="F572" s="896"/>
    </row>
    <row r="573">
      <c r="B573" s="865"/>
      <c r="C573" s="865"/>
      <c r="D573" s="865"/>
      <c r="E573" s="865"/>
      <c r="F573" s="896"/>
    </row>
    <row r="574">
      <c r="B574" s="865"/>
      <c r="C574" s="865"/>
      <c r="D574" s="865"/>
      <c r="E574" s="865"/>
      <c r="F574" s="896"/>
    </row>
    <row r="575">
      <c r="B575" s="865"/>
      <c r="C575" s="865"/>
      <c r="D575" s="865"/>
      <c r="E575" s="865"/>
      <c r="F575" s="896"/>
    </row>
    <row r="576">
      <c r="B576" s="865"/>
      <c r="C576" s="865"/>
      <c r="D576" s="865"/>
      <c r="E576" s="865"/>
      <c r="F576" s="896"/>
    </row>
    <row r="577">
      <c r="B577" s="865"/>
      <c r="C577" s="865"/>
      <c r="D577" s="865"/>
      <c r="E577" s="865"/>
      <c r="F577" s="896"/>
    </row>
    <row r="578">
      <c r="B578" s="865"/>
      <c r="C578" s="865"/>
      <c r="D578" s="865"/>
      <c r="E578" s="865"/>
      <c r="F578" s="896"/>
    </row>
    <row r="579">
      <c r="B579" s="865"/>
      <c r="C579" s="865"/>
      <c r="D579" s="865"/>
      <c r="E579" s="865"/>
      <c r="F579" s="896"/>
    </row>
    <row r="580">
      <c r="B580" s="865"/>
      <c r="C580" s="865"/>
      <c r="D580" s="865"/>
      <c r="E580" s="865"/>
      <c r="F580" s="896"/>
    </row>
    <row r="581">
      <c r="B581" s="865"/>
      <c r="C581" s="865"/>
      <c r="D581" s="865"/>
      <c r="E581" s="865"/>
      <c r="F581" s="896"/>
    </row>
    <row r="582">
      <c r="B582" s="865"/>
      <c r="C582" s="865"/>
      <c r="D582" s="865"/>
      <c r="E582" s="865"/>
      <c r="F582" s="896"/>
    </row>
    <row r="583">
      <c r="B583" s="865"/>
      <c r="C583" s="865"/>
      <c r="D583" s="865"/>
      <c r="E583" s="865"/>
      <c r="F583" s="896"/>
    </row>
    <row r="584">
      <c r="B584" s="865"/>
      <c r="C584" s="865"/>
      <c r="D584" s="865"/>
      <c r="E584" s="865"/>
      <c r="F584" s="896"/>
    </row>
    <row r="585">
      <c r="B585" s="865"/>
      <c r="C585" s="865"/>
      <c r="D585" s="865"/>
      <c r="E585" s="865"/>
      <c r="F585" s="896"/>
    </row>
    <row r="586">
      <c r="B586" s="865"/>
      <c r="C586" s="865"/>
      <c r="D586" s="865"/>
      <c r="E586" s="865"/>
      <c r="F586" s="896"/>
    </row>
    <row r="587">
      <c r="B587" s="865"/>
      <c r="C587" s="865"/>
      <c r="D587" s="865"/>
      <c r="E587" s="865"/>
      <c r="F587" s="896"/>
    </row>
    <row r="588">
      <c r="B588" s="865"/>
      <c r="C588" s="865"/>
      <c r="D588" s="865"/>
      <c r="E588" s="865"/>
      <c r="F588" s="896"/>
    </row>
    <row r="589">
      <c r="B589" s="865"/>
      <c r="C589" s="865"/>
      <c r="D589" s="865"/>
      <c r="E589" s="865"/>
      <c r="F589" s="896"/>
    </row>
    <row r="590">
      <c r="B590" s="865"/>
      <c r="C590" s="865"/>
      <c r="D590" s="865"/>
      <c r="E590" s="865"/>
      <c r="F590" s="896"/>
    </row>
    <row r="591">
      <c r="B591" s="865"/>
      <c r="C591" s="865"/>
      <c r="D591" s="865"/>
      <c r="E591" s="865"/>
      <c r="F591" s="896"/>
    </row>
    <row r="592">
      <c r="B592" s="865"/>
      <c r="C592" s="865"/>
      <c r="D592" s="865"/>
      <c r="E592" s="865"/>
      <c r="F592" s="896"/>
    </row>
    <row r="593">
      <c r="B593" s="865"/>
      <c r="C593" s="865"/>
      <c r="D593" s="865"/>
      <c r="E593" s="865"/>
      <c r="F593" s="896"/>
    </row>
    <row r="594">
      <c r="B594" s="865"/>
      <c r="C594" s="865"/>
      <c r="D594" s="865"/>
      <c r="E594" s="865"/>
      <c r="F594" s="896"/>
    </row>
    <row r="595">
      <c r="B595" s="865"/>
      <c r="C595" s="865"/>
      <c r="D595" s="865"/>
      <c r="E595" s="865"/>
      <c r="F595" s="896"/>
    </row>
    <row r="596">
      <c r="B596" s="865"/>
      <c r="C596" s="865"/>
      <c r="D596" s="865"/>
      <c r="E596" s="865"/>
      <c r="F596" s="896"/>
    </row>
    <row r="597">
      <c r="B597" s="865"/>
      <c r="C597" s="865"/>
      <c r="D597" s="865"/>
      <c r="E597" s="865"/>
      <c r="F597" s="896"/>
    </row>
    <row r="598">
      <c r="B598" s="865"/>
      <c r="C598" s="865"/>
      <c r="D598" s="865"/>
      <c r="E598" s="865"/>
      <c r="F598" s="896"/>
    </row>
    <row r="599">
      <c r="B599" s="865"/>
      <c r="C599" s="865"/>
      <c r="D599" s="865"/>
      <c r="E599" s="865"/>
      <c r="F599" s="896"/>
    </row>
    <row r="600">
      <c r="B600" s="865"/>
      <c r="C600" s="865"/>
      <c r="D600" s="865"/>
      <c r="E600" s="865"/>
      <c r="F600" s="896"/>
    </row>
    <row r="601">
      <c r="B601" s="865"/>
      <c r="C601" s="865"/>
      <c r="D601" s="865"/>
      <c r="E601" s="865"/>
      <c r="F601" s="896"/>
    </row>
    <row r="602">
      <c r="B602" s="865"/>
      <c r="C602" s="865"/>
      <c r="D602" s="865"/>
      <c r="E602" s="865"/>
      <c r="F602" s="896"/>
    </row>
    <row r="603">
      <c r="B603" s="865"/>
      <c r="C603" s="865"/>
      <c r="D603" s="865"/>
      <c r="E603" s="865"/>
      <c r="F603" s="896"/>
    </row>
    <row r="604">
      <c r="B604" s="865"/>
      <c r="C604" s="865"/>
      <c r="D604" s="865"/>
      <c r="E604" s="865"/>
      <c r="F604" s="896"/>
    </row>
    <row r="605">
      <c r="B605" s="865"/>
      <c r="C605" s="865"/>
      <c r="D605" s="865"/>
      <c r="E605" s="865"/>
      <c r="F605" s="896"/>
    </row>
    <row r="606">
      <c r="B606" s="865"/>
      <c r="C606" s="865"/>
      <c r="D606" s="865"/>
      <c r="E606" s="865"/>
      <c r="F606" s="896"/>
    </row>
    <row r="607">
      <c r="B607" s="865"/>
      <c r="C607" s="865"/>
      <c r="D607" s="865"/>
      <c r="E607" s="865"/>
      <c r="F607" s="896"/>
    </row>
    <row r="608">
      <c r="B608" s="865"/>
      <c r="C608" s="865"/>
      <c r="D608" s="865"/>
      <c r="E608" s="865"/>
      <c r="F608" s="896"/>
    </row>
    <row r="609">
      <c r="B609" s="865"/>
      <c r="C609" s="865"/>
      <c r="D609" s="865"/>
      <c r="E609" s="865"/>
      <c r="F609" s="896"/>
    </row>
    <row r="610">
      <c r="B610" s="865"/>
      <c r="C610" s="865"/>
      <c r="D610" s="865"/>
      <c r="E610" s="865"/>
      <c r="F610" s="896"/>
    </row>
    <row r="611">
      <c r="B611" s="865"/>
      <c r="C611" s="865"/>
      <c r="D611" s="865"/>
      <c r="E611" s="865"/>
      <c r="F611" s="896"/>
    </row>
    <row r="612">
      <c r="B612" s="865"/>
      <c r="C612" s="865"/>
      <c r="D612" s="865"/>
      <c r="E612" s="865"/>
      <c r="F612" s="896"/>
    </row>
    <row r="613">
      <c r="B613" s="865"/>
      <c r="C613" s="865"/>
      <c r="D613" s="865"/>
      <c r="E613" s="865"/>
      <c r="F613" s="896"/>
    </row>
    <row r="614">
      <c r="B614" s="865"/>
      <c r="C614" s="865"/>
      <c r="D614" s="865"/>
      <c r="E614" s="865"/>
      <c r="F614" s="896"/>
    </row>
    <row r="615">
      <c r="B615" s="865"/>
      <c r="C615" s="865"/>
      <c r="D615" s="865"/>
      <c r="E615" s="865"/>
      <c r="F615" s="896"/>
    </row>
    <row r="616">
      <c r="B616" s="865"/>
      <c r="C616" s="865"/>
      <c r="D616" s="865"/>
      <c r="E616" s="865"/>
      <c r="F616" s="896"/>
    </row>
    <row r="617">
      <c r="B617" s="865"/>
      <c r="C617" s="865"/>
      <c r="D617" s="865"/>
      <c r="E617" s="865"/>
      <c r="F617" s="896"/>
    </row>
    <row r="618">
      <c r="B618" s="865"/>
      <c r="C618" s="865"/>
      <c r="D618" s="865"/>
      <c r="E618" s="865"/>
      <c r="F618" s="896"/>
    </row>
    <row r="619">
      <c r="B619" s="865"/>
      <c r="C619" s="865"/>
      <c r="D619" s="865"/>
      <c r="E619" s="865"/>
      <c r="F619" s="896"/>
    </row>
    <row r="620">
      <c r="B620" s="865"/>
      <c r="C620" s="865"/>
      <c r="D620" s="865"/>
      <c r="E620" s="865"/>
      <c r="F620" s="896"/>
    </row>
    <row r="621">
      <c r="B621" s="865"/>
      <c r="C621" s="865"/>
      <c r="D621" s="865"/>
      <c r="E621" s="865"/>
      <c r="F621" s="896"/>
    </row>
    <row r="622">
      <c r="B622" s="865"/>
      <c r="C622" s="865"/>
      <c r="D622" s="865"/>
      <c r="E622" s="865"/>
      <c r="F622" s="896"/>
    </row>
    <row r="623">
      <c r="B623" s="865"/>
      <c r="C623" s="865"/>
      <c r="D623" s="865"/>
      <c r="E623" s="865"/>
      <c r="F623" s="896"/>
    </row>
    <row r="624">
      <c r="B624" s="865"/>
      <c r="C624" s="865"/>
      <c r="D624" s="865"/>
      <c r="E624" s="865"/>
      <c r="F624" s="896"/>
    </row>
    <row r="625">
      <c r="B625" s="865"/>
      <c r="C625" s="865"/>
      <c r="D625" s="865"/>
      <c r="E625" s="865"/>
      <c r="F625" s="896"/>
    </row>
    <row r="626">
      <c r="B626" s="865"/>
      <c r="C626" s="865"/>
      <c r="D626" s="865"/>
      <c r="E626" s="865"/>
      <c r="F626" s="896"/>
    </row>
    <row r="627">
      <c r="B627" s="865"/>
      <c r="C627" s="865"/>
      <c r="D627" s="865"/>
      <c r="E627" s="865"/>
      <c r="F627" s="896"/>
    </row>
    <row r="628">
      <c r="B628" s="865"/>
      <c r="C628" s="865"/>
      <c r="D628" s="865"/>
      <c r="E628" s="865"/>
      <c r="F628" s="896"/>
    </row>
    <row r="629">
      <c r="B629" s="865"/>
      <c r="C629" s="865"/>
      <c r="D629" s="865"/>
      <c r="E629" s="865"/>
      <c r="F629" s="896"/>
    </row>
    <row r="630">
      <c r="B630" s="865"/>
      <c r="C630" s="865"/>
      <c r="D630" s="865"/>
      <c r="E630" s="865"/>
      <c r="F630" s="896"/>
    </row>
    <row r="631">
      <c r="B631" s="865"/>
      <c r="C631" s="865"/>
      <c r="D631" s="865"/>
      <c r="E631" s="865"/>
      <c r="F631" s="896"/>
    </row>
    <row r="632">
      <c r="B632" s="865"/>
      <c r="C632" s="865"/>
      <c r="D632" s="865"/>
      <c r="E632" s="865"/>
      <c r="F632" s="896"/>
    </row>
    <row r="633">
      <c r="B633" s="865"/>
      <c r="C633" s="865"/>
      <c r="D633" s="865"/>
      <c r="E633" s="865"/>
      <c r="F633" s="896"/>
    </row>
    <row r="634">
      <c r="B634" s="865"/>
      <c r="C634" s="865"/>
      <c r="D634" s="865"/>
      <c r="E634" s="865"/>
      <c r="F634" s="896"/>
    </row>
    <row r="635">
      <c r="B635" s="865"/>
      <c r="C635" s="865"/>
      <c r="D635" s="865"/>
      <c r="E635" s="865"/>
      <c r="F635" s="896"/>
    </row>
    <row r="636">
      <c r="B636" s="865"/>
      <c r="C636" s="865"/>
      <c r="D636" s="865"/>
      <c r="E636" s="865"/>
      <c r="F636" s="896"/>
    </row>
    <row r="637">
      <c r="B637" s="865"/>
      <c r="C637" s="865"/>
      <c r="D637" s="865"/>
      <c r="E637" s="865"/>
      <c r="F637" s="896"/>
    </row>
    <row r="638">
      <c r="B638" s="865"/>
      <c r="C638" s="865"/>
      <c r="D638" s="865"/>
      <c r="E638" s="865"/>
      <c r="F638" s="896"/>
    </row>
    <row r="639">
      <c r="B639" s="865"/>
      <c r="C639" s="865"/>
      <c r="D639" s="865"/>
      <c r="E639" s="865"/>
      <c r="F639" s="896"/>
    </row>
    <row r="640">
      <c r="B640" s="865"/>
      <c r="C640" s="865"/>
      <c r="D640" s="865"/>
      <c r="E640" s="865"/>
      <c r="F640" s="896"/>
    </row>
    <row r="641">
      <c r="B641" s="865"/>
      <c r="C641" s="865"/>
      <c r="D641" s="865"/>
      <c r="E641" s="865"/>
      <c r="F641" s="896"/>
    </row>
    <row r="642">
      <c r="B642" s="865"/>
      <c r="C642" s="865"/>
      <c r="D642" s="865"/>
      <c r="E642" s="865"/>
      <c r="F642" s="896"/>
    </row>
    <row r="643">
      <c r="B643" s="865"/>
      <c r="C643" s="865"/>
      <c r="D643" s="865"/>
      <c r="E643" s="865"/>
      <c r="F643" s="896"/>
    </row>
    <row r="644">
      <c r="B644" s="865"/>
      <c r="C644" s="865"/>
      <c r="D644" s="865"/>
      <c r="E644" s="865"/>
      <c r="F644" s="896"/>
    </row>
    <row r="645">
      <c r="B645" s="865"/>
      <c r="C645" s="865"/>
      <c r="D645" s="865"/>
      <c r="E645" s="865"/>
      <c r="F645" s="896"/>
    </row>
    <row r="646">
      <c r="B646" s="865"/>
      <c r="C646" s="865"/>
      <c r="D646" s="865"/>
      <c r="E646" s="865"/>
      <c r="F646" s="896"/>
    </row>
    <row r="647">
      <c r="B647" s="865"/>
      <c r="C647" s="865"/>
      <c r="D647" s="865"/>
      <c r="E647" s="865"/>
      <c r="F647" s="896"/>
    </row>
    <row r="648">
      <c r="B648" s="865"/>
      <c r="C648" s="865"/>
      <c r="D648" s="865"/>
      <c r="E648" s="865"/>
      <c r="F648" s="896"/>
    </row>
    <row r="649">
      <c r="B649" s="865"/>
      <c r="C649" s="865"/>
      <c r="D649" s="865"/>
      <c r="E649" s="865"/>
      <c r="F649" s="896"/>
    </row>
    <row r="650">
      <c r="B650" s="865"/>
      <c r="C650" s="865"/>
      <c r="D650" s="865"/>
      <c r="E650" s="865"/>
      <c r="F650" s="896"/>
    </row>
    <row r="651">
      <c r="B651" s="865"/>
      <c r="C651" s="865"/>
      <c r="D651" s="865"/>
      <c r="E651" s="865"/>
      <c r="F651" s="896"/>
    </row>
    <row r="652">
      <c r="B652" s="865"/>
      <c r="C652" s="865"/>
      <c r="D652" s="865"/>
      <c r="E652" s="865"/>
      <c r="F652" s="896"/>
    </row>
    <row r="653">
      <c r="B653" s="865"/>
      <c r="C653" s="865"/>
      <c r="D653" s="865"/>
      <c r="E653" s="865"/>
      <c r="F653" s="896"/>
    </row>
    <row r="654">
      <c r="B654" s="865"/>
      <c r="C654" s="865"/>
      <c r="D654" s="865"/>
      <c r="E654" s="865"/>
      <c r="F654" s="896"/>
    </row>
    <row r="655">
      <c r="B655" s="865"/>
      <c r="C655" s="865"/>
      <c r="D655" s="865"/>
      <c r="E655" s="865"/>
      <c r="F655" s="896"/>
    </row>
    <row r="656">
      <c r="B656" s="865"/>
      <c r="C656" s="865"/>
      <c r="D656" s="865"/>
      <c r="E656" s="865"/>
      <c r="F656" s="896"/>
    </row>
    <row r="657">
      <c r="B657" s="865"/>
      <c r="C657" s="865"/>
      <c r="D657" s="865"/>
      <c r="E657" s="865"/>
      <c r="F657" s="896"/>
    </row>
    <row r="658">
      <c r="B658" s="865"/>
      <c r="C658" s="865"/>
      <c r="D658" s="865"/>
      <c r="E658" s="865"/>
      <c r="F658" s="896"/>
    </row>
    <row r="659">
      <c r="B659" s="865"/>
      <c r="C659" s="865"/>
      <c r="D659" s="865"/>
      <c r="E659" s="865"/>
      <c r="F659" s="896"/>
    </row>
    <row r="660">
      <c r="B660" s="865"/>
      <c r="C660" s="865"/>
      <c r="D660" s="865"/>
      <c r="E660" s="865"/>
      <c r="F660" s="896"/>
    </row>
    <row r="661">
      <c r="B661" s="865"/>
      <c r="C661" s="865"/>
      <c r="D661" s="865"/>
      <c r="E661" s="865"/>
      <c r="F661" s="896"/>
    </row>
    <row r="662">
      <c r="B662" s="865"/>
      <c r="C662" s="865"/>
      <c r="D662" s="865"/>
      <c r="E662" s="865"/>
      <c r="F662" s="896"/>
    </row>
    <row r="663">
      <c r="B663" s="865"/>
      <c r="C663" s="865"/>
      <c r="D663" s="865"/>
      <c r="E663" s="865"/>
      <c r="F663" s="896"/>
    </row>
    <row r="664">
      <c r="B664" s="865"/>
      <c r="C664" s="865"/>
      <c r="D664" s="865"/>
      <c r="E664" s="865"/>
      <c r="F664" s="896"/>
    </row>
    <row r="665">
      <c r="B665" s="865"/>
      <c r="C665" s="865"/>
      <c r="D665" s="865"/>
      <c r="E665" s="865"/>
      <c r="F665" s="896"/>
    </row>
    <row r="666">
      <c r="B666" s="865"/>
      <c r="C666" s="865"/>
      <c r="D666" s="865"/>
      <c r="E666" s="865"/>
      <c r="F666" s="896"/>
    </row>
    <row r="667">
      <c r="B667" s="865"/>
      <c r="C667" s="865"/>
      <c r="D667" s="865"/>
      <c r="E667" s="865"/>
      <c r="F667" s="896"/>
    </row>
    <row r="668">
      <c r="B668" s="865"/>
      <c r="C668" s="865"/>
      <c r="D668" s="865"/>
      <c r="E668" s="865"/>
      <c r="F668" s="896"/>
    </row>
    <row r="669">
      <c r="B669" s="865"/>
      <c r="C669" s="865"/>
      <c r="D669" s="865"/>
      <c r="E669" s="865"/>
      <c r="F669" s="896"/>
    </row>
    <row r="670">
      <c r="B670" s="865"/>
      <c r="C670" s="865"/>
      <c r="D670" s="865"/>
      <c r="E670" s="865"/>
      <c r="F670" s="896"/>
    </row>
    <row r="671">
      <c r="B671" s="865"/>
      <c r="C671" s="865"/>
      <c r="D671" s="865"/>
      <c r="E671" s="865"/>
      <c r="F671" s="896"/>
    </row>
    <row r="672">
      <c r="B672" s="865"/>
      <c r="C672" s="865"/>
      <c r="D672" s="865"/>
      <c r="E672" s="865"/>
      <c r="F672" s="896"/>
    </row>
    <row r="673">
      <c r="B673" s="865"/>
      <c r="C673" s="865"/>
      <c r="D673" s="865"/>
      <c r="E673" s="865"/>
      <c r="F673" s="896"/>
    </row>
    <row r="674">
      <c r="B674" s="865"/>
      <c r="C674" s="865"/>
      <c r="D674" s="865"/>
      <c r="E674" s="865"/>
      <c r="F674" s="896"/>
    </row>
    <row r="675">
      <c r="B675" s="865"/>
      <c r="C675" s="865"/>
      <c r="D675" s="865"/>
      <c r="E675" s="865"/>
      <c r="F675" s="896"/>
    </row>
    <row r="676">
      <c r="B676" s="865"/>
      <c r="C676" s="865"/>
      <c r="D676" s="865"/>
      <c r="E676" s="865"/>
      <c r="F676" s="896"/>
    </row>
    <row r="677">
      <c r="B677" s="865"/>
      <c r="C677" s="865"/>
      <c r="D677" s="865"/>
      <c r="E677" s="865"/>
      <c r="F677" s="896"/>
    </row>
    <row r="678">
      <c r="B678" s="865"/>
      <c r="C678" s="865"/>
      <c r="D678" s="865"/>
      <c r="E678" s="865"/>
      <c r="F678" s="896"/>
    </row>
    <row r="679">
      <c r="B679" s="865"/>
      <c r="C679" s="865"/>
      <c r="D679" s="865"/>
      <c r="E679" s="865"/>
      <c r="F679" s="896"/>
    </row>
    <row r="680">
      <c r="B680" s="865"/>
      <c r="C680" s="865"/>
      <c r="D680" s="865"/>
      <c r="E680" s="865"/>
      <c r="F680" s="896"/>
    </row>
    <row r="681">
      <c r="B681" s="865"/>
      <c r="C681" s="865"/>
      <c r="D681" s="865"/>
      <c r="E681" s="865"/>
      <c r="F681" s="896"/>
    </row>
    <row r="682">
      <c r="B682" s="865"/>
      <c r="C682" s="865"/>
      <c r="D682" s="865"/>
      <c r="E682" s="865"/>
      <c r="F682" s="896"/>
    </row>
    <row r="683">
      <c r="B683" s="865"/>
      <c r="C683" s="865"/>
      <c r="D683" s="865"/>
      <c r="E683" s="865"/>
      <c r="F683" s="896"/>
    </row>
    <row r="684">
      <c r="B684" s="865"/>
      <c r="C684" s="865"/>
      <c r="D684" s="865"/>
      <c r="E684" s="865"/>
      <c r="F684" s="896"/>
    </row>
    <row r="685">
      <c r="B685" s="865"/>
      <c r="C685" s="865"/>
      <c r="D685" s="865"/>
      <c r="E685" s="865"/>
      <c r="F685" s="896"/>
    </row>
    <row r="686">
      <c r="B686" s="865"/>
      <c r="C686" s="865"/>
      <c r="D686" s="865"/>
      <c r="E686" s="865"/>
      <c r="F686" s="896"/>
    </row>
    <row r="687">
      <c r="B687" s="865"/>
      <c r="C687" s="865"/>
      <c r="D687" s="865"/>
      <c r="E687" s="865"/>
      <c r="F687" s="896"/>
    </row>
    <row r="688">
      <c r="B688" s="865"/>
      <c r="C688" s="865"/>
      <c r="D688" s="865"/>
      <c r="E688" s="865"/>
      <c r="F688" s="896"/>
    </row>
    <row r="689">
      <c r="B689" s="865"/>
      <c r="C689" s="865"/>
      <c r="D689" s="865"/>
      <c r="E689" s="865"/>
      <c r="F689" s="896"/>
    </row>
    <row r="690">
      <c r="B690" s="865"/>
      <c r="C690" s="865"/>
      <c r="D690" s="865"/>
      <c r="E690" s="865"/>
      <c r="F690" s="896"/>
    </row>
    <row r="691">
      <c r="B691" s="865"/>
      <c r="C691" s="865"/>
      <c r="D691" s="865"/>
      <c r="E691" s="865"/>
      <c r="F691" s="896"/>
    </row>
    <row r="692">
      <c r="B692" s="865"/>
      <c r="C692" s="865"/>
      <c r="D692" s="865"/>
      <c r="E692" s="865"/>
      <c r="F692" s="896"/>
    </row>
    <row r="693">
      <c r="B693" s="865"/>
      <c r="C693" s="865"/>
      <c r="D693" s="865"/>
      <c r="E693" s="865"/>
      <c r="F693" s="896"/>
    </row>
    <row r="694">
      <c r="B694" s="865"/>
      <c r="C694" s="865"/>
      <c r="D694" s="865"/>
      <c r="E694" s="865"/>
      <c r="F694" s="896"/>
    </row>
    <row r="695">
      <c r="B695" s="865"/>
      <c r="C695" s="865"/>
      <c r="D695" s="865"/>
      <c r="E695" s="865"/>
      <c r="F695" s="896"/>
    </row>
    <row r="696">
      <c r="B696" s="865"/>
      <c r="C696" s="865"/>
      <c r="D696" s="865"/>
      <c r="E696" s="865"/>
      <c r="F696" s="896"/>
    </row>
    <row r="697">
      <c r="B697" s="865"/>
      <c r="C697" s="865"/>
      <c r="D697" s="865"/>
      <c r="E697" s="865"/>
      <c r="F697" s="896"/>
    </row>
    <row r="698">
      <c r="B698" s="865"/>
      <c r="C698" s="865"/>
      <c r="D698" s="865"/>
      <c r="E698" s="865"/>
      <c r="F698" s="896"/>
    </row>
    <row r="699">
      <c r="B699" s="865"/>
      <c r="C699" s="865"/>
      <c r="D699" s="865"/>
      <c r="E699" s="865"/>
      <c r="F699" s="896"/>
    </row>
    <row r="700">
      <c r="B700" s="865"/>
      <c r="C700" s="865"/>
      <c r="D700" s="865"/>
      <c r="E700" s="865"/>
      <c r="F700" s="896"/>
    </row>
    <row r="701">
      <c r="B701" s="865"/>
      <c r="C701" s="865"/>
      <c r="D701" s="865"/>
      <c r="E701" s="865"/>
      <c r="F701" s="896"/>
    </row>
    <row r="702">
      <c r="B702" s="865"/>
      <c r="C702" s="865"/>
      <c r="D702" s="865"/>
      <c r="E702" s="865"/>
      <c r="F702" s="896"/>
    </row>
    <row r="703">
      <c r="B703" s="865"/>
      <c r="C703" s="865"/>
      <c r="D703" s="865"/>
      <c r="E703" s="865"/>
      <c r="F703" s="896"/>
    </row>
    <row r="704">
      <c r="B704" s="865"/>
      <c r="C704" s="865"/>
      <c r="D704" s="865"/>
      <c r="E704" s="865"/>
      <c r="F704" s="896"/>
    </row>
    <row r="705">
      <c r="B705" s="865"/>
      <c r="C705" s="865"/>
      <c r="D705" s="865"/>
      <c r="E705" s="865"/>
      <c r="F705" s="896"/>
    </row>
    <row r="706">
      <c r="B706" s="865"/>
      <c r="C706" s="865"/>
      <c r="D706" s="865"/>
      <c r="E706" s="865"/>
      <c r="F706" s="896"/>
    </row>
    <row r="707">
      <c r="B707" s="865"/>
      <c r="C707" s="865"/>
      <c r="D707" s="865"/>
      <c r="E707" s="865"/>
      <c r="F707" s="896"/>
    </row>
    <row r="708">
      <c r="B708" s="865"/>
      <c r="C708" s="865"/>
      <c r="D708" s="865"/>
      <c r="E708" s="865"/>
      <c r="F708" s="896"/>
    </row>
    <row r="709">
      <c r="B709" s="865"/>
      <c r="C709" s="865"/>
      <c r="D709" s="865"/>
      <c r="E709" s="865"/>
      <c r="F709" s="896"/>
    </row>
    <row r="710">
      <c r="B710" s="865"/>
      <c r="C710" s="865"/>
      <c r="D710" s="865"/>
      <c r="E710" s="865"/>
      <c r="F710" s="896"/>
    </row>
    <row r="711">
      <c r="B711" s="865"/>
      <c r="C711" s="865"/>
      <c r="D711" s="865"/>
      <c r="E711" s="865"/>
      <c r="F711" s="896"/>
    </row>
    <row r="712">
      <c r="B712" s="865"/>
      <c r="C712" s="865"/>
      <c r="D712" s="865"/>
      <c r="E712" s="865"/>
      <c r="F712" s="896"/>
    </row>
    <row r="713">
      <c r="B713" s="865"/>
      <c r="C713" s="865"/>
      <c r="D713" s="865"/>
      <c r="E713" s="865"/>
      <c r="F713" s="896"/>
    </row>
    <row r="714">
      <c r="B714" s="865"/>
      <c r="C714" s="865"/>
      <c r="D714" s="865"/>
      <c r="E714" s="865"/>
      <c r="F714" s="896"/>
    </row>
    <row r="715">
      <c r="B715" s="865"/>
      <c r="C715" s="865"/>
      <c r="D715" s="865"/>
      <c r="E715" s="865"/>
      <c r="F715" s="896"/>
    </row>
    <row r="716">
      <c r="B716" s="865"/>
      <c r="C716" s="865"/>
      <c r="D716" s="865"/>
      <c r="E716" s="865"/>
      <c r="F716" s="896"/>
    </row>
    <row r="717">
      <c r="B717" s="865"/>
      <c r="C717" s="865"/>
      <c r="D717" s="865"/>
      <c r="E717" s="865"/>
      <c r="F717" s="896"/>
    </row>
    <row r="718">
      <c r="B718" s="865"/>
      <c r="C718" s="865"/>
      <c r="D718" s="865"/>
      <c r="E718" s="865"/>
      <c r="F718" s="896"/>
    </row>
    <row r="719">
      <c r="B719" s="865"/>
      <c r="C719" s="865"/>
      <c r="D719" s="865"/>
      <c r="E719" s="865"/>
      <c r="F719" s="896"/>
    </row>
    <row r="720">
      <c r="B720" s="865"/>
      <c r="C720" s="865"/>
      <c r="D720" s="865"/>
      <c r="E720" s="865"/>
      <c r="F720" s="896"/>
    </row>
    <row r="721">
      <c r="B721" s="865"/>
      <c r="C721" s="865"/>
      <c r="D721" s="865"/>
      <c r="E721" s="865"/>
      <c r="F721" s="896"/>
    </row>
    <row r="722">
      <c r="B722" s="865"/>
      <c r="C722" s="865"/>
      <c r="D722" s="865"/>
      <c r="E722" s="865"/>
      <c r="F722" s="896"/>
    </row>
    <row r="723">
      <c r="B723" s="865"/>
      <c r="C723" s="865"/>
      <c r="D723" s="865"/>
      <c r="E723" s="865"/>
      <c r="F723" s="896"/>
    </row>
    <row r="724">
      <c r="B724" s="865"/>
      <c r="C724" s="865"/>
      <c r="D724" s="865"/>
      <c r="E724" s="865"/>
      <c r="F724" s="896"/>
    </row>
    <row r="725">
      <c r="B725" s="865"/>
      <c r="C725" s="865"/>
      <c r="D725" s="865"/>
      <c r="E725" s="865"/>
      <c r="F725" s="896"/>
    </row>
    <row r="726">
      <c r="B726" s="865"/>
      <c r="C726" s="865"/>
      <c r="D726" s="865"/>
      <c r="E726" s="865"/>
      <c r="F726" s="896"/>
    </row>
    <row r="727">
      <c r="B727" s="865"/>
      <c r="C727" s="865"/>
      <c r="D727" s="865"/>
      <c r="E727" s="865"/>
      <c r="F727" s="896"/>
    </row>
    <row r="728">
      <c r="B728" s="865"/>
      <c r="C728" s="865"/>
      <c r="D728" s="865"/>
      <c r="E728" s="865"/>
      <c r="F728" s="896"/>
    </row>
    <row r="729">
      <c r="B729" s="865"/>
      <c r="C729" s="865"/>
      <c r="D729" s="865"/>
      <c r="E729" s="865"/>
      <c r="F729" s="896"/>
    </row>
    <row r="730">
      <c r="B730" s="865"/>
      <c r="C730" s="865"/>
      <c r="D730" s="865"/>
      <c r="E730" s="865"/>
      <c r="F730" s="896"/>
    </row>
    <row r="731">
      <c r="B731" s="865"/>
      <c r="C731" s="865"/>
      <c r="D731" s="865"/>
      <c r="E731" s="865"/>
      <c r="F731" s="896"/>
    </row>
    <row r="732">
      <c r="B732" s="865"/>
      <c r="C732" s="865"/>
      <c r="D732" s="865"/>
      <c r="E732" s="865"/>
      <c r="F732" s="896"/>
    </row>
    <row r="733">
      <c r="B733" s="865"/>
      <c r="C733" s="865"/>
      <c r="D733" s="865"/>
      <c r="E733" s="865"/>
      <c r="F733" s="896"/>
    </row>
    <row r="734">
      <c r="B734" s="865"/>
      <c r="C734" s="865"/>
      <c r="D734" s="865"/>
      <c r="E734" s="865"/>
      <c r="F734" s="896"/>
    </row>
    <row r="735">
      <c r="B735" s="865"/>
      <c r="C735" s="865"/>
      <c r="D735" s="865"/>
      <c r="E735" s="865"/>
      <c r="F735" s="896"/>
    </row>
    <row r="736">
      <c r="B736" s="865"/>
      <c r="C736" s="865"/>
      <c r="D736" s="865"/>
      <c r="E736" s="865"/>
      <c r="F736" s="896"/>
    </row>
    <row r="737">
      <c r="B737" s="865"/>
      <c r="C737" s="865"/>
      <c r="D737" s="865"/>
      <c r="E737" s="865"/>
      <c r="F737" s="896"/>
    </row>
    <row r="738">
      <c r="B738" s="865"/>
      <c r="C738" s="865"/>
      <c r="D738" s="865"/>
      <c r="E738" s="865"/>
      <c r="F738" s="896"/>
    </row>
    <row r="739">
      <c r="B739" s="865"/>
      <c r="C739" s="865"/>
      <c r="D739" s="865"/>
      <c r="E739" s="865"/>
      <c r="F739" s="896"/>
    </row>
    <row r="740">
      <c r="B740" s="865"/>
      <c r="C740" s="865"/>
      <c r="D740" s="865"/>
      <c r="E740" s="865"/>
      <c r="F740" s="896"/>
    </row>
    <row r="741">
      <c r="B741" s="865"/>
      <c r="C741" s="865"/>
      <c r="D741" s="865"/>
      <c r="E741" s="865"/>
      <c r="F741" s="896"/>
    </row>
    <row r="742">
      <c r="B742" s="865"/>
      <c r="C742" s="865"/>
      <c r="D742" s="865"/>
      <c r="E742" s="865"/>
      <c r="F742" s="896"/>
    </row>
    <row r="743">
      <c r="B743" s="865"/>
      <c r="C743" s="865"/>
      <c r="D743" s="865"/>
      <c r="E743" s="865"/>
      <c r="F743" s="896"/>
    </row>
    <row r="744">
      <c r="B744" s="865"/>
      <c r="C744" s="865"/>
      <c r="D744" s="865"/>
      <c r="E744" s="865"/>
      <c r="F744" s="896"/>
    </row>
    <row r="745">
      <c r="B745" s="865"/>
      <c r="C745" s="865"/>
      <c r="D745" s="865"/>
      <c r="E745" s="865"/>
      <c r="F745" s="896"/>
    </row>
    <row r="746">
      <c r="B746" s="865"/>
      <c r="C746" s="865"/>
      <c r="D746" s="865"/>
      <c r="E746" s="865"/>
      <c r="F746" s="896"/>
    </row>
    <row r="747">
      <c r="B747" s="865"/>
      <c r="C747" s="865"/>
      <c r="D747" s="865"/>
      <c r="E747" s="865"/>
      <c r="F747" s="896"/>
    </row>
    <row r="748">
      <c r="B748" s="865"/>
      <c r="C748" s="865"/>
      <c r="D748" s="865"/>
      <c r="E748" s="865"/>
      <c r="F748" s="896"/>
    </row>
    <row r="749">
      <c r="B749" s="865"/>
      <c r="C749" s="865"/>
      <c r="D749" s="865"/>
      <c r="E749" s="865"/>
      <c r="F749" s="896"/>
    </row>
    <row r="750">
      <c r="B750" s="865"/>
      <c r="C750" s="865"/>
      <c r="D750" s="865"/>
      <c r="E750" s="865"/>
      <c r="F750" s="896"/>
    </row>
    <row r="751">
      <c r="B751" s="865"/>
      <c r="C751" s="865"/>
      <c r="D751" s="865"/>
      <c r="E751" s="865"/>
      <c r="F751" s="896"/>
    </row>
    <row r="752">
      <c r="B752" s="865"/>
      <c r="C752" s="865"/>
      <c r="D752" s="865"/>
      <c r="E752" s="865"/>
      <c r="F752" s="896"/>
    </row>
    <row r="753">
      <c r="B753" s="865"/>
      <c r="C753" s="865"/>
      <c r="D753" s="865"/>
      <c r="E753" s="865"/>
      <c r="F753" s="896"/>
    </row>
    <row r="754">
      <c r="B754" s="865"/>
      <c r="C754" s="865"/>
      <c r="D754" s="865"/>
      <c r="E754" s="865"/>
      <c r="F754" s="896"/>
    </row>
    <row r="755">
      <c r="B755" s="865"/>
      <c r="C755" s="865"/>
      <c r="D755" s="865"/>
      <c r="E755" s="865"/>
      <c r="F755" s="896"/>
    </row>
    <row r="756">
      <c r="B756" s="865"/>
      <c r="C756" s="865"/>
      <c r="D756" s="865"/>
      <c r="E756" s="865"/>
      <c r="F756" s="896"/>
    </row>
    <row r="757">
      <c r="B757" s="865"/>
      <c r="C757" s="865"/>
      <c r="D757" s="865"/>
      <c r="E757" s="865"/>
      <c r="F757" s="896"/>
    </row>
    <row r="758">
      <c r="B758" s="865"/>
      <c r="C758" s="865"/>
      <c r="D758" s="865"/>
      <c r="E758" s="865"/>
      <c r="F758" s="896"/>
    </row>
    <row r="759">
      <c r="B759" s="865"/>
      <c r="C759" s="865"/>
      <c r="D759" s="865"/>
      <c r="E759" s="865"/>
      <c r="F759" s="896"/>
    </row>
    <row r="760">
      <c r="B760" s="865"/>
      <c r="C760" s="865"/>
      <c r="D760" s="865"/>
      <c r="E760" s="865"/>
      <c r="F760" s="896"/>
    </row>
    <row r="761">
      <c r="B761" s="865"/>
      <c r="C761" s="865"/>
      <c r="D761" s="865"/>
      <c r="E761" s="865"/>
      <c r="F761" s="896"/>
    </row>
    <row r="762">
      <c r="B762" s="865"/>
      <c r="C762" s="865"/>
      <c r="D762" s="865"/>
      <c r="E762" s="865"/>
      <c r="F762" s="896"/>
    </row>
    <row r="763">
      <c r="B763" s="865"/>
      <c r="C763" s="865"/>
      <c r="D763" s="865"/>
      <c r="E763" s="865"/>
      <c r="F763" s="896"/>
    </row>
    <row r="764">
      <c r="B764" s="865"/>
      <c r="C764" s="865"/>
      <c r="D764" s="865"/>
      <c r="E764" s="865"/>
      <c r="F764" s="896"/>
    </row>
    <row r="765">
      <c r="B765" s="865"/>
      <c r="C765" s="865"/>
      <c r="D765" s="865"/>
      <c r="E765" s="865"/>
      <c r="F765" s="896"/>
    </row>
    <row r="766">
      <c r="B766" s="865"/>
      <c r="C766" s="865"/>
      <c r="D766" s="865"/>
      <c r="E766" s="865"/>
      <c r="F766" s="896"/>
    </row>
    <row r="767">
      <c r="B767" s="865"/>
      <c r="C767" s="865"/>
      <c r="D767" s="865"/>
      <c r="E767" s="865"/>
      <c r="F767" s="896"/>
    </row>
    <row r="768">
      <c r="B768" s="865"/>
      <c r="C768" s="865"/>
      <c r="D768" s="865"/>
      <c r="E768" s="865"/>
      <c r="F768" s="896"/>
    </row>
    <row r="769">
      <c r="B769" s="865"/>
      <c r="C769" s="865"/>
      <c r="D769" s="865"/>
      <c r="E769" s="865"/>
      <c r="F769" s="896"/>
    </row>
    <row r="770">
      <c r="B770" s="865"/>
      <c r="C770" s="865"/>
      <c r="D770" s="865"/>
      <c r="E770" s="865"/>
      <c r="F770" s="896"/>
    </row>
    <row r="771">
      <c r="B771" s="865"/>
      <c r="C771" s="865"/>
      <c r="D771" s="865"/>
      <c r="E771" s="865"/>
      <c r="F771" s="896"/>
    </row>
    <row r="772">
      <c r="B772" s="865"/>
      <c r="C772" s="865"/>
      <c r="D772" s="865"/>
      <c r="E772" s="865"/>
      <c r="F772" s="896"/>
    </row>
    <row r="773">
      <c r="B773" s="865"/>
      <c r="C773" s="865"/>
      <c r="D773" s="865"/>
      <c r="E773" s="865"/>
      <c r="F773" s="896"/>
    </row>
    <row r="774">
      <c r="B774" s="865"/>
      <c r="C774" s="865"/>
      <c r="D774" s="865"/>
      <c r="E774" s="865"/>
      <c r="F774" s="896"/>
    </row>
    <row r="775">
      <c r="B775" s="865"/>
      <c r="C775" s="865"/>
      <c r="D775" s="865"/>
      <c r="E775" s="865"/>
      <c r="F775" s="896"/>
    </row>
    <row r="776">
      <c r="B776" s="865"/>
      <c r="C776" s="865"/>
      <c r="D776" s="865"/>
      <c r="E776" s="865"/>
      <c r="F776" s="896"/>
    </row>
    <row r="777">
      <c r="B777" s="865"/>
      <c r="C777" s="865"/>
      <c r="D777" s="865"/>
      <c r="E777" s="865"/>
      <c r="F777" s="896"/>
    </row>
    <row r="778">
      <c r="B778" s="865"/>
      <c r="C778" s="865"/>
      <c r="D778" s="865"/>
      <c r="E778" s="865"/>
      <c r="F778" s="896"/>
    </row>
    <row r="779">
      <c r="B779" s="865"/>
      <c r="C779" s="865"/>
      <c r="D779" s="865"/>
      <c r="E779" s="865"/>
      <c r="F779" s="896"/>
    </row>
    <row r="780">
      <c r="B780" s="865"/>
      <c r="C780" s="865"/>
      <c r="D780" s="865"/>
      <c r="E780" s="865"/>
      <c r="F780" s="896"/>
    </row>
    <row r="781">
      <c r="B781" s="865"/>
      <c r="C781" s="865"/>
      <c r="D781" s="865"/>
      <c r="E781" s="865"/>
      <c r="F781" s="896"/>
    </row>
    <row r="782">
      <c r="B782" s="865"/>
      <c r="C782" s="865"/>
      <c r="D782" s="865"/>
      <c r="E782" s="865"/>
      <c r="F782" s="896"/>
    </row>
    <row r="783">
      <c r="B783" s="865"/>
      <c r="C783" s="865"/>
      <c r="D783" s="865"/>
      <c r="E783" s="865"/>
      <c r="F783" s="896"/>
    </row>
    <row r="784">
      <c r="B784" s="865"/>
      <c r="C784" s="865"/>
      <c r="D784" s="865"/>
      <c r="E784" s="865"/>
      <c r="F784" s="896"/>
    </row>
    <row r="785">
      <c r="B785" s="865"/>
      <c r="C785" s="865"/>
      <c r="D785" s="865"/>
      <c r="E785" s="865"/>
      <c r="F785" s="896"/>
    </row>
    <row r="786">
      <c r="B786" s="865"/>
      <c r="C786" s="865"/>
      <c r="D786" s="865"/>
      <c r="E786" s="865"/>
      <c r="F786" s="896"/>
    </row>
    <row r="787">
      <c r="B787" s="865"/>
      <c r="C787" s="865"/>
      <c r="D787" s="865"/>
      <c r="E787" s="865"/>
      <c r="F787" s="896"/>
    </row>
    <row r="788">
      <c r="B788" s="865"/>
      <c r="C788" s="865"/>
      <c r="D788" s="865"/>
      <c r="E788" s="865"/>
      <c r="F788" s="896"/>
    </row>
    <row r="789">
      <c r="B789" s="865"/>
      <c r="C789" s="865"/>
      <c r="D789" s="865"/>
      <c r="E789" s="865"/>
      <c r="F789" s="896"/>
    </row>
    <row r="790">
      <c r="B790" s="865"/>
      <c r="C790" s="865"/>
      <c r="D790" s="865"/>
      <c r="E790" s="865"/>
      <c r="F790" s="896"/>
    </row>
    <row r="791">
      <c r="B791" s="865"/>
      <c r="C791" s="865"/>
      <c r="D791" s="865"/>
      <c r="E791" s="865"/>
      <c r="F791" s="896"/>
    </row>
    <row r="792">
      <c r="B792" s="865"/>
      <c r="C792" s="865"/>
      <c r="D792" s="865"/>
      <c r="E792" s="865"/>
      <c r="F792" s="896"/>
    </row>
    <row r="793">
      <c r="B793" s="865"/>
      <c r="C793" s="865"/>
      <c r="D793" s="865"/>
      <c r="E793" s="865"/>
      <c r="F793" s="896"/>
    </row>
    <row r="794">
      <c r="B794" s="865"/>
      <c r="C794" s="865"/>
      <c r="D794" s="865"/>
      <c r="E794" s="865"/>
      <c r="F794" s="896"/>
    </row>
    <row r="795">
      <c r="B795" s="865"/>
      <c r="C795" s="865"/>
      <c r="D795" s="865"/>
      <c r="E795" s="865"/>
      <c r="F795" s="896"/>
    </row>
    <row r="796">
      <c r="B796" s="865"/>
      <c r="C796" s="865"/>
      <c r="D796" s="865"/>
      <c r="E796" s="865"/>
      <c r="F796" s="896"/>
    </row>
    <row r="797">
      <c r="B797" s="865"/>
      <c r="C797" s="865"/>
      <c r="D797" s="865"/>
      <c r="E797" s="865"/>
      <c r="F797" s="896"/>
    </row>
    <row r="798">
      <c r="B798" s="865"/>
      <c r="C798" s="865"/>
      <c r="D798" s="865"/>
      <c r="E798" s="865"/>
      <c r="F798" s="896"/>
    </row>
    <row r="799">
      <c r="B799" s="865"/>
      <c r="C799" s="865"/>
      <c r="D799" s="865"/>
      <c r="E799" s="865"/>
      <c r="F799" s="896"/>
    </row>
    <row r="800">
      <c r="B800" s="865"/>
      <c r="C800" s="865"/>
      <c r="D800" s="865"/>
      <c r="E800" s="865"/>
      <c r="F800" s="896"/>
    </row>
    <row r="801">
      <c r="B801" s="865"/>
      <c r="C801" s="865"/>
      <c r="D801" s="865"/>
      <c r="E801" s="865"/>
      <c r="F801" s="896"/>
    </row>
    <row r="802">
      <c r="B802" s="865"/>
      <c r="C802" s="865"/>
      <c r="D802" s="865"/>
      <c r="E802" s="865"/>
      <c r="F802" s="896"/>
    </row>
    <row r="803">
      <c r="B803" s="865"/>
      <c r="C803" s="865"/>
      <c r="D803" s="865"/>
      <c r="E803" s="865"/>
      <c r="F803" s="896"/>
    </row>
    <row r="804">
      <c r="B804" s="865"/>
      <c r="C804" s="865"/>
      <c r="D804" s="865"/>
      <c r="E804" s="865"/>
      <c r="F804" s="896"/>
    </row>
    <row r="805">
      <c r="B805" s="865"/>
      <c r="C805" s="865"/>
      <c r="D805" s="865"/>
      <c r="E805" s="865"/>
      <c r="F805" s="896"/>
    </row>
    <row r="806">
      <c r="B806" s="865"/>
      <c r="C806" s="865"/>
      <c r="D806" s="865"/>
      <c r="E806" s="865"/>
      <c r="F806" s="896"/>
    </row>
    <row r="807">
      <c r="B807" s="865"/>
      <c r="C807" s="865"/>
      <c r="D807" s="865"/>
      <c r="E807" s="865"/>
      <c r="F807" s="896"/>
    </row>
    <row r="808">
      <c r="B808" s="865"/>
      <c r="C808" s="865"/>
      <c r="D808" s="865"/>
      <c r="E808" s="865"/>
      <c r="F808" s="896"/>
    </row>
    <row r="809">
      <c r="B809" s="865"/>
      <c r="C809" s="865"/>
      <c r="D809" s="865"/>
      <c r="E809" s="865"/>
      <c r="F809" s="896"/>
    </row>
    <row r="810">
      <c r="B810" s="865"/>
      <c r="C810" s="865"/>
      <c r="D810" s="865"/>
      <c r="E810" s="865"/>
      <c r="F810" s="896"/>
    </row>
    <row r="811">
      <c r="B811" s="865"/>
      <c r="C811" s="865"/>
      <c r="D811" s="865"/>
      <c r="E811" s="865"/>
      <c r="F811" s="896"/>
    </row>
    <row r="812">
      <c r="B812" s="865"/>
      <c r="C812" s="865"/>
      <c r="D812" s="865"/>
      <c r="E812" s="865"/>
      <c r="F812" s="896"/>
    </row>
    <row r="813">
      <c r="B813" s="865"/>
      <c r="C813" s="865"/>
      <c r="D813" s="865"/>
      <c r="E813" s="865"/>
      <c r="F813" s="896"/>
    </row>
    <row r="814">
      <c r="B814" s="865"/>
      <c r="C814" s="865"/>
      <c r="D814" s="865"/>
      <c r="E814" s="865"/>
      <c r="F814" s="896"/>
    </row>
    <row r="815">
      <c r="B815" s="865"/>
      <c r="C815" s="865"/>
      <c r="D815" s="865"/>
      <c r="E815" s="865"/>
      <c r="F815" s="896"/>
    </row>
    <row r="816">
      <c r="B816" s="865"/>
      <c r="C816" s="865"/>
      <c r="D816" s="865"/>
      <c r="E816" s="865"/>
      <c r="F816" s="896"/>
    </row>
    <row r="817">
      <c r="B817" s="865"/>
      <c r="C817" s="865"/>
      <c r="D817" s="865"/>
      <c r="E817" s="865"/>
      <c r="F817" s="896"/>
    </row>
    <row r="818">
      <c r="B818" s="865"/>
      <c r="C818" s="865"/>
      <c r="D818" s="865"/>
      <c r="E818" s="865"/>
      <c r="F818" s="896"/>
    </row>
    <row r="819">
      <c r="B819" s="865"/>
      <c r="C819" s="865"/>
      <c r="D819" s="865"/>
      <c r="E819" s="865"/>
      <c r="F819" s="896"/>
    </row>
    <row r="820">
      <c r="B820" s="865"/>
      <c r="C820" s="865"/>
      <c r="D820" s="865"/>
      <c r="E820" s="865"/>
      <c r="F820" s="896"/>
    </row>
    <row r="821">
      <c r="B821" s="865"/>
      <c r="C821" s="865"/>
      <c r="D821" s="865"/>
      <c r="E821" s="865"/>
      <c r="F821" s="896"/>
    </row>
    <row r="822">
      <c r="B822" s="865"/>
      <c r="C822" s="865"/>
      <c r="D822" s="865"/>
      <c r="E822" s="865"/>
      <c r="F822" s="896"/>
    </row>
    <row r="823">
      <c r="B823" s="865"/>
      <c r="C823" s="865"/>
      <c r="D823" s="865"/>
      <c r="E823" s="865"/>
      <c r="F823" s="896"/>
    </row>
    <row r="824">
      <c r="B824" s="865"/>
      <c r="C824" s="865"/>
      <c r="D824" s="865"/>
      <c r="E824" s="865"/>
      <c r="F824" s="896"/>
    </row>
    <row r="825">
      <c r="B825" s="865"/>
      <c r="C825" s="865"/>
      <c r="D825" s="865"/>
      <c r="E825" s="865"/>
      <c r="F825" s="896"/>
    </row>
    <row r="826">
      <c r="B826" s="865"/>
      <c r="C826" s="865"/>
      <c r="D826" s="865"/>
      <c r="E826" s="865"/>
      <c r="F826" s="896"/>
    </row>
    <row r="827">
      <c r="B827" s="865"/>
      <c r="C827" s="865"/>
      <c r="D827" s="865"/>
      <c r="E827" s="865"/>
      <c r="F827" s="896"/>
    </row>
    <row r="828">
      <c r="B828" s="865"/>
      <c r="C828" s="865"/>
      <c r="D828" s="865"/>
      <c r="E828" s="865"/>
      <c r="F828" s="896"/>
    </row>
    <row r="829">
      <c r="B829" s="865"/>
      <c r="C829" s="865"/>
      <c r="D829" s="865"/>
      <c r="E829" s="865"/>
      <c r="F829" s="896"/>
    </row>
    <row r="830">
      <c r="B830" s="865"/>
      <c r="C830" s="865"/>
      <c r="D830" s="865"/>
      <c r="E830" s="865"/>
      <c r="F830" s="896"/>
    </row>
    <row r="831">
      <c r="B831" s="865"/>
      <c r="C831" s="865"/>
      <c r="D831" s="865"/>
      <c r="E831" s="865"/>
      <c r="F831" s="896"/>
    </row>
    <row r="832">
      <c r="B832" s="865"/>
      <c r="C832" s="865"/>
      <c r="D832" s="865"/>
      <c r="E832" s="865"/>
      <c r="F832" s="896"/>
    </row>
    <row r="833">
      <c r="B833" s="865"/>
      <c r="C833" s="865"/>
      <c r="D833" s="865"/>
      <c r="E833" s="865"/>
      <c r="F833" s="896"/>
    </row>
    <row r="834">
      <c r="B834" s="865"/>
      <c r="C834" s="865"/>
      <c r="D834" s="865"/>
      <c r="E834" s="865"/>
      <c r="F834" s="896"/>
    </row>
    <row r="835">
      <c r="B835" s="865"/>
      <c r="C835" s="865"/>
      <c r="D835" s="865"/>
      <c r="E835" s="865"/>
      <c r="F835" s="896"/>
    </row>
    <row r="836">
      <c r="B836" s="865"/>
      <c r="C836" s="865"/>
      <c r="D836" s="865"/>
      <c r="E836" s="865"/>
      <c r="F836" s="896"/>
    </row>
    <row r="837">
      <c r="B837" s="865"/>
      <c r="C837" s="865"/>
      <c r="D837" s="865"/>
      <c r="E837" s="865"/>
      <c r="F837" s="896"/>
    </row>
    <row r="838">
      <c r="B838" s="865"/>
      <c r="C838" s="865"/>
      <c r="D838" s="865"/>
      <c r="E838" s="865"/>
      <c r="F838" s="896"/>
    </row>
    <row r="839">
      <c r="B839" s="865"/>
      <c r="C839" s="865"/>
      <c r="D839" s="865"/>
      <c r="E839" s="865"/>
      <c r="F839" s="896"/>
    </row>
    <row r="840">
      <c r="B840" s="865"/>
      <c r="C840" s="865"/>
      <c r="D840" s="865"/>
      <c r="E840" s="865"/>
      <c r="F840" s="896"/>
    </row>
    <row r="841">
      <c r="B841" s="865"/>
      <c r="C841" s="865"/>
      <c r="D841" s="865"/>
      <c r="E841" s="865"/>
      <c r="F841" s="896"/>
    </row>
    <row r="842">
      <c r="B842" s="865"/>
      <c r="C842" s="865"/>
      <c r="D842" s="865"/>
      <c r="E842" s="865"/>
      <c r="F842" s="896"/>
    </row>
    <row r="843">
      <c r="B843" s="865"/>
      <c r="C843" s="865"/>
      <c r="D843" s="865"/>
      <c r="E843" s="865"/>
      <c r="F843" s="896"/>
    </row>
    <row r="844">
      <c r="B844" s="865"/>
      <c r="C844" s="865"/>
      <c r="D844" s="865"/>
      <c r="E844" s="865"/>
      <c r="F844" s="896"/>
    </row>
    <row r="845">
      <c r="B845" s="865"/>
      <c r="C845" s="865"/>
      <c r="D845" s="865"/>
      <c r="E845" s="865"/>
      <c r="F845" s="896"/>
    </row>
    <row r="846">
      <c r="B846" s="865"/>
      <c r="C846" s="865"/>
      <c r="D846" s="865"/>
      <c r="E846" s="865"/>
      <c r="F846" s="896"/>
    </row>
    <row r="847">
      <c r="B847" s="865"/>
      <c r="C847" s="865"/>
      <c r="D847" s="865"/>
      <c r="E847" s="865"/>
      <c r="F847" s="896"/>
    </row>
    <row r="848">
      <c r="B848" s="865"/>
      <c r="C848" s="865"/>
      <c r="D848" s="865"/>
      <c r="E848" s="865"/>
      <c r="F848" s="896"/>
    </row>
    <row r="849">
      <c r="B849" s="865"/>
      <c r="C849" s="865"/>
      <c r="D849" s="865"/>
      <c r="E849" s="865"/>
      <c r="F849" s="896"/>
    </row>
    <row r="850">
      <c r="B850" s="865"/>
      <c r="C850" s="865"/>
      <c r="D850" s="865"/>
      <c r="E850" s="865"/>
      <c r="F850" s="896"/>
    </row>
    <row r="851">
      <c r="B851" s="865"/>
      <c r="C851" s="865"/>
      <c r="D851" s="865"/>
      <c r="E851" s="865"/>
      <c r="F851" s="896"/>
    </row>
    <row r="852">
      <c r="B852" s="865"/>
      <c r="C852" s="865"/>
      <c r="D852" s="865"/>
      <c r="E852" s="865"/>
      <c r="F852" s="896"/>
    </row>
    <row r="853">
      <c r="B853" s="865"/>
      <c r="C853" s="865"/>
      <c r="D853" s="865"/>
      <c r="E853" s="865"/>
      <c r="F853" s="896"/>
    </row>
    <row r="854">
      <c r="B854" s="865"/>
      <c r="C854" s="865"/>
      <c r="D854" s="865"/>
      <c r="E854" s="865"/>
      <c r="F854" s="896"/>
    </row>
    <row r="855">
      <c r="B855" s="865"/>
      <c r="C855" s="865"/>
      <c r="D855" s="865"/>
      <c r="E855" s="865"/>
      <c r="F855" s="896"/>
    </row>
    <row r="856">
      <c r="B856" s="865"/>
      <c r="C856" s="865"/>
      <c r="D856" s="865"/>
      <c r="E856" s="865"/>
      <c r="F856" s="896"/>
    </row>
    <row r="857">
      <c r="B857" s="865"/>
      <c r="C857" s="865"/>
      <c r="D857" s="865"/>
      <c r="E857" s="865"/>
      <c r="F857" s="896"/>
    </row>
    <row r="858">
      <c r="B858" s="865"/>
      <c r="C858" s="865"/>
      <c r="D858" s="865"/>
      <c r="E858" s="865"/>
      <c r="F858" s="896"/>
    </row>
    <row r="859">
      <c r="B859" s="865"/>
      <c r="C859" s="865"/>
      <c r="D859" s="865"/>
      <c r="E859" s="865"/>
      <c r="F859" s="896"/>
    </row>
    <row r="860">
      <c r="B860" s="865"/>
      <c r="C860" s="865"/>
      <c r="D860" s="865"/>
      <c r="E860" s="865"/>
      <c r="F860" s="896"/>
    </row>
    <row r="861">
      <c r="B861" s="865"/>
      <c r="C861" s="865"/>
      <c r="D861" s="865"/>
      <c r="E861" s="865"/>
      <c r="F861" s="896"/>
    </row>
    <row r="862">
      <c r="B862" s="865"/>
      <c r="C862" s="865"/>
      <c r="D862" s="865"/>
      <c r="E862" s="865"/>
      <c r="F862" s="896"/>
    </row>
    <row r="863">
      <c r="B863" s="865"/>
      <c r="C863" s="865"/>
      <c r="D863" s="865"/>
      <c r="E863" s="865"/>
      <c r="F863" s="896"/>
    </row>
    <row r="864">
      <c r="B864" s="865"/>
      <c r="C864" s="865"/>
      <c r="D864" s="865"/>
      <c r="E864" s="865"/>
      <c r="F864" s="896"/>
    </row>
    <row r="865">
      <c r="B865" s="865"/>
      <c r="C865" s="865"/>
      <c r="D865" s="865"/>
      <c r="E865" s="865"/>
      <c r="F865" s="896"/>
    </row>
    <row r="866">
      <c r="B866" s="865"/>
      <c r="C866" s="865"/>
      <c r="D866" s="865"/>
      <c r="E866" s="865"/>
      <c r="F866" s="896"/>
    </row>
    <row r="867">
      <c r="B867" s="865"/>
      <c r="C867" s="865"/>
      <c r="D867" s="865"/>
      <c r="E867" s="865"/>
      <c r="F867" s="896"/>
    </row>
    <row r="868">
      <c r="B868" s="865"/>
      <c r="C868" s="865"/>
      <c r="D868" s="865"/>
      <c r="E868" s="865"/>
      <c r="F868" s="896"/>
    </row>
    <row r="869">
      <c r="B869" s="865"/>
      <c r="C869" s="865"/>
      <c r="D869" s="865"/>
      <c r="E869" s="865"/>
      <c r="F869" s="896"/>
    </row>
    <row r="870">
      <c r="B870" s="865"/>
      <c r="C870" s="865"/>
      <c r="D870" s="865"/>
      <c r="E870" s="865"/>
      <c r="F870" s="896"/>
    </row>
    <row r="871">
      <c r="B871" s="865"/>
      <c r="C871" s="865"/>
      <c r="D871" s="865"/>
      <c r="E871" s="865"/>
      <c r="F871" s="896"/>
    </row>
    <row r="872">
      <c r="B872" s="865"/>
      <c r="C872" s="865"/>
      <c r="D872" s="865"/>
      <c r="E872" s="865"/>
      <c r="F872" s="896"/>
    </row>
    <row r="873">
      <c r="B873" s="865"/>
      <c r="C873" s="865"/>
      <c r="D873" s="865"/>
      <c r="E873" s="865"/>
      <c r="F873" s="896"/>
    </row>
    <row r="874">
      <c r="B874" s="865"/>
      <c r="C874" s="865"/>
      <c r="D874" s="865"/>
      <c r="E874" s="865"/>
      <c r="F874" s="896"/>
    </row>
    <row r="875">
      <c r="B875" s="865"/>
      <c r="C875" s="865"/>
      <c r="D875" s="865"/>
      <c r="E875" s="865"/>
      <c r="F875" s="896"/>
    </row>
    <row r="876">
      <c r="B876" s="865"/>
      <c r="C876" s="865"/>
      <c r="D876" s="865"/>
      <c r="E876" s="865"/>
      <c r="F876" s="896"/>
    </row>
    <row r="877">
      <c r="B877" s="865"/>
      <c r="C877" s="865"/>
      <c r="D877" s="865"/>
      <c r="E877" s="865"/>
      <c r="F877" s="896"/>
    </row>
    <row r="878">
      <c r="B878" s="865"/>
      <c r="C878" s="865"/>
      <c r="D878" s="865"/>
      <c r="E878" s="865"/>
      <c r="F878" s="896"/>
    </row>
    <row r="879">
      <c r="B879" s="865"/>
      <c r="C879" s="865"/>
      <c r="D879" s="865"/>
      <c r="E879" s="865"/>
      <c r="F879" s="896"/>
    </row>
    <row r="880">
      <c r="B880" s="865"/>
      <c r="C880" s="865"/>
      <c r="D880" s="865"/>
      <c r="E880" s="865"/>
      <c r="F880" s="896"/>
    </row>
    <row r="881">
      <c r="B881" s="865"/>
      <c r="C881" s="865"/>
      <c r="D881" s="865"/>
      <c r="E881" s="865"/>
      <c r="F881" s="896"/>
    </row>
    <row r="882">
      <c r="B882" s="865"/>
      <c r="C882" s="865"/>
      <c r="D882" s="865"/>
      <c r="E882" s="865"/>
      <c r="F882" s="896"/>
    </row>
    <row r="883">
      <c r="B883" s="865"/>
      <c r="C883" s="865"/>
      <c r="D883" s="865"/>
      <c r="E883" s="865"/>
      <c r="F883" s="896"/>
    </row>
    <row r="884">
      <c r="B884" s="865"/>
      <c r="C884" s="865"/>
      <c r="D884" s="865"/>
      <c r="E884" s="865"/>
      <c r="F884" s="896"/>
    </row>
    <row r="885">
      <c r="B885" s="865"/>
      <c r="C885" s="865"/>
      <c r="D885" s="865"/>
      <c r="E885" s="865"/>
      <c r="F885" s="896"/>
    </row>
    <row r="886">
      <c r="B886" s="865"/>
      <c r="C886" s="865"/>
      <c r="D886" s="865"/>
      <c r="E886" s="865"/>
      <c r="F886" s="896"/>
    </row>
    <row r="887">
      <c r="B887" s="865"/>
      <c r="C887" s="865"/>
      <c r="D887" s="865"/>
      <c r="E887" s="865"/>
      <c r="F887" s="896"/>
    </row>
    <row r="888">
      <c r="B888" s="865"/>
      <c r="C888" s="865"/>
      <c r="D888" s="865"/>
      <c r="E888" s="865"/>
      <c r="F888" s="896"/>
    </row>
    <row r="889">
      <c r="B889" s="865"/>
      <c r="C889" s="865"/>
      <c r="D889" s="865"/>
      <c r="E889" s="865"/>
      <c r="F889" s="896"/>
    </row>
    <row r="890">
      <c r="B890" s="865"/>
      <c r="C890" s="865"/>
      <c r="D890" s="865"/>
      <c r="E890" s="865"/>
      <c r="F890" s="896"/>
    </row>
    <row r="891">
      <c r="B891" s="865"/>
      <c r="C891" s="865"/>
      <c r="D891" s="865"/>
      <c r="E891" s="865"/>
      <c r="F891" s="896"/>
    </row>
    <row r="892">
      <c r="B892" s="865"/>
      <c r="C892" s="865"/>
      <c r="D892" s="865"/>
      <c r="E892" s="865"/>
      <c r="F892" s="896"/>
    </row>
    <row r="893">
      <c r="B893" s="865"/>
      <c r="C893" s="865"/>
      <c r="D893" s="865"/>
      <c r="E893" s="865"/>
      <c r="F893" s="896"/>
    </row>
    <row r="894">
      <c r="B894" s="865"/>
      <c r="C894" s="865"/>
      <c r="D894" s="865"/>
      <c r="E894" s="865"/>
      <c r="F894" s="896"/>
    </row>
    <row r="895">
      <c r="B895" s="865"/>
      <c r="C895" s="865"/>
      <c r="D895" s="865"/>
      <c r="E895" s="865"/>
      <c r="F895" s="896"/>
    </row>
    <row r="896">
      <c r="B896" s="865"/>
      <c r="C896" s="865"/>
      <c r="D896" s="865"/>
      <c r="E896" s="865"/>
      <c r="F896" s="896"/>
    </row>
    <row r="897">
      <c r="B897" s="865"/>
      <c r="C897" s="865"/>
      <c r="D897" s="865"/>
      <c r="E897" s="865"/>
      <c r="F897" s="896"/>
    </row>
    <row r="898">
      <c r="B898" s="865"/>
      <c r="C898" s="865"/>
      <c r="D898" s="865"/>
      <c r="E898" s="865"/>
      <c r="F898" s="896"/>
    </row>
    <row r="899">
      <c r="B899" s="865"/>
      <c r="C899" s="865"/>
      <c r="D899" s="865"/>
      <c r="E899" s="865"/>
      <c r="F899" s="896"/>
    </row>
    <row r="900">
      <c r="B900" s="865"/>
      <c r="C900" s="865"/>
      <c r="D900" s="865"/>
      <c r="E900" s="865"/>
      <c r="F900" s="896"/>
    </row>
    <row r="901">
      <c r="B901" s="865"/>
      <c r="C901" s="865"/>
      <c r="D901" s="865"/>
      <c r="E901" s="865"/>
      <c r="F901" s="896"/>
    </row>
    <row r="902">
      <c r="B902" s="865"/>
      <c r="C902" s="865"/>
      <c r="D902" s="865"/>
      <c r="E902" s="865"/>
      <c r="F902" s="896"/>
    </row>
    <row r="903">
      <c r="B903" s="865"/>
      <c r="C903" s="865"/>
      <c r="D903" s="865"/>
      <c r="E903" s="865"/>
      <c r="F903" s="896"/>
    </row>
    <row r="904">
      <c r="B904" s="865"/>
      <c r="C904" s="865"/>
      <c r="D904" s="865"/>
      <c r="E904" s="865"/>
      <c r="F904" s="896"/>
    </row>
    <row r="905">
      <c r="B905" s="865"/>
      <c r="C905" s="865"/>
      <c r="D905" s="865"/>
      <c r="E905" s="865"/>
      <c r="F905" s="896"/>
    </row>
    <row r="906">
      <c r="B906" s="865"/>
      <c r="C906" s="865"/>
      <c r="D906" s="865"/>
      <c r="E906" s="865"/>
      <c r="F906" s="896"/>
    </row>
    <row r="907">
      <c r="B907" s="865"/>
      <c r="C907" s="865"/>
      <c r="D907" s="865"/>
      <c r="E907" s="865"/>
      <c r="F907" s="896"/>
    </row>
    <row r="908">
      <c r="B908" s="865"/>
      <c r="C908" s="865"/>
      <c r="D908" s="865"/>
      <c r="E908" s="865"/>
      <c r="F908" s="896"/>
    </row>
    <row r="909">
      <c r="B909" s="865"/>
      <c r="C909" s="865"/>
      <c r="D909" s="865"/>
      <c r="E909" s="865"/>
      <c r="F909" s="896"/>
    </row>
    <row r="910">
      <c r="B910" s="865"/>
      <c r="C910" s="865"/>
      <c r="D910" s="865"/>
      <c r="E910" s="865"/>
      <c r="F910" s="896"/>
    </row>
    <row r="911">
      <c r="B911" s="865"/>
      <c r="C911" s="865"/>
      <c r="D911" s="865"/>
      <c r="E911" s="865"/>
      <c r="F911" s="896"/>
    </row>
    <row r="912">
      <c r="B912" s="865"/>
      <c r="C912" s="865"/>
      <c r="D912" s="865"/>
      <c r="E912" s="865"/>
      <c r="F912" s="896"/>
    </row>
    <row r="913">
      <c r="B913" s="865"/>
      <c r="C913" s="865"/>
      <c r="D913" s="865"/>
      <c r="E913" s="865"/>
      <c r="F913" s="896"/>
    </row>
    <row r="914">
      <c r="B914" s="865"/>
      <c r="C914" s="865"/>
      <c r="D914" s="865"/>
      <c r="E914" s="865"/>
      <c r="F914" s="896"/>
    </row>
    <row r="915">
      <c r="B915" s="865"/>
      <c r="C915" s="865"/>
      <c r="D915" s="865"/>
      <c r="E915" s="865"/>
      <c r="F915" s="896"/>
    </row>
    <row r="916">
      <c r="B916" s="865"/>
      <c r="C916" s="865"/>
      <c r="D916" s="865"/>
      <c r="E916" s="865"/>
      <c r="F916" s="896"/>
    </row>
    <row r="917">
      <c r="B917" s="865"/>
      <c r="C917" s="865"/>
      <c r="D917" s="865"/>
      <c r="E917" s="865"/>
      <c r="F917" s="896"/>
    </row>
    <row r="918">
      <c r="B918" s="865"/>
      <c r="C918" s="865"/>
      <c r="D918" s="865"/>
      <c r="E918" s="865"/>
      <c r="F918" s="896"/>
    </row>
    <row r="919">
      <c r="B919" s="865"/>
      <c r="C919" s="865"/>
      <c r="D919" s="865"/>
      <c r="E919" s="865"/>
      <c r="F919" s="896"/>
    </row>
    <row r="920">
      <c r="B920" s="865"/>
      <c r="C920" s="865"/>
      <c r="D920" s="865"/>
      <c r="E920" s="865"/>
      <c r="F920" s="896"/>
    </row>
    <row r="921">
      <c r="B921" s="865"/>
      <c r="C921" s="865"/>
      <c r="D921" s="865"/>
      <c r="E921" s="865"/>
      <c r="F921" s="896"/>
    </row>
    <row r="922">
      <c r="B922" s="865"/>
      <c r="C922" s="865"/>
      <c r="D922" s="865"/>
      <c r="E922" s="865"/>
      <c r="F922" s="896"/>
    </row>
    <row r="923">
      <c r="B923" s="865"/>
      <c r="C923" s="865"/>
      <c r="D923" s="865"/>
      <c r="E923" s="865"/>
      <c r="F923" s="896"/>
    </row>
    <row r="924">
      <c r="B924" s="865"/>
      <c r="C924" s="865"/>
      <c r="D924" s="865"/>
      <c r="E924" s="865"/>
      <c r="F924" s="896"/>
    </row>
    <row r="925">
      <c r="B925" s="865"/>
      <c r="C925" s="865"/>
      <c r="D925" s="865"/>
      <c r="E925" s="865"/>
      <c r="F925" s="896"/>
    </row>
    <row r="926">
      <c r="B926" s="865"/>
      <c r="C926" s="865"/>
      <c r="D926" s="865"/>
      <c r="E926" s="865"/>
      <c r="F926" s="896"/>
    </row>
    <row r="927">
      <c r="B927" s="865"/>
      <c r="C927" s="865"/>
      <c r="D927" s="865"/>
      <c r="E927" s="865"/>
      <c r="F927" s="896"/>
    </row>
    <row r="928">
      <c r="B928" s="865"/>
      <c r="C928" s="865"/>
      <c r="D928" s="865"/>
      <c r="E928" s="865"/>
      <c r="F928" s="896"/>
    </row>
    <row r="929">
      <c r="B929" s="865"/>
      <c r="C929" s="865"/>
      <c r="D929" s="865"/>
      <c r="E929" s="865"/>
      <c r="F929" s="896"/>
    </row>
    <row r="930">
      <c r="B930" s="865"/>
      <c r="C930" s="865"/>
      <c r="D930" s="865"/>
      <c r="E930" s="865"/>
      <c r="F930" s="896"/>
    </row>
    <row r="931">
      <c r="B931" s="865"/>
      <c r="C931" s="865"/>
      <c r="D931" s="865"/>
      <c r="E931" s="865"/>
      <c r="F931" s="896"/>
    </row>
    <row r="932">
      <c r="B932" s="865"/>
      <c r="C932" s="865"/>
      <c r="D932" s="865"/>
      <c r="E932" s="865"/>
      <c r="F932" s="896"/>
    </row>
    <row r="933">
      <c r="B933" s="865"/>
      <c r="C933" s="865"/>
      <c r="D933" s="865"/>
      <c r="E933" s="865"/>
      <c r="F933" s="896"/>
    </row>
    <row r="934">
      <c r="B934" s="865"/>
      <c r="C934" s="865"/>
      <c r="D934" s="865"/>
      <c r="E934" s="865"/>
      <c r="F934" s="896"/>
    </row>
    <row r="935">
      <c r="B935" s="865"/>
      <c r="C935" s="865"/>
      <c r="D935" s="865"/>
      <c r="E935" s="865"/>
      <c r="F935" s="896"/>
    </row>
    <row r="936">
      <c r="B936" s="865"/>
      <c r="C936" s="865"/>
      <c r="D936" s="865"/>
      <c r="E936" s="865"/>
      <c r="F936" s="896"/>
    </row>
    <row r="937">
      <c r="B937" s="865"/>
      <c r="C937" s="865"/>
      <c r="D937" s="865"/>
      <c r="E937" s="865"/>
      <c r="F937" s="896"/>
    </row>
    <row r="938">
      <c r="B938" s="865"/>
      <c r="C938" s="865"/>
      <c r="D938" s="865"/>
      <c r="E938" s="865"/>
      <c r="F938" s="896"/>
    </row>
    <row r="939">
      <c r="B939" s="865"/>
      <c r="C939" s="865"/>
      <c r="D939" s="865"/>
      <c r="E939" s="865"/>
      <c r="F939" s="896"/>
    </row>
    <row r="940">
      <c r="B940" s="865"/>
      <c r="C940" s="865"/>
      <c r="D940" s="865"/>
      <c r="E940" s="865"/>
      <c r="F940" s="896"/>
    </row>
    <row r="941">
      <c r="B941" s="865"/>
      <c r="C941" s="865"/>
      <c r="D941" s="865"/>
      <c r="E941" s="865"/>
      <c r="F941" s="896"/>
    </row>
    <row r="942">
      <c r="B942" s="865"/>
      <c r="C942" s="865"/>
      <c r="D942" s="865"/>
      <c r="E942" s="865"/>
      <c r="F942" s="896"/>
    </row>
    <row r="943">
      <c r="B943" s="865"/>
      <c r="C943" s="865"/>
      <c r="D943" s="865"/>
      <c r="E943" s="865"/>
      <c r="F943" s="896"/>
    </row>
    <row r="944">
      <c r="B944" s="865"/>
      <c r="C944" s="865"/>
      <c r="D944" s="865"/>
      <c r="E944" s="865"/>
      <c r="F944" s="896"/>
    </row>
    <row r="945">
      <c r="B945" s="865"/>
      <c r="C945" s="865"/>
      <c r="D945" s="865"/>
      <c r="E945" s="865"/>
      <c r="F945" s="896"/>
    </row>
    <row r="946">
      <c r="B946" s="865"/>
      <c r="C946" s="865"/>
      <c r="D946" s="865"/>
      <c r="E946" s="865"/>
      <c r="F946" s="896"/>
    </row>
    <row r="947">
      <c r="B947" s="865"/>
      <c r="C947" s="865"/>
      <c r="D947" s="865"/>
      <c r="E947" s="865"/>
      <c r="F947" s="896"/>
    </row>
    <row r="948">
      <c r="B948" s="865"/>
      <c r="C948" s="865"/>
      <c r="D948" s="865"/>
      <c r="E948" s="865"/>
      <c r="F948" s="896"/>
    </row>
    <row r="949">
      <c r="B949" s="865"/>
      <c r="C949" s="865"/>
      <c r="D949" s="865"/>
      <c r="E949" s="865"/>
      <c r="F949" s="896"/>
    </row>
    <row r="950">
      <c r="B950" s="865"/>
      <c r="C950" s="865"/>
      <c r="D950" s="865"/>
      <c r="E950" s="865"/>
      <c r="F950" s="896"/>
    </row>
    <row r="951">
      <c r="B951" s="865"/>
      <c r="C951" s="865"/>
      <c r="D951" s="865"/>
      <c r="E951" s="865"/>
      <c r="F951" s="896"/>
    </row>
    <row r="952">
      <c r="B952" s="865"/>
      <c r="C952" s="865"/>
      <c r="D952" s="865"/>
      <c r="E952" s="865"/>
      <c r="F952" s="896"/>
    </row>
    <row r="953">
      <c r="B953" s="865"/>
      <c r="C953" s="865"/>
      <c r="D953" s="865"/>
      <c r="E953" s="865"/>
      <c r="F953" s="896"/>
    </row>
    <row r="954">
      <c r="B954" s="865"/>
      <c r="C954" s="865"/>
      <c r="D954" s="865"/>
      <c r="E954" s="865"/>
      <c r="F954" s="896"/>
    </row>
    <row r="955">
      <c r="B955" s="865"/>
      <c r="C955" s="865"/>
      <c r="D955" s="865"/>
      <c r="E955" s="865"/>
      <c r="F955" s="896"/>
    </row>
    <row r="956">
      <c r="B956" s="865"/>
      <c r="C956" s="865"/>
      <c r="D956" s="865"/>
      <c r="E956" s="865"/>
      <c r="F956" s="896"/>
    </row>
    <row r="957">
      <c r="B957" s="865"/>
      <c r="C957" s="865"/>
      <c r="D957" s="865"/>
      <c r="E957" s="865"/>
      <c r="F957" s="896"/>
    </row>
    <row r="958">
      <c r="B958" s="865"/>
      <c r="C958" s="865"/>
      <c r="D958" s="865"/>
      <c r="E958" s="865"/>
      <c r="F958" s="896"/>
    </row>
    <row r="959">
      <c r="B959" s="865"/>
      <c r="C959" s="865"/>
      <c r="D959" s="865"/>
      <c r="E959" s="865"/>
      <c r="F959" s="896"/>
    </row>
    <row r="960">
      <c r="B960" s="865"/>
      <c r="C960" s="865"/>
      <c r="D960" s="865"/>
      <c r="E960" s="865"/>
      <c r="F960" s="896"/>
    </row>
    <row r="961">
      <c r="B961" s="865"/>
      <c r="C961" s="865"/>
      <c r="D961" s="865"/>
      <c r="E961" s="865"/>
      <c r="F961" s="896"/>
    </row>
    <row r="962">
      <c r="B962" s="865"/>
      <c r="C962" s="865"/>
      <c r="D962" s="865"/>
      <c r="E962" s="865"/>
      <c r="F962" s="896"/>
    </row>
    <row r="963">
      <c r="B963" s="865"/>
      <c r="C963" s="865"/>
      <c r="D963" s="865"/>
      <c r="E963" s="865"/>
      <c r="F963" s="896"/>
    </row>
    <row r="964">
      <c r="B964" s="865"/>
      <c r="C964" s="865"/>
      <c r="D964" s="865"/>
      <c r="E964" s="865"/>
      <c r="F964" s="896"/>
    </row>
    <row r="965">
      <c r="B965" s="865"/>
      <c r="C965" s="865"/>
      <c r="D965" s="865"/>
      <c r="E965" s="865"/>
      <c r="F965" s="896"/>
    </row>
    <row r="966">
      <c r="B966" s="865"/>
      <c r="C966" s="865"/>
      <c r="D966" s="865"/>
      <c r="E966" s="865"/>
      <c r="F966" s="896"/>
    </row>
    <row r="967">
      <c r="B967" s="865"/>
      <c r="C967" s="865"/>
      <c r="D967" s="865"/>
      <c r="E967" s="865"/>
      <c r="F967" s="896"/>
    </row>
    <row r="968">
      <c r="B968" s="865"/>
      <c r="C968" s="865"/>
      <c r="D968" s="865"/>
      <c r="E968" s="865"/>
      <c r="F968" s="896"/>
    </row>
    <row r="969">
      <c r="B969" s="865"/>
      <c r="C969" s="865"/>
      <c r="D969" s="865"/>
      <c r="E969" s="865"/>
      <c r="F969" s="896"/>
    </row>
    <row r="970">
      <c r="B970" s="865"/>
      <c r="C970" s="865"/>
      <c r="D970" s="865"/>
      <c r="E970" s="865"/>
      <c r="F970" s="896"/>
    </row>
    <row r="971">
      <c r="B971" s="865"/>
      <c r="C971" s="865"/>
      <c r="D971" s="865"/>
      <c r="E971" s="865"/>
      <c r="F971" s="896"/>
    </row>
    <row r="972">
      <c r="B972" s="865"/>
      <c r="C972" s="865"/>
      <c r="D972" s="865"/>
      <c r="E972" s="865"/>
      <c r="F972" s="896"/>
    </row>
    <row r="973">
      <c r="B973" s="865"/>
      <c r="C973" s="865"/>
      <c r="D973" s="865"/>
      <c r="E973" s="865"/>
      <c r="F973" s="896"/>
    </row>
    <row r="974">
      <c r="B974" s="865"/>
      <c r="C974" s="865"/>
      <c r="D974" s="865"/>
      <c r="E974" s="865"/>
      <c r="F974" s="896"/>
    </row>
    <row r="975">
      <c r="B975" s="865"/>
      <c r="C975" s="865"/>
      <c r="D975" s="865"/>
      <c r="E975" s="865"/>
      <c r="F975" s="896"/>
    </row>
    <row r="976">
      <c r="B976" s="865"/>
      <c r="C976" s="865"/>
      <c r="D976" s="865"/>
      <c r="E976" s="865"/>
      <c r="F976" s="896"/>
    </row>
    <row r="977">
      <c r="B977" s="865"/>
      <c r="C977" s="865"/>
      <c r="D977" s="865"/>
      <c r="E977" s="865"/>
      <c r="F977" s="896"/>
    </row>
    <row r="978">
      <c r="B978" s="865"/>
      <c r="C978" s="865"/>
      <c r="D978" s="865"/>
      <c r="E978" s="865"/>
      <c r="F978" s="896"/>
    </row>
    <row r="979">
      <c r="B979" s="865"/>
      <c r="C979" s="865"/>
      <c r="D979" s="865"/>
      <c r="E979" s="865"/>
      <c r="F979" s="896"/>
    </row>
    <row r="980">
      <c r="B980" s="865"/>
      <c r="C980" s="865"/>
      <c r="D980" s="865"/>
      <c r="E980" s="865"/>
      <c r="F980" s="896"/>
    </row>
    <row r="981">
      <c r="B981" s="865"/>
      <c r="C981" s="865"/>
      <c r="D981" s="865"/>
      <c r="E981" s="865"/>
      <c r="F981" s="896"/>
    </row>
    <row r="982">
      <c r="B982" s="865"/>
      <c r="C982" s="865"/>
      <c r="D982" s="865"/>
      <c r="E982" s="865"/>
      <c r="F982" s="896"/>
    </row>
    <row r="983">
      <c r="B983" s="865"/>
      <c r="C983" s="865"/>
      <c r="D983" s="865"/>
      <c r="E983" s="865"/>
      <c r="F983" s="896"/>
    </row>
    <row r="984">
      <c r="B984" s="865"/>
      <c r="C984" s="865"/>
      <c r="D984" s="865"/>
      <c r="E984" s="865"/>
      <c r="F984" s="896"/>
    </row>
    <row r="985">
      <c r="B985" s="865"/>
      <c r="C985" s="865"/>
      <c r="D985" s="865"/>
      <c r="E985" s="865"/>
      <c r="F985" s="896"/>
    </row>
    <row r="986">
      <c r="B986" s="865"/>
      <c r="C986" s="865"/>
      <c r="D986" s="865"/>
      <c r="E986" s="865"/>
      <c r="F986" s="896"/>
    </row>
    <row r="987">
      <c r="B987" s="865"/>
      <c r="C987" s="865"/>
      <c r="D987" s="865"/>
      <c r="E987" s="865"/>
      <c r="F987" s="896"/>
    </row>
    <row r="988">
      <c r="B988" s="865"/>
      <c r="C988" s="865"/>
      <c r="D988" s="865"/>
      <c r="E988" s="865"/>
      <c r="F988" s="896"/>
    </row>
    <row r="989">
      <c r="B989" s="865"/>
      <c r="C989" s="865"/>
      <c r="D989" s="865"/>
      <c r="E989" s="865"/>
      <c r="F989" s="896"/>
    </row>
    <row r="990">
      <c r="B990" s="865"/>
      <c r="C990" s="865"/>
      <c r="D990" s="865"/>
      <c r="E990" s="865"/>
      <c r="F990" s="896"/>
    </row>
    <row r="991">
      <c r="B991" s="865"/>
      <c r="C991" s="865"/>
      <c r="D991" s="865"/>
      <c r="E991" s="865"/>
      <c r="F991" s="896"/>
    </row>
    <row r="992">
      <c r="B992" s="865"/>
      <c r="C992" s="865"/>
      <c r="D992" s="865"/>
      <c r="E992" s="865"/>
      <c r="F992" s="896"/>
    </row>
    <row r="993">
      <c r="B993" s="865"/>
      <c r="C993" s="865"/>
      <c r="D993" s="865"/>
      <c r="E993" s="865"/>
      <c r="F993" s="896"/>
    </row>
    <row r="994">
      <c r="B994" s="865"/>
      <c r="C994" s="865"/>
      <c r="D994" s="865"/>
      <c r="E994" s="865"/>
      <c r="F994" s="896"/>
    </row>
    <row r="995">
      <c r="B995" s="865"/>
      <c r="C995" s="865"/>
      <c r="D995" s="865"/>
      <c r="E995" s="865"/>
      <c r="F995" s="896"/>
    </row>
    <row r="996">
      <c r="B996" s="865"/>
      <c r="C996" s="865"/>
      <c r="D996" s="865"/>
      <c r="E996" s="865"/>
      <c r="F996" s="896"/>
    </row>
    <row r="997">
      <c r="B997" s="865"/>
      <c r="C997" s="865"/>
      <c r="D997" s="865"/>
      <c r="E997" s="865"/>
      <c r="F997" s="896"/>
    </row>
    <row r="998">
      <c r="B998" s="865"/>
      <c r="C998" s="865"/>
      <c r="D998" s="865"/>
      <c r="E998" s="865"/>
      <c r="F998" s="896"/>
    </row>
    <row r="999">
      <c r="B999" s="865"/>
      <c r="C999" s="865"/>
      <c r="D999" s="865"/>
      <c r="E999" s="865"/>
      <c r="F999" s="896"/>
    </row>
    <row r="1000">
      <c r="B1000" s="865"/>
      <c r="C1000" s="865"/>
      <c r="D1000" s="865"/>
      <c r="E1000" s="865"/>
      <c r="F1000" s="896"/>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3.11"/>
    <col customWidth="1" min="2" max="2" width="35.78"/>
    <col customWidth="1" min="3" max="3" width="17.11"/>
    <col customWidth="1" min="4" max="4" width="11.11"/>
    <col customWidth="1" min="5" max="5" width="10.67"/>
    <col customWidth="1" min="7" max="7" width="10.0"/>
    <col customWidth="1" min="8" max="8" width="9.89"/>
    <col customWidth="1" min="9" max="9" width="4.78"/>
    <col customWidth="1" min="10" max="10" width="9.89"/>
    <col customWidth="1" min="11" max="11" width="13.33"/>
    <col customWidth="1" min="12" max="12" width="66.67"/>
    <col customWidth="1" min="13" max="26" width="10.56"/>
  </cols>
  <sheetData>
    <row r="1">
      <c r="A1" s="897" t="s">
        <v>1808</v>
      </c>
      <c r="B1" s="897" t="s">
        <v>2</v>
      </c>
      <c r="C1" s="897" t="s">
        <v>4</v>
      </c>
      <c r="D1" s="897" t="s">
        <v>5</v>
      </c>
      <c r="E1" s="533" t="s">
        <v>8</v>
      </c>
      <c r="F1" s="533" t="s">
        <v>9</v>
      </c>
      <c r="G1" s="534" t="s">
        <v>1404</v>
      </c>
      <c r="H1" s="533" t="s">
        <v>11</v>
      </c>
      <c r="I1" s="537" t="s">
        <v>12</v>
      </c>
      <c r="J1" s="535" t="s">
        <v>13</v>
      </c>
      <c r="K1" s="536" t="s">
        <v>14</v>
      </c>
      <c r="L1" s="537" t="s">
        <v>1809</v>
      </c>
      <c r="M1" s="444"/>
      <c r="N1" s="444"/>
      <c r="O1" s="444"/>
      <c r="P1" s="444"/>
      <c r="Q1" s="444"/>
      <c r="R1" s="444"/>
      <c r="S1" s="444"/>
      <c r="T1" s="444"/>
      <c r="U1" s="444"/>
      <c r="V1" s="444"/>
      <c r="W1" s="444"/>
      <c r="X1" s="444"/>
      <c r="Y1" s="444"/>
      <c r="Z1" s="444"/>
    </row>
    <row r="2">
      <c r="A2" s="573" t="s">
        <v>1817</v>
      </c>
      <c r="B2" s="553" t="s">
        <v>2772</v>
      </c>
      <c r="C2" s="540"/>
      <c r="D2" s="540" t="s">
        <v>75</v>
      </c>
      <c r="E2" s="542">
        <v>45567.0</v>
      </c>
      <c r="F2" s="542">
        <v>45567.0</v>
      </c>
      <c r="G2" s="542">
        <v>45568.0</v>
      </c>
      <c r="H2" s="542">
        <v>45569.0</v>
      </c>
      <c r="I2" s="544">
        <f>IF(ISBLANK(H2), NETWORKDAYS(F2, TODAY(),Hoja2!$A$1:$A$18), NETWORKDAYS(F2, H2, Hoja2!$A$1:$A$18))</f>
        <v>3</v>
      </c>
      <c r="J2" s="542">
        <v>45572.0</v>
      </c>
      <c r="K2" s="541"/>
      <c r="L2" s="545" t="s">
        <v>2773</v>
      </c>
      <c r="M2" s="444"/>
      <c r="N2" s="444"/>
      <c r="O2" s="444"/>
      <c r="P2" s="444"/>
      <c r="Q2" s="444"/>
      <c r="R2" s="444"/>
      <c r="S2" s="444"/>
      <c r="T2" s="444"/>
      <c r="U2" s="444"/>
      <c r="V2" s="444"/>
      <c r="W2" s="444"/>
      <c r="X2" s="444"/>
      <c r="Y2" s="444"/>
      <c r="Z2" s="444"/>
    </row>
    <row r="3">
      <c r="A3" s="573" t="s">
        <v>1931</v>
      </c>
      <c r="B3" s="898" t="s">
        <v>2139</v>
      </c>
      <c r="C3" s="549" t="s">
        <v>2140</v>
      </c>
      <c r="D3" s="540" t="s">
        <v>237</v>
      </c>
      <c r="E3" s="542">
        <v>45575.0</v>
      </c>
      <c r="F3" s="542"/>
      <c r="G3" s="542"/>
      <c r="H3" s="541">
        <v>0.0</v>
      </c>
      <c r="I3" s="544">
        <f>IF(ISBLANK(H3), NETWORKDAYS(F3, TODAY(),Hoja2!$A$1:$A$18), NETWORKDAYS(F3, H3, Hoja2!$A$1:$A$18))</f>
        <v>0</v>
      </c>
      <c r="J3" s="542">
        <v>45569.0</v>
      </c>
      <c r="K3" s="542"/>
      <c r="L3" s="545" t="s">
        <v>2774</v>
      </c>
      <c r="M3" s="899"/>
      <c r="N3" s="444"/>
      <c r="O3" s="444"/>
      <c r="P3" s="444"/>
      <c r="Q3" s="444"/>
      <c r="R3" s="444"/>
      <c r="S3" s="444"/>
      <c r="T3" s="444"/>
      <c r="U3" s="444"/>
      <c r="V3" s="444"/>
      <c r="W3" s="444"/>
      <c r="X3" s="444"/>
      <c r="Y3" s="444"/>
      <c r="Z3" s="444"/>
    </row>
    <row r="4">
      <c r="A4" s="573" t="s">
        <v>1931</v>
      </c>
      <c r="B4" s="875"/>
      <c r="C4" s="577" t="s">
        <v>2775</v>
      </c>
      <c r="D4" s="540" t="s">
        <v>237</v>
      </c>
      <c r="E4" s="542">
        <v>45575.0</v>
      </c>
      <c r="F4" s="566"/>
      <c r="G4" s="566"/>
      <c r="H4" s="568">
        <v>0.0</v>
      </c>
      <c r="I4" s="567">
        <f>IF(ISBLANK(H4), NETWORKDAYS(F4, TODAY(),Hoja2!$A$1:$A$18), NETWORKDAYS(F4, H4, Hoja2!$A$1:$A$18))</f>
        <v>0</v>
      </c>
      <c r="J4" s="566">
        <v>45569.0</v>
      </c>
      <c r="K4" s="566"/>
      <c r="L4" s="569" t="s">
        <v>2143</v>
      </c>
      <c r="M4" s="899"/>
      <c r="N4" s="444"/>
      <c r="O4" s="444"/>
      <c r="P4" s="444"/>
      <c r="Q4" s="444"/>
      <c r="R4" s="444"/>
      <c r="S4" s="444"/>
      <c r="T4" s="444"/>
      <c r="U4" s="444"/>
      <c r="V4" s="444"/>
      <c r="W4" s="444"/>
      <c r="X4" s="444"/>
      <c r="Y4" s="444"/>
      <c r="Z4" s="444"/>
    </row>
    <row r="5">
      <c r="A5" s="573" t="s">
        <v>1931</v>
      </c>
      <c r="B5" s="537" t="s">
        <v>2070</v>
      </c>
      <c r="C5" s="540" t="s">
        <v>2144</v>
      </c>
      <c r="D5" s="540" t="s">
        <v>237</v>
      </c>
      <c r="E5" s="542">
        <v>45575.0</v>
      </c>
      <c r="F5" s="542"/>
      <c r="G5" s="542"/>
      <c r="H5" s="541">
        <v>0.0</v>
      </c>
      <c r="I5" s="544">
        <f>IF(ISBLANK(H5), NETWORKDAYS(F5, TODAY(),Hoja2!$A$1:$A$18), NETWORKDAYS(F5, H5, Hoja2!$A$1:$A$18))</f>
        <v>0</v>
      </c>
      <c r="J5" s="542">
        <v>45569.0</v>
      </c>
      <c r="K5" s="542"/>
      <c r="L5" s="545" t="s">
        <v>2143</v>
      </c>
      <c r="M5" s="899"/>
      <c r="N5" s="444"/>
      <c r="O5" s="444"/>
      <c r="P5" s="444"/>
      <c r="Q5" s="444"/>
      <c r="R5" s="444"/>
      <c r="S5" s="444"/>
      <c r="T5" s="444"/>
      <c r="U5" s="444"/>
      <c r="V5" s="444"/>
      <c r="W5" s="444"/>
      <c r="X5" s="444"/>
      <c r="Y5" s="444"/>
      <c r="Z5" s="444"/>
    </row>
    <row r="6">
      <c r="A6" s="454"/>
      <c r="B6" s="454"/>
      <c r="C6" s="454"/>
      <c r="D6" s="454"/>
      <c r="E6" s="454"/>
      <c r="F6" s="454"/>
      <c r="G6" s="454"/>
      <c r="H6" s="454"/>
      <c r="I6" s="454"/>
      <c r="J6" s="454"/>
      <c r="K6" s="454"/>
      <c r="L6" s="454"/>
      <c r="M6" s="454"/>
      <c r="N6" s="454"/>
      <c r="O6" s="454"/>
      <c r="P6" s="454"/>
      <c r="Q6" s="454"/>
      <c r="R6" s="454"/>
      <c r="S6" s="454"/>
      <c r="T6" s="454"/>
      <c r="U6" s="454"/>
      <c r="V6" s="454"/>
      <c r="W6" s="454"/>
      <c r="X6" s="454"/>
      <c r="Y6" s="454"/>
      <c r="Z6" s="454"/>
    </row>
    <row r="7">
      <c r="A7" s="454"/>
      <c r="B7" s="454"/>
      <c r="C7" s="454"/>
      <c r="D7" s="454"/>
      <c r="E7" s="454"/>
      <c r="F7" s="454"/>
      <c r="G7" s="454"/>
      <c r="H7" s="454"/>
      <c r="I7" s="454"/>
      <c r="J7" s="454"/>
      <c r="K7" s="454"/>
      <c r="L7" s="454"/>
      <c r="M7" s="454"/>
      <c r="N7" s="454"/>
      <c r="O7" s="454"/>
      <c r="P7" s="454"/>
      <c r="Q7" s="454"/>
      <c r="R7" s="454"/>
      <c r="S7" s="454"/>
      <c r="T7" s="454"/>
      <c r="U7" s="454"/>
      <c r="V7" s="454"/>
      <c r="W7" s="454"/>
      <c r="X7" s="454"/>
      <c r="Y7" s="454"/>
      <c r="Z7" s="454"/>
    </row>
    <row r="8">
      <c r="A8" s="454"/>
      <c r="B8" s="454"/>
      <c r="C8" s="454"/>
      <c r="D8" s="454"/>
      <c r="E8" s="454"/>
      <c r="F8" s="454"/>
      <c r="G8" s="454"/>
      <c r="H8" s="454"/>
      <c r="I8" s="454"/>
      <c r="J8" s="454"/>
      <c r="K8" s="454"/>
      <c r="L8" s="454"/>
      <c r="M8" s="454"/>
      <c r="N8" s="454"/>
      <c r="O8" s="454"/>
      <c r="P8" s="454"/>
      <c r="Q8" s="454"/>
      <c r="R8" s="454"/>
      <c r="S8" s="454"/>
      <c r="T8" s="454"/>
      <c r="U8" s="454"/>
      <c r="V8" s="454"/>
      <c r="W8" s="454"/>
      <c r="X8" s="454"/>
      <c r="Y8" s="454"/>
      <c r="Z8" s="454"/>
    </row>
    <row r="9">
      <c r="A9" s="454"/>
      <c r="B9" s="454"/>
      <c r="C9" s="454"/>
      <c r="D9" s="454"/>
      <c r="E9" s="454"/>
      <c r="F9" s="454"/>
      <c r="G9" s="454"/>
      <c r="H9" s="454"/>
      <c r="I9" s="454"/>
      <c r="J9" s="454"/>
      <c r="K9" s="454"/>
      <c r="L9" s="454"/>
      <c r="M9" s="454"/>
      <c r="N9" s="454"/>
      <c r="O9" s="454"/>
      <c r="P9" s="454"/>
      <c r="Q9" s="454"/>
      <c r="R9" s="454"/>
      <c r="S9" s="454"/>
      <c r="T9" s="454"/>
      <c r="U9" s="454"/>
      <c r="V9" s="454"/>
      <c r="W9" s="454"/>
      <c r="X9" s="454"/>
      <c r="Y9" s="454"/>
      <c r="Z9" s="454"/>
    </row>
    <row r="10">
      <c r="A10" s="454"/>
      <c r="B10" s="454"/>
      <c r="C10" s="454"/>
      <c r="D10" s="454"/>
      <c r="E10" s="454"/>
      <c r="F10" s="454"/>
      <c r="G10" s="454"/>
      <c r="H10" s="454"/>
      <c r="I10" s="454"/>
      <c r="J10" s="454"/>
      <c r="K10" s="454"/>
      <c r="L10" s="454"/>
      <c r="M10" s="454"/>
      <c r="N10" s="454"/>
      <c r="O10" s="454"/>
      <c r="P10" s="454"/>
      <c r="Q10" s="454"/>
      <c r="R10" s="454"/>
      <c r="S10" s="454"/>
      <c r="T10" s="454"/>
      <c r="U10" s="454"/>
      <c r="V10" s="454"/>
      <c r="W10" s="454"/>
      <c r="X10" s="454"/>
      <c r="Y10" s="454"/>
      <c r="Z10" s="454"/>
    </row>
    <row r="11">
      <c r="A11" s="454"/>
      <c r="B11" s="454"/>
      <c r="C11" s="454"/>
      <c r="D11" s="454"/>
      <c r="E11" s="454"/>
      <c r="F11" s="454"/>
      <c r="G11" s="454"/>
      <c r="H11" s="454"/>
      <c r="I11" s="454"/>
      <c r="J11" s="454"/>
      <c r="K11" s="454"/>
      <c r="L11" s="454"/>
      <c r="M11" s="454"/>
      <c r="N11" s="454"/>
      <c r="O11" s="454"/>
      <c r="P11" s="454"/>
      <c r="Q11" s="454"/>
      <c r="R11" s="454"/>
      <c r="S11" s="454"/>
      <c r="T11" s="454"/>
      <c r="U11" s="454"/>
      <c r="V11" s="454"/>
      <c r="W11" s="454"/>
      <c r="X11" s="454"/>
      <c r="Y11" s="454"/>
      <c r="Z11" s="454"/>
    </row>
    <row r="12">
      <c r="A12" s="454"/>
      <c r="B12" s="454"/>
      <c r="C12" s="454"/>
      <c r="D12" s="454"/>
      <c r="E12" s="454"/>
      <c r="F12" s="454"/>
      <c r="G12" s="454"/>
      <c r="H12" s="454"/>
      <c r="I12" s="454"/>
      <c r="J12" s="454"/>
      <c r="K12" s="454"/>
      <c r="L12" s="454"/>
      <c r="M12" s="454"/>
      <c r="N12" s="454"/>
      <c r="O12" s="454"/>
      <c r="P12" s="454"/>
      <c r="Q12" s="454"/>
      <c r="R12" s="454"/>
      <c r="S12" s="454"/>
      <c r="T12" s="454"/>
      <c r="U12" s="454"/>
      <c r="V12" s="454"/>
      <c r="W12" s="454"/>
      <c r="X12" s="454"/>
      <c r="Y12" s="454"/>
      <c r="Z12" s="454"/>
    </row>
    <row r="13">
      <c r="A13" s="454"/>
      <c r="B13" s="454"/>
      <c r="C13" s="454"/>
      <c r="D13" s="454"/>
      <c r="E13" s="454"/>
      <c r="F13" s="454"/>
      <c r="G13" s="454"/>
      <c r="H13" s="454"/>
      <c r="I13" s="454"/>
      <c r="J13" s="454"/>
      <c r="K13" s="454"/>
      <c r="L13" s="454"/>
      <c r="M13" s="454"/>
      <c r="N13" s="454"/>
      <c r="O13" s="454"/>
      <c r="P13" s="454"/>
      <c r="Q13" s="454"/>
      <c r="R13" s="454"/>
      <c r="S13" s="454"/>
      <c r="T13" s="454"/>
      <c r="U13" s="454"/>
      <c r="V13" s="454"/>
      <c r="W13" s="454"/>
      <c r="X13" s="454"/>
      <c r="Y13" s="454"/>
      <c r="Z13" s="454"/>
    </row>
    <row r="14">
      <c r="A14" s="454"/>
      <c r="B14" s="454"/>
      <c r="C14" s="454"/>
      <c r="D14" s="454"/>
      <c r="E14" s="454"/>
      <c r="F14" s="454"/>
      <c r="G14" s="454"/>
      <c r="H14" s="454"/>
      <c r="I14" s="454"/>
      <c r="J14" s="454"/>
      <c r="K14" s="454"/>
      <c r="L14" s="454"/>
      <c r="M14" s="454"/>
      <c r="N14" s="454"/>
      <c r="O14" s="454"/>
      <c r="P14" s="454"/>
      <c r="Q14" s="454"/>
      <c r="R14" s="454"/>
      <c r="S14" s="454"/>
      <c r="T14" s="454"/>
      <c r="U14" s="454"/>
      <c r="V14" s="454"/>
      <c r="W14" s="454"/>
      <c r="X14" s="454"/>
      <c r="Y14" s="454"/>
      <c r="Z14" s="454"/>
    </row>
    <row r="15">
      <c r="A15" s="454"/>
      <c r="B15" s="454"/>
      <c r="C15" s="454"/>
      <c r="D15" s="454"/>
      <c r="E15" s="454"/>
      <c r="F15" s="454"/>
      <c r="G15" s="454"/>
      <c r="H15" s="454"/>
      <c r="I15" s="454"/>
      <c r="J15" s="454"/>
      <c r="K15" s="454"/>
      <c r="L15" s="454"/>
      <c r="M15" s="454"/>
      <c r="N15" s="454"/>
      <c r="O15" s="454"/>
      <c r="P15" s="454"/>
      <c r="Q15" s="454"/>
      <c r="R15" s="454"/>
      <c r="S15" s="454"/>
      <c r="T15" s="454"/>
      <c r="U15" s="454"/>
      <c r="V15" s="454"/>
      <c r="W15" s="454"/>
      <c r="X15" s="454"/>
      <c r="Y15" s="454"/>
      <c r="Z15" s="454"/>
    </row>
    <row r="16">
      <c r="A16" s="454"/>
      <c r="B16" s="454"/>
      <c r="C16" s="454"/>
      <c r="D16" s="454"/>
      <c r="E16" s="454"/>
      <c r="F16" s="454"/>
      <c r="G16" s="454"/>
      <c r="H16" s="454"/>
      <c r="I16" s="454"/>
      <c r="J16" s="454"/>
      <c r="K16" s="454"/>
      <c r="L16" s="454"/>
      <c r="M16" s="454"/>
      <c r="N16" s="454"/>
      <c r="O16" s="454"/>
      <c r="P16" s="454"/>
      <c r="Q16" s="454"/>
      <c r="R16" s="454"/>
      <c r="S16" s="454"/>
      <c r="T16" s="454"/>
      <c r="U16" s="454"/>
      <c r="V16" s="454"/>
      <c r="W16" s="454"/>
      <c r="X16" s="454"/>
      <c r="Y16" s="454"/>
      <c r="Z16" s="454"/>
    </row>
    <row r="17">
      <c r="A17" s="454"/>
      <c r="B17" s="454"/>
      <c r="C17" s="454"/>
      <c r="D17" s="454"/>
      <c r="E17" s="454"/>
      <c r="F17" s="454"/>
      <c r="G17" s="454"/>
      <c r="H17" s="454"/>
      <c r="I17" s="454"/>
      <c r="J17" s="454"/>
      <c r="K17" s="454"/>
      <c r="L17" s="454"/>
      <c r="M17" s="454"/>
      <c r="N17" s="454"/>
      <c r="O17" s="454"/>
      <c r="P17" s="454"/>
      <c r="Q17" s="454"/>
      <c r="R17" s="454"/>
      <c r="S17" s="454"/>
      <c r="T17" s="454"/>
      <c r="U17" s="454"/>
      <c r="V17" s="454"/>
      <c r="W17" s="454"/>
      <c r="X17" s="454"/>
      <c r="Y17" s="454"/>
      <c r="Z17" s="454"/>
    </row>
    <row r="18">
      <c r="A18" s="454"/>
      <c r="B18" s="454"/>
      <c r="C18" s="454"/>
      <c r="D18" s="454"/>
      <c r="E18" s="454"/>
      <c r="F18" s="454"/>
      <c r="G18" s="454"/>
      <c r="H18" s="454"/>
      <c r="I18" s="454"/>
      <c r="J18" s="454"/>
      <c r="K18" s="454"/>
      <c r="L18" s="454"/>
      <c r="M18" s="454"/>
      <c r="N18" s="454"/>
      <c r="O18" s="454"/>
      <c r="P18" s="454"/>
      <c r="Q18" s="454"/>
      <c r="R18" s="454"/>
      <c r="S18" s="454"/>
      <c r="T18" s="454"/>
      <c r="U18" s="454"/>
      <c r="V18" s="454"/>
      <c r="W18" s="454"/>
      <c r="X18" s="454"/>
      <c r="Y18" s="454"/>
      <c r="Z18" s="454"/>
    </row>
    <row r="19">
      <c r="A19" s="454"/>
      <c r="B19" s="454"/>
      <c r="C19" s="454"/>
      <c r="D19" s="454"/>
      <c r="E19" s="454"/>
      <c r="F19" s="454"/>
      <c r="G19" s="454"/>
      <c r="H19" s="454"/>
      <c r="I19" s="454"/>
      <c r="J19" s="454"/>
      <c r="K19" s="454"/>
      <c r="L19" s="454"/>
      <c r="M19" s="454"/>
      <c r="N19" s="454"/>
      <c r="O19" s="454"/>
      <c r="P19" s="454"/>
      <c r="Q19" s="454"/>
      <c r="R19" s="454"/>
      <c r="S19" s="454"/>
      <c r="T19" s="454"/>
      <c r="U19" s="454"/>
      <c r="V19" s="454"/>
      <c r="W19" s="454"/>
      <c r="X19" s="454"/>
      <c r="Y19" s="454"/>
      <c r="Z19" s="454"/>
    </row>
    <row r="20">
      <c r="A20" s="454"/>
      <c r="B20" s="454"/>
      <c r="C20" s="454"/>
      <c r="D20" s="454"/>
      <c r="E20" s="454"/>
      <c r="F20" s="454"/>
      <c r="G20" s="454"/>
      <c r="H20" s="454"/>
      <c r="I20" s="454"/>
      <c r="J20" s="454"/>
      <c r="K20" s="454"/>
      <c r="L20" s="454"/>
      <c r="M20" s="454"/>
      <c r="N20" s="454"/>
      <c r="O20" s="454"/>
      <c r="P20" s="454"/>
      <c r="Q20" s="454"/>
      <c r="R20" s="454"/>
      <c r="S20" s="454"/>
      <c r="T20" s="454"/>
      <c r="U20" s="454"/>
      <c r="V20" s="454"/>
      <c r="W20" s="454"/>
      <c r="X20" s="454"/>
      <c r="Y20" s="454"/>
      <c r="Z20" s="454"/>
    </row>
    <row r="21" ht="15.75" customHeight="1">
      <c r="A21" s="454"/>
      <c r="B21" s="454"/>
      <c r="C21" s="454"/>
      <c r="D21" s="454"/>
      <c r="E21" s="454"/>
      <c r="F21" s="454"/>
      <c r="G21" s="454"/>
      <c r="H21" s="454"/>
      <c r="I21" s="454"/>
      <c r="J21" s="454"/>
      <c r="K21" s="454"/>
      <c r="L21" s="454"/>
      <c r="M21" s="454"/>
      <c r="N21" s="454"/>
      <c r="O21" s="454"/>
      <c r="P21" s="454"/>
      <c r="Q21" s="454"/>
      <c r="R21" s="454"/>
      <c r="S21" s="454"/>
      <c r="T21" s="454"/>
      <c r="U21" s="454"/>
      <c r="V21" s="454"/>
      <c r="W21" s="454"/>
      <c r="X21" s="454"/>
      <c r="Y21" s="454"/>
      <c r="Z21" s="454"/>
    </row>
    <row r="22" ht="15.75" customHeight="1">
      <c r="A22" s="454"/>
      <c r="B22" s="454"/>
      <c r="C22" s="454"/>
      <c r="D22" s="454"/>
      <c r="E22" s="454"/>
      <c r="F22" s="454"/>
      <c r="G22" s="454"/>
      <c r="H22" s="454"/>
      <c r="I22" s="454"/>
      <c r="J22" s="454"/>
      <c r="K22" s="454"/>
      <c r="L22" s="454"/>
      <c r="M22" s="454"/>
      <c r="N22" s="454"/>
      <c r="O22" s="454"/>
      <c r="P22" s="454"/>
      <c r="Q22" s="454"/>
      <c r="R22" s="454"/>
      <c r="S22" s="454"/>
      <c r="T22" s="454"/>
      <c r="U22" s="454"/>
      <c r="V22" s="454"/>
      <c r="W22" s="454"/>
      <c r="X22" s="454"/>
      <c r="Y22" s="454"/>
      <c r="Z22" s="454"/>
    </row>
    <row r="23" ht="15.75" customHeight="1">
      <c r="A23" s="454"/>
      <c r="B23" s="454"/>
      <c r="C23" s="454"/>
      <c r="D23" s="454"/>
      <c r="E23" s="454"/>
      <c r="F23" s="454"/>
      <c r="G23" s="454"/>
      <c r="H23" s="454"/>
      <c r="I23" s="454"/>
      <c r="J23" s="454"/>
      <c r="K23" s="454"/>
      <c r="L23" s="454"/>
      <c r="M23" s="454"/>
      <c r="N23" s="454"/>
      <c r="O23" s="454"/>
      <c r="P23" s="454"/>
      <c r="Q23" s="454"/>
      <c r="R23" s="454"/>
      <c r="S23" s="454"/>
      <c r="T23" s="454"/>
      <c r="U23" s="454"/>
      <c r="V23" s="454"/>
      <c r="W23" s="454"/>
      <c r="X23" s="454"/>
      <c r="Y23" s="454"/>
      <c r="Z23" s="454"/>
    </row>
    <row r="24" ht="15.75" customHeight="1">
      <c r="A24" s="454"/>
      <c r="B24" s="454"/>
      <c r="C24" s="454"/>
      <c r="D24" s="454"/>
      <c r="E24" s="454"/>
      <c r="F24" s="454"/>
      <c r="G24" s="454"/>
      <c r="H24" s="454"/>
      <c r="I24" s="454"/>
      <c r="J24" s="454"/>
      <c r="K24" s="454"/>
      <c r="L24" s="454"/>
      <c r="M24" s="454"/>
      <c r="N24" s="454"/>
      <c r="O24" s="454"/>
      <c r="P24" s="454"/>
      <c r="Q24" s="454"/>
      <c r="R24" s="454"/>
      <c r="S24" s="454"/>
      <c r="T24" s="454"/>
      <c r="U24" s="454"/>
      <c r="V24" s="454"/>
      <c r="W24" s="454"/>
      <c r="X24" s="454"/>
      <c r="Y24" s="454"/>
      <c r="Z24" s="454"/>
    </row>
    <row r="25" ht="15.75" customHeight="1">
      <c r="A25" s="454"/>
      <c r="B25" s="454"/>
      <c r="C25" s="454"/>
      <c r="D25" s="454"/>
      <c r="E25" s="454"/>
      <c r="F25" s="454"/>
      <c r="G25" s="454"/>
      <c r="H25" s="454"/>
      <c r="I25" s="454"/>
      <c r="J25" s="454"/>
      <c r="K25" s="454"/>
      <c r="L25" s="454"/>
      <c r="M25" s="454"/>
      <c r="N25" s="454"/>
      <c r="O25" s="454"/>
      <c r="P25" s="454"/>
      <c r="Q25" s="454"/>
      <c r="R25" s="454"/>
      <c r="S25" s="454"/>
      <c r="T25" s="454"/>
      <c r="U25" s="454"/>
      <c r="V25" s="454"/>
      <c r="W25" s="454"/>
      <c r="X25" s="454"/>
      <c r="Y25" s="454"/>
      <c r="Z25" s="454"/>
    </row>
    <row r="26" ht="15.75" customHeight="1">
      <c r="A26" s="454"/>
      <c r="B26" s="454"/>
      <c r="C26" s="454"/>
      <c r="D26" s="454"/>
      <c r="E26" s="454"/>
      <c r="F26" s="454"/>
      <c r="G26" s="454"/>
      <c r="H26" s="454"/>
      <c r="I26" s="454"/>
      <c r="J26" s="454"/>
      <c r="K26" s="454"/>
      <c r="L26" s="454"/>
      <c r="M26" s="454"/>
      <c r="N26" s="454"/>
      <c r="O26" s="454"/>
      <c r="P26" s="454"/>
      <c r="Q26" s="454"/>
      <c r="R26" s="454"/>
      <c r="S26" s="454"/>
      <c r="T26" s="454"/>
      <c r="U26" s="454"/>
      <c r="V26" s="454"/>
      <c r="W26" s="454"/>
      <c r="X26" s="454"/>
      <c r="Y26" s="454"/>
      <c r="Z26" s="454"/>
    </row>
    <row r="27" ht="15.75" customHeight="1">
      <c r="A27" s="454"/>
      <c r="B27" s="454"/>
      <c r="C27" s="454"/>
      <c r="D27" s="454"/>
      <c r="E27" s="454"/>
      <c r="F27" s="454"/>
      <c r="G27" s="454"/>
      <c r="H27" s="454"/>
      <c r="I27" s="454"/>
      <c r="J27" s="454"/>
      <c r="K27" s="454"/>
      <c r="L27" s="454"/>
      <c r="M27" s="454"/>
      <c r="N27" s="454"/>
      <c r="O27" s="454"/>
      <c r="P27" s="454"/>
      <c r="Q27" s="454"/>
      <c r="R27" s="454"/>
      <c r="S27" s="454"/>
      <c r="T27" s="454"/>
      <c r="U27" s="454"/>
      <c r="V27" s="454"/>
      <c r="W27" s="454"/>
      <c r="X27" s="454"/>
      <c r="Y27" s="454"/>
      <c r="Z27" s="454"/>
    </row>
    <row r="28" ht="15.75" customHeight="1">
      <c r="A28" s="454"/>
      <c r="B28" s="454"/>
      <c r="C28" s="454"/>
      <c r="D28" s="454"/>
      <c r="E28" s="454"/>
      <c r="F28" s="454"/>
      <c r="G28" s="454"/>
      <c r="H28" s="454"/>
      <c r="I28" s="454"/>
      <c r="J28" s="454"/>
      <c r="K28" s="454"/>
      <c r="L28" s="454"/>
      <c r="M28" s="454"/>
      <c r="N28" s="454"/>
      <c r="O28" s="454"/>
      <c r="P28" s="454"/>
      <c r="Q28" s="454"/>
      <c r="R28" s="454"/>
      <c r="S28" s="454"/>
      <c r="T28" s="454"/>
      <c r="U28" s="454"/>
      <c r="V28" s="454"/>
      <c r="W28" s="454"/>
      <c r="X28" s="454"/>
      <c r="Y28" s="454"/>
      <c r="Z28" s="454"/>
    </row>
    <row r="29" ht="15.75" customHeight="1">
      <c r="A29" s="454"/>
      <c r="B29" s="454"/>
      <c r="C29" s="454"/>
      <c r="D29" s="454"/>
      <c r="E29" s="454"/>
      <c r="F29" s="454"/>
      <c r="G29" s="454"/>
      <c r="H29" s="454"/>
      <c r="I29" s="454"/>
      <c r="J29" s="454"/>
      <c r="K29" s="454"/>
      <c r="L29" s="454"/>
      <c r="M29" s="454"/>
      <c r="N29" s="454"/>
      <c r="O29" s="454"/>
      <c r="P29" s="454"/>
      <c r="Q29" s="454"/>
      <c r="R29" s="454"/>
      <c r="S29" s="454"/>
      <c r="T29" s="454"/>
      <c r="U29" s="454"/>
      <c r="V29" s="454"/>
      <c r="W29" s="454"/>
      <c r="X29" s="454"/>
      <c r="Y29" s="454"/>
      <c r="Z29" s="454"/>
    </row>
    <row r="30" ht="15.75" customHeight="1">
      <c r="A30" s="454"/>
      <c r="B30" s="454"/>
      <c r="C30" s="454"/>
      <c r="D30" s="454"/>
      <c r="E30" s="454"/>
      <c r="F30" s="454"/>
      <c r="G30" s="454"/>
      <c r="H30" s="454"/>
      <c r="I30" s="454"/>
      <c r="J30" s="454"/>
      <c r="K30" s="454"/>
      <c r="L30" s="454"/>
      <c r="M30" s="454"/>
      <c r="N30" s="454"/>
      <c r="O30" s="454"/>
      <c r="P30" s="454"/>
      <c r="Q30" s="454"/>
      <c r="R30" s="454"/>
      <c r="S30" s="454"/>
      <c r="T30" s="454"/>
      <c r="U30" s="454"/>
      <c r="V30" s="454"/>
      <c r="W30" s="454"/>
      <c r="X30" s="454"/>
      <c r="Y30" s="454"/>
      <c r="Z30" s="454"/>
    </row>
    <row r="31" ht="15.75" customHeight="1">
      <c r="A31" s="454"/>
      <c r="B31" s="454"/>
      <c r="C31" s="454"/>
      <c r="D31" s="454"/>
      <c r="E31" s="454"/>
      <c r="F31" s="454"/>
      <c r="G31" s="454"/>
      <c r="H31" s="454"/>
      <c r="I31" s="454"/>
      <c r="J31" s="454"/>
      <c r="K31" s="454"/>
      <c r="L31" s="454"/>
      <c r="M31" s="454"/>
      <c r="N31" s="454"/>
      <c r="O31" s="454"/>
      <c r="P31" s="454"/>
      <c r="Q31" s="454"/>
      <c r="R31" s="454"/>
      <c r="S31" s="454"/>
      <c r="T31" s="454"/>
      <c r="U31" s="454"/>
      <c r="V31" s="454"/>
      <c r="W31" s="454"/>
      <c r="X31" s="454"/>
      <c r="Y31" s="454"/>
      <c r="Z31" s="454"/>
    </row>
    <row r="32" ht="15.75" customHeight="1">
      <c r="A32" s="454"/>
      <c r="B32" s="454"/>
      <c r="C32" s="454"/>
      <c r="D32" s="454"/>
      <c r="E32" s="454"/>
      <c r="F32" s="454"/>
      <c r="G32" s="454"/>
      <c r="H32" s="454"/>
      <c r="I32" s="454"/>
      <c r="J32" s="454"/>
      <c r="K32" s="454"/>
      <c r="L32" s="454"/>
      <c r="M32" s="454"/>
      <c r="N32" s="454"/>
      <c r="O32" s="454"/>
      <c r="P32" s="454"/>
      <c r="Q32" s="454"/>
      <c r="R32" s="454"/>
      <c r="S32" s="454"/>
      <c r="T32" s="454"/>
      <c r="U32" s="454"/>
      <c r="V32" s="454"/>
      <c r="W32" s="454"/>
      <c r="X32" s="454"/>
      <c r="Y32" s="454"/>
      <c r="Z32" s="454"/>
    </row>
    <row r="33" ht="15.75" customHeight="1">
      <c r="A33" s="454"/>
      <c r="B33" s="454"/>
      <c r="C33" s="454"/>
      <c r="D33" s="454"/>
      <c r="E33" s="454"/>
      <c r="F33" s="454"/>
      <c r="G33" s="454"/>
      <c r="H33" s="454"/>
      <c r="I33" s="454"/>
      <c r="J33" s="454"/>
      <c r="K33" s="454"/>
      <c r="L33" s="454"/>
      <c r="M33" s="454"/>
      <c r="N33" s="454"/>
      <c r="O33" s="454"/>
      <c r="P33" s="454"/>
      <c r="Q33" s="454"/>
      <c r="R33" s="454"/>
      <c r="S33" s="454"/>
      <c r="T33" s="454"/>
      <c r="U33" s="454"/>
      <c r="V33" s="454"/>
      <c r="W33" s="454"/>
      <c r="X33" s="454"/>
      <c r="Y33" s="454"/>
      <c r="Z33" s="454"/>
    </row>
    <row r="34" ht="15.75" customHeight="1">
      <c r="A34" s="454"/>
      <c r="B34" s="454"/>
      <c r="C34" s="454"/>
      <c r="D34" s="454"/>
      <c r="E34" s="454"/>
      <c r="F34" s="454"/>
      <c r="G34" s="454"/>
      <c r="H34" s="454"/>
      <c r="I34" s="454"/>
      <c r="J34" s="454"/>
      <c r="K34" s="454"/>
      <c r="L34" s="454"/>
      <c r="M34" s="454"/>
      <c r="N34" s="454"/>
      <c r="O34" s="454"/>
      <c r="P34" s="454"/>
      <c r="Q34" s="454"/>
      <c r="R34" s="454"/>
      <c r="S34" s="454"/>
      <c r="T34" s="454"/>
      <c r="U34" s="454"/>
      <c r="V34" s="454"/>
      <c r="W34" s="454"/>
      <c r="X34" s="454"/>
      <c r="Y34" s="454"/>
      <c r="Z34" s="454"/>
    </row>
    <row r="35" ht="15.75" customHeight="1">
      <c r="A35" s="454"/>
      <c r="B35" s="454"/>
      <c r="C35" s="454"/>
      <c r="D35" s="454"/>
      <c r="E35" s="454"/>
      <c r="F35" s="454"/>
      <c r="G35" s="454"/>
      <c r="H35" s="454"/>
      <c r="I35" s="454"/>
      <c r="J35" s="454"/>
      <c r="K35" s="454"/>
      <c r="L35" s="454"/>
      <c r="M35" s="454"/>
      <c r="N35" s="454"/>
      <c r="O35" s="454"/>
      <c r="P35" s="454"/>
      <c r="Q35" s="454"/>
      <c r="R35" s="454"/>
      <c r="S35" s="454"/>
      <c r="T35" s="454"/>
      <c r="U35" s="454"/>
      <c r="V35" s="454"/>
      <c r="W35" s="454"/>
      <c r="X35" s="454"/>
      <c r="Y35" s="454"/>
      <c r="Z35" s="454"/>
    </row>
    <row r="36" ht="15.75" customHeight="1">
      <c r="A36" s="454"/>
      <c r="B36" s="454"/>
      <c r="C36" s="454"/>
      <c r="D36" s="454"/>
      <c r="E36" s="454"/>
      <c r="F36" s="454"/>
      <c r="G36" s="454"/>
      <c r="H36" s="454"/>
      <c r="I36" s="454"/>
      <c r="J36" s="454"/>
      <c r="K36" s="454"/>
      <c r="L36" s="454"/>
      <c r="M36" s="454"/>
      <c r="N36" s="454"/>
      <c r="O36" s="454"/>
      <c r="P36" s="454"/>
      <c r="Q36" s="454"/>
      <c r="R36" s="454"/>
      <c r="S36" s="454"/>
      <c r="T36" s="454"/>
      <c r="U36" s="454"/>
      <c r="V36" s="454"/>
      <c r="W36" s="454"/>
      <c r="X36" s="454"/>
      <c r="Y36" s="454"/>
      <c r="Z36" s="454"/>
    </row>
    <row r="37" ht="15.75" customHeight="1">
      <c r="A37" s="454"/>
      <c r="B37" s="454"/>
      <c r="C37" s="454"/>
      <c r="D37" s="454"/>
      <c r="E37" s="454"/>
      <c r="F37" s="454"/>
      <c r="G37" s="454"/>
      <c r="H37" s="454"/>
      <c r="I37" s="454"/>
      <c r="J37" s="454"/>
      <c r="K37" s="454"/>
      <c r="L37" s="454"/>
      <c r="M37" s="454"/>
      <c r="N37" s="454"/>
      <c r="O37" s="454"/>
      <c r="P37" s="454"/>
      <c r="Q37" s="454"/>
      <c r="R37" s="454"/>
      <c r="S37" s="454"/>
      <c r="T37" s="454"/>
      <c r="U37" s="454"/>
      <c r="V37" s="454"/>
      <c r="W37" s="454"/>
      <c r="X37" s="454"/>
      <c r="Y37" s="454"/>
      <c r="Z37" s="454"/>
    </row>
    <row r="38" ht="15.75" customHeight="1">
      <c r="A38" s="454"/>
      <c r="B38" s="454"/>
      <c r="C38" s="454"/>
      <c r="D38" s="454"/>
      <c r="E38" s="454"/>
      <c r="F38" s="454"/>
      <c r="G38" s="454"/>
      <c r="H38" s="454"/>
      <c r="I38" s="454"/>
      <c r="J38" s="454"/>
      <c r="K38" s="454"/>
      <c r="L38" s="454"/>
      <c r="M38" s="454"/>
      <c r="N38" s="454"/>
      <c r="O38" s="454"/>
      <c r="P38" s="454"/>
      <c r="Q38" s="454"/>
      <c r="R38" s="454"/>
      <c r="S38" s="454"/>
      <c r="T38" s="454"/>
      <c r="U38" s="454"/>
      <c r="V38" s="454"/>
      <c r="W38" s="454"/>
      <c r="X38" s="454"/>
      <c r="Y38" s="454"/>
      <c r="Z38" s="454"/>
    </row>
    <row r="39" ht="15.75" customHeight="1">
      <c r="A39" s="454"/>
      <c r="B39" s="454"/>
      <c r="C39" s="454"/>
      <c r="D39" s="454"/>
      <c r="E39" s="454"/>
      <c r="F39" s="454"/>
      <c r="G39" s="454"/>
      <c r="H39" s="454"/>
      <c r="I39" s="454"/>
      <c r="J39" s="454"/>
      <c r="K39" s="454"/>
      <c r="L39" s="454"/>
      <c r="M39" s="454"/>
      <c r="N39" s="454"/>
      <c r="O39" s="454"/>
      <c r="P39" s="454"/>
      <c r="Q39" s="454"/>
      <c r="R39" s="454"/>
      <c r="S39" s="454"/>
      <c r="T39" s="454"/>
      <c r="U39" s="454"/>
      <c r="V39" s="454"/>
      <c r="W39" s="454"/>
      <c r="X39" s="454"/>
      <c r="Y39" s="454"/>
      <c r="Z39" s="454"/>
    </row>
    <row r="40" ht="15.75" customHeight="1">
      <c r="A40" s="454"/>
      <c r="B40" s="454"/>
      <c r="C40" s="454"/>
      <c r="D40" s="454"/>
      <c r="E40" s="454"/>
      <c r="F40" s="454"/>
      <c r="G40" s="454"/>
      <c r="H40" s="454"/>
      <c r="I40" s="454"/>
      <c r="J40" s="454"/>
      <c r="K40" s="454"/>
      <c r="L40" s="454"/>
      <c r="M40" s="454"/>
      <c r="N40" s="454"/>
      <c r="O40" s="454"/>
      <c r="P40" s="454"/>
      <c r="Q40" s="454"/>
      <c r="R40" s="454"/>
      <c r="S40" s="454"/>
      <c r="T40" s="454"/>
      <c r="U40" s="454"/>
      <c r="V40" s="454"/>
      <c r="W40" s="454"/>
      <c r="X40" s="454"/>
      <c r="Y40" s="454"/>
      <c r="Z40" s="454"/>
    </row>
    <row r="41" ht="15.75" customHeight="1">
      <c r="A41" s="454"/>
      <c r="B41" s="454"/>
      <c r="C41" s="454"/>
      <c r="D41" s="454"/>
      <c r="E41" s="454"/>
      <c r="F41" s="454"/>
      <c r="G41" s="454"/>
      <c r="H41" s="454"/>
      <c r="I41" s="454"/>
      <c r="J41" s="454"/>
      <c r="K41" s="454"/>
      <c r="L41" s="454"/>
      <c r="M41" s="454"/>
      <c r="N41" s="454"/>
      <c r="O41" s="454"/>
      <c r="P41" s="454"/>
      <c r="Q41" s="454"/>
      <c r="R41" s="454"/>
      <c r="S41" s="454"/>
      <c r="T41" s="454"/>
      <c r="U41" s="454"/>
      <c r="V41" s="454"/>
      <c r="W41" s="454"/>
      <c r="X41" s="454"/>
      <c r="Y41" s="454"/>
      <c r="Z41" s="454"/>
    </row>
    <row r="42" ht="15.75" customHeight="1">
      <c r="A42" s="454"/>
      <c r="B42" s="454"/>
      <c r="C42" s="454"/>
      <c r="D42" s="454"/>
      <c r="E42" s="454"/>
      <c r="F42" s="454"/>
      <c r="G42" s="454"/>
      <c r="H42" s="454"/>
      <c r="I42" s="454"/>
      <c r="J42" s="454"/>
      <c r="K42" s="454"/>
      <c r="L42" s="454"/>
      <c r="M42" s="454"/>
      <c r="N42" s="454"/>
      <c r="O42" s="454"/>
      <c r="P42" s="454"/>
      <c r="Q42" s="454"/>
      <c r="R42" s="454"/>
      <c r="S42" s="454"/>
      <c r="T42" s="454"/>
      <c r="U42" s="454"/>
      <c r="V42" s="454"/>
      <c r="W42" s="454"/>
      <c r="X42" s="454"/>
      <c r="Y42" s="454"/>
      <c r="Z42" s="454"/>
    </row>
    <row r="43" ht="15.75" customHeight="1">
      <c r="A43" s="454"/>
      <c r="B43" s="454"/>
      <c r="C43" s="454"/>
      <c r="D43" s="454"/>
      <c r="E43" s="454"/>
      <c r="F43" s="454"/>
      <c r="G43" s="454"/>
      <c r="H43" s="454"/>
      <c r="I43" s="454"/>
      <c r="J43" s="454"/>
      <c r="K43" s="454"/>
      <c r="L43" s="454"/>
      <c r="M43" s="454"/>
      <c r="N43" s="454"/>
      <c r="O43" s="454"/>
      <c r="P43" s="454"/>
      <c r="Q43" s="454"/>
      <c r="R43" s="454"/>
      <c r="S43" s="454"/>
      <c r="T43" s="454"/>
      <c r="U43" s="454"/>
      <c r="V43" s="454"/>
      <c r="W43" s="454"/>
      <c r="X43" s="454"/>
      <c r="Y43" s="454"/>
      <c r="Z43" s="454"/>
    </row>
    <row r="44" ht="15.75" customHeight="1">
      <c r="A44" s="454"/>
      <c r="B44" s="454"/>
      <c r="C44" s="454"/>
      <c r="D44" s="454"/>
      <c r="E44" s="454"/>
      <c r="F44" s="454"/>
      <c r="G44" s="454"/>
      <c r="H44" s="454"/>
      <c r="I44" s="454"/>
      <c r="J44" s="454"/>
      <c r="K44" s="454"/>
      <c r="L44" s="454"/>
      <c r="M44" s="454"/>
      <c r="N44" s="454"/>
      <c r="O44" s="454"/>
      <c r="P44" s="454"/>
      <c r="Q44" s="454"/>
      <c r="R44" s="454"/>
      <c r="S44" s="454"/>
      <c r="T44" s="454"/>
      <c r="U44" s="454"/>
      <c r="V44" s="454"/>
      <c r="W44" s="454"/>
      <c r="X44" s="454"/>
      <c r="Y44" s="454"/>
      <c r="Z44" s="454"/>
    </row>
    <row r="45" ht="15.75" customHeight="1">
      <c r="A45" s="454"/>
      <c r="B45" s="454"/>
      <c r="C45" s="454"/>
      <c r="D45" s="454"/>
      <c r="E45" s="454"/>
      <c r="F45" s="454"/>
      <c r="G45" s="454"/>
      <c r="H45" s="454"/>
      <c r="I45" s="454"/>
      <c r="J45" s="454"/>
      <c r="K45" s="454"/>
      <c r="L45" s="454"/>
      <c r="M45" s="454"/>
      <c r="N45" s="454"/>
      <c r="O45" s="454"/>
      <c r="P45" s="454"/>
      <c r="Q45" s="454"/>
      <c r="R45" s="454"/>
      <c r="S45" s="454"/>
      <c r="T45" s="454"/>
      <c r="U45" s="454"/>
      <c r="V45" s="454"/>
      <c r="W45" s="454"/>
      <c r="X45" s="454"/>
      <c r="Y45" s="454"/>
      <c r="Z45" s="454"/>
    </row>
    <row r="46" ht="15.75" customHeight="1">
      <c r="A46" s="454"/>
      <c r="B46" s="454"/>
      <c r="C46" s="454"/>
      <c r="D46" s="454"/>
      <c r="E46" s="454"/>
      <c r="F46" s="454"/>
      <c r="G46" s="454"/>
      <c r="H46" s="454"/>
      <c r="I46" s="454"/>
      <c r="J46" s="454"/>
      <c r="K46" s="454"/>
      <c r="L46" s="454"/>
      <c r="M46" s="454"/>
      <c r="N46" s="454"/>
      <c r="O46" s="454"/>
      <c r="P46" s="454"/>
      <c r="Q46" s="454"/>
      <c r="R46" s="454"/>
      <c r="S46" s="454"/>
      <c r="T46" s="454"/>
      <c r="U46" s="454"/>
      <c r="V46" s="454"/>
      <c r="W46" s="454"/>
      <c r="X46" s="454"/>
      <c r="Y46" s="454"/>
      <c r="Z46" s="454"/>
    </row>
    <row r="47" ht="15.75" customHeight="1">
      <c r="A47" s="454"/>
      <c r="B47" s="454"/>
      <c r="C47" s="454"/>
      <c r="D47" s="454"/>
      <c r="E47" s="454"/>
      <c r="F47" s="454"/>
      <c r="G47" s="454"/>
      <c r="H47" s="454"/>
      <c r="I47" s="454"/>
      <c r="J47" s="454"/>
      <c r="K47" s="454"/>
      <c r="L47" s="454"/>
      <c r="M47" s="454"/>
      <c r="N47" s="454"/>
      <c r="O47" s="454"/>
      <c r="P47" s="454"/>
      <c r="Q47" s="454"/>
      <c r="R47" s="454"/>
      <c r="S47" s="454"/>
      <c r="T47" s="454"/>
      <c r="U47" s="454"/>
      <c r="V47" s="454"/>
      <c r="W47" s="454"/>
      <c r="X47" s="454"/>
      <c r="Y47" s="454"/>
      <c r="Z47" s="454"/>
    </row>
    <row r="48" ht="15.75" customHeight="1">
      <c r="A48" s="454"/>
      <c r="B48" s="454"/>
      <c r="C48" s="454"/>
      <c r="D48" s="454"/>
      <c r="E48" s="454"/>
      <c r="F48" s="454"/>
      <c r="G48" s="454"/>
      <c r="H48" s="454"/>
      <c r="I48" s="454"/>
      <c r="J48" s="454"/>
      <c r="K48" s="454"/>
      <c r="L48" s="454"/>
      <c r="M48" s="454"/>
      <c r="N48" s="454"/>
      <c r="O48" s="454"/>
      <c r="P48" s="454"/>
      <c r="Q48" s="454"/>
      <c r="R48" s="454"/>
      <c r="S48" s="454"/>
      <c r="T48" s="454"/>
      <c r="U48" s="454"/>
      <c r="V48" s="454"/>
      <c r="W48" s="454"/>
      <c r="X48" s="454"/>
      <c r="Y48" s="454"/>
      <c r="Z48" s="454"/>
    </row>
    <row r="49" ht="15.75" customHeight="1">
      <c r="A49" s="454"/>
      <c r="B49" s="454"/>
      <c r="C49" s="454"/>
      <c r="D49" s="454"/>
      <c r="E49" s="454"/>
      <c r="F49" s="454"/>
      <c r="G49" s="454"/>
      <c r="H49" s="454"/>
      <c r="I49" s="454"/>
      <c r="J49" s="454"/>
      <c r="K49" s="454"/>
      <c r="L49" s="454"/>
      <c r="M49" s="454"/>
      <c r="N49" s="454"/>
      <c r="O49" s="454"/>
      <c r="P49" s="454"/>
      <c r="Q49" s="454"/>
      <c r="R49" s="454"/>
      <c r="S49" s="454"/>
      <c r="T49" s="454"/>
      <c r="U49" s="454"/>
      <c r="V49" s="454"/>
      <c r="W49" s="454"/>
      <c r="X49" s="454"/>
      <c r="Y49" s="454"/>
      <c r="Z49" s="454"/>
    </row>
    <row r="50" ht="15.75" customHeight="1">
      <c r="A50" s="454"/>
      <c r="B50" s="454"/>
      <c r="C50" s="454"/>
      <c r="D50" s="454"/>
      <c r="E50" s="454"/>
      <c r="F50" s="454"/>
      <c r="G50" s="454"/>
      <c r="H50" s="454"/>
      <c r="I50" s="454"/>
      <c r="J50" s="454"/>
      <c r="K50" s="454"/>
      <c r="L50" s="454"/>
      <c r="M50" s="454"/>
      <c r="N50" s="454"/>
      <c r="O50" s="454"/>
      <c r="P50" s="454"/>
      <c r="Q50" s="454"/>
      <c r="R50" s="454"/>
      <c r="S50" s="454"/>
      <c r="T50" s="454"/>
      <c r="U50" s="454"/>
      <c r="V50" s="454"/>
      <c r="W50" s="454"/>
      <c r="X50" s="454"/>
      <c r="Y50" s="454"/>
      <c r="Z50" s="454"/>
    </row>
    <row r="51" ht="15.75" customHeight="1">
      <c r="A51" s="454"/>
      <c r="B51" s="454"/>
      <c r="C51" s="454"/>
      <c r="D51" s="454"/>
      <c r="E51" s="454"/>
      <c r="F51" s="454"/>
      <c r="G51" s="454"/>
      <c r="H51" s="454"/>
      <c r="I51" s="454"/>
      <c r="J51" s="454"/>
      <c r="K51" s="454"/>
      <c r="L51" s="454"/>
      <c r="M51" s="454"/>
      <c r="N51" s="454"/>
      <c r="O51" s="454"/>
      <c r="P51" s="454"/>
      <c r="Q51" s="454"/>
      <c r="R51" s="454"/>
      <c r="S51" s="454"/>
      <c r="T51" s="454"/>
      <c r="U51" s="454"/>
      <c r="V51" s="454"/>
      <c r="W51" s="454"/>
      <c r="X51" s="454"/>
      <c r="Y51" s="454"/>
      <c r="Z51" s="454"/>
    </row>
    <row r="52" ht="15.75" customHeight="1">
      <c r="A52" s="454"/>
      <c r="B52" s="454"/>
      <c r="C52" s="454"/>
      <c r="D52" s="454"/>
      <c r="E52" s="454"/>
      <c r="F52" s="454"/>
      <c r="G52" s="454"/>
      <c r="H52" s="454"/>
      <c r="I52" s="454"/>
      <c r="J52" s="454"/>
      <c r="K52" s="454"/>
      <c r="L52" s="454"/>
      <c r="M52" s="454"/>
      <c r="N52" s="454"/>
      <c r="O52" s="454"/>
      <c r="P52" s="454"/>
      <c r="Q52" s="454"/>
      <c r="R52" s="454"/>
      <c r="S52" s="454"/>
      <c r="T52" s="454"/>
      <c r="U52" s="454"/>
      <c r="V52" s="454"/>
      <c r="W52" s="454"/>
      <c r="X52" s="454"/>
      <c r="Y52" s="454"/>
      <c r="Z52" s="454"/>
    </row>
    <row r="53" ht="15.75" customHeight="1">
      <c r="A53" s="454"/>
      <c r="B53" s="454"/>
      <c r="C53" s="454"/>
      <c r="D53" s="454"/>
      <c r="E53" s="454"/>
      <c r="F53" s="454"/>
      <c r="G53" s="454"/>
      <c r="H53" s="454"/>
      <c r="I53" s="454"/>
      <c r="J53" s="454"/>
      <c r="K53" s="454"/>
      <c r="L53" s="454"/>
      <c r="M53" s="454"/>
      <c r="N53" s="454"/>
      <c r="O53" s="454"/>
      <c r="P53" s="454"/>
      <c r="Q53" s="454"/>
      <c r="R53" s="454"/>
      <c r="S53" s="454"/>
      <c r="T53" s="454"/>
      <c r="U53" s="454"/>
      <c r="V53" s="454"/>
      <c r="W53" s="454"/>
      <c r="X53" s="454"/>
      <c r="Y53" s="454"/>
      <c r="Z53" s="454"/>
    </row>
    <row r="54" ht="15.75" customHeight="1">
      <c r="A54" s="454"/>
      <c r="B54" s="454"/>
      <c r="C54" s="454"/>
      <c r="D54" s="454"/>
      <c r="E54" s="454"/>
      <c r="F54" s="454"/>
      <c r="G54" s="454"/>
      <c r="H54" s="454"/>
      <c r="I54" s="454"/>
      <c r="J54" s="454"/>
      <c r="K54" s="454"/>
      <c r="L54" s="454"/>
      <c r="M54" s="454"/>
      <c r="N54" s="454"/>
      <c r="O54" s="454"/>
      <c r="P54" s="454"/>
      <c r="Q54" s="454"/>
      <c r="R54" s="454"/>
      <c r="S54" s="454"/>
      <c r="T54" s="454"/>
      <c r="U54" s="454"/>
      <c r="V54" s="454"/>
      <c r="W54" s="454"/>
      <c r="X54" s="454"/>
      <c r="Y54" s="454"/>
      <c r="Z54" s="454"/>
    </row>
    <row r="55" ht="15.75" customHeight="1">
      <c r="A55" s="454"/>
      <c r="B55" s="454"/>
      <c r="C55" s="454"/>
      <c r="D55" s="454"/>
      <c r="E55" s="454"/>
      <c r="F55" s="454"/>
      <c r="G55" s="454"/>
      <c r="H55" s="454"/>
      <c r="I55" s="454"/>
      <c r="J55" s="454"/>
      <c r="K55" s="454"/>
      <c r="L55" s="454"/>
      <c r="M55" s="454"/>
      <c r="N55" s="454"/>
      <c r="O55" s="454"/>
      <c r="P55" s="454"/>
      <c r="Q55" s="454"/>
      <c r="R55" s="454"/>
      <c r="S55" s="454"/>
      <c r="T55" s="454"/>
      <c r="U55" s="454"/>
      <c r="V55" s="454"/>
      <c r="W55" s="454"/>
      <c r="X55" s="454"/>
      <c r="Y55" s="454"/>
      <c r="Z55" s="454"/>
    </row>
    <row r="56" ht="15.75" customHeight="1">
      <c r="A56" s="454"/>
      <c r="B56" s="454"/>
      <c r="C56" s="454"/>
      <c r="D56" s="454"/>
      <c r="E56" s="454"/>
      <c r="F56" s="454"/>
      <c r="G56" s="454"/>
      <c r="H56" s="454"/>
      <c r="I56" s="454"/>
      <c r="J56" s="454"/>
      <c r="K56" s="454"/>
      <c r="L56" s="454"/>
      <c r="M56" s="454"/>
      <c r="N56" s="454"/>
      <c r="O56" s="454"/>
      <c r="P56" s="454"/>
      <c r="Q56" s="454"/>
      <c r="R56" s="454"/>
      <c r="S56" s="454"/>
      <c r="T56" s="454"/>
      <c r="U56" s="454"/>
      <c r="V56" s="454"/>
      <c r="W56" s="454"/>
      <c r="X56" s="454"/>
      <c r="Y56" s="454"/>
      <c r="Z56" s="454"/>
    </row>
    <row r="57" ht="15.75" customHeight="1">
      <c r="A57" s="454"/>
      <c r="B57" s="454"/>
      <c r="C57" s="454"/>
      <c r="D57" s="454"/>
      <c r="E57" s="454"/>
      <c r="F57" s="454"/>
      <c r="G57" s="454"/>
      <c r="H57" s="454"/>
      <c r="I57" s="454"/>
      <c r="J57" s="454"/>
      <c r="K57" s="454"/>
      <c r="L57" s="454"/>
      <c r="M57" s="454"/>
      <c r="N57" s="454"/>
      <c r="O57" s="454"/>
      <c r="P57" s="454"/>
      <c r="Q57" s="454"/>
      <c r="R57" s="454"/>
      <c r="S57" s="454"/>
      <c r="T57" s="454"/>
      <c r="U57" s="454"/>
      <c r="V57" s="454"/>
      <c r="W57" s="454"/>
      <c r="X57" s="454"/>
      <c r="Y57" s="454"/>
      <c r="Z57" s="454"/>
    </row>
    <row r="58" ht="15.75" customHeight="1">
      <c r="A58" s="454"/>
      <c r="B58" s="454"/>
      <c r="C58" s="454"/>
      <c r="D58" s="454"/>
      <c r="E58" s="454"/>
      <c r="F58" s="454"/>
      <c r="G58" s="454"/>
      <c r="H58" s="454"/>
      <c r="I58" s="454"/>
      <c r="J58" s="454"/>
      <c r="K58" s="454"/>
      <c r="L58" s="454"/>
      <c r="M58" s="454"/>
      <c r="N58" s="454"/>
      <c r="O58" s="454"/>
      <c r="P58" s="454"/>
      <c r="Q58" s="454"/>
      <c r="R58" s="454"/>
      <c r="S58" s="454"/>
      <c r="T58" s="454"/>
      <c r="U58" s="454"/>
      <c r="V58" s="454"/>
      <c r="W58" s="454"/>
      <c r="X58" s="454"/>
      <c r="Y58" s="454"/>
      <c r="Z58" s="454"/>
    </row>
    <row r="59" ht="15.75" customHeight="1">
      <c r="A59" s="454"/>
      <c r="B59" s="454"/>
      <c r="C59" s="454"/>
      <c r="D59" s="454"/>
      <c r="E59" s="454"/>
      <c r="F59" s="454"/>
      <c r="G59" s="454"/>
      <c r="H59" s="454"/>
      <c r="I59" s="454"/>
      <c r="J59" s="454"/>
      <c r="K59" s="454"/>
      <c r="L59" s="454"/>
      <c r="M59" s="454"/>
      <c r="N59" s="454"/>
      <c r="O59" s="454"/>
      <c r="P59" s="454"/>
      <c r="Q59" s="454"/>
      <c r="R59" s="454"/>
      <c r="S59" s="454"/>
      <c r="T59" s="454"/>
      <c r="U59" s="454"/>
      <c r="V59" s="454"/>
      <c r="W59" s="454"/>
      <c r="X59" s="454"/>
      <c r="Y59" s="454"/>
      <c r="Z59" s="454"/>
    </row>
    <row r="60" ht="15.75" customHeight="1">
      <c r="A60" s="454"/>
      <c r="B60" s="454"/>
      <c r="C60" s="454"/>
      <c r="D60" s="454"/>
      <c r="E60" s="454"/>
      <c r="F60" s="454"/>
      <c r="G60" s="454"/>
      <c r="H60" s="454"/>
      <c r="I60" s="454"/>
      <c r="J60" s="454"/>
      <c r="K60" s="454"/>
      <c r="L60" s="454"/>
      <c r="M60" s="454"/>
      <c r="N60" s="454"/>
      <c r="O60" s="454"/>
      <c r="P60" s="454"/>
      <c r="Q60" s="454"/>
      <c r="R60" s="454"/>
      <c r="S60" s="454"/>
      <c r="T60" s="454"/>
      <c r="U60" s="454"/>
      <c r="V60" s="454"/>
      <c r="W60" s="454"/>
      <c r="X60" s="454"/>
      <c r="Y60" s="454"/>
      <c r="Z60" s="454"/>
    </row>
    <row r="61" ht="15.75" customHeight="1">
      <c r="A61" s="454"/>
      <c r="B61" s="454"/>
      <c r="C61" s="454"/>
      <c r="D61" s="454"/>
      <c r="E61" s="454"/>
      <c r="F61" s="454"/>
      <c r="G61" s="454"/>
      <c r="H61" s="454"/>
      <c r="I61" s="454"/>
      <c r="J61" s="454"/>
      <c r="K61" s="454"/>
      <c r="L61" s="454"/>
      <c r="M61" s="454"/>
      <c r="N61" s="454"/>
      <c r="O61" s="454"/>
      <c r="P61" s="454"/>
      <c r="Q61" s="454"/>
      <c r="R61" s="454"/>
      <c r="S61" s="454"/>
      <c r="T61" s="454"/>
      <c r="U61" s="454"/>
      <c r="V61" s="454"/>
      <c r="W61" s="454"/>
      <c r="X61" s="454"/>
      <c r="Y61" s="454"/>
      <c r="Z61" s="454"/>
    </row>
    <row r="62" ht="15.75" customHeight="1">
      <c r="A62" s="454"/>
      <c r="B62" s="454"/>
      <c r="C62" s="454"/>
      <c r="D62" s="454"/>
      <c r="E62" s="454"/>
      <c r="F62" s="454"/>
      <c r="G62" s="454"/>
      <c r="H62" s="454"/>
      <c r="I62" s="454"/>
      <c r="J62" s="454"/>
      <c r="K62" s="454"/>
      <c r="L62" s="454"/>
      <c r="M62" s="454"/>
      <c r="N62" s="454"/>
      <c r="O62" s="454"/>
      <c r="P62" s="454"/>
      <c r="Q62" s="454"/>
      <c r="R62" s="454"/>
      <c r="S62" s="454"/>
      <c r="T62" s="454"/>
      <c r="U62" s="454"/>
      <c r="V62" s="454"/>
      <c r="W62" s="454"/>
      <c r="X62" s="454"/>
      <c r="Y62" s="454"/>
      <c r="Z62" s="454"/>
    </row>
    <row r="63" ht="15.75" customHeight="1">
      <c r="A63" s="454"/>
      <c r="B63" s="454"/>
      <c r="C63" s="454"/>
      <c r="D63" s="454"/>
      <c r="E63" s="454"/>
      <c r="F63" s="454"/>
      <c r="G63" s="454"/>
      <c r="H63" s="454"/>
      <c r="I63" s="454"/>
      <c r="J63" s="454"/>
      <c r="K63" s="454"/>
      <c r="L63" s="454"/>
      <c r="M63" s="454"/>
      <c r="N63" s="454"/>
      <c r="O63" s="454"/>
      <c r="P63" s="454"/>
      <c r="Q63" s="454"/>
      <c r="R63" s="454"/>
      <c r="S63" s="454"/>
      <c r="T63" s="454"/>
      <c r="U63" s="454"/>
      <c r="V63" s="454"/>
      <c r="W63" s="454"/>
      <c r="X63" s="454"/>
      <c r="Y63" s="454"/>
      <c r="Z63" s="454"/>
    </row>
    <row r="64" ht="15.75" customHeight="1">
      <c r="A64" s="454"/>
      <c r="B64" s="454"/>
      <c r="C64" s="454"/>
      <c r="D64" s="454"/>
      <c r="E64" s="454"/>
      <c r="F64" s="454"/>
      <c r="G64" s="454"/>
      <c r="H64" s="454"/>
      <c r="I64" s="454"/>
      <c r="J64" s="454"/>
      <c r="K64" s="454"/>
      <c r="L64" s="454"/>
      <c r="M64" s="454"/>
      <c r="N64" s="454"/>
      <c r="O64" s="454"/>
      <c r="P64" s="454"/>
      <c r="Q64" s="454"/>
      <c r="R64" s="454"/>
      <c r="S64" s="454"/>
      <c r="T64" s="454"/>
      <c r="U64" s="454"/>
      <c r="V64" s="454"/>
      <c r="W64" s="454"/>
      <c r="X64" s="454"/>
      <c r="Y64" s="454"/>
      <c r="Z64" s="454"/>
    </row>
    <row r="65" ht="15.75" customHeight="1">
      <c r="A65" s="454"/>
      <c r="B65" s="454"/>
      <c r="C65" s="454"/>
      <c r="D65" s="454"/>
      <c r="E65" s="454"/>
      <c r="F65" s="454"/>
      <c r="G65" s="454"/>
      <c r="H65" s="454"/>
      <c r="I65" s="454"/>
      <c r="J65" s="454"/>
      <c r="K65" s="454"/>
      <c r="L65" s="454"/>
      <c r="M65" s="454"/>
      <c r="N65" s="454"/>
      <c r="O65" s="454"/>
      <c r="P65" s="454"/>
      <c r="Q65" s="454"/>
      <c r="R65" s="454"/>
      <c r="S65" s="454"/>
      <c r="T65" s="454"/>
      <c r="U65" s="454"/>
      <c r="V65" s="454"/>
      <c r="W65" s="454"/>
      <c r="X65" s="454"/>
      <c r="Y65" s="454"/>
      <c r="Z65" s="454"/>
    </row>
    <row r="66" ht="15.75" customHeight="1">
      <c r="A66" s="454"/>
      <c r="B66" s="454"/>
      <c r="C66" s="454"/>
      <c r="D66" s="454"/>
      <c r="E66" s="454"/>
      <c r="F66" s="454"/>
      <c r="G66" s="454"/>
      <c r="H66" s="454"/>
      <c r="I66" s="454"/>
      <c r="J66" s="454"/>
      <c r="K66" s="454"/>
      <c r="L66" s="454"/>
      <c r="M66" s="454"/>
      <c r="N66" s="454"/>
      <c r="O66" s="454"/>
      <c r="P66" s="454"/>
      <c r="Q66" s="454"/>
      <c r="R66" s="454"/>
      <c r="S66" s="454"/>
      <c r="T66" s="454"/>
      <c r="U66" s="454"/>
      <c r="V66" s="454"/>
      <c r="W66" s="454"/>
      <c r="X66" s="454"/>
      <c r="Y66" s="454"/>
      <c r="Z66" s="454"/>
    </row>
    <row r="67" ht="15.75" customHeight="1">
      <c r="A67" s="454"/>
      <c r="B67" s="454"/>
      <c r="C67" s="454"/>
      <c r="D67" s="454"/>
      <c r="E67" s="454"/>
      <c r="F67" s="454"/>
      <c r="G67" s="454"/>
      <c r="H67" s="454"/>
      <c r="I67" s="454"/>
      <c r="J67" s="454"/>
      <c r="K67" s="454"/>
      <c r="L67" s="454"/>
      <c r="M67" s="454"/>
      <c r="N67" s="454"/>
      <c r="O67" s="454"/>
      <c r="P67" s="454"/>
      <c r="Q67" s="454"/>
      <c r="R67" s="454"/>
      <c r="S67" s="454"/>
      <c r="T67" s="454"/>
      <c r="U67" s="454"/>
      <c r="V67" s="454"/>
      <c r="W67" s="454"/>
      <c r="X67" s="454"/>
      <c r="Y67" s="454"/>
      <c r="Z67" s="454"/>
    </row>
    <row r="68" ht="15.75" customHeight="1">
      <c r="A68" s="454"/>
      <c r="B68" s="454"/>
      <c r="C68" s="454"/>
      <c r="D68" s="454"/>
      <c r="E68" s="454"/>
      <c r="F68" s="454"/>
      <c r="G68" s="454"/>
      <c r="H68" s="454"/>
      <c r="I68" s="454"/>
      <c r="J68" s="454"/>
      <c r="K68" s="454"/>
      <c r="L68" s="454"/>
      <c r="M68" s="454"/>
      <c r="N68" s="454"/>
      <c r="O68" s="454"/>
      <c r="P68" s="454"/>
      <c r="Q68" s="454"/>
      <c r="R68" s="454"/>
      <c r="S68" s="454"/>
      <c r="T68" s="454"/>
      <c r="U68" s="454"/>
      <c r="V68" s="454"/>
      <c r="W68" s="454"/>
      <c r="X68" s="454"/>
      <c r="Y68" s="454"/>
      <c r="Z68" s="454"/>
    </row>
    <row r="69" ht="15.75" customHeight="1">
      <c r="A69" s="454"/>
      <c r="B69" s="454"/>
      <c r="C69" s="454"/>
      <c r="D69" s="454"/>
      <c r="E69" s="454"/>
      <c r="F69" s="454"/>
      <c r="G69" s="454"/>
      <c r="H69" s="454"/>
      <c r="I69" s="454"/>
      <c r="J69" s="454"/>
      <c r="K69" s="454"/>
      <c r="L69" s="454"/>
      <c r="M69" s="454"/>
      <c r="N69" s="454"/>
      <c r="O69" s="454"/>
      <c r="P69" s="454"/>
      <c r="Q69" s="454"/>
      <c r="R69" s="454"/>
      <c r="S69" s="454"/>
      <c r="T69" s="454"/>
      <c r="U69" s="454"/>
      <c r="V69" s="454"/>
      <c r="W69" s="454"/>
      <c r="X69" s="454"/>
      <c r="Y69" s="454"/>
      <c r="Z69" s="454"/>
    </row>
    <row r="70" ht="15.75" customHeight="1">
      <c r="A70" s="454"/>
      <c r="B70" s="454"/>
      <c r="C70" s="454"/>
      <c r="D70" s="454"/>
      <c r="E70" s="454"/>
      <c r="F70" s="454"/>
      <c r="G70" s="454"/>
      <c r="H70" s="454"/>
      <c r="I70" s="454"/>
      <c r="J70" s="454"/>
      <c r="K70" s="454"/>
      <c r="L70" s="454"/>
      <c r="M70" s="454"/>
      <c r="N70" s="454"/>
      <c r="O70" s="454"/>
      <c r="P70" s="454"/>
      <c r="Q70" s="454"/>
      <c r="R70" s="454"/>
      <c r="S70" s="454"/>
      <c r="T70" s="454"/>
      <c r="U70" s="454"/>
      <c r="V70" s="454"/>
      <c r="W70" s="454"/>
      <c r="X70" s="454"/>
      <c r="Y70" s="454"/>
      <c r="Z70" s="454"/>
    </row>
    <row r="71" ht="15.75" customHeight="1">
      <c r="A71" s="454"/>
      <c r="B71" s="454"/>
      <c r="C71" s="454"/>
      <c r="D71" s="454"/>
      <c r="E71" s="454"/>
      <c r="F71" s="454"/>
      <c r="G71" s="454"/>
      <c r="H71" s="454"/>
      <c r="I71" s="454"/>
      <c r="J71" s="454"/>
      <c r="K71" s="454"/>
      <c r="L71" s="454"/>
      <c r="M71" s="454"/>
      <c r="N71" s="454"/>
      <c r="O71" s="454"/>
      <c r="P71" s="454"/>
      <c r="Q71" s="454"/>
      <c r="R71" s="454"/>
      <c r="S71" s="454"/>
      <c r="T71" s="454"/>
      <c r="U71" s="454"/>
      <c r="V71" s="454"/>
      <c r="W71" s="454"/>
      <c r="X71" s="454"/>
      <c r="Y71" s="454"/>
      <c r="Z71" s="454"/>
    </row>
    <row r="72" ht="15.75" customHeight="1">
      <c r="A72" s="454"/>
      <c r="B72" s="454"/>
      <c r="C72" s="454"/>
      <c r="D72" s="454"/>
      <c r="E72" s="454"/>
      <c r="F72" s="454"/>
      <c r="G72" s="454"/>
      <c r="H72" s="454"/>
      <c r="I72" s="454"/>
      <c r="J72" s="454"/>
      <c r="K72" s="454"/>
      <c r="L72" s="454"/>
      <c r="M72" s="454"/>
      <c r="N72" s="454"/>
      <c r="O72" s="454"/>
      <c r="P72" s="454"/>
      <c r="Q72" s="454"/>
      <c r="R72" s="454"/>
      <c r="S72" s="454"/>
      <c r="T72" s="454"/>
      <c r="U72" s="454"/>
      <c r="V72" s="454"/>
      <c r="W72" s="454"/>
      <c r="X72" s="454"/>
      <c r="Y72" s="454"/>
      <c r="Z72" s="454"/>
    </row>
    <row r="73" ht="15.75" customHeight="1">
      <c r="A73" s="454"/>
      <c r="B73" s="454"/>
      <c r="C73" s="454"/>
      <c r="D73" s="454"/>
      <c r="E73" s="454"/>
      <c r="F73" s="454"/>
      <c r="G73" s="454"/>
      <c r="H73" s="454"/>
      <c r="I73" s="454"/>
      <c r="J73" s="454"/>
      <c r="K73" s="454"/>
      <c r="L73" s="454"/>
      <c r="M73" s="454"/>
      <c r="N73" s="454"/>
      <c r="O73" s="454"/>
      <c r="P73" s="454"/>
      <c r="Q73" s="454"/>
      <c r="R73" s="454"/>
      <c r="S73" s="454"/>
      <c r="T73" s="454"/>
      <c r="U73" s="454"/>
      <c r="V73" s="454"/>
      <c r="W73" s="454"/>
      <c r="X73" s="454"/>
      <c r="Y73" s="454"/>
      <c r="Z73" s="454"/>
    </row>
    <row r="74" ht="15.75" customHeight="1">
      <c r="A74" s="454"/>
      <c r="B74" s="454"/>
      <c r="C74" s="454"/>
      <c r="D74" s="454"/>
      <c r="E74" s="454"/>
      <c r="F74" s="454"/>
      <c r="G74" s="454"/>
      <c r="H74" s="454"/>
      <c r="I74" s="454"/>
      <c r="J74" s="454"/>
      <c r="K74" s="454"/>
      <c r="L74" s="454"/>
      <c r="M74" s="454"/>
      <c r="N74" s="454"/>
      <c r="O74" s="454"/>
      <c r="P74" s="454"/>
      <c r="Q74" s="454"/>
      <c r="R74" s="454"/>
      <c r="S74" s="454"/>
      <c r="T74" s="454"/>
      <c r="U74" s="454"/>
      <c r="V74" s="454"/>
      <c r="W74" s="454"/>
      <c r="X74" s="454"/>
      <c r="Y74" s="454"/>
      <c r="Z74" s="454"/>
    </row>
    <row r="75" ht="15.75" customHeight="1">
      <c r="A75" s="454"/>
      <c r="B75" s="454"/>
      <c r="C75" s="454"/>
      <c r="D75" s="454"/>
      <c r="E75" s="454"/>
      <c r="F75" s="454"/>
      <c r="G75" s="454"/>
      <c r="H75" s="454"/>
      <c r="I75" s="454"/>
      <c r="J75" s="454"/>
      <c r="K75" s="454"/>
      <c r="L75" s="454"/>
      <c r="M75" s="454"/>
      <c r="N75" s="454"/>
      <c r="O75" s="454"/>
      <c r="P75" s="454"/>
      <c r="Q75" s="454"/>
      <c r="R75" s="454"/>
      <c r="S75" s="454"/>
      <c r="T75" s="454"/>
      <c r="U75" s="454"/>
      <c r="V75" s="454"/>
      <c r="W75" s="454"/>
      <c r="X75" s="454"/>
      <c r="Y75" s="454"/>
      <c r="Z75" s="454"/>
    </row>
    <row r="76" ht="15.75" customHeight="1">
      <c r="A76" s="454"/>
      <c r="B76" s="454"/>
      <c r="C76" s="454"/>
      <c r="D76" s="454"/>
      <c r="E76" s="454"/>
      <c r="F76" s="454"/>
      <c r="G76" s="454"/>
      <c r="H76" s="454"/>
      <c r="I76" s="454"/>
      <c r="J76" s="454"/>
      <c r="K76" s="454"/>
      <c r="L76" s="454"/>
      <c r="M76" s="454"/>
      <c r="N76" s="454"/>
      <c r="O76" s="454"/>
      <c r="P76" s="454"/>
      <c r="Q76" s="454"/>
      <c r="R76" s="454"/>
      <c r="S76" s="454"/>
      <c r="T76" s="454"/>
      <c r="U76" s="454"/>
      <c r="V76" s="454"/>
      <c r="W76" s="454"/>
      <c r="X76" s="454"/>
      <c r="Y76" s="454"/>
      <c r="Z76" s="454"/>
    </row>
    <row r="77" ht="15.75" customHeight="1">
      <c r="A77" s="454"/>
      <c r="B77" s="454"/>
      <c r="C77" s="454"/>
      <c r="D77" s="454"/>
      <c r="E77" s="454"/>
      <c r="F77" s="454"/>
      <c r="G77" s="454"/>
      <c r="H77" s="454"/>
      <c r="I77" s="454"/>
      <c r="J77" s="454"/>
      <c r="K77" s="454"/>
      <c r="L77" s="454"/>
      <c r="M77" s="454"/>
      <c r="N77" s="454"/>
      <c r="O77" s="454"/>
      <c r="P77" s="454"/>
      <c r="Q77" s="454"/>
      <c r="R77" s="454"/>
      <c r="S77" s="454"/>
      <c r="T77" s="454"/>
      <c r="U77" s="454"/>
      <c r="V77" s="454"/>
      <c r="W77" s="454"/>
      <c r="X77" s="454"/>
      <c r="Y77" s="454"/>
      <c r="Z77" s="454"/>
    </row>
    <row r="78" ht="15.75" customHeight="1">
      <c r="A78" s="454"/>
      <c r="B78" s="454"/>
      <c r="C78" s="454"/>
      <c r="D78" s="454"/>
      <c r="E78" s="454"/>
      <c r="F78" s="454"/>
      <c r="G78" s="454"/>
      <c r="H78" s="454"/>
      <c r="I78" s="454"/>
      <c r="J78" s="454"/>
      <c r="K78" s="454"/>
      <c r="L78" s="454"/>
      <c r="M78" s="454"/>
      <c r="N78" s="454"/>
      <c r="O78" s="454"/>
      <c r="P78" s="454"/>
      <c r="Q78" s="454"/>
      <c r="R78" s="454"/>
      <c r="S78" s="454"/>
      <c r="T78" s="454"/>
      <c r="U78" s="454"/>
      <c r="V78" s="454"/>
      <c r="W78" s="454"/>
      <c r="X78" s="454"/>
      <c r="Y78" s="454"/>
      <c r="Z78" s="454"/>
    </row>
    <row r="79" ht="15.75" customHeight="1">
      <c r="A79" s="454"/>
      <c r="B79" s="454"/>
      <c r="C79" s="454"/>
      <c r="D79" s="454"/>
      <c r="E79" s="454"/>
      <c r="F79" s="454"/>
      <c r="G79" s="454"/>
      <c r="H79" s="454"/>
      <c r="I79" s="454"/>
      <c r="J79" s="454"/>
      <c r="K79" s="454"/>
      <c r="L79" s="454"/>
      <c r="M79" s="454"/>
      <c r="N79" s="454"/>
      <c r="O79" s="454"/>
      <c r="P79" s="454"/>
      <c r="Q79" s="454"/>
      <c r="R79" s="454"/>
      <c r="S79" s="454"/>
      <c r="T79" s="454"/>
      <c r="U79" s="454"/>
      <c r="V79" s="454"/>
      <c r="W79" s="454"/>
      <c r="X79" s="454"/>
      <c r="Y79" s="454"/>
      <c r="Z79" s="454"/>
    </row>
    <row r="80" ht="15.75" customHeight="1">
      <c r="A80" s="454"/>
      <c r="B80" s="454"/>
      <c r="C80" s="454"/>
      <c r="D80" s="454"/>
      <c r="E80" s="454"/>
      <c r="F80" s="454"/>
      <c r="G80" s="454"/>
      <c r="H80" s="454"/>
      <c r="I80" s="454"/>
      <c r="J80" s="454"/>
      <c r="K80" s="454"/>
      <c r="L80" s="454"/>
      <c r="M80" s="454"/>
      <c r="N80" s="454"/>
      <c r="O80" s="454"/>
      <c r="P80" s="454"/>
      <c r="Q80" s="454"/>
      <c r="R80" s="454"/>
      <c r="S80" s="454"/>
      <c r="T80" s="454"/>
      <c r="U80" s="454"/>
      <c r="V80" s="454"/>
      <c r="W80" s="454"/>
      <c r="X80" s="454"/>
      <c r="Y80" s="454"/>
      <c r="Z80" s="454"/>
    </row>
    <row r="81" ht="15.75" customHeight="1">
      <c r="A81" s="454"/>
      <c r="B81" s="454"/>
      <c r="C81" s="454"/>
      <c r="D81" s="454"/>
      <c r="E81" s="454"/>
      <c r="F81" s="454"/>
      <c r="G81" s="454"/>
      <c r="H81" s="454"/>
      <c r="I81" s="454"/>
      <c r="J81" s="454"/>
      <c r="K81" s="454"/>
      <c r="L81" s="454"/>
      <c r="M81" s="454"/>
      <c r="N81" s="454"/>
      <c r="O81" s="454"/>
      <c r="P81" s="454"/>
      <c r="Q81" s="454"/>
      <c r="R81" s="454"/>
      <c r="S81" s="454"/>
      <c r="T81" s="454"/>
      <c r="U81" s="454"/>
      <c r="V81" s="454"/>
      <c r="W81" s="454"/>
      <c r="X81" s="454"/>
      <c r="Y81" s="454"/>
      <c r="Z81" s="454"/>
    </row>
    <row r="82" ht="15.75" customHeight="1">
      <c r="A82" s="454"/>
      <c r="B82" s="454"/>
      <c r="C82" s="454"/>
      <c r="D82" s="454"/>
      <c r="E82" s="454"/>
      <c r="F82" s="454"/>
      <c r="G82" s="454"/>
      <c r="H82" s="454"/>
      <c r="I82" s="454"/>
      <c r="J82" s="454"/>
      <c r="K82" s="454"/>
      <c r="L82" s="454"/>
      <c r="M82" s="454"/>
      <c r="N82" s="454"/>
      <c r="O82" s="454"/>
      <c r="P82" s="454"/>
      <c r="Q82" s="454"/>
      <c r="R82" s="454"/>
      <c r="S82" s="454"/>
      <c r="T82" s="454"/>
      <c r="U82" s="454"/>
      <c r="V82" s="454"/>
      <c r="W82" s="454"/>
      <c r="X82" s="454"/>
      <c r="Y82" s="454"/>
      <c r="Z82" s="454"/>
    </row>
    <row r="83" ht="15.75" customHeight="1">
      <c r="A83" s="454"/>
      <c r="B83" s="454"/>
      <c r="C83" s="454"/>
      <c r="D83" s="454"/>
      <c r="E83" s="454"/>
      <c r="F83" s="454"/>
      <c r="G83" s="454"/>
      <c r="H83" s="454"/>
      <c r="I83" s="454"/>
      <c r="J83" s="454"/>
      <c r="K83" s="454"/>
      <c r="L83" s="454"/>
      <c r="M83" s="454"/>
      <c r="N83" s="454"/>
      <c r="O83" s="454"/>
      <c r="P83" s="454"/>
      <c r="Q83" s="454"/>
      <c r="R83" s="454"/>
      <c r="S83" s="454"/>
      <c r="T83" s="454"/>
      <c r="U83" s="454"/>
      <c r="V83" s="454"/>
      <c r="W83" s="454"/>
      <c r="X83" s="454"/>
      <c r="Y83" s="454"/>
      <c r="Z83" s="454"/>
    </row>
    <row r="84" ht="15.75" customHeight="1">
      <c r="A84" s="454"/>
      <c r="B84" s="454"/>
      <c r="C84" s="454"/>
      <c r="D84" s="454"/>
      <c r="E84" s="454"/>
      <c r="F84" s="454"/>
      <c r="G84" s="454"/>
      <c r="H84" s="454"/>
      <c r="I84" s="454"/>
      <c r="J84" s="454"/>
      <c r="K84" s="454"/>
      <c r="L84" s="454"/>
      <c r="M84" s="454"/>
      <c r="N84" s="454"/>
      <c r="O84" s="454"/>
      <c r="P84" s="454"/>
      <c r="Q84" s="454"/>
      <c r="R84" s="454"/>
      <c r="S84" s="454"/>
      <c r="T84" s="454"/>
      <c r="U84" s="454"/>
      <c r="V84" s="454"/>
      <c r="W84" s="454"/>
      <c r="X84" s="454"/>
      <c r="Y84" s="454"/>
      <c r="Z84" s="454"/>
    </row>
    <row r="85" ht="15.75" customHeight="1">
      <c r="A85" s="454"/>
      <c r="B85" s="454"/>
      <c r="C85" s="454"/>
      <c r="D85" s="454"/>
      <c r="E85" s="454"/>
      <c r="F85" s="454"/>
      <c r="G85" s="454"/>
      <c r="H85" s="454"/>
      <c r="I85" s="454"/>
      <c r="J85" s="454"/>
      <c r="K85" s="454"/>
      <c r="L85" s="454"/>
      <c r="M85" s="454"/>
      <c r="N85" s="454"/>
      <c r="O85" s="454"/>
      <c r="P85" s="454"/>
      <c r="Q85" s="454"/>
      <c r="R85" s="454"/>
      <c r="S85" s="454"/>
      <c r="T85" s="454"/>
      <c r="U85" s="454"/>
      <c r="V85" s="454"/>
      <c r="W85" s="454"/>
      <c r="X85" s="454"/>
      <c r="Y85" s="454"/>
      <c r="Z85" s="454"/>
    </row>
    <row r="86" ht="15.75" customHeight="1">
      <c r="A86" s="454"/>
      <c r="B86" s="454"/>
      <c r="C86" s="454"/>
      <c r="D86" s="454"/>
      <c r="E86" s="454"/>
      <c r="F86" s="454"/>
      <c r="G86" s="454"/>
      <c r="H86" s="454"/>
      <c r="I86" s="454"/>
      <c r="J86" s="454"/>
      <c r="K86" s="454"/>
      <c r="L86" s="454"/>
      <c r="M86" s="454"/>
      <c r="N86" s="454"/>
      <c r="O86" s="454"/>
      <c r="P86" s="454"/>
      <c r="Q86" s="454"/>
      <c r="R86" s="454"/>
      <c r="S86" s="454"/>
      <c r="T86" s="454"/>
      <c r="U86" s="454"/>
      <c r="V86" s="454"/>
      <c r="W86" s="454"/>
      <c r="X86" s="454"/>
      <c r="Y86" s="454"/>
      <c r="Z86" s="454"/>
    </row>
    <row r="87" ht="15.75" customHeight="1">
      <c r="A87" s="454"/>
      <c r="B87" s="454"/>
      <c r="C87" s="454"/>
      <c r="D87" s="454"/>
      <c r="E87" s="454"/>
      <c r="F87" s="454"/>
      <c r="G87" s="454"/>
      <c r="H87" s="454"/>
      <c r="I87" s="454"/>
      <c r="J87" s="454"/>
      <c r="K87" s="454"/>
      <c r="L87" s="454"/>
      <c r="M87" s="454"/>
      <c r="N87" s="454"/>
      <c r="O87" s="454"/>
      <c r="P87" s="454"/>
      <c r="Q87" s="454"/>
      <c r="R87" s="454"/>
      <c r="S87" s="454"/>
      <c r="T87" s="454"/>
      <c r="U87" s="454"/>
      <c r="V87" s="454"/>
      <c r="W87" s="454"/>
      <c r="X87" s="454"/>
      <c r="Y87" s="454"/>
      <c r="Z87" s="454"/>
    </row>
    <row r="88" ht="15.75" customHeight="1">
      <c r="A88" s="454"/>
      <c r="B88" s="454"/>
      <c r="C88" s="454"/>
      <c r="D88" s="454"/>
      <c r="E88" s="454"/>
      <c r="F88" s="454"/>
      <c r="G88" s="454"/>
      <c r="H88" s="454"/>
      <c r="I88" s="454"/>
      <c r="J88" s="454"/>
      <c r="K88" s="454"/>
      <c r="L88" s="454"/>
      <c r="M88" s="454"/>
      <c r="N88" s="454"/>
      <c r="O88" s="454"/>
      <c r="P88" s="454"/>
      <c r="Q88" s="454"/>
      <c r="R88" s="454"/>
      <c r="S88" s="454"/>
      <c r="T88" s="454"/>
      <c r="U88" s="454"/>
      <c r="V88" s="454"/>
      <c r="W88" s="454"/>
      <c r="X88" s="454"/>
      <c r="Y88" s="454"/>
      <c r="Z88" s="454"/>
    </row>
    <row r="89" ht="15.75" customHeight="1">
      <c r="A89" s="454"/>
      <c r="B89" s="454"/>
      <c r="C89" s="454"/>
      <c r="D89" s="454"/>
      <c r="E89" s="454"/>
      <c r="F89" s="454"/>
      <c r="G89" s="454"/>
      <c r="H89" s="454"/>
      <c r="I89" s="454"/>
      <c r="J89" s="454"/>
      <c r="K89" s="454"/>
      <c r="L89" s="454"/>
      <c r="M89" s="454"/>
      <c r="N89" s="454"/>
      <c r="O89" s="454"/>
      <c r="P89" s="454"/>
      <c r="Q89" s="454"/>
      <c r="R89" s="454"/>
      <c r="S89" s="454"/>
      <c r="T89" s="454"/>
      <c r="U89" s="454"/>
      <c r="V89" s="454"/>
      <c r="W89" s="454"/>
      <c r="X89" s="454"/>
      <c r="Y89" s="454"/>
      <c r="Z89" s="454"/>
    </row>
    <row r="90" ht="15.75" customHeight="1">
      <c r="A90" s="454"/>
      <c r="B90" s="454"/>
      <c r="C90" s="454"/>
      <c r="D90" s="454"/>
      <c r="E90" s="454"/>
      <c r="F90" s="454"/>
      <c r="G90" s="454"/>
      <c r="H90" s="454"/>
      <c r="I90" s="454"/>
      <c r="J90" s="454"/>
      <c r="K90" s="454"/>
      <c r="L90" s="454"/>
      <c r="M90" s="454"/>
      <c r="N90" s="454"/>
      <c r="O90" s="454"/>
      <c r="P90" s="454"/>
      <c r="Q90" s="454"/>
      <c r="R90" s="454"/>
      <c r="S90" s="454"/>
      <c r="T90" s="454"/>
      <c r="U90" s="454"/>
      <c r="V90" s="454"/>
      <c r="W90" s="454"/>
      <c r="X90" s="454"/>
      <c r="Y90" s="454"/>
      <c r="Z90" s="454"/>
    </row>
    <row r="91" ht="15.75" customHeight="1">
      <c r="A91" s="454"/>
      <c r="B91" s="454"/>
      <c r="C91" s="454"/>
      <c r="D91" s="454"/>
      <c r="E91" s="454"/>
      <c r="F91" s="454"/>
      <c r="G91" s="454"/>
      <c r="H91" s="454"/>
      <c r="I91" s="454"/>
      <c r="J91" s="454"/>
      <c r="K91" s="454"/>
      <c r="L91" s="454"/>
      <c r="M91" s="454"/>
      <c r="N91" s="454"/>
      <c r="O91" s="454"/>
      <c r="P91" s="454"/>
      <c r="Q91" s="454"/>
      <c r="R91" s="454"/>
      <c r="S91" s="454"/>
      <c r="T91" s="454"/>
      <c r="U91" s="454"/>
      <c r="V91" s="454"/>
      <c r="W91" s="454"/>
      <c r="X91" s="454"/>
      <c r="Y91" s="454"/>
      <c r="Z91" s="454"/>
    </row>
    <row r="92" ht="15.75" customHeight="1">
      <c r="A92" s="454"/>
      <c r="B92" s="454"/>
      <c r="C92" s="454"/>
      <c r="D92" s="454"/>
      <c r="E92" s="454"/>
      <c r="F92" s="454"/>
      <c r="G92" s="454"/>
      <c r="H92" s="454"/>
      <c r="I92" s="454"/>
      <c r="J92" s="454"/>
      <c r="K92" s="454"/>
      <c r="L92" s="454"/>
      <c r="M92" s="454"/>
      <c r="N92" s="454"/>
      <c r="O92" s="454"/>
      <c r="P92" s="454"/>
      <c r="Q92" s="454"/>
      <c r="R92" s="454"/>
      <c r="S92" s="454"/>
      <c r="T92" s="454"/>
      <c r="U92" s="454"/>
      <c r="V92" s="454"/>
      <c r="W92" s="454"/>
      <c r="X92" s="454"/>
      <c r="Y92" s="454"/>
      <c r="Z92" s="454"/>
    </row>
    <row r="93" ht="15.75" customHeight="1">
      <c r="A93" s="454"/>
      <c r="B93" s="454"/>
      <c r="C93" s="454"/>
      <c r="D93" s="454"/>
      <c r="E93" s="454"/>
      <c r="F93" s="454"/>
      <c r="G93" s="454"/>
      <c r="H93" s="454"/>
      <c r="I93" s="454"/>
      <c r="J93" s="454"/>
      <c r="K93" s="454"/>
      <c r="L93" s="454"/>
      <c r="M93" s="454"/>
      <c r="N93" s="454"/>
      <c r="O93" s="454"/>
      <c r="P93" s="454"/>
      <c r="Q93" s="454"/>
      <c r="R93" s="454"/>
      <c r="S93" s="454"/>
      <c r="T93" s="454"/>
      <c r="U93" s="454"/>
      <c r="V93" s="454"/>
      <c r="W93" s="454"/>
      <c r="X93" s="454"/>
      <c r="Y93" s="454"/>
      <c r="Z93" s="454"/>
    </row>
    <row r="94" ht="15.75" customHeight="1">
      <c r="A94" s="454"/>
      <c r="B94" s="454"/>
      <c r="C94" s="454"/>
      <c r="D94" s="454"/>
      <c r="E94" s="454"/>
      <c r="F94" s="454"/>
      <c r="G94" s="454"/>
      <c r="H94" s="454"/>
      <c r="I94" s="454"/>
      <c r="J94" s="454"/>
      <c r="K94" s="454"/>
      <c r="L94" s="454"/>
      <c r="M94" s="454"/>
      <c r="N94" s="454"/>
      <c r="O94" s="454"/>
      <c r="P94" s="454"/>
      <c r="Q94" s="454"/>
      <c r="R94" s="454"/>
      <c r="S94" s="454"/>
      <c r="T94" s="454"/>
      <c r="U94" s="454"/>
      <c r="V94" s="454"/>
      <c r="W94" s="454"/>
      <c r="X94" s="454"/>
      <c r="Y94" s="454"/>
      <c r="Z94" s="454"/>
    </row>
    <row r="95" ht="15.75" customHeight="1">
      <c r="A95" s="454"/>
      <c r="B95" s="454"/>
      <c r="C95" s="454"/>
      <c r="D95" s="454"/>
      <c r="E95" s="454"/>
      <c r="F95" s="454"/>
      <c r="G95" s="454"/>
      <c r="H95" s="454"/>
      <c r="I95" s="454"/>
      <c r="J95" s="454"/>
      <c r="K95" s="454"/>
      <c r="L95" s="454"/>
      <c r="M95" s="454"/>
      <c r="N95" s="454"/>
      <c r="O95" s="454"/>
      <c r="P95" s="454"/>
      <c r="Q95" s="454"/>
      <c r="R95" s="454"/>
      <c r="S95" s="454"/>
      <c r="T95" s="454"/>
      <c r="U95" s="454"/>
      <c r="V95" s="454"/>
      <c r="W95" s="454"/>
      <c r="X95" s="454"/>
      <c r="Y95" s="454"/>
      <c r="Z95" s="454"/>
    </row>
    <row r="96" ht="15.75" customHeight="1">
      <c r="A96" s="454"/>
      <c r="B96" s="454"/>
      <c r="C96" s="454"/>
      <c r="D96" s="454"/>
      <c r="E96" s="454"/>
      <c r="F96" s="454"/>
      <c r="G96" s="454"/>
      <c r="H96" s="454"/>
      <c r="I96" s="454"/>
      <c r="J96" s="454"/>
      <c r="K96" s="454"/>
      <c r="L96" s="454"/>
      <c r="M96" s="454"/>
      <c r="N96" s="454"/>
      <c r="O96" s="454"/>
      <c r="P96" s="454"/>
      <c r="Q96" s="454"/>
      <c r="R96" s="454"/>
      <c r="S96" s="454"/>
      <c r="T96" s="454"/>
      <c r="U96" s="454"/>
      <c r="V96" s="454"/>
      <c r="W96" s="454"/>
      <c r="X96" s="454"/>
      <c r="Y96" s="454"/>
      <c r="Z96" s="454"/>
    </row>
    <row r="97" ht="15.75" customHeight="1">
      <c r="A97" s="454"/>
      <c r="B97" s="454"/>
      <c r="C97" s="454"/>
      <c r="D97" s="454"/>
      <c r="E97" s="454"/>
      <c r="F97" s="454"/>
      <c r="G97" s="454"/>
      <c r="H97" s="454"/>
      <c r="I97" s="454"/>
      <c r="J97" s="454"/>
      <c r="K97" s="454"/>
      <c r="L97" s="454"/>
      <c r="M97" s="454"/>
      <c r="N97" s="454"/>
      <c r="O97" s="454"/>
      <c r="P97" s="454"/>
      <c r="Q97" s="454"/>
      <c r="R97" s="454"/>
      <c r="S97" s="454"/>
      <c r="T97" s="454"/>
      <c r="U97" s="454"/>
      <c r="V97" s="454"/>
      <c r="W97" s="454"/>
      <c r="X97" s="454"/>
      <c r="Y97" s="454"/>
      <c r="Z97" s="454"/>
    </row>
    <row r="98" ht="15.75" customHeight="1">
      <c r="A98" s="454"/>
      <c r="B98" s="454"/>
      <c r="C98" s="454"/>
      <c r="D98" s="454"/>
      <c r="E98" s="454"/>
      <c r="F98" s="454"/>
      <c r="G98" s="454"/>
      <c r="H98" s="454"/>
      <c r="I98" s="454"/>
      <c r="J98" s="454"/>
      <c r="K98" s="454"/>
      <c r="L98" s="454"/>
      <c r="M98" s="454"/>
      <c r="N98" s="454"/>
      <c r="O98" s="454"/>
      <c r="P98" s="454"/>
      <c r="Q98" s="454"/>
      <c r="R98" s="454"/>
      <c r="S98" s="454"/>
      <c r="T98" s="454"/>
      <c r="U98" s="454"/>
      <c r="V98" s="454"/>
      <c r="W98" s="454"/>
      <c r="X98" s="454"/>
      <c r="Y98" s="454"/>
      <c r="Z98" s="454"/>
    </row>
    <row r="99" ht="15.75" customHeight="1">
      <c r="A99" s="454"/>
      <c r="B99" s="454"/>
      <c r="C99" s="454"/>
      <c r="D99" s="454"/>
      <c r="E99" s="454"/>
      <c r="F99" s="454"/>
      <c r="G99" s="454"/>
      <c r="H99" s="454"/>
      <c r="I99" s="454"/>
      <c r="J99" s="454"/>
      <c r="K99" s="454"/>
      <c r="L99" s="454"/>
      <c r="M99" s="454"/>
      <c r="N99" s="454"/>
      <c r="O99" s="454"/>
      <c r="P99" s="454"/>
      <c r="Q99" s="454"/>
      <c r="R99" s="454"/>
      <c r="S99" s="454"/>
      <c r="T99" s="454"/>
      <c r="U99" s="454"/>
      <c r="V99" s="454"/>
      <c r="W99" s="454"/>
      <c r="X99" s="454"/>
      <c r="Y99" s="454"/>
      <c r="Z99" s="454"/>
    </row>
    <row r="100" ht="15.75" customHeight="1">
      <c r="A100" s="454"/>
      <c r="B100" s="454"/>
      <c r="C100" s="454"/>
      <c r="D100" s="454"/>
      <c r="E100" s="454"/>
      <c r="F100" s="454"/>
      <c r="G100" s="454"/>
      <c r="H100" s="454"/>
      <c r="I100" s="454"/>
      <c r="J100" s="454"/>
      <c r="K100" s="454"/>
      <c r="L100" s="454"/>
      <c r="M100" s="454"/>
      <c r="N100" s="454"/>
      <c r="O100" s="454"/>
      <c r="P100" s="454"/>
      <c r="Q100" s="454"/>
      <c r="R100" s="454"/>
      <c r="S100" s="454"/>
      <c r="T100" s="454"/>
      <c r="U100" s="454"/>
      <c r="V100" s="454"/>
      <c r="W100" s="454"/>
      <c r="X100" s="454"/>
      <c r="Y100" s="454"/>
      <c r="Z100" s="454"/>
    </row>
    <row r="101" ht="15.75" customHeight="1">
      <c r="A101" s="454"/>
      <c r="B101" s="454"/>
      <c r="C101" s="454"/>
      <c r="D101" s="454"/>
      <c r="E101" s="454"/>
      <c r="F101" s="454"/>
      <c r="G101" s="454"/>
      <c r="H101" s="454"/>
      <c r="I101" s="454"/>
      <c r="J101" s="454"/>
      <c r="K101" s="454"/>
      <c r="L101" s="454"/>
      <c r="M101" s="454"/>
      <c r="N101" s="454"/>
      <c r="O101" s="454"/>
      <c r="P101" s="454"/>
      <c r="Q101" s="454"/>
      <c r="R101" s="454"/>
      <c r="S101" s="454"/>
      <c r="T101" s="454"/>
      <c r="U101" s="454"/>
      <c r="V101" s="454"/>
      <c r="W101" s="454"/>
      <c r="X101" s="454"/>
      <c r="Y101" s="454"/>
      <c r="Z101" s="454"/>
    </row>
    <row r="102" ht="15.75" customHeight="1">
      <c r="A102" s="454"/>
      <c r="B102" s="454"/>
      <c r="C102" s="454"/>
      <c r="D102" s="454"/>
      <c r="E102" s="454"/>
      <c r="F102" s="454"/>
      <c r="G102" s="454"/>
      <c r="H102" s="454"/>
      <c r="I102" s="454"/>
      <c r="J102" s="454"/>
      <c r="K102" s="454"/>
      <c r="L102" s="454"/>
      <c r="M102" s="454"/>
      <c r="N102" s="454"/>
      <c r="O102" s="454"/>
      <c r="P102" s="454"/>
      <c r="Q102" s="454"/>
      <c r="R102" s="454"/>
      <c r="S102" s="454"/>
      <c r="T102" s="454"/>
      <c r="U102" s="454"/>
      <c r="V102" s="454"/>
      <c r="W102" s="454"/>
      <c r="X102" s="454"/>
      <c r="Y102" s="454"/>
      <c r="Z102" s="454"/>
    </row>
    <row r="103" ht="15.75" customHeight="1">
      <c r="A103" s="454"/>
      <c r="B103" s="454"/>
      <c r="C103" s="454"/>
      <c r="D103" s="454"/>
      <c r="E103" s="454"/>
      <c r="F103" s="454"/>
      <c r="G103" s="454"/>
      <c r="H103" s="454"/>
      <c r="I103" s="454"/>
      <c r="J103" s="454"/>
      <c r="K103" s="454"/>
      <c r="L103" s="454"/>
      <c r="M103" s="454"/>
      <c r="N103" s="454"/>
      <c r="O103" s="454"/>
      <c r="P103" s="454"/>
      <c r="Q103" s="454"/>
      <c r="R103" s="454"/>
      <c r="S103" s="454"/>
      <c r="T103" s="454"/>
      <c r="U103" s="454"/>
      <c r="V103" s="454"/>
      <c r="W103" s="454"/>
      <c r="X103" s="454"/>
      <c r="Y103" s="454"/>
      <c r="Z103" s="454"/>
    </row>
    <row r="104" ht="15.75" customHeight="1">
      <c r="A104" s="454"/>
      <c r="B104" s="454"/>
      <c r="C104" s="454"/>
      <c r="D104" s="454"/>
      <c r="E104" s="454"/>
      <c r="F104" s="454"/>
      <c r="G104" s="454"/>
      <c r="H104" s="454"/>
      <c r="I104" s="454"/>
      <c r="J104" s="454"/>
      <c r="K104" s="454"/>
      <c r="L104" s="454"/>
      <c r="M104" s="454"/>
      <c r="N104" s="454"/>
      <c r="O104" s="454"/>
      <c r="P104" s="454"/>
      <c r="Q104" s="454"/>
      <c r="R104" s="454"/>
      <c r="S104" s="454"/>
      <c r="T104" s="454"/>
      <c r="U104" s="454"/>
      <c r="V104" s="454"/>
      <c r="W104" s="454"/>
      <c r="X104" s="454"/>
      <c r="Y104" s="454"/>
      <c r="Z104" s="454"/>
    </row>
    <row r="105" ht="15.75" customHeight="1">
      <c r="A105" s="454"/>
      <c r="B105" s="454"/>
      <c r="C105" s="454"/>
      <c r="D105" s="454"/>
      <c r="E105" s="454"/>
      <c r="F105" s="454"/>
      <c r="G105" s="454"/>
      <c r="H105" s="454"/>
      <c r="I105" s="454"/>
      <c r="J105" s="454"/>
      <c r="K105" s="454"/>
      <c r="L105" s="454"/>
      <c r="M105" s="454"/>
      <c r="N105" s="454"/>
      <c r="O105" s="454"/>
      <c r="P105" s="454"/>
      <c r="Q105" s="454"/>
      <c r="R105" s="454"/>
      <c r="S105" s="454"/>
      <c r="T105" s="454"/>
      <c r="U105" s="454"/>
      <c r="V105" s="454"/>
      <c r="W105" s="454"/>
      <c r="X105" s="454"/>
      <c r="Y105" s="454"/>
      <c r="Z105" s="454"/>
    </row>
    <row r="106" ht="15.75" customHeight="1">
      <c r="A106" s="454"/>
      <c r="B106" s="454"/>
      <c r="C106" s="454"/>
      <c r="D106" s="454"/>
      <c r="E106" s="454"/>
      <c r="F106" s="454"/>
      <c r="G106" s="454"/>
      <c r="H106" s="454"/>
      <c r="I106" s="454"/>
      <c r="J106" s="454"/>
      <c r="K106" s="454"/>
      <c r="L106" s="454"/>
      <c r="M106" s="454"/>
      <c r="N106" s="454"/>
      <c r="O106" s="454"/>
      <c r="P106" s="454"/>
      <c r="Q106" s="454"/>
      <c r="R106" s="454"/>
      <c r="S106" s="454"/>
      <c r="T106" s="454"/>
      <c r="U106" s="454"/>
      <c r="V106" s="454"/>
      <c r="W106" s="454"/>
      <c r="X106" s="454"/>
      <c r="Y106" s="454"/>
      <c r="Z106" s="454"/>
    </row>
    <row r="107" ht="15.75" customHeight="1">
      <c r="A107" s="454"/>
      <c r="B107" s="454"/>
      <c r="C107" s="454"/>
      <c r="D107" s="454"/>
      <c r="E107" s="454"/>
      <c r="F107" s="454"/>
      <c r="G107" s="454"/>
      <c r="H107" s="454"/>
      <c r="I107" s="454"/>
      <c r="J107" s="454"/>
      <c r="K107" s="454"/>
      <c r="L107" s="454"/>
      <c r="M107" s="454"/>
      <c r="N107" s="454"/>
      <c r="O107" s="454"/>
      <c r="P107" s="454"/>
      <c r="Q107" s="454"/>
      <c r="R107" s="454"/>
      <c r="S107" s="454"/>
      <c r="T107" s="454"/>
      <c r="U107" s="454"/>
      <c r="V107" s="454"/>
      <c r="W107" s="454"/>
      <c r="X107" s="454"/>
      <c r="Y107" s="454"/>
      <c r="Z107" s="454"/>
    </row>
    <row r="108" ht="15.75" customHeight="1">
      <c r="A108" s="454"/>
      <c r="B108" s="454"/>
      <c r="C108" s="454"/>
      <c r="D108" s="454"/>
      <c r="E108" s="454"/>
      <c r="F108" s="454"/>
      <c r="G108" s="454"/>
      <c r="H108" s="454"/>
      <c r="I108" s="454"/>
      <c r="J108" s="454"/>
      <c r="K108" s="454"/>
      <c r="L108" s="454"/>
      <c r="M108" s="454"/>
      <c r="N108" s="454"/>
      <c r="O108" s="454"/>
      <c r="P108" s="454"/>
      <c r="Q108" s="454"/>
      <c r="R108" s="454"/>
      <c r="S108" s="454"/>
      <c r="T108" s="454"/>
      <c r="U108" s="454"/>
      <c r="V108" s="454"/>
      <c r="W108" s="454"/>
      <c r="X108" s="454"/>
      <c r="Y108" s="454"/>
      <c r="Z108" s="454"/>
    </row>
    <row r="109" ht="15.75" customHeight="1">
      <c r="A109" s="454"/>
      <c r="B109" s="454"/>
      <c r="C109" s="454"/>
      <c r="D109" s="454"/>
      <c r="E109" s="454"/>
      <c r="F109" s="454"/>
      <c r="G109" s="454"/>
      <c r="H109" s="454"/>
      <c r="I109" s="454"/>
      <c r="J109" s="454"/>
      <c r="K109" s="454"/>
      <c r="L109" s="454"/>
      <c r="M109" s="454"/>
      <c r="N109" s="454"/>
      <c r="O109" s="454"/>
      <c r="P109" s="454"/>
      <c r="Q109" s="454"/>
      <c r="R109" s="454"/>
      <c r="S109" s="454"/>
      <c r="T109" s="454"/>
      <c r="U109" s="454"/>
      <c r="V109" s="454"/>
      <c r="W109" s="454"/>
      <c r="X109" s="454"/>
      <c r="Y109" s="454"/>
      <c r="Z109" s="454"/>
    </row>
    <row r="110" ht="15.75" customHeight="1">
      <c r="A110" s="454"/>
      <c r="B110" s="454"/>
      <c r="C110" s="454"/>
      <c r="D110" s="454"/>
      <c r="E110" s="454"/>
      <c r="F110" s="454"/>
      <c r="G110" s="454"/>
      <c r="H110" s="454"/>
      <c r="I110" s="454"/>
      <c r="J110" s="454"/>
      <c r="K110" s="454"/>
      <c r="L110" s="454"/>
      <c r="M110" s="454"/>
      <c r="N110" s="454"/>
      <c r="O110" s="454"/>
      <c r="P110" s="454"/>
      <c r="Q110" s="454"/>
      <c r="R110" s="454"/>
      <c r="S110" s="454"/>
      <c r="T110" s="454"/>
      <c r="U110" s="454"/>
      <c r="V110" s="454"/>
      <c r="W110" s="454"/>
      <c r="X110" s="454"/>
      <c r="Y110" s="454"/>
      <c r="Z110" s="454"/>
    </row>
    <row r="111" ht="15.75" customHeight="1">
      <c r="A111" s="454"/>
      <c r="B111" s="454"/>
      <c r="C111" s="454"/>
      <c r="D111" s="454"/>
      <c r="E111" s="454"/>
      <c r="F111" s="454"/>
      <c r="G111" s="454"/>
      <c r="H111" s="454"/>
      <c r="I111" s="454"/>
      <c r="J111" s="454"/>
      <c r="K111" s="454"/>
      <c r="L111" s="454"/>
      <c r="M111" s="454"/>
      <c r="N111" s="454"/>
      <c r="O111" s="454"/>
      <c r="P111" s="454"/>
      <c r="Q111" s="454"/>
      <c r="R111" s="454"/>
      <c r="S111" s="454"/>
      <c r="T111" s="454"/>
      <c r="U111" s="454"/>
      <c r="V111" s="454"/>
      <c r="W111" s="454"/>
      <c r="X111" s="454"/>
      <c r="Y111" s="454"/>
      <c r="Z111" s="454"/>
    </row>
    <row r="112" ht="15.75" customHeight="1">
      <c r="A112" s="454"/>
      <c r="B112" s="454"/>
      <c r="C112" s="454"/>
      <c r="D112" s="454"/>
      <c r="E112" s="454"/>
      <c r="F112" s="454"/>
      <c r="G112" s="454"/>
      <c r="H112" s="454"/>
      <c r="I112" s="454"/>
      <c r="J112" s="454"/>
      <c r="K112" s="454"/>
      <c r="L112" s="454"/>
      <c r="M112" s="454"/>
      <c r="N112" s="454"/>
      <c r="O112" s="454"/>
      <c r="P112" s="454"/>
      <c r="Q112" s="454"/>
      <c r="R112" s="454"/>
      <c r="S112" s="454"/>
      <c r="T112" s="454"/>
      <c r="U112" s="454"/>
      <c r="V112" s="454"/>
      <c r="W112" s="454"/>
      <c r="X112" s="454"/>
      <c r="Y112" s="454"/>
      <c r="Z112" s="454"/>
    </row>
    <row r="113" ht="15.75" customHeight="1">
      <c r="A113" s="454"/>
      <c r="B113" s="454"/>
      <c r="C113" s="454"/>
      <c r="D113" s="454"/>
      <c r="E113" s="454"/>
      <c r="F113" s="454"/>
      <c r="G113" s="454"/>
      <c r="H113" s="454"/>
      <c r="I113" s="454"/>
      <c r="J113" s="454"/>
      <c r="K113" s="454"/>
      <c r="L113" s="454"/>
      <c r="M113" s="454"/>
      <c r="N113" s="454"/>
      <c r="O113" s="454"/>
      <c r="P113" s="454"/>
      <c r="Q113" s="454"/>
      <c r="R113" s="454"/>
      <c r="S113" s="454"/>
      <c r="T113" s="454"/>
      <c r="U113" s="454"/>
      <c r="V113" s="454"/>
      <c r="W113" s="454"/>
      <c r="X113" s="454"/>
      <c r="Y113" s="454"/>
      <c r="Z113" s="454"/>
    </row>
    <row r="114" ht="15.75" customHeight="1">
      <c r="A114" s="454"/>
      <c r="B114" s="454"/>
      <c r="C114" s="454"/>
      <c r="D114" s="454"/>
      <c r="E114" s="454"/>
      <c r="F114" s="454"/>
      <c r="G114" s="454"/>
      <c r="H114" s="454"/>
      <c r="I114" s="454"/>
      <c r="J114" s="454"/>
      <c r="K114" s="454"/>
      <c r="L114" s="454"/>
      <c r="M114" s="454"/>
      <c r="N114" s="454"/>
      <c r="O114" s="454"/>
      <c r="P114" s="454"/>
      <c r="Q114" s="454"/>
      <c r="R114" s="454"/>
      <c r="S114" s="454"/>
      <c r="T114" s="454"/>
      <c r="U114" s="454"/>
      <c r="V114" s="454"/>
      <c r="W114" s="454"/>
      <c r="X114" s="454"/>
      <c r="Y114" s="454"/>
      <c r="Z114" s="454"/>
    </row>
    <row r="115" ht="15.75" customHeight="1">
      <c r="A115" s="454"/>
      <c r="B115" s="454"/>
      <c r="C115" s="454"/>
      <c r="D115" s="454"/>
      <c r="E115" s="454"/>
      <c r="F115" s="454"/>
      <c r="G115" s="454"/>
      <c r="H115" s="454"/>
      <c r="I115" s="454"/>
      <c r="J115" s="454"/>
      <c r="K115" s="454"/>
      <c r="L115" s="454"/>
      <c r="M115" s="454"/>
      <c r="N115" s="454"/>
      <c r="O115" s="454"/>
      <c r="P115" s="454"/>
      <c r="Q115" s="454"/>
      <c r="R115" s="454"/>
      <c r="S115" s="454"/>
      <c r="T115" s="454"/>
      <c r="U115" s="454"/>
      <c r="V115" s="454"/>
      <c r="W115" s="454"/>
      <c r="X115" s="454"/>
      <c r="Y115" s="454"/>
      <c r="Z115" s="454"/>
    </row>
    <row r="116" ht="15.75" customHeight="1">
      <c r="A116" s="454"/>
      <c r="B116" s="454"/>
      <c r="C116" s="454"/>
      <c r="D116" s="454"/>
      <c r="E116" s="454"/>
      <c r="F116" s="454"/>
      <c r="G116" s="454"/>
      <c r="H116" s="454"/>
      <c r="I116" s="454"/>
      <c r="J116" s="454"/>
      <c r="K116" s="454"/>
      <c r="L116" s="454"/>
      <c r="M116" s="454"/>
      <c r="N116" s="454"/>
      <c r="O116" s="454"/>
      <c r="P116" s="454"/>
      <c r="Q116" s="454"/>
      <c r="R116" s="454"/>
      <c r="S116" s="454"/>
      <c r="T116" s="454"/>
      <c r="U116" s="454"/>
      <c r="V116" s="454"/>
      <c r="W116" s="454"/>
      <c r="X116" s="454"/>
      <c r="Y116" s="454"/>
      <c r="Z116" s="454"/>
    </row>
    <row r="117" ht="15.75" customHeight="1">
      <c r="A117" s="454"/>
      <c r="B117" s="454"/>
      <c r="C117" s="454"/>
      <c r="D117" s="454"/>
      <c r="E117" s="454"/>
      <c r="F117" s="454"/>
      <c r="G117" s="454"/>
      <c r="H117" s="454"/>
      <c r="I117" s="454"/>
      <c r="J117" s="454"/>
      <c r="K117" s="454"/>
      <c r="L117" s="454"/>
      <c r="M117" s="454"/>
      <c r="N117" s="454"/>
      <c r="O117" s="454"/>
      <c r="P117" s="454"/>
      <c r="Q117" s="454"/>
      <c r="R117" s="454"/>
      <c r="S117" s="454"/>
      <c r="T117" s="454"/>
      <c r="U117" s="454"/>
      <c r="V117" s="454"/>
      <c r="W117" s="454"/>
      <c r="X117" s="454"/>
      <c r="Y117" s="454"/>
      <c r="Z117" s="454"/>
    </row>
    <row r="118" ht="15.75" customHeight="1">
      <c r="A118" s="454"/>
      <c r="B118" s="454"/>
      <c r="C118" s="454"/>
      <c r="D118" s="454"/>
      <c r="E118" s="454"/>
      <c r="F118" s="454"/>
      <c r="G118" s="454"/>
      <c r="H118" s="454"/>
      <c r="I118" s="454"/>
      <c r="J118" s="454"/>
      <c r="K118" s="454"/>
      <c r="L118" s="454"/>
      <c r="M118" s="454"/>
      <c r="N118" s="454"/>
      <c r="O118" s="454"/>
      <c r="P118" s="454"/>
      <c r="Q118" s="454"/>
      <c r="R118" s="454"/>
      <c r="S118" s="454"/>
      <c r="T118" s="454"/>
      <c r="U118" s="454"/>
      <c r="V118" s="454"/>
      <c r="W118" s="454"/>
      <c r="X118" s="454"/>
      <c r="Y118" s="454"/>
      <c r="Z118" s="454"/>
    </row>
    <row r="119" ht="15.75" customHeight="1">
      <c r="A119" s="454"/>
      <c r="B119" s="454"/>
      <c r="C119" s="454"/>
      <c r="D119" s="454"/>
      <c r="E119" s="454"/>
      <c r="F119" s="454"/>
      <c r="G119" s="454"/>
      <c r="H119" s="454"/>
      <c r="I119" s="454"/>
      <c r="J119" s="454"/>
      <c r="K119" s="454"/>
      <c r="L119" s="454"/>
      <c r="M119" s="454"/>
      <c r="N119" s="454"/>
      <c r="O119" s="454"/>
      <c r="P119" s="454"/>
      <c r="Q119" s="454"/>
      <c r="R119" s="454"/>
      <c r="S119" s="454"/>
      <c r="T119" s="454"/>
      <c r="U119" s="454"/>
      <c r="V119" s="454"/>
      <c r="W119" s="454"/>
      <c r="X119" s="454"/>
      <c r="Y119" s="454"/>
      <c r="Z119" s="454"/>
    </row>
    <row r="120" ht="15.75" customHeight="1">
      <c r="A120" s="454"/>
      <c r="B120" s="454"/>
      <c r="C120" s="454"/>
      <c r="D120" s="454"/>
      <c r="E120" s="454"/>
      <c r="F120" s="454"/>
      <c r="G120" s="454"/>
      <c r="H120" s="454"/>
      <c r="I120" s="454"/>
      <c r="J120" s="454"/>
      <c r="K120" s="454"/>
      <c r="L120" s="454"/>
      <c r="M120" s="454"/>
      <c r="N120" s="454"/>
      <c r="O120" s="454"/>
      <c r="P120" s="454"/>
      <c r="Q120" s="454"/>
      <c r="R120" s="454"/>
      <c r="S120" s="454"/>
      <c r="T120" s="454"/>
      <c r="U120" s="454"/>
      <c r="V120" s="454"/>
      <c r="W120" s="454"/>
      <c r="X120" s="454"/>
      <c r="Y120" s="454"/>
      <c r="Z120" s="454"/>
    </row>
    <row r="121" ht="15.75" customHeight="1">
      <c r="A121" s="454"/>
      <c r="B121" s="454"/>
      <c r="C121" s="454"/>
      <c r="D121" s="454"/>
      <c r="E121" s="454"/>
      <c r="F121" s="454"/>
      <c r="G121" s="454"/>
      <c r="H121" s="454"/>
      <c r="I121" s="454"/>
      <c r="J121" s="454"/>
      <c r="K121" s="454"/>
      <c r="L121" s="454"/>
      <c r="M121" s="454"/>
      <c r="N121" s="454"/>
      <c r="O121" s="454"/>
      <c r="P121" s="454"/>
      <c r="Q121" s="454"/>
      <c r="R121" s="454"/>
      <c r="S121" s="454"/>
      <c r="T121" s="454"/>
      <c r="U121" s="454"/>
      <c r="V121" s="454"/>
      <c r="W121" s="454"/>
      <c r="X121" s="454"/>
      <c r="Y121" s="454"/>
      <c r="Z121" s="454"/>
    </row>
    <row r="122" ht="15.75" customHeight="1">
      <c r="A122" s="454"/>
      <c r="B122" s="454"/>
      <c r="C122" s="454"/>
      <c r="D122" s="454"/>
      <c r="E122" s="454"/>
      <c r="F122" s="454"/>
      <c r="G122" s="454"/>
      <c r="H122" s="454"/>
      <c r="I122" s="454"/>
      <c r="J122" s="454"/>
      <c r="K122" s="454"/>
      <c r="L122" s="454"/>
      <c r="M122" s="454"/>
      <c r="N122" s="454"/>
      <c r="O122" s="454"/>
      <c r="P122" s="454"/>
      <c r="Q122" s="454"/>
      <c r="R122" s="454"/>
      <c r="S122" s="454"/>
      <c r="T122" s="454"/>
      <c r="U122" s="454"/>
      <c r="V122" s="454"/>
      <c r="W122" s="454"/>
      <c r="X122" s="454"/>
      <c r="Y122" s="454"/>
      <c r="Z122" s="454"/>
    </row>
    <row r="123" ht="15.75" customHeight="1">
      <c r="A123" s="454"/>
      <c r="B123" s="454"/>
      <c r="C123" s="454"/>
      <c r="D123" s="454"/>
      <c r="E123" s="454"/>
      <c r="F123" s="454"/>
      <c r="G123" s="454"/>
      <c r="H123" s="454"/>
      <c r="I123" s="454"/>
      <c r="J123" s="454"/>
      <c r="K123" s="454"/>
      <c r="L123" s="454"/>
      <c r="M123" s="454"/>
      <c r="N123" s="454"/>
      <c r="O123" s="454"/>
      <c r="P123" s="454"/>
      <c r="Q123" s="454"/>
      <c r="R123" s="454"/>
      <c r="S123" s="454"/>
      <c r="T123" s="454"/>
      <c r="U123" s="454"/>
      <c r="V123" s="454"/>
      <c r="W123" s="454"/>
      <c r="X123" s="454"/>
      <c r="Y123" s="454"/>
      <c r="Z123" s="454"/>
    </row>
    <row r="124" ht="15.75" customHeight="1">
      <c r="A124" s="454"/>
      <c r="B124" s="454"/>
      <c r="C124" s="454"/>
      <c r="D124" s="454"/>
      <c r="E124" s="454"/>
      <c r="F124" s="454"/>
      <c r="G124" s="454"/>
      <c r="H124" s="454"/>
      <c r="I124" s="454"/>
      <c r="J124" s="454"/>
      <c r="K124" s="454"/>
      <c r="L124" s="454"/>
      <c r="M124" s="454"/>
      <c r="N124" s="454"/>
      <c r="O124" s="454"/>
      <c r="P124" s="454"/>
      <c r="Q124" s="454"/>
      <c r="R124" s="454"/>
      <c r="S124" s="454"/>
      <c r="T124" s="454"/>
      <c r="U124" s="454"/>
      <c r="V124" s="454"/>
      <c r="W124" s="454"/>
      <c r="X124" s="454"/>
      <c r="Y124" s="454"/>
      <c r="Z124" s="454"/>
    </row>
    <row r="125" ht="15.75" customHeight="1">
      <c r="A125" s="454"/>
      <c r="B125" s="454"/>
      <c r="C125" s="454"/>
      <c r="D125" s="454"/>
      <c r="E125" s="454"/>
      <c r="F125" s="454"/>
      <c r="G125" s="454"/>
      <c r="H125" s="454"/>
      <c r="I125" s="454"/>
      <c r="J125" s="454"/>
      <c r="K125" s="454"/>
      <c r="L125" s="454"/>
      <c r="M125" s="454"/>
      <c r="N125" s="454"/>
      <c r="O125" s="454"/>
      <c r="P125" s="454"/>
      <c r="Q125" s="454"/>
      <c r="R125" s="454"/>
      <c r="S125" s="454"/>
      <c r="T125" s="454"/>
      <c r="U125" s="454"/>
      <c r="V125" s="454"/>
      <c r="W125" s="454"/>
      <c r="X125" s="454"/>
      <c r="Y125" s="454"/>
      <c r="Z125" s="454"/>
    </row>
    <row r="126" ht="15.75" customHeight="1">
      <c r="A126" s="454"/>
      <c r="B126" s="454"/>
      <c r="C126" s="454"/>
      <c r="D126" s="454"/>
      <c r="E126" s="454"/>
      <c r="F126" s="454"/>
      <c r="G126" s="454"/>
      <c r="H126" s="454"/>
      <c r="I126" s="454"/>
      <c r="J126" s="454"/>
      <c r="K126" s="454"/>
      <c r="L126" s="454"/>
      <c r="M126" s="454"/>
      <c r="N126" s="454"/>
      <c r="O126" s="454"/>
      <c r="P126" s="454"/>
      <c r="Q126" s="454"/>
      <c r="R126" s="454"/>
      <c r="S126" s="454"/>
      <c r="T126" s="454"/>
      <c r="U126" s="454"/>
      <c r="V126" s="454"/>
      <c r="W126" s="454"/>
      <c r="X126" s="454"/>
      <c r="Y126" s="454"/>
      <c r="Z126" s="454"/>
    </row>
    <row r="127" ht="15.75" customHeight="1">
      <c r="A127" s="454"/>
      <c r="B127" s="454"/>
      <c r="C127" s="454"/>
      <c r="D127" s="454"/>
      <c r="E127" s="454"/>
      <c r="F127" s="454"/>
      <c r="G127" s="454"/>
      <c r="H127" s="454"/>
      <c r="I127" s="454"/>
      <c r="J127" s="454"/>
      <c r="K127" s="454"/>
      <c r="L127" s="454"/>
      <c r="M127" s="454"/>
      <c r="N127" s="454"/>
      <c r="O127" s="454"/>
      <c r="P127" s="454"/>
      <c r="Q127" s="454"/>
      <c r="R127" s="454"/>
      <c r="S127" s="454"/>
      <c r="T127" s="454"/>
      <c r="U127" s="454"/>
      <c r="V127" s="454"/>
      <c r="W127" s="454"/>
      <c r="X127" s="454"/>
      <c r="Y127" s="454"/>
      <c r="Z127" s="454"/>
    </row>
    <row r="128" ht="15.75" customHeight="1">
      <c r="A128" s="454"/>
      <c r="B128" s="454"/>
      <c r="C128" s="454"/>
      <c r="D128" s="454"/>
      <c r="E128" s="454"/>
      <c r="F128" s="454"/>
      <c r="G128" s="454"/>
      <c r="H128" s="454"/>
      <c r="I128" s="454"/>
      <c r="J128" s="454"/>
      <c r="K128" s="454"/>
      <c r="L128" s="454"/>
      <c r="M128" s="454"/>
      <c r="N128" s="454"/>
      <c r="O128" s="454"/>
      <c r="P128" s="454"/>
      <c r="Q128" s="454"/>
      <c r="R128" s="454"/>
      <c r="S128" s="454"/>
      <c r="T128" s="454"/>
      <c r="U128" s="454"/>
      <c r="V128" s="454"/>
      <c r="W128" s="454"/>
      <c r="X128" s="454"/>
      <c r="Y128" s="454"/>
      <c r="Z128" s="454"/>
    </row>
    <row r="129" ht="15.75" customHeight="1">
      <c r="A129" s="454"/>
      <c r="B129" s="454"/>
      <c r="C129" s="454"/>
      <c r="D129" s="454"/>
      <c r="E129" s="454"/>
      <c r="F129" s="454"/>
      <c r="G129" s="454"/>
      <c r="H129" s="454"/>
      <c r="I129" s="454"/>
      <c r="J129" s="454"/>
      <c r="K129" s="454"/>
      <c r="L129" s="454"/>
      <c r="M129" s="454"/>
      <c r="N129" s="454"/>
      <c r="O129" s="454"/>
      <c r="P129" s="454"/>
      <c r="Q129" s="454"/>
      <c r="R129" s="454"/>
      <c r="S129" s="454"/>
      <c r="T129" s="454"/>
      <c r="U129" s="454"/>
      <c r="V129" s="454"/>
      <c r="W129" s="454"/>
      <c r="X129" s="454"/>
      <c r="Y129" s="454"/>
      <c r="Z129" s="454"/>
    </row>
    <row r="130" ht="15.75" customHeight="1">
      <c r="A130" s="454"/>
      <c r="B130" s="454"/>
      <c r="C130" s="454"/>
      <c r="D130" s="454"/>
      <c r="E130" s="454"/>
      <c r="F130" s="454"/>
      <c r="G130" s="454"/>
      <c r="H130" s="454"/>
      <c r="I130" s="454"/>
      <c r="J130" s="454"/>
      <c r="K130" s="454"/>
      <c r="L130" s="454"/>
      <c r="M130" s="454"/>
      <c r="N130" s="454"/>
      <c r="O130" s="454"/>
      <c r="P130" s="454"/>
      <c r="Q130" s="454"/>
      <c r="R130" s="454"/>
      <c r="S130" s="454"/>
      <c r="T130" s="454"/>
      <c r="U130" s="454"/>
      <c r="V130" s="454"/>
      <c r="W130" s="454"/>
      <c r="X130" s="454"/>
      <c r="Y130" s="454"/>
      <c r="Z130" s="454"/>
    </row>
    <row r="131" ht="15.75" customHeight="1">
      <c r="A131" s="454"/>
      <c r="B131" s="454"/>
      <c r="C131" s="454"/>
      <c r="D131" s="454"/>
      <c r="E131" s="454"/>
      <c r="F131" s="454"/>
      <c r="G131" s="454"/>
      <c r="H131" s="454"/>
      <c r="I131" s="454"/>
      <c r="J131" s="454"/>
      <c r="K131" s="454"/>
      <c r="L131" s="454"/>
      <c r="M131" s="454"/>
      <c r="N131" s="454"/>
      <c r="O131" s="454"/>
      <c r="P131" s="454"/>
      <c r="Q131" s="454"/>
      <c r="R131" s="454"/>
      <c r="S131" s="454"/>
      <c r="T131" s="454"/>
      <c r="U131" s="454"/>
      <c r="V131" s="454"/>
      <c r="W131" s="454"/>
      <c r="X131" s="454"/>
      <c r="Y131" s="454"/>
      <c r="Z131" s="454"/>
    </row>
    <row r="132" ht="15.75" customHeight="1">
      <c r="A132" s="454"/>
      <c r="B132" s="454"/>
      <c r="C132" s="454"/>
      <c r="D132" s="454"/>
      <c r="E132" s="454"/>
      <c r="F132" s="454"/>
      <c r="G132" s="454"/>
      <c r="H132" s="454"/>
      <c r="I132" s="454"/>
      <c r="J132" s="454"/>
      <c r="K132" s="454"/>
      <c r="L132" s="454"/>
      <c r="M132" s="454"/>
      <c r="N132" s="454"/>
      <c r="O132" s="454"/>
      <c r="P132" s="454"/>
      <c r="Q132" s="454"/>
      <c r="R132" s="454"/>
      <c r="S132" s="454"/>
      <c r="T132" s="454"/>
      <c r="U132" s="454"/>
      <c r="V132" s="454"/>
      <c r="W132" s="454"/>
      <c r="X132" s="454"/>
      <c r="Y132" s="454"/>
      <c r="Z132" s="454"/>
    </row>
    <row r="133" ht="15.75" customHeight="1">
      <c r="A133" s="454"/>
      <c r="B133" s="454"/>
      <c r="C133" s="454"/>
      <c r="D133" s="454"/>
      <c r="E133" s="454"/>
      <c r="F133" s="454"/>
      <c r="G133" s="454"/>
      <c r="H133" s="454"/>
      <c r="I133" s="454"/>
      <c r="J133" s="454"/>
      <c r="K133" s="454"/>
      <c r="L133" s="454"/>
      <c r="M133" s="454"/>
      <c r="N133" s="454"/>
      <c r="O133" s="454"/>
      <c r="P133" s="454"/>
      <c r="Q133" s="454"/>
      <c r="R133" s="454"/>
      <c r="S133" s="454"/>
      <c r="T133" s="454"/>
      <c r="U133" s="454"/>
      <c r="V133" s="454"/>
      <c r="W133" s="454"/>
      <c r="X133" s="454"/>
      <c r="Y133" s="454"/>
      <c r="Z133" s="454"/>
    </row>
    <row r="134" ht="15.75" customHeight="1">
      <c r="A134" s="454"/>
      <c r="B134" s="454"/>
      <c r="C134" s="454"/>
      <c r="D134" s="454"/>
      <c r="E134" s="454"/>
      <c r="F134" s="454"/>
      <c r="G134" s="454"/>
      <c r="H134" s="454"/>
      <c r="I134" s="454"/>
      <c r="J134" s="454"/>
      <c r="K134" s="454"/>
      <c r="L134" s="454"/>
      <c r="M134" s="454"/>
      <c r="N134" s="454"/>
      <c r="O134" s="454"/>
      <c r="P134" s="454"/>
      <c r="Q134" s="454"/>
      <c r="R134" s="454"/>
      <c r="S134" s="454"/>
      <c r="T134" s="454"/>
      <c r="U134" s="454"/>
      <c r="V134" s="454"/>
      <c r="W134" s="454"/>
      <c r="X134" s="454"/>
      <c r="Y134" s="454"/>
      <c r="Z134" s="454"/>
    </row>
    <row r="135" ht="15.75" customHeight="1">
      <c r="A135" s="454"/>
      <c r="B135" s="454"/>
      <c r="C135" s="454"/>
      <c r="D135" s="454"/>
      <c r="E135" s="454"/>
      <c r="F135" s="454"/>
      <c r="G135" s="454"/>
      <c r="H135" s="454"/>
      <c r="I135" s="454"/>
      <c r="J135" s="454"/>
      <c r="K135" s="454"/>
      <c r="L135" s="454"/>
      <c r="M135" s="454"/>
      <c r="N135" s="454"/>
      <c r="O135" s="454"/>
      <c r="P135" s="454"/>
      <c r="Q135" s="454"/>
      <c r="R135" s="454"/>
      <c r="S135" s="454"/>
      <c r="T135" s="454"/>
      <c r="U135" s="454"/>
      <c r="V135" s="454"/>
      <c r="W135" s="454"/>
      <c r="X135" s="454"/>
      <c r="Y135" s="454"/>
      <c r="Z135" s="454"/>
    </row>
    <row r="136" ht="15.75" customHeight="1">
      <c r="A136" s="454"/>
      <c r="B136" s="454"/>
      <c r="C136" s="454"/>
      <c r="D136" s="454"/>
      <c r="E136" s="454"/>
      <c r="F136" s="454"/>
      <c r="G136" s="454"/>
      <c r="H136" s="454"/>
      <c r="I136" s="454"/>
      <c r="J136" s="454"/>
      <c r="K136" s="454"/>
      <c r="L136" s="454"/>
      <c r="M136" s="454"/>
      <c r="N136" s="454"/>
      <c r="O136" s="454"/>
      <c r="P136" s="454"/>
      <c r="Q136" s="454"/>
      <c r="R136" s="454"/>
      <c r="S136" s="454"/>
      <c r="T136" s="454"/>
      <c r="U136" s="454"/>
      <c r="V136" s="454"/>
      <c r="W136" s="454"/>
      <c r="X136" s="454"/>
      <c r="Y136" s="454"/>
      <c r="Z136" s="454"/>
    </row>
    <row r="137" ht="15.75" customHeight="1">
      <c r="A137" s="454"/>
      <c r="B137" s="454"/>
      <c r="C137" s="454"/>
      <c r="D137" s="454"/>
      <c r="E137" s="454"/>
      <c r="F137" s="454"/>
      <c r="G137" s="454"/>
      <c r="H137" s="454"/>
      <c r="I137" s="454"/>
      <c r="J137" s="454"/>
      <c r="K137" s="454"/>
      <c r="L137" s="454"/>
      <c r="M137" s="454"/>
      <c r="N137" s="454"/>
      <c r="O137" s="454"/>
      <c r="P137" s="454"/>
      <c r="Q137" s="454"/>
      <c r="R137" s="454"/>
      <c r="S137" s="454"/>
      <c r="T137" s="454"/>
      <c r="U137" s="454"/>
      <c r="V137" s="454"/>
      <c r="W137" s="454"/>
      <c r="X137" s="454"/>
      <c r="Y137" s="454"/>
      <c r="Z137" s="454"/>
    </row>
    <row r="138" ht="15.75" customHeight="1">
      <c r="A138" s="454"/>
      <c r="B138" s="454"/>
      <c r="C138" s="454"/>
      <c r="D138" s="454"/>
      <c r="E138" s="454"/>
      <c r="F138" s="454"/>
      <c r="G138" s="454"/>
      <c r="H138" s="454"/>
      <c r="I138" s="454"/>
      <c r="J138" s="454"/>
      <c r="K138" s="454"/>
      <c r="L138" s="454"/>
      <c r="M138" s="454"/>
      <c r="N138" s="454"/>
      <c r="O138" s="454"/>
      <c r="P138" s="454"/>
      <c r="Q138" s="454"/>
      <c r="R138" s="454"/>
      <c r="S138" s="454"/>
      <c r="T138" s="454"/>
      <c r="U138" s="454"/>
      <c r="V138" s="454"/>
      <c r="W138" s="454"/>
      <c r="X138" s="454"/>
      <c r="Y138" s="454"/>
      <c r="Z138" s="454"/>
    </row>
    <row r="139" ht="15.75" customHeight="1">
      <c r="A139" s="454"/>
      <c r="B139" s="454"/>
      <c r="C139" s="454"/>
      <c r="D139" s="454"/>
      <c r="E139" s="454"/>
      <c r="F139" s="454"/>
      <c r="G139" s="454"/>
      <c r="H139" s="454"/>
      <c r="I139" s="454"/>
      <c r="J139" s="454"/>
      <c r="K139" s="454"/>
      <c r="L139" s="454"/>
      <c r="M139" s="454"/>
      <c r="N139" s="454"/>
      <c r="O139" s="454"/>
      <c r="P139" s="454"/>
      <c r="Q139" s="454"/>
      <c r="R139" s="454"/>
      <c r="S139" s="454"/>
      <c r="T139" s="454"/>
      <c r="U139" s="454"/>
      <c r="V139" s="454"/>
      <c r="W139" s="454"/>
      <c r="X139" s="454"/>
      <c r="Y139" s="454"/>
      <c r="Z139" s="454"/>
    </row>
    <row r="140" ht="15.75" customHeight="1">
      <c r="A140" s="454"/>
      <c r="B140" s="454"/>
      <c r="C140" s="454"/>
      <c r="D140" s="454"/>
      <c r="E140" s="454"/>
      <c r="F140" s="454"/>
      <c r="G140" s="454"/>
      <c r="H140" s="454"/>
      <c r="I140" s="454"/>
      <c r="J140" s="454"/>
      <c r="K140" s="454"/>
      <c r="L140" s="454"/>
      <c r="M140" s="454"/>
      <c r="N140" s="454"/>
      <c r="O140" s="454"/>
      <c r="P140" s="454"/>
      <c r="Q140" s="454"/>
      <c r="R140" s="454"/>
      <c r="S140" s="454"/>
      <c r="T140" s="454"/>
      <c r="U140" s="454"/>
      <c r="V140" s="454"/>
      <c r="W140" s="454"/>
      <c r="X140" s="454"/>
      <c r="Y140" s="454"/>
      <c r="Z140" s="454"/>
    </row>
    <row r="141" ht="15.75" customHeight="1">
      <c r="A141" s="454"/>
      <c r="B141" s="454"/>
      <c r="C141" s="454"/>
      <c r="D141" s="454"/>
      <c r="E141" s="454"/>
      <c r="F141" s="454"/>
      <c r="G141" s="454"/>
      <c r="H141" s="454"/>
      <c r="I141" s="454"/>
      <c r="J141" s="454"/>
      <c r="K141" s="454"/>
      <c r="L141" s="454"/>
      <c r="M141" s="454"/>
      <c r="N141" s="454"/>
      <c r="O141" s="454"/>
      <c r="P141" s="454"/>
      <c r="Q141" s="454"/>
      <c r="R141" s="454"/>
      <c r="S141" s="454"/>
      <c r="T141" s="454"/>
      <c r="U141" s="454"/>
      <c r="V141" s="454"/>
      <c r="W141" s="454"/>
      <c r="X141" s="454"/>
      <c r="Y141" s="454"/>
      <c r="Z141" s="454"/>
    </row>
    <row r="142" ht="15.75" customHeight="1">
      <c r="A142" s="454"/>
      <c r="B142" s="454"/>
      <c r="C142" s="454"/>
      <c r="D142" s="454"/>
      <c r="E142" s="454"/>
      <c r="F142" s="454"/>
      <c r="G142" s="454"/>
      <c r="H142" s="454"/>
      <c r="I142" s="454"/>
      <c r="J142" s="454"/>
      <c r="K142" s="454"/>
      <c r="L142" s="454"/>
      <c r="M142" s="454"/>
      <c r="N142" s="454"/>
      <c r="O142" s="454"/>
      <c r="P142" s="454"/>
      <c r="Q142" s="454"/>
      <c r="R142" s="454"/>
      <c r="S142" s="454"/>
      <c r="T142" s="454"/>
      <c r="U142" s="454"/>
      <c r="V142" s="454"/>
      <c r="W142" s="454"/>
      <c r="X142" s="454"/>
      <c r="Y142" s="454"/>
      <c r="Z142" s="454"/>
    </row>
    <row r="143" ht="15.75" customHeight="1">
      <c r="A143" s="454"/>
      <c r="B143" s="454"/>
      <c r="C143" s="454"/>
      <c r="D143" s="454"/>
      <c r="E143" s="454"/>
      <c r="F143" s="454"/>
      <c r="G143" s="454"/>
      <c r="H143" s="454"/>
      <c r="I143" s="454"/>
      <c r="J143" s="454"/>
      <c r="K143" s="454"/>
      <c r="L143" s="454"/>
      <c r="M143" s="454"/>
      <c r="N143" s="454"/>
      <c r="O143" s="454"/>
      <c r="P143" s="454"/>
      <c r="Q143" s="454"/>
      <c r="R143" s="454"/>
      <c r="S143" s="454"/>
      <c r="T143" s="454"/>
      <c r="U143" s="454"/>
      <c r="V143" s="454"/>
      <c r="W143" s="454"/>
      <c r="X143" s="454"/>
      <c r="Y143" s="454"/>
      <c r="Z143" s="454"/>
    </row>
    <row r="144" ht="15.75" customHeight="1">
      <c r="A144" s="454"/>
      <c r="B144" s="454"/>
      <c r="C144" s="454"/>
      <c r="D144" s="454"/>
      <c r="E144" s="454"/>
      <c r="F144" s="454"/>
      <c r="G144" s="454"/>
      <c r="H144" s="454"/>
      <c r="I144" s="454"/>
      <c r="J144" s="454"/>
      <c r="K144" s="454"/>
      <c r="L144" s="454"/>
      <c r="M144" s="454"/>
      <c r="N144" s="454"/>
      <c r="O144" s="454"/>
      <c r="P144" s="454"/>
      <c r="Q144" s="454"/>
      <c r="R144" s="454"/>
      <c r="S144" s="454"/>
      <c r="T144" s="454"/>
      <c r="U144" s="454"/>
      <c r="V144" s="454"/>
      <c r="W144" s="454"/>
      <c r="X144" s="454"/>
      <c r="Y144" s="454"/>
      <c r="Z144" s="454"/>
    </row>
    <row r="145" ht="15.75" customHeight="1">
      <c r="A145" s="454"/>
      <c r="B145" s="454"/>
      <c r="C145" s="454"/>
      <c r="D145" s="454"/>
      <c r="E145" s="454"/>
      <c r="F145" s="454"/>
      <c r="G145" s="454"/>
      <c r="H145" s="454"/>
      <c r="I145" s="454"/>
      <c r="J145" s="454"/>
      <c r="K145" s="454"/>
      <c r="L145" s="454"/>
      <c r="M145" s="454"/>
      <c r="N145" s="454"/>
      <c r="O145" s="454"/>
      <c r="P145" s="454"/>
      <c r="Q145" s="454"/>
      <c r="R145" s="454"/>
      <c r="S145" s="454"/>
      <c r="T145" s="454"/>
      <c r="U145" s="454"/>
      <c r="V145" s="454"/>
      <c r="W145" s="454"/>
      <c r="X145" s="454"/>
      <c r="Y145" s="454"/>
      <c r="Z145" s="454"/>
    </row>
    <row r="146" ht="15.75" customHeight="1">
      <c r="A146" s="454"/>
      <c r="B146" s="454"/>
      <c r="C146" s="454"/>
      <c r="D146" s="454"/>
      <c r="E146" s="454"/>
      <c r="F146" s="454"/>
      <c r="G146" s="454"/>
      <c r="H146" s="454"/>
      <c r="I146" s="454"/>
      <c r="J146" s="454"/>
      <c r="K146" s="454"/>
      <c r="L146" s="454"/>
      <c r="M146" s="454"/>
      <c r="N146" s="454"/>
      <c r="O146" s="454"/>
      <c r="P146" s="454"/>
      <c r="Q146" s="454"/>
      <c r="R146" s="454"/>
      <c r="S146" s="454"/>
      <c r="T146" s="454"/>
      <c r="U146" s="454"/>
      <c r="V146" s="454"/>
      <c r="W146" s="454"/>
      <c r="X146" s="454"/>
      <c r="Y146" s="454"/>
      <c r="Z146" s="454"/>
    </row>
    <row r="147" ht="15.75" customHeight="1">
      <c r="A147" s="454"/>
      <c r="B147" s="454"/>
      <c r="C147" s="454"/>
      <c r="D147" s="454"/>
      <c r="E147" s="454"/>
      <c r="F147" s="454"/>
      <c r="G147" s="454"/>
      <c r="H147" s="454"/>
      <c r="I147" s="454"/>
      <c r="J147" s="454"/>
      <c r="K147" s="454"/>
      <c r="L147" s="454"/>
      <c r="M147" s="454"/>
      <c r="N147" s="454"/>
      <c r="O147" s="454"/>
      <c r="P147" s="454"/>
      <c r="Q147" s="454"/>
      <c r="R147" s="454"/>
      <c r="S147" s="454"/>
      <c r="T147" s="454"/>
      <c r="U147" s="454"/>
      <c r="V147" s="454"/>
      <c r="W147" s="454"/>
      <c r="X147" s="454"/>
      <c r="Y147" s="454"/>
      <c r="Z147" s="454"/>
    </row>
    <row r="148" ht="15.75" customHeight="1">
      <c r="A148" s="454"/>
      <c r="B148" s="454"/>
      <c r="C148" s="454"/>
      <c r="D148" s="454"/>
      <c r="E148" s="454"/>
      <c r="F148" s="454"/>
      <c r="G148" s="454"/>
      <c r="H148" s="454"/>
      <c r="I148" s="454"/>
      <c r="J148" s="454"/>
      <c r="K148" s="454"/>
      <c r="L148" s="454"/>
      <c r="M148" s="454"/>
      <c r="N148" s="454"/>
      <c r="O148" s="454"/>
      <c r="P148" s="454"/>
      <c r="Q148" s="454"/>
      <c r="R148" s="454"/>
      <c r="S148" s="454"/>
      <c r="T148" s="454"/>
      <c r="U148" s="454"/>
      <c r="V148" s="454"/>
      <c r="W148" s="454"/>
      <c r="X148" s="454"/>
      <c r="Y148" s="454"/>
      <c r="Z148" s="454"/>
    </row>
    <row r="149" ht="15.75" customHeight="1">
      <c r="A149" s="454"/>
      <c r="B149" s="454"/>
      <c r="C149" s="454"/>
      <c r="D149" s="454"/>
      <c r="E149" s="454"/>
      <c r="F149" s="454"/>
      <c r="G149" s="454"/>
      <c r="H149" s="454"/>
      <c r="I149" s="454"/>
      <c r="J149" s="454"/>
      <c r="K149" s="454"/>
      <c r="L149" s="454"/>
      <c r="M149" s="454"/>
      <c r="N149" s="454"/>
      <c r="O149" s="454"/>
      <c r="P149" s="454"/>
      <c r="Q149" s="454"/>
      <c r="R149" s="454"/>
      <c r="S149" s="454"/>
      <c r="T149" s="454"/>
      <c r="U149" s="454"/>
      <c r="V149" s="454"/>
      <c r="W149" s="454"/>
      <c r="X149" s="454"/>
      <c r="Y149" s="454"/>
      <c r="Z149" s="454"/>
    </row>
    <row r="150" ht="15.75" customHeight="1">
      <c r="A150" s="454"/>
      <c r="B150" s="454"/>
      <c r="C150" s="454"/>
      <c r="D150" s="454"/>
      <c r="E150" s="454"/>
      <c r="F150" s="454"/>
      <c r="G150" s="454"/>
      <c r="H150" s="454"/>
      <c r="I150" s="454"/>
      <c r="J150" s="454"/>
      <c r="K150" s="454"/>
      <c r="L150" s="454"/>
      <c r="M150" s="454"/>
      <c r="N150" s="454"/>
      <c r="O150" s="454"/>
      <c r="P150" s="454"/>
      <c r="Q150" s="454"/>
      <c r="R150" s="454"/>
      <c r="S150" s="454"/>
      <c r="T150" s="454"/>
      <c r="U150" s="454"/>
      <c r="V150" s="454"/>
      <c r="W150" s="454"/>
      <c r="X150" s="454"/>
      <c r="Y150" s="454"/>
      <c r="Z150" s="454"/>
    </row>
    <row r="151" ht="15.75" customHeight="1">
      <c r="A151" s="454"/>
      <c r="B151" s="454"/>
      <c r="C151" s="454"/>
      <c r="D151" s="454"/>
      <c r="E151" s="454"/>
      <c r="F151" s="454"/>
      <c r="G151" s="454"/>
      <c r="H151" s="454"/>
      <c r="I151" s="454"/>
      <c r="J151" s="454"/>
      <c r="K151" s="454"/>
      <c r="L151" s="454"/>
      <c r="M151" s="454"/>
      <c r="N151" s="454"/>
      <c r="O151" s="454"/>
      <c r="P151" s="454"/>
      <c r="Q151" s="454"/>
      <c r="R151" s="454"/>
      <c r="S151" s="454"/>
      <c r="T151" s="454"/>
      <c r="U151" s="454"/>
      <c r="V151" s="454"/>
      <c r="W151" s="454"/>
      <c r="X151" s="454"/>
      <c r="Y151" s="454"/>
      <c r="Z151" s="454"/>
    </row>
    <row r="152" ht="15.75" customHeight="1">
      <c r="A152" s="454"/>
      <c r="B152" s="454"/>
      <c r="C152" s="454"/>
      <c r="D152" s="454"/>
      <c r="E152" s="454"/>
      <c r="F152" s="454"/>
      <c r="G152" s="454"/>
      <c r="H152" s="454"/>
      <c r="I152" s="454"/>
      <c r="J152" s="454"/>
      <c r="K152" s="454"/>
      <c r="L152" s="454"/>
      <c r="M152" s="454"/>
      <c r="N152" s="454"/>
      <c r="O152" s="454"/>
      <c r="P152" s="454"/>
      <c r="Q152" s="454"/>
      <c r="R152" s="454"/>
      <c r="S152" s="454"/>
      <c r="T152" s="454"/>
      <c r="U152" s="454"/>
      <c r="V152" s="454"/>
      <c r="W152" s="454"/>
      <c r="X152" s="454"/>
      <c r="Y152" s="454"/>
      <c r="Z152" s="454"/>
    </row>
    <row r="153" ht="15.75" customHeight="1">
      <c r="A153" s="454"/>
      <c r="B153" s="454"/>
      <c r="C153" s="454"/>
      <c r="D153" s="454"/>
      <c r="E153" s="454"/>
      <c r="F153" s="454"/>
      <c r="G153" s="454"/>
      <c r="H153" s="454"/>
      <c r="I153" s="454"/>
      <c r="J153" s="454"/>
      <c r="K153" s="454"/>
      <c r="L153" s="454"/>
      <c r="M153" s="454"/>
      <c r="N153" s="454"/>
      <c r="O153" s="454"/>
      <c r="P153" s="454"/>
      <c r="Q153" s="454"/>
      <c r="R153" s="454"/>
      <c r="S153" s="454"/>
      <c r="T153" s="454"/>
      <c r="U153" s="454"/>
      <c r="V153" s="454"/>
      <c r="W153" s="454"/>
      <c r="X153" s="454"/>
      <c r="Y153" s="454"/>
      <c r="Z153" s="454"/>
    </row>
    <row r="154" ht="15.75" customHeight="1">
      <c r="A154" s="454"/>
      <c r="B154" s="454"/>
      <c r="C154" s="454"/>
      <c r="D154" s="454"/>
      <c r="E154" s="454"/>
      <c r="F154" s="454"/>
      <c r="G154" s="454"/>
      <c r="H154" s="454"/>
      <c r="I154" s="454"/>
      <c r="J154" s="454"/>
      <c r="K154" s="454"/>
      <c r="L154" s="454"/>
      <c r="M154" s="454"/>
      <c r="N154" s="454"/>
      <c r="O154" s="454"/>
      <c r="P154" s="454"/>
      <c r="Q154" s="454"/>
      <c r="R154" s="454"/>
      <c r="S154" s="454"/>
      <c r="T154" s="454"/>
      <c r="U154" s="454"/>
      <c r="V154" s="454"/>
      <c r="W154" s="454"/>
      <c r="X154" s="454"/>
      <c r="Y154" s="454"/>
      <c r="Z154" s="454"/>
    </row>
    <row r="155" ht="15.75" customHeight="1">
      <c r="A155" s="454"/>
      <c r="B155" s="454"/>
      <c r="C155" s="454"/>
      <c r="D155" s="454"/>
      <c r="E155" s="454"/>
      <c r="F155" s="454"/>
      <c r="G155" s="454"/>
      <c r="H155" s="454"/>
      <c r="I155" s="454"/>
      <c r="J155" s="454"/>
      <c r="K155" s="454"/>
      <c r="L155" s="454"/>
      <c r="M155" s="454"/>
      <c r="N155" s="454"/>
      <c r="O155" s="454"/>
      <c r="P155" s="454"/>
      <c r="Q155" s="454"/>
      <c r="R155" s="454"/>
      <c r="S155" s="454"/>
      <c r="T155" s="454"/>
      <c r="U155" s="454"/>
      <c r="V155" s="454"/>
      <c r="W155" s="454"/>
      <c r="X155" s="454"/>
      <c r="Y155" s="454"/>
      <c r="Z155" s="454"/>
    </row>
    <row r="156" ht="15.75" customHeight="1">
      <c r="A156" s="454"/>
      <c r="B156" s="454"/>
      <c r="C156" s="454"/>
      <c r="D156" s="454"/>
      <c r="E156" s="454"/>
      <c r="F156" s="454"/>
      <c r="G156" s="454"/>
      <c r="H156" s="454"/>
      <c r="I156" s="454"/>
      <c r="J156" s="454"/>
      <c r="K156" s="454"/>
      <c r="L156" s="454"/>
      <c r="M156" s="454"/>
      <c r="N156" s="454"/>
      <c r="O156" s="454"/>
      <c r="P156" s="454"/>
      <c r="Q156" s="454"/>
      <c r="R156" s="454"/>
      <c r="S156" s="454"/>
      <c r="T156" s="454"/>
      <c r="U156" s="454"/>
      <c r="V156" s="454"/>
      <c r="W156" s="454"/>
      <c r="X156" s="454"/>
      <c r="Y156" s="454"/>
      <c r="Z156" s="454"/>
    </row>
    <row r="157" ht="15.75" customHeight="1">
      <c r="A157" s="454"/>
      <c r="B157" s="454"/>
      <c r="C157" s="454"/>
      <c r="D157" s="454"/>
      <c r="E157" s="454"/>
      <c r="F157" s="454"/>
      <c r="G157" s="454"/>
      <c r="H157" s="454"/>
      <c r="I157" s="454"/>
      <c r="J157" s="454"/>
      <c r="K157" s="454"/>
      <c r="L157" s="454"/>
      <c r="M157" s="454"/>
      <c r="N157" s="454"/>
      <c r="O157" s="454"/>
      <c r="P157" s="454"/>
      <c r="Q157" s="454"/>
      <c r="R157" s="454"/>
      <c r="S157" s="454"/>
      <c r="T157" s="454"/>
      <c r="U157" s="454"/>
      <c r="V157" s="454"/>
      <c r="W157" s="454"/>
      <c r="X157" s="454"/>
      <c r="Y157" s="454"/>
      <c r="Z157" s="454"/>
    </row>
    <row r="158" ht="15.75" customHeight="1">
      <c r="A158" s="454"/>
      <c r="B158" s="454"/>
      <c r="C158" s="454"/>
      <c r="D158" s="454"/>
      <c r="E158" s="454"/>
      <c r="F158" s="454"/>
      <c r="G158" s="454"/>
      <c r="H158" s="454"/>
      <c r="I158" s="454"/>
      <c r="J158" s="454"/>
      <c r="K158" s="454"/>
      <c r="L158" s="454"/>
      <c r="M158" s="454"/>
      <c r="N158" s="454"/>
      <c r="O158" s="454"/>
      <c r="P158" s="454"/>
      <c r="Q158" s="454"/>
      <c r="R158" s="454"/>
      <c r="S158" s="454"/>
      <c r="T158" s="454"/>
      <c r="U158" s="454"/>
      <c r="V158" s="454"/>
      <c r="W158" s="454"/>
      <c r="X158" s="454"/>
      <c r="Y158" s="454"/>
      <c r="Z158" s="454"/>
    </row>
    <row r="159" ht="15.75" customHeight="1">
      <c r="A159" s="454"/>
      <c r="B159" s="454"/>
      <c r="C159" s="454"/>
      <c r="D159" s="454"/>
      <c r="E159" s="454"/>
      <c r="F159" s="454"/>
      <c r="G159" s="454"/>
      <c r="H159" s="454"/>
      <c r="I159" s="454"/>
      <c r="J159" s="454"/>
      <c r="K159" s="454"/>
      <c r="L159" s="454"/>
      <c r="M159" s="454"/>
      <c r="N159" s="454"/>
      <c r="O159" s="454"/>
      <c r="P159" s="454"/>
      <c r="Q159" s="454"/>
      <c r="R159" s="454"/>
      <c r="S159" s="454"/>
      <c r="T159" s="454"/>
      <c r="U159" s="454"/>
      <c r="V159" s="454"/>
      <c r="W159" s="454"/>
      <c r="X159" s="454"/>
      <c r="Y159" s="454"/>
      <c r="Z159" s="454"/>
    </row>
    <row r="160" ht="15.75" customHeight="1">
      <c r="A160" s="454"/>
      <c r="B160" s="454"/>
      <c r="C160" s="454"/>
      <c r="D160" s="454"/>
      <c r="E160" s="454"/>
      <c r="F160" s="454"/>
      <c r="G160" s="454"/>
      <c r="H160" s="454"/>
      <c r="I160" s="454"/>
      <c r="J160" s="454"/>
      <c r="K160" s="454"/>
      <c r="L160" s="454"/>
      <c r="M160" s="454"/>
      <c r="N160" s="454"/>
      <c r="O160" s="454"/>
      <c r="P160" s="454"/>
      <c r="Q160" s="454"/>
      <c r="R160" s="454"/>
      <c r="S160" s="454"/>
      <c r="T160" s="454"/>
      <c r="U160" s="454"/>
      <c r="V160" s="454"/>
      <c r="W160" s="454"/>
      <c r="X160" s="454"/>
      <c r="Y160" s="454"/>
      <c r="Z160" s="454"/>
    </row>
    <row r="161" ht="15.75" customHeight="1">
      <c r="A161" s="454"/>
      <c r="B161" s="454"/>
      <c r="C161" s="454"/>
      <c r="D161" s="454"/>
      <c r="E161" s="454"/>
      <c r="F161" s="454"/>
      <c r="G161" s="454"/>
      <c r="H161" s="454"/>
      <c r="I161" s="454"/>
      <c r="J161" s="454"/>
      <c r="K161" s="454"/>
      <c r="L161" s="454"/>
      <c r="M161" s="454"/>
      <c r="N161" s="454"/>
      <c r="O161" s="454"/>
      <c r="P161" s="454"/>
      <c r="Q161" s="454"/>
      <c r="R161" s="454"/>
      <c r="S161" s="454"/>
      <c r="T161" s="454"/>
      <c r="U161" s="454"/>
      <c r="V161" s="454"/>
      <c r="W161" s="454"/>
      <c r="X161" s="454"/>
      <c r="Y161" s="454"/>
      <c r="Z161" s="454"/>
    </row>
    <row r="162" ht="15.75" customHeight="1">
      <c r="A162" s="454"/>
      <c r="B162" s="454"/>
      <c r="C162" s="454"/>
      <c r="D162" s="454"/>
      <c r="E162" s="454"/>
      <c r="F162" s="454"/>
      <c r="G162" s="454"/>
      <c r="H162" s="454"/>
      <c r="I162" s="454"/>
      <c r="J162" s="454"/>
      <c r="K162" s="454"/>
      <c r="L162" s="454"/>
      <c r="M162" s="454"/>
      <c r="N162" s="454"/>
      <c r="O162" s="454"/>
      <c r="P162" s="454"/>
      <c r="Q162" s="454"/>
      <c r="R162" s="454"/>
      <c r="S162" s="454"/>
      <c r="T162" s="454"/>
      <c r="U162" s="454"/>
      <c r="V162" s="454"/>
      <c r="W162" s="454"/>
      <c r="X162" s="454"/>
      <c r="Y162" s="454"/>
      <c r="Z162" s="454"/>
    </row>
    <row r="163" ht="15.75" customHeight="1">
      <c r="A163" s="454"/>
      <c r="B163" s="454"/>
      <c r="C163" s="454"/>
      <c r="D163" s="454"/>
      <c r="E163" s="454"/>
      <c r="F163" s="454"/>
      <c r="G163" s="454"/>
      <c r="H163" s="454"/>
      <c r="I163" s="454"/>
      <c r="J163" s="454"/>
      <c r="K163" s="454"/>
      <c r="L163" s="454"/>
      <c r="M163" s="454"/>
      <c r="N163" s="454"/>
      <c r="O163" s="454"/>
      <c r="P163" s="454"/>
      <c r="Q163" s="454"/>
      <c r="R163" s="454"/>
      <c r="S163" s="454"/>
      <c r="T163" s="454"/>
      <c r="U163" s="454"/>
      <c r="V163" s="454"/>
      <c r="W163" s="454"/>
      <c r="X163" s="454"/>
      <c r="Y163" s="454"/>
      <c r="Z163" s="454"/>
    </row>
    <row r="164" ht="15.75" customHeight="1">
      <c r="A164" s="454"/>
      <c r="B164" s="454"/>
      <c r="C164" s="454"/>
      <c r="D164" s="454"/>
      <c r="E164" s="454"/>
      <c r="F164" s="454"/>
      <c r="G164" s="454"/>
      <c r="H164" s="454"/>
      <c r="I164" s="454"/>
      <c r="J164" s="454"/>
      <c r="K164" s="454"/>
      <c r="L164" s="454"/>
      <c r="M164" s="454"/>
      <c r="N164" s="454"/>
      <c r="O164" s="454"/>
      <c r="P164" s="454"/>
      <c r="Q164" s="454"/>
      <c r="R164" s="454"/>
      <c r="S164" s="454"/>
      <c r="T164" s="454"/>
      <c r="U164" s="454"/>
      <c r="V164" s="454"/>
      <c r="W164" s="454"/>
      <c r="X164" s="454"/>
      <c r="Y164" s="454"/>
      <c r="Z164" s="454"/>
    </row>
    <row r="165" ht="15.75" customHeight="1">
      <c r="A165" s="454"/>
      <c r="B165" s="454"/>
      <c r="C165" s="454"/>
      <c r="D165" s="454"/>
      <c r="E165" s="454"/>
      <c r="F165" s="454"/>
      <c r="G165" s="454"/>
      <c r="H165" s="454"/>
      <c r="I165" s="454"/>
      <c r="J165" s="454"/>
      <c r="K165" s="454"/>
      <c r="L165" s="454"/>
      <c r="M165" s="454"/>
      <c r="N165" s="454"/>
      <c r="O165" s="454"/>
      <c r="P165" s="454"/>
      <c r="Q165" s="454"/>
      <c r="R165" s="454"/>
      <c r="S165" s="454"/>
      <c r="T165" s="454"/>
      <c r="U165" s="454"/>
      <c r="V165" s="454"/>
      <c r="W165" s="454"/>
      <c r="X165" s="454"/>
      <c r="Y165" s="454"/>
      <c r="Z165" s="454"/>
    </row>
    <row r="166" ht="15.75" customHeight="1">
      <c r="A166" s="454"/>
      <c r="B166" s="454"/>
      <c r="C166" s="454"/>
      <c r="D166" s="454"/>
      <c r="E166" s="454"/>
      <c r="F166" s="454"/>
      <c r="G166" s="454"/>
      <c r="H166" s="454"/>
      <c r="I166" s="454"/>
      <c r="J166" s="454"/>
      <c r="K166" s="454"/>
      <c r="L166" s="454"/>
      <c r="M166" s="454"/>
      <c r="N166" s="454"/>
      <c r="O166" s="454"/>
      <c r="P166" s="454"/>
      <c r="Q166" s="454"/>
      <c r="R166" s="454"/>
      <c r="S166" s="454"/>
      <c r="T166" s="454"/>
      <c r="U166" s="454"/>
      <c r="V166" s="454"/>
      <c r="W166" s="454"/>
      <c r="X166" s="454"/>
      <c r="Y166" s="454"/>
      <c r="Z166" s="454"/>
    </row>
    <row r="167" ht="15.75" customHeight="1">
      <c r="A167" s="454"/>
      <c r="B167" s="454"/>
      <c r="C167" s="454"/>
      <c r="D167" s="454"/>
      <c r="E167" s="454"/>
      <c r="F167" s="454"/>
      <c r="G167" s="454"/>
      <c r="H167" s="454"/>
      <c r="I167" s="454"/>
      <c r="J167" s="454"/>
      <c r="K167" s="454"/>
      <c r="L167" s="454"/>
      <c r="M167" s="454"/>
      <c r="N167" s="454"/>
      <c r="O167" s="454"/>
      <c r="P167" s="454"/>
      <c r="Q167" s="454"/>
      <c r="R167" s="454"/>
      <c r="S167" s="454"/>
      <c r="T167" s="454"/>
      <c r="U167" s="454"/>
      <c r="V167" s="454"/>
      <c r="W167" s="454"/>
      <c r="X167" s="454"/>
      <c r="Y167" s="454"/>
      <c r="Z167" s="454"/>
    </row>
    <row r="168" ht="15.75" customHeight="1">
      <c r="A168" s="454"/>
      <c r="B168" s="454"/>
      <c r="C168" s="454"/>
      <c r="D168" s="454"/>
      <c r="E168" s="454"/>
      <c r="F168" s="454"/>
      <c r="G168" s="454"/>
      <c r="H168" s="454"/>
      <c r="I168" s="454"/>
      <c r="J168" s="454"/>
      <c r="K168" s="454"/>
      <c r="L168" s="454"/>
      <c r="M168" s="454"/>
      <c r="N168" s="454"/>
      <c r="O168" s="454"/>
      <c r="P168" s="454"/>
      <c r="Q168" s="454"/>
      <c r="R168" s="454"/>
      <c r="S168" s="454"/>
      <c r="T168" s="454"/>
      <c r="U168" s="454"/>
      <c r="V168" s="454"/>
      <c r="W168" s="454"/>
      <c r="X168" s="454"/>
      <c r="Y168" s="454"/>
      <c r="Z168" s="454"/>
    </row>
    <row r="169" ht="15.75" customHeight="1">
      <c r="A169" s="454"/>
      <c r="B169" s="454"/>
      <c r="C169" s="454"/>
      <c r="D169" s="454"/>
      <c r="E169" s="454"/>
      <c r="F169" s="454"/>
      <c r="G169" s="454"/>
      <c r="H169" s="454"/>
      <c r="I169" s="454"/>
      <c r="J169" s="454"/>
      <c r="K169" s="454"/>
      <c r="L169" s="454"/>
      <c r="M169" s="454"/>
      <c r="N169" s="454"/>
      <c r="O169" s="454"/>
      <c r="P169" s="454"/>
      <c r="Q169" s="454"/>
      <c r="R169" s="454"/>
      <c r="S169" s="454"/>
      <c r="T169" s="454"/>
      <c r="U169" s="454"/>
      <c r="V169" s="454"/>
      <c r="W169" s="454"/>
      <c r="X169" s="454"/>
      <c r="Y169" s="454"/>
      <c r="Z169" s="454"/>
    </row>
    <row r="170" ht="15.75" customHeight="1">
      <c r="A170" s="454"/>
      <c r="B170" s="454"/>
      <c r="C170" s="454"/>
      <c r="D170" s="454"/>
      <c r="E170" s="454"/>
      <c r="F170" s="454"/>
      <c r="G170" s="454"/>
      <c r="H170" s="454"/>
      <c r="I170" s="454"/>
      <c r="J170" s="454"/>
      <c r="K170" s="454"/>
      <c r="L170" s="454"/>
      <c r="M170" s="454"/>
      <c r="N170" s="454"/>
      <c r="O170" s="454"/>
      <c r="P170" s="454"/>
      <c r="Q170" s="454"/>
      <c r="R170" s="454"/>
      <c r="S170" s="454"/>
      <c r="T170" s="454"/>
      <c r="U170" s="454"/>
      <c r="V170" s="454"/>
      <c r="W170" s="454"/>
      <c r="X170" s="454"/>
      <c r="Y170" s="454"/>
      <c r="Z170" s="454"/>
    </row>
    <row r="171" ht="15.75" customHeight="1">
      <c r="A171" s="454"/>
      <c r="B171" s="454"/>
      <c r="C171" s="454"/>
      <c r="D171" s="454"/>
      <c r="E171" s="454"/>
      <c r="F171" s="454"/>
      <c r="G171" s="454"/>
      <c r="H171" s="454"/>
      <c r="I171" s="454"/>
      <c r="J171" s="454"/>
      <c r="K171" s="454"/>
      <c r="L171" s="454"/>
      <c r="M171" s="454"/>
      <c r="N171" s="454"/>
      <c r="O171" s="454"/>
      <c r="P171" s="454"/>
      <c r="Q171" s="454"/>
      <c r="R171" s="454"/>
      <c r="S171" s="454"/>
      <c r="T171" s="454"/>
      <c r="U171" s="454"/>
      <c r="V171" s="454"/>
      <c r="W171" s="454"/>
      <c r="X171" s="454"/>
      <c r="Y171" s="454"/>
      <c r="Z171" s="454"/>
    </row>
    <row r="172" ht="15.75" customHeight="1">
      <c r="A172" s="454"/>
      <c r="B172" s="454"/>
      <c r="C172" s="454"/>
      <c r="D172" s="454"/>
      <c r="E172" s="454"/>
      <c r="F172" s="454"/>
      <c r="G172" s="454"/>
      <c r="H172" s="454"/>
      <c r="I172" s="454"/>
      <c r="J172" s="454"/>
      <c r="K172" s="454"/>
      <c r="L172" s="454"/>
      <c r="M172" s="454"/>
      <c r="N172" s="454"/>
      <c r="O172" s="454"/>
      <c r="P172" s="454"/>
      <c r="Q172" s="454"/>
      <c r="R172" s="454"/>
      <c r="S172" s="454"/>
      <c r="T172" s="454"/>
      <c r="U172" s="454"/>
      <c r="V172" s="454"/>
      <c r="W172" s="454"/>
      <c r="X172" s="454"/>
      <c r="Y172" s="454"/>
      <c r="Z172" s="454"/>
    </row>
    <row r="173" ht="15.75" customHeight="1">
      <c r="A173" s="454"/>
      <c r="B173" s="454"/>
      <c r="C173" s="454"/>
      <c r="D173" s="454"/>
      <c r="E173" s="454"/>
      <c r="F173" s="454"/>
      <c r="G173" s="454"/>
      <c r="H173" s="454"/>
      <c r="I173" s="454"/>
      <c r="J173" s="454"/>
      <c r="K173" s="454"/>
      <c r="L173" s="454"/>
      <c r="M173" s="454"/>
      <c r="N173" s="454"/>
      <c r="O173" s="454"/>
      <c r="P173" s="454"/>
      <c r="Q173" s="454"/>
      <c r="R173" s="454"/>
      <c r="S173" s="454"/>
      <c r="T173" s="454"/>
      <c r="U173" s="454"/>
      <c r="V173" s="454"/>
      <c r="W173" s="454"/>
      <c r="X173" s="454"/>
      <c r="Y173" s="454"/>
      <c r="Z173" s="454"/>
    </row>
    <row r="174" ht="15.75" customHeight="1">
      <c r="A174" s="454"/>
      <c r="B174" s="454"/>
      <c r="C174" s="454"/>
      <c r="D174" s="454"/>
      <c r="E174" s="454"/>
      <c r="F174" s="454"/>
      <c r="G174" s="454"/>
      <c r="H174" s="454"/>
      <c r="I174" s="454"/>
      <c r="J174" s="454"/>
      <c r="K174" s="454"/>
      <c r="L174" s="454"/>
      <c r="M174" s="454"/>
      <c r="N174" s="454"/>
      <c r="O174" s="454"/>
      <c r="P174" s="454"/>
      <c r="Q174" s="454"/>
      <c r="R174" s="454"/>
      <c r="S174" s="454"/>
      <c r="T174" s="454"/>
      <c r="U174" s="454"/>
      <c r="V174" s="454"/>
      <c r="W174" s="454"/>
      <c r="X174" s="454"/>
      <c r="Y174" s="454"/>
      <c r="Z174" s="454"/>
    </row>
    <row r="175" ht="15.75" customHeight="1">
      <c r="A175" s="454"/>
      <c r="B175" s="454"/>
      <c r="C175" s="454"/>
      <c r="D175" s="454"/>
      <c r="E175" s="454"/>
      <c r="F175" s="454"/>
      <c r="G175" s="454"/>
      <c r="H175" s="454"/>
      <c r="I175" s="454"/>
      <c r="J175" s="454"/>
      <c r="K175" s="454"/>
      <c r="L175" s="454"/>
      <c r="M175" s="454"/>
      <c r="N175" s="454"/>
      <c r="O175" s="454"/>
      <c r="P175" s="454"/>
      <c r="Q175" s="454"/>
      <c r="R175" s="454"/>
      <c r="S175" s="454"/>
      <c r="T175" s="454"/>
      <c r="U175" s="454"/>
      <c r="V175" s="454"/>
      <c r="W175" s="454"/>
      <c r="X175" s="454"/>
      <c r="Y175" s="454"/>
      <c r="Z175" s="454"/>
    </row>
    <row r="176" ht="15.75" customHeight="1">
      <c r="A176" s="454"/>
      <c r="B176" s="454"/>
      <c r="C176" s="454"/>
      <c r="D176" s="454"/>
      <c r="E176" s="454"/>
      <c r="F176" s="454"/>
      <c r="G176" s="454"/>
      <c r="H176" s="454"/>
      <c r="I176" s="454"/>
      <c r="J176" s="454"/>
      <c r="K176" s="454"/>
      <c r="L176" s="454"/>
      <c r="M176" s="454"/>
      <c r="N176" s="454"/>
      <c r="O176" s="454"/>
      <c r="P176" s="454"/>
      <c r="Q176" s="454"/>
      <c r="R176" s="454"/>
      <c r="S176" s="454"/>
      <c r="T176" s="454"/>
      <c r="U176" s="454"/>
      <c r="V176" s="454"/>
      <c r="W176" s="454"/>
      <c r="X176" s="454"/>
      <c r="Y176" s="454"/>
      <c r="Z176" s="454"/>
    </row>
    <row r="177" ht="15.75" customHeight="1">
      <c r="A177" s="454"/>
      <c r="B177" s="454"/>
      <c r="C177" s="454"/>
      <c r="D177" s="454"/>
      <c r="E177" s="454"/>
      <c r="F177" s="454"/>
      <c r="G177" s="454"/>
      <c r="H177" s="454"/>
      <c r="I177" s="454"/>
      <c r="J177" s="454"/>
      <c r="K177" s="454"/>
      <c r="L177" s="454"/>
      <c r="M177" s="454"/>
      <c r="N177" s="454"/>
      <c r="O177" s="454"/>
      <c r="P177" s="454"/>
      <c r="Q177" s="454"/>
      <c r="R177" s="454"/>
      <c r="S177" s="454"/>
      <c r="T177" s="454"/>
      <c r="U177" s="454"/>
      <c r="V177" s="454"/>
      <c r="W177" s="454"/>
      <c r="X177" s="454"/>
      <c r="Y177" s="454"/>
      <c r="Z177" s="454"/>
    </row>
    <row r="178" ht="15.75" customHeight="1">
      <c r="A178" s="454"/>
      <c r="B178" s="454"/>
      <c r="C178" s="454"/>
      <c r="D178" s="454"/>
      <c r="E178" s="454"/>
      <c r="F178" s="454"/>
      <c r="G178" s="454"/>
      <c r="H178" s="454"/>
      <c r="I178" s="454"/>
      <c r="J178" s="454"/>
      <c r="K178" s="454"/>
      <c r="L178" s="454"/>
      <c r="M178" s="454"/>
      <c r="N178" s="454"/>
      <c r="O178" s="454"/>
      <c r="P178" s="454"/>
      <c r="Q178" s="454"/>
      <c r="R178" s="454"/>
      <c r="S178" s="454"/>
      <c r="T178" s="454"/>
      <c r="U178" s="454"/>
      <c r="V178" s="454"/>
      <c r="W178" s="454"/>
      <c r="X178" s="454"/>
      <c r="Y178" s="454"/>
      <c r="Z178" s="454"/>
    </row>
    <row r="179" ht="15.75" customHeight="1">
      <c r="A179" s="454"/>
      <c r="B179" s="454"/>
      <c r="C179" s="454"/>
      <c r="D179" s="454"/>
      <c r="E179" s="454"/>
      <c r="F179" s="454"/>
      <c r="G179" s="454"/>
      <c r="H179" s="454"/>
      <c r="I179" s="454"/>
      <c r="J179" s="454"/>
      <c r="K179" s="454"/>
      <c r="L179" s="454"/>
      <c r="M179" s="454"/>
      <c r="N179" s="454"/>
      <c r="O179" s="454"/>
      <c r="P179" s="454"/>
      <c r="Q179" s="454"/>
      <c r="R179" s="454"/>
      <c r="S179" s="454"/>
      <c r="T179" s="454"/>
      <c r="U179" s="454"/>
      <c r="V179" s="454"/>
      <c r="W179" s="454"/>
      <c r="X179" s="454"/>
      <c r="Y179" s="454"/>
      <c r="Z179" s="454"/>
    </row>
    <row r="180" ht="15.75" customHeight="1">
      <c r="A180" s="454"/>
      <c r="B180" s="454"/>
      <c r="C180" s="454"/>
      <c r="D180" s="454"/>
      <c r="E180" s="454"/>
      <c r="F180" s="454"/>
      <c r="G180" s="454"/>
      <c r="H180" s="454"/>
      <c r="I180" s="454"/>
      <c r="J180" s="454"/>
      <c r="K180" s="454"/>
      <c r="L180" s="454"/>
      <c r="M180" s="454"/>
      <c r="N180" s="454"/>
      <c r="O180" s="454"/>
      <c r="P180" s="454"/>
      <c r="Q180" s="454"/>
      <c r="R180" s="454"/>
      <c r="S180" s="454"/>
      <c r="T180" s="454"/>
      <c r="U180" s="454"/>
      <c r="V180" s="454"/>
      <c r="W180" s="454"/>
      <c r="X180" s="454"/>
      <c r="Y180" s="454"/>
      <c r="Z180" s="454"/>
    </row>
    <row r="181" ht="15.75" customHeight="1">
      <c r="A181" s="454"/>
      <c r="B181" s="454"/>
      <c r="C181" s="454"/>
      <c r="D181" s="454"/>
      <c r="E181" s="454"/>
      <c r="F181" s="454"/>
      <c r="G181" s="454"/>
      <c r="H181" s="454"/>
      <c r="I181" s="454"/>
      <c r="J181" s="454"/>
      <c r="K181" s="454"/>
      <c r="L181" s="454"/>
      <c r="M181" s="454"/>
      <c r="N181" s="454"/>
      <c r="O181" s="454"/>
      <c r="P181" s="454"/>
      <c r="Q181" s="454"/>
      <c r="R181" s="454"/>
      <c r="S181" s="454"/>
      <c r="T181" s="454"/>
      <c r="U181" s="454"/>
      <c r="V181" s="454"/>
      <c r="W181" s="454"/>
      <c r="X181" s="454"/>
      <c r="Y181" s="454"/>
      <c r="Z181" s="454"/>
    </row>
    <row r="182" ht="15.75" customHeight="1">
      <c r="A182" s="454"/>
      <c r="B182" s="454"/>
      <c r="C182" s="454"/>
      <c r="D182" s="454"/>
      <c r="E182" s="454"/>
      <c r="F182" s="454"/>
      <c r="G182" s="454"/>
      <c r="H182" s="454"/>
      <c r="I182" s="454"/>
      <c r="J182" s="454"/>
      <c r="K182" s="454"/>
      <c r="L182" s="454"/>
      <c r="M182" s="454"/>
      <c r="N182" s="454"/>
      <c r="O182" s="454"/>
      <c r="P182" s="454"/>
      <c r="Q182" s="454"/>
      <c r="R182" s="454"/>
      <c r="S182" s="454"/>
      <c r="T182" s="454"/>
      <c r="U182" s="454"/>
      <c r="V182" s="454"/>
      <c r="W182" s="454"/>
      <c r="X182" s="454"/>
      <c r="Y182" s="454"/>
      <c r="Z182" s="454"/>
    </row>
    <row r="183" ht="15.75" customHeight="1">
      <c r="A183" s="454"/>
      <c r="B183" s="454"/>
      <c r="C183" s="454"/>
      <c r="D183" s="454"/>
      <c r="E183" s="454"/>
      <c r="F183" s="454"/>
      <c r="G183" s="454"/>
      <c r="H183" s="454"/>
      <c r="I183" s="454"/>
      <c r="J183" s="454"/>
      <c r="K183" s="454"/>
      <c r="L183" s="454"/>
      <c r="M183" s="454"/>
      <c r="N183" s="454"/>
      <c r="O183" s="454"/>
      <c r="P183" s="454"/>
      <c r="Q183" s="454"/>
      <c r="R183" s="454"/>
      <c r="S183" s="454"/>
      <c r="T183" s="454"/>
      <c r="U183" s="454"/>
      <c r="V183" s="454"/>
      <c r="W183" s="454"/>
      <c r="X183" s="454"/>
      <c r="Y183" s="454"/>
      <c r="Z183" s="454"/>
    </row>
    <row r="184" ht="15.75" customHeight="1">
      <c r="A184" s="454"/>
      <c r="B184" s="454"/>
      <c r="C184" s="454"/>
      <c r="D184" s="454"/>
      <c r="E184" s="454"/>
      <c r="F184" s="454"/>
      <c r="G184" s="454"/>
      <c r="H184" s="454"/>
      <c r="I184" s="454"/>
      <c r="J184" s="454"/>
      <c r="K184" s="454"/>
      <c r="L184" s="454"/>
      <c r="M184" s="454"/>
      <c r="N184" s="454"/>
      <c r="O184" s="454"/>
      <c r="P184" s="454"/>
      <c r="Q184" s="454"/>
      <c r="R184" s="454"/>
      <c r="S184" s="454"/>
      <c r="T184" s="454"/>
      <c r="U184" s="454"/>
      <c r="V184" s="454"/>
      <c r="W184" s="454"/>
      <c r="X184" s="454"/>
      <c r="Y184" s="454"/>
      <c r="Z184" s="454"/>
    </row>
    <row r="185" ht="15.75" customHeight="1">
      <c r="A185" s="454"/>
      <c r="B185" s="454"/>
      <c r="C185" s="454"/>
      <c r="D185" s="454"/>
      <c r="E185" s="454"/>
      <c r="F185" s="454"/>
      <c r="G185" s="454"/>
      <c r="H185" s="454"/>
      <c r="I185" s="454"/>
      <c r="J185" s="454"/>
      <c r="K185" s="454"/>
      <c r="L185" s="454"/>
      <c r="M185" s="454"/>
      <c r="N185" s="454"/>
      <c r="O185" s="454"/>
      <c r="P185" s="454"/>
      <c r="Q185" s="454"/>
      <c r="R185" s="454"/>
      <c r="S185" s="454"/>
      <c r="T185" s="454"/>
      <c r="U185" s="454"/>
      <c r="V185" s="454"/>
      <c r="W185" s="454"/>
      <c r="X185" s="454"/>
      <c r="Y185" s="454"/>
      <c r="Z185" s="454"/>
    </row>
    <row r="186" ht="15.75" customHeight="1">
      <c r="A186" s="454"/>
      <c r="B186" s="454"/>
      <c r="C186" s="454"/>
      <c r="D186" s="454"/>
      <c r="E186" s="454"/>
      <c r="F186" s="454"/>
      <c r="G186" s="454"/>
      <c r="H186" s="454"/>
      <c r="I186" s="454"/>
      <c r="J186" s="454"/>
      <c r="K186" s="454"/>
      <c r="L186" s="454"/>
      <c r="M186" s="454"/>
      <c r="N186" s="454"/>
      <c r="O186" s="454"/>
      <c r="P186" s="454"/>
      <c r="Q186" s="454"/>
      <c r="R186" s="454"/>
      <c r="S186" s="454"/>
      <c r="T186" s="454"/>
      <c r="U186" s="454"/>
      <c r="V186" s="454"/>
      <c r="W186" s="454"/>
      <c r="X186" s="454"/>
      <c r="Y186" s="454"/>
      <c r="Z186" s="454"/>
    </row>
    <row r="187" ht="15.75" customHeight="1">
      <c r="A187" s="454"/>
      <c r="B187" s="454"/>
      <c r="C187" s="454"/>
      <c r="D187" s="454"/>
      <c r="E187" s="454"/>
      <c r="F187" s="454"/>
      <c r="G187" s="454"/>
      <c r="H187" s="454"/>
      <c r="I187" s="454"/>
      <c r="J187" s="454"/>
      <c r="K187" s="454"/>
      <c r="L187" s="454"/>
      <c r="M187" s="454"/>
      <c r="N187" s="454"/>
      <c r="O187" s="454"/>
      <c r="P187" s="454"/>
      <c r="Q187" s="454"/>
      <c r="R187" s="454"/>
      <c r="S187" s="454"/>
      <c r="T187" s="454"/>
      <c r="U187" s="454"/>
      <c r="V187" s="454"/>
      <c r="W187" s="454"/>
      <c r="X187" s="454"/>
      <c r="Y187" s="454"/>
      <c r="Z187" s="454"/>
    </row>
    <row r="188" ht="15.75" customHeight="1">
      <c r="A188" s="454"/>
      <c r="B188" s="454"/>
      <c r="C188" s="454"/>
      <c r="D188" s="454"/>
      <c r="E188" s="454"/>
      <c r="F188" s="454"/>
      <c r="G188" s="454"/>
      <c r="H188" s="454"/>
      <c r="I188" s="454"/>
      <c r="J188" s="454"/>
      <c r="K188" s="454"/>
      <c r="L188" s="454"/>
      <c r="M188" s="454"/>
      <c r="N188" s="454"/>
      <c r="O188" s="454"/>
      <c r="P188" s="454"/>
      <c r="Q188" s="454"/>
      <c r="R188" s="454"/>
      <c r="S188" s="454"/>
      <c r="T188" s="454"/>
      <c r="U188" s="454"/>
      <c r="V188" s="454"/>
      <c r="W188" s="454"/>
      <c r="X188" s="454"/>
      <c r="Y188" s="454"/>
      <c r="Z188" s="454"/>
    </row>
    <row r="189" ht="15.75" customHeight="1">
      <c r="A189" s="454"/>
      <c r="B189" s="454"/>
      <c r="C189" s="454"/>
      <c r="D189" s="454"/>
      <c r="E189" s="454"/>
      <c r="F189" s="454"/>
      <c r="G189" s="454"/>
      <c r="H189" s="454"/>
      <c r="I189" s="454"/>
      <c r="J189" s="454"/>
      <c r="K189" s="454"/>
      <c r="L189" s="454"/>
      <c r="M189" s="454"/>
      <c r="N189" s="454"/>
      <c r="O189" s="454"/>
      <c r="P189" s="454"/>
      <c r="Q189" s="454"/>
      <c r="R189" s="454"/>
      <c r="S189" s="454"/>
      <c r="T189" s="454"/>
      <c r="U189" s="454"/>
      <c r="V189" s="454"/>
      <c r="W189" s="454"/>
      <c r="X189" s="454"/>
      <c r="Y189" s="454"/>
      <c r="Z189" s="454"/>
    </row>
    <row r="190" ht="15.75" customHeight="1">
      <c r="A190" s="454"/>
      <c r="B190" s="454"/>
      <c r="C190" s="454"/>
      <c r="D190" s="454"/>
      <c r="E190" s="454"/>
      <c r="F190" s="454"/>
      <c r="G190" s="454"/>
      <c r="H190" s="454"/>
      <c r="I190" s="454"/>
      <c r="J190" s="454"/>
      <c r="K190" s="454"/>
      <c r="L190" s="454"/>
      <c r="M190" s="454"/>
      <c r="N190" s="454"/>
      <c r="O190" s="454"/>
      <c r="P190" s="454"/>
      <c r="Q190" s="454"/>
      <c r="R190" s="454"/>
      <c r="S190" s="454"/>
      <c r="T190" s="454"/>
      <c r="U190" s="454"/>
      <c r="V190" s="454"/>
      <c r="W190" s="454"/>
      <c r="X190" s="454"/>
      <c r="Y190" s="454"/>
      <c r="Z190" s="454"/>
    </row>
    <row r="191" ht="15.75" customHeight="1">
      <c r="A191" s="454"/>
      <c r="B191" s="454"/>
      <c r="C191" s="454"/>
      <c r="D191" s="454"/>
      <c r="E191" s="454"/>
      <c r="F191" s="454"/>
      <c r="G191" s="454"/>
      <c r="H191" s="454"/>
      <c r="I191" s="454"/>
      <c r="J191" s="454"/>
      <c r="K191" s="454"/>
      <c r="L191" s="454"/>
      <c r="M191" s="454"/>
      <c r="N191" s="454"/>
      <c r="O191" s="454"/>
      <c r="P191" s="454"/>
      <c r="Q191" s="454"/>
      <c r="R191" s="454"/>
      <c r="S191" s="454"/>
      <c r="T191" s="454"/>
      <c r="U191" s="454"/>
      <c r="V191" s="454"/>
      <c r="W191" s="454"/>
      <c r="X191" s="454"/>
      <c r="Y191" s="454"/>
      <c r="Z191" s="454"/>
    </row>
    <row r="192" ht="15.75" customHeight="1">
      <c r="A192" s="454"/>
      <c r="B192" s="454"/>
      <c r="C192" s="454"/>
      <c r="D192" s="454"/>
      <c r="E192" s="454"/>
      <c r="F192" s="454"/>
      <c r="G192" s="454"/>
      <c r="H192" s="454"/>
      <c r="I192" s="454"/>
      <c r="J192" s="454"/>
      <c r="K192" s="454"/>
      <c r="L192" s="454"/>
      <c r="M192" s="454"/>
      <c r="N192" s="454"/>
      <c r="O192" s="454"/>
      <c r="P192" s="454"/>
      <c r="Q192" s="454"/>
      <c r="R192" s="454"/>
      <c r="S192" s="454"/>
      <c r="T192" s="454"/>
      <c r="U192" s="454"/>
      <c r="V192" s="454"/>
      <c r="W192" s="454"/>
      <c r="X192" s="454"/>
      <c r="Y192" s="454"/>
      <c r="Z192" s="454"/>
    </row>
    <row r="193" ht="15.75" customHeight="1">
      <c r="A193" s="454"/>
      <c r="B193" s="454"/>
      <c r="C193" s="454"/>
      <c r="D193" s="454"/>
      <c r="E193" s="454"/>
      <c r="F193" s="454"/>
      <c r="G193" s="454"/>
      <c r="H193" s="454"/>
      <c r="I193" s="454"/>
      <c r="J193" s="454"/>
      <c r="K193" s="454"/>
      <c r="L193" s="454"/>
      <c r="M193" s="454"/>
      <c r="N193" s="454"/>
      <c r="O193" s="454"/>
      <c r="P193" s="454"/>
      <c r="Q193" s="454"/>
      <c r="R193" s="454"/>
      <c r="S193" s="454"/>
      <c r="T193" s="454"/>
      <c r="U193" s="454"/>
      <c r="V193" s="454"/>
      <c r="W193" s="454"/>
      <c r="X193" s="454"/>
      <c r="Y193" s="454"/>
      <c r="Z193" s="454"/>
    </row>
    <row r="194" ht="15.75" customHeight="1">
      <c r="A194" s="454"/>
      <c r="B194" s="454"/>
      <c r="C194" s="454"/>
      <c r="D194" s="454"/>
      <c r="E194" s="454"/>
      <c r="F194" s="454"/>
      <c r="G194" s="454"/>
      <c r="H194" s="454"/>
      <c r="I194" s="454"/>
      <c r="J194" s="454"/>
      <c r="K194" s="454"/>
      <c r="L194" s="454"/>
      <c r="M194" s="454"/>
      <c r="N194" s="454"/>
      <c r="O194" s="454"/>
      <c r="P194" s="454"/>
      <c r="Q194" s="454"/>
      <c r="R194" s="454"/>
      <c r="S194" s="454"/>
      <c r="T194" s="454"/>
      <c r="U194" s="454"/>
      <c r="V194" s="454"/>
      <c r="W194" s="454"/>
      <c r="X194" s="454"/>
      <c r="Y194" s="454"/>
      <c r="Z194" s="454"/>
    </row>
    <row r="195" ht="15.75" customHeight="1">
      <c r="A195" s="454"/>
      <c r="B195" s="454"/>
      <c r="C195" s="454"/>
      <c r="D195" s="454"/>
      <c r="E195" s="454"/>
      <c r="F195" s="454"/>
      <c r="G195" s="454"/>
      <c r="H195" s="454"/>
      <c r="I195" s="454"/>
      <c r="J195" s="454"/>
      <c r="K195" s="454"/>
      <c r="L195" s="454"/>
      <c r="M195" s="454"/>
      <c r="N195" s="454"/>
      <c r="O195" s="454"/>
      <c r="P195" s="454"/>
      <c r="Q195" s="454"/>
      <c r="R195" s="454"/>
      <c r="S195" s="454"/>
      <c r="T195" s="454"/>
      <c r="U195" s="454"/>
      <c r="V195" s="454"/>
      <c r="W195" s="454"/>
      <c r="X195" s="454"/>
      <c r="Y195" s="454"/>
      <c r="Z195" s="454"/>
    </row>
    <row r="196" ht="15.75" customHeight="1">
      <c r="A196" s="454"/>
      <c r="B196" s="454"/>
      <c r="C196" s="454"/>
      <c r="D196" s="454"/>
      <c r="E196" s="454"/>
      <c r="F196" s="454"/>
      <c r="G196" s="454"/>
      <c r="H196" s="454"/>
      <c r="I196" s="454"/>
      <c r="J196" s="454"/>
      <c r="K196" s="454"/>
      <c r="L196" s="454"/>
      <c r="M196" s="454"/>
      <c r="N196" s="454"/>
      <c r="O196" s="454"/>
      <c r="P196" s="454"/>
      <c r="Q196" s="454"/>
      <c r="R196" s="454"/>
      <c r="S196" s="454"/>
      <c r="T196" s="454"/>
      <c r="U196" s="454"/>
      <c r="V196" s="454"/>
      <c r="W196" s="454"/>
      <c r="X196" s="454"/>
      <c r="Y196" s="454"/>
      <c r="Z196" s="454"/>
    </row>
    <row r="197" ht="15.75" customHeight="1">
      <c r="A197" s="454"/>
      <c r="B197" s="454"/>
      <c r="C197" s="454"/>
      <c r="D197" s="454"/>
      <c r="E197" s="454"/>
      <c r="F197" s="454"/>
      <c r="G197" s="454"/>
      <c r="H197" s="454"/>
      <c r="I197" s="454"/>
      <c r="J197" s="454"/>
      <c r="K197" s="454"/>
      <c r="L197" s="454"/>
      <c r="M197" s="454"/>
      <c r="N197" s="454"/>
      <c r="O197" s="454"/>
      <c r="P197" s="454"/>
      <c r="Q197" s="454"/>
      <c r="R197" s="454"/>
      <c r="S197" s="454"/>
      <c r="T197" s="454"/>
      <c r="U197" s="454"/>
      <c r="V197" s="454"/>
      <c r="W197" s="454"/>
      <c r="X197" s="454"/>
      <c r="Y197" s="454"/>
      <c r="Z197" s="454"/>
    </row>
    <row r="198" ht="15.75" customHeight="1">
      <c r="A198" s="454"/>
      <c r="B198" s="454"/>
      <c r="C198" s="454"/>
      <c r="D198" s="454"/>
      <c r="E198" s="454"/>
      <c r="F198" s="454"/>
      <c r="G198" s="454"/>
      <c r="H198" s="454"/>
      <c r="I198" s="454"/>
      <c r="J198" s="454"/>
      <c r="K198" s="454"/>
      <c r="L198" s="454"/>
      <c r="M198" s="454"/>
      <c r="N198" s="454"/>
      <c r="O198" s="454"/>
      <c r="P198" s="454"/>
      <c r="Q198" s="454"/>
      <c r="R198" s="454"/>
      <c r="S198" s="454"/>
      <c r="T198" s="454"/>
      <c r="U198" s="454"/>
      <c r="V198" s="454"/>
      <c r="W198" s="454"/>
      <c r="X198" s="454"/>
      <c r="Y198" s="454"/>
      <c r="Z198" s="454"/>
    </row>
    <row r="199" ht="15.75" customHeight="1">
      <c r="A199" s="454"/>
      <c r="B199" s="454"/>
      <c r="C199" s="454"/>
      <c r="D199" s="454"/>
      <c r="E199" s="454"/>
      <c r="F199" s="454"/>
      <c r="G199" s="454"/>
      <c r="H199" s="454"/>
      <c r="I199" s="454"/>
      <c r="J199" s="454"/>
      <c r="K199" s="454"/>
      <c r="L199" s="454"/>
      <c r="M199" s="454"/>
      <c r="N199" s="454"/>
      <c r="O199" s="454"/>
      <c r="P199" s="454"/>
      <c r="Q199" s="454"/>
      <c r="R199" s="454"/>
      <c r="S199" s="454"/>
      <c r="T199" s="454"/>
      <c r="U199" s="454"/>
      <c r="V199" s="454"/>
      <c r="W199" s="454"/>
      <c r="X199" s="454"/>
      <c r="Y199" s="454"/>
      <c r="Z199" s="454"/>
    </row>
    <row r="200" ht="15.75" customHeight="1">
      <c r="A200" s="454"/>
      <c r="B200" s="454"/>
      <c r="C200" s="454"/>
      <c r="D200" s="454"/>
      <c r="E200" s="454"/>
      <c r="F200" s="454"/>
      <c r="G200" s="454"/>
      <c r="H200" s="454"/>
      <c r="I200" s="454"/>
      <c r="J200" s="454"/>
      <c r="K200" s="454"/>
      <c r="L200" s="454"/>
      <c r="M200" s="454"/>
      <c r="N200" s="454"/>
      <c r="O200" s="454"/>
      <c r="P200" s="454"/>
      <c r="Q200" s="454"/>
      <c r="R200" s="454"/>
      <c r="S200" s="454"/>
      <c r="T200" s="454"/>
      <c r="U200" s="454"/>
      <c r="V200" s="454"/>
      <c r="W200" s="454"/>
      <c r="X200" s="454"/>
      <c r="Y200" s="454"/>
      <c r="Z200" s="454"/>
    </row>
    <row r="201" ht="15.75" customHeight="1">
      <c r="A201" s="454"/>
      <c r="B201" s="454"/>
      <c r="C201" s="454"/>
      <c r="D201" s="454"/>
      <c r="E201" s="454"/>
      <c r="F201" s="454"/>
      <c r="G201" s="454"/>
      <c r="H201" s="454"/>
      <c r="I201" s="454"/>
      <c r="J201" s="454"/>
      <c r="K201" s="454"/>
      <c r="L201" s="454"/>
      <c r="M201" s="454"/>
      <c r="N201" s="454"/>
      <c r="O201" s="454"/>
      <c r="P201" s="454"/>
      <c r="Q201" s="454"/>
      <c r="R201" s="454"/>
      <c r="S201" s="454"/>
      <c r="T201" s="454"/>
      <c r="U201" s="454"/>
      <c r="V201" s="454"/>
      <c r="W201" s="454"/>
      <c r="X201" s="454"/>
      <c r="Y201" s="454"/>
      <c r="Z201" s="454"/>
    </row>
    <row r="202" ht="15.75" customHeight="1">
      <c r="A202" s="454"/>
      <c r="B202" s="454"/>
      <c r="C202" s="454"/>
      <c r="D202" s="454"/>
      <c r="E202" s="454"/>
      <c r="F202" s="454"/>
      <c r="G202" s="454"/>
      <c r="H202" s="454"/>
      <c r="I202" s="454"/>
      <c r="J202" s="454"/>
      <c r="K202" s="454"/>
      <c r="L202" s="454"/>
      <c r="M202" s="454"/>
      <c r="N202" s="454"/>
      <c r="O202" s="454"/>
      <c r="P202" s="454"/>
      <c r="Q202" s="454"/>
      <c r="R202" s="454"/>
      <c r="S202" s="454"/>
      <c r="T202" s="454"/>
      <c r="U202" s="454"/>
      <c r="V202" s="454"/>
      <c r="W202" s="454"/>
      <c r="X202" s="454"/>
      <c r="Y202" s="454"/>
      <c r="Z202" s="454"/>
    </row>
    <row r="203" ht="15.75" customHeight="1">
      <c r="A203" s="454"/>
      <c r="B203" s="454"/>
      <c r="C203" s="454"/>
      <c r="D203" s="454"/>
      <c r="E203" s="454"/>
      <c r="F203" s="454"/>
      <c r="G203" s="454"/>
      <c r="H203" s="454"/>
      <c r="I203" s="454"/>
      <c r="J203" s="454"/>
      <c r="K203" s="454"/>
      <c r="L203" s="454"/>
      <c r="M203" s="454"/>
      <c r="N203" s="454"/>
      <c r="O203" s="454"/>
      <c r="P203" s="454"/>
      <c r="Q203" s="454"/>
      <c r="R203" s="454"/>
      <c r="S203" s="454"/>
      <c r="T203" s="454"/>
      <c r="U203" s="454"/>
      <c r="V203" s="454"/>
      <c r="W203" s="454"/>
      <c r="X203" s="454"/>
      <c r="Y203" s="454"/>
      <c r="Z203" s="454"/>
    </row>
    <row r="204" ht="15.75" customHeight="1">
      <c r="A204" s="454"/>
      <c r="B204" s="454"/>
      <c r="C204" s="454"/>
      <c r="D204" s="454"/>
      <c r="E204" s="454"/>
      <c r="F204" s="454"/>
      <c r="G204" s="454"/>
      <c r="H204" s="454"/>
      <c r="I204" s="454"/>
      <c r="J204" s="454"/>
      <c r="K204" s="454"/>
      <c r="L204" s="454"/>
      <c r="M204" s="454"/>
      <c r="N204" s="454"/>
      <c r="O204" s="454"/>
      <c r="P204" s="454"/>
      <c r="Q204" s="454"/>
      <c r="R204" s="454"/>
      <c r="S204" s="454"/>
      <c r="T204" s="454"/>
      <c r="U204" s="454"/>
      <c r="V204" s="454"/>
      <c r="W204" s="454"/>
      <c r="X204" s="454"/>
      <c r="Y204" s="454"/>
      <c r="Z204" s="454"/>
    </row>
    <row r="205" ht="15.75" customHeight="1">
      <c r="A205" s="454"/>
      <c r="B205" s="454"/>
      <c r="C205" s="454"/>
      <c r="D205" s="454"/>
      <c r="E205" s="454"/>
      <c r="F205" s="454"/>
      <c r="G205" s="454"/>
      <c r="H205" s="454"/>
      <c r="I205" s="454"/>
      <c r="J205" s="454"/>
      <c r="K205" s="454"/>
      <c r="L205" s="454"/>
      <c r="M205" s="454"/>
      <c r="N205" s="454"/>
      <c r="O205" s="454"/>
      <c r="P205" s="454"/>
      <c r="Q205" s="454"/>
      <c r="R205" s="454"/>
      <c r="S205" s="454"/>
      <c r="T205" s="454"/>
      <c r="U205" s="454"/>
      <c r="V205" s="454"/>
      <c r="W205" s="454"/>
      <c r="X205" s="454"/>
      <c r="Y205" s="454"/>
      <c r="Z205" s="454"/>
    </row>
    <row r="206" ht="15.75" customHeight="1">
      <c r="A206" s="454"/>
      <c r="B206" s="454"/>
      <c r="C206" s="454"/>
      <c r="D206" s="454"/>
      <c r="E206" s="454"/>
      <c r="F206" s="454"/>
      <c r="G206" s="454"/>
      <c r="H206" s="454"/>
      <c r="I206" s="454"/>
      <c r="J206" s="454"/>
      <c r="K206" s="454"/>
      <c r="L206" s="454"/>
      <c r="M206" s="454"/>
      <c r="N206" s="454"/>
      <c r="O206" s="454"/>
      <c r="P206" s="454"/>
      <c r="Q206" s="454"/>
      <c r="R206" s="454"/>
      <c r="S206" s="454"/>
      <c r="T206" s="454"/>
      <c r="U206" s="454"/>
      <c r="V206" s="454"/>
      <c r="W206" s="454"/>
      <c r="X206" s="454"/>
      <c r="Y206" s="454"/>
      <c r="Z206" s="454"/>
    </row>
    <row r="207" ht="15.75" customHeight="1">
      <c r="A207" s="454"/>
      <c r="B207" s="454"/>
      <c r="C207" s="454"/>
      <c r="D207" s="454"/>
      <c r="E207" s="454"/>
      <c r="F207" s="454"/>
      <c r="G207" s="454"/>
      <c r="H207" s="454"/>
      <c r="I207" s="454"/>
      <c r="J207" s="454"/>
      <c r="K207" s="454"/>
      <c r="L207" s="454"/>
      <c r="M207" s="454"/>
      <c r="N207" s="454"/>
      <c r="O207" s="454"/>
      <c r="P207" s="454"/>
      <c r="Q207" s="454"/>
      <c r="R207" s="454"/>
      <c r="S207" s="454"/>
      <c r="T207" s="454"/>
      <c r="U207" s="454"/>
      <c r="V207" s="454"/>
      <c r="W207" s="454"/>
      <c r="X207" s="454"/>
      <c r="Y207" s="454"/>
      <c r="Z207" s="454"/>
    </row>
    <row r="208" ht="15.75" customHeight="1">
      <c r="A208" s="454"/>
      <c r="B208" s="454"/>
      <c r="C208" s="454"/>
      <c r="D208" s="454"/>
      <c r="E208" s="454"/>
      <c r="F208" s="454"/>
      <c r="G208" s="454"/>
      <c r="H208" s="454"/>
      <c r="I208" s="454"/>
      <c r="J208" s="454"/>
      <c r="K208" s="454"/>
      <c r="L208" s="454"/>
      <c r="M208" s="454"/>
      <c r="N208" s="454"/>
      <c r="O208" s="454"/>
      <c r="P208" s="454"/>
      <c r="Q208" s="454"/>
      <c r="R208" s="454"/>
      <c r="S208" s="454"/>
      <c r="T208" s="454"/>
      <c r="U208" s="454"/>
      <c r="V208" s="454"/>
      <c r="W208" s="454"/>
      <c r="X208" s="454"/>
      <c r="Y208" s="454"/>
      <c r="Z208" s="454"/>
    </row>
    <row r="209" ht="15.75" customHeight="1">
      <c r="A209" s="454"/>
      <c r="B209" s="454"/>
      <c r="C209" s="454"/>
      <c r="D209" s="454"/>
      <c r="E209" s="454"/>
      <c r="F209" s="454"/>
      <c r="G209" s="454"/>
      <c r="H209" s="454"/>
      <c r="I209" s="454"/>
      <c r="J209" s="454"/>
      <c r="K209" s="454"/>
      <c r="L209" s="454"/>
      <c r="M209" s="454"/>
      <c r="N209" s="454"/>
      <c r="O209" s="454"/>
      <c r="P209" s="454"/>
      <c r="Q209" s="454"/>
      <c r="R209" s="454"/>
      <c r="S209" s="454"/>
      <c r="T209" s="454"/>
      <c r="U209" s="454"/>
      <c r="V209" s="454"/>
      <c r="W209" s="454"/>
      <c r="X209" s="454"/>
      <c r="Y209" s="454"/>
      <c r="Z209" s="454"/>
    </row>
    <row r="210" ht="15.75" customHeight="1">
      <c r="A210" s="454"/>
      <c r="B210" s="454"/>
      <c r="C210" s="454"/>
      <c r="D210" s="454"/>
      <c r="E210" s="454"/>
      <c r="F210" s="454"/>
      <c r="G210" s="454"/>
      <c r="H210" s="454"/>
      <c r="I210" s="454"/>
      <c r="J210" s="454"/>
      <c r="K210" s="454"/>
      <c r="L210" s="454"/>
      <c r="M210" s="454"/>
      <c r="N210" s="454"/>
      <c r="O210" s="454"/>
      <c r="P210" s="454"/>
      <c r="Q210" s="454"/>
      <c r="R210" s="454"/>
      <c r="S210" s="454"/>
      <c r="T210" s="454"/>
      <c r="U210" s="454"/>
      <c r="V210" s="454"/>
      <c r="W210" s="454"/>
      <c r="X210" s="454"/>
      <c r="Y210" s="454"/>
      <c r="Z210" s="454"/>
    </row>
    <row r="211" ht="15.75" customHeight="1">
      <c r="A211" s="454"/>
      <c r="B211" s="454"/>
      <c r="C211" s="454"/>
      <c r="D211" s="454"/>
      <c r="E211" s="454"/>
      <c r="F211" s="454"/>
      <c r="G211" s="454"/>
      <c r="H211" s="454"/>
      <c r="I211" s="454"/>
      <c r="J211" s="454"/>
      <c r="K211" s="454"/>
      <c r="L211" s="454"/>
      <c r="M211" s="454"/>
      <c r="N211" s="454"/>
      <c r="O211" s="454"/>
      <c r="P211" s="454"/>
      <c r="Q211" s="454"/>
      <c r="R211" s="454"/>
      <c r="S211" s="454"/>
      <c r="T211" s="454"/>
      <c r="U211" s="454"/>
      <c r="V211" s="454"/>
      <c r="W211" s="454"/>
      <c r="X211" s="454"/>
      <c r="Y211" s="454"/>
      <c r="Z211" s="454"/>
    </row>
    <row r="212" ht="15.75" customHeight="1">
      <c r="A212" s="454"/>
      <c r="B212" s="454"/>
      <c r="C212" s="454"/>
      <c r="D212" s="454"/>
      <c r="E212" s="454"/>
      <c r="F212" s="454"/>
      <c r="G212" s="454"/>
      <c r="H212" s="454"/>
      <c r="I212" s="454"/>
      <c r="J212" s="454"/>
      <c r="K212" s="454"/>
      <c r="L212" s="454"/>
      <c r="M212" s="454"/>
      <c r="N212" s="454"/>
      <c r="O212" s="454"/>
      <c r="P212" s="454"/>
      <c r="Q212" s="454"/>
      <c r="R212" s="454"/>
      <c r="S212" s="454"/>
      <c r="T212" s="454"/>
      <c r="U212" s="454"/>
      <c r="V212" s="454"/>
      <c r="W212" s="454"/>
      <c r="X212" s="454"/>
      <c r="Y212" s="454"/>
      <c r="Z212" s="454"/>
    </row>
    <row r="213" ht="15.75" customHeight="1">
      <c r="A213" s="454"/>
      <c r="B213" s="454"/>
      <c r="C213" s="454"/>
      <c r="D213" s="454"/>
      <c r="E213" s="454"/>
      <c r="F213" s="454"/>
      <c r="G213" s="454"/>
      <c r="H213" s="454"/>
      <c r="I213" s="454"/>
      <c r="J213" s="454"/>
      <c r="K213" s="454"/>
      <c r="L213" s="454"/>
      <c r="M213" s="454"/>
      <c r="N213" s="454"/>
      <c r="O213" s="454"/>
      <c r="P213" s="454"/>
      <c r="Q213" s="454"/>
      <c r="R213" s="454"/>
      <c r="S213" s="454"/>
      <c r="T213" s="454"/>
      <c r="U213" s="454"/>
      <c r="V213" s="454"/>
      <c r="W213" s="454"/>
      <c r="X213" s="454"/>
      <c r="Y213" s="454"/>
      <c r="Z213" s="454"/>
    </row>
    <row r="214" ht="15.75" customHeight="1">
      <c r="A214" s="454"/>
      <c r="B214" s="454"/>
      <c r="C214" s="454"/>
      <c r="D214" s="454"/>
      <c r="E214" s="454"/>
      <c r="F214" s="454"/>
      <c r="G214" s="454"/>
      <c r="H214" s="454"/>
      <c r="I214" s="454"/>
      <c r="J214" s="454"/>
      <c r="K214" s="454"/>
      <c r="L214" s="454"/>
      <c r="M214" s="454"/>
      <c r="N214" s="454"/>
      <c r="O214" s="454"/>
      <c r="P214" s="454"/>
      <c r="Q214" s="454"/>
      <c r="R214" s="454"/>
      <c r="S214" s="454"/>
      <c r="T214" s="454"/>
      <c r="U214" s="454"/>
      <c r="V214" s="454"/>
      <c r="W214" s="454"/>
      <c r="X214" s="454"/>
      <c r="Y214" s="454"/>
      <c r="Z214" s="454"/>
    </row>
    <row r="215" ht="15.75" customHeight="1">
      <c r="A215" s="454"/>
      <c r="B215" s="454"/>
      <c r="C215" s="454"/>
      <c r="D215" s="454"/>
      <c r="E215" s="454"/>
      <c r="F215" s="454"/>
      <c r="G215" s="454"/>
      <c r="H215" s="454"/>
      <c r="I215" s="454"/>
      <c r="J215" s="454"/>
      <c r="K215" s="454"/>
      <c r="L215" s="454"/>
      <c r="M215" s="454"/>
      <c r="N215" s="454"/>
      <c r="O215" s="454"/>
      <c r="P215" s="454"/>
      <c r="Q215" s="454"/>
      <c r="R215" s="454"/>
      <c r="S215" s="454"/>
      <c r="T215" s="454"/>
      <c r="U215" s="454"/>
      <c r="V215" s="454"/>
      <c r="W215" s="454"/>
      <c r="X215" s="454"/>
      <c r="Y215" s="454"/>
      <c r="Z215" s="454"/>
    </row>
    <row r="216" ht="15.75" customHeight="1">
      <c r="A216" s="454"/>
      <c r="B216" s="454"/>
      <c r="C216" s="454"/>
      <c r="D216" s="454"/>
      <c r="E216" s="454"/>
      <c r="F216" s="454"/>
      <c r="G216" s="454"/>
      <c r="H216" s="454"/>
      <c r="I216" s="454"/>
      <c r="J216" s="454"/>
      <c r="K216" s="454"/>
      <c r="L216" s="454"/>
      <c r="M216" s="454"/>
      <c r="N216" s="454"/>
      <c r="O216" s="454"/>
      <c r="P216" s="454"/>
      <c r="Q216" s="454"/>
      <c r="R216" s="454"/>
      <c r="S216" s="454"/>
      <c r="T216" s="454"/>
      <c r="U216" s="454"/>
      <c r="V216" s="454"/>
      <c r="W216" s="454"/>
      <c r="X216" s="454"/>
      <c r="Y216" s="454"/>
      <c r="Z216" s="454"/>
    </row>
    <row r="217" ht="15.75" customHeight="1">
      <c r="A217" s="454"/>
      <c r="B217" s="454"/>
      <c r="C217" s="454"/>
      <c r="D217" s="454"/>
      <c r="E217" s="454"/>
      <c r="F217" s="454"/>
      <c r="G217" s="454"/>
      <c r="H217" s="454"/>
      <c r="I217" s="454"/>
      <c r="J217" s="454"/>
      <c r="K217" s="454"/>
      <c r="L217" s="454"/>
      <c r="M217" s="454"/>
      <c r="N217" s="454"/>
      <c r="O217" s="454"/>
      <c r="P217" s="454"/>
      <c r="Q217" s="454"/>
      <c r="R217" s="454"/>
      <c r="S217" s="454"/>
      <c r="T217" s="454"/>
      <c r="U217" s="454"/>
      <c r="V217" s="454"/>
      <c r="W217" s="454"/>
      <c r="X217" s="454"/>
      <c r="Y217" s="454"/>
      <c r="Z217" s="454"/>
    </row>
    <row r="218" ht="15.75" customHeight="1">
      <c r="A218" s="454"/>
      <c r="B218" s="454"/>
      <c r="C218" s="454"/>
      <c r="D218" s="454"/>
      <c r="E218" s="454"/>
      <c r="F218" s="454"/>
      <c r="G218" s="454"/>
      <c r="H218" s="454"/>
      <c r="I218" s="454"/>
      <c r="J218" s="454"/>
      <c r="K218" s="454"/>
      <c r="L218" s="454"/>
      <c r="M218" s="454"/>
      <c r="N218" s="454"/>
      <c r="O218" s="454"/>
      <c r="P218" s="454"/>
      <c r="Q218" s="454"/>
      <c r="R218" s="454"/>
      <c r="S218" s="454"/>
      <c r="T218" s="454"/>
      <c r="U218" s="454"/>
      <c r="V218" s="454"/>
      <c r="W218" s="454"/>
      <c r="X218" s="454"/>
      <c r="Y218" s="454"/>
      <c r="Z218" s="454"/>
    </row>
    <row r="219" ht="15.75" customHeight="1">
      <c r="A219" s="454"/>
      <c r="B219" s="454"/>
      <c r="C219" s="454"/>
      <c r="D219" s="454"/>
      <c r="E219" s="454"/>
      <c r="F219" s="454"/>
      <c r="G219" s="454"/>
      <c r="H219" s="454"/>
      <c r="I219" s="454"/>
      <c r="J219" s="454"/>
      <c r="K219" s="454"/>
      <c r="L219" s="454"/>
      <c r="M219" s="454"/>
      <c r="N219" s="454"/>
      <c r="O219" s="454"/>
      <c r="P219" s="454"/>
      <c r="Q219" s="454"/>
      <c r="R219" s="454"/>
      <c r="S219" s="454"/>
      <c r="T219" s="454"/>
      <c r="U219" s="454"/>
      <c r="V219" s="454"/>
      <c r="W219" s="454"/>
      <c r="X219" s="454"/>
      <c r="Y219" s="454"/>
      <c r="Z219" s="454"/>
    </row>
    <row r="220" ht="15.75" customHeight="1">
      <c r="A220" s="454"/>
      <c r="B220" s="454"/>
      <c r="C220" s="454"/>
      <c r="D220" s="454"/>
      <c r="E220" s="454"/>
      <c r="F220" s="454"/>
      <c r="G220" s="454"/>
      <c r="H220" s="454"/>
      <c r="I220" s="454"/>
      <c r="J220" s="454"/>
      <c r="K220" s="454"/>
      <c r="L220" s="454"/>
      <c r="M220" s="454"/>
      <c r="N220" s="454"/>
      <c r="O220" s="454"/>
      <c r="P220" s="454"/>
      <c r="Q220" s="454"/>
      <c r="R220" s="454"/>
      <c r="S220" s="454"/>
      <c r="T220" s="454"/>
      <c r="U220" s="454"/>
      <c r="V220" s="454"/>
      <c r="W220" s="454"/>
      <c r="X220" s="454"/>
      <c r="Y220" s="454"/>
      <c r="Z220" s="454"/>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2024-10-01T20:42:53Z</dcterms:created>
  <dc:creator>FABIO HERNAN FORERO GARZON</dc:creator>
</cp:coreProperties>
</file>
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(Bolivar)'!$A$1:$BN$1039</definedName>
    <definedName hidden="1" localSheetId="1" name="_xlnm._FilterDatabase">'EN PROCESO (Alfa)'!$A$1:$R$1006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0BQYXwYNUbfu7xkEFPXjgSUfchFcbj8ha9IV6Zu4G8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2">
      <text>
        <t xml:space="preserve">======
ID#AAABrArsa-0
Implementacion Img    (2025-09-11 01:15:13)
Pruebas para el 25 de septiembre</t>
      </text>
    </comment>
  </commentList>
  <extLst>
    <ext uri="GoogleSheetsCustomDataVersion2">
      <go:sheetsCustomData xmlns:go="http://customooxmlschemas.google.com/" r:id="rId1" roundtripDataSignature="AMtx7mjvr1JguIByNIV5oti+QyBCtbQC+Q=="/>
    </ext>
  </extLst>
</comments>
</file>

<file path=xl/sharedStrings.xml><?xml version="1.0" encoding="utf-8"?>
<sst xmlns="http://schemas.openxmlformats.org/spreadsheetml/2006/main" count="5158" uniqueCount="2385">
  <si>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</si>
  <si>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</si>
  <si>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</si>
  <si>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</si>
  <si>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</si>
  <si>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</si>
  <si>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</si>
  <si>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</si>
  <si>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</si>
  <si>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</si>
  <si>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</si>
  <si>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</si>
  <si>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</si>
  <si>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</si>
  <si>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</si>
  <si>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</si>
  <si>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</si>
  <si>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</si>
  <si>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</si>
  <si>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</si>
  <si>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</si>
  <si>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</si>
  <si>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</si>
  <si>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</si>
  <si>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</si>
  <si>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</si>
  <si>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</si>
  <si>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</si>
  <si>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</si>
  <si>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</si>
  <si>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</si>
  <si>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</si>
  <si>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</si>
  <si>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</si>
  <si>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</si>
  <si>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</si>
  <si>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</si>
  <si>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</si>
  <si>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</si>
  <si>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</si>
  <si>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</si>
  <si>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</si>
  <si>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</si>
  <si>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</si>
  <si>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</si>
  <si>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</si>
  <si>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</si>
  <si>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</si>
  <si>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</si>
  <si>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</si>
  <si>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</si>
  <si>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</si>
  <si>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</si>
  <si>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</si>
  <si>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</si>
  <si>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</si>
  <si>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</si>
  <si>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</si>
  <si>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</si>
  <si>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</si>
  <si>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</si>
  <si>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</si>
  <si>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</si>
  <si>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</si>
  <si>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</si>
  <si>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</si>
  <si>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</si>
  <si>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</si>
  <si>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</si>
  <si>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</si>
  <si>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</si>
  <si>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</si>
  <si>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</si>
  <si>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</si>
  <si>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</si>
  <si>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</si>
  <si>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</si>
  <si>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</si>
  <si>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</si>
  <si>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</si>
  <si>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</si>
  <si>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</si>
  <si>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</si>
  <si>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</si>
  <si>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</si>
  <si>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</si>
  <si>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</si>
  <si>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CONTROL DE CAMBIOS PRODUCCION</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</si>
  <si>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 xml:space="preserve">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t>
    </r>
  </si>
  <si>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</si>
  <si>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</si>
  <si>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</si>
  <si>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</si>
  <si>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</si>
  <si>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</si>
  <si>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</si>
  <si>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</si>
  <si>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</si>
  <si>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</si>
  <si>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</si>
  <si>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</si>
  <si>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</si>
  <si>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</si>
  <si>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</si>
  <si>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</si>
  <si>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</si>
  <si>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</si>
  <si>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</si>
  <si>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</si>
  <si>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</si>
  <si>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</si>
  <si>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</si>
  <si>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</si>
  <si>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</si>
  <si>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</si>
  <si>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</si>
  <si>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</si>
  <si>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</si>
  <si>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</si>
  <si>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</si>
  <si>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</si>
  <si>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</si>
  <si>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</si>
  <si>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</si>
  <si>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</si>
  <si>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</si>
  <si>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</si>
  <si>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</si>
  <si>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</si>
  <si>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</si>
  <si>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</si>
  <si>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</si>
  <si>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</si>
  <si>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</si>
  <si>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</si>
  <si>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</si>
  <si>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</si>
  <si>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</si>
  <si>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</si>
  <si>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</si>
  <si>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</si>
  <si>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</si>
  <si>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</si>
  <si>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</si>
  <si>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</si>
  <si>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</si>
  <si>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</si>
  <si>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</si>
  <si>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</si>
  <si>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</si>
  <si>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</si>
  <si>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</si>
  <si>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</si>
  <si>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</si>
  <si>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</si>
  <si>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</si>
  <si>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</si>
  <si>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</si>
  <si>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</si>
  <si>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</si>
  <si>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</si>
  <si>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</si>
  <si>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</si>
  <si>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</si>
  <si>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</si>
  <si>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</si>
  <si>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</si>
  <si>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</si>
  <si>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</si>
  <si>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</si>
  <si>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</si>
  <si>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</si>
  <si>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</si>
  <si>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</si>
  <si>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</si>
  <si>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</si>
  <si>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</si>
  <si>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</si>
  <si>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</si>
  <si>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</si>
  <si>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</si>
  <si>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</si>
  <si>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</si>
  <si>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</si>
  <si>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</si>
  <si>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</si>
  <si>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</si>
  <si>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</si>
  <si>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</si>
  <si>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</si>
  <si>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</si>
  <si>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</si>
  <si>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</si>
  <si>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</si>
  <si>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</si>
  <si>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</si>
  <si>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</si>
  <si>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</si>
  <si>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</si>
  <si>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</si>
  <si>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</si>
  <si>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</si>
  <si>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</si>
  <si>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</si>
  <si>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</si>
  <si>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</si>
  <si>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</si>
  <si>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</si>
  <si>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</si>
  <si>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</si>
  <si>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</si>
  <si>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</si>
  <si>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</si>
  <si>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</si>
  <si>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</si>
  <si>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</si>
  <si>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</si>
  <si>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</si>
  <si>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</si>
  <si>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</si>
  <si>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</si>
  <si>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</si>
  <si>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</si>
  <si>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</si>
  <si>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</si>
  <si>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</si>
  <si>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</si>
  <si>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</si>
  <si>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</si>
  <si>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</si>
  <si>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</si>
  <si>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</si>
  <si>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</si>
  <si>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</si>
  <si>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</si>
  <si>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</si>
  <si>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</si>
  <si>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</si>
  <si>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</si>
  <si>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</si>
  <si>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</si>
  <si>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</si>
  <si>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</si>
  <si>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</si>
  <si>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</si>
  <si>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</si>
  <si>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</si>
  <si>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</si>
  <si>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</si>
  <si>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</si>
  <si>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</si>
  <si>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</si>
  <si>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</si>
  <si>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</si>
  <si>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</si>
  <si>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</si>
  <si>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</si>
  <si>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</si>
  <si>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</si>
  <si>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</si>
  <si>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</si>
  <si>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</si>
  <si>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</si>
  <si>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</si>
  <si>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</si>
  <si>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</si>
  <si>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</si>
  <si>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</si>
  <si>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</si>
  <si>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</si>
  <si>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</si>
  <si>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</si>
  <si>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</si>
  <si>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</si>
  <si>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</si>
  <si>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</si>
  <si>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</si>
  <si>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</si>
  <si>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</si>
  <si>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</si>
  <si>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</si>
  <si>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</si>
  <si>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</si>
  <si>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</si>
  <si>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</si>
  <si>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</si>
  <si>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</si>
  <si>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</si>
  <si>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</si>
  <si>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</si>
  <si>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</si>
  <si>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</si>
  <si>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</si>
  <si>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</si>
  <si>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</si>
  <si>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</si>
  <si>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</si>
  <si>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</si>
  <si>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</si>
  <si>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</si>
  <si>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</si>
  <si>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</si>
  <si>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</si>
  <si>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</si>
  <si>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</si>
  <si>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</si>
  <si>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</si>
  <si>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</si>
  <si>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</si>
  <si>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</si>
  <si>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</si>
  <si>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</si>
  <si>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</si>
  <si>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</si>
  <si>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</si>
  <si>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</si>
  <si>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</si>
  <si>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</si>
  <si>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</si>
  <si>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</si>
  <si>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</si>
  <si>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</si>
  <si>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</si>
  <si>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</si>
  <si>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</si>
  <si>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</si>
  <si>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</si>
  <si>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</si>
  <si>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</si>
  <si>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</si>
  <si>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</si>
  <si>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</si>
  <si>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</si>
  <si>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</si>
  <si>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</si>
  <si>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</si>
  <si>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</si>
  <si>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</si>
  <si>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</si>
  <si>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</si>
  <si>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</si>
  <si>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</si>
  <si>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</si>
  <si>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</si>
  <si>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</si>
  <si>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</si>
  <si>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</si>
  <si>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</si>
  <si>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</si>
  <si>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</si>
  <si>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</si>
  <si>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</si>
  <si>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</si>
  <si>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</si>
  <si>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</si>
  <si>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</si>
  <si>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</si>
  <si>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</si>
  <si>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</si>
  <si>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</si>
  <si>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</si>
  <si>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</si>
  <si>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</si>
  <si>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</si>
  <si>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</si>
  <si>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</si>
  <si>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</si>
  <si>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</si>
  <si>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</si>
  <si>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</si>
  <si>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</si>
  <si>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</si>
  <si>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</si>
  <si>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</si>
  <si>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</si>
  <si>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</si>
  <si>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</si>
  <si>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</si>
  <si>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</si>
  <si>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</si>
  <si>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</si>
  <si>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Automatización cuentas medicas con IA</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</si>
  <si>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</si>
  <si>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</si>
  <si>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</si>
  <si>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</si>
  <si>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</si>
  <si>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</si>
  <si>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</si>
  <si>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</si>
  <si>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</si>
  <si>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</si>
  <si>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</si>
  <si>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</si>
  <si>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</si>
  <si>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</si>
  <si>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</si>
  <si>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</si>
  <si>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</si>
  <si>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</si>
  <si>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</si>
  <si>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</si>
  <si>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</si>
  <si>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</si>
  <si>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</si>
  <si>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</si>
  <si>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</si>
  <si>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</si>
  <si>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</si>
  <si>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</si>
  <si>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</si>
  <si>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</si>
  <si>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</si>
  <si>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</si>
  <si>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</si>
  <si>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</si>
  <si>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</si>
  <si>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</si>
  <si>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</si>
  <si>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</si>
  <si>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</si>
  <si>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</si>
  <si>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</si>
  <si>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</si>
  <si>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</si>
  <si>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</si>
  <si>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</si>
  <si>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</si>
  <si>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</si>
  <si>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</si>
  <si>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</si>
  <si>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</si>
  <si>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</si>
  <si>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</si>
  <si>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</si>
  <si>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</si>
  <si>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</si>
  <si>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</si>
  <si>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</si>
  <si>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</si>
  <si>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</si>
  <si>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</si>
  <si>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</si>
  <si>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</si>
  <si>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</si>
  <si>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</si>
  <si>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</si>
  <si>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</si>
  <si>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</si>
  <si>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</si>
  <si>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</si>
  <si>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</si>
  <si>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</si>
  <si>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</si>
  <si>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</si>
  <si>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</si>
  <si>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</si>
  <si>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</si>
  <si>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</si>
  <si>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</si>
  <si>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</si>
  <si>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</si>
  <si>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</si>
  <si>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</si>
  <si>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</si>
  <si>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</si>
  <si>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</si>
  <si>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</si>
  <si>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</si>
  <si>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</si>
  <si>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</si>
  <si>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</si>
  <si>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</si>
  <si>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</si>
  <si>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</si>
  <si>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</si>
  <si>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</si>
  <si>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</si>
  <si>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</si>
  <si>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</si>
  <si>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</si>
  <si>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</si>
  <si>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</si>
  <si>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</si>
  <si>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</si>
  <si>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</si>
  <si>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</si>
  <si>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</si>
  <si>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</si>
  <si>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</si>
  <si>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</si>
  <si>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</si>
  <si>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</si>
  <si>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</si>
  <si>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</si>
  <si>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</si>
  <si>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</si>
  <si>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</si>
  <si>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</si>
  <si>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</si>
  <si>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</si>
  <si>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</si>
  <si>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</si>
  <si>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</si>
  <si>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</si>
  <si>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</si>
  <si>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</si>
  <si>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</si>
  <si>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</si>
  <si>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</si>
  <si>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</si>
  <si>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</si>
  <si>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</si>
  <si>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</si>
  <si>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</si>
  <si>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</si>
  <si>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</si>
  <si>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</si>
  <si>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</si>
  <si>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</si>
  <si>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</si>
  <si>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</si>
  <si>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</si>
  <si>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</si>
  <si>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</si>
  <si>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</si>
  <si>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</si>
  <si>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</si>
  <si>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</si>
  <si>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</si>
  <si>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</si>
  <si>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</si>
  <si>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</si>
  <si>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</si>
  <si>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</si>
  <si>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</si>
  <si>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</si>
  <si>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</si>
  <si>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</si>
  <si>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</si>
  <si>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</si>
  <si>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</si>
  <si>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</si>
  <si>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</si>
  <si>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</si>
  <si>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</si>
  <si>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</si>
  <si>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</si>
  <si>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</si>
  <si>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</si>
  <si>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</si>
  <si>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</si>
  <si>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</si>
  <si>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</si>
  <si>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</si>
  <si>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</si>
  <si>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</si>
  <si>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</si>
  <si>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</si>
  <si>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</si>
  <si>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</si>
  <si>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</si>
  <si>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</si>
  <si>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</si>
  <si>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</si>
  <si>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</si>
  <si>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</si>
  <si>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</si>
  <si>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</si>
  <si>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</si>
  <si>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</si>
  <si>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</si>
  <si>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</si>
  <si>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</si>
  <si>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</si>
  <si>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</si>
  <si>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</si>
  <si>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</si>
  <si>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</si>
  <si>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</si>
  <si>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INTERNO-JA021</t>
  </si>
  <si>
    <r>
      <rPr>
        <rFont val="Quattrocento Sans"/>
        <b/>
        <color theme="1"/>
        <sz val="11.0"/>
      </rPr>
      <t>Documento tecnico GD772-120</t>
    </r>
    <r>
      <rPr>
        <rFont val="Quattrocento Sans"/>
        <color theme="1"/>
        <sz val="11.0"/>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</si>
  <si>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</si>
  <si>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</si>
  <si>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</si>
  <si>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</si>
  <si>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</si>
  <si>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</si>
  <si>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</si>
  <si>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</si>
  <si>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</si>
  <si>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</si>
  <si>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</si>
  <si>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</si>
  <si>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</si>
  <si>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</si>
  <si>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</si>
  <si>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</si>
  <si>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</si>
  <si>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</si>
  <si>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</si>
  <si>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</si>
  <si>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</si>
  <si>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</si>
  <si>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</si>
  <si>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</si>
  <si>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</si>
  <si>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</si>
  <si>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</si>
  <si>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</si>
  <si>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</si>
  <si>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</si>
  <si>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</si>
  <si>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</si>
  <si>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</si>
  <si>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</si>
  <si>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</si>
  <si>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</si>
  <si>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</si>
  <si>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</si>
  <si>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</si>
  <si>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</si>
  <si>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</si>
  <si>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</si>
  <si>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</si>
  <si>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</si>
  <si>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</si>
  <si>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</si>
  <si>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</si>
  <si>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</si>
  <si>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</si>
  <si>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</si>
  <si>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</si>
  <si>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</si>
  <si>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</si>
  <si>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</si>
  <si>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</si>
  <si>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</si>
  <si>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</si>
  <si>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</si>
  <si>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</si>
  <si>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</si>
  <si>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</si>
  <si>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</si>
  <si>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</si>
  <si>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</si>
  <si>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</si>
  <si>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</si>
  <si>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</si>
  <si>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</si>
  <si>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</si>
  <si>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</si>
  <si>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</si>
  <si>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</si>
  <si>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</si>
  <si>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</si>
  <si>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</si>
  <si>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</si>
  <si>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</si>
  <si>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</si>
  <si>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</si>
  <si>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</si>
  <si>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</si>
  <si>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</si>
  <si>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</si>
  <si>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</si>
  <si>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</si>
  <si>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</si>
  <si>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</si>
  <si>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</si>
  <si>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</si>
  <si>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</si>
  <si>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rFont val="Quattrocento Sans"/>
        <b/>
        <color theme="1"/>
        <sz val="11.0"/>
      </rPr>
      <t>Documento tecnico GD772-123</t>
    </r>
    <r>
      <rPr>
        <rFont val="Quattrocento Sans"/>
        <color theme="1"/>
        <sz val="11.0"/>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</si>
  <si>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</si>
  <si>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</si>
  <si>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</si>
  <si>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</si>
  <si>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</si>
  <si>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</si>
  <si>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</si>
  <si>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</si>
  <si>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</si>
  <si>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paso a produccion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</si>
  <si>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</si>
  <si>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</si>
  <si>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</si>
  <si>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</si>
  <si>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</si>
  <si>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</si>
  <si>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</si>
  <si>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</si>
  <si>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</si>
  <si>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</si>
  <si>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</si>
  <si>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</si>
  <si>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</si>
  <si>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</si>
  <si>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</si>
  <si>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</si>
  <si>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</si>
  <si>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</si>
  <si>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</si>
  <si>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</si>
  <si>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</si>
  <si>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</si>
  <si>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</si>
  <si>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GD772-161_1</t>
  </si>
  <si>
    <t>Elaboracion de HU Automatización actas de prevención Formato AT- 031 Agr</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</si>
  <si>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</si>
  <si>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</si>
  <si>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</si>
  <si>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</si>
  <si>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</si>
  <si>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</si>
  <si>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</si>
  <si>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</si>
  <si>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</si>
  <si>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</si>
  <si>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</si>
  <si>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</si>
  <si>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</si>
  <si>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</si>
  <si>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</si>
  <si>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</si>
  <si>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</si>
  <si>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</si>
  <si>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</si>
  <si>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</si>
  <si>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</si>
  <si>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</si>
  <si>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</si>
  <si>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</si>
  <si>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</si>
  <si>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</si>
  <si>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</si>
  <si>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</si>
  <si>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</si>
  <si>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</si>
  <si>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</si>
  <si>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</si>
  <si>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</si>
  <si>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</si>
  <si>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</si>
  <si>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</si>
  <si>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</si>
  <si>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</si>
  <si>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</si>
  <si>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</si>
  <si>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</si>
  <si>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</si>
  <si>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</si>
  <si>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</si>
  <si>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</si>
  <si>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</si>
  <si>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</si>
  <si>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</si>
  <si>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</si>
  <si>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</si>
  <si>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</si>
  <si>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</si>
  <si>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</si>
  <si>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</si>
  <si>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</si>
  <si>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</si>
  <si>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</si>
  <si>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</si>
  <si>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</si>
  <si>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</si>
  <si>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</si>
  <si>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</si>
  <si>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</si>
  <si>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</si>
  <si>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</si>
  <si>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</si>
  <si>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</si>
  <si>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</si>
  <si>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</si>
  <si>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</si>
  <si>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</si>
  <si>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</si>
  <si>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</si>
  <si>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</si>
  <si>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</si>
  <si>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</si>
  <si>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</si>
  <si>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</si>
  <si>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</si>
  <si>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</si>
  <si>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</si>
  <si>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</si>
  <si>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</si>
  <si>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</si>
  <si>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</si>
  <si>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</si>
  <si>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</si>
  <si>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</si>
  <si>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</si>
  <si>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</si>
  <si>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</si>
  <si>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rFont val="Quattrocento Sans"/>
        <b/>
        <color theme="1"/>
        <sz val="11.0"/>
      </rPr>
      <t>Documento tecnico GD852-72</t>
    </r>
    <r>
      <rPr>
        <rFont val="Quattrocento Sans"/>
        <color theme="1"/>
        <sz val="11.0"/>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</si>
  <si>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</si>
  <si>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</si>
  <si>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</si>
  <si>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</si>
  <si>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</si>
  <si>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</si>
  <si>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</si>
  <si>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</si>
  <si>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</si>
  <si>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</si>
  <si>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</si>
  <si>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</si>
  <si>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</si>
  <si>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</si>
  <si>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</si>
  <si>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</si>
  <si>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</si>
  <si>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</si>
  <si>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</si>
  <si>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</si>
  <si>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</si>
  <si>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</si>
  <si>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</si>
  <si>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</si>
  <si>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</si>
  <si>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</si>
  <si>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</si>
  <si>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</si>
  <si>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</si>
  <si>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</si>
  <si>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</si>
  <si>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</si>
  <si>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</si>
  <si>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</si>
  <si>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</si>
  <si>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PRUEBAS IMAGINE</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</si>
  <si>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</si>
  <si>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</si>
  <si>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</si>
  <si>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</si>
  <si>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</si>
  <si>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</si>
  <si>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</si>
  <si>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</si>
  <si>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</si>
  <si>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</si>
  <si>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</si>
  <si>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</si>
  <si>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</si>
  <si>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</si>
  <si>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</si>
  <si>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</si>
  <si>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</si>
  <si>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</si>
  <si>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</si>
  <si>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</si>
  <si>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</si>
  <si>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</si>
  <si>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</si>
  <si>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</si>
  <si>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</si>
  <si>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</si>
  <si>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</si>
  <si>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</si>
  <si>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POR ASIGNAR</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</si>
  <si>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</si>
  <si>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</si>
  <si>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</si>
  <si>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ESTIMAR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</si>
  <si>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</si>
  <si>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</si>
  <si>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</si>
  <si>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</si>
  <si>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</si>
  <si>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</si>
  <si>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</si>
  <si>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</si>
  <si>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</si>
  <si>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</si>
  <si>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</si>
  <si>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</si>
  <si>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</si>
  <si>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</si>
  <si>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</si>
  <si>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</si>
  <si>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</si>
  <si>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</si>
  <si>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</si>
  <si>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</si>
  <si>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</si>
  <si>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</si>
  <si>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</si>
  <si>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</si>
  <si>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</si>
  <si>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</si>
  <si>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</si>
  <si>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</si>
  <si>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</si>
  <si>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</si>
  <si>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</si>
  <si>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</si>
  <si>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</si>
  <si>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</si>
  <si>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</si>
  <si>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</si>
  <si>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</si>
  <si>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</si>
  <si>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</si>
  <si>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</si>
  <si>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</si>
  <si>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</si>
  <si>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</si>
  <si>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</si>
  <si>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</si>
  <si>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</si>
  <si>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</si>
  <si>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</si>
  <si>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</si>
  <si>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</si>
  <si>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</si>
  <si>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</si>
  <si>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</si>
  <si>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</si>
  <si>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</si>
  <si>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</si>
  <si>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</si>
  <si>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</si>
  <si>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</si>
  <si>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</si>
  <si>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</si>
  <si>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</si>
  <si>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</si>
  <si>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</si>
  <si>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</si>
  <si>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</si>
  <si>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 xml:space="preserve">10/09/2025: Revisión preliminar realizada.
22/10/2025: Se solicita control de cambios en test MDSB-915793
28/10/2025: Control de cambios ejecutado con éxito </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</si>
  <si>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</si>
  <si>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</si>
  <si>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</si>
  <si>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</si>
  <si>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</si>
  <si>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</si>
  <si>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</si>
  <si>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</si>
  <si>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</si>
  <si>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</si>
  <si>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</si>
  <si>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</si>
  <si>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</si>
  <si>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</si>
  <si>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</si>
  <si>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</si>
  <si>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</si>
  <si>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</si>
  <si>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</si>
  <si>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</si>
  <si>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</si>
  <si>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</si>
  <si>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</si>
  <si>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</si>
  <si>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</si>
  <si>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</si>
  <si>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</si>
  <si>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</si>
  <si>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</si>
  <si>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</si>
  <si>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r>
      <rPr>
        <rFont val="Quattrocento Sans"/>
        <b/>
        <color theme="1"/>
        <sz val="11.0"/>
      </rPr>
      <t>Dumentación tecnica</t>
    </r>
    <r>
      <rPr>
        <rFont val="Quattrocento Sans"/>
        <color theme="1"/>
        <sz val="11.0"/>
      </rPr>
      <t>_GD772-144 Marcación de casos especiales fecha de cirugía (Salud)</t>
    </r>
  </si>
  <si>
    <t>09/10/2025: Dcumentación de la marcación entregada.</t>
  </si>
  <si>
    <t>GD772-144_1</t>
  </si>
  <si>
    <t>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</si>
  <si>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</si>
  <si>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</si>
  <si>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</si>
  <si>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</si>
  <si>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</si>
  <si>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</si>
  <si>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</si>
  <si>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</si>
  <si>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</si>
  <si>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</si>
  <si>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</si>
  <si>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</si>
  <si>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CONTROL CAMBIOS TEST</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</si>
  <si>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</si>
  <si>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</si>
  <si>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</si>
  <si>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</si>
  <si>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</si>
  <si>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</si>
  <si>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 xml:space="preserve">EXPORTAR  RIPS PRESTADORES
</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</si>
  <si>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</si>
  <si>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</si>
  <si>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</si>
  <si>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</si>
  <si>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</si>
  <si>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</si>
  <si>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</si>
  <si>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</si>
  <si>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</si>
  <si>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</si>
  <si>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</si>
  <si>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</si>
  <si>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</si>
  <si>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</si>
  <si>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</si>
  <si>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</si>
  <si>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</si>
  <si>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</si>
  <si>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</si>
  <si>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</si>
  <si>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</si>
  <si>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</si>
  <si>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</si>
  <si>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</si>
  <si>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</si>
  <si>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</si>
  <si>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</si>
  <si>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29/10/2025: requiere ajuste en la lógica de actualización de estados, con plazo estimado de entrega para viernes 31 de octubre.</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</si>
  <si>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</si>
  <si>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</si>
  <si>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</si>
  <si>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</si>
  <si>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</si>
  <si>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</si>
  <si>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</si>
  <si>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</si>
  <si>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</si>
  <si>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</si>
  <si>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</si>
  <si>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</si>
  <si>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</si>
  <si>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</si>
  <si>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</si>
  <si>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</si>
  <si>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</si>
  <si>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</si>
  <si>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</si>
  <si>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</si>
  <si>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</si>
  <si>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</si>
  <si>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</si>
  <si>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</si>
  <si>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</si>
  <si>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</si>
  <si>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</si>
  <si>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</si>
  <si>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</si>
  <si>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</si>
  <si>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</si>
  <si>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</si>
  <si>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</si>
  <si>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</si>
  <si>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</si>
  <si>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</si>
  <si>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</si>
  <si>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</si>
  <si>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</si>
  <si>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</si>
  <si>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</si>
  <si>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</si>
  <si>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</si>
  <si>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</si>
  <si>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</si>
  <si>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</si>
  <si>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</si>
  <si>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</si>
  <si>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</si>
  <si>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</si>
  <si>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</si>
  <si>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</si>
  <si>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</si>
  <si>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</si>
  <si>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</si>
  <si>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</si>
  <si>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</si>
  <si>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</si>
  <si>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</si>
  <si>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</si>
  <si>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</si>
  <si>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</si>
  <si>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</si>
  <si>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</si>
  <si>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</si>
  <si>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</si>
  <si>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</si>
  <si>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</si>
  <si>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</si>
  <si>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</si>
  <si>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</si>
  <si>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</si>
  <si>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</si>
  <si>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</si>
  <si>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</si>
  <si>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</si>
  <si>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</si>
  <si>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</si>
  <si>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</si>
  <si>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</si>
  <si>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</si>
  <si>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</si>
  <si>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</si>
  <si>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</si>
  <si>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</si>
  <si>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</si>
  <si>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</si>
  <si>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t>
  </si>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</sst>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sz val="11.0"/>
      <color theme="1"/>
      <name val="Quattrocento Sans"/>
    </font>
    <font>
      <u/>
      <sz val="10.0"/>
      <color theme="1"/>
      <name val="Quattrocento Sans"/>
    </font>
    <font>
      <color theme="1"/>
      <name val="Quattrocento Sans"/>
      <scheme val="minor"/>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b/>
      <u/>
      <sz val="11.0"/>
      <color theme="1"/>
      <name val="Quattrocento Sans"/>
    </font>
    <font>
      <u/>
      <sz val="11.0"/>
      <color theme="1"/>
      <name val="Quattrocento Sans"/>
    </font>
    <font>
      <u/>
      <sz val="11.0"/>
      <color theme="1"/>
      <name val="Quattrocento Sans"/>
    </font>
    <font>
      <b/>
      <sz val="11.0"/>
      <color theme="1"/>
      <name val="Quattrocento Sans"/>
    </font>
    <font>
      <sz val="11.0"/>
      <color rgb="FF000000"/>
      <name val="&quot;Quattrocento Sans&quot;"/>
    </font>
    <font>
      <b/>
      <sz val="9.0"/>
      <color theme="1"/>
      <name val="Quattrocento Sans"/>
    </font>
    <font>
      <b/>
      <sz val="13.0"/>
      <color theme="1"/>
      <name val="Quattrocento Sans"/>
    </font>
    <font>
      <sz val="11.0"/>
      <color rgb="FFFF0000"/>
      <name val="Quattrocento Sans"/>
    </font>
    <font>
      <sz val="11.0"/>
      <color rgb="FF434343"/>
      <name val="Roboto"/>
    </font>
    <font>
      <b/>
      <sz val="11.0"/>
      <color theme="1"/>
      <name val="Quattrocento Sans"/>
      <scheme val="minor"/>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7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14" xfId="0" applyAlignment="1" applyBorder="1" applyFont="1" applyNumberFormat="1">
      <alignment horizontal="left"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6"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6" numFmtId="0" xfId="0" applyAlignment="1" applyBorder="1" applyFont="1">
      <alignment horizontal="left" shrinkToFit="0" vertical="center" wrapText="1"/>
    </xf>
    <xf borderId="1" fillId="3" fontId="15" numFmtId="0" xfId="0" applyAlignment="1" applyBorder="1" applyFont="1">
      <alignment shrinkToFit="0" vertical="center" wrapText="1"/>
    </xf>
    <xf borderId="1" fillId="3" fontId="27"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8" numFmtId="0" xfId="0" applyAlignment="1" applyBorder="1" applyFont="1">
      <alignment shrinkToFit="0" vertical="center" wrapText="0"/>
    </xf>
    <xf borderId="1" fillId="0" fontId="28" numFmtId="0" xfId="0" applyAlignment="1" applyBorder="1" applyFont="1">
      <alignment shrinkToFit="0" vertical="center" wrapText="0"/>
    </xf>
    <xf borderId="1" fillId="0" fontId="28" numFmtId="0" xfId="0" applyAlignment="1" applyBorder="1" applyFont="1">
      <alignment readingOrder="0" shrinkToFit="0" vertical="center" wrapText="0"/>
    </xf>
    <xf borderId="0" fillId="0" fontId="28" numFmtId="0" xfId="0" applyAlignment="1" applyFont="1">
      <alignment shrinkToFit="0" vertical="center" wrapText="0"/>
    </xf>
    <xf borderId="0" fillId="0" fontId="28"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35"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0" fontId="36" numFmtId="0" xfId="0" applyAlignment="1" applyBorder="1" applyFont="1">
      <alignment horizontal="left" readingOrder="0" shrinkToFit="0" vertical="center" wrapText="0"/>
    </xf>
    <xf borderId="1" fillId="0" fontId="37" numFmtId="0" xfId="0" applyAlignment="1" applyBorder="1" applyFont="1">
      <alignment horizontal="left" readingOrder="0" shrinkToFit="0" vertical="center" wrapText="1"/>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0" xfId="0" applyAlignment="1" applyBorder="1" applyFont="1">
      <alignment horizontal="left" readingOrder="0" shrinkToFit="0" vertical="center" wrapText="0"/>
    </xf>
    <xf borderId="0" fillId="0" fontId="28" numFmtId="0" xfId="0" applyAlignment="1" applyFont="1">
      <alignment readingOrder="0" shrinkToFit="0" vertical="center" wrapText="0"/>
    </xf>
    <xf borderId="1" fillId="3" fontId="39"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40" numFmtId="0" xfId="0" applyAlignment="1" applyBorder="1" applyFont="1">
      <alignment horizontal="center" readingOrder="0" shrinkToFit="0" vertical="center" wrapText="0"/>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6" numFmtId="0" xfId="0" applyAlignment="1" applyBorder="1" applyFont="1">
      <alignment horizontal="left" readingOrder="0" shrinkToFit="0" vertical="center" wrapText="1"/>
    </xf>
    <xf borderId="1" fillId="3" fontId="39" numFmtId="0" xfId="0" applyAlignment="1" applyBorder="1" applyFont="1">
      <alignment horizontal="left" readingOrder="0" shrinkToFit="0" vertical="center" wrapText="0"/>
    </xf>
    <xf borderId="1" fillId="3" fontId="26"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41"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38" numFmtId="0" xfId="0" applyAlignment="1" applyBorder="1" applyFont="1">
      <alignment horizontal="left" readingOrder="0" shrinkToFit="0" vertical="center" wrapText="1"/>
    </xf>
    <xf borderId="1" fillId="3" fontId="7" numFmtId="167" xfId="0" applyAlignment="1" applyBorder="1" applyFont="1" applyNumberFormat="1">
      <alignment horizontal="center" readingOrder="0" shrinkToFit="0" vertical="center" wrapText="0"/>
    </xf>
    <xf borderId="0" fillId="3" fontId="26"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41" numFmtId="0" xfId="0" applyAlignment="1" applyBorder="1" applyFont="1">
      <alignment horizontal="center" readingOrder="0" shrinkToFit="0" vertical="center" wrapText="0"/>
    </xf>
    <xf borderId="1" fillId="0" fontId="28" numFmtId="165" xfId="0" applyAlignment="1" applyBorder="1" applyFont="1" applyNumberFormat="1">
      <alignment readingOrder="0" shrinkToFit="0" vertical="center" wrapText="0"/>
    </xf>
    <xf borderId="1" fillId="3" fontId="40" numFmtId="164" xfId="0" applyAlignment="1" applyBorder="1" applyFont="1" applyNumberFormat="1">
      <alignment horizontal="center" readingOrder="0" shrinkToFit="0" vertical="center" wrapText="0"/>
    </xf>
    <xf borderId="1" fillId="3" fontId="42" numFmtId="0" xfId="0" applyAlignment="1" applyBorder="1" applyFont="1">
      <alignment horizontal="left" readingOrder="0" shrinkToFit="0" vertical="center" wrapText="1"/>
    </xf>
    <xf borderId="0" fillId="0" fontId="28" numFmtId="165" xfId="0" applyAlignment="1" applyFont="1" applyNumberFormat="1">
      <alignment readingOrder="0" shrinkToFit="0" vertical="center" wrapText="0"/>
    </xf>
    <xf borderId="1" fillId="3" fontId="43" numFmtId="0" xfId="0" applyAlignment="1" applyBorder="1" applyFont="1">
      <alignment readingOrder="0" shrinkToFit="0" vertical="center" wrapText="0"/>
    </xf>
    <xf borderId="1" fillId="3" fontId="26" numFmtId="0" xfId="0" applyAlignment="1" applyBorder="1" applyFont="1">
      <alignment readingOrder="0" shrinkToFit="0" vertical="center" wrapText="1"/>
    </xf>
    <xf borderId="0" fillId="0" fontId="28"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8" numFmtId="166" xfId="0" applyAlignment="1" applyFont="1" applyNumberFormat="1">
      <alignment readingOrder="0" shrinkToFit="0" vertical="center" wrapText="0"/>
    </xf>
    <xf borderId="1" fillId="3" fontId="40" numFmtId="0" xfId="0" applyAlignment="1" applyBorder="1" applyFont="1">
      <alignment horizontal="center" readingOrder="0" shrinkToFit="0" vertical="center" wrapText="0"/>
    </xf>
    <xf borderId="1" fillId="3" fontId="41" numFmtId="14" xfId="0" applyAlignment="1" applyBorder="1" applyFont="1" applyNumberFormat="1">
      <alignment horizontal="center" shrinkToFit="0" vertical="center" wrapText="0"/>
    </xf>
    <xf borderId="1" fillId="0" fontId="11" numFmtId="0" xfId="0" applyAlignment="1" applyBorder="1" applyFont="1">
      <alignment readingOrder="0" shrinkToFit="0" vertical="center" wrapText="0"/>
    </xf>
    <xf borderId="1" fillId="0" fontId="11" numFmtId="0" xfId="0" applyAlignment="1" applyBorder="1" applyFont="1">
      <alignment readingOrder="0" shrinkToFit="0" vertical="center" wrapText="1"/>
    </xf>
    <xf borderId="1" fillId="3" fontId="7" numFmtId="0" xfId="0" applyAlignment="1" applyBorder="1" applyFont="1">
      <alignment horizontal="center" readingOrder="0" shrinkToFit="0" vertical="center" wrapText="0"/>
    </xf>
    <xf borderId="1" fillId="0" fontId="44" numFmtId="0" xfId="0" applyAlignment="1" applyBorder="1" applyFont="1">
      <alignment readingOrder="0" shrinkToFit="0" vertical="center" wrapText="1"/>
    </xf>
    <xf borderId="0" fillId="0" fontId="28" numFmtId="164" xfId="0" applyAlignment="1" applyFont="1" applyNumberFormat="1">
      <alignment shrinkToFit="0" vertical="center" wrapText="0"/>
    </xf>
    <xf borderId="0" fillId="0" fontId="28" numFmtId="166" xfId="0" applyAlignment="1" applyFont="1" applyNumberFormat="1">
      <alignment shrinkToFit="0" vertical="center" wrapText="0"/>
    </xf>
    <xf borderId="0" fillId="4" fontId="45" numFmtId="0" xfId="0" applyAlignment="1" applyFont="1">
      <alignment readingOrder="0" shrinkToFit="0" vertical="center" wrapText="0"/>
    </xf>
    <xf borderId="0" fillId="0" fontId="46" numFmtId="0" xfId="0" applyAlignment="1" applyFont="1">
      <alignment readingOrder="0" shrinkToFit="0" vertical="center" wrapText="0"/>
    </xf>
    <xf borderId="1" fillId="0" fontId="45" numFmtId="0" xfId="0" applyAlignment="1" applyBorder="1" applyFont="1">
      <alignment readingOrder="0" shrinkToFit="0" vertical="center" wrapText="0"/>
    </xf>
    <xf borderId="1" fillId="4" fontId="26" numFmtId="0" xfId="0" applyAlignment="1" applyBorder="1" applyFont="1">
      <alignment horizontal="left" readingOrder="0" shrinkToFit="0" vertical="center" wrapText="0"/>
    </xf>
    <xf borderId="0" fillId="3" fontId="40"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5" numFmtId="0" xfId="0" applyAlignment="1" applyFill="1" applyFont="1">
      <alignment shrinkToFit="0" vertical="center" wrapText="0"/>
    </xf>
    <xf borderId="0" fillId="6" fontId="45" numFmtId="0" xfId="0" applyAlignment="1" applyFont="1">
      <alignment readingOrder="0" shrinkToFit="0" vertical="center" wrapText="0"/>
    </xf>
    <xf borderId="0" fillId="7" fontId="47" numFmtId="49" xfId="0" applyAlignment="1" applyFill="1" applyFont="1" applyNumberFormat="1">
      <alignment horizontal="center" readingOrder="0" shrinkToFit="0" vertical="center" wrapText="1"/>
    </xf>
    <xf borderId="3" fillId="8" fontId="48"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9" numFmtId="0" xfId="0" applyAlignment="1" applyBorder="1" applyFont="1">
      <alignment horizontal="center" readingOrder="0" shrinkToFit="0" vertical="center" wrapText="1"/>
    </xf>
    <xf borderId="1" fillId="3" fontId="50" numFmtId="0" xfId="0" applyAlignment="1" applyBorder="1" applyFont="1">
      <alignment readingOrder="0" shrinkToFit="0" vertical="center" wrapText="1"/>
    </xf>
    <xf borderId="1" fillId="3" fontId="51"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8"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2" numFmtId="49" xfId="0" applyAlignment="1" applyBorder="1" applyFont="1" applyNumberFormat="1">
      <alignment readingOrder="0" shrinkToFit="0" vertical="center" wrapText="1"/>
    </xf>
    <xf borderId="1" fillId="0" fontId="28" numFmtId="164" xfId="0" applyAlignment="1" applyBorder="1" applyFont="1" applyNumberFormat="1">
      <alignment readingOrder="0" shrinkToFit="0" vertical="center" wrapText="0"/>
    </xf>
    <xf borderId="1" fillId="3" fontId="53" numFmtId="0" xfId="0" applyAlignment="1" applyBorder="1" applyFont="1">
      <alignment readingOrder="0" shrinkToFit="0" vertical="center" wrapText="1"/>
    </xf>
    <xf borderId="1" fillId="3" fontId="54" numFmtId="0" xfId="0" applyAlignment="1" applyBorder="1" applyFont="1">
      <alignment horizontal="center" readingOrder="0" shrinkToFit="0" vertical="center" wrapText="0"/>
    </xf>
    <xf borderId="1" fillId="0" fontId="5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6" numFmtId="0" xfId="0" applyAlignment="1" applyBorder="1" applyFont="1">
      <alignment horizontal="center" readingOrder="0" shrinkToFit="0" vertical="center" wrapText="0"/>
    </xf>
    <xf borderId="1" fillId="0" fontId="57" numFmtId="0" xfId="0" applyAlignment="1" applyBorder="1" applyFont="1">
      <alignment horizontal="left" readingOrder="0" shrinkToFit="0" textRotation="0" vertical="center" wrapText="0"/>
    </xf>
    <xf borderId="1" fillId="3" fontId="5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readingOrder="0" shrinkToFit="0" vertical="center" wrapText="0"/>
    </xf>
    <xf borderId="1" fillId="0" fontId="26"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3" fontId="60"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2" numFmtId="0" xfId="0" applyAlignment="1" applyBorder="1" applyFont="1">
      <alignment horizontal="center" readingOrder="0" shrinkToFit="0" vertical="center" wrapText="1"/>
    </xf>
    <xf borderId="1" fillId="3" fontId="63" numFmtId="0" xfId="0" applyAlignment="1" applyBorder="1" applyFont="1">
      <alignment horizontal="center" shrinkToFit="0" vertical="center" wrapText="1"/>
    </xf>
    <xf borderId="1" fillId="3" fontId="64" numFmtId="0" xfId="0" applyAlignment="1" applyBorder="1" applyFont="1">
      <alignment readingOrder="0" shrinkToFit="0" vertical="center" wrapText="0"/>
    </xf>
    <xf borderId="2" fillId="0" fontId="65" numFmtId="0" xfId="0" applyAlignment="1" applyBorder="1" applyFont="1">
      <alignment horizontal="left" readingOrder="0" shrinkToFit="0" vertical="top" wrapText="1"/>
    </xf>
    <xf borderId="2" fillId="3" fontId="66" numFmtId="0" xfId="0" applyAlignment="1" applyBorder="1" applyFont="1">
      <alignment readingOrder="0" shrinkToFit="0" vertical="center" wrapText="0"/>
    </xf>
    <xf borderId="2"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1" numFmtId="0" xfId="0" applyAlignment="1" applyBorder="1" applyFont="1">
      <alignment horizontal="center" shrinkToFit="0" vertical="center" wrapText="1"/>
    </xf>
    <xf borderId="1" fillId="3" fontId="72" numFmtId="0" xfId="0" applyAlignment="1" applyBorder="1" applyFont="1">
      <alignment horizontal="center" readingOrder="0" shrinkToFit="0" vertical="center" wrapText="1"/>
    </xf>
    <xf borderId="1" fillId="9" fontId="73" numFmtId="0" xfId="0" applyAlignment="1" applyBorder="1" applyFill="1" applyFont="1">
      <alignment readingOrder="0" shrinkToFit="0" vertical="center" wrapText="0"/>
    </xf>
    <xf borderId="1" fillId="3" fontId="74" numFmtId="0" xfId="0" applyAlignment="1" applyBorder="1" applyFont="1">
      <alignment readingOrder="0" shrinkToFit="0" vertical="center" wrapText="0"/>
    </xf>
    <xf borderId="1" fillId="9" fontId="75" numFmtId="0" xfId="0" applyAlignment="1" applyBorder="1" applyFont="1">
      <alignment horizontal="center" shrinkToFit="0" vertical="center" wrapText="1"/>
    </xf>
    <xf borderId="1" fillId="3" fontId="76" numFmtId="0" xfId="0" applyAlignment="1" applyBorder="1" applyFont="1">
      <alignment readingOrder="0" shrinkToFit="0" vertical="center" wrapText="0"/>
    </xf>
    <xf borderId="1" fillId="3" fontId="77" numFmtId="0" xfId="0" applyAlignment="1" applyBorder="1" applyFont="1">
      <alignment horizontal="center" readingOrder="0" shrinkToFit="0" vertical="center" wrapText="0"/>
    </xf>
    <xf borderId="1" fillId="3" fontId="74" numFmtId="0" xfId="0" applyAlignment="1" applyBorder="1" applyFont="1">
      <alignment shrinkToFit="0" vertical="center" wrapText="0"/>
    </xf>
    <xf borderId="1" fillId="3" fontId="77" numFmtId="164"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readingOrder="0" shrinkToFit="0" vertical="center" wrapText="0"/>
    </xf>
    <xf borderId="1" fillId="3" fontId="77" numFmtId="1" xfId="0" applyAlignment="1" applyBorder="1" applyFont="1" applyNumberFormat="1">
      <alignment horizontal="center" shrinkToFit="0" vertical="center" wrapText="0"/>
    </xf>
    <xf borderId="1" fillId="3" fontId="74" numFmtId="164" xfId="0" applyAlignment="1" applyBorder="1" applyFont="1" applyNumberFormat="1">
      <alignment shrinkToFit="0" vertical="center" wrapText="0"/>
    </xf>
    <xf borderId="1" fillId="3" fontId="74" numFmtId="166" xfId="0" applyAlignment="1" applyBorder="1" applyFont="1" applyNumberFormat="1">
      <alignment shrinkToFit="0" vertical="center" wrapText="0"/>
    </xf>
    <xf borderId="1" fillId="9" fontId="77" numFmtId="0" xfId="0" applyAlignment="1" applyBorder="1" applyFont="1">
      <alignment readingOrder="0" shrinkToFit="0" vertical="top" wrapText="0"/>
    </xf>
    <xf borderId="1" fillId="9" fontId="78" numFmtId="49" xfId="0" applyAlignment="1" applyBorder="1" applyFont="1" applyNumberFormat="1">
      <alignment shrinkToFit="0" vertical="center" wrapText="1"/>
    </xf>
    <xf borderId="1" fillId="9" fontId="74" numFmtId="0" xfId="0" applyAlignment="1" applyBorder="1" applyFont="1">
      <alignment shrinkToFit="0" vertical="top" wrapText="0"/>
    </xf>
    <xf borderId="1" fillId="3" fontId="79" numFmtId="0" xfId="0" applyAlignment="1" applyBorder="1" applyFont="1">
      <alignment readingOrder="0" shrinkToFit="0" vertical="center" wrapText="0"/>
    </xf>
    <xf borderId="1" fillId="9" fontId="80" numFmtId="165"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shrinkToFit="0" vertical="center" wrapText="0"/>
    </xf>
    <xf borderId="1" fillId="9" fontId="80" numFmtId="0" xfId="0" applyAlignment="1" applyBorder="1" applyFont="1">
      <alignment readingOrder="0" shrinkToFit="0" vertical="top" wrapText="0"/>
    </xf>
    <xf borderId="1" fillId="3" fontId="81" numFmtId="0" xfId="0" applyAlignment="1" applyBorder="1" applyFont="1">
      <alignment shrinkToFit="0" vertical="center" wrapText="0"/>
    </xf>
    <xf borderId="1" fillId="9" fontId="82" numFmtId="0" xfId="0" applyAlignment="1" applyBorder="1" applyFont="1">
      <alignment horizontal="center" readingOrder="0" shrinkToFit="0" vertical="center" wrapText="1"/>
    </xf>
    <xf borderId="1" fillId="3" fontId="83" numFmtId="0" xfId="0" applyAlignment="1" applyBorder="1" applyFont="1">
      <alignment shrinkToFit="0" vertical="center" wrapText="0"/>
    </xf>
    <xf borderId="1" fillId="3" fontId="74" numFmtId="0" xfId="0" applyAlignment="1" applyBorder="1" applyFont="1">
      <alignment shrinkToFit="0" vertical="center" wrapText="0"/>
    </xf>
    <xf borderId="1" fillId="9" fontId="84" numFmtId="0" xfId="0" applyAlignment="1" applyBorder="1" applyFont="1">
      <alignment horizontal="center" shrinkToFit="0" vertical="center" wrapText="1"/>
    </xf>
    <xf borderId="1" fillId="3" fontId="85" numFmtId="0" xfId="0" applyAlignment="1" applyBorder="1" applyFont="1">
      <alignment shrinkToFit="0" vertical="center" wrapText="0"/>
    </xf>
    <xf borderId="1" fillId="3" fontId="77" numFmtId="0" xfId="0" applyAlignment="1" applyBorder="1" applyFont="1">
      <alignment horizontal="center" shrinkToFit="0" vertical="center" wrapText="0"/>
    </xf>
    <xf borderId="1" fillId="3" fontId="74" numFmtId="167" xfId="0" applyAlignment="1" applyBorder="1" applyFont="1" applyNumberFormat="1">
      <alignment shrinkToFit="0" vertical="center" wrapText="0"/>
    </xf>
    <xf borderId="1" fillId="3" fontId="77" numFmtId="164" xfId="0" applyAlignment="1" applyBorder="1" applyFont="1" applyNumberFormat="1">
      <alignment horizontal="right" shrinkToFit="0" vertical="center" wrapText="0"/>
    </xf>
    <xf borderId="1" fillId="3" fontId="77" numFmtId="1" xfId="0" applyAlignment="1" applyBorder="1" applyFont="1" applyNumberFormat="1">
      <alignment horizontal="center" shrinkToFit="0" vertical="center" wrapText="1"/>
    </xf>
    <xf borderId="1" fillId="3" fontId="74" numFmtId="0" xfId="0" applyAlignment="1" applyBorder="1" applyFont="1">
      <alignment shrinkToFit="0" vertical="top" wrapText="0"/>
    </xf>
    <xf borderId="1" fillId="3" fontId="86" numFmtId="0" xfId="0" applyAlignment="1" applyBorder="1" applyFont="1">
      <alignment horizontal="center" shrinkToFit="0" vertical="center" wrapText="1"/>
    </xf>
    <xf borderId="1" fillId="3" fontId="87" numFmtId="0" xfId="0" applyAlignment="1" applyBorder="1" applyFont="1">
      <alignment readingOrder="0" shrinkToFit="0" vertical="center" wrapText="0"/>
    </xf>
    <xf borderId="1" fillId="3" fontId="80" numFmtId="0" xfId="0" applyAlignment="1" applyBorder="1" applyFont="1">
      <alignment horizontal="center" readingOrder="0" shrinkToFit="0" vertical="center" wrapText="0"/>
    </xf>
    <xf borderId="1" fillId="3" fontId="80" numFmtId="1" xfId="0" applyAlignment="1" applyBorder="1" applyFont="1" applyNumberFormat="1">
      <alignment horizontal="center" shrinkToFit="0" vertical="center" wrapText="1"/>
    </xf>
    <xf borderId="1" fillId="3" fontId="88" numFmtId="49" xfId="0" applyAlignment="1" applyBorder="1" applyFont="1" applyNumberFormat="1">
      <alignment shrinkToFit="0" vertical="center" wrapText="1"/>
    </xf>
    <xf borderId="1" fillId="3" fontId="89" numFmtId="0" xfId="0" applyAlignment="1" applyBorder="1" applyFont="1">
      <alignment shrinkToFit="0" vertical="center" wrapText="0"/>
    </xf>
    <xf borderId="1" fillId="3" fontId="80" numFmtId="0" xfId="0" applyAlignment="1" applyBorder="1" applyFont="1">
      <alignment horizontal="center" shrinkToFit="0" vertical="center" wrapText="0"/>
    </xf>
    <xf borderId="1" fillId="9" fontId="90" numFmtId="0" xfId="0" applyAlignment="1" applyBorder="1" applyFont="1">
      <alignment horizontal="center" shrinkToFit="0" vertical="center" wrapText="1"/>
    </xf>
    <xf borderId="1" fillId="9" fontId="91" numFmtId="0" xfId="0" applyAlignment="1" applyBorder="1" applyFont="1">
      <alignment readingOrder="0" shrinkToFit="0" vertical="center" wrapText="0"/>
    </xf>
    <xf borderId="1" fillId="9" fontId="92" numFmtId="0" xfId="0" applyAlignment="1" applyBorder="1" applyFont="1">
      <alignment readingOrder="0" shrinkToFit="0" vertical="center" wrapText="0"/>
    </xf>
    <xf borderId="1" fillId="9" fontId="80" numFmtId="0" xfId="0" applyAlignment="1" applyBorder="1" applyFont="1">
      <alignment horizontal="center" readingOrder="0" shrinkToFit="0" vertical="center" wrapText="0"/>
    </xf>
    <xf borderId="1" fillId="9" fontId="74" numFmtId="0" xfId="0" applyAlignment="1" applyBorder="1" applyFont="1">
      <alignment shrinkToFit="0" vertical="center" wrapText="0"/>
    </xf>
    <xf borderId="1" fillId="9" fontId="80" numFmtId="1" xfId="0" applyAlignment="1" applyBorder="1" applyFont="1" applyNumberFormat="1">
      <alignment horizontal="center" shrinkToFit="0" vertical="center" wrapText="0"/>
    </xf>
    <xf borderId="1" fillId="9" fontId="74" numFmtId="164" xfId="0" applyAlignment="1" applyBorder="1" applyFont="1" applyNumberFormat="1">
      <alignment shrinkToFit="0" vertical="center" wrapText="0"/>
    </xf>
    <xf borderId="1" fillId="9" fontId="74" numFmtId="166" xfId="0" applyAlignment="1" applyBorder="1" applyFont="1" applyNumberFormat="1">
      <alignment shrinkToFit="0" vertical="center" wrapText="0"/>
    </xf>
    <xf borderId="1" fillId="9" fontId="93" numFmtId="0" xfId="0" applyAlignment="1" applyBorder="1" applyFont="1">
      <alignment readingOrder="0" shrinkToFit="0" vertical="center" wrapText="0"/>
    </xf>
    <xf borderId="1" fillId="9" fontId="80" numFmtId="164" xfId="0" applyAlignment="1" applyBorder="1" applyFont="1" applyNumberFormat="1">
      <alignment horizontal="right" readingOrder="0" shrinkToFit="0" vertical="center" wrapText="0"/>
    </xf>
    <xf borderId="1" fillId="3" fontId="94" numFmtId="0" xfId="0" applyAlignment="1" applyBorder="1" applyFont="1">
      <alignment readingOrder="0" shrinkToFit="0" vertical="center" wrapText="1"/>
    </xf>
    <xf borderId="1" fillId="3" fontId="95" numFmtId="0" xfId="0" applyAlignment="1" applyBorder="1" applyFont="1">
      <alignment horizontal="center" shrinkToFit="0" vertical="center" wrapText="1"/>
    </xf>
    <xf borderId="1" fillId="3" fontId="96" numFmtId="0" xfId="0" applyAlignment="1" applyBorder="1" applyFont="1">
      <alignment horizontal="center" readingOrder="0" shrinkToFit="0" vertical="center" wrapText="1"/>
    </xf>
    <xf borderId="1" fillId="3" fontId="97" numFmtId="0" xfId="0" applyAlignment="1" applyBorder="1" applyFont="1">
      <alignment readingOrder="0" shrinkToFit="0" vertical="center" wrapText="0"/>
    </xf>
    <xf borderId="1" fillId="3" fontId="98" numFmtId="0" xfId="0" applyAlignment="1" applyBorder="1" applyFont="1">
      <alignment horizontal="center" shrinkToFit="0" vertical="center" wrapText="1"/>
    </xf>
    <xf borderId="1" fillId="3" fontId="99" numFmtId="0" xfId="0" applyAlignment="1" applyBorder="1" applyFont="1">
      <alignment readingOrder="0" shrinkToFit="0" vertical="center" wrapText="0"/>
    </xf>
    <xf borderId="1" fillId="3" fontId="80" numFmtId="1" xfId="0" applyAlignment="1" applyBorder="1" applyFont="1" applyNumberFormat="1">
      <alignment horizontal="center" shrinkToFit="0" vertical="center" wrapText="0"/>
    </xf>
    <xf borderId="1" fillId="3" fontId="74" numFmtId="0" xfId="0" applyAlignment="1" applyBorder="1" applyFont="1">
      <alignment shrinkToFit="0" vertical="top" wrapText="0"/>
    </xf>
    <xf borderId="1" fillId="9" fontId="100" numFmtId="0" xfId="0" applyAlignment="1" applyBorder="1" applyFont="1">
      <alignment shrinkToFit="0" vertical="center" wrapText="0"/>
    </xf>
    <xf borderId="1" fillId="9" fontId="80" numFmtId="0" xfId="0" applyAlignment="1" applyBorder="1" applyFont="1">
      <alignment horizontal="center" shrinkToFit="0" vertical="center" wrapText="0"/>
    </xf>
    <xf borderId="1" fillId="9" fontId="80" numFmtId="0" xfId="0" applyAlignment="1" applyBorder="1" applyFont="1">
      <alignment readingOrder="0" shrinkToFit="0" vertical="center" wrapText="0"/>
    </xf>
    <xf borderId="1" fillId="3" fontId="101" numFmtId="0" xfId="0" applyAlignment="1" applyBorder="1" applyFont="1">
      <alignment readingOrder="0" shrinkToFit="0" vertical="center" wrapText="0"/>
    </xf>
    <xf borderId="1" fillId="3" fontId="80" numFmtId="164" xfId="0" applyAlignment="1" applyBorder="1" applyFont="1" applyNumberFormat="1">
      <alignment horizontal="right" readingOrder="0" shrinkToFit="0" vertical="center" wrapText="0"/>
    </xf>
    <xf borderId="1" fillId="3" fontId="80" numFmtId="165" xfId="0" applyAlignment="1" applyBorder="1" applyFont="1" applyNumberFormat="1">
      <alignment horizontal="right" readingOrder="0" shrinkToFit="0" vertical="center" wrapText="0"/>
    </xf>
    <xf borderId="1" fillId="3" fontId="80" numFmtId="0" xfId="0" applyAlignment="1" applyBorder="1" applyFont="1">
      <alignment readingOrder="0" shrinkToFit="0" vertical="top" wrapText="0"/>
    </xf>
    <xf borderId="1" fillId="9" fontId="102" numFmtId="0" xfId="0" applyAlignment="1" applyBorder="1" applyFont="1">
      <alignment shrinkToFit="0" vertical="center" wrapText="0"/>
    </xf>
    <xf borderId="1" fillId="9" fontId="74" numFmtId="167" xfId="0" applyAlignment="1" applyBorder="1" applyFont="1" applyNumberFormat="1">
      <alignment shrinkToFit="0" vertical="center" wrapText="0"/>
    </xf>
    <xf borderId="1" fillId="9" fontId="74" numFmtId="0" xfId="0" applyAlignment="1" applyBorder="1" applyFont="1">
      <alignment shrinkToFit="0" vertical="top" wrapText="0"/>
    </xf>
    <xf borderId="1" fillId="9" fontId="103" numFmtId="0" xfId="0" applyAlignment="1" applyBorder="1" applyFont="1">
      <alignment readingOrder="0" shrinkToFit="0" vertical="center" wrapText="0"/>
    </xf>
    <xf borderId="1" fillId="3" fontId="104" numFmtId="0" xfId="0" applyAlignment="1" applyBorder="1" applyFont="1">
      <alignment shrinkToFit="0" vertical="center" wrapText="0"/>
    </xf>
    <xf borderId="1" fillId="3" fontId="105" numFmtId="0" xfId="0" applyAlignment="1" applyBorder="1" applyFont="1">
      <alignment shrinkToFit="0" vertical="center" wrapText="0"/>
    </xf>
    <xf borderId="1" fillId="3" fontId="80" numFmtId="164" xfId="0" applyAlignment="1" applyBorder="1" applyFont="1" applyNumberFormat="1">
      <alignment horizontal="right" shrinkToFit="0" vertical="center" wrapText="0"/>
    </xf>
    <xf borderId="1" fillId="3" fontId="80" numFmtId="165" xfId="0" applyAlignment="1" applyBorder="1" applyFont="1" applyNumberFormat="1">
      <alignment horizontal="right" shrinkToFit="0" vertical="center" wrapText="0"/>
    </xf>
    <xf borderId="1" fillId="3" fontId="10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0" fillId="3" fontId="40"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8" numFmtId="0" xfId="0" applyAlignment="1" applyFont="1">
      <alignment readingOrder="0" shrinkToFit="0" vertical="bottom" wrapText="0"/>
    </xf>
    <xf borderId="4" fillId="3" fontId="7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4" numFmtId="0" xfId="0" applyAlignment="1" applyBorder="1" applyFont="1">
      <alignment shrinkToFit="0" vertical="center" wrapText="0"/>
    </xf>
    <xf borderId="5" fillId="9" fontId="74" numFmtId="49" xfId="0" applyAlignment="1" applyBorder="1" applyFont="1" applyNumberFormat="1">
      <alignment shrinkToFit="0" vertical="center" wrapText="0"/>
    </xf>
    <xf borderId="6" fillId="3" fontId="74" numFmtId="0" xfId="0" applyAlignment="1" applyBorder="1" applyFont="1">
      <alignment shrinkToFit="0" vertical="center" wrapText="0"/>
    </xf>
    <xf borderId="6" fillId="3" fontId="74" numFmtId="49" xfId="0" applyAlignment="1" applyBorder="1" applyFont="1" applyNumberFormat="1">
      <alignment shrinkToFit="0" vertical="center" wrapText="0"/>
    </xf>
    <xf borderId="0" fillId="3" fontId="74" numFmtId="0" xfId="0" applyAlignment="1" applyFont="1">
      <alignment shrinkToFit="0" vertical="center" wrapText="0"/>
    </xf>
    <xf borderId="0" fillId="3" fontId="74"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6" numFmtId="0" xfId="0" applyAlignment="1" applyFont="1">
      <alignment horizontal="center" vertical="center"/>
    </xf>
    <xf borderId="7" fillId="0" fontId="26" numFmtId="0" xfId="0" applyAlignment="1" applyBorder="1" applyFont="1">
      <alignment vertical="center"/>
    </xf>
    <xf borderId="8" fillId="4" fontId="38" numFmtId="0" xfId="0" applyAlignment="1" applyBorder="1" applyFont="1">
      <alignment shrinkToFit="0" wrapText="1"/>
    </xf>
    <xf borderId="7" fillId="0" fontId="26" numFmtId="0" xfId="0" applyBorder="1" applyFont="1"/>
    <xf borderId="7" fillId="0" fontId="26" numFmtId="0" xfId="0" applyAlignment="1" applyBorder="1" applyFont="1">
      <alignment horizontal="center" shrinkToFit="0" vertical="center" wrapText="1"/>
    </xf>
    <xf borderId="7" fillId="0" fontId="26" numFmtId="14" xfId="0" applyBorder="1" applyFont="1" applyNumberFormat="1"/>
    <xf borderId="0" fillId="0" fontId="26" numFmtId="0" xfId="0" applyFont="1"/>
    <xf borderId="1" fillId="0" fontId="26" numFmtId="0" xfId="0" applyAlignment="1" applyBorder="1" applyFont="1">
      <alignment vertical="center"/>
    </xf>
    <xf borderId="1" fillId="0" fontId="38" numFmtId="0" xfId="0" applyAlignment="1" applyBorder="1" applyFont="1">
      <alignment shrinkToFit="0" vertical="center" wrapText="1"/>
    </xf>
    <xf borderId="1" fillId="0" fontId="26" numFmtId="0" xfId="0" applyAlignment="1" applyBorder="1" applyFont="1">
      <alignment horizontal="left" shrinkToFit="0" vertical="center" wrapText="1"/>
    </xf>
    <xf borderId="1" fillId="0" fontId="26" numFmtId="14" xfId="0" applyAlignment="1" applyBorder="1" applyFont="1" applyNumberFormat="1">
      <alignment horizontal="center" vertical="center"/>
    </xf>
    <xf borderId="1" fillId="0" fontId="26" numFmtId="0" xfId="0" applyAlignment="1" applyBorder="1" applyFont="1">
      <alignment horizontal="center" vertical="center"/>
    </xf>
    <xf borderId="1" fillId="0" fontId="26" numFmtId="1" xfId="0" applyAlignment="1" applyBorder="1" applyFont="1" applyNumberFormat="1">
      <alignment horizontal="center" shrinkToFit="0" vertical="center" wrapText="1"/>
    </xf>
    <xf borderId="1" fillId="0" fontId="26" numFmtId="0" xfId="0" applyAlignment="1" applyBorder="1" applyFont="1">
      <alignment horizontal="left" shrinkToFit="0" vertical="top" wrapText="1"/>
    </xf>
    <xf borderId="1" fillId="13" fontId="26"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6" numFmtId="0" xfId="0" applyAlignment="1" applyBorder="1" applyFont="1">
      <alignment horizontal="center" shrinkToFit="0" vertical="center" wrapText="1"/>
    </xf>
    <xf borderId="1" fillId="13" fontId="26" numFmtId="14" xfId="0" applyAlignment="1" applyBorder="1" applyFont="1" applyNumberFormat="1">
      <alignment vertical="center"/>
    </xf>
    <xf borderId="9" fillId="13" fontId="26" numFmtId="14" xfId="0" applyAlignment="1" applyBorder="1" applyFont="1" applyNumberFormat="1">
      <alignment vertical="center"/>
    </xf>
    <xf borderId="1" fillId="13" fontId="26" numFmtId="1" xfId="0" applyAlignment="1" applyBorder="1" applyFont="1" applyNumberFormat="1">
      <alignment horizontal="center" shrinkToFit="0" vertical="center" wrapText="1"/>
    </xf>
    <xf borderId="0" fillId="0" fontId="26" numFmtId="0" xfId="0" applyAlignment="1" applyFont="1">
      <alignment vertical="center"/>
    </xf>
    <xf borderId="1" fillId="0" fontId="74"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6" numFmtId="0" xfId="0" applyAlignment="1" applyBorder="1" applyFont="1">
      <alignment horizontal="left" vertical="center"/>
    </xf>
    <xf borderId="10" fillId="13" fontId="26" numFmtId="0" xfId="0" applyAlignment="1" applyBorder="1" applyFont="1">
      <alignment horizontal="center" vertical="center"/>
    </xf>
    <xf borderId="1" fillId="0" fontId="74" numFmtId="0" xfId="0" applyAlignment="1" applyBorder="1" applyFont="1">
      <alignment horizontal="center" shrinkToFit="0" vertical="center" wrapText="1"/>
    </xf>
    <xf borderId="1" fillId="0" fontId="74" numFmtId="14" xfId="0" applyAlignment="1" applyBorder="1" applyFont="1" applyNumberFormat="1">
      <alignment vertical="center"/>
    </xf>
    <xf borderId="1" fillId="0" fontId="26" numFmtId="0" xfId="0" applyAlignment="1" applyBorder="1" applyFont="1">
      <alignment shrinkToFit="0" vertical="center" wrapText="1"/>
    </xf>
    <xf borderId="0" fillId="0" fontId="74"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6" numFmtId="0" xfId="0" applyAlignment="1" applyBorder="1" applyFont="1">
      <alignment horizontal="left" vertical="center"/>
    </xf>
    <xf borderId="1" fillId="14" fontId="26" numFmtId="14" xfId="0" applyAlignment="1" applyBorder="1" applyFont="1" applyNumberFormat="1">
      <alignment horizontal="center" vertical="center"/>
    </xf>
    <xf borderId="1" fillId="14" fontId="26" numFmtId="1" xfId="0" applyAlignment="1" applyBorder="1" applyFont="1" applyNumberFormat="1">
      <alignment horizontal="center" shrinkToFit="0" vertical="center" wrapText="1"/>
    </xf>
    <xf borderId="1" fillId="14" fontId="26"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6" numFmtId="0" xfId="0" applyBorder="1" applyFont="1"/>
    <xf borderId="1" fillId="13" fontId="26" numFmtId="0" xfId="0" applyAlignment="1" applyBorder="1" applyFont="1">
      <alignment horizontal="left" shrinkToFit="0" vertical="center" wrapText="1"/>
    </xf>
    <xf borderId="1" fillId="13" fontId="26" numFmtId="14" xfId="0" applyAlignment="1" applyBorder="1" applyFont="1" applyNumberFormat="1">
      <alignment horizontal="center" vertical="center"/>
    </xf>
    <xf borderId="1" fillId="13" fontId="26" numFmtId="14" xfId="0" applyAlignment="1" applyBorder="1" applyFont="1" applyNumberFormat="1">
      <alignment horizontal="center"/>
    </xf>
    <xf borderId="1" fillId="13" fontId="26" numFmtId="0" xfId="0" applyAlignment="1" applyBorder="1" applyFont="1">
      <alignment shrinkToFit="0" wrapText="1"/>
    </xf>
    <xf borderId="0" fillId="0" fontId="74"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6" numFmtId="0" xfId="0" applyAlignment="1" applyBorder="1" applyFont="1">
      <alignment shrinkToFit="0" wrapText="1"/>
    </xf>
    <xf borderId="0" fillId="0" fontId="40"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6"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4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6" numFmtId="0" xfId="0" applyAlignment="1" applyBorder="1" applyFill="1" applyFont="1">
      <alignment horizontal="left" readingOrder="0" shrinkToFit="0" vertical="center" wrapText="0"/>
    </xf>
    <xf borderId="1" fillId="3" fontId="109" numFmtId="0" xfId="0" applyAlignment="1" applyBorder="1" applyFont="1">
      <alignment readingOrder="0" shrinkToFit="0" vertical="center" wrapText="0"/>
    </xf>
    <xf borderId="1" fillId="3" fontId="109" numFmtId="0" xfId="0" applyAlignment="1" applyBorder="1" applyFont="1">
      <alignment horizontal="center" readingOrder="0" shrinkToFit="0" vertical="center" wrapText="0"/>
    </xf>
    <xf borderId="1" fillId="3" fontId="109" numFmtId="0" xfId="0" applyAlignment="1" applyBorder="1" applyFont="1">
      <alignment shrinkToFit="0" vertical="center" wrapText="0"/>
    </xf>
    <xf borderId="1" fillId="3" fontId="109" numFmtId="164" xfId="0" applyAlignment="1" applyBorder="1" applyFont="1" applyNumberFormat="1">
      <alignment shrinkToFit="0" vertical="center" wrapText="0"/>
    </xf>
    <xf borderId="1" fillId="3" fontId="109" numFmtId="165" xfId="0" applyAlignment="1" applyBorder="1" applyFont="1" applyNumberFormat="1">
      <alignment shrinkToFit="0" vertical="center" wrapText="0"/>
    </xf>
    <xf borderId="1" fillId="3" fontId="109" numFmtId="0" xfId="0" applyAlignment="1" applyBorder="1" applyFont="1">
      <alignment horizontal="center" shrinkToFit="0" vertical="center" wrapText="0"/>
    </xf>
    <xf borderId="1" fillId="3" fontId="109" numFmtId="166" xfId="0" applyAlignment="1" applyBorder="1" applyFont="1" applyNumberFormat="1">
      <alignment shrinkToFit="0" vertical="center" wrapText="0"/>
    </xf>
    <xf borderId="0" fillId="3" fontId="109" numFmtId="0" xfId="0" applyAlignment="1" applyFont="1">
      <alignment readingOrder="0" shrinkToFit="0" vertical="center" wrapText="0"/>
    </xf>
    <xf borderId="0" fillId="3" fontId="109" numFmtId="0" xfId="0" applyAlignment="1" applyFont="1">
      <alignment readingOrder="0" shrinkToFit="0" vertical="center" wrapText="0"/>
    </xf>
    <xf borderId="1" fillId="3" fontId="26" numFmtId="0" xfId="0" applyAlignment="1" applyBorder="1" applyFont="1">
      <alignment horizontal="left" shrinkToFit="0" textRotation="0" vertical="center" wrapText="0"/>
    </xf>
    <xf borderId="1" fillId="3" fontId="15" numFmtId="0" xfId="0" applyAlignment="1" applyBorder="1" applyFont="1">
      <alignment horizontal="left" shrinkToFit="0" vertical="top" wrapText="1"/>
    </xf>
    <xf borderId="1" fillId="3" fontId="40"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6"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6"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9" numFmtId="0" xfId="0" applyFont="1"/>
    <xf borderId="1" fillId="3" fontId="7" numFmtId="0" xfId="0" applyAlignment="1" applyBorder="1" applyFont="1">
      <alignment horizontal="center" readingOrder="0" vertical="center"/>
    </xf>
    <xf borderId="1" fillId="3" fontId="26" numFmtId="0" xfId="0" applyAlignment="1" applyBorder="1" applyFont="1">
      <alignment horizontal="left" readingOrder="0" vertical="center"/>
    </xf>
    <xf borderId="1" fillId="3" fontId="15" numFmtId="165" xfId="0" applyAlignment="1" applyBorder="1" applyFont="1" applyNumberFormat="1">
      <alignment readingOrder="0" vertical="center"/>
    </xf>
    <xf borderId="1"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9" numFmtId="0" xfId="0" applyAlignment="1" applyBorder="1" applyFont="1">
      <alignment horizontal="center" shrinkToFit="0" wrapText="1"/>
    </xf>
    <xf borderId="1" fillId="3" fontId="109" numFmtId="165" xfId="0" applyBorder="1" applyFont="1" applyNumberFormat="1"/>
    <xf borderId="1" fillId="3" fontId="109" numFmtId="165" xfId="0" applyAlignment="1" applyBorder="1" applyFont="1" applyNumberFormat="1">
      <alignment shrinkToFit="0" wrapText="1"/>
    </xf>
    <xf borderId="1" fillId="3" fontId="109" numFmtId="0" xfId="0" applyAlignment="1" applyBorder="1" applyFont="1">
      <alignment horizontal="center"/>
    </xf>
    <xf borderId="1" fillId="3" fontId="109" numFmtId="164" xfId="0" applyBorder="1" applyFont="1" applyNumberFormat="1"/>
    <xf borderId="1" fillId="3" fontId="109" numFmtId="0" xfId="0" applyBorder="1" applyFont="1"/>
    <xf borderId="1" fillId="3" fontId="109" numFmtId="166" xfId="0" applyBorder="1" applyFont="1" applyNumberFormat="1"/>
    <xf borderId="0" fillId="3" fontId="15" numFmtId="0" xfId="0" applyFont="1"/>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40"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0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7" numFmtId="0" xfId="0" applyAlignment="1" applyBorder="1" applyFont="1">
      <alignment horizontal="center" readingOrder="0"/>
    </xf>
    <xf borderId="1" fillId="3" fontId="40" numFmtId="0" xfId="0" applyAlignment="1" applyBorder="1" applyFont="1">
      <alignment horizontal="center" shrinkToFit="0" vertical="center" wrapText="1"/>
    </xf>
    <xf borderId="1" fillId="3" fontId="40"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6"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0" numFmtId="0" xfId="0" applyAlignment="1" applyBorder="1" applyFont="1">
      <alignment horizontal="center" readingOrder="0" vertical="center"/>
    </xf>
    <xf borderId="1" fillId="3" fontId="15" numFmtId="0" xfId="0" applyAlignment="1" applyBorder="1" applyFont="1">
      <alignment vertical="center"/>
    </xf>
    <xf borderId="1" fillId="3" fontId="40" numFmtId="0" xfId="0" applyAlignment="1" applyBorder="1" applyFont="1">
      <alignment horizontal="center" readingOrder="0" shrinkToFit="0" vertical="center" wrapText="1"/>
    </xf>
    <xf borderId="1" fillId="3" fontId="111" numFmtId="0" xfId="0" applyAlignment="1" applyBorder="1" applyFont="1">
      <alignment horizontal="center"/>
    </xf>
    <xf borderId="1" fillId="3" fontId="107" numFmtId="0" xfId="0" applyAlignment="1" applyBorder="1" applyFont="1">
      <alignment horizontal="center" readingOrder="0"/>
    </xf>
    <xf borderId="1" fillId="3" fontId="112" numFmtId="0" xfId="0" applyAlignment="1" applyBorder="1" applyFont="1">
      <alignment horizontal="center" readingOrder="0" vertical="center"/>
    </xf>
    <xf borderId="1" fillId="3" fontId="113" numFmtId="0" xfId="0" applyAlignment="1" applyBorder="1" applyFont="1">
      <alignment horizontal="center" readingOrder="0" shrinkToFit="0" wrapText="0"/>
    </xf>
    <xf borderId="2" fillId="3" fontId="114" numFmtId="0" xfId="0" applyAlignment="1" applyBorder="1" applyFont="1">
      <alignment horizontal="center" readingOrder="0" shrinkToFit="0" wrapText="0"/>
    </xf>
    <xf borderId="1" fillId="3" fontId="115" numFmtId="0" xfId="0" applyAlignment="1" applyBorder="1" applyFont="1">
      <alignment horizontal="left" readingOrder="0" vertical="center"/>
    </xf>
    <xf borderId="1" fillId="3" fontId="116"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7" numFmtId="0" xfId="0" applyAlignment="1" applyBorder="1" applyFont="1">
      <alignment horizontal="center" readingOrder="0" vertical="center"/>
    </xf>
    <xf borderId="1" fillId="3" fontId="118" numFmtId="0" xfId="0" applyAlignment="1" applyBorder="1" applyFont="1">
      <alignment horizontal="center" readingOrder="0"/>
    </xf>
    <xf borderId="1" fillId="3" fontId="119" numFmtId="0" xfId="0" applyAlignment="1" applyBorder="1" applyFont="1">
      <alignment horizontal="left" readingOrder="0" shrinkToFit="0" vertical="center" wrapText="1"/>
    </xf>
    <xf borderId="1" fillId="3" fontId="120" numFmtId="0" xfId="0" applyAlignment="1" applyBorder="1" applyFont="1">
      <alignment horizontal="center" readingOrder="0"/>
    </xf>
    <xf borderId="1" fillId="3" fontId="12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6" numFmtId="0" xfId="0" applyAlignment="1" applyBorder="1" applyFont="1">
      <alignment horizontal="left" readingOrder="0" vertical="center"/>
    </xf>
    <xf borderId="1" fillId="3" fontId="12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4" numFmtId="0" xfId="0" applyBorder="1" applyFont="1"/>
    <xf borderId="14" fillId="0" fontId="7" numFmtId="0" xfId="0" applyAlignment="1" applyBorder="1" applyFont="1">
      <alignment horizontal="center" shrinkToFit="0" vertical="center" wrapText="1"/>
    </xf>
    <xf borderId="15" fillId="0" fontId="7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6"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6" numFmtId="0" xfId="0" applyAlignment="1" applyBorder="1" applyFont="1">
      <alignment horizontal="center" vertical="center"/>
    </xf>
    <xf borderId="20" fillId="0" fontId="26" numFmtId="14" xfId="0" applyAlignment="1" applyBorder="1" applyFont="1" applyNumberFormat="1">
      <alignment horizontal="center" vertical="center"/>
    </xf>
    <xf borderId="13" fillId="0" fontId="26" numFmtId="14" xfId="0" applyBorder="1" applyFont="1" applyNumberFormat="1"/>
    <xf borderId="13" fillId="0" fontId="26" numFmtId="1" xfId="0" applyAlignment="1" applyBorder="1" applyFont="1" applyNumberFormat="1">
      <alignment horizontal="center" shrinkToFit="0" vertical="center" wrapText="1"/>
    </xf>
    <xf borderId="20" fillId="0" fontId="26"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6" numFmtId="14" xfId="0" applyBorder="1" applyFont="1" applyNumberFormat="1"/>
    <xf borderId="1" fillId="0" fontId="26"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6"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6" numFmtId="0" xfId="0" applyAlignment="1" applyFont="1">
      <alignment horizontal="left" vertical="center"/>
    </xf>
    <xf borderId="0" fillId="0" fontId="125"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4" numFmtId="0" xfId="0" applyBorder="1" applyFont="1"/>
    <xf borderId="7" fillId="0" fontId="26" numFmtId="0" xfId="0" applyAlignment="1" applyBorder="1" applyFont="1">
      <alignment horizontal="left" vertical="center"/>
    </xf>
    <xf borderId="7" fillId="0" fontId="26" numFmtId="0" xfId="0" applyAlignment="1" applyBorder="1" applyFont="1">
      <alignment horizontal="center" vertical="center"/>
    </xf>
    <xf borderId="7" fillId="0" fontId="26" numFmtId="14" xfId="0" applyAlignment="1" applyBorder="1" applyFont="1" applyNumberFormat="1">
      <alignment horizontal="center" vertical="center"/>
    </xf>
    <xf borderId="7" fillId="0" fontId="26" numFmtId="1" xfId="0" applyAlignment="1" applyBorder="1" applyFont="1" applyNumberFormat="1">
      <alignment horizontal="center" shrinkToFit="0" vertical="center" wrapText="1"/>
    </xf>
    <xf borderId="7" fillId="0" fontId="26"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6" numFmtId="0" xfId="0" applyAlignment="1" applyBorder="1" applyFont="1">
      <alignment horizontal="center" vertical="center"/>
    </xf>
    <xf borderId="13" fillId="0" fontId="26" numFmtId="14" xfId="0" applyAlignment="1" applyBorder="1" applyFont="1" applyNumberFormat="1">
      <alignment vertical="center"/>
    </xf>
    <xf borderId="13" fillId="0" fontId="26"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6" numFmtId="14" xfId="0" applyBorder="1" applyFont="1" applyNumberFormat="1"/>
    <xf borderId="20" fillId="0" fontId="26"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6" numFmtId="0" xfId="0" applyAlignment="1" applyBorder="1" applyFont="1">
      <alignment horizontal="center" shrinkToFit="0" vertical="center" wrapText="1"/>
    </xf>
    <xf borderId="13" fillId="0" fontId="38" numFmtId="0" xfId="0" applyAlignment="1" applyBorder="1" applyFont="1">
      <alignment shrinkToFit="0" wrapText="1"/>
    </xf>
    <xf borderId="13" fillId="0" fontId="26" numFmtId="0" xfId="0" applyBorder="1" applyFont="1"/>
    <xf borderId="13" fillId="0" fontId="26" numFmtId="0" xfId="0" applyAlignment="1" applyBorder="1" applyFont="1">
      <alignment horizontal="center" shrinkToFit="0" wrapText="1"/>
    </xf>
    <xf borderId="13" fillId="0" fontId="26"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6" numFmtId="0" xfId="0" applyAlignment="1" applyBorder="1" applyFont="1">
      <alignment horizontal="left" vertical="center"/>
    </xf>
    <xf borderId="1" fillId="13" fontId="26" numFmtId="0" xfId="0" applyAlignment="1" applyBorder="1" applyFont="1">
      <alignment horizontal="center" vertical="center"/>
    </xf>
    <xf borderId="1" fillId="13" fontId="26"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6" numFmtId="0" xfId="0" applyAlignment="1" applyBorder="1" applyFont="1">
      <alignment shrinkToFit="0" wrapText="1"/>
    </xf>
    <xf borderId="1" fillId="0" fontId="26" numFmtId="0" xfId="0" applyBorder="1" applyFont="1"/>
    <xf borderId="0" fillId="0" fontId="26" numFmtId="0" xfId="0" applyAlignment="1" applyFont="1">
      <alignment horizontal="left"/>
    </xf>
    <xf borderId="7" fillId="0" fontId="26" numFmtId="0" xfId="0" applyAlignment="1" applyBorder="1" applyFont="1">
      <alignment shrinkToFit="0" wrapText="1"/>
    </xf>
    <xf borderId="20" fillId="0" fontId="26" numFmtId="0" xfId="0" applyAlignment="1" applyBorder="1" applyFont="1">
      <alignment shrinkToFit="0" wrapText="1"/>
    </xf>
    <xf borderId="22" fillId="0" fontId="26" numFmtId="0" xfId="0" applyAlignment="1" applyBorder="1" applyFont="1">
      <alignment horizontal="center" vertical="center"/>
    </xf>
    <xf borderId="13" fillId="0" fontId="26" numFmtId="0" xfId="0" applyAlignment="1" applyBorder="1" applyFont="1">
      <alignment horizontal="left" vertical="center"/>
    </xf>
    <xf borderId="12" fillId="13" fontId="26" numFmtId="0" xfId="0" applyAlignment="1" applyBorder="1" applyFont="1">
      <alignment horizontal="center" vertical="center"/>
    </xf>
    <xf borderId="23" fillId="13" fontId="26" numFmtId="14" xfId="0" applyAlignment="1" applyBorder="1" applyFont="1" applyNumberFormat="1">
      <alignment horizontal="center" vertical="center"/>
    </xf>
    <xf borderId="12" fillId="13" fontId="26" numFmtId="14" xfId="0" applyAlignment="1" applyBorder="1" applyFont="1" applyNumberFormat="1">
      <alignment horizontal="center" vertical="center"/>
    </xf>
    <xf borderId="12" fillId="13" fontId="26" numFmtId="0" xfId="0" applyAlignment="1" applyBorder="1" applyFont="1">
      <alignment horizontal="left" shrinkToFit="0" vertical="top" wrapText="1"/>
    </xf>
    <xf borderId="24" fillId="0" fontId="26" numFmtId="14" xfId="0" applyAlignment="1" applyBorder="1" applyFont="1" applyNumberFormat="1">
      <alignment horizontal="center" vertical="center"/>
    </xf>
    <xf borderId="13" fillId="0" fontId="26" numFmtId="14" xfId="0" applyAlignment="1" applyBorder="1" applyFont="1" applyNumberFormat="1">
      <alignment horizontal="center" vertical="center"/>
    </xf>
    <xf borderId="13" fillId="0" fontId="26" numFmtId="0" xfId="0" applyAlignment="1" applyBorder="1" applyFont="1">
      <alignment horizontal="left" shrinkToFit="0" vertical="top" wrapText="1"/>
    </xf>
    <xf borderId="1" fillId="0" fontId="26" numFmtId="14" xfId="0" applyAlignment="1" applyBorder="1" applyFont="1" applyNumberFormat="1">
      <alignment vertical="center"/>
    </xf>
    <xf borderId="18" fillId="0" fontId="26" numFmtId="0" xfId="0" applyAlignment="1" applyBorder="1" applyFont="1">
      <alignment shrinkToFit="0" wrapText="1"/>
    </xf>
    <xf borderId="22" fillId="0" fontId="26" numFmtId="0" xfId="0" applyAlignment="1" applyBorder="1" applyFont="1">
      <alignment shrinkToFit="0" vertical="center" wrapText="1"/>
    </xf>
    <xf borderId="20" fillId="0" fontId="126" numFmtId="0" xfId="0" applyAlignment="1" applyBorder="1" applyFont="1">
      <alignment horizontal="left" vertical="center"/>
    </xf>
    <xf borderId="20" fillId="0" fontId="26"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6" numFmtId="0" xfId="0" applyAlignment="1" applyBorder="1" applyFont="1">
      <alignment shrinkToFit="0" vertical="center" wrapText="1"/>
    </xf>
    <xf borderId="11" fillId="13" fontId="38" numFmtId="0" xfId="0" applyAlignment="1" applyBorder="1" applyFont="1">
      <alignment shrinkToFit="0" wrapText="1"/>
    </xf>
    <xf borderId="8" fillId="13" fontId="26" numFmtId="0" xfId="0" applyAlignment="1" applyBorder="1" applyFont="1">
      <alignment shrinkToFit="0" wrapText="1"/>
    </xf>
    <xf borderId="8" fillId="13" fontId="26" numFmtId="0" xfId="0" applyAlignment="1" applyBorder="1" applyFont="1">
      <alignment horizontal="center" shrinkToFit="0" vertical="center" wrapText="1"/>
    </xf>
    <xf borderId="8" fillId="13" fontId="26" numFmtId="14" xfId="0" applyAlignment="1" applyBorder="1" applyFont="1" applyNumberFormat="1">
      <alignment vertical="center"/>
    </xf>
    <xf borderId="11" fillId="13" fontId="26" numFmtId="0" xfId="0" applyAlignment="1" applyBorder="1" applyFont="1">
      <alignment vertical="center"/>
    </xf>
    <xf borderId="11" fillId="13" fontId="26" numFmtId="14" xfId="0" applyAlignment="1" applyBorder="1" applyFont="1" applyNumberFormat="1">
      <alignment horizontal="center" vertical="center"/>
    </xf>
    <xf borderId="11" fillId="13" fontId="26" numFmtId="1" xfId="0" applyAlignment="1" applyBorder="1" applyFont="1" applyNumberFormat="1">
      <alignment horizontal="center" shrinkToFit="0" vertical="center" wrapText="1"/>
    </xf>
    <xf borderId="11" fillId="13" fontId="26" numFmtId="14" xfId="0" applyAlignment="1" applyBorder="1" applyFont="1" applyNumberFormat="1">
      <alignment vertical="center"/>
    </xf>
    <xf borderId="11" fillId="13" fontId="26" numFmtId="0" xfId="0" applyAlignment="1" applyBorder="1" applyFont="1">
      <alignment shrinkToFit="0" vertical="center" wrapText="1"/>
    </xf>
    <xf borderId="20" fillId="0" fontId="26" numFmtId="0" xfId="0" applyAlignment="1" applyBorder="1" applyFont="1">
      <alignment horizontal="left" shrinkToFit="0" vertical="center" wrapText="1"/>
    </xf>
    <xf borderId="15" fillId="0" fontId="26" numFmtId="14" xfId="0" applyAlignment="1" applyBorder="1" applyFont="1" applyNumberFormat="1">
      <alignment horizontal="center" vertical="center"/>
    </xf>
    <xf borderId="1" fillId="0" fontId="26"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6" numFmtId="0" xfId="0" applyAlignment="1" applyBorder="1" applyFont="1">
      <alignment vertical="center"/>
    </xf>
    <xf borderId="13" fillId="0" fontId="26" numFmtId="0" xfId="0" applyAlignment="1" applyBorder="1" applyFont="1">
      <alignment horizontal="left" shrinkToFit="0" vertical="center" wrapText="1"/>
    </xf>
    <xf borderId="22" fillId="0" fontId="26" numFmtId="0" xfId="0" applyAlignment="1" applyBorder="1" applyFont="1">
      <alignment horizontal="left" shrinkToFit="0" vertical="center" wrapText="1"/>
    </xf>
    <xf borderId="2" fillId="0" fontId="26" numFmtId="14" xfId="0" applyAlignment="1" applyBorder="1" applyFont="1" applyNumberFormat="1">
      <alignment horizontal="center" vertical="center"/>
    </xf>
    <xf borderId="8" fillId="4" fontId="26" numFmtId="0" xfId="0" applyAlignment="1" applyBorder="1" applyFont="1">
      <alignment shrinkToFit="0" wrapText="1"/>
    </xf>
    <xf borderId="14" fillId="0" fontId="26" numFmtId="0" xfId="0" applyAlignment="1" applyBorder="1" applyFont="1">
      <alignment horizontal="center" vertical="center"/>
    </xf>
    <xf borderId="14" fillId="0" fontId="26" numFmtId="14" xfId="0" applyAlignment="1" applyBorder="1" applyFont="1" applyNumberFormat="1">
      <alignment horizontal="center" vertical="center"/>
    </xf>
    <xf borderId="1" fillId="4" fontId="26"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6" numFmtId="0" xfId="0" applyAlignment="1" applyBorder="1" applyFont="1">
      <alignment horizontal="left" vertical="center"/>
    </xf>
    <xf borderId="8" fillId="13" fontId="26" numFmtId="14" xfId="0" applyAlignment="1" applyBorder="1" applyFont="1" applyNumberFormat="1">
      <alignment horizontal="center" vertical="center"/>
    </xf>
    <xf borderId="8" fillId="13" fontId="26" numFmtId="1" xfId="0" applyAlignment="1" applyBorder="1" applyFont="1" applyNumberFormat="1">
      <alignment horizontal="center" shrinkToFit="0" vertical="center" wrapText="1"/>
    </xf>
    <xf borderId="8" fillId="13" fontId="26"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6"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6" numFmtId="14" xfId="0" applyAlignment="1" applyBorder="1" applyFont="1" applyNumberFormat="1">
      <alignment horizontal="center"/>
    </xf>
    <xf borderId="1" fillId="0" fontId="74" numFmtId="0" xfId="0" applyBorder="1" applyFont="1"/>
    <xf borderId="1" fillId="0" fontId="74"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6" numFmtId="0" xfId="0" applyAlignment="1" applyBorder="1" applyFont="1">
      <alignment horizontal="left" vertical="center"/>
    </xf>
    <xf borderId="10" fillId="14" fontId="26" numFmtId="0" xfId="0" applyAlignment="1" applyBorder="1" applyFont="1">
      <alignment horizontal="center" vertical="center"/>
    </xf>
    <xf borderId="10" fillId="14" fontId="74" numFmtId="0" xfId="0" applyBorder="1" applyFont="1"/>
    <xf borderId="1" fillId="3" fontId="38" numFmtId="0" xfId="0" applyAlignment="1" applyBorder="1" applyFont="1">
      <alignment horizontal="center" vertical="center"/>
    </xf>
    <xf borderId="1" fillId="0" fontId="26" numFmtId="14" xfId="0" applyAlignment="1" applyBorder="1" applyFont="1" applyNumberFormat="1">
      <alignment horizontal="center" shrinkToFit="0" vertical="center" wrapText="1"/>
    </xf>
    <xf borderId="1" fillId="3" fontId="26"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6" numFmtId="0" xfId="0" applyAlignment="1" applyBorder="1" applyFont="1">
      <alignment horizontal="center" vertical="center"/>
    </xf>
    <xf borderId="1" fillId="3" fontId="26" numFmtId="14" xfId="0" applyAlignment="1" applyBorder="1" applyFont="1" applyNumberFormat="1">
      <alignment horizontal="center" vertical="center"/>
    </xf>
    <xf borderId="1" fillId="3" fontId="26"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6" numFmtId="0" xfId="0" applyAlignment="1" applyBorder="1" applyFont="1">
      <alignment horizontal="left" vertical="center"/>
    </xf>
    <xf borderId="1" fillId="3" fontId="38" numFmtId="0" xfId="0" applyAlignment="1" applyBorder="1" applyFont="1">
      <alignment shrinkToFit="0" vertical="center" wrapText="1"/>
    </xf>
    <xf borderId="1" fillId="3" fontId="26"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6"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6" numFmtId="0" xfId="0" applyAlignment="1" applyBorder="1" applyFont="1">
      <alignment horizontal="center" shrinkToFit="0" vertical="center" wrapText="1"/>
    </xf>
    <xf borderId="8" fillId="3" fontId="26"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6" numFmtId="14" xfId="0" applyAlignment="1" applyBorder="1" applyFont="1" applyNumberFormat="1">
      <alignment horizontal="center" vertical="center"/>
    </xf>
    <xf borderId="1" fillId="13" fontId="26"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4" numFmtId="0" xfId="0" applyAlignment="1" applyBorder="1" applyFont="1">
      <alignment shrinkToFit="0" wrapText="1"/>
    </xf>
    <xf borderId="1" fillId="0" fontId="74" numFmtId="14" xfId="0" applyAlignment="1" applyBorder="1" applyFont="1" applyNumberFormat="1">
      <alignment horizontal="center"/>
    </xf>
    <xf borderId="1" fillId="0" fontId="74"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6" numFmtId="1" xfId="0" applyAlignment="1" applyBorder="1" applyFont="1" applyNumberFormat="1">
      <alignment horizontal="center" shrinkToFit="0" vertical="center" wrapText="1"/>
    </xf>
    <xf borderId="12" fillId="13" fontId="26"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6" numFmtId="0" xfId="0" applyAlignment="1" applyBorder="1" applyFont="1">
      <alignment horizontal="center" vertical="center"/>
    </xf>
    <xf borderId="10" fillId="3" fontId="74" numFmtId="0" xfId="0" applyBorder="1" applyFont="1"/>
    <xf borderId="8" fillId="4" fontId="38" numFmtId="0" xfId="0" applyAlignment="1" applyBorder="1" applyFont="1">
      <alignment horizontal="left" vertical="center"/>
    </xf>
    <xf borderId="8" fillId="13" fontId="26" numFmtId="0" xfId="0" applyAlignment="1" applyBorder="1" applyFont="1">
      <alignment horizontal="left" shrinkToFit="0" vertical="center" wrapText="1"/>
    </xf>
    <xf borderId="25" fillId="13" fontId="26" numFmtId="14" xfId="0" applyAlignment="1" applyBorder="1" applyFont="1" applyNumberFormat="1">
      <alignment horizontal="center" vertical="center"/>
    </xf>
    <xf borderId="8" fillId="4" fontId="26" numFmtId="0" xfId="0" applyAlignment="1" applyBorder="1" applyFont="1">
      <alignment shrinkToFit="0" vertical="center" wrapText="1"/>
    </xf>
    <xf borderId="8" fillId="4" fontId="26" numFmtId="0" xfId="0" applyAlignment="1" applyBorder="1" applyFont="1">
      <alignment shrinkToFit="0" vertical="top" wrapText="1"/>
    </xf>
    <xf borderId="7" fillId="0" fontId="26"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6"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6" numFmtId="0" xfId="0" applyAlignment="1" applyBorder="1" applyFont="1">
      <alignment horizontal="center" shrinkToFit="0" vertical="center" wrapText="1"/>
    </xf>
    <xf borderId="7" fillId="0" fontId="26"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7" numFmtId="0" xfId="0" applyAlignment="1" applyBorder="1" applyFont="1">
      <alignment vertical="center"/>
    </xf>
    <xf borderId="1" fillId="13" fontId="74" numFmtId="0" xfId="0" applyAlignment="1" applyBorder="1" applyFont="1">
      <alignment vertical="center"/>
    </xf>
    <xf borderId="1" fillId="13" fontId="74" numFmtId="0" xfId="0" applyAlignment="1" applyBorder="1" applyFont="1">
      <alignment horizontal="center" vertical="center"/>
    </xf>
    <xf borderId="1" fillId="13" fontId="74" numFmtId="14" xfId="0" applyAlignment="1" applyBorder="1" applyFont="1" applyNumberFormat="1">
      <alignment vertical="center"/>
    </xf>
    <xf borderId="1" fillId="13" fontId="74"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6" numFmtId="0" xfId="0" applyAlignment="1" applyBorder="1" applyFont="1">
      <alignment vertical="center"/>
    </xf>
    <xf borderId="8" fillId="13" fontId="26" numFmtId="0" xfId="0" applyAlignment="1" applyBorder="1" applyFont="1">
      <alignment shrinkToFit="0" vertical="top" wrapText="1"/>
    </xf>
    <xf borderId="10" fillId="13" fontId="26" numFmtId="14" xfId="0" applyAlignment="1" applyBorder="1" applyFont="1" applyNumberFormat="1">
      <alignment horizontal="center" vertical="center"/>
    </xf>
    <xf borderId="1" fillId="13" fontId="26" numFmtId="0" xfId="0" applyAlignment="1" applyBorder="1" applyFont="1">
      <alignment shrinkToFit="0" vertical="top" wrapText="1"/>
    </xf>
    <xf borderId="1" fillId="13" fontId="26" numFmtId="14" xfId="0" applyAlignment="1" applyBorder="1" applyFont="1" applyNumberFormat="1">
      <alignment shrinkToFit="0" vertical="top" wrapText="1"/>
    </xf>
    <xf borderId="28" fillId="13" fontId="26" numFmtId="0" xfId="0" applyAlignment="1" applyBorder="1" applyFont="1">
      <alignment horizontal="center" shrinkToFit="0" vertical="center" wrapText="1"/>
    </xf>
    <xf borderId="12" fillId="4" fontId="26" numFmtId="0" xfId="0" applyAlignment="1" applyBorder="1" applyFont="1">
      <alignment horizontal="left" vertical="center"/>
    </xf>
    <xf borderId="8" fillId="4" fontId="26" numFmtId="0" xfId="0" applyAlignment="1" applyBorder="1" applyFont="1">
      <alignment horizontal="left" vertical="center"/>
    </xf>
    <xf borderId="1" fillId="0" fontId="26" numFmtId="14" xfId="0" applyAlignment="1" applyBorder="1" applyFont="1" applyNumberFormat="1">
      <alignment shrinkToFit="0" vertical="center" wrapText="1"/>
    </xf>
    <xf borderId="1" fillId="4" fontId="26" numFmtId="0" xfId="0" applyAlignment="1" applyBorder="1" applyFont="1">
      <alignment vertical="center"/>
    </xf>
    <xf borderId="0" fillId="0" fontId="74" numFmtId="0" xfId="0" applyAlignment="1" applyFont="1">
      <alignment shrinkToFit="0" wrapText="1"/>
    </xf>
    <xf borderId="1" fillId="0" fontId="74" numFmtId="0" xfId="0" applyAlignment="1" applyBorder="1" applyFont="1">
      <alignment horizontal="left" shrinkToFit="0" vertical="center" wrapText="1"/>
    </xf>
    <xf borderId="1" fillId="0" fontId="128"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6" numFmtId="14" xfId="0" applyAlignment="1" applyBorder="1" applyFont="1" applyNumberFormat="1">
      <alignment horizontal="left" shrinkToFit="0" vertical="center" wrapText="1"/>
    </xf>
    <xf borderId="1" fillId="13" fontId="26"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6" numFmtId="0" xfId="0" applyAlignment="1" applyBorder="1" applyFont="1">
      <alignment horizontal="left" vertical="center"/>
    </xf>
    <xf borderId="12" fillId="14" fontId="26" numFmtId="0" xfId="0" applyAlignment="1" applyBorder="1" applyFont="1">
      <alignment horizontal="center" vertical="center"/>
    </xf>
    <xf borderId="12" fillId="14" fontId="26" numFmtId="14" xfId="0" applyAlignment="1" applyBorder="1" applyFont="1" applyNumberFormat="1">
      <alignment horizontal="center" vertical="center"/>
    </xf>
    <xf borderId="12" fillId="14" fontId="26" numFmtId="1" xfId="0" applyAlignment="1" applyBorder="1" applyFont="1" applyNumberFormat="1">
      <alignment horizontal="center" shrinkToFit="0" vertical="center" wrapText="1"/>
    </xf>
    <xf borderId="12" fillId="14" fontId="26"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6"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6" numFmtId="0" xfId="0" applyAlignment="1" applyBorder="1" applyFont="1">
      <alignment shrinkToFit="0" wrapText="1"/>
    </xf>
    <xf borderId="22" fillId="0" fontId="26" numFmtId="0" xfId="0" applyAlignment="1" applyBorder="1" applyFont="1">
      <alignment shrinkToFit="0" wrapText="1"/>
    </xf>
    <xf borderId="8" fillId="13" fontId="38" numFmtId="0" xfId="0" applyAlignment="1" applyBorder="1" applyFont="1">
      <alignment vertical="center"/>
    </xf>
    <xf borderId="12" fillId="13" fontId="26" numFmtId="0" xfId="0" applyAlignment="1" applyBorder="1" applyFont="1">
      <alignment horizontal="left" vertical="center"/>
    </xf>
    <xf borderId="10" fillId="13" fontId="38" numFmtId="0" xfId="0" applyAlignment="1" applyBorder="1" applyFont="1">
      <alignment horizontal="center" vertical="center"/>
    </xf>
    <xf borderId="12" fillId="4" fontId="26" numFmtId="0" xfId="0" applyAlignment="1" applyBorder="1" applyFont="1">
      <alignment horizontal="left" shrinkToFit="0" vertical="center" wrapText="1"/>
    </xf>
    <xf borderId="11" fillId="13" fontId="26" numFmtId="0" xfId="0" applyAlignment="1" applyBorder="1" applyFont="1">
      <alignment horizontal="center" vertical="center"/>
    </xf>
    <xf borderId="26" fillId="4" fontId="26" numFmtId="0" xfId="0" applyAlignment="1" applyBorder="1" applyFont="1">
      <alignment horizontal="left" shrinkToFit="0" vertical="center" wrapText="1"/>
    </xf>
    <xf borderId="12" fillId="13" fontId="26"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6" numFmtId="14" xfId="0" applyAlignment="1" applyBorder="1" applyFont="1" applyNumberFormat="1">
      <alignment horizontal="center" vertical="center"/>
    </xf>
    <xf borderId="11" fillId="13" fontId="26"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6" numFmtId="1" xfId="0" applyAlignment="1" applyBorder="1" applyFill="1" applyFont="1" applyNumberFormat="1">
      <alignment horizontal="center" shrinkToFit="0" vertical="center" wrapText="1"/>
    </xf>
    <xf borderId="1" fillId="13" fontId="26" numFmtId="14" xfId="0" applyAlignment="1" applyBorder="1" applyFont="1" applyNumberFormat="1">
      <alignment shrinkToFit="0" wrapText="1"/>
    </xf>
    <xf borderId="1" fillId="13" fontId="26" numFmtId="0" xfId="0" applyAlignment="1" applyBorder="1" applyFont="1">
      <alignment vertical="top"/>
    </xf>
    <xf borderId="20" fillId="0" fontId="74" numFmtId="0" xfId="0" applyAlignment="1" applyBorder="1" applyFont="1">
      <alignment horizontal="left" shrinkToFit="0" vertical="center" wrapText="1"/>
    </xf>
    <xf borderId="20" fillId="0" fontId="26" numFmtId="0" xfId="0" applyAlignment="1" applyBorder="1" applyFont="1">
      <alignment horizontal="left" vertical="center"/>
    </xf>
    <xf borderId="7" fillId="13" fontId="38" numFmtId="0" xfId="0" applyAlignment="1" applyBorder="1" applyFont="1">
      <alignment horizontal="center" vertical="center"/>
    </xf>
    <xf borderId="13" fillId="0" fontId="129" numFmtId="0" xfId="0" applyBorder="1" applyFont="1"/>
    <xf borderId="1" fillId="13" fontId="38" numFmtId="14" xfId="0" applyAlignment="1" applyBorder="1" applyFont="1" applyNumberFormat="1">
      <alignment horizontal="left" shrinkToFit="0" vertical="top" wrapText="1"/>
    </xf>
    <xf borderId="0" fillId="0" fontId="74" numFmtId="0" xfId="0" applyAlignment="1" applyFont="1">
      <alignment horizontal="center"/>
    </xf>
    <xf borderId="20" fillId="0" fontId="38" numFmtId="0" xfId="0" applyAlignment="1" applyBorder="1" applyFont="1">
      <alignment horizontal="center" vertical="center"/>
    </xf>
    <xf borderId="13" fillId="0" fontId="74" numFmtId="0" xfId="0" applyAlignment="1" applyBorder="1" applyFont="1">
      <alignment horizontal="left" shrinkToFit="0" vertical="center" wrapText="1"/>
    </xf>
    <xf borderId="1" fillId="4" fontId="26" numFmtId="0" xfId="0" applyAlignment="1" applyBorder="1" applyFont="1">
      <alignment shrinkToFit="0" vertical="top" wrapText="1"/>
    </xf>
    <xf borderId="1" fillId="13" fontId="26" numFmtId="14" xfId="0" applyAlignment="1" applyBorder="1" applyFont="1" applyNumberFormat="1">
      <alignment horizontal="center" shrinkToFit="0" vertical="center" wrapText="1"/>
    </xf>
    <xf borderId="1" fillId="4" fontId="26" numFmtId="0" xfId="0" applyBorder="1" applyFont="1"/>
    <xf borderId="1" fillId="0" fontId="74" numFmtId="0" xfId="0" applyAlignment="1" applyBorder="1" applyFont="1">
      <alignment shrinkToFit="0" vertical="center" wrapText="1"/>
    </xf>
    <xf borderId="1" fillId="4" fontId="74" numFmtId="0" xfId="0" applyAlignment="1" applyBorder="1" applyFont="1">
      <alignment vertical="center"/>
    </xf>
    <xf borderId="1" fillId="13" fontId="127" numFmtId="0" xfId="0" applyAlignment="1" applyBorder="1" applyFont="1">
      <alignment shrinkToFit="0" vertical="center" wrapText="1"/>
    </xf>
    <xf borderId="1" fillId="13" fontId="74" numFmtId="14" xfId="0" applyAlignment="1" applyBorder="1" applyFont="1" applyNumberFormat="1">
      <alignment shrinkToFit="0" vertical="center" wrapText="1"/>
    </xf>
    <xf borderId="1" fillId="4" fontId="74" numFmtId="0" xfId="0" applyAlignment="1" applyBorder="1" applyFont="1">
      <alignment horizontal="center" vertical="center"/>
    </xf>
    <xf borderId="1" fillId="0" fontId="74" numFmtId="14" xfId="0" applyAlignment="1" applyBorder="1" applyFont="1" applyNumberFormat="1">
      <alignment horizontal="center" vertical="center"/>
    </xf>
    <xf borderId="1" fillId="0" fontId="74" numFmtId="0" xfId="0" applyAlignment="1" applyBorder="1" applyFont="1">
      <alignment horizontal="center" vertical="center"/>
    </xf>
    <xf borderId="0" fillId="0" fontId="74" numFmtId="0" xfId="0" applyAlignment="1" applyFont="1">
      <alignment horizontal="center" vertical="center"/>
    </xf>
    <xf borderId="1" fillId="4" fontId="26" numFmtId="0" xfId="0" applyAlignment="1" applyBorder="1" applyFont="1">
      <alignment horizontal="left" vertical="center"/>
    </xf>
    <xf borderId="1" fillId="0" fontId="74" numFmtId="0" xfId="0" applyAlignment="1" applyBorder="1" applyFont="1">
      <alignment horizontal="center" shrinkToFit="0" wrapText="1"/>
    </xf>
    <xf borderId="1" fillId="0" fontId="74" numFmtId="0" xfId="0" applyAlignment="1" applyBorder="1" applyFont="1">
      <alignment shrinkToFit="0" wrapText="1"/>
    </xf>
    <xf borderId="1" fillId="13" fontId="26" numFmtId="0" xfId="0" applyAlignment="1" applyBorder="1" applyFont="1">
      <alignment horizontal="left" vertical="top"/>
    </xf>
    <xf borderId="1" fillId="0" fontId="38" numFmtId="0" xfId="0" applyAlignment="1" applyBorder="1" applyFont="1">
      <alignment shrinkToFit="0" vertical="top" wrapText="1"/>
    </xf>
    <xf borderId="0" fillId="0" fontId="130" numFmtId="0" xfId="0" applyFont="1"/>
    <xf borderId="1" fillId="0" fontId="26"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4" numFmtId="0" xfId="0" applyBorder="1" applyFont="1"/>
    <xf borderId="0" fillId="0" fontId="74" numFmtId="14" xfId="0" applyFont="1" applyNumberFormat="1"/>
    <xf borderId="1" fillId="13" fontId="26" numFmtId="14" xfId="0" applyAlignment="1" applyBorder="1" applyFont="1" applyNumberFormat="1">
      <alignment horizontal="left" vertical="center"/>
    </xf>
    <xf borderId="1" fillId="13" fontId="131" numFmtId="14" xfId="0" applyAlignment="1" applyBorder="1" applyFont="1" applyNumberFormat="1">
      <alignment horizontal="left" vertical="top"/>
    </xf>
    <xf borderId="1" fillId="0" fontId="127" numFmtId="0" xfId="0" applyAlignment="1" applyBorder="1" applyFont="1">
      <alignment shrinkToFit="0" vertical="center" wrapText="1"/>
    </xf>
    <xf borderId="1" fillId="13" fontId="74" numFmtId="0" xfId="0" applyAlignment="1" applyBorder="1" applyFont="1">
      <alignment horizontal="center" shrinkToFit="0" vertical="center" wrapText="1"/>
    </xf>
    <xf borderId="1" fillId="13" fontId="74" numFmtId="0" xfId="0" applyAlignment="1" applyBorder="1" applyFont="1">
      <alignment vertical="top"/>
    </xf>
    <xf borderId="10" fillId="4" fontId="127" numFmtId="0" xfId="0" applyBorder="1" applyFont="1"/>
    <xf borderId="1" fillId="13" fontId="26"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6" numFmtId="0" xfId="0" applyAlignment="1" applyBorder="1" applyFont="1">
      <alignment horizontal="left" vertical="center"/>
    </xf>
    <xf borderId="10" fillId="13" fontId="26" numFmtId="0" xfId="0" applyAlignment="1" applyBorder="1" applyFont="1">
      <alignment horizontal="left" vertical="top"/>
    </xf>
    <xf borderId="1" fillId="4" fontId="74" numFmtId="0" xfId="0" applyBorder="1" applyFont="1"/>
    <xf borderId="7" fillId="0" fontId="38" numFmtId="0" xfId="0" applyAlignment="1" applyBorder="1" applyFont="1">
      <alignment vertical="top"/>
    </xf>
    <xf borderId="8" fillId="4" fontId="26" numFmtId="0" xfId="0" applyBorder="1" applyFont="1"/>
    <xf borderId="7" fillId="0" fontId="26" numFmtId="14" xfId="0" applyAlignment="1" applyBorder="1" applyFont="1" applyNumberFormat="1">
      <alignment horizontal="center"/>
    </xf>
    <xf borderId="8" fillId="13" fontId="26"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6"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6" numFmtId="0" xfId="0" applyAlignment="1" applyBorder="1" applyFont="1">
      <alignment vertical="top"/>
    </xf>
    <xf borderId="0" fillId="0" fontId="127" numFmtId="0" xfId="0" applyFont="1"/>
    <xf borderId="9" fillId="13" fontId="26" numFmtId="0" xfId="0" applyAlignment="1" applyBorder="1" applyFont="1">
      <alignment horizontal="center" shrinkToFit="0" vertical="center" wrapText="1"/>
    </xf>
    <xf borderId="21" fillId="13" fontId="132"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7" numFmtId="0" xfId="0" applyAlignment="1" applyBorder="1" applyFont="1">
      <alignment vertical="center"/>
    </xf>
    <xf borderId="1" fillId="13" fontId="26" numFmtId="1" xfId="0" applyAlignment="1" applyBorder="1" applyFont="1" applyNumberFormat="1">
      <alignment horizontal="center" vertical="center"/>
    </xf>
    <xf borderId="1" fillId="4" fontId="127" numFmtId="0" xfId="0" applyAlignment="1" applyBorder="1" applyFont="1">
      <alignment shrinkToFit="0" vertical="center" wrapText="1"/>
    </xf>
    <xf borderId="1" fillId="4" fontId="74" numFmtId="0" xfId="0" applyAlignment="1" applyBorder="1" applyFont="1">
      <alignment shrinkToFit="0" vertical="center" wrapText="1"/>
    </xf>
    <xf borderId="1" fillId="0" fontId="74" numFmtId="14" xfId="0" applyAlignment="1" applyBorder="1" applyFont="1" applyNumberFormat="1">
      <alignment shrinkToFit="0" vertical="center" wrapText="1"/>
    </xf>
    <xf borderId="0" fillId="0" fontId="74" numFmtId="0" xfId="0" applyAlignment="1" applyFont="1">
      <alignment shrinkToFit="0" vertical="center" wrapText="1"/>
    </xf>
    <xf borderId="1" fillId="0" fontId="26" numFmtId="0" xfId="0" applyAlignment="1" applyBorder="1" applyFont="1">
      <alignment vertical="top"/>
    </xf>
    <xf borderId="1" fillId="3" fontId="38" numFmtId="0" xfId="0" applyAlignment="1" applyBorder="1" applyFont="1">
      <alignment readingOrder="0" vertical="center"/>
    </xf>
    <xf borderId="1" fillId="3" fontId="26" numFmtId="0" xfId="0" applyAlignment="1" applyBorder="1" applyFont="1">
      <alignment horizontal="left" shrinkToFit="0" vertical="top" wrapText="1"/>
    </xf>
    <xf borderId="0" fillId="0" fontId="15" numFmtId="0" xfId="0" applyAlignment="1" applyFont="1">
      <alignment horizontal="center"/>
    </xf>
    <xf borderId="0" fillId="0" fontId="28" numFmtId="0" xfId="0" applyAlignment="1" applyFont="1">
      <alignment horizontal="center"/>
    </xf>
    <xf borderId="1" fillId="18" fontId="127" numFmtId="0" xfId="0" applyAlignment="1" applyBorder="1" applyFill="1" applyFont="1">
      <alignment vertical="center"/>
    </xf>
    <xf borderId="1" fillId="18" fontId="127" numFmtId="14" xfId="0" applyAlignment="1" applyBorder="1" applyFont="1" applyNumberFormat="1">
      <alignment horizontal="center" shrinkToFit="0" vertical="center" wrapText="1"/>
    </xf>
    <xf borderId="8" fillId="18" fontId="127" numFmtId="14" xfId="0" applyAlignment="1" applyBorder="1" applyFont="1" applyNumberFormat="1">
      <alignment horizontal="center" shrinkToFit="0" vertical="center" wrapText="1"/>
    </xf>
    <xf borderId="21" fillId="18" fontId="127" numFmtId="14" xfId="0" applyAlignment="1" applyBorder="1" applyFont="1" applyNumberFormat="1">
      <alignment horizontal="center" shrinkToFit="0" vertical="center" wrapText="1"/>
    </xf>
    <xf borderId="1" fillId="13" fontId="127" numFmtId="0" xfId="0" applyBorder="1" applyFont="1"/>
    <xf borderId="1" fillId="0" fontId="74" numFmtId="0" xfId="0" applyAlignment="1" applyBorder="1" applyFont="1">
      <alignment horizontal="center"/>
    </xf>
    <xf borderId="1" fillId="0" fontId="133" numFmtId="0" xfId="0" applyBorder="1" applyFont="1"/>
    <xf borderId="22" fillId="0" fontId="74" numFmtId="0" xfId="0" applyBorder="1" applyFont="1"/>
    <xf borderId="7" fillId="0" fontId="74" numFmtId="0" xfId="0" applyAlignment="1" applyBorder="1" applyFont="1">
      <alignment horizontal="center" shrinkToFit="0" vertical="center" wrapText="1"/>
    </xf>
    <xf borderId="20" fillId="0" fontId="129" numFmtId="0" xfId="0" applyBorder="1" applyFont="1"/>
    <xf borderId="1" fillId="0" fontId="134" numFmtId="0" xfId="0" applyBorder="1" applyFont="1"/>
    <xf borderId="1" fillId="0" fontId="135" numFmtId="0" xfId="0" applyAlignment="1" applyBorder="1" applyFont="1">
      <alignment readingOrder="0"/>
    </xf>
    <xf borderId="1" fillId="0" fontId="135" numFmtId="0" xfId="0" applyAlignment="1" applyBorder="1" applyFont="1">
      <alignment horizontal="center" readingOrder="0"/>
    </xf>
    <xf borderId="1" fillId="0" fontId="135" numFmtId="0" xfId="0" applyAlignment="1" applyBorder="1" applyFont="1">
      <alignment readingOrder="0" shrinkToFit="0" wrapText="1"/>
    </xf>
    <xf borderId="1" fillId="0" fontId="28" numFmtId="168" xfId="0" applyAlignment="1" applyBorder="1" applyFont="1" applyNumberFormat="1">
      <alignment horizontal="center" readingOrder="0" vertical="center"/>
    </xf>
    <xf borderId="1" fillId="0" fontId="28" numFmtId="20" xfId="0" applyAlignment="1" applyBorder="1" applyFont="1" applyNumberFormat="1">
      <alignment horizontal="center" readingOrder="0" vertical="center"/>
    </xf>
    <xf borderId="1" fillId="0" fontId="28" numFmtId="0" xfId="0" applyAlignment="1" applyBorder="1" applyFont="1">
      <alignment horizontal="center" readingOrder="0" vertical="center"/>
    </xf>
    <xf borderId="1" fillId="0" fontId="28" numFmtId="0" xfId="0" applyAlignment="1" applyBorder="1" applyFont="1">
      <alignment horizontal="left" readingOrder="0" shrinkToFit="0" vertical="center" wrapText="1"/>
    </xf>
    <xf borderId="0" fillId="0" fontId="28" numFmtId="0" xfId="0" applyAlignment="1" applyFont="1">
      <alignment horizontal="center" vertical="center"/>
    </xf>
    <xf borderId="1" fillId="0" fontId="28" numFmtId="20" xfId="0" applyAlignment="1" applyBorder="1" applyFont="1" applyNumberFormat="1">
      <alignment horizontal="center" readingOrder="0"/>
    </xf>
    <xf borderId="1" fillId="0" fontId="28" numFmtId="0" xfId="0" applyAlignment="1" applyBorder="1" applyFont="1">
      <alignment horizontal="center" readingOrder="0"/>
    </xf>
    <xf borderId="1" fillId="0" fontId="28" numFmtId="0" xfId="0" applyAlignment="1" applyBorder="1" applyFont="1">
      <alignment readingOrder="0" shrinkToFit="0" wrapText="1"/>
    </xf>
    <xf borderId="1" fillId="0" fontId="28" numFmtId="168" xfId="0" applyAlignment="1" applyBorder="1" applyFont="1" applyNumberFormat="1">
      <alignment horizontal="left" readingOrder="0"/>
    </xf>
    <xf borderId="1" fillId="0" fontId="28" numFmtId="20" xfId="0" applyAlignment="1" applyBorder="1" applyFont="1" applyNumberFormat="1">
      <alignment horizontal="left" readingOrder="0"/>
    </xf>
    <xf borderId="1" fillId="0" fontId="28" numFmtId="20" xfId="0" applyAlignment="1" applyBorder="1" applyFont="1" applyNumberFormat="1">
      <alignment horizontal="left" readingOrder="0" vertical="center"/>
    </xf>
    <xf borderId="1" fillId="0" fontId="28" numFmtId="0" xfId="0" applyAlignment="1" applyBorder="1" applyFont="1">
      <alignment horizontal="left" readingOrder="0"/>
    </xf>
    <xf borderId="1" fillId="0" fontId="28" numFmtId="0" xfId="0" applyAlignment="1" applyBorder="1" applyFont="1">
      <alignment horizontal="left" readingOrder="0" shrinkToFit="0" wrapText="1"/>
    </xf>
    <xf borderId="1" fillId="0" fontId="28" numFmtId="0" xfId="0" applyBorder="1" applyFont="1"/>
    <xf borderId="1" fillId="0" fontId="28" numFmtId="0" xfId="0" applyAlignment="1" applyBorder="1" applyFont="1">
      <alignment horizontal="center"/>
    </xf>
    <xf borderId="1" fillId="0" fontId="28" numFmtId="0" xfId="0" applyAlignment="1" applyBorder="1" applyFont="1">
      <alignment shrinkToFit="0" wrapText="1"/>
    </xf>
    <xf borderId="0" fillId="0" fontId="28"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39" displayName="Tabla_1" name="Tabla_1" id="1">
  <autoFilter ref="$A$1:$BN$1039"/>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06" displayName="Tabla" name="Tabla" id="2">
  <autoFilter ref="$A$1:$R$1006">
    <filterColumn colId="5">
      <filters>
        <filter val="EN PROCESO"/>
        <filter val="FINALIZADO"/>
      </filters>
    </filterColumn>
  </autoFilter>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eptiembre.se/" TargetMode="Externa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175</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customHeight="1">
      <c r="A3" s="15" t="s">
        <v>64</v>
      </c>
      <c r="B3" s="16" t="s">
        <v>71</v>
      </c>
      <c r="C3" s="17" t="s">
        <v>72</v>
      </c>
      <c r="D3" s="17"/>
      <c r="E3" s="18"/>
      <c r="F3" s="19" t="s">
        <v>73</v>
      </c>
      <c r="G3" s="20">
        <v>95.0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44" t="s">
        <v>88</v>
      </c>
      <c r="Q4" s="28" t="s">
        <v>69</v>
      </c>
      <c r="R4" s="45">
        <v>0.0</v>
      </c>
      <c r="S4" s="45" t="s">
        <v>89</v>
      </c>
      <c r="T4" s="46" t="s">
        <v>90</v>
      </c>
      <c r="U4" s="37"/>
      <c r="V4" s="37"/>
      <c r="W4" s="37"/>
      <c r="X4" s="37"/>
      <c r="Y4" s="37"/>
      <c r="Z4" s="37"/>
      <c r="AA4" s="47" t="s">
        <v>91</v>
      </c>
      <c r="AB4" s="48"/>
      <c r="AC4" s="47" t="s">
        <v>92</v>
      </c>
      <c r="AD4" s="47" t="s">
        <v>93</v>
      </c>
      <c r="AE4" s="47" t="s">
        <v>94</v>
      </c>
      <c r="AF4" s="47" t="s">
        <v>95</v>
      </c>
      <c r="AG4" s="47" t="s">
        <v>96</v>
      </c>
      <c r="AH4" s="49" t="s">
        <v>97</v>
      </c>
      <c r="AI4" s="49" t="s">
        <v>98</v>
      </c>
      <c r="AJ4" s="49"/>
      <c r="AK4" s="49"/>
      <c r="AL4" s="49"/>
      <c r="AM4" s="49"/>
      <c r="AN4" s="49" t="s">
        <v>99</v>
      </c>
      <c r="AO4" s="49"/>
      <c r="AP4" s="49"/>
      <c r="AQ4" s="49" t="s">
        <v>100</v>
      </c>
      <c r="AR4" s="34" t="s">
        <v>101</v>
      </c>
      <c r="AS4" s="34" t="s">
        <v>102</v>
      </c>
      <c r="AT4" s="34"/>
      <c r="AU4" s="34"/>
      <c r="AV4" s="34" t="s">
        <v>103</v>
      </c>
      <c r="AW4" s="34" t="s">
        <v>104</v>
      </c>
      <c r="AX4" s="34"/>
      <c r="AY4" s="34"/>
      <c r="AZ4" s="34" t="s">
        <v>105</v>
      </c>
      <c r="BA4" s="34" t="s">
        <v>106</v>
      </c>
      <c r="BB4" s="34" t="s">
        <v>107</v>
      </c>
      <c r="BC4" s="34" t="s">
        <v>108</v>
      </c>
      <c r="BD4" s="34"/>
      <c r="BE4" s="34" t="s">
        <v>109</v>
      </c>
      <c r="BF4" s="34" t="s">
        <v>110</v>
      </c>
      <c r="BG4" s="34" t="s">
        <v>111</v>
      </c>
      <c r="BH4" s="34" t="s">
        <v>112</v>
      </c>
      <c r="BI4" s="34" t="s">
        <v>113</v>
      </c>
      <c r="BJ4" s="34" t="s">
        <v>114</v>
      </c>
      <c r="BK4" s="34"/>
      <c r="BL4" s="34" t="s">
        <v>115</v>
      </c>
      <c r="BM4" s="34"/>
      <c r="BN4" s="34"/>
    </row>
    <row r="5" ht="29.25" customHeight="1">
      <c r="A5" s="15" t="s">
        <v>64</v>
      </c>
      <c r="B5" s="16" t="s">
        <v>116</v>
      </c>
      <c r="C5" s="40" t="s">
        <v>117</v>
      </c>
      <c r="D5" s="40"/>
      <c r="E5" s="18"/>
      <c r="F5" s="19" t="s">
        <v>118</v>
      </c>
      <c r="G5" s="29"/>
      <c r="H5" s="50"/>
      <c r="I5" s="22">
        <v>45712.0</v>
      </c>
      <c r="J5" s="23">
        <v>45715.0</v>
      </c>
      <c r="K5" s="51"/>
      <c r="L5" s="23">
        <v>45723.0</v>
      </c>
      <c r="M5" s="25">
        <f>IF(ISBLANK(L5), NETWORKDAYS(J5, TODAY(),Hoja2!$A$1:$A$18), NETWORKDAYS(J5, L5, Hoja2!$A$1:$A$18))</f>
        <v>7</v>
      </c>
      <c r="N5" s="22"/>
      <c r="O5" s="26"/>
      <c r="P5" s="52" t="s">
        <v>119</v>
      </c>
      <c r="Q5" s="28" t="s">
        <v>120</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customHeight="1">
      <c r="A6" s="15" t="s">
        <v>64</v>
      </c>
      <c r="B6" s="16" t="s">
        <v>121</v>
      </c>
      <c r="C6" s="40" t="s">
        <v>122</v>
      </c>
      <c r="D6" s="40"/>
      <c r="E6" s="18"/>
      <c r="F6" s="19" t="s">
        <v>118</v>
      </c>
      <c r="G6" s="29"/>
      <c r="H6" s="50"/>
      <c r="I6" s="22">
        <v>45747.0</v>
      </c>
      <c r="J6" s="23">
        <v>45747.0</v>
      </c>
      <c r="K6" s="51"/>
      <c r="L6" s="23"/>
      <c r="M6" s="25">
        <f>IF(ISBLANK(L6), NETWORKDAYS(J6, TODAY(),Hoja2!$A$1:$A$18), NETWORKDAYS(J6, L6, Hoja2!$A$1:$A$18))</f>
        <v>153</v>
      </c>
      <c r="N6" s="22"/>
      <c r="O6" s="26"/>
      <c r="P6" s="52" t="s">
        <v>123</v>
      </c>
      <c r="Q6" s="28" t="s">
        <v>120</v>
      </c>
      <c r="R6" s="38"/>
      <c r="S6" s="38"/>
      <c r="T6" s="30"/>
      <c r="U6" s="37"/>
      <c r="V6" s="37"/>
      <c r="W6" s="37"/>
      <c r="X6" s="37"/>
      <c r="Y6" s="37"/>
      <c r="Z6" s="37"/>
      <c r="AA6" s="37"/>
      <c r="AB6" s="37"/>
      <c r="AC6" s="37"/>
      <c r="AD6" s="37"/>
      <c r="AE6" s="37"/>
      <c r="AF6" s="37"/>
      <c r="AG6" s="37"/>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row>
    <row r="7" ht="39.0" customHeight="1">
      <c r="A7" s="54" t="s">
        <v>124</v>
      </c>
      <c r="B7" s="16" t="s">
        <v>125</v>
      </c>
      <c r="C7" s="55" t="s">
        <v>126</v>
      </c>
      <c r="D7" s="55"/>
      <c r="E7" s="56"/>
      <c r="F7" s="19" t="s">
        <v>73</v>
      </c>
      <c r="G7" s="57">
        <v>100.0</v>
      </c>
      <c r="H7" s="58"/>
      <c r="I7" s="59">
        <v>45719.0</v>
      </c>
      <c r="J7" s="60">
        <v>45779.0</v>
      </c>
      <c r="K7" s="60">
        <v>45793.0</v>
      </c>
      <c r="L7" s="60">
        <v>45791.0</v>
      </c>
      <c r="M7" s="25">
        <f>IF(ISBLANK(L7), NETWORKDAYS(J7, TODAY(),Hoja2!$A$1:$A$18), NETWORKDAYS(J7, L7, Hoja2!$A$1:$A$18))</f>
        <v>9</v>
      </c>
      <c r="N7" s="59"/>
      <c r="O7" s="61">
        <v>45883.0</v>
      </c>
      <c r="P7" s="62" t="s">
        <v>127</v>
      </c>
      <c r="Q7" s="28" t="s">
        <v>69</v>
      </c>
      <c r="R7" s="57"/>
      <c r="S7" s="57" t="s">
        <v>128</v>
      </c>
      <c r="T7" s="63" t="s">
        <v>129</v>
      </c>
      <c r="U7" s="64" t="s">
        <v>130</v>
      </c>
      <c r="V7" s="64" t="s">
        <v>131</v>
      </c>
      <c r="W7" s="64" t="s">
        <v>132</v>
      </c>
      <c r="X7" s="65"/>
      <c r="Y7" s="64" t="s">
        <v>133</v>
      </c>
      <c r="Z7" s="64" t="s">
        <v>134</v>
      </c>
      <c r="AA7" s="64" t="s">
        <v>135</v>
      </c>
      <c r="AB7" s="65"/>
      <c r="AC7" s="64" t="s">
        <v>136</v>
      </c>
      <c r="AD7" s="64" t="s">
        <v>137</v>
      </c>
      <c r="AE7" s="64" t="s">
        <v>138</v>
      </c>
      <c r="AF7" s="64" t="s">
        <v>139</v>
      </c>
      <c r="AG7" s="65"/>
      <c r="AH7" s="66" t="s">
        <v>140</v>
      </c>
      <c r="AI7" s="66" t="s">
        <v>141</v>
      </c>
      <c r="AJ7" s="66" t="s">
        <v>142</v>
      </c>
      <c r="AK7" s="66" t="s">
        <v>143</v>
      </c>
      <c r="AL7" s="66" t="s">
        <v>144</v>
      </c>
      <c r="AM7" s="66" t="s">
        <v>145</v>
      </c>
      <c r="AN7" s="66" t="s">
        <v>146</v>
      </c>
      <c r="AO7" s="66"/>
      <c r="AP7" s="66" t="s">
        <v>147</v>
      </c>
      <c r="AQ7" s="66"/>
      <c r="AR7" s="66"/>
      <c r="AS7" s="66"/>
      <c r="AT7" s="66" t="s">
        <v>148</v>
      </c>
      <c r="AU7" s="66"/>
      <c r="AV7" s="66"/>
      <c r="AW7" s="66"/>
      <c r="BE7" s="66" t="s">
        <v>149</v>
      </c>
      <c r="BF7" s="66"/>
      <c r="BG7" s="66"/>
      <c r="BH7" s="66"/>
      <c r="BI7" s="66" t="s">
        <v>150</v>
      </c>
      <c r="BJ7" s="66" t="s">
        <v>151</v>
      </c>
      <c r="BK7" s="66"/>
      <c r="BL7" s="66" t="s">
        <v>152</v>
      </c>
      <c r="BM7" s="66"/>
      <c r="BN7" s="66"/>
    </row>
    <row r="8" ht="29.25" customHeight="1">
      <c r="A8" s="54" t="s">
        <v>153</v>
      </c>
      <c r="B8" s="16" t="s">
        <v>154</v>
      </c>
      <c r="C8" s="17" t="s">
        <v>155</v>
      </c>
      <c r="D8" s="17"/>
      <c r="E8" s="67" t="s">
        <v>156</v>
      </c>
      <c r="F8" s="19" t="s">
        <v>73</v>
      </c>
      <c r="G8" s="57">
        <v>100.0</v>
      </c>
      <c r="H8" s="68"/>
      <c r="I8" s="59">
        <v>45730.0</v>
      </c>
      <c r="J8" s="69">
        <v>45733.0</v>
      </c>
      <c r="K8" s="23"/>
      <c r="L8" s="35">
        <v>45824.0</v>
      </c>
      <c r="M8" s="25">
        <f>IF(ISBLANK(L8), NETWORKDAYS(J8, TODAY(),Hoja2!$A$1:$A$18), NETWORKDAYS(J8, L8, Hoja2!$A$1:$A$18))</f>
        <v>66</v>
      </c>
      <c r="N8" s="59"/>
      <c r="O8" s="70"/>
      <c r="P8" s="71" t="s">
        <v>157</v>
      </c>
      <c r="Q8" s="28" t="s">
        <v>69</v>
      </c>
      <c r="R8" s="72"/>
      <c r="S8" s="72"/>
      <c r="T8" s="73"/>
      <c r="U8" s="74"/>
      <c r="V8" s="74"/>
      <c r="W8" s="74"/>
      <c r="X8" s="74"/>
      <c r="Y8" s="74"/>
      <c r="Z8" s="74"/>
      <c r="AA8" s="74"/>
      <c r="AB8" s="74"/>
      <c r="AC8" s="74"/>
      <c r="AD8" s="74"/>
      <c r="AE8" s="74"/>
      <c r="AF8" s="74"/>
      <c r="AG8" s="74"/>
      <c r="AH8" s="75"/>
      <c r="AI8" s="75"/>
      <c r="AJ8" s="75"/>
      <c r="AK8" s="75"/>
      <c r="AL8" s="75"/>
      <c r="AM8" s="75"/>
      <c r="AN8" s="75"/>
      <c r="AO8" s="76" t="s">
        <v>158</v>
      </c>
      <c r="AP8" s="75"/>
      <c r="AQ8" s="75"/>
      <c r="AR8" s="75"/>
      <c r="AS8" s="75"/>
      <c r="AT8" s="76" t="s">
        <v>159</v>
      </c>
      <c r="AU8" s="76"/>
      <c r="AV8" s="76"/>
      <c r="AW8" s="76"/>
      <c r="AX8" s="76"/>
      <c r="AY8" s="76"/>
      <c r="AZ8" s="76"/>
      <c r="BA8" s="76"/>
      <c r="BB8" s="76"/>
      <c r="BC8" s="76"/>
      <c r="BD8" s="76"/>
      <c r="BE8" s="76"/>
      <c r="BF8" s="76"/>
      <c r="BG8" s="76"/>
      <c r="BH8" s="76"/>
      <c r="BI8" s="76"/>
      <c r="BJ8" s="76"/>
      <c r="BK8" s="76"/>
      <c r="BL8" s="76"/>
      <c r="BM8" s="76"/>
      <c r="BN8" s="76"/>
    </row>
    <row r="9" ht="29.25" customHeight="1">
      <c r="A9" s="54" t="s">
        <v>153</v>
      </c>
      <c r="B9" s="16" t="s">
        <v>160</v>
      </c>
      <c r="C9" s="77" t="s">
        <v>161</v>
      </c>
      <c r="D9" s="77"/>
      <c r="E9" s="56"/>
      <c r="F9" s="19" t="s">
        <v>118</v>
      </c>
      <c r="G9" s="57">
        <v>97.0</v>
      </c>
      <c r="H9" s="29"/>
      <c r="I9" s="59">
        <v>45691.0</v>
      </c>
      <c r="J9" s="69">
        <v>45688.0</v>
      </c>
      <c r="K9" s="23">
        <v>45691.0</v>
      </c>
      <c r="L9" s="23">
        <v>45700.0</v>
      </c>
      <c r="M9" s="78">
        <f>IF(ISBLANK(L9), NETWORKDAYS(J9, TODAY(),Hoja2!$A$1:$A$18), NETWORKDAYS(J9, L9, Hoja2!$A$1:$A$18))</f>
        <v>9</v>
      </c>
      <c r="N9" s="59">
        <v>45723.0</v>
      </c>
      <c r="O9" s="70"/>
      <c r="P9" s="79" t="s">
        <v>162</v>
      </c>
      <c r="Q9" s="28" t="s">
        <v>120</v>
      </c>
      <c r="R9" s="57"/>
      <c r="S9" s="57" t="s">
        <v>163</v>
      </c>
      <c r="T9" s="63" t="s">
        <v>164</v>
      </c>
      <c r="U9" s="80"/>
      <c r="V9" s="80"/>
      <c r="W9" s="80"/>
      <c r="X9" s="80"/>
      <c r="Y9" s="80"/>
      <c r="Z9" s="80"/>
      <c r="AA9" s="80"/>
      <c r="AB9" s="80"/>
      <c r="AC9" s="80"/>
      <c r="AD9" s="80"/>
      <c r="AE9" s="80"/>
      <c r="AF9" s="80"/>
      <c r="AG9" s="80"/>
      <c r="AH9" s="81"/>
      <c r="AI9" s="81"/>
      <c r="AJ9" s="81"/>
      <c r="AK9" s="81"/>
      <c r="AL9" s="81"/>
      <c r="AM9" s="81"/>
      <c r="AN9" s="82" t="s">
        <v>165</v>
      </c>
      <c r="AO9" s="82"/>
      <c r="AP9" s="81"/>
      <c r="AQ9" s="82" t="s">
        <v>166</v>
      </c>
      <c r="AR9" s="82" t="s">
        <v>167</v>
      </c>
      <c r="AS9" s="82"/>
      <c r="AT9" s="82"/>
      <c r="AU9" s="82"/>
      <c r="AV9" s="82"/>
      <c r="AW9" s="82"/>
      <c r="AX9" s="82"/>
      <c r="AY9" s="82"/>
      <c r="AZ9" s="82"/>
      <c r="BA9" s="82"/>
      <c r="BB9" s="82"/>
      <c r="BC9" s="82"/>
      <c r="BD9" s="82" t="s">
        <v>168</v>
      </c>
      <c r="BE9" s="82" t="s">
        <v>169</v>
      </c>
      <c r="BF9" s="82"/>
      <c r="BG9" s="82"/>
      <c r="BH9" s="82"/>
      <c r="BI9" s="82"/>
      <c r="BJ9" s="82"/>
      <c r="BK9" s="82"/>
      <c r="BL9" s="82"/>
      <c r="BM9" s="82"/>
      <c r="BN9" s="82"/>
    </row>
    <row r="10" ht="29.25" customHeight="1">
      <c r="A10" s="54" t="s">
        <v>153</v>
      </c>
      <c r="B10" s="16" t="s">
        <v>170</v>
      </c>
      <c r="C10" s="77" t="s">
        <v>171</v>
      </c>
      <c r="D10" s="77"/>
      <c r="E10" s="56"/>
      <c r="F10" s="19" t="s">
        <v>118</v>
      </c>
      <c r="G10" s="57">
        <v>97.0</v>
      </c>
      <c r="H10" s="29"/>
      <c r="I10" s="59">
        <v>45761.0</v>
      </c>
      <c r="J10" s="69">
        <v>45761.0</v>
      </c>
      <c r="K10" s="23"/>
      <c r="L10" s="60">
        <v>45771.0</v>
      </c>
      <c r="M10" s="78">
        <f>IF(ISBLANK(L10), NETWORKDAYS(J10, TODAY(),Hoja2!$A$1:$A$18), NETWORKDAYS(J10, L10, Hoja2!$A$1:$A$18))</f>
        <v>9</v>
      </c>
      <c r="N10" s="83">
        <v>45771.0</v>
      </c>
      <c r="O10" s="70"/>
      <c r="P10" s="79" t="s">
        <v>172</v>
      </c>
      <c r="Q10" s="28" t="s">
        <v>120</v>
      </c>
      <c r="R10" s="57"/>
      <c r="S10" s="57" t="s">
        <v>163</v>
      </c>
      <c r="T10" s="63" t="s">
        <v>164</v>
      </c>
      <c r="U10" s="80"/>
      <c r="V10" s="80"/>
      <c r="W10" s="80"/>
      <c r="X10" s="80"/>
      <c r="Y10" s="80"/>
      <c r="Z10" s="80"/>
      <c r="AA10" s="84" t="s">
        <v>173</v>
      </c>
      <c r="AB10" s="85"/>
      <c r="AC10" s="85"/>
      <c r="AD10" s="85"/>
      <c r="AE10" s="84" t="s">
        <v>174</v>
      </c>
      <c r="AF10" s="84" t="s">
        <v>175</v>
      </c>
      <c r="AG10" s="84" t="s">
        <v>176</v>
      </c>
      <c r="AH10" s="82" t="s">
        <v>177</v>
      </c>
      <c r="AI10" s="82"/>
      <c r="AJ10" s="82"/>
      <c r="AK10" s="82"/>
      <c r="AL10" s="82"/>
      <c r="AM10" s="82"/>
      <c r="AN10" s="82" t="s">
        <v>165</v>
      </c>
      <c r="AO10" s="82"/>
      <c r="AP10" s="82"/>
      <c r="AQ10" s="82" t="s">
        <v>166</v>
      </c>
      <c r="AR10" s="82" t="s">
        <v>167</v>
      </c>
      <c r="AS10" s="82"/>
      <c r="AT10" s="82"/>
      <c r="AU10" s="82"/>
      <c r="AV10" s="82"/>
      <c r="AW10" s="82"/>
      <c r="AX10" s="82"/>
      <c r="AY10" s="82"/>
      <c r="AZ10" s="82"/>
      <c r="BA10" s="82"/>
      <c r="BB10" s="82"/>
      <c r="BC10" s="82"/>
      <c r="BD10" s="82" t="s">
        <v>168</v>
      </c>
      <c r="BE10" s="82"/>
      <c r="BF10" s="82"/>
      <c r="BG10" s="82"/>
      <c r="BH10" s="82"/>
      <c r="BI10" s="82"/>
      <c r="BJ10" s="82"/>
      <c r="BK10" s="82"/>
      <c r="BL10" s="82"/>
      <c r="BM10" s="82"/>
      <c r="BN10" s="82"/>
    </row>
    <row r="11" ht="29.25" customHeight="1">
      <c r="A11" s="54" t="s">
        <v>153</v>
      </c>
      <c r="B11" s="16" t="s">
        <v>178</v>
      </c>
      <c r="C11" s="77" t="s">
        <v>179</v>
      </c>
      <c r="D11" s="77"/>
      <c r="E11" s="86"/>
      <c r="F11" s="87" t="s">
        <v>73</v>
      </c>
      <c r="G11" s="57">
        <v>100.0</v>
      </c>
      <c r="H11" s="57">
        <v>9.0</v>
      </c>
      <c r="I11" s="83">
        <v>45814.0</v>
      </c>
      <c r="J11" s="60">
        <v>45826.0</v>
      </c>
      <c r="K11" s="60">
        <v>45842.0</v>
      </c>
      <c r="L11" s="60">
        <v>45849.0</v>
      </c>
      <c r="M11" s="78">
        <f>IF(ISBLANK(L11), NETWORKDAYS(J11, TODAY(),Hoja2!$A$1:$A$18), NETWORKDAYS(J11, L11, Hoja2!$A$1:$A$18))</f>
        <v>18</v>
      </c>
      <c r="N11" s="83">
        <v>45849.0</v>
      </c>
      <c r="O11" s="61">
        <v>45924.0</v>
      </c>
      <c r="P11" s="88" t="s">
        <v>180</v>
      </c>
      <c r="Q11" s="28" t="s">
        <v>69</v>
      </c>
      <c r="R11" s="57"/>
      <c r="S11" s="57" t="s">
        <v>181</v>
      </c>
      <c r="T11" s="63" t="s">
        <v>182</v>
      </c>
      <c r="U11" s="89"/>
      <c r="V11" s="89"/>
      <c r="W11" s="90"/>
      <c r="X11" s="91"/>
      <c r="Y11" s="90"/>
      <c r="Z11" s="90"/>
      <c r="AA11" s="90"/>
      <c r="AB11" s="91"/>
      <c r="AC11" s="91"/>
      <c r="AD11" s="91"/>
      <c r="AE11" s="91"/>
      <c r="AF11" s="91"/>
      <c r="AG11" s="91"/>
      <c r="AH11" s="92"/>
      <c r="AI11" s="92"/>
      <c r="AJ11" s="93"/>
      <c r="AK11" s="93"/>
      <c r="AL11" s="93" t="s">
        <v>183</v>
      </c>
      <c r="AM11" s="93"/>
      <c r="AN11" s="93"/>
      <c r="AO11" s="93" t="s">
        <v>184</v>
      </c>
      <c r="AP11" s="93" t="s">
        <v>185</v>
      </c>
      <c r="AQ11" s="93" t="s">
        <v>186</v>
      </c>
      <c r="AR11" s="93" t="s">
        <v>187</v>
      </c>
      <c r="AS11" s="93"/>
      <c r="AT11" s="93" t="s">
        <v>188</v>
      </c>
      <c r="AU11" s="93"/>
      <c r="AV11" s="93" t="s">
        <v>189</v>
      </c>
      <c r="AW11" s="93" t="s">
        <v>190</v>
      </c>
      <c r="AX11" s="93" t="s">
        <v>191</v>
      </c>
      <c r="AY11" s="93"/>
      <c r="AZ11" s="93" t="s">
        <v>192</v>
      </c>
      <c r="BA11" s="93" t="s">
        <v>193</v>
      </c>
      <c r="BB11" s="93" t="s">
        <v>194</v>
      </c>
      <c r="BC11" s="93" t="s">
        <v>195</v>
      </c>
      <c r="BD11" s="93"/>
      <c r="BE11" s="93" t="s">
        <v>196</v>
      </c>
      <c r="BF11" s="93"/>
      <c r="BG11" s="93" t="s">
        <v>197</v>
      </c>
      <c r="BH11" s="93"/>
      <c r="BI11" s="93" t="s">
        <v>198</v>
      </c>
      <c r="BJ11" s="93"/>
      <c r="BK11" s="93"/>
      <c r="BL11" s="93" t="s">
        <v>199</v>
      </c>
      <c r="BM11" s="93"/>
      <c r="BN11" s="93"/>
    </row>
    <row r="12" ht="29.25" customHeight="1">
      <c r="A12" s="54" t="s">
        <v>153</v>
      </c>
      <c r="B12" s="94" t="s">
        <v>200</v>
      </c>
      <c r="C12" s="77" t="s">
        <v>201</v>
      </c>
      <c r="D12" s="77" t="s">
        <v>202</v>
      </c>
      <c r="E12" s="86"/>
      <c r="F12" s="87" t="s">
        <v>67</v>
      </c>
      <c r="G12" s="57">
        <v>70.0</v>
      </c>
      <c r="H12" s="57"/>
      <c r="I12" s="83">
        <v>45918.0</v>
      </c>
      <c r="J12" s="60">
        <v>45929.0</v>
      </c>
      <c r="K12" s="60"/>
      <c r="L12" s="60">
        <v>45930.0</v>
      </c>
      <c r="M12" s="78">
        <f>IF(ISBLANK(L12), NETWORKDAYS(J12, TODAY(),Hoja2!$A$1:$A$18), NETWORKDAYS(J12, L12, Hoja2!$A$1:$A$18))</f>
        <v>2</v>
      </c>
      <c r="N12" s="83">
        <v>45930.0</v>
      </c>
      <c r="O12" s="61"/>
      <c r="P12" s="88" t="s">
        <v>203</v>
      </c>
      <c r="Q12" s="28" t="s">
        <v>69</v>
      </c>
      <c r="R12" s="57"/>
      <c r="S12" s="57"/>
      <c r="T12" s="95"/>
      <c r="U12" s="90" t="s">
        <v>204</v>
      </c>
      <c r="V12" s="89"/>
      <c r="W12" s="90"/>
      <c r="X12" s="91"/>
      <c r="Y12" s="90"/>
      <c r="Z12" s="90"/>
      <c r="AA12" s="90"/>
      <c r="AB12" s="91"/>
      <c r="AC12" s="91"/>
      <c r="AD12" s="91"/>
      <c r="AE12" s="91"/>
      <c r="AF12" s="91"/>
      <c r="AG12" s="91"/>
      <c r="AH12" s="92"/>
      <c r="AI12" s="92"/>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row>
    <row r="13" ht="29.25" customHeight="1">
      <c r="A13" s="54" t="s">
        <v>205</v>
      </c>
      <c r="B13" s="94" t="s">
        <v>206</v>
      </c>
      <c r="C13" s="77" t="s">
        <v>207</v>
      </c>
      <c r="D13" s="77"/>
      <c r="E13" s="86"/>
      <c r="F13" s="87" t="s">
        <v>73</v>
      </c>
      <c r="G13" s="57">
        <v>100.0</v>
      </c>
      <c r="H13" s="57"/>
      <c r="I13" s="83">
        <v>45938.0</v>
      </c>
      <c r="J13" s="60">
        <v>45938.0</v>
      </c>
      <c r="K13" s="60"/>
      <c r="L13" s="60">
        <v>45946.0</v>
      </c>
      <c r="M13" s="78">
        <f>IF(ISBLANK(L13), NETWORKDAYS(J13, TODAY(),Hoja2!$A$1:$A$18), NETWORKDAYS(J13, L13, Hoja2!$A$1:$A$18))</f>
        <v>7</v>
      </c>
      <c r="N13" s="83"/>
      <c r="O13" s="61"/>
      <c r="P13" s="88" t="s">
        <v>208</v>
      </c>
      <c r="Q13" s="28" t="s">
        <v>69</v>
      </c>
      <c r="R13" s="57"/>
      <c r="S13" s="57"/>
      <c r="T13" s="95"/>
      <c r="U13" s="89"/>
      <c r="V13" s="89"/>
      <c r="W13" s="90"/>
      <c r="X13" s="91"/>
      <c r="Y13" s="90"/>
      <c r="Z13" s="90"/>
      <c r="AA13" s="90"/>
      <c r="AB13" s="91"/>
      <c r="AC13" s="91"/>
      <c r="AD13" s="91"/>
      <c r="AE13" s="91"/>
      <c r="AF13" s="91"/>
      <c r="AG13" s="91"/>
      <c r="AH13" s="92"/>
      <c r="AI13" s="92"/>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row>
    <row r="14" ht="29.25" customHeight="1">
      <c r="A14" s="54" t="s">
        <v>153</v>
      </c>
      <c r="B14" s="94" t="s">
        <v>209</v>
      </c>
      <c r="C14" s="77" t="s">
        <v>210</v>
      </c>
      <c r="D14" s="77" t="s">
        <v>211</v>
      </c>
      <c r="E14" s="86"/>
      <c r="F14" s="87" t="s">
        <v>212</v>
      </c>
      <c r="G14" s="57"/>
      <c r="H14" s="57"/>
      <c r="I14" s="83">
        <v>45924.0</v>
      </c>
      <c r="J14" s="60"/>
      <c r="K14" s="60"/>
      <c r="L14" s="60"/>
      <c r="M14" s="78">
        <f>IF(ISBLANK(L14), NETWORKDAYS(J14, TODAY(),Hoja2!$A$1:$A$18), NETWORKDAYS(J14, L14, Hoja2!$A$1:$A$18))</f>
        <v>32812</v>
      </c>
      <c r="N14" s="83"/>
      <c r="O14" s="61"/>
      <c r="P14" s="88" t="s">
        <v>213</v>
      </c>
      <c r="Q14" s="28" t="s">
        <v>120</v>
      </c>
      <c r="R14" s="57"/>
      <c r="S14" s="57"/>
      <c r="T14" s="95"/>
      <c r="U14" s="89"/>
      <c r="V14" s="89"/>
      <c r="W14" s="90"/>
      <c r="X14" s="91"/>
      <c r="Y14" s="90"/>
      <c r="Z14" s="90"/>
      <c r="AA14" s="90"/>
      <c r="AB14" s="91"/>
      <c r="AC14" s="91"/>
      <c r="AD14" s="91"/>
      <c r="AE14" s="91"/>
      <c r="AF14" s="91"/>
      <c r="AG14" s="91"/>
      <c r="AH14" s="92"/>
      <c r="AI14" s="92"/>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row>
    <row r="15" ht="29.25" customHeight="1">
      <c r="A15" s="54" t="s">
        <v>153</v>
      </c>
      <c r="B15" s="94" t="s">
        <v>214</v>
      </c>
      <c r="C15" s="96" t="s">
        <v>215</v>
      </c>
      <c r="D15" s="96" t="s">
        <v>216</v>
      </c>
      <c r="E15" s="97"/>
      <c r="F15" s="98" t="s">
        <v>73</v>
      </c>
      <c r="G15" s="57">
        <v>100.0</v>
      </c>
      <c r="H15" s="99"/>
      <c r="I15" s="83">
        <v>45894.0</v>
      </c>
      <c r="J15" s="60">
        <v>45894.0</v>
      </c>
      <c r="K15" s="69"/>
      <c r="L15" s="60">
        <v>45895.0</v>
      </c>
      <c r="M15" s="25">
        <f>IF(ISBLANK(L15), NETWORKDAYS(J15, TODAY(),Hoja2!$A$1:$A$18), NETWORKDAYS(J15, L15, Hoja2!$A$1:$A$18))</f>
        <v>2</v>
      </c>
      <c r="N15" s="83">
        <v>45898.0</v>
      </c>
      <c r="O15" s="70"/>
      <c r="P15" s="62" t="s">
        <v>217</v>
      </c>
      <c r="Q15" s="100" t="s">
        <v>69</v>
      </c>
      <c r="R15" s="72"/>
      <c r="S15" s="72"/>
      <c r="T15" s="73"/>
      <c r="U15" s="101"/>
      <c r="V15" s="101"/>
      <c r="W15" s="101"/>
      <c r="X15" s="101"/>
      <c r="Y15" s="101"/>
      <c r="Z15" s="101"/>
      <c r="AA15" s="101"/>
      <c r="AB15" s="101"/>
      <c r="AC15" s="101"/>
      <c r="AD15" s="101"/>
      <c r="AE15" s="101"/>
      <c r="AF15" s="101"/>
      <c r="AG15" s="101"/>
      <c r="AH15" s="102"/>
      <c r="AI15" s="102"/>
      <c r="AJ15" s="102"/>
      <c r="AK15" s="102"/>
      <c r="AL15" s="102"/>
      <c r="AM15" s="102"/>
      <c r="AN15" s="102"/>
      <c r="AO15" s="66"/>
      <c r="AP15" s="102"/>
      <c r="AQ15" s="102"/>
      <c r="AR15" s="102"/>
      <c r="AS15" s="102"/>
      <c r="AT15" s="102"/>
      <c r="AU15" s="102"/>
      <c r="AV15" s="102"/>
      <c r="AW15" s="102"/>
      <c r="AX15" s="102"/>
      <c r="AY15" s="102"/>
      <c r="AZ15" s="102"/>
      <c r="BA15" s="102"/>
      <c r="BB15" s="102"/>
      <c r="BC15" s="102"/>
      <c r="BD15" s="102"/>
      <c r="BE15" s="102"/>
      <c r="BF15" s="102"/>
      <c r="BG15" s="102"/>
      <c r="BH15" s="102"/>
      <c r="BI15" s="102"/>
      <c r="BJ15" s="102"/>
      <c r="BK15" s="102"/>
      <c r="BL15" s="102"/>
      <c r="BM15" s="102"/>
      <c r="BN15" s="102"/>
    </row>
    <row r="16" ht="29.25" customHeight="1">
      <c r="A16" s="54" t="s">
        <v>153</v>
      </c>
      <c r="B16" s="94" t="s">
        <v>218</v>
      </c>
      <c r="C16" s="96" t="s">
        <v>219</v>
      </c>
      <c r="D16" s="103"/>
      <c r="E16" s="97"/>
      <c r="F16" s="98" t="s">
        <v>212</v>
      </c>
      <c r="G16" s="99"/>
      <c r="H16" s="99"/>
      <c r="I16" s="83">
        <v>45902.0</v>
      </c>
      <c r="J16" s="69"/>
      <c r="K16" s="69"/>
      <c r="L16" s="69"/>
      <c r="M16" s="25">
        <f>IF(ISBLANK(L16), NETWORKDAYS(J16, TODAY(),Hoja2!$A$1:$A$18), NETWORKDAYS(J16, L16, Hoja2!$A$1:$A$18))</f>
        <v>32812</v>
      </c>
      <c r="N16" s="59"/>
      <c r="O16" s="70"/>
      <c r="P16" s="104"/>
      <c r="Q16" s="28" t="s">
        <v>69</v>
      </c>
      <c r="R16" s="72"/>
      <c r="S16" s="72"/>
      <c r="T16" s="73"/>
      <c r="U16" s="101"/>
      <c r="V16" s="101"/>
      <c r="W16" s="101"/>
      <c r="X16" s="101"/>
      <c r="Y16" s="101"/>
      <c r="Z16" s="101"/>
      <c r="AA16" s="101"/>
      <c r="AB16" s="101"/>
      <c r="AC16" s="101"/>
      <c r="AD16" s="101"/>
      <c r="AE16" s="101"/>
      <c r="AF16" s="101"/>
      <c r="AG16" s="101"/>
      <c r="AH16" s="102"/>
      <c r="AI16" s="102"/>
      <c r="AJ16" s="102"/>
      <c r="AK16" s="102"/>
      <c r="AL16" s="102"/>
      <c r="AM16" s="102"/>
      <c r="AN16" s="102"/>
      <c r="AO16" s="66"/>
      <c r="AP16" s="102"/>
      <c r="AQ16" s="102"/>
      <c r="AR16" s="102"/>
      <c r="AS16" s="102"/>
      <c r="AT16" s="102"/>
      <c r="AU16" s="102"/>
      <c r="AV16" s="102"/>
      <c r="AW16" s="102"/>
      <c r="AX16" s="102"/>
      <c r="AY16" s="102"/>
      <c r="AZ16" s="102"/>
      <c r="BA16" s="102"/>
      <c r="BB16" s="102"/>
      <c r="BC16" s="102"/>
      <c r="BD16" s="102"/>
      <c r="BE16" s="102"/>
      <c r="BF16" s="102"/>
      <c r="BG16" s="102"/>
      <c r="BH16" s="102"/>
      <c r="BI16" s="102"/>
      <c r="BJ16" s="102"/>
      <c r="BK16" s="102"/>
      <c r="BL16" s="102"/>
      <c r="BM16" s="102"/>
      <c r="BN16" s="102"/>
    </row>
    <row r="17" ht="29.25" customHeight="1">
      <c r="A17" s="54" t="s">
        <v>153</v>
      </c>
      <c r="B17" s="16" t="s">
        <v>220</v>
      </c>
      <c r="C17" s="103" t="s">
        <v>221</v>
      </c>
      <c r="D17" s="103"/>
      <c r="E17" s="97"/>
      <c r="F17" s="98" t="s">
        <v>212</v>
      </c>
      <c r="G17" s="99"/>
      <c r="H17" s="99"/>
      <c r="I17" s="59">
        <v>45712.0</v>
      </c>
      <c r="J17" s="69"/>
      <c r="K17" s="69"/>
      <c r="L17" s="69"/>
      <c r="M17" s="25">
        <f>IF(ISBLANK(L17), NETWORKDAYS(J17, TODAY(),Hoja2!$A$1:$A$18), NETWORKDAYS(J17, L17, Hoja2!$A$1:$A$18))</f>
        <v>32812</v>
      </c>
      <c r="N17" s="59"/>
      <c r="O17" s="70"/>
      <c r="P17" s="104" t="s">
        <v>222</v>
      </c>
      <c r="Q17" s="100" t="s">
        <v>120</v>
      </c>
      <c r="R17" s="72"/>
      <c r="S17" s="72"/>
      <c r="T17" s="73"/>
      <c r="U17" s="101"/>
      <c r="V17" s="101"/>
      <c r="W17" s="101"/>
      <c r="X17" s="101"/>
      <c r="Y17" s="101"/>
      <c r="Z17" s="101"/>
      <c r="AA17" s="101"/>
      <c r="AB17" s="101"/>
      <c r="AC17" s="101"/>
      <c r="AD17" s="101"/>
      <c r="AE17" s="101"/>
      <c r="AF17" s="101"/>
      <c r="AG17" s="101"/>
      <c r="AH17" s="102"/>
      <c r="AI17" s="102"/>
      <c r="AJ17" s="102"/>
      <c r="AK17" s="102"/>
      <c r="AL17" s="102"/>
      <c r="AM17" s="102"/>
      <c r="AN17" s="102"/>
      <c r="AO17" s="66" t="s">
        <v>223</v>
      </c>
      <c r="AP17" s="102"/>
      <c r="AQ17" s="102"/>
      <c r="AR17" s="102"/>
      <c r="AS17" s="102"/>
      <c r="AT17" s="102"/>
      <c r="AU17" s="102"/>
      <c r="AV17" s="102"/>
      <c r="AW17" s="102"/>
      <c r="AX17" s="102"/>
      <c r="AY17" s="102"/>
      <c r="AZ17" s="102"/>
      <c r="BA17" s="102"/>
      <c r="BB17" s="102"/>
      <c r="BC17" s="102"/>
      <c r="BD17" s="102"/>
      <c r="BE17" s="102"/>
      <c r="BF17" s="102"/>
      <c r="BG17" s="102"/>
      <c r="BH17" s="102"/>
      <c r="BI17" s="102"/>
      <c r="BJ17" s="102"/>
      <c r="BK17" s="102"/>
      <c r="BL17" s="102"/>
      <c r="BM17" s="102"/>
      <c r="BN17" s="102"/>
    </row>
    <row r="18" ht="29.25" customHeight="1">
      <c r="A18" s="54" t="s">
        <v>124</v>
      </c>
      <c r="B18" s="16" t="s">
        <v>224</v>
      </c>
      <c r="C18" s="77" t="s">
        <v>225</v>
      </c>
      <c r="D18" s="77"/>
      <c r="E18" s="105" t="s">
        <v>226</v>
      </c>
      <c r="F18" s="19" t="s">
        <v>118</v>
      </c>
      <c r="G18" s="57"/>
      <c r="H18" s="106"/>
      <c r="I18" s="59">
        <v>45757.0</v>
      </c>
      <c r="J18" s="69"/>
      <c r="K18" s="69"/>
      <c r="L18" s="69"/>
      <c r="M18" s="72"/>
      <c r="N18" s="59"/>
      <c r="O18" s="70"/>
      <c r="P18" s="107"/>
      <c r="Q18" s="28" t="s">
        <v>120</v>
      </c>
      <c r="R18" s="31"/>
      <c r="S18" s="31"/>
      <c r="T18" s="73"/>
      <c r="U18" s="31" t="s">
        <v>227</v>
      </c>
      <c r="V18" s="32"/>
      <c r="W18" s="32"/>
      <c r="X18" s="32"/>
      <c r="Y18" s="32"/>
      <c r="Z18" s="108"/>
      <c r="AA18" s="109"/>
      <c r="AB18" s="109"/>
      <c r="AC18" s="109"/>
      <c r="AD18" s="109"/>
      <c r="AE18" s="109"/>
      <c r="AF18" s="110" t="s">
        <v>228</v>
      </c>
      <c r="AG18" s="109"/>
      <c r="AH18" s="111"/>
      <c r="AI18" s="111"/>
      <c r="AJ18" s="111"/>
      <c r="AK18" s="111"/>
      <c r="AL18" s="111"/>
      <c r="AM18" s="111"/>
      <c r="AN18" s="111"/>
      <c r="AO18" s="112" t="s">
        <v>229</v>
      </c>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row>
    <row r="19" ht="29.25" customHeight="1">
      <c r="A19" s="54" t="s">
        <v>124</v>
      </c>
      <c r="B19" s="16" t="s">
        <v>230</v>
      </c>
      <c r="C19" s="113" t="s">
        <v>231</v>
      </c>
      <c r="D19" s="113"/>
      <c r="E19" s="114" t="s">
        <v>212</v>
      </c>
      <c r="F19" s="115" t="s">
        <v>73</v>
      </c>
      <c r="G19" s="116">
        <v>100.0</v>
      </c>
      <c r="H19" s="108"/>
      <c r="I19" s="117">
        <v>45800.0</v>
      </c>
      <c r="J19" s="60">
        <v>45800.0</v>
      </c>
      <c r="K19" s="60"/>
      <c r="L19" s="60">
        <v>45825.0</v>
      </c>
      <c r="M19" s="25">
        <f>IF(ISBLANK(L19), NETWORKDAYS(J19, TODAY(),Hoja2!$A$1:$A$18), NETWORKDAYS(J19, L19, Hoja2!$A$1:$A$18))</f>
        <v>18</v>
      </c>
      <c r="N19" s="83">
        <v>45825.0</v>
      </c>
      <c r="O19" s="61">
        <v>45835.0</v>
      </c>
      <c r="P19" s="107"/>
      <c r="Q19" s="28" t="s">
        <v>69</v>
      </c>
      <c r="R19" s="118"/>
      <c r="S19" s="118"/>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customHeight="1">
      <c r="A20" s="54" t="s">
        <v>124</v>
      </c>
      <c r="B20" s="16" t="s">
        <v>245</v>
      </c>
      <c r="C20" s="119" t="s">
        <v>246</v>
      </c>
      <c r="D20" s="119"/>
      <c r="E20" s="114" t="s">
        <v>212</v>
      </c>
      <c r="F20" s="115" t="s">
        <v>73</v>
      </c>
      <c r="G20" s="116">
        <v>100.0</v>
      </c>
      <c r="H20" s="108"/>
      <c r="I20" s="117">
        <v>45800.0</v>
      </c>
      <c r="J20" s="60">
        <v>45813.0</v>
      </c>
      <c r="K20" s="60"/>
      <c r="L20" s="60">
        <v>45835.0</v>
      </c>
      <c r="M20" s="25">
        <f>IF(ISBLANK(L20), NETWORKDAYS(J20, TODAY(),Hoja2!$A$1:$A$18), NETWORKDAYS(J20, L20, Hoja2!$A$1:$A$18))</f>
        <v>17</v>
      </c>
      <c r="N20" s="83">
        <v>45813.0</v>
      </c>
      <c r="O20" s="61">
        <v>45835.0</v>
      </c>
      <c r="P20" s="107"/>
      <c r="Q20" s="28" t="s">
        <v>69</v>
      </c>
      <c r="R20" s="118"/>
      <c r="S20" s="118"/>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customHeight="1">
      <c r="A21" s="54" t="s">
        <v>153</v>
      </c>
      <c r="B21" s="120" t="s">
        <v>255</v>
      </c>
      <c r="C21" s="77" t="s">
        <v>256</v>
      </c>
      <c r="D21" s="77"/>
      <c r="E21" s="105"/>
      <c r="F21" s="87" t="s">
        <v>118</v>
      </c>
      <c r="G21" s="57">
        <v>90.0</v>
      </c>
      <c r="H21" s="57">
        <v>2.0</v>
      </c>
      <c r="I21" s="83">
        <v>45772.0</v>
      </c>
      <c r="J21" s="60">
        <v>45775.0</v>
      </c>
      <c r="K21" s="60">
        <v>45777.0</v>
      </c>
      <c r="L21" s="60"/>
      <c r="M21" s="78">
        <f>IF(ISBLANK(L21), NETWORKDAYS(J21, TODAY(),Hoja2!$A$1:$A$18), NETWORKDAYS(J21, L21, Hoja2!$A$1:$A$18))</f>
        <v>133</v>
      </c>
      <c r="N21" s="83"/>
      <c r="O21" s="61"/>
      <c r="P21" s="31" t="s">
        <v>257</v>
      </c>
      <c r="Q21" s="28" t="s">
        <v>120</v>
      </c>
      <c r="R21" s="99"/>
      <c r="S21" s="99"/>
      <c r="T21" s="121"/>
      <c r="U21" s="31" t="s">
        <v>258</v>
      </c>
      <c r="V21" s="90" t="s">
        <v>259</v>
      </c>
      <c r="W21" s="90" t="s">
        <v>260</v>
      </c>
      <c r="X21" s="91"/>
      <c r="Y21" s="91"/>
      <c r="Z21" s="91"/>
      <c r="AA21" s="91"/>
      <c r="AB21" s="91"/>
      <c r="AC21" s="91"/>
      <c r="AD21" s="90" t="s">
        <v>261</v>
      </c>
      <c r="AE21" s="91"/>
      <c r="AF21" s="91"/>
      <c r="AG21" s="91"/>
      <c r="AH21" s="92"/>
      <c r="AI21" s="92"/>
      <c r="AJ21" s="92"/>
      <c r="AK21" s="92"/>
      <c r="AL21" s="92"/>
      <c r="AM21" s="92"/>
      <c r="AN21" s="92"/>
      <c r="AO21" s="92"/>
      <c r="AP21" s="92"/>
      <c r="AQ21" s="92"/>
      <c r="AR21" s="92"/>
      <c r="AS21" s="92"/>
      <c r="AT21" s="92"/>
      <c r="AU21" s="92"/>
      <c r="AV21" s="92"/>
      <c r="AW21" s="92"/>
      <c r="AX21" s="92"/>
      <c r="AY21" s="93" t="s">
        <v>262</v>
      </c>
      <c r="AZ21" s="93" t="s">
        <v>263</v>
      </c>
      <c r="BA21" s="93"/>
      <c r="BB21" s="93"/>
      <c r="BC21" s="93" t="s">
        <v>264</v>
      </c>
      <c r="BD21" s="93"/>
      <c r="BE21" s="93" t="s">
        <v>265</v>
      </c>
      <c r="BF21" s="93"/>
      <c r="BG21" s="93" t="s">
        <v>266</v>
      </c>
      <c r="BH21" s="93" t="s">
        <v>267</v>
      </c>
      <c r="BI21" s="93" t="s">
        <v>268</v>
      </c>
      <c r="BJ21" s="93" t="s">
        <v>269</v>
      </c>
      <c r="BK21" s="93"/>
      <c r="BL21" s="93"/>
      <c r="BM21" s="93"/>
      <c r="BN21" s="93"/>
    </row>
    <row r="22" ht="29.25" customHeight="1">
      <c r="A22" s="15" t="s">
        <v>64</v>
      </c>
      <c r="B22" s="16" t="s">
        <v>270</v>
      </c>
      <c r="C22" s="77" t="s">
        <v>271</v>
      </c>
      <c r="D22" s="77"/>
      <c r="E22" s="105"/>
      <c r="F22" s="87" t="s">
        <v>73</v>
      </c>
      <c r="G22" s="57">
        <v>100.0</v>
      </c>
      <c r="H22" s="57"/>
      <c r="I22" s="83">
        <v>45827.0</v>
      </c>
      <c r="J22" s="60">
        <v>45827.0</v>
      </c>
      <c r="K22" s="60">
        <v>45828.0</v>
      </c>
      <c r="L22" s="60">
        <v>45867.0</v>
      </c>
      <c r="M22" s="25">
        <f>IF(ISBLANK(L22), NETWORKDAYS(J22, TODAY(),Hoja2!$A$1:$A$18), NETWORKDAYS(J22, L22, Hoja2!$A$1:$A$18))</f>
        <v>29</v>
      </c>
      <c r="N22" s="83"/>
      <c r="O22" s="122"/>
      <c r="P22" s="123"/>
      <c r="Q22" s="28" t="s">
        <v>69</v>
      </c>
      <c r="R22" s="99"/>
      <c r="S22" s="99"/>
      <c r="T22" s="121"/>
      <c r="U22" s="123"/>
      <c r="V22" s="123"/>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77" t="s">
        <v>279</v>
      </c>
      <c r="D23" s="77"/>
      <c r="E23" s="105"/>
      <c r="F23" s="19" t="s">
        <v>280</v>
      </c>
      <c r="G23" s="57">
        <v>5.0</v>
      </c>
      <c r="H23" s="57">
        <v>15.0</v>
      </c>
      <c r="I23" s="83">
        <v>45782.0</v>
      </c>
      <c r="J23" s="60">
        <v>45782.0</v>
      </c>
      <c r="K23" s="60"/>
      <c r="L23" s="60"/>
      <c r="M23" s="25">
        <f>IF(ISBLANK(L23), NETWORKDAYS(J23, TODAY(),Hoja2!$A$1:$A$18), NETWORKDAYS(J23, L23, Hoja2!$A$1:$A$18))</f>
        <v>128</v>
      </c>
      <c r="N23" s="83"/>
      <c r="O23" s="122"/>
      <c r="P23" s="123"/>
      <c r="Q23" s="28" t="s">
        <v>69</v>
      </c>
      <c r="R23" s="99"/>
      <c r="S23" s="99"/>
      <c r="T23" s="121"/>
      <c r="U23" s="123"/>
      <c r="V23" s="123"/>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customHeight="1">
      <c r="A24" s="15" t="s">
        <v>64</v>
      </c>
      <c r="B24" s="16" t="s">
        <v>284</v>
      </c>
      <c r="C24" s="77" t="s">
        <v>285</v>
      </c>
      <c r="D24" s="77"/>
      <c r="E24" s="105"/>
      <c r="F24" s="87" t="s">
        <v>286</v>
      </c>
      <c r="G24" s="57">
        <v>70.0</v>
      </c>
      <c r="H24" s="57">
        <v>30.0</v>
      </c>
      <c r="I24" s="83">
        <v>45785.0</v>
      </c>
      <c r="J24" s="60">
        <v>45791.0</v>
      </c>
      <c r="K24" s="60"/>
      <c r="L24" s="60"/>
      <c r="M24" s="25">
        <f>IF(ISBLANK(L24), NETWORKDAYS(J24, TODAY(),Hoja2!$A$1:$A$18), NETWORKDAYS(J24, L24, Hoja2!$A$1:$A$18))</f>
        <v>121</v>
      </c>
      <c r="N24" s="83"/>
      <c r="O24" s="122"/>
      <c r="P24" s="31" t="s">
        <v>287</v>
      </c>
      <c r="Q24" s="28" t="s">
        <v>69</v>
      </c>
      <c r="R24" s="99"/>
      <c r="S24" s="99"/>
      <c r="T24" s="121"/>
      <c r="U24" s="123"/>
      <c r="V24" s="123"/>
      <c r="W24" s="123"/>
      <c r="X24" s="123"/>
      <c r="Y24" s="123"/>
      <c r="Z24" s="31" t="s">
        <v>288</v>
      </c>
      <c r="AA24" s="31" t="s">
        <v>289</v>
      </c>
      <c r="AB24" s="32"/>
      <c r="AC24" s="31" t="s">
        <v>290</v>
      </c>
      <c r="AD24" s="31" t="s">
        <v>291</v>
      </c>
      <c r="AE24" s="31" t="s">
        <v>292</v>
      </c>
      <c r="AF24" s="31" t="s">
        <v>293</v>
      </c>
      <c r="AG24" s="31" t="s">
        <v>294</v>
      </c>
      <c r="AH24" s="34" t="s">
        <v>295</v>
      </c>
      <c r="AI24" s="34" t="s">
        <v>296</v>
      </c>
      <c r="AJ24" s="34" t="s">
        <v>297</v>
      </c>
      <c r="AK24" s="34"/>
      <c r="AL24" s="34"/>
      <c r="AM24" s="34" t="s">
        <v>298</v>
      </c>
      <c r="AN24" s="34"/>
      <c r="AO24" s="34"/>
      <c r="AP24" s="34" t="s">
        <v>299</v>
      </c>
      <c r="AQ24" s="34" t="s">
        <v>300</v>
      </c>
      <c r="AR24" s="34"/>
      <c r="AS24" s="34"/>
      <c r="AT24" s="34" t="s">
        <v>301</v>
      </c>
      <c r="AU24" s="34"/>
      <c r="AV24" s="34"/>
      <c r="AW24" s="34" t="s">
        <v>302</v>
      </c>
      <c r="AX24" s="34"/>
      <c r="AY24" s="34"/>
      <c r="AZ24" s="34"/>
      <c r="BA24" s="34"/>
      <c r="BB24" s="34" t="s">
        <v>303</v>
      </c>
      <c r="BC24" s="34"/>
      <c r="BD24" s="34"/>
      <c r="BE24" s="34"/>
      <c r="BF24" s="34"/>
      <c r="BG24" s="34"/>
      <c r="BH24" s="34" t="s">
        <v>304</v>
      </c>
      <c r="BI24" s="34" t="s">
        <v>305</v>
      </c>
      <c r="BJ24" s="34" t="s">
        <v>306</v>
      </c>
      <c r="BK24" s="124" t="s">
        <v>307</v>
      </c>
      <c r="BL24" s="124"/>
      <c r="BM24" s="124" t="s">
        <v>308</v>
      </c>
      <c r="BN24" s="124"/>
    </row>
    <row r="25" ht="29.25" customHeight="1">
      <c r="A25" s="54" t="s">
        <v>153</v>
      </c>
      <c r="B25" s="16" t="s">
        <v>309</v>
      </c>
      <c r="C25" s="125" t="s">
        <v>310</v>
      </c>
      <c r="D25" s="77"/>
      <c r="E25" s="105"/>
      <c r="F25" s="19" t="s">
        <v>212</v>
      </c>
      <c r="G25" s="57">
        <v>80.0</v>
      </c>
      <c r="H25" s="126"/>
      <c r="I25" s="83">
        <v>45786.0</v>
      </c>
      <c r="J25" s="60">
        <v>45792.0</v>
      </c>
      <c r="K25" s="60">
        <v>45793.0</v>
      </c>
      <c r="L25" s="60"/>
      <c r="M25" s="25">
        <f>IF(ISBLANK(L25), NETWORKDAYS(J25, TODAY(),Hoja2!$A$1:$A$18), NETWORKDAYS(J25, L25, Hoja2!$A$1:$A$18))</f>
        <v>120</v>
      </c>
      <c r="N25" s="83">
        <v>45793.0</v>
      </c>
      <c r="O25" s="122"/>
      <c r="P25" s="31" t="s">
        <v>311</v>
      </c>
      <c r="Q25" s="28" t="s">
        <v>69</v>
      </c>
      <c r="R25" s="99"/>
      <c r="S25" s="99"/>
      <c r="T25" s="121"/>
      <c r="U25" s="123"/>
      <c r="V25" s="123"/>
      <c r="W25" s="123"/>
      <c r="X25" s="123"/>
      <c r="Y25" s="123"/>
      <c r="Z25" s="123"/>
      <c r="AA25" s="123"/>
      <c r="AB25" s="123"/>
      <c r="AC25" s="31" t="s">
        <v>312</v>
      </c>
      <c r="AD25" s="31" t="s">
        <v>313</v>
      </c>
      <c r="AE25" s="32"/>
      <c r="AF25" s="31" t="s">
        <v>314</v>
      </c>
      <c r="AG25" s="31" t="s">
        <v>315</v>
      </c>
      <c r="AH25" s="34" t="s">
        <v>316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customHeight="1">
      <c r="A26" s="54" t="s">
        <v>153</v>
      </c>
      <c r="B26" s="16" t="s">
        <v>317</v>
      </c>
      <c r="C26" s="127" t="s">
        <v>318</v>
      </c>
      <c r="D26" s="127"/>
      <c r="E26" s="105"/>
      <c r="F26" s="87" t="s">
        <v>212</v>
      </c>
      <c r="G26" s="57">
        <v>0.0</v>
      </c>
      <c r="H26" s="126"/>
      <c r="I26" s="83">
        <v>45796.0</v>
      </c>
      <c r="J26" s="60"/>
      <c r="K26" s="60"/>
      <c r="L26" s="60"/>
      <c r="M26" s="25">
        <f>IF(ISBLANK(L26), NETWORKDAYS(J26, TODAY(),Hoja2!$A$1:$A$18), NETWORKDAYS(J26, L26, Hoja2!$A$1:$A$18))</f>
        <v>32812</v>
      </c>
      <c r="N26" s="83"/>
      <c r="O26" s="122"/>
      <c r="P26" s="123"/>
      <c r="Q26" s="100" t="s">
        <v>120</v>
      </c>
      <c r="R26" s="99"/>
      <c r="S26" s="99"/>
      <c r="T26" s="121"/>
      <c r="U26" s="123"/>
      <c r="V26" s="123"/>
      <c r="W26" s="123"/>
      <c r="X26" s="123"/>
      <c r="Y26" s="123"/>
      <c r="Z26" s="123"/>
      <c r="AA26" s="123"/>
      <c r="AB26" s="123"/>
      <c r="AC26" s="31"/>
      <c r="AD26" s="31"/>
      <c r="AE26" s="31" t="s">
        <v>319</v>
      </c>
      <c r="AF26" s="32"/>
      <c r="AG26" s="32"/>
      <c r="AH26" s="33"/>
      <c r="AI26" s="34" t="s">
        <v>320</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customHeight="1">
      <c r="A27" s="54" t="s">
        <v>153</v>
      </c>
      <c r="B27" s="16" t="s">
        <v>321</v>
      </c>
      <c r="C27" s="128" t="s">
        <v>322</v>
      </c>
      <c r="D27" s="128"/>
      <c r="E27" s="105"/>
      <c r="F27" s="87" t="s">
        <v>212</v>
      </c>
      <c r="G27" s="57"/>
      <c r="H27" s="126"/>
      <c r="I27" s="83">
        <v>45797.0</v>
      </c>
      <c r="J27" s="60"/>
      <c r="K27" s="60"/>
      <c r="L27" s="60"/>
      <c r="M27" s="25">
        <f>IF(ISBLANK(L27), NETWORKDAYS(J27, TODAY(),Hoja2!$A$1:$A$18), NETWORKDAYS(J27, L27, Hoja2!$A$1:$A$18))</f>
        <v>32812</v>
      </c>
      <c r="N27" s="83"/>
      <c r="O27" s="122"/>
      <c r="P27" s="123"/>
      <c r="Q27" s="100" t="s">
        <v>120</v>
      </c>
      <c r="R27" s="99"/>
      <c r="S27" s="99"/>
      <c r="T27" s="121"/>
      <c r="U27" s="123"/>
      <c r="V27" s="123"/>
      <c r="W27" s="123"/>
      <c r="X27" s="123"/>
      <c r="Y27" s="123"/>
      <c r="Z27" s="123"/>
      <c r="AA27" s="123"/>
      <c r="AB27" s="123"/>
      <c r="AC27" s="31"/>
      <c r="AD27" s="31"/>
      <c r="AE27" s="32"/>
      <c r="AF27" s="32"/>
      <c r="AG27" s="32"/>
      <c r="AH27" s="33"/>
      <c r="AI27" s="34" t="s">
        <v>320</v>
      </c>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row>
    <row r="28" ht="29.25" customHeight="1">
      <c r="A28" s="54" t="s">
        <v>153</v>
      </c>
      <c r="B28" s="16" t="s">
        <v>323</v>
      </c>
      <c r="C28" s="17" t="s">
        <v>324</v>
      </c>
      <c r="D28" s="17"/>
      <c r="E28" s="105"/>
      <c r="F28" s="19" t="s">
        <v>212</v>
      </c>
      <c r="G28" s="57">
        <v>60.0</v>
      </c>
      <c r="H28" s="57">
        <v>5.0</v>
      </c>
      <c r="I28" s="83">
        <v>45800.0</v>
      </c>
      <c r="J28" s="60">
        <v>45803.0</v>
      </c>
      <c r="K28" s="60"/>
      <c r="L28" s="60"/>
      <c r="M28" s="25">
        <f>IF(ISBLANK(L28), NETWORKDAYS(J28, TODAY(),Hoja2!$A$1:$A$18), NETWORKDAYS(J28, L28, Hoja2!$A$1:$A$18))</f>
        <v>113</v>
      </c>
      <c r="N28" s="83"/>
      <c r="O28" s="122"/>
      <c r="P28" s="123"/>
      <c r="Q28" s="28" t="s">
        <v>69</v>
      </c>
      <c r="R28" s="99"/>
      <c r="S28" s="99"/>
      <c r="T28" s="121"/>
      <c r="U28" s="123"/>
      <c r="V28" s="123"/>
      <c r="W28" s="123"/>
      <c r="X28" s="123"/>
      <c r="Y28" s="123"/>
      <c r="Z28" s="123"/>
      <c r="AA28" s="123"/>
      <c r="AB28" s="123"/>
      <c r="AC28" s="31"/>
      <c r="AD28" s="31"/>
      <c r="AE28" s="31"/>
      <c r="AF28" s="31"/>
      <c r="AG28" s="31" t="s">
        <v>325</v>
      </c>
      <c r="AH28" s="34" t="s">
        <v>326</v>
      </c>
      <c r="AI28" s="34" t="s">
        <v>327</v>
      </c>
      <c r="AJ28" s="34" t="s">
        <v>328</v>
      </c>
      <c r="AK28" s="34" t="s">
        <v>329</v>
      </c>
      <c r="AL28" s="34" t="s">
        <v>330</v>
      </c>
      <c r="AM28" s="34" t="s">
        <v>331</v>
      </c>
      <c r="AN28" s="34"/>
      <c r="AO28" s="34"/>
      <c r="AP28" s="34"/>
      <c r="AQ28" s="34"/>
      <c r="AR28" s="34" t="s">
        <v>332</v>
      </c>
      <c r="AS28" s="34"/>
      <c r="AT28" s="34"/>
      <c r="AU28" s="34"/>
      <c r="AV28" s="34" t="s">
        <v>333</v>
      </c>
      <c r="AW28" s="34"/>
      <c r="AX28" s="34"/>
      <c r="AY28" s="34"/>
      <c r="AZ28" s="34"/>
      <c r="BA28" s="34"/>
      <c r="BB28" s="34"/>
      <c r="BC28" s="34"/>
      <c r="BD28" s="34"/>
      <c r="BE28" s="34"/>
      <c r="BF28" s="34"/>
      <c r="BG28" s="34"/>
      <c r="BH28" s="34"/>
      <c r="BI28" s="34"/>
      <c r="BJ28" s="34"/>
      <c r="BK28" s="34"/>
      <c r="BL28" s="34"/>
      <c r="BM28" s="34"/>
      <c r="BN28" s="34"/>
    </row>
    <row r="29" ht="29.25" customHeight="1">
      <c r="A29" s="54" t="s">
        <v>124</v>
      </c>
      <c r="B29" s="16" t="s">
        <v>334</v>
      </c>
      <c r="C29" s="129" t="s">
        <v>335</v>
      </c>
      <c r="D29" s="129"/>
      <c r="E29" s="130"/>
      <c r="F29" s="63" t="s">
        <v>73</v>
      </c>
      <c r="G29" s="57">
        <v>100.0</v>
      </c>
      <c r="H29" s="131"/>
      <c r="I29" s="83">
        <v>45806.0</v>
      </c>
      <c r="J29" s="60">
        <v>45806.0</v>
      </c>
      <c r="K29" s="60"/>
      <c r="L29" s="60">
        <v>45835.0</v>
      </c>
      <c r="M29" s="25">
        <f>IF(ISBLANK(L29), NETWORKDAYS(J29, TODAY(),Hoja2!$A$1:$A$18), NETWORKDAYS(J29, L29, Hoja2!$A$1:$A$18))</f>
        <v>22</v>
      </c>
      <c r="N29" s="83"/>
      <c r="O29" s="122"/>
      <c r="P29" s="123"/>
      <c r="Q29" s="28" t="s">
        <v>69</v>
      </c>
      <c r="R29" s="99"/>
      <c r="S29" s="99"/>
      <c r="T29" s="121"/>
      <c r="U29" s="123"/>
      <c r="V29" s="123"/>
      <c r="W29" s="123"/>
      <c r="X29" s="123"/>
      <c r="Y29" s="123"/>
      <c r="Z29" s="123"/>
      <c r="AA29" s="123"/>
      <c r="AB29" s="123"/>
      <c r="AC29" s="123"/>
      <c r="AD29" s="123"/>
      <c r="AE29" s="123"/>
      <c r="AF29" s="123"/>
      <c r="AG29" s="123"/>
      <c r="AH29" s="123"/>
      <c r="AI29" s="31" t="s">
        <v>336</v>
      </c>
      <c r="AJ29" s="34" t="s">
        <v>337</v>
      </c>
      <c r="AK29" s="34" t="s">
        <v>338</v>
      </c>
      <c r="AL29" s="34" t="s">
        <v>339</v>
      </c>
      <c r="AM29" s="34" t="s">
        <v>340</v>
      </c>
      <c r="AN29" s="34" t="s">
        <v>341</v>
      </c>
      <c r="AO29" s="34"/>
      <c r="AP29" s="34"/>
      <c r="AQ29" s="34"/>
      <c r="AR29" s="34" t="s">
        <v>342</v>
      </c>
      <c r="AS29" s="34"/>
      <c r="AT29" s="34" t="s">
        <v>343</v>
      </c>
      <c r="AU29" s="34"/>
      <c r="AV29" s="34"/>
      <c r="AW29" s="34"/>
      <c r="AX29" s="34"/>
      <c r="AY29" s="34"/>
      <c r="AZ29" s="34"/>
      <c r="BA29" s="34"/>
      <c r="BB29" s="34"/>
      <c r="BC29" s="34"/>
      <c r="BD29" s="34"/>
      <c r="BE29" s="34"/>
      <c r="BF29" s="34"/>
      <c r="BG29" s="34"/>
      <c r="BH29" s="34"/>
      <c r="BI29" s="34"/>
      <c r="BJ29" s="34"/>
      <c r="BK29" s="34"/>
      <c r="BL29" s="34"/>
      <c r="BM29" s="34"/>
      <c r="BN29" s="34"/>
    </row>
    <row r="30" ht="29.25" customHeight="1">
      <c r="A30" s="54" t="s">
        <v>153</v>
      </c>
      <c r="B30" s="94" t="s">
        <v>344</v>
      </c>
      <c r="C30" s="132" t="s">
        <v>345</v>
      </c>
      <c r="D30" s="129"/>
      <c r="E30" s="130"/>
      <c r="F30" s="63" t="s">
        <v>73</v>
      </c>
      <c r="G30" s="57">
        <v>100.0</v>
      </c>
      <c r="H30" s="57"/>
      <c r="I30" s="83">
        <v>45834.0</v>
      </c>
      <c r="J30" s="60">
        <v>45834.0</v>
      </c>
      <c r="K30" s="60"/>
      <c r="L30" s="60">
        <v>45834.0</v>
      </c>
      <c r="M30" s="25">
        <f>IF(ISBLANK(L30), NETWORKDAYS(J30, TODAY(),Hoja2!$A$1:$A$18), NETWORKDAYS(J30, L30, Hoja2!$A$1:$A$18))</f>
        <v>1</v>
      </c>
      <c r="N30" s="83"/>
      <c r="O30" s="122"/>
      <c r="P30" s="123"/>
      <c r="Q30" s="28" t="s">
        <v>69</v>
      </c>
      <c r="R30" s="99"/>
      <c r="S30" s="99"/>
      <c r="T30" s="121"/>
      <c r="U30" s="123"/>
      <c r="V30" s="123"/>
      <c r="W30" s="123"/>
      <c r="X30" s="123"/>
      <c r="Y30" s="123"/>
      <c r="Z30" s="123"/>
      <c r="AA30" s="123"/>
      <c r="AB30" s="123"/>
      <c r="AC30" s="123"/>
      <c r="AD30" s="123"/>
      <c r="AE30" s="123"/>
      <c r="AF30" s="123"/>
      <c r="AG30" s="123"/>
      <c r="AH30" s="123"/>
      <c r="AI30" s="123"/>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row>
    <row r="31" ht="29.25" customHeight="1">
      <c r="A31" s="54" t="s">
        <v>153</v>
      </c>
      <c r="B31" s="16" t="s">
        <v>346</v>
      </c>
      <c r="C31" s="96" t="s">
        <v>347</v>
      </c>
      <c r="D31" s="96"/>
      <c r="E31" s="130"/>
      <c r="F31" s="63" t="s">
        <v>73</v>
      </c>
      <c r="G31" s="57">
        <v>100.0</v>
      </c>
      <c r="H31" s="57"/>
      <c r="I31" s="83">
        <v>45846.0</v>
      </c>
      <c r="J31" s="60">
        <v>45848.0</v>
      </c>
      <c r="K31" s="60"/>
      <c r="L31" s="60">
        <v>45848.0</v>
      </c>
      <c r="M31" s="25">
        <f>IF(ISBLANK(L31), NETWORKDAYS(J31, TODAY(),Hoja2!$A$1:$A$18), NETWORKDAYS(J31, L31, Hoja2!$A$1:$A$18))</f>
        <v>1</v>
      </c>
      <c r="N31" s="83"/>
      <c r="O31" s="122"/>
      <c r="P31" s="123"/>
      <c r="Q31" s="28" t="s">
        <v>69</v>
      </c>
      <c r="R31" s="99"/>
      <c r="S31" s="99"/>
      <c r="T31" s="121"/>
      <c r="U31" s="123"/>
      <c r="V31" s="123"/>
      <c r="W31" s="123"/>
      <c r="X31" s="123"/>
      <c r="Y31" s="123"/>
      <c r="Z31" s="123"/>
      <c r="AA31" s="123"/>
      <c r="AB31" s="123"/>
      <c r="AC31" s="123"/>
      <c r="AD31" s="123"/>
      <c r="AE31" s="123"/>
      <c r="AF31" s="123"/>
      <c r="AG31" s="123"/>
      <c r="AH31" s="123"/>
      <c r="AI31" s="123"/>
      <c r="AJ31" s="34"/>
      <c r="AK31" s="34"/>
      <c r="AL31" s="34"/>
      <c r="AM31" s="34"/>
      <c r="AN31" s="34"/>
      <c r="AO31" s="34"/>
      <c r="AP31" s="34"/>
      <c r="AQ31" s="34"/>
      <c r="AR31" s="34"/>
      <c r="AS31" s="34"/>
      <c r="AT31" s="34"/>
      <c r="AU31" s="34"/>
      <c r="AV31" s="34"/>
      <c r="AW31" s="34"/>
      <c r="AX31" s="34"/>
      <c r="AY31" s="34"/>
      <c r="AZ31" s="34"/>
      <c r="BA31" s="34" t="s">
        <v>348</v>
      </c>
      <c r="BB31" s="34"/>
      <c r="BC31" s="34"/>
      <c r="BD31" s="34"/>
      <c r="BE31" s="34"/>
      <c r="BF31" s="34"/>
      <c r="BG31" s="34"/>
      <c r="BH31" s="34"/>
      <c r="BI31" s="34"/>
      <c r="BJ31" s="34"/>
      <c r="BK31" s="34"/>
      <c r="BL31" s="34"/>
      <c r="BM31" s="34"/>
      <c r="BN31" s="34"/>
    </row>
    <row r="32" ht="29.25" customHeight="1">
      <c r="A32" s="54" t="s">
        <v>64</v>
      </c>
      <c r="B32" s="94" t="s">
        <v>349</v>
      </c>
      <c r="C32" s="96" t="s">
        <v>350</v>
      </c>
      <c r="D32" s="129"/>
      <c r="E32" s="130"/>
      <c r="F32" s="63" t="s">
        <v>73</v>
      </c>
      <c r="G32" s="57">
        <v>100.0</v>
      </c>
      <c r="H32" s="57"/>
      <c r="I32" s="83">
        <v>45835.0</v>
      </c>
      <c r="J32" s="60">
        <v>45840.0</v>
      </c>
      <c r="K32" s="60"/>
      <c r="L32" s="60">
        <v>45915.0</v>
      </c>
      <c r="M32" s="25">
        <f>IF(ISBLANK(L32), NETWORKDAYS(J32, TODAY(),Hoja2!$A$1:$A$18), NETWORKDAYS(J32, L32, Hoja2!$A$1:$A$18))</f>
        <v>54</v>
      </c>
      <c r="N32" s="83">
        <v>45916.0</v>
      </c>
      <c r="O32" s="122">
        <v>45929.0</v>
      </c>
      <c r="P32" s="31" t="s">
        <v>351</v>
      </c>
      <c r="Q32" s="28" t="s">
        <v>69</v>
      </c>
      <c r="R32" s="99"/>
      <c r="S32" s="99"/>
      <c r="T32" s="121"/>
      <c r="U32" s="123"/>
      <c r="V32" s="123"/>
      <c r="W32" s="123"/>
      <c r="X32" s="123"/>
      <c r="Y32" s="123"/>
      <c r="Z32" s="123"/>
      <c r="AA32" s="123"/>
      <c r="AB32" s="123"/>
      <c r="AC32" s="123"/>
      <c r="AD32" s="123"/>
      <c r="AE32" s="123"/>
      <c r="AF32" s="123"/>
      <c r="AG32" s="123"/>
      <c r="AH32" s="123"/>
      <c r="AI32" s="123"/>
      <c r="AJ32" s="34"/>
      <c r="AK32" s="34"/>
      <c r="AL32" s="34"/>
      <c r="AM32" s="34"/>
      <c r="AN32" s="34"/>
      <c r="AO32" s="34"/>
      <c r="AP32" s="34"/>
      <c r="AQ32" s="34"/>
      <c r="AR32" s="34"/>
      <c r="AS32" s="34" t="s">
        <v>352</v>
      </c>
      <c r="AT32" s="34"/>
      <c r="AU32" s="34"/>
      <c r="AV32" s="34" t="s">
        <v>353</v>
      </c>
      <c r="AW32" s="34"/>
      <c r="AX32" s="34" t="s">
        <v>354</v>
      </c>
      <c r="AY32" s="34" t="s">
        <v>355</v>
      </c>
      <c r="AZ32" s="34"/>
      <c r="BA32" s="34"/>
      <c r="BB32" s="34"/>
      <c r="BC32" s="34" t="s">
        <v>356</v>
      </c>
      <c r="BD32" s="34" t="s">
        <v>357</v>
      </c>
      <c r="BE32" s="34" t="s">
        <v>358</v>
      </c>
      <c r="BF32" s="34"/>
      <c r="BG32" s="34" t="s">
        <v>359</v>
      </c>
      <c r="BH32" s="34"/>
      <c r="BI32" s="34"/>
      <c r="BJ32" s="34" t="s">
        <v>360</v>
      </c>
      <c r="BK32" s="34"/>
      <c r="BL32" s="34"/>
      <c r="BM32" s="34"/>
      <c r="BN32" s="34"/>
    </row>
    <row r="33" ht="29.25" customHeight="1">
      <c r="A33" s="54" t="s">
        <v>153</v>
      </c>
      <c r="B33" s="94" t="s">
        <v>361</v>
      </c>
      <c r="C33" s="129" t="s">
        <v>362</v>
      </c>
      <c r="D33" s="129"/>
      <c r="E33" s="130"/>
      <c r="F33" s="63" t="s">
        <v>73</v>
      </c>
      <c r="G33" s="57">
        <v>100.0</v>
      </c>
      <c r="H33" s="57">
        <v>1.0</v>
      </c>
      <c r="I33" s="83">
        <v>45811.0</v>
      </c>
      <c r="J33" s="60">
        <v>45817.0</v>
      </c>
      <c r="K33" s="60">
        <v>45817.0</v>
      </c>
      <c r="L33" s="60">
        <v>45834.0</v>
      </c>
      <c r="M33" s="25">
        <f>IF(ISBLANK(L33), NETWORKDAYS(J33, TODAY(),Hoja2!$A$1:$A$18), NETWORKDAYS(J33, L33, Hoja2!$A$1:$A$18))</f>
        <v>14</v>
      </c>
      <c r="N33" s="83"/>
      <c r="O33" s="122"/>
      <c r="P33" s="123"/>
      <c r="Q33" s="28" t="s">
        <v>69</v>
      </c>
      <c r="R33" s="99"/>
      <c r="S33" s="99"/>
      <c r="T33" s="121"/>
      <c r="U33" s="123"/>
      <c r="V33" s="123"/>
      <c r="W33" s="123"/>
      <c r="X33" s="123"/>
      <c r="Y33" s="123"/>
      <c r="Z33" s="123"/>
      <c r="AA33" s="123"/>
      <c r="AB33" s="123"/>
      <c r="AC33" s="123"/>
      <c r="AD33" s="123"/>
      <c r="AE33" s="123"/>
      <c r="AF33" s="123"/>
      <c r="AG33" s="123"/>
      <c r="AH33" s="123"/>
      <c r="AI33" s="123"/>
      <c r="AJ33" s="34" t="s">
        <v>363</v>
      </c>
      <c r="AK33" s="34" t="s">
        <v>364</v>
      </c>
      <c r="AL33" s="34" t="s">
        <v>365</v>
      </c>
      <c r="AM33" s="34" t="s">
        <v>366</v>
      </c>
      <c r="AN33" s="34" t="s">
        <v>367</v>
      </c>
      <c r="AO33" s="34" t="s">
        <v>368</v>
      </c>
      <c r="AP33" s="34" t="s">
        <v>369</v>
      </c>
      <c r="AQ33" s="34" t="s">
        <v>370</v>
      </c>
      <c r="AR33" s="34" t="s">
        <v>371</v>
      </c>
      <c r="AS33" s="34" t="s">
        <v>372</v>
      </c>
      <c r="AT33" s="34" t="s">
        <v>373</v>
      </c>
      <c r="AU33" s="34"/>
      <c r="AV33" s="34"/>
      <c r="AW33" s="34"/>
      <c r="AX33" s="34"/>
      <c r="AY33" s="34"/>
      <c r="AZ33" s="34"/>
      <c r="BA33" s="34"/>
      <c r="BB33" s="34"/>
      <c r="BC33" s="34"/>
      <c r="BD33" s="34"/>
      <c r="BE33" s="34"/>
      <c r="BF33" s="34"/>
      <c r="BG33" s="34"/>
      <c r="BH33" s="34"/>
      <c r="BI33" s="34"/>
      <c r="BJ33" s="34"/>
      <c r="BK33" s="34"/>
      <c r="BL33" s="34"/>
      <c r="BM33" s="34"/>
      <c r="BN33" s="34"/>
    </row>
    <row r="34" ht="41.25" customHeight="1">
      <c r="A34" s="54" t="s">
        <v>124</v>
      </c>
      <c r="B34" s="94" t="s">
        <v>374</v>
      </c>
      <c r="C34" s="96" t="s">
        <v>375</v>
      </c>
      <c r="D34" s="96"/>
      <c r="E34" s="133"/>
      <c r="F34" s="63" t="s">
        <v>73</v>
      </c>
      <c r="G34" s="57">
        <v>100.0</v>
      </c>
      <c r="H34" s="131"/>
      <c r="I34" s="83">
        <v>45845.0</v>
      </c>
      <c r="J34" s="60">
        <v>45845.0</v>
      </c>
      <c r="K34" s="60"/>
      <c r="L34" s="60">
        <v>45849.0</v>
      </c>
      <c r="M34" s="25">
        <f>IF(ISBLANK(L34), NETWORKDAYS(J34, TODAY(),Hoja2!$A$1:$A$18), NETWORKDAYS(J34, L34, Hoja2!$A$1:$A$18))</f>
        <v>5</v>
      </c>
      <c r="N34" s="83">
        <v>45849.0</v>
      </c>
      <c r="O34" s="122"/>
      <c r="P34" s="123"/>
      <c r="Q34" s="28" t="s">
        <v>69</v>
      </c>
      <c r="R34" s="99"/>
      <c r="S34" s="99"/>
      <c r="T34" s="121"/>
      <c r="U34" s="123"/>
      <c r="V34" s="123"/>
      <c r="W34" s="123"/>
      <c r="X34" s="123"/>
      <c r="Y34" s="123"/>
      <c r="Z34" s="123"/>
      <c r="AA34" s="123"/>
      <c r="AB34" s="123"/>
      <c r="AC34" s="123"/>
      <c r="AD34" s="123"/>
      <c r="AE34" s="123"/>
      <c r="AF34" s="123"/>
      <c r="AG34" s="123"/>
      <c r="AH34" s="123"/>
      <c r="AI34" s="123"/>
      <c r="AJ34" s="34"/>
      <c r="AK34" s="34"/>
      <c r="AL34" s="34"/>
      <c r="AM34" s="34"/>
      <c r="AN34" s="34"/>
      <c r="AO34" s="34"/>
      <c r="AP34" s="34"/>
      <c r="AQ34" s="34"/>
      <c r="AR34" s="34"/>
      <c r="AS34" s="34"/>
      <c r="AT34" s="34"/>
      <c r="AU34" s="34"/>
      <c r="AV34" s="34"/>
      <c r="AW34" s="34"/>
      <c r="AX34" s="66" t="s">
        <v>376</v>
      </c>
      <c r="AY34" s="66"/>
      <c r="AZ34" s="66" t="s">
        <v>377</v>
      </c>
      <c r="BA34" s="66"/>
      <c r="BB34" s="66" t="s">
        <v>378</v>
      </c>
      <c r="BC34" s="66" t="s">
        <v>379</v>
      </c>
      <c r="BD34" s="66"/>
      <c r="BE34" s="134" t="s">
        <v>149</v>
      </c>
      <c r="BF34" s="134"/>
      <c r="BG34" s="134"/>
      <c r="BH34" s="134"/>
      <c r="BI34" s="134"/>
      <c r="BJ34" s="134"/>
      <c r="BK34" s="134"/>
      <c r="BL34" s="134"/>
      <c r="BM34" s="134"/>
      <c r="BN34" s="134"/>
    </row>
    <row r="35" ht="29.25" customHeight="1">
      <c r="A35" s="54" t="s">
        <v>124</v>
      </c>
      <c r="B35" s="16" t="s">
        <v>380</v>
      </c>
      <c r="C35" s="129" t="s">
        <v>381</v>
      </c>
      <c r="D35" s="129" t="s">
        <v>382</v>
      </c>
      <c r="E35" s="133" t="s">
        <v>383</v>
      </c>
      <c r="F35" s="19" t="s">
        <v>383</v>
      </c>
      <c r="G35" s="57">
        <v>61.0</v>
      </c>
      <c r="H35" s="131"/>
      <c r="I35" s="83">
        <v>45807.0</v>
      </c>
      <c r="J35" s="60"/>
      <c r="K35" s="60"/>
      <c r="L35" s="60"/>
      <c r="M35" s="25">
        <f>IF(ISBLANK(L35), NETWORKDAYS(J35, TODAY(),Hoja2!$A$1:$A$18), NETWORKDAYS(J35, L35, Hoja2!$A$1:$A$18))</f>
        <v>32812</v>
      </c>
      <c r="N35" s="83"/>
      <c r="O35" s="122"/>
      <c r="P35" s="31" t="s">
        <v>384</v>
      </c>
      <c r="Q35" s="28" t="s">
        <v>69</v>
      </c>
      <c r="R35" s="99"/>
      <c r="S35" s="99"/>
      <c r="T35" s="121"/>
      <c r="U35" s="123"/>
      <c r="V35" s="123"/>
      <c r="W35" s="123"/>
      <c r="X35" s="123"/>
      <c r="Y35" s="123"/>
      <c r="Z35" s="123"/>
      <c r="AA35" s="123"/>
      <c r="AB35" s="123"/>
      <c r="AC35" s="123"/>
      <c r="AD35" s="123"/>
      <c r="AE35" s="123"/>
      <c r="AF35" s="123"/>
      <c r="AG35" s="123"/>
      <c r="AH35" s="123"/>
      <c r="AI35" s="123"/>
      <c r="AJ35" s="31" t="s">
        <v>385</v>
      </c>
      <c r="AK35" s="34" t="s">
        <v>386</v>
      </c>
      <c r="AL35" s="34" t="s">
        <v>387</v>
      </c>
      <c r="AM35" s="34" t="s">
        <v>388</v>
      </c>
      <c r="AN35" s="34"/>
      <c r="AO35" s="34"/>
      <c r="AP35" s="34"/>
      <c r="AQ35" s="34" t="s">
        <v>389</v>
      </c>
      <c r="AR35" s="34" t="s">
        <v>390</v>
      </c>
      <c r="AS35" s="34"/>
      <c r="AT35" s="34"/>
      <c r="AU35" s="34"/>
      <c r="AV35" s="34"/>
      <c r="AW35" s="34" t="s">
        <v>391</v>
      </c>
      <c r="AX35" s="34"/>
      <c r="AY35" s="34"/>
      <c r="AZ35" s="34"/>
      <c r="BA35" s="34"/>
      <c r="BB35" s="34"/>
      <c r="BC35" s="34"/>
      <c r="BD35" s="34"/>
      <c r="BE35" s="34"/>
      <c r="BF35" s="34"/>
      <c r="BG35" s="34" t="s">
        <v>392</v>
      </c>
      <c r="BH35" s="34"/>
      <c r="BI35" s="34"/>
      <c r="BJ35" s="34" t="s">
        <v>393</v>
      </c>
      <c r="BK35" s="34"/>
      <c r="BL35" s="34"/>
      <c r="BM35" s="34"/>
      <c r="BN35" s="34"/>
    </row>
    <row r="36" ht="29.25" customHeight="1">
      <c r="A36" s="54" t="s">
        <v>124</v>
      </c>
      <c r="B36" s="16" t="s">
        <v>394</v>
      </c>
      <c r="C36" s="135" t="s">
        <v>395</v>
      </c>
      <c r="D36" s="135"/>
      <c r="E36" s="136"/>
      <c r="F36" s="63" t="s">
        <v>73</v>
      </c>
      <c r="G36" s="57">
        <v>100.0</v>
      </c>
      <c r="H36" s="137"/>
      <c r="I36" s="83">
        <v>45841.0</v>
      </c>
      <c r="J36" s="60">
        <v>45853.0</v>
      </c>
      <c r="K36" s="60"/>
      <c r="L36" s="60">
        <v>45859.0</v>
      </c>
      <c r="M36" s="25">
        <f>IF(ISBLANK(L36), NETWORKDAYS(J36, TODAY(),Hoja2!$A$1:$A$18), NETWORKDAYS(J36, L36, Hoja2!$A$1:$A$18))</f>
        <v>5</v>
      </c>
      <c r="N36" s="83"/>
      <c r="O36" s="122"/>
      <c r="P36" s="123"/>
      <c r="Q36" s="28" t="s">
        <v>69</v>
      </c>
      <c r="R36" s="57"/>
      <c r="S36" s="57"/>
      <c r="T36" s="121"/>
      <c r="U36" s="123"/>
      <c r="V36" s="123"/>
      <c r="W36" s="123"/>
      <c r="X36" s="123"/>
      <c r="Y36" s="123"/>
      <c r="Z36" s="123"/>
      <c r="AA36" s="123"/>
      <c r="AB36" s="123"/>
      <c r="AC36" s="123"/>
      <c r="AD36" s="123"/>
      <c r="AE36" s="123"/>
      <c r="AF36" s="123"/>
      <c r="AG36" s="123"/>
      <c r="AH36" s="123"/>
      <c r="AI36" s="123"/>
      <c r="AJ36" s="123"/>
      <c r="AK36" s="34"/>
      <c r="AL36" s="34"/>
      <c r="AM36" s="134"/>
      <c r="AN36" s="134"/>
      <c r="AO36" s="134"/>
      <c r="AP36" s="134"/>
      <c r="AQ36" s="34"/>
      <c r="AR36" s="34"/>
      <c r="AS36" s="34"/>
      <c r="AT36" s="34"/>
      <c r="AU36" s="34"/>
      <c r="AV36" s="34"/>
      <c r="AW36" s="34"/>
      <c r="AX36" s="66" t="s">
        <v>396</v>
      </c>
      <c r="AY36" s="66"/>
      <c r="AZ36" s="66" t="s">
        <v>397</v>
      </c>
      <c r="BA36" s="66"/>
      <c r="BB36" s="66"/>
      <c r="BC36" s="66"/>
      <c r="BD36" s="66"/>
      <c r="BE36" s="66" t="s">
        <v>398</v>
      </c>
      <c r="BF36" s="66"/>
      <c r="BG36" s="66" t="s">
        <v>399</v>
      </c>
      <c r="BH36" s="66" t="s">
        <v>400</v>
      </c>
      <c r="BI36" s="66" t="s">
        <v>401</v>
      </c>
      <c r="BJ36" s="66"/>
      <c r="BK36" s="66"/>
      <c r="BL36" s="66"/>
      <c r="BM36" s="66"/>
      <c r="BN36" s="66"/>
    </row>
    <row r="37" ht="29.25" customHeight="1">
      <c r="A37" s="54" t="s">
        <v>124</v>
      </c>
      <c r="B37" s="16" t="s">
        <v>402</v>
      </c>
      <c r="C37" s="135" t="s">
        <v>403</v>
      </c>
      <c r="D37" s="135"/>
      <c r="E37" s="136"/>
      <c r="F37" s="63" t="s">
        <v>73</v>
      </c>
      <c r="G37" s="57">
        <v>100.0</v>
      </c>
      <c r="H37" s="137"/>
      <c r="I37" s="83">
        <v>45836.0</v>
      </c>
      <c r="J37" s="60">
        <v>45836.0</v>
      </c>
      <c r="K37" s="60"/>
      <c r="L37" s="60">
        <v>45841.0</v>
      </c>
      <c r="M37" s="25">
        <f>IF(ISBLANK(L37), NETWORKDAYS(J37, TODAY(),Hoja2!$A$1:$A$18), NETWORKDAYS(J37, L37, Hoja2!$A$1:$A$18))</f>
        <v>4</v>
      </c>
      <c r="N37" s="83"/>
      <c r="O37" s="122"/>
      <c r="P37" s="123"/>
      <c r="Q37" s="28" t="s">
        <v>69</v>
      </c>
      <c r="R37" s="57"/>
      <c r="S37" s="57"/>
      <c r="T37" s="121"/>
      <c r="U37" s="123"/>
      <c r="V37" s="123"/>
      <c r="W37" s="123"/>
      <c r="X37" s="123"/>
      <c r="Y37" s="123"/>
      <c r="Z37" s="123"/>
      <c r="AA37" s="123"/>
      <c r="AB37" s="123"/>
      <c r="AC37" s="123"/>
      <c r="AD37" s="123"/>
      <c r="AE37" s="123"/>
      <c r="AF37" s="123"/>
      <c r="AG37" s="123"/>
      <c r="AH37" s="123"/>
      <c r="AI37" s="123"/>
      <c r="AJ37" s="123"/>
      <c r="AK37" s="34"/>
      <c r="AL37" s="34"/>
      <c r="AM37" s="134"/>
      <c r="AN37" s="134"/>
      <c r="AO37" s="134"/>
      <c r="AP37" s="134"/>
      <c r="AQ37" s="34"/>
      <c r="AR37" s="34"/>
      <c r="AS37" s="34"/>
      <c r="AT37" s="34"/>
      <c r="AU37" s="34"/>
      <c r="AV37" s="34" t="s">
        <v>404</v>
      </c>
      <c r="AW37" s="34" t="s">
        <v>405</v>
      </c>
      <c r="AX37" s="34" t="s">
        <v>406</v>
      </c>
      <c r="AY37" s="34"/>
      <c r="AZ37" s="34"/>
      <c r="BA37" s="34"/>
      <c r="BB37" s="34"/>
      <c r="BC37" s="34"/>
      <c r="BD37" s="34"/>
      <c r="BE37" s="34"/>
      <c r="BF37" s="34"/>
      <c r="BG37" s="34"/>
      <c r="BH37" s="34"/>
      <c r="BI37" s="34"/>
      <c r="BJ37" s="34"/>
      <c r="BK37" s="34"/>
      <c r="BL37" s="34"/>
      <c r="BM37" s="34"/>
      <c r="BN37" s="34"/>
    </row>
    <row r="38" ht="29.25" customHeight="1">
      <c r="A38" s="54" t="s">
        <v>124</v>
      </c>
      <c r="B38" s="16" t="s">
        <v>407</v>
      </c>
      <c r="C38" s="138" t="s">
        <v>408</v>
      </c>
      <c r="D38" s="138"/>
      <c r="E38" s="136" t="s">
        <v>212</v>
      </c>
      <c r="F38" s="63" t="s">
        <v>73</v>
      </c>
      <c r="G38" s="57">
        <v>100.0</v>
      </c>
      <c r="H38" s="137">
        <v>2.0</v>
      </c>
      <c r="I38" s="83">
        <v>45814.0</v>
      </c>
      <c r="J38" s="60">
        <v>45819.0</v>
      </c>
      <c r="K38" s="60"/>
      <c r="L38" s="60">
        <v>45833.0</v>
      </c>
      <c r="M38" s="25">
        <f>IF(ISBLANK(L38), NETWORKDAYS(J38, TODAY(),Hoja2!$A$1:$A$18), NETWORKDAYS(J38, L38, Hoja2!$A$1:$A$18))</f>
        <v>11</v>
      </c>
      <c r="N38" s="83">
        <v>45827.0</v>
      </c>
      <c r="O38" s="122">
        <v>45841.0</v>
      </c>
      <c r="P38" s="123"/>
      <c r="Q38" s="28" t="s">
        <v>69</v>
      </c>
      <c r="R38" s="57"/>
      <c r="S38" s="57" t="s">
        <v>409</v>
      </c>
      <c r="T38" s="139" t="s">
        <v>410</v>
      </c>
      <c r="U38" s="123"/>
      <c r="V38" s="123"/>
      <c r="W38" s="123"/>
      <c r="X38" s="123"/>
      <c r="Y38" s="123"/>
      <c r="Z38" s="123"/>
      <c r="AA38" s="123"/>
      <c r="AB38" s="123"/>
      <c r="AC38" s="123"/>
      <c r="AD38" s="123"/>
      <c r="AE38" s="123"/>
      <c r="AF38" s="123"/>
      <c r="AG38" s="123"/>
      <c r="AH38" s="123"/>
      <c r="AI38" s="123"/>
      <c r="AJ38" s="123"/>
      <c r="AK38" s="31" t="s">
        <v>411</v>
      </c>
      <c r="AL38" s="34" t="s">
        <v>412</v>
      </c>
      <c r="AM38" s="134" t="s">
        <v>413</v>
      </c>
      <c r="AN38" s="134" t="s">
        <v>414</v>
      </c>
      <c r="AO38" s="134" t="s">
        <v>415</v>
      </c>
      <c r="AP38" s="134"/>
      <c r="AQ38" s="31" t="s">
        <v>416</v>
      </c>
      <c r="AR38" s="34" t="s">
        <v>417</v>
      </c>
      <c r="AS38" s="34" t="s">
        <v>418</v>
      </c>
      <c r="AT38" s="34" t="s">
        <v>419</v>
      </c>
      <c r="AU38" s="34"/>
      <c r="AV38" s="34" t="s">
        <v>420</v>
      </c>
      <c r="AW38" s="34" t="s">
        <v>421</v>
      </c>
      <c r="AX38" s="34"/>
      <c r="AY38" s="34"/>
      <c r="AZ38" s="34"/>
      <c r="BA38" s="34"/>
      <c r="BB38" s="34"/>
      <c r="BC38" s="34"/>
      <c r="BD38" s="34"/>
      <c r="BE38" s="34"/>
      <c r="BF38" s="34"/>
      <c r="BG38" s="34"/>
      <c r="BH38" s="34"/>
      <c r="BI38" s="34"/>
      <c r="BJ38" s="34"/>
      <c r="BK38" s="34"/>
      <c r="BL38" s="34"/>
      <c r="BM38" s="34"/>
      <c r="BN38" s="34"/>
    </row>
    <row r="39" ht="29.25" customHeight="1">
      <c r="A39" s="15" t="s">
        <v>64</v>
      </c>
      <c r="B39" s="16" t="s">
        <v>422</v>
      </c>
      <c r="C39" s="129" t="s">
        <v>423</v>
      </c>
      <c r="D39" s="129"/>
      <c r="E39" s="130"/>
      <c r="F39" s="19" t="s">
        <v>73</v>
      </c>
      <c r="G39" s="57">
        <v>100.0</v>
      </c>
      <c r="H39" s="126"/>
      <c r="I39" s="83">
        <v>45818.0</v>
      </c>
      <c r="J39" s="60">
        <v>45818.0</v>
      </c>
      <c r="K39" s="60"/>
      <c r="L39" s="60">
        <v>45820.0</v>
      </c>
      <c r="M39" s="25">
        <f>IF(ISBLANK(L39), NETWORKDAYS(J39, TODAY(),Hoja2!$A$1:$A$18), NETWORKDAYS(J39, L39, Hoja2!$A$1:$A$18))</f>
        <v>3</v>
      </c>
      <c r="N39" s="83"/>
      <c r="O39" s="122"/>
      <c r="P39" s="31" t="s">
        <v>424</v>
      </c>
      <c r="Q39" s="28" t="s">
        <v>69</v>
      </c>
      <c r="R39" s="99"/>
      <c r="S39" s="99"/>
      <c r="T39" s="121"/>
      <c r="U39" s="123"/>
      <c r="V39" s="123"/>
      <c r="W39" s="123"/>
      <c r="X39" s="123"/>
      <c r="Y39" s="123"/>
      <c r="Z39" s="123"/>
      <c r="AA39" s="123"/>
      <c r="AB39" s="123"/>
      <c r="AC39" s="123"/>
      <c r="AD39" s="123"/>
      <c r="AE39" s="123"/>
      <c r="AF39" s="123"/>
      <c r="AG39" s="123"/>
      <c r="AH39" s="123"/>
      <c r="AI39" s="123"/>
      <c r="AJ39" s="123"/>
      <c r="AK39" s="123"/>
      <c r="AL39" s="123"/>
      <c r="AM39" s="31" t="s">
        <v>425</v>
      </c>
      <c r="AN39" s="34" t="s">
        <v>426</v>
      </c>
      <c r="AO39" s="34"/>
      <c r="AP39" s="34"/>
      <c r="AQ39" s="34"/>
      <c r="AR39" s="34"/>
      <c r="AS39" s="34"/>
      <c r="AT39" s="34" t="s">
        <v>427</v>
      </c>
      <c r="AU39" s="34"/>
      <c r="AV39" s="34"/>
      <c r="AW39" s="34"/>
      <c r="AX39" s="34"/>
      <c r="AY39" s="34"/>
      <c r="AZ39" s="34"/>
      <c r="BA39" s="34"/>
      <c r="BB39" s="34"/>
      <c r="BC39" s="34"/>
      <c r="BD39" s="34"/>
      <c r="BE39" s="34"/>
      <c r="BF39" s="34"/>
      <c r="BG39" s="34"/>
      <c r="BH39" s="34"/>
      <c r="BI39" s="34"/>
      <c r="BJ39" s="34"/>
      <c r="BK39" s="34"/>
      <c r="BL39" s="34"/>
      <c r="BM39" s="34"/>
      <c r="BN39" s="34"/>
    </row>
    <row r="40" ht="29.25" customHeight="1">
      <c r="A40" s="15" t="s">
        <v>64</v>
      </c>
      <c r="B40" s="16" t="s">
        <v>428</v>
      </c>
      <c r="C40" s="96" t="s">
        <v>429</v>
      </c>
      <c r="D40" s="96"/>
      <c r="E40" s="130"/>
      <c r="F40" s="63" t="s">
        <v>73</v>
      </c>
      <c r="G40" s="57">
        <v>100.0</v>
      </c>
      <c r="H40" s="57">
        <v>15.0</v>
      </c>
      <c r="I40" s="83">
        <v>45818.0</v>
      </c>
      <c r="J40" s="60">
        <v>45821.0</v>
      </c>
      <c r="K40" s="60">
        <v>45835.0</v>
      </c>
      <c r="L40" s="60">
        <v>45832.0</v>
      </c>
      <c r="M40" s="25">
        <f>IF(ISBLANK(L40), NETWORKDAYS(J40, TODAY(),Hoja2!$A$1:$A$18), NETWORKDAYS(J40, L40, Hoja2!$A$1:$A$18))</f>
        <v>8</v>
      </c>
      <c r="N40" s="83"/>
      <c r="O40" s="122"/>
      <c r="P40" s="123"/>
      <c r="Q40" s="28" t="s">
        <v>69</v>
      </c>
      <c r="R40" s="99"/>
      <c r="S40" s="99"/>
      <c r="T40" s="121"/>
      <c r="U40" s="123"/>
      <c r="V40" s="123"/>
      <c r="W40" s="123"/>
      <c r="X40" s="123"/>
      <c r="Y40" s="123"/>
      <c r="Z40" s="123"/>
      <c r="AA40" s="123"/>
      <c r="AB40" s="123"/>
      <c r="AC40" s="123"/>
      <c r="AD40" s="123"/>
      <c r="AE40" s="123"/>
      <c r="AF40" s="123"/>
      <c r="AG40" s="123"/>
      <c r="AH40" s="123"/>
      <c r="AI40" s="123"/>
      <c r="AJ40" s="123"/>
      <c r="AK40" s="123"/>
      <c r="AL40" s="123"/>
      <c r="AM40" s="31" t="s">
        <v>430</v>
      </c>
      <c r="AN40" s="34" t="s">
        <v>431</v>
      </c>
      <c r="AO40" s="34" t="s">
        <v>432</v>
      </c>
      <c r="AP40" s="34"/>
      <c r="AQ40" s="34" t="s">
        <v>433</v>
      </c>
      <c r="AR40" s="34" t="s">
        <v>434</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customHeight="1">
      <c r="A41" s="15" t="s">
        <v>64</v>
      </c>
      <c r="B41" s="94" t="s">
        <v>435</v>
      </c>
      <c r="C41" s="96" t="s">
        <v>436</v>
      </c>
      <c r="D41" s="96"/>
      <c r="E41" s="130"/>
      <c r="F41" s="63" t="s">
        <v>73</v>
      </c>
      <c r="G41" s="57">
        <v>100.0</v>
      </c>
      <c r="H41" s="57"/>
      <c r="I41" s="83">
        <v>45839.0</v>
      </c>
      <c r="J41" s="60">
        <v>45839.0</v>
      </c>
      <c r="K41" s="60"/>
      <c r="L41" s="60">
        <v>45840.0</v>
      </c>
      <c r="M41" s="25">
        <f>IF(ISBLANK(L41), NETWORKDAYS(J41, TODAY(),Hoja2!$A$1:$A$18), NETWORKDAYS(J41, L41, Hoja2!$A$1:$A$18))</f>
        <v>2</v>
      </c>
      <c r="N41" s="83"/>
      <c r="O41" s="122"/>
      <c r="P41" s="123"/>
      <c r="Q41" s="28" t="s">
        <v>69</v>
      </c>
      <c r="R41" s="99"/>
      <c r="S41" s="99"/>
      <c r="T41" s="121"/>
      <c r="U41" s="123"/>
      <c r="V41" s="123"/>
      <c r="W41" s="123"/>
      <c r="X41" s="123"/>
      <c r="Y41" s="123"/>
      <c r="Z41" s="123"/>
      <c r="AA41" s="123"/>
      <c r="AB41" s="123"/>
      <c r="AC41" s="123"/>
      <c r="AD41" s="123"/>
      <c r="AE41" s="123"/>
      <c r="AF41" s="123"/>
      <c r="AG41" s="123"/>
      <c r="AH41" s="123"/>
      <c r="AI41" s="123"/>
      <c r="AJ41" s="123"/>
      <c r="AK41" s="123"/>
      <c r="AL41" s="123"/>
      <c r="AM41" s="31"/>
      <c r="AN41" s="140"/>
      <c r="AO41" s="140"/>
      <c r="AP41" s="34"/>
      <c r="AQ41" s="34"/>
      <c r="AR41" s="34"/>
      <c r="AS41" s="34"/>
      <c r="AT41" s="34"/>
      <c r="AU41" s="34"/>
      <c r="AV41" s="34" t="s">
        <v>437</v>
      </c>
      <c r="AW41" s="34" t="s">
        <v>438</v>
      </c>
      <c r="AX41" s="34"/>
      <c r="AY41" s="34"/>
      <c r="AZ41" s="34"/>
      <c r="BA41" s="34"/>
      <c r="BB41" s="34"/>
      <c r="BC41" s="34"/>
      <c r="BD41" s="34"/>
      <c r="BE41" s="34"/>
      <c r="BF41" s="34"/>
      <c r="BG41" s="34"/>
      <c r="BH41" s="34"/>
      <c r="BI41" s="34"/>
      <c r="BJ41" s="34"/>
      <c r="BK41" s="34"/>
      <c r="BL41" s="34"/>
      <c r="BM41" s="34"/>
      <c r="BN41" s="34"/>
    </row>
    <row r="42" ht="29.25" customHeight="1">
      <c r="A42" s="15" t="s">
        <v>64</v>
      </c>
      <c r="B42" s="16" t="s">
        <v>439</v>
      </c>
      <c r="C42" s="96" t="s">
        <v>440</v>
      </c>
      <c r="D42" s="96"/>
      <c r="E42" s="130"/>
      <c r="F42" s="63" t="s">
        <v>73</v>
      </c>
      <c r="G42" s="57">
        <v>100.0</v>
      </c>
      <c r="H42" s="57">
        <v>10.0</v>
      </c>
      <c r="I42" s="83">
        <v>45818.0</v>
      </c>
      <c r="J42" s="60">
        <v>45825.0</v>
      </c>
      <c r="K42" s="60">
        <v>45860.0</v>
      </c>
      <c r="L42" s="60">
        <v>45847.0</v>
      </c>
      <c r="M42" s="25">
        <f>IF(ISBLANK(L42), NETWORKDAYS(J42, TODAY(),Hoja2!$A$1:$A$18), NETWORKDAYS(J42, L42, Hoja2!$A$1:$A$18))</f>
        <v>17</v>
      </c>
      <c r="N42" s="83">
        <v>45847.0</v>
      </c>
      <c r="O42" s="122"/>
      <c r="P42" s="123"/>
      <c r="Q42" s="28" t="s">
        <v>69</v>
      </c>
      <c r="R42" s="99"/>
      <c r="S42" s="99"/>
      <c r="T42" s="121"/>
      <c r="U42" s="123"/>
      <c r="V42" s="123"/>
      <c r="W42" s="123"/>
      <c r="X42" s="123"/>
      <c r="Y42" s="123"/>
      <c r="Z42" s="123"/>
      <c r="AA42" s="123"/>
      <c r="AB42" s="123"/>
      <c r="AC42" s="123"/>
      <c r="AD42" s="123"/>
      <c r="AE42" s="123"/>
      <c r="AF42" s="123"/>
      <c r="AG42" s="123"/>
      <c r="AH42" s="123"/>
      <c r="AI42" s="123"/>
      <c r="AJ42" s="123"/>
      <c r="AK42" s="123"/>
      <c r="AL42" s="123"/>
      <c r="AM42" s="31" t="s">
        <v>441</v>
      </c>
      <c r="AN42" s="140"/>
      <c r="AO42" s="140"/>
      <c r="AP42" s="34" t="s">
        <v>442</v>
      </c>
      <c r="AQ42" s="34" t="s">
        <v>443</v>
      </c>
      <c r="AR42" s="34" t="s">
        <v>444</v>
      </c>
      <c r="AS42" s="34"/>
      <c r="AT42" s="34" t="s">
        <v>445</v>
      </c>
      <c r="AU42" s="34"/>
      <c r="AV42" s="34" t="s">
        <v>446</v>
      </c>
      <c r="AW42" s="34" t="s">
        <v>447</v>
      </c>
      <c r="AX42" s="34" t="s">
        <v>448</v>
      </c>
      <c r="AY42" s="34"/>
      <c r="AZ42" s="34" t="s">
        <v>449</v>
      </c>
      <c r="BA42" s="34"/>
      <c r="BB42" s="34" t="s">
        <v>450</v>
      </c>
      <c r="BC42" s="34" t="s">
        <v>451</v>
      </c>
      <c r="BD42" s="34" t="s">
        <v>452</v>
      </c>
      <c r="BE42" s="34" t="s">
        <v>453</v>
      </c>
      <c r="BF42" s="34"/>
      <c r="BG42" s="34" t="s">
        <v>454</v>
      </c>
      <c r="BH42" s="34"/>
      <c r="BI42" s="34"/>
      <c r="BJ42" s="34"/>
      <c r="BK42" s="34"/>
      <c r="BL42" s="34"/>
      <c r="BM42" s="34"/>
      <c r="BN42" s="34"/>
    </row>
    <row r="43" ht="29.25" customHeight="1">
      <c r="A43" s="15" t="s">
        <v>64</v>
      </c>
      <c r="B43" s="94" t="s">
        <v>455</v>
      </c>
      <c r="C43" s="96" t="s">
        <v>456</v>
      </c>
      <c r="D43" s="96"/>
      <c r="E43" s="130"/>
      <c r="F43" s="63" t="s">
        <v>73</v>
      </c>
      <c r="G43" s="57">
        <v>100.0</v>
      </c>
      <c r="H43" s="57"/>
      <c r="I43" s="83">
        <v>45864.0</v>
      </c>
      <c r="J43" s="60">
        <v>45864.0</v>
      </c>
      <c r="K43" s="60">
        <v>45839.0</v>
      </c>
      <c r="L43" s="60">
        <v>45865.0</v>
      </c>
      <c r="M43" s="25">
        <f>IF(ISBLANK(L43), NETWORKDAYS(J43, TODAY(),Hoja2!$A$1:$A$18), NETWORKDAYS(J43, L43, Hoja2!$A$1:$A$18))</f>
        <v>0</v>
      </c>
      <c r="N43" s="83"/>
      <c r="O43" s="122"/>
      <c r="P43" s="123"/>
      <c r="Q43" s="28" t="s">
        <v>69</v>
      </c>
      <c r="R43" s="99"/>
      <c r="S43" s="99"/>
      <c r="T43" s="121"/>
      <c r="U43" s="123"/>
      <c r="V43" s="123"/>
      <c r="W43" s="123"/>
      <c r="X43" s="123"/>
      <c r="Y43" s="123"/>
      <c r="Z43" s="123"/>
      <c r="AA43" s="123"/>
      <c r="AB43" s="123"/>
      <c r="AC43" s="123"/>
      <c r="AD43" s="123"/>
      <c r="AE43" s="123"/>
      <c r="AF43" s="123"/>
      <c r="AG43" s="123"/>
      <c r="AH43" s="123"/>
      <c r="AI43" s="123"/>
      <c r="AJ43" s="123"/>
      <c r="AK43" s="123"/>
      <c r="AL43" s="123"/>
      <c r="AM43" s="31"/>
      <c r="AN43" s="140"/>
      <c r="AO43" s="34"/>
      <c r="AP43" s="34"/>
      <c r="AQ43" s="34"/>
      <c r="AR43" s="34"/>
      <c r="AS43" s="34"/>
      <c r="AT43" s="34" t="s">
        <v>457</v>
      </c>
      <c r="AU43" s="34"/>
      <c r="AV43" s="34"/>
      <c r="AW43" s="34"/>
      <c r="AX43" s="34"/>
      <c r="AY43" s="34"/>
      <c r="AZ43" s="34"/>
      <c r="BA43" s="34"/>
      <c r="BB43" s="34"/>
      <c r="BC43" s="34"/>
      <c r="BD43" s="34"/>
      <c r="BE43" s="34"/>
      <c r="BF43" s="34"/>
      <c r="BG43" s="34"/>
      <c r="BH43" s="34"/>
      <c r="BI43" s="34"/>
      <c r="BJ43" s="34"/>
      <c r="BK43" s="34"/>
      <c r="BL43" s="34"/>
      <c r="BM43" s="34"/>
      <c r="BN43" s="34"/>
    </row>
    <row r="44" ht="29.25" customHeight="1">
      <c r="A44" s="15" t="s">
        <v>64</v>
      </c>
      <c r="B44" s="16" t="s">
        <v>458</v>
      </c>
      <c r="C44" s="96" t="s">
        <v>459</v>
      </c>
      <c r="D44" s="96"/>
      <c r="E44" s="130"/>
      <c r="F44" s="63" t="s">
        <v>73</v>
      </c>
      <c r="G44" s="57">
        <v>100.0</v>
      </c>
      <c r="H44" s="57">
        <v>5.0</v>
      </c>
      <c r="I44" s="83">
        <v>45818.0</v>
      </c>
      <c r="J44" s="60">
        <v>45821.0</v>
      </c>
      <c r="K44" s="60">
        <v>45845.0</v>
      </c>
      <c r="L44" s="60">
        <v>45867.0</v>
      </c>
      <c r="M44" s="25">
        <f>IF(ISBLANK(L44), NETWORKDAYS(J44, TODAY(),Hoja2!$A$1:$A$18), NETWORKDAYS(J44, L44, Hoja2!$A$1:$A$18))</f>
        <v>33</v>
      </c>
      <c r="N44" s="83"/>
      <c r="O44" s="122">
        <v>45868.0</v>
      </c>
      <c r="P44" s="123"/>
      <c r="Q44" s="28" t="s">
        <v>69</v>
      </c>
      <c r="R44" s="99"/>
      <c r="S44" s="99"/>
      <c r="T44" s="121"/>
      <c r="U44" s="123"/>
      <c r="V44" s="123"/>
      <c r="W44" s="123"/>
      <c r="X44" s="123"/>
      <c r="Y44" s="123"/>
      <c r="Z44" s="123"/>
      <c r="AA44" s="123"/>
      <c r="AB44" s="123"/>
      <c r="AC44" s="123"/>
      <c r="AD44" s="123"/>
      <c r="AE44" s="123"/>
      <c r="AF44" s="123"/>
      <c r="AG44" s="123"/>
      <c r="AH44" s="123"/>
      <c r="AI44" s="123"/>
      <c r="AJ44" s="123"/>
      <c r="AK44" s="123"/>
      <c r="AL44" s="123"/>
      <c r="AM44" s="31" t="s">
        <v>460</v>
      </c>
      <c r="AN44" s="140"/>
      <c r="AO44" s="34" t="s">
        <v>461</v>
      </c>
      <c r="AP44" s="34" t="s">
        <v>462</v>
      </c>
      <c r="AQ44" s="34"/>
      <c r="AR44" s="34"/>
      <c r="AS44" s="34"/>
      <c r="AT44" s="34" t="s">
        <v>463</v>
      </c>
      <c r="AU44" s="34"/>
      <c r="AV44" s="34"/>
      <c r="AW44" s="34"/>
      <c r="AX44" s="34" t="s">
        <v>464</v>
      </c>
      <c r="AY44" s="34" t="s">
        <v>465</v>
      </c>
      <c r="AZ44" s="34"/>
      <c r="BA44" s="34"/>
      <c r="BB44" s="34" t="s">
        <v>466</v>
      </c>
      <c r="BC44" s="34" t="s">
        <v>467</v>
      </c>
      <c r="BD44" s="34"/>
      <c r="BE44" s="34" t="s">
        <v>468</v>
      </c>
      <c r="BF44" s="34"/>
      <c r="BG44" s="34"/>
      <c r="BH44" s="34"/>
      <c r="BI44" s="34"/>
      <c r="BJ44" s="34"/>
      <c r="BK44" s="34"/>
      <c r="BL44" s="34" t="s">
        <v>469</v>
      </c>
      <c r="BM44" s="34"/>
      <c r="BN44" s="34"/>
    </row>
    <row r="45" ht="29.25" customHeight="1">
      <c r="A45" s="141" t="s">
        <v>470</v>
      </c>
      <c r="B45" s="94" t="s">
        <v>471</v>
      </c>
      <c r="C45" s="129" t="s">
        <v>472</v>
      </c>
      <c r="D45" s="129" t="s">
        <v>473</v>
      </c>
      <c r="E45" s="130"/>
      <c r="F45" s="19" t="s">
        <v>73</v>
      </c>
      <c r="G45" s="57">
        <v>100.0</v>
      </c>
      <c r="H45" s="126"/>
      <c r="I45" s="83">
        <v>45813.0</v>
      </c>
      <c r="J45" s="60">
        <v>45813.0</v>
      </c>
      <c r="K45" s="60">
        <v>45826.0</v>
      </c>
      <c r="L45" s="60">
        <v>45895.0</v>
      </c>
      <c r="M45" s="25">
        <f>IF(ISBLANK(L45), NETWORKDAYS(J45, TODAY(),Hoja2!$A$1:$A$18), NETWORKDAYS(J45, L45, Hoja2!$A$1:$A$18))</f>
        <v>59</v>
      </c>
      <c r="N45" s="83"/>
      <c r="O45" s="122"/>
      <c r="P45" s="31" t="s">
        <v>474</v>
      </c>
      <c r="Q45" s="28" t="s">
        <v>69</v>
      </c>
      <c r="R45" s="99"/>
      <c r="S45" s="99"/>
      <c r="T45" s="121"/>
      <c r="U45" s="123"/>
      <c r="V45" s="123"/>
      <c r="W45" s="123"/>
      <c r="X45" s="123"/>
      <c r="Y45" s="123"/>
      <c r="Z45" s="123"/>
      <c r="AA45" s="123"/>
      <c r="AB45" s="123"/>
      <c r="AC45" s="123"/>
      <c r="AD45" s="123"/>
      <c r="AE45" s="123"/>
      <c r="AF45" s="123"/>
      <c r="AG45" s="123"/>
      <c r="AH45" s="123"/>
      <c r="AI45" s="123"/>
      <c r="AJ45" s="123"/>
      <c r="AK45" s="123"/>
      <c r="AL45" s="123"/>
      <c r="AM45" s="123"/>
      <c r="AN45" s="123"/>
      <c r="AO45" s="31" t="s">
        <v>475</v>
      </c>
      <c r="AP45" s="31" t="s">
        <v>476</v>
      </c>
      <c r="AQ45" s="34"/>
      <c r="AR45" s="34" t="s">
        <v>477</v>
      </c>
      <c r="AS45" s="34"/>
      <c r="AT45" s="34"/>
      <c r="AU45" s="34"/>
      <c r="AV45" s="34" t="s">
        <v>478</v>
      </c>
      <c r="AW45" s="34"/>
      <c r="AX45" s="34"/>
      <c r="AY45" s="34"/>
      <c r="AZ45" s="34"/>
      <c r="BA45" s="34"/>
      <c r="BB45" s="34"/>
      <c r="BC45" s="34" t="s">
        <v>479</v>
      </c>
      <c r="BD45" s="34"/>
      <c r="BE45" s="34"/>
      <c r="BF45" s="34"/>
      <c r="BG45" s="34"/>
      <c r="BH45" s="34"/>
      <c r="BI45" s="34"/>
      <c r="BJ45" s="34"/>
      <c r="BK45" s="34"/>
      <c r="BL45" s="34"/>
      <c r="BM45" s="34"/>
      <c r="BN45" s="34"/>
    </row>
    <row r="46" ht="29.25" customHeight="1">
      <c r="A46" s="54" t="s">
        <v>124</v>
      </c>
      <c r="B46" s="16" t="s">
        <v>480</v>
      </c>
      <c r="C46" s="96" t="s">
        <v>481</v>
      </c>
      <c r="D46" s="96"/>
      <c r="E46" s="130"/>
      <c r="F46" s="63" t="s">
        <v>73</v>
      </c>
      <c r="G46" s="57">
        <v>100.0</v>
      </c>
      <c r="H46" s="131"/>
      <c r="I46" s="83">
        <v>45825.0</v>
      </c>
      <c r="J46" s="60">
        <v>45832.0</v>
      </c>
      <c r="K46" s="60"/>
      <c r="L46" s="60">
        <v>45832.0</v>
      </c>
      <c r="M46" s="25">
        <f>IF(ISBLANK(L46), NETWORKDAYS(J46, TODAY(),Hoja2!$A$1:$A$18), NETWORKDAYS(J46, L46, Hoja2!$A$1:$A$18))</f>
        <v>1</v>
      </c>
      <c r="N46" s="83"/>
      <c r="O46" s="122"/>
      <c r="P46" s="123"/>
      <c r="Q46" s="28" t="s">
        <v>69</v>
      </c>
      <c r="R46" s="99"/>
      <c r="S46" s="99"/>
      <c r="T46" s="121"/>
      <c r="U46" s="123"/>
      <c r="V46" s="123"/>
      <c r="W46" s="123"/>
      <c r="X46" s="123"/>
      <c r="Y46" s="123"/>
      <c r="Z46" s="123"/>
      <c r="AA46" s="123"/>
      <c r="AB46" s="123"/>
      <c r="AC46" s="123"/>
      <c r="AD46" s="123"/>
      <c r="AE46" s="123"/>
      <c r="AF46" s="123"/>
      <c r="AG46" s="123"/>
      <c r="AH46" s="123"/>
      <c r="AI46" s="123"/>
      <c r="AJ46" s="123"/>
      <c r="AK46" s="123"/>
      <c r="AL46" s="123"/>
      <c r="AM46" s="123"/>
      <c r="AN46" s="123"/>
      <c r="AO46" s="123"/>
      <c r="AP46" s="31" t="s">
        <v>482</v>
      </c>
      <c r="AQ46" s="34" t="s">
        <v>483</v>
      </c>
      <c r="AR46" s="34" t="s">
        <v>484</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customHeight="1">
      <c r="A47" s="141" t="s">
        <v>205</v>
      </c>
      <c r="B47" s="16" t="s">
        <v>485</v>
      </c>
      <c r="C47" s="129" t="s">
        <v>486</v>
      </c>
      <c r="D47" s="129"/>
      <c r="E47" s="130"/>
      <c r="F47" s="63" t="s">
        <v>73</v>
      </c>
      <c r="G47" s="57">
        <v>100.0</v>
      </c>
      <c r="H47" s="126"/>
      <c r="I47" s="83">
        <v>45826.0</v>
      </c>
      <c r="J47" s="60">
        <v>45888.0</v>
      </c>
      <c r="K47" s="60"/>
      <c r="L47" s="60">
        <v>45888.0</v>
      </c>
      <c r="M47" s="25">
        <f>IF(ISBLANK(L47), NETWORKDAYS(J47, TODAY(),Hoja2!$A$1:$A$18), NETWORKDAYS(J47, L47, Hoja2!$A$1:$A$18))</f>
        <v>1</v>
      </c>
      <c r="N47" s="83"/>
      <c r="O47" s="122"/>
      <c r="P47" s="31" t="s">
        <v>487</v>
      </c>
      <c r="Q47" s="28" t="s">
        <v>69</v>
      </c>
      <c r="R47" s="99"/>
      <c r="S47" s="99"/>
      <c r="T47" s="121"/>
      <c r="U47" s="123"/>
      <c r="V47" s="123"/>
      <c r="W47" s="123"/>
      <c r="X47" s="123"/>
      <c r="Y47" s="123"/>
      <c r="Z47" s="123"/>
      <c r="AA47" s="123"/>
      <c r="AB47" s="123"/>
      <c r="AC47" s="123"/>
      <c r="AD47" s="123"/>
      <c r="AE47" s="123"/>
      <c r="AF47" s="123"/>
      <c r="AG47" s="123"/>
      <c r="AH47" s="123"/>
      <c r="AI47" s="123"/>
      <c r="AJ47" s="123"/>
      <c r="AK47" s="123"/>
      <c r="AL47" s="123"/>
      <c r="AM47" s="123"/>
      <c r="AN47" s="123"/>
      <c r="AO47" s="123"/>
      <c r="AP47" s="31" t="s">
        <v>488</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customHeight="1">
      <c r="A48" s="141" t="s">
        <v>205</v>
      </c>
      <c r="B48" s="16" t="s">
        <v>409</v>
      </c>
      <c r="C48" s="142" t="s">
        <v>489</v>
      </c>
      <c r="D48" s="142"/>
      <c r="E48" s="143"/>
      <c r="F48" s="139" t="s">
        <v>73</v>
      </c>
      <c r="G48" s="144">
        <v>100.0</v>
      </c>
      <c r="H48" s="145"/>
      <c r="I48" s="146">
        <v>45827.0</v>
      </c>
      <c r="J48" s="147">
        <v>45827.0</v>
      </c>
      <c r="K48" s="147"/>
      <c r="L48" s="147">
        <v>45827.0</v>
      </c>
      <c r="M48" s="25">
        <f>IF(ISBLANK(L48), NETWORKDAYS(J48, TODAY(),Hoja2!$A$1:$A$18), NETWORKDAYS(J48, L48, Hoja2!$A$1:$A$18))</f>
        <v>1</v>
      </c>
      <c r="N48" s="146"/>
      <c r="O48" s="122"/>
      <c r="P48" s="123"/>
      <c r="Q48" s="28" t="s">
        <v>69</v>
      </c>
      <c r="R48" s="148"/>
      <c r="S48" s="148"/>
      <c r="T48" s="121"/>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customHeight="1">
      <c r="A49" s="141" t="s">
        <v>205</v>
      </c>
      <c r="B49" s="94" t="s">
        <v>491</v>
      </c>
      <c r="C49" s="142" t="s">
        <v>492</v>
      </c>
      <c r="D49" s="142"/>
      <c r="E49" s="143"/>
      <c r="F49" s="139" t="s">
        <v>73</v>
      </c>
      <c r="G49" s="144">
        <v>100.0</v>
      </c>
      <c r="H49" s="145"/>
      <c r="I49" s="146">
        <v>45821.0</v>
      </c>
      <c r="J49" s="147">
        <v>45827.0</v>
      </c>
      <c r="K49" s="147"/>
      <c r="L49" s="147">
        <v>45827.0</v>
      </c>
      <c r="M49" s="25">
        <f>IF(ISBLANK(L49), NETWORKDAYS(J49, TODAY(),Hoja2!$A$1:$A$18), NETWORKDAYS(J49, L49, Hoja2!$A$1:$A$18))</f>
        <v>1</v>
      </c>
      <c r="N49" s="146"/>
      <c r="O49" s="122"/>
      <c r="P49" s="123"/>
      <c r="Q49" s="28" t="s">
        <v>69</v>
      </c>
      <c r="R49" s="148"/>
      <c r="S49" s="148"/>
      <c r="T49" s="121"/>
      <c r="U49" s="123"/>
      <c r="V49" s="123"/>
      <c r="W49" s="123"/>
      <c r="X49" s="123"/>
      <c r="Y49" s="123"/>
      <c r="Z49" s="123"/>
      <c r="AA49" s="123"/>
      <c r="AB49" s="123"/>
      <c r="AC49" s="123"/>
      <c r="AD49" s="123"/>
      <c r="AE49" s="123"/>
      <c r="AF49" s="123"/>
      <c r="AG49" s="123"/>
      <c r="AH49" s="123"/>
      <c r="AI49" s="123"/>
      <c r="AJ49" s="123"/>
      <c r="AK49" s="123"/>
      <c r="AL49" s="123"/>
      <c r="AM49" s="123"/>
      <c r="AN49" s="123"/>
      <c r="AO49" s="123"/>
      <c r="AP49" s="123"/>
      <c r="AQ49" s="31" t="s">
        <v>493</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customHeight="1">
      <c r="A50" s="141" t="s">
        <v>205</v>
      </c>
      <c r="B50" s="94" t="s">
        <v>494</v>
      </c>
      <c r="C50" s="149" t="s">
        <v>495</v>
      </c>
      <c r="D50" s="149" t="s">
        <v>496</v>
      </c>
      <c r="E50" s="143"/>
      <c r="F50" s="19" t="s">
        <v>280</v>
      </c>
      <c r="G50" s="144">
        <v>80.0</v>
      </c>
      <c r="H50" s="145"/>
      <c r="I50" s="146">
        <v>45820.0</v>
      </c>
      <c r="J50" s="147">
        <v>45820.0</v>
      </c>
      <c r="K50" s="147"/>
      <c r="L50" s="147"/>
      <c r="M50" s="25">
        <f>IF(ISBLANK(L50), NETWORKDAYS(J50, TODAY(),Hoja2!$A$1:$A$18), NETWORKDAYS(J50, L50, Hoja2!$A$1:$A$18))</f>
        <v>100</v>
      </c>
      <c r="N50" s="146"/>
      <c r="O50" s="122"/>
      <c r="P50" s="31" t="s">
        <v>497</v>
      </c>
      <c r="Q50" s="28" t="s">
        <v>69</v>
      </c>
      <c r="R50" s="148"/>
      <c r="S50" s="148"/>
      <c r="T50" s="121"/>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31" t="s">
        <v>498</v>
      </c>
      <c r="AR50" s="34" t="s">
        <v>499</v>
      </c>
      <c r="AS50" s="34"/>
      <c r="AT50" s="34"/>
      <c r="AU50" s="34" t="s">
        <v>500</v>
      </c>
      <c r="AV50" s="34"/>
      <c r="AW50" s="34"/>
      <c r="AX50" s="34"/>
      <c r="AY50" s="34"/>
      <c r="AZ50" s="34" t="s">
        <v>501</v>
      </c>
      <c r="BA50" s="34"/>
      <c r="BB50" s="34"/>
      <c r="BC50" s="34"/>
      <c r="BD50" s="34"/>
      <c r="BE50" s="34"/>
      <c r="BF50" s="34"/>
      <c r="BG50" s="34"/>
      <c r="BH50" s="34"/>
      <c r="BI50" s="34"/>
      <c r="BJ50" s="34"/>
      <c r="BK50" s="34"/>
      <c r="BL50" s="34"/>
      <c r="BM50" s="34"/>
      <c r="BN50" s="34"/>
    </row>
    <row r="51" ht="29.25" customHeight="1">
      <c r="A51" s="141" t="s">
        <v>205</v>
      </c>
      <c r="B51" s="94" t="s">
        <v>502</v>
      </c>
      <c r="C51" s="149" t="s">
        <v>503</v>
      </c>
      <c r="D51" s="149" t="s">
        <v>504</v>
      </c>
      <c r="E51" s="143"/>
      <c r="F51" s="19" t="s">
        <v>212</v>
      </c>
      <c r="G51" s="144"/>
      <c r="H51" s="145"/>
      <c r="I51" s="146">
        <v>45953.0</v>
      </c>
      <c r="J51" s="147"/>
      <c r="K51" s="147"/>
      <c r="L51" s="147"/>
      <c r="M51" s="25">
        <f>IF(ISBLANK(L51), NETWORKDAYS(J51, TODAY(),Hoja2!$A$1:$A$18), NETWORKDAYS(J51, L51, Hoja2!$A$1:$A$18))</f>
        <v>32812</v>
      </c>
      <c r="N51" s="146"/>
      <c r="O51" s="122"/>
      <c r="P51" s="31"/>
      <c r="Q51" s="28" t="s">
        <v>69</v>
      </c>
      <c r="R51" s="148"/>
      <c r="S51" s="148"/>
      <c r="T51" s="121"/>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customHeight="1">
      <c r="A52" s="141" t="s">
        <v>205</v>
      </c>
      <c r="B52" s="94" t="s">
        <v>505</v>
      </c>
      <c r="C52" s="150" t="s">
        <v>506</v>
      </c>
      <c r="D52" s="150"/>
      <c r="E52" s="136" t="s">
        <v>383</v>
      </c>
      <c r="F52" s="139" t="s">
        <v>73</v>
      </c>
      <c r="G52" s="144">
        <v>100.0</v>
      </c>
      <c r="H52" s="145"/>
      <c r="I52" s="146">
        <v>45828.0</v>
      </c>
      <c r="J52" s="147">
        <v>45832.0</v>
      </c>
      <c r="K52" s="147"/>
      <c r="L52" s="147">
        <v>45832.0</v>
      </c>
      <c r="M52" s="25">
        <f>IF(ISBLANK(L52), NETWORKDAYS(J52, TODAY(),Hoja2!$A$1:$A$18), NETWORKDAYS(J52, L52, Hoja2!$A$1:$A$18))</f>
        <v>1</v>
      </c>
      <c r="N52" s="146"/>
      <c r="O52" s="122"/>
      <c r="P52" s="123"/>
      <c r="Q52" s="28" t="s">
        <v>69</v>
      </c>
      <c r="R52" s="148"/>
      <c r="S52" s="148"/>
      <c r="T52" s="121"/>
      <c r="U52" s="123"/>
      <c r="V52" s="123"/>
      <c r="W52" s="123"/>
      <c r="X52" s="123"/>
      <c r="Y52" s="123"/>
      <c r="Z52" s="123"/>
      <c r="AA52" s="123"/>
      <c r="AB52" s="123"/>
      <c r="AC52" s="123"/>
      <c r="AD52" s="123"/>
      <c r="AE52" s="123"/>
      <c r="AF52" s="123"/>
      <c r="AG52" s="123"/>
      <c r="AH52" s="123"/>
      <c r="AI52" s="123"/>
      <c r="AJ52" s="123"/>
      <c r="AK52" s="123"/>
      <c r="AL52" s="123"/>
      <c r="AM52" s="123"/>
      <c r="AN52" s="123"/>
      <c r="AO52" s="123"/>
      <c r="AP52" s="123"/>
      <c r="AQ52" s="123"/>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customHeight="1">
      <c r="A53" s="141" t="s">
        <v>205</v>
      </c>
      <c r="B53" s="94" t="s">
        <v>508</v>
      </c>
      <c r="C53" s="142" t="s">
        <v>509</v>
      </c>
      <c r="D53" s="142"/>
      <c r="E53" s="143"/>
      <c r="F53" s="139" t="s">
        <v>73</v>
      </c>
      <c r="G53" s="144">
        <v>100.0</v>
      </c>
      <c r="H53" s="145"/>
      <c r="I53" s="146">
        <v>45832.0</v>
      </c>
      <c r="J53" s="147">
        <v>45832.0</v>
      </c>
      <c r="K53" s="147"/>
      <c r="L53" s="147">
        <v>45833.0</v>
      </c>
      <c r="M53" s="25">
        <f>IF(ISBLANK(L53), NETWORKDAYS(J53, TODAY(),Hoja2!$A$1:$A$18), NETWORKDAYS(J53, L53, Hoja2!$A$1:$A$18))</f>
        <v>2</v>
      </c>
      <c r="N53" s="146"/>
      <c r="O53" s="122"/>
      <c r="P53" s="123"/>
      <c r="Q53" s="28" t="s">
        <v>69</v>
      </c>
      <c r="R53" s="148"/>
      <c r="S53" s="148"/>
      <c r="T53" s="121"/>
      <c r="U53" s="123"/>
      <c r="V53" s="123"/>
      <c r="W53" s="123"/>
      <c r="X53" s="123"/>
      <c r="Y53" s="123"/>
      <c r="Z53" s="123"/>
      <c r="AA53" s="123"/>
      <c r="AB53" s="123"/>
      <c r="AC53" s="123"/>
      <c r="AD53" s="123"/>
      <c r="AE53" s="123"/>
      <c r="AF53" s="123"/>
      <c r="AG53" s="123"/>
      <c r="AH53" s="123"/>
      <c r="AI53" s="123"/>
      <c r="AJ53" s="123"/>
      <c r="AK53" s="123"/>
      <c r="AL53" s="123"/>
      <c r="AM53" s="123"/>
      <c r="AN53" s="123"/>
      <c r="AO53" s="123"/>
      <c r="AP53" s="123"/>
      <c r="AQ53" s="123"/>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customHeight="1">
      <c r="A54" s="54" t="s">
        <v>153</v>
      </c>
      <c r="B54" s="16" t="s">
        <v>511</v>
      </c>
      <c r="C54" s="142" t="s">
        <v>512</v>
      </c>
      <c r="D54" s="142"/>
      <c r="E54" s="143"/>
      <c r="F54" s="139" t="s">
        <v>73</v>
      </c>
      <c r="G54" s="144">
        <v>100.0</v>
      </c>
      <c r="H54" s="145"/>
      <c r="I54" s="146">
        <v>45833.0</v>
      </c>
      <c r="J54" s="147">
        <v>45833.0</v>
      </c>
      <c r="K54" s="147"/>
      <c r="L54" s="147">
        <v>45833.0</v>
      </c>
      <c r="M54" s="25">
        <f>IF(ISBLANK(L54), NETWORKDAYS(J54, TODAY(),Hoja2!$A$1:$A$18), NETWORKDAYS(J54, L54, Hoja2!$A$1:$A$18))</f>
        <v>1</v>
      </c>
      <c r="N54" s="146"/>
      <c r="O54" s="122"/>
      <c r="P54" s="123"/>
      <c r="Q54" s="28" t="s">
        <v>69</v>
      </c>
      <c r="R54" s="148"/>
      <c r="S54" s="148"/>
      <c r="T54" s="121"/>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customHeight="1">
      <c r="A55" s="54" t="s">
        <v>153</v>
      </c>
      <c r="B55" s="16" t="s">
        <v>514</v>
      </c>
      <c r="C55" s="149" t="s">
        <v>515</v>
      </c>
      <c r="D55" s="149"/>
      <c r="E55" s="143"/>
      <c r="F55" s="139" t="s">
        <v>73</v>
      </c>
      <c r="G55" s="144">
        <v>100.0</v>
      </c>
      <c r="H55" s="145"/>
      <c r="I55" s="146">
        <v>45833.0</v>
      </c>
      <c r="J55" s="147">
        <v>45833.0</v>
      </c>
      <c r="K55" s="147"/>
      <c r="L55" s="147">
        <v>45833.0</v>
      </c>
      <c r="M55" s="25">
        <f>IF(ISBLANK(L55), NETWORKDAYS(J55, TODAY(),Hoja2!$A$1:$A$18), NETWORKDAYS(J55, L55, Hoja2!$A$1:$A$18))</f>
        <v>1</v>
      </c>
      <c r="N55" s="146"/>
      <c r="O55" s="122"/>
      <c r="P55" s="123"/>
      <c r="Q55" s="28" t="s">
        <v>69</v>
      </c>
      <c r="R55" s="148"/>
      <c r="S55" s="148"/>
      <c r="T55" s="121"/>
      <c r="U55" s="123"/>
      <c r="V55" s="123"/>
      <c r="W55" s="123"/>
      <c r="X55" s="123"/>
      <c r="Y55" s="123"/>
      <c r="Z55" s="123"/>
      <c r="AA55" s="123"/>
      <c r="AB55" s="123"/>
      <c r="AC55" s="123"/>
      <c r="AD55" s="123"/>
      <c r="AE55" s="123"/>
      <c r="AF55" s="123"/>
      <c r="AG55" s="123"/>
      <c r="AH55" s="123"/>
      <c r="AI55" s="123"/>
      <c r="AJ55" s="123"/>
      <c r="AK55" s="123"/>
      <c r="AL55" s="123"/>
      <c r="AM55" s="123"/>
      <c r="AN55" s="123"/>
      <c r="AO55" s="123"/>
      <c r="AP55" s="123"/>
      <c r="AQ55" s="123"/>
      <c r="AR55" s="31" t="s">
        <v>516</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customHeight="1">
      <c r="A56" s="141" t="s">
        <v>205</v>
      </c>
      <c r="B56" s="94" t="s">
        <v>517</v>
      </c>
      <c r="C56" s="151" t="s">
        <v>518</v>
      </c>
      <c r="D56" s="151"/>
      <c r="E56" s="143"/>
      <c r="F56" s="139" t="s">
        <v>212</v>
      </c>
      <c r="G56" s="144"/>
      <c r="H56" s="145"/>
      <c r="I56" s="146">
        <v>45840.0</v>
      </c>
      <c r="J56" s="147"/>
      <c r="K56" s="147"/>
      <c r="L56" s="147"/>
      <c r="M56" s="25">
        <f>IF(ISBLANK(L56), NETWORKDAYS(J56, TODAY(),Hoja2!$A$1:$A$18), NETWORKDAYS(J56, L56, Hoja2!$A$1:$A$18))</f>
        <v>32812</v>
      </c>
      <c r="N56" s="146"/>
      <c r="O56" s="122"/>
      <c r="P56" s="123"/>
      <c r="Q56" s="100" t="s">
        <v>120</v>
      </c>
      <c r="R56" s="148"/>
      <c r="S56" s="148"/>
      <c r="T56" s="121"/>
      <c r="U56" s="123"/>
      <c r="V56" s="123"/>
      <c r="W56" s="123"/>
      <c r="X56" s="123"/>
      <c r="Y56" s="123"/>
      <c r="Z56" s="123"/>
      <c r="AA56" s="123"/>
      <c r="AB56" s="123"/>
      <c r="AC56" s="123"/>
      <c r="AD56" s="123"/>
      <c r="AE56" s="123"/>
      <c r="AF56" s="123"/>
      <c r="AG56" s="123"/>
      <c r="AH56" s="123"/>
      <c r="AI56" s="123"/>
      <c r="AJ56" s="123"/>
      <c r="AK56" s="123"/>
      <c r="AL56" s="123"/>
      <c r="AM56" s="123"/>
      <c r="AN56" s="123"/>
      <c r="AO56" s="123"/>
      <c r="AP56" s="123"/>
      <c r="AQ56" s="123"/>
      <c r="AR56" s="123"/>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customHeight="1">
      <c r="A57" s="141" t="s">
        <v>205</v>
      </c>
      <c r="B57" s="16" t="s">
        <v>410</v>
      </c>
      <c r="C57" s="142" t="s">
        <v>519</v>
      </c>
      <c r="D57" s="142"/>
      <c r="E57" s="143"/>
      <c r="F57" s="139" t="s">
        <v>73</v>
      </c>
      <c r="G57" s="144">
        <v>100.0</v>
      </c>
      <c r="H57" s="145"/>
      <c r="I57" s="146">
        <v>45834.0</v>
      </c>
      <c r="J57" s="147">
        <v>45834.0</v>
      </c>
      <c r="K57" s="147"/>
      <c r="L57" s="147">
        <v>45841.0</v>
      </c>
      <c r="M57" s="25">
        <f>IF(ISBLANK(L57), NETWORKDAYS(J57, TODAY(),Hoja2!$A$1:$A$18), NETWORKDAYS(J57, L57, Hoja2!$A$1:$A$18))</f>
        <v>6</v>
      </c>
      <c r="N57" s="146"/>
      <c r="O57" s="122"/>
      <c r="P57" s="123"/>
      <c r="Q57" s="28" t="s">
        <v>69</v>
      </c>
      <c r="R57" s="148"/>
      <c r="S57" s="148"/>
      <c r="T57" s="121"/>
      <c r="U57" s="123"/>
      <c r="V57" s="123"/>
      <c r="W57" s="123"/>
      <c r="X57" s="123"/>
      <c r="Y57" s="123"/>
      <c r="Z57" s="123"/>
      <c r="AA57" s="123"/>
      <c r="AB57" s="123"/>
      <c r="AC57" s="123"/>
      <c r="AD57" s="123"/>
      <c r="AE57" s="123"/>
      <c r="AF57" s="123"/>
      <c r="AG57" s="123"/>
      <c r="AH57" s="123"/>
      <c r="AI57" s="123"/>
      <c r="AJ57" s="123"/>
      <c r="AK57" s="123"/>
      <c r="AL57" s="123"/>
      <c r="AM57" s="123"/>
      <c r="AN57" s="123"/>
      <c r="AO57" s="123"/>
      <c r="AP57" s="123"/>
      <c r="AQ57" s="123"/>
      <c r="AR57" s="123"/>
      <c r="AS57" s="31" t="s">
        <v>520</v>
      </c>
      <c r="AT57" s="34"/>
      <c r="AU57" s="34" t="s">
        <v>521</v>
      </c>
      <c r="AV57" s="34" t="s">
        <v>420</v>
      </c>
      <c r="AW57" s="34" t="s">
        <v>522</v>
      </c>
      <c r="AX57" s="34"/>
      <c r="AY57" s="34"/>
      <c r="AZ57" s="34"/>
      <c r="BA57" s="34"/>
      <c r="BB57" s="34"/>
      <c r="BC57" s="34"/>
      <c r="BD57" s="34"/>
      <c r="BE57" s="34"/>
      <c r="BF57" s="34"/>
      <c r="BG57" s="34"/>
      <c r="BH57" s="34"/>
      <c r="BI57" s="34"/>
      <c r="BJ57" s="34"/>
      <c r="BK57" s="34"/>
      <c r="BL57" s="34"/>
      <c r="BM57" s="34"/>
      <c r="BN57" s="34"/>
    </row>
    <row r="58" ht="29.25" customHeight="1">
      <c r="A58" s="54" t="s">
        <v>153</v>
      </c>
      <c r="B58" s="16" t="s">
        <v>523</v>
      </c>
      <c r="C58" s="149" t="s">
        <v>524</v>
      </c>
      <c r="D58" s="149"/>
      <c r="E58" s="143"/>
      <c r="F58" s="19" t="s">
        <v>212</v>
      </c>
      <c r="G58" s="144">
        <v>80.0</v>
      </c>
      <c r="H58" s="145"/>
      <c r="I58" s="146">
        <v>45841.0</v>
      </c>
      <c r="J58" s="147">
        <v>45842.0</v>
      </c>
      <c r="K58" s="147"/>
      <c r="L58" s="147"/>
      <c r="M58" s="25">
        <f>IF(ISBLANK(L58), NETWORKDAYS(J58, TODAY(),Hoja2!$A$1:$A$18), NETWORKDAYS(J58, L58, Hoja2!$A$1:$A$18))</f>
        <v>84</v>
      </c>
      <c r="N58" s="146"/>
      <c r="O58" s="122"/>
      <c r="P58" s="123"/>
      <c r="Q58" s="28" t="s">
        <v>120</v>
      </c>
      <c r="R58" s="148"/>
      <c r="S58" s="148"/>
      <c r="T58" s="121"/>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c r="AV58" s="123"/>
      <c r="AW58" s="34" t="s">
        <v>525</v>
      </c>
      <c r="AX58" s="34" t="s">
        <v>526</v>
      </c>
      <c r="AY58" s="34"/>
      <c r="AZ58" s="34"/>
      <c r="BA58" s="34"/>
      <c r="BB58" s="34"/>
      <c r="BC58" s="34" t="s">
        <v>527</v>
      </c>
      <c r="BD58" s="34"/>
      <c r="BE58" s="34"/>
      <c r="BF58" s="34"/>
      <c r="BG58" s="34" t="s">
        <v>528</v>
      </c>
      <c r="BH58" s="34"/>
      <c r="BI58" s="34"/>
      <c r="BJ58" s="34"/>
      <c r="BK58" s="34"/>
      <c r="BL58" s="34"/>
      <c r="BM58" s="34"/>
      <c r="BN58" s="34"/>
    </row>
    <row r="59" ht="29.25" customHeight="1">
      <c r="A59" s="54" t="s">
        <v>153</v>
      </c>
      <c r="B59" s="16" t="s">
        <v>529</v>
      </c>
      <c r="C59" s="149" t="s">
        <v>530</v>
      </c>
      <c r="D59" s="149"/>
      <c r="E59" s="143"/>
      <c r="F59" s="139" t="s">
        <v>73</v>
      </c>
      <c r="G59" s="144">
        <v>100.0</v>
      </c>
      <c r="H59" s="145"/>
      <c r="I59" s="146">
        <v>45841.0</v>
      </c>
      <c r="J59" s="147">
        <v>45841.0</v>
      </c>
      <c r="K59" s="147"/>
      <c r="L59" s="147">
        <v>45841.0</v>
      </c>
      <c r="M59" s="25">
        <f>IF(ISBLANK(L59), NETWORKDAYS(J59, TODAY(),Hoja2!$A$1:$A$18), NETWORKDAYS(J59, L59, Hoja2!$A$1:$A$18))</f>
        <v>1</v>
      </c>
      <c r="N59" s="146"/>
      <c r="O59" s="122"/>
      <c r="P59" s="123"/>
      <c r="Q59" s="28" t="s">
        <v>69</v>
      </c>
      <c r="R59" s="148"/>
      <c r="S59" s="148"/>
      <c r="T59" s="121"/>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34" t="s">
        <v>531</v>
      </c>
      <c r="AX59" s="34"/>
      <c r="AY59" s="34"/>
      <c r="AZ59" s="34"/>
      <c r="BA59" s="34"/>
      <c r="BB59" s="34"/>
      <c r="BC59" s="34"/>
      <c r="BD59" s="34"/>
      <c r="BE59" s="34"/>
      <c r="BF59" s="34"/>
      <c r="BG59" s="34"/>
      <c r="BH59" s="34"/>
      <c r="BI59" s="34"/>
      <c r="BJ59" s="34"/>
      <c r="BK59" s="34"/>
      <c r="BL59" s="34"/>
      <c r="BM59" s="34"/>
      <c r="BN59" s="34"/>
    </row>
    <row r="60" ht="29.25" customHeight="1">
      <c r="A60" s="54" t="s">
        <v>153</v>
      </c>
      <c r="B60" s="16" t="s">
        <v>532</v>
      </c>
      <c r="C60" s="142" t="s">
        <v>533</v>
      </c>
      <c r="D60" s="142"/>
      <c r="E60" s="143"/>
      <c r="F60" s="139" t="s">
        <v>73</v>
      </c>
      <c r="G60" s="144">
        <v>100.0</v>
      </c>
      <c r="H60" s="145"/>
      <c r="I60" s="146">
        <v>45845.0</v>
      </c>
      <c r="J60" s="147">
        <v>45845.0</v>
      </c>
      <c r="K60" s="147"/>
      <c r="L60" s="147">
        <v>45845.0</v>
      </c>
      <c r="M60" s="25">
        <f>IF(ISBLANK(L60), NETWORKDAYS(J60, TODAY(),Hoja2!$A$1:$A$18), NETWORKDAYS(J60, L60, Hoja2!$A$1:$A$18))</f>
        <v>1</v>
      </c>
      <c r="N60" s="146"/>
      <c r="O60" s="122"/>
      <c r="P60" s="123"/>
      <c r="Q60" s="28" t="s">
        <v>69</v>
      </c>
      <c r="R60" s="148"/>
      <c r="S60" s="148"/>
      <c r="T60" s="121"/>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40"/>
      <c r="AX60" s="34" t="s">
        <v>534</v>
      </c>
      <c r="AY60" s="34"/>
      <c r="AZ60" s="34"/>
      <c r="BA60" s="34"/>
      <c r="BB60" s="34"/>
      <c r="BC60" s="34"/>
      <c r="BD60" s="34"/>
      <c r="BE60" s="34"/>
      <c r="BF60" s="34"/>
      <c r="BG60" s="34"/>
      <c r="BH60" s="34"/>
      <c r="BI60" s="34"/>
      <c r="BJ60" s="34"/>
      <c r="BK60" s="34"/>
      <c r="BL60" s="34"/>
      <c r="BM60" s="34"/>
      <c r="BN60" s="34"/>
    </row>
    <row r="61" ht="29.25" customHeight="1">
      <c r="A61" s="54" t="s">
        <v>153</v>
      </c>
      <c r="B61" s="16" t="s">
        <v>535</v>
      </c>
      <c r="C61" s="142" t="s">
        <v>536</v>
      </c>
      <c r="D61" s="142"/>
      <c r="E61" s="143"/>
      <c r="F61" s="139" t="s">
        <v>73</v>
      </c>
      <c r="G61" s="144">
        <v>100.0</v>
      </c>
      <c r="H61" s="145"/>
      <c r="I61" s="146">
        <v>45842.0</v>
      </c>
      <c r="J61" s="147">
        <v>45842.0</v>
      </c>
      <c r="K61" s="147"/>
      <c r="L61" s="147">
        <v>45845.0</v>
      </c>
      <c r="M61" s="25">
        <f>IF(ISBLANK(L61), NETWORKDAYS(J61, TODAY(),Hoja2!$A$1:$A$18), NETWORKDAYS(J61, L61, Hoja2!$A$1:$A$18))</f>
        <v>2</v>
      </c>
      <c r="N61" s="146"/>
      <c r="O61" s="122"/>
      <c r="P61" s="123"/>
      <c r="Q61" s="28" t="s">
        <v>69</v>
      </c>
      <c r="R61" s="148"/>
      <c r="S61" s="148"/>
      <c r="T61" s="121"/>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c r="AV61" s="123"/>
      <c r="AW61" s="123"/>
      <c r="AX61" s="34" t="s">
        <v>537</v>
      </c>
      <c r="AY61" s="34"/>
      <c r="AZ61" s="34"/>
      <c r="BA61" s="34"/>
      <c r="BB61" s="34"/>
      <c r="BC61" s="34"/>
      <c r="BD61" s="34"/>
      <c r="BE61" s="34"/>
      <c r="BF61" s="34"/>
      <c r="BG61" s="34"/>
      <c r="BH61" s="34"/>
      <c r="BI61" s="34"/>
      <c r="BJ61" s="34"/>
      <c r="BK61" s="34"/>
      <c r="BL61" s="34"/>
      <c r="BM61" s="34"/>
      <c r="BN61" s="34"/>
    </row>
    <row r="62" ht="29.25" customHeight="1">
      <c r="A62" s="54" t="s">
        <v>124</v>
      </c>
      <c r="B62" s="16" t="s">
        <v>538</v>
      </c>
      <c r="C62" s="149" t="s">
        <v>539</v>
      </c>
      <c r="D62" s="149"/>
      <c r="E62" s="143"/>
      <c r="F62" s="139" t="s">
        <v>73</v>
      </c>
      <c r="G62" s="144">
        <v>100.0</v>
      </c>
      <c r="H62" s="145"/>
      <c r="I62" s="146">
        <v>45846.0</v>
      </c>
      <c r="J62" s="147">
        <v>45846.0</v>
      </c>
      <c r="K62" s="147"/>
      <c r="L62" s="147">
        <v>45847.0</v>
      </c>
      <c r="M62" s="25">
        <f>IF(ISBLANK(L62), NETWORKDAYS(J62, TODAY(),Hoja2!$A$1:$A$18), NETWORKDAYS(J62, L62, Hoja2!$A$1:$A$18))</f>
        <v>2</v>
      </c>
      <c r="N62" s="146"/>
      <c r="O62" s="122"/>
      <c r="P62" s="123"/>
      <c r="Q62" s="28" t="s">
        <v>69</v>
      </c>
      <c r="R62" s="148"/>
      <c r="S62" s="148"/>
      <c r="T62" s="121"/>
      <c r="U62" s="123"/>
      <c r="V62" s="123"/>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c r="AV62" s="123"/>
      <c r="AW62" s="123"/>
      <c r="AX62" s="140"/>
      <c r="AY62" s="140"/>
      <c r="AZ62" s="34" t="s">
        <v>540</v>
      </c>
      <c r="BA62" s="34"/>
      <c r="BB62" s="34" t="s">
        <v>541</v>
      </c>
      <c r="BC62" s="34"/>
      <c r="BD62" s="34"/>
      <c r="BE62" s="34"/>
      <c r="BF62" s="34"/>
      <c r="BG62" s="34"/>
      <c r="BH62" s="34"/>
      <c r="BI62" s="34"/>
      <c r="BJ62" s="34"/>
      <c r="BK62" s="34"/>
      <c r="BL62" s="34"/>
      <c r="BM62" s="34"/>
      <c r="BN62" s="34"/>
    </row>
    <row r="63" ht="29.25" customHeight="1">
      <c r="A63" s="54" t="s">
        <v>124</v>
      </c>
      <c r="B63" s="16" t="s">
        <v>542</v>
      </c>
      <c r="C63" s="149" t="s">
        <v>543</v>
      </c>
      <c r="D63" s="149"/>
      <c r="E63" s="143"/>
      <c r="F63" s="139" t="s">
        <v>73</v>
      </c>
      <c r="G63" s="144">
        <v>100.0</v>
      </c>
      <c r="H63" s="145"/>
      <c r="I63" s="146">
        <v>45845.0</v>
      </c>
      <c r="J63" s="147">
        <v>45846.0</v>
      </c>
      <c r="K63" s="147"/>
      <c r="L63" s="147">
        <v>45846.0</v>
      </c>
      <c r="M63" s="25">
        <f>IF(ISBLANK(L63), NETWORKDAYS(J63, TODAY(),Hoja2!$A$1:$A$18), NETWORKDAYS(J63, L63, Hoja2!$A$1:$A$18))</f>
        <v>1</v>
      </c>
      <c r="N63" s="146"/>
      <c r="O63" s="122"/>
      <c r="P63" s="123"/>
      <c r="Q63" s="28" t="s">
        <v>69</v>
      </c>
      <c r="R63" s="148"/>
      <c r="S63" s="148"/>
      <c r="T63" s="121"/>
      <c r="U63" s="123"/>
      <c r="V63" s="123"/>
      <c r="W63" s="123"/>
      <c r="X63" s="123"/>
      <c r="Y63" s="123"/>
      <c r="Z63" s="123"/>
      <c r="AA63" s="123"/>
      <c r="AB63" s="123"/>
      <c r="AC63" s="123"/>
      <c r="AD63" s="123"/>
      <c r="AE63" s="123"/>
      <c r="AF63" s="123"/>
      <c r="AG63" s="123"/>
      <c r="AH63" s="123"/>
      <c r="AI63" s="123"/>
      <c r="AJ63" s="123"/>
      <c r="AK63" s="123"/>
      <c r="AL63" s="123"/>
      <c r="AM63" s="123"/>
      <c r="AN63" s="123"/>
      <c r="AO63" s="123"/>
      <c r="AP63" s="123"/>
      <c r="AQ63" s="123"/>
      <c r="AR63" s="123"/>
      <c r="AS63" s="123"/>
      <c r="AT63" s="123"/>
      <c r="AU63" s="123"/>
      <c r="AV63" s="123"/>
      <c r="AW63" s="123"/>
      <c r="AX63" s="123"/>
      <c r="AY63" s="123"/>
      <c r="AZ63" s="34" t="s">
        <v>544</v>
      </c>
      <c r="BA63" s="34"/>
      <c r="BB63" s="34"/>
      <c r="BC63" s="34"/>
      <c r="BD63" s="34"/>
      <c r="BE63" s="34"/>
      <c r="BF63" s="34"/>
      <c r="BG63" s="34"/>
      <c r="BH63" s="34"/>
      <c r="BI63" s="34"/>
      <c r="BJ63" s="34"/>
      <c r="BK63" s="34"/>
      <c r="BL63" s="34"/>
      <c r="BM63" s="34"/>
      <c r="BN63" s="34"/>
    </row>
    <row r="64" ht="29.25" customHeight="1">
      <c r="A64" s="54" t="s">
        <v>124</v>
      </c>
      <c r="B64" s="16" t="s">
        <v>545</v>
      </c>
      <c r="C64" s="149" t="s">
        <v>546</v>
      </c>
      <c r="D64" s="149"/>
      <c r="E64" s="143"/>
      <c r="F64" s="139" t="s">
        <v>73</v>
      </c>
      <c r="G64" s="144">
        <v>100.0</v>
      </c>
      <c r="H64" s="145"/>
      <c r="I64" s="146">
        <v>45845.0</v>
      </c>
      <c r="J64" s="147">
        <v>45846.0</v>
      </c>
      <c r="K64" s="147"/>
      <c r="L64" s="147">
        <v>45846.0</v>
      </c>
      <c r="M64" s="25">
        <f>IF(ISBLANK(L64), NETWORKDAYS(J64, TODAY(),Hoja2!$A$1:$A$18), NETWORKDAYS(J64, L64, Hoja2!$A$1:$A$18))</f>
        <v>1</v>
      </c>
      <c r="N64" s="146"/>
      <c r="O64" s="122"/>
      <c r="P64" s="123"/>
      <c r="Q64" s="28" t="s">
        <v>69</v>
      </c>
      <c r="R64" s="148"/>
      <c r="S64" s="148"/>
      <c r="T64" s="121"/>
      <c r="U64" s="123"/>
      <c r="V64" s="123"/>
      <c r="W64" s="123"/>
      <c r="X64" s="123"/>
      <c r="Y64" s="123"/>
      <c r="Z64" s="123"/>
      <c r="AA64" s="123"/>
      <c r="AB64" s="123"/>
      <c r="AC64" s="123"/>
      <c r="AD64" s="123"/>
      <c r="AE64" s="123"/>
      <c r="AF64" s="123"/>
      <c r="AG64" s="123"/>
      <c r="AH64" s="123"/>
      <c r="AI64" s="123"/>
      <c r="AJ64" s="123"/>
      <c r="AK64" s="123"/>
      <c r="AL64" s="123"/>
      <c r="AM64" s="123"/>
      <c r="AN64" s="123"/>
      <c r="AO64" s="123"/>
      <c r="AP64" s="123"/>
      <c r="AQ64" s="123"/>
      <c r="AR64" s="123"/>
      <c r="AS64" s="123"/>
      <c r="AT64" s="123"/>
      <c r="AU64" s="123"/>
      <c r="AV64" s="123"/>
      <c r="AW64" s="123"/>
      <c r="AX64" s="123"/>
      <c r="AY64" s="123"/>
      <c r="AZ64" s="34" t="s">
        <v>547</v>
      </c>
      <c r="BA64" s="34"/>
      <c r="BB64" s="34"/>
      <c r="BC64" s="34"/>
      <c r="BD64" s="34"/>
      <c r="BE64" s="34"/>
      <c r="BF64" s="34"/>
      <c r="BG64" s="34"/>
      <c r="BH64" s="34"/>
      <c r="BI64" s="34"/>
      <c r="BJ64" s="34"/>
      <c r="BK64" s="34"/>
      <c r="BL64" s="34"/>
      <c r="BM64" s="34"/>
      <c r="BN64" s="34"/>
    </row>
    <row r="65" ht="29.25" customHeight="1">
      <c r="A65" s="54" t="s">
        <v>124</v>
      </c>
      <c r="B65" s="16" t="s">
        <v>548</v>
      </c>
      <c r="C65" s="152" t="s">
        <v>549</v>
      </c>
      <c r="D65" s="152"/>
      <c r="E65" s="143"/>
      <c r="F65" s="19" t="s">
        <v>280</v>
      </c>
      <c r="G65" s="144">
        <v>20.0</v>
      </c>
      <c r="H65" s="145"/>
      <c r="I65" s="146">
        <v>45847.0</v>
      </c>
      <c r="J65" s="147">
        <v>45890.0</v>
      </c>
      <c r="K65" s="147"/>
      <c r="L65" s="147"/>
      <c r="M65" s="25">
        <f>IF(ISBLANK(L65), NETWORKDAYS(J65, TODAY(),Hoja2!$A$1:$A$18), NETWORKDAYS(J65, L65, Hoja2!$A$1:$A$18))</f>
        <v>50</v>
      </c>
      <c r="N65" s="146"/>
      <c r="O65" s="122"/>
      <c r="P65" s="31" t="s">
        <v>550</v>
      </c>
      <c r="Q65" s="100" t="s">
        <v>69</v>
      </c>
      <c r="R65" s="148"/>
      <c r="S65" s="148"/>
      <c r="T65" s="121"/>
      <c r="U65" s="123"/>
      <c r="V65" s="123"/>
      <c r="W65" s="123"/>
      <c r="X65" s="123"/>
      <c r="Y65" s="123"/>
      <c r="Z65" s="123"/>
      <c r="AA65" s="123"/>
      <c r="AB65" s="123"/>
      <c r="AC65" s="123"/>
      <c r="AD65" s="123"/>
      <c r="AE65" s="123"/>
      <c r="AF65" s="123"/>
      <c r="AG65" s="123"/>
      <c r="AH65" s="123"/>
      <c r="AI65" s="123"/>
      <c r="AJ65" s="123"/>
      <c r="AK65" s="123"/>
      <c r="AL65" s="123"/>
      <c r="AM65" s="123"/>
      <c r="AN65" s="123"/>
      <c r="AO65" s="123"/>
      <c r="AP65" s="123"/>
      <c r="AQ65" s="123"/>
      <c r="AR65" s="123"/>
      <c r="AS65" s="123"/>
      <c r="AT65" s="123"/>
      <c r="AU65" s="123"/>
      <c r="AV65" s="123"/>
      <c r="AW65" s="123"/>
      <c r="AX65" s="123"/>
      <c r="AY65" s="123"/>
      <c r="AZ65" s="123"/>
      <c r="BA65" s="123"/>
      <c r="BB65" s="140"/>
      <c r="BC65" s="140"/>
      <c r="BD65" s="140"/>
      <c r="BE65" s="34" t="s">
        <v>551</v>
      </c>
      <c r="BF65" s="34"/>
      <c r="BG65" s="34"/>
      <c r="BH65" s="34"/>
      <c r="BI65" s="34"/>
      <c r="BJ65" s="34"/>
      <c r="BK65" s="34"/>
      <c r="BL65" s="34"/>
      <c r="BM65" s="34"/>
      <c r="BN65" s="34"/>
    </row>
    <row r="66" ht="29.25" customHeight="1">
      <c r="A66" s="141" t="s">
        <v>205</v>
      </c>
      <c r="B66" s="94" t="s">
        <v>552</v>
      </c>
      <c r="C66" s="77" t="s">
        <v>553</v>
      </c>
      <c r="D66" s="77"/>
      <c r="E66" s="143"/>
      <c r="F66" s="139" t="s">
        <v>73</v>
      </c>
      <c r="G66" s="144">
        <v>100.0</v>
      </c>
      <c r="H66" s="145"/>
      <c r="I66" s="146">
        <v>45849.0</v>
      </c>
      <c r="J66" s="147">
        <v>45849.0</v>
      </c>
      <c r="K66" s="147"/>
      <c r="L66" s="147">
        <v>45855.0</v>
      </c>
      <c r="M66" s="25">
        <f>IF(ISBLANK(L66), NETWORKDAYS(J66, TODAY(),Hoja2!$A$1:$A$18), NETWORKDAYS(J66, L66, Hoja2!$A$1:$A$18))</f>
        <v>5</v>
      </c>
      <c r="N66" s="146"/>
      <c r="O66" s="122"/>
      <c r="P66" s="123"/>
      <c r="Q66" s="28" t="s">
        <v>69</v>
      </c>
      <c r="R66" s="148"/>
      <c r="S66" s="148"/>
      <c r="T66" s="121"/>
      <c r="U66" s="140"/>
      <c r="V66" s="140"/>
      <c r="W66" s="140"/>
      <c r="X66" s="140"/>
      <c r="Y66" s="140"/>
      <c r="Z66" s="140"/>
      <c r="AA66" s="140"/>
      <c r="AB66" s="140"/>
      <c r="AC66" s="140"/>
      <c r="AD66" s="140"/>
      <c r="AE66" s="140"/>
      <c r="AF66" s="140"/>
      <c r="AG66" s="140"/>
      <c r="AH66" s="140"/>
      <c r="AI66" s="140"/>
      <c r="AJ66" s="140"/>
      <c r="AK66" s="140"/>
      <c r="AL66" s="140"/>
      <c r="AM66" s="140"/>
      <c r="AN66" s="140"/>
      <c r="AO66" s="140"/>
      <c r="AP66" s="140"/>
      <c r="AQ66" s="140"/>
      <c r="AR66" s="140"/>
      <c r="AS66" s="140"/>
      <c r="AT66" s="140"/>
      <c r="AU66" s="140"/>
      <c r="AV66" s="140"/>
      <c r="AW66" s="140"/>
      <c r="AX66" s="140"/>
      <c r="AY66" s="140"/>
      <c r="AZ66" s="140"/>
      <c r="BA66" s="140"/>
      <c r="BB66" s="34" t="s">
        <v>554</v>
      </c>
      <c r="BC66" s="34"/>
      <c r="BD66" s="34"/>
      <c r="BE66" s="34" t="s">
        <v>555</v>
      </c>
      <c r="BF66" s="34"/>
      <c r="BG66" s="34" t="s">
        <v>556</v>
      </c>
      <c r="BH66" s="34"/>
      <c r="BI66" s="34"/>
      <c r="BJ66" s="34"/>
      <c r="BK66" s="34"/>
      <c r="BL66" s="34"/>
      <c r="BM66" s="34"/>
      <c r="BN66" s="34"/>
    </row>
    <row r="67" ht="29.25" customHeight="1">
      <c r="A67" s="15" t="s">
        <v>64</v>
      </c>
      <c r="B67" s="16" t="s">
        <v>557</v>
      </c>
      <c r="C67" s="142" t="s">
        <v>558</v>
      </c>
      <c r="D67" s="142"/>
      <c r="E67" s="143"/>
      <c r="F67" s="139" t="s">
        <v>73</v>
      </c>
      <c r="G67" s="144">
        <v>100.0</v>
      </c>
      <c r="H67" s="145"/>
      <c r="I67" s="146">
        <v>45852.0</v>
      </c>
      <c r="J67" s="147">
        <v>45852.0</v>
      </c>
      <c r="K67" s="147"/>
      <c r="L67" s="147">
        <v>45852.0</v>
      </c>
      <c r="M67" s="25">
        <f>IF(ISBLANK(L67), NETWORKDAYS(J67, TODAY(),Hoja2!$A$1:$A$18), NETWORKDAYS(J67, L67, Hoja2!$A$1:$A$18))</f>
        <v>1</v>
      </c>
      <c r="N67" s="146"/>
      <c r="O67" s="122"/>
      <c r="P67" s="123"/>
      <c r="Q67" s="28" t="s">
        <v>69</v>
      </c>
      <c r="R67" s="148"/>
      <c r="S67" s="148"/>
      <c r="T67" s="121"/>
      <c r="U67" s="123"/>
      <c r="V67" s="123"/>
      <c r="W67" s="123"/>
      <c r="X67" s="123"/>
      <c r="Y67" s="123"/>
      <c r="Z67" s="123"/>
      <c r="AA67" s="123"/>
      <c r="AB67" s="123"/>
      <c r="AC67" s="123"/>
      <c r="AD67" s="123"/>
      <c r="AE67" s="123"/>
      <c r="AF67" s="123"/>
      <c r="AG67" s="123"/>
      <c r="AH67" s="123"/>
      <c r="AI67" s="123"/>
      <c r="AJ67" s="123"/>
      <c r="AK67" s="123"/>
      <c r="AL67" s="123"/>
      <c r="AM67" s="123"/>
      <c r="AN67" s="123"/>
      <c r="AO67" s="123"/>
      <c r="AP67" s="123"/>
      <c r="AQ67" s="123"/>
      <c r="AR67" s="123"/>
      <c r="AS67" s="123"/>
      <c r="AT67" s="123"/>
      <c r="AU67" s="123"/>
      <c r="AV67" s="123"/>
      <c r="AW67" s="123"/>
      <c r="AX67" s="123"/>
      <c r="AY67" s="123"/>
      <c r="AZ67" s="123"/>
      <c r="BA67" s="123"/>
      <c r="BB67" s="123"/>
      <c r="BC67" s="31" t="s">
        <v>559</v>
      </c>
      <c r="BD67" s="34"/>
      <c r="BE67" s="34" t="s">
        <v>560</v>
      </c>
      <c r="BF67" s="34"/>
      <c r="BG67" s="34"/>
      <c r="BH67" s="34"/>
      <c r="BI67" s="34"/>
      <c r="BJ67" s="34"/>
      <c r="BK67" s="34"/>
      <c r="BL67" s="34"/>
      <c r="BM67" s="34"/>
      <c r="BN67" s="34"/>
    </row>
    <row r="68" ht="29.25" customHeight="1">
      <c r="A68" s="15" t="s">
        <v>64</v>
      </c>
      <c r="B68" s="16" t="s">
        <v>561</v>
      </c>
      <c r="C68" s="152" t="s">
        <v>562</v>
      </c>
      <c r="D68" s="152"/>
      <c r="E68" s="143"/>
      <c r="F68" s="139" t="s">
        <v>212</v>
      </c>
      <c r="G68" s="144">
        <v>15.0</v>
      </c>
      <c r="H68" s="145"/>
      <c r="I68" s="146">
        <v>45852.0</v>
      </c>
      <c r="J68" s="147">
        <v>45856.0</v>
      </c>
      <c r="K68" s="147"/>
      <c r="L68" s="147"/>
      <c r="M68" s="25">
        <f>IF(ISBLANK(L68), NETWORKDAYS(J68, TODAY(),Hoja2!$A$1:$A$18), NETWORKDAYS(J68, L68, Hoja2!$A$1:$A$18))</f>
        <v>74</v>
      </c>
      <c r="N68" s="146"/>
      <c r="O68" s="122"/>
      <c r="P68" s="31" t="s">
        <v>563</v>
      </c>
      <c r="Q68" s="100" t="s">
        <v>69</v>
      </c>
      <c r="R68" s="148"/>
      <c r="S68" s="148"/>
      <c r="T68" s="121"/>
      <c r="U68" s="123"/>
      <c r="V68" s="123"/>
      <c r="W68" s="123"/>
      <c r="X68" s="123"/>
      <c r="Y68" s="123"/>
      <c r="Z68" s="123"/>
      <c r="AA68" s="123"/>
      <c r="AB68" s="123"/>
      <c r="AC68" s="123"/>
      <c r="AD68" s="123"/>
      <c r="AE68" s="123"/>
      <c r="AF68" s="123"/>
      <c r="AG68" s="123"/>
      <c r="AH68" s="123"/>
      <c r="AI68" s="123"/>
      <c r="AJ68" s="123"/>
      <c r="AK68" s="123"/>
      <c r="AL68" s="123"/>
      <c r="AM68" s="123"/>
      <c r="AN68" s="123"/>
      <c r="AO68" s="123"/>
      <c r="AP68" s="123"/>
      <c r="AQ68" s="123"/>
      <c r="AR68" s="123"/>
      <c r="AS68" s="123"/>
      <c r="AT68" s="123"/>
      <c r="AU68" s="123"/>
      <c r="AV68" s="123"/>
      <c r="AW68" s="123"/>
      <c r="AX68" s="123"/>
      <c r="AY68" s="123"/>
      <c r="AZ68" s="123"/>
      <c r="BA68" s="123"/>
      <c r="BB68" s="123"/>
      <c r="BC68" s="31" t="s">
        <v>564</v>
      </c>
      <c r="BD68" s="34"/>
      <c r="BE68" s="34"/>
      <c r="BF68" s="34"/>
      <c r="BG68" s="34"/>
      <c r="BH68" s="34" t="s">
        <v>565</v>
      </c>
      <c r="BI68" s="34" t="s">
        <v>566</v>
      </c>
      <c r="BJ68" s="34"/>
      <c r="BK68" s="34"/>
      <c r="BL68" s="34"/>
      <c r="BM68" s="34"/>
      <c r="BN68" s="34"/>
    </row>
    <row r="69" ht="29.25" customHeight="1">
      <c r="A69" s="54" t="s">
        <v>124</v>
      </c>
      <c r="B69" s="16" t="s">
        <v>567</v>
      </c>
      <c r="C69" s="142" t="s">
        <v>568</v>
      </c>
      <c r="D69" s="142"/>
      <c r="E69" s="143"/>
      <c r="F69" s="139" t="s">
        <v>73</v>
      </c>
      <c r="G69" s="144">
        <v>100.0</v>
      </c>
      <c r="H69" s="145"/>
      <c r="I69" s="146">
        <v>45853.0</v>
      </c>
      <c r="J69" s="147">
        <v>45859.0</v>
      </c>
      <c r="K69" s="147"/>
      <c r="L69" s="147">
        <v>45859.0</v>
      </c>
      <c r="M69" s="25">
        <f>IF(ISBLANK(L69), NETWORKDAYS(J69, TODAY(),Hoja2!$A$1:$A$18), NETWORKDAYS(J69, L69, Hoja2!$A$1:$A$18))</f>
        <v>1</v>
      </c>
      <c r="N69" s="146">
        <v>45859.0</v>
      </c>
      <c r="O69" s="122">
        <v>45860.0</v>
      </c>
      <c r="P69" s="123"/>
      <c r="Q69" s="28" t="s">
        <v>69</v>
      </c>
      <c r="R69" s="148"/>
      <c r="S69" s="148"/>
      <c r="T69" s="121"/>
      <c r="U69" s="140"/>
      <c r="V69" s="140"/>
      <c r="W69" s="140"/>
      <c r="X69" s="140"/>
      <c r="Y69" s="140"/>
      <c r="Z69" s="140"/>
      <c r="AA69" s="140"/>
      <c r="AB69" s="140"/>
      <c r="AC69" s="140"/>
      <c r="AD69" s="140"/>
      <c r="AE69" s="140"/>
      <c r="AF69" s="140"/>
      <c r="AG69" s="140"/>
      <c r="AH69" s="140"/>
      <c r="AI69" s="140"/>
      <c r="AJ69" s="140"/>
      <c r="AK69" s="140"/>
      <c r="AL69" s="140"/>
      <c r="AM69" s="140"/>
      <c r="AN69" s="140"/>
      <c r="AO69" s="140"/>
      <c r="AP69" s="140"/>
      <c r="AQ69" s="140"/>
      <c r="AR69" s="140"/>
      <c r="AS69" s="140"/>
      <c r="AT69" s="140"/>
      <c r="AU69" s="140"/>
      <c r="AV69" s="140"/>
      <c r="AW69" s="140"/>
      <c r="AX69" s="140"/>
      <c r="AY69" s="140"/>
      <c r="AZ69" s="140"/>
      <c r="BA69" s="140"/>
      <c r="BB69" s="140"/>
      <c r="BC69" s="140"/>
      <c r="BD69" s="140"/>
      <c r="BE69" s="34" t="s">
        <v>569</v>
      </c>
      <c r="BF69" s="34"/>
      <c r="BG69" s="34"/>
      <c r="BH69" s="34" t="s">
        <v>570</v>
      </c>
      <c r="BI69" s="34" t="s">
        <v>571</v>
      </c>
      <c r="BJ69" s="34"/>
      <c r="BK69" s="34"/>
      <c r="BL69" s="34"/>
      <c r="BM69" s="34"/>
      <c r="BN69" s="34"/>
    </row>
    <row r="70" ht="29.25" customHeight="1">
      <c r="A70" s="54" t="s">
        <v>124</v>
      </c>
      <c r="B70" s="16" t="s">
        <v>572</v>
      </c>
      <c r="C70" s="149" t="s">
        <v>573</v>
      </c>
      <c r="D70" s="149"/>
      <c r="E70" s="143"/>
      <c r="F70" s="19" t="s">
        <v>73</v>
      </c>
      <c r="G70" s="144">
        <v>100.0</v>
      </c>
      <c r="H70" s="145"/>
      <c r="I70" s="146">
        <v>45855.0</v>
      </c>
      <c r="J70" s="147">
        <v>45868.0</v>
      </c>
      <c r="K70" s="147">
        <v>45870.0</v>
      </c>
      <c r="L70" s="147">
        <v>45877.0</v>
      </c>
      <c r="M70" s="25">
        <f>IF(ISBLANK(L70), NETWORKDAYS(J70, TODAY(),Hoja2!$A$1:$A$18), NETWORKDAYS(J70, L70, Hoja2!$A$1:$A$18))</f>
        <v>8</v>
      </c>
      <c r="N70" s="146">
        <v>45877.0</v>
      </c>
      <c r="O70" s="122">
        <v>45953.0</v>
      </c>
      <c r="P70" s="90" t="s">
        <v>574</v>
      </c>
      <c r="Q70" s="28" t="s">
        <v>69</v>
      </c>
      <c r="R70" s="153"/>
      <c r="S70" s="154" t="s">
        <v>575</v>
      </c>
      <c r="T70" s="139" t="s">
        <v>576</v>
      </c>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34" t="s">
        <v>577</v>
      </c>
      <c r="BM70" s="34"/>
      <c r="BN70" s="34"/>
    </row>
    <row r="71" ht="29.25" customHeight="1">
      <c r="A71" s="54" t="s">
        <v>124</v>
      </c>
      <c r="B71" s="94" t="s">
        <v>578</v>
      </c>
      <c r="C71" s="155" t="s">
        <v>579</v>
      </c>
      <c r="D71" s="149"/>
      <c r="E71" s="143"/>
      <c r="F71" s="19" t="s">
        <v>212</v>
      </c>
      <c r="G71" s="144"/>
      <c r="H71" s="145"/>
      <c r="I71" s="146">
        <v>45952.0</v>
      </c>
      <c r="J71" s="147"/>
      <c r="K71" s="147"/>
      <c r="L71" s="147"/>
      <c r="M71" s="25">
        <f>IF(ISBLANK(L71), NETWORKDAYS(J71, TODAY(),Hoja2!$A$1:$A$18), NETWORKDAYS(J71, L71, Hoja2!$A$1:$A$18))</f>
        <v>32812</v>
      </c>
      <c r="N71" s="146"/>
      <c r="O71" s="122"/>
      <c r="P71" s="90"/>
      <c r="Q71" s="28" t="s">
        <v>69</v>
      </c>
      <c r="R71" s="153"/>
      <c r="S71" s="154"/>
      <c r="T71" s="121"/>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34"/>
      <c r="BM71" s="34"/>
      <c r="BN71" s="34"/>
    </row>
    <row r="72" ht="29.25" customHeight="1">
      <c r="A72" s="54" t="s">
        <v>124</v>
      </c>
      <c r="B72" s="94" t="s">
        <v>580</v>
      </c>
      <c r="C72" s="149" t="s">
        <v>581</v>
      </c>
      <c r="D72" s="149"/>
      <c r="E72" s="143"/>
      <c r="F72" s="139" t="s">
        <v>73</v>
      </c>
      <c r="G72" s="144">
        <v>100.0</v>
      </c>
      <c r="H72" s="145"/>
      <c r="I72" s="146">
        <v>45877.0</v>
      </c>
      <c r="J72" s="147">
        <v>45917.0</v>
      </c>
      <c r="K72" s="147"/>
      <c r="L72" s="147">
        <v>45917.0</v>
      </c>
      <c r="M72" s="25">
        <f>IF(ISBLANK(L72), NETWORKDAYS(J72, TODAY(),Hoja2!$A$1:$A$18), NETWORKDAYS(J72, L72, Hoja2!$A$1:$A$18))</f>
        <v>1</v>
      </c>
      <c r="N72" s="146"/>
      <c r="O72" s="122"/>
      <c r="P72" s="90" t="s">
        <v>582</v>
      </c>
      <c r="Q72" s="100" t="s">
        <v>69</v>
      </c>
      <c r="R72" s="148"/>
      <c r="S72" s="148"/>
      <c r="T72" s="121"/>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row>
    <row r="73" ht="29.25" customHeight="1">
      <c r="A73" s="54" t="s">
        <v>124</v>
      </c>
      <c r="B73" s="16" t="s">
        <v>583</v>
      </c>
      <c r="C73" s="149" t="s">
        <v>584</v>
      </c>
      <c r="D73" s="149"/>
      <c r="E73" s="143"/>
      <c r="F73" s="139" t="s">
        <v>212</v>
      </c>
      <c r="G73" s="145"/>
      <c r="H73" s="145"/>
      <c r="I73" s="146">
        <v>45855.0</v>
      </c>
      <c r="J73" s="147"/>
      <c r="K73" s="147"/>
      <c r="L73" s="147"/>
      <c r="M73" s="25">
        <f>IF(ISBLANK(L73), NETWORKDAYS(J73, TODAY(),Hoja2!$A$1:$A$18), NETWORKDAYS(J73, L73, Hoja2!$A$1:$A$18))</f>
        <v>32812</v>
      </c>
      <c r="N73" s="146"/>
      <c r="O73" s="122"/>
      <c r="P73" s="90" t="s">
        <v>585</v>
      </c>
      <c r="Q73" s="100" t="s">
        <v>120</v>
      </c>
      <c r="R73" s="148"/>
      <c r="S73" s="148"/>
      <c r="T73" s="121"/>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row>
    <row r="74" ht="29.25" customHeight="1">
      <c r="A74" s="15" t="s">
        <v>64</v>
      </c>
      <c r="B74" s="16" t="s">
        <v>586</v>
      </c>
      <c r="C74" s="142" t="s">
        <v>587</v>
      </c>
      <c r="D74" s="142"/>
      <c r="E74" s="143"/>
      <c r="F74" s="139" t="s">
        <v>73</v>
      </c>
      <c r="G74" s="144">
        <v>100.0</v>
      </c>
      <c r="H74" s="145"/>
      <c r="I74" s="146">
        <v>45856.0</v>
      </c>
      <c r="J74" s="147">
        <v>45862.0</v>
      </c>
      <c r="K74" s="147"/>
      <c r="L74" s="147">
        <v>45862.0</v>
      </c>
      <c r="M74" s="25">
        <f>IF(ISBLANK(L74), NETWORKDAYS(J74, TODAY(),Hoja2!$A$1:$A$18), NETWORKDAYS(J74, L74, Hoja2!$A$1:$A$18))</f>
        <v>1</v>
      </c>
      <c r="N74" s="146"/>
      <c r="O74" s="122"/>
      <c r="P74" s="31" t="s">
        <v>588</v>
      </c>
      <c r="Q74" s="28" t="s">
        <v>69</v>
      </c>
      <c r="R74" s="148"/>
      <c r="S74" s="148"/>
      <c r="T74" s="121"/>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34" t="s">
        <v>589</v>
      </c>
      <c r="BI74" s="34"/>
      <c r="BJ74" s="34"/>
      <c r="BK74" s="34"/>
      <c r="BL74" s="34" t="s">
        <v>590</v>
      </c>
      <c r="BM74" s="34"/>
      <c r="BN74" s="34"/>
    </row>
    <row r="75" ht="29.25" customHeight="1">
      <c r="A75" s="15" t="s">
        <v>64</v>
      </c>
      <c r="B75" s="16" t="s">
        <v>591</v>
      </c>
      <c r="C75" s="142" t="s">
        <v>592</v>
      </c>
      <c r="D75" s="142"/>
      <c r="E75" s="143"/>
      <c r="F75" s="139" t="s">
        <v>73</v>
      </c>
      <c r="G75" s="144">
        <v>100.0</v>
      </c>
      <c r="H75" s="145"/>
      <c r="I75" s="146">
        <v>45860.0</v>
      </c>
      <c r="J75" s="147">
        <v>45860.0</v>
      </c>
      <c r="K75" s="147"/>
      <c r="L75" s="147">
        <v>45861.0</v>
      </c>
      <c r="M75" s="25">
        <f>IF(ISBLANK(L75), NETWORKDAYS(J75, TODAY(),Hoja2!$A$1:$A$18), NETWORKDAYS(J75, L75, Hoja2!$A$1:$A$18))</f>
        <v>2</v>
      </c>
      <c r="N75" s="146"/>
      <c r="O75" s="122"/>
      <c r="P75" s="31" t="s">
        <v>593</v>
      </c>
      <c r="Q75" s="28" t="s">
        <v>69</v>
      </c>
      <c r="R75" s="148"/>
      <c r="S75" s="148"/>
      <c r="T75" s="121"/>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34"/>
      <c r="BK75" s="34" t="s">
        <v>594</v>
      </c>
      <c r="BL75" s="34"/>
      <c r="BM75" s="34"/>
      <c r="BN75" s="34"/>
    </row>
    <row r="76" ht="29.25" customHeight="1">
      <c r="A76" s="54" t="s">
        <v>124</v>
      </c>
      <c r="B76" s="16" t="s">
        <v>595</v>
      </c>
      <c r="C76" s="142" t="s">
        <v>596</v>
      </c>
      <c r="D76" s="142"/>
      <c r="E76" s="143"/>
      <c r="F76" s="139" t="s">
        <v>73</v>
      </c>
      <c r="G76" s="144">
        <v>100.0</v>
      </c>
      <c r="H76" s="145"/>
      <c r="I76" s="146">
        <v>45860.0</v>
      </c>
      <c r="J76" s="147">
        <v>45860.0</v>
      </c>
      <c r="K76" s="147"/>
      <c r="L76" s="147">
        <v>45863.0</v>
      </c>
      <c r="M76" s="25">
        <f>IF(ISBLANK(L76), NETWORKDAYS(J76, TODAY(),Hoja2!$A$1:$A$18), NETWORKDAYS(J76, L76, Hoja2!$A$1:$A$18))</f>
        <v>4</v>
      </c>
      <c r="N76" s="146"/>
      <c r="O76" s="122">
        <v>45867.0</v>
      </c>
      <c r="P76" s="31" t="s">
        <v>597</v>
      </c>
      <c r="Q76" s="28" t="s">
        <v>69</v>
      </c>
      <c r="R76" s="148"/>
      <c r="S76" s="148"/>
      <c r="T76" s="121"/>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34"/>
      <c r="BK76" s="34"/>
      <c r="BL76" s="34" t="s">
        <v>598</v>
      </c>
      <c r="BM76" s="34"/>
      <c r="BN76" s="34"/>
    </row>
    <row r="77" ht="29.25" customHeight="1">
      <c r="A77" s="54" t="s">
        <v>153</v>
      </c>
      <c r="B77" s="16" t="s">
        <v>599</v>
      </c>
      <c r="C77" s="142" t="s">
        <v>600</v>
      </c>
      <c r="D77" s="142"/>
      <c r="E77" s="143"/>
      <c r="F77" s="139" t="s">
        <v>73</v>
      </c>
      <c r="G77" s="144">
        <v>100.0</v>
      </c>
      <c r="H77" s="145"/>
      <c r="I77" s="146">
        <v>45861.0</v>
      </c>
      <c r="J77" s="147">
        <v>45861.0</v>
      </c>
      <c r="K77" s="147"/>
      <c r="L77" s="147">
        <v>45862.0</v>
      </c>
      <c r="M77" s="25">
        <f>IF(ISBLANK(L77), NETWORKDAYS(J77, TODAY(),Hoja2!$A$1:$A$18), NETWORKDAYS(J77, L77, Hoja2!$A$1:$A$18))</f>
        <v>2</v>
      </c>
      <c r="N77" s="146"/>
      <c r="O77" s="122"/>
      <c r="P77" s="31" t="s">
        <v>601</v>
      </c>
      <c r="Q77" s="28" t="s">
        <v>69</v>
      </c>
      <c r="R77" s="148"/>
      <c r="S77" s="148"/>
      <c r="T77" s="121"/>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row>
    <row r="78" ht="29.25" customHeight="1">
      <c r="A78" s="54" t="s">
        <v>153</v>
      </c>
      <c r="B78" s="16" t="s">
        <v>602</v>
      </c>
      <c r="C78" s="149" t="s">
        <v>603</v>
      </c>
      <c r="D78" s="149"/>
      <c r="E78" s="143"/>
      <c r="F78" s="139" t="s">
        <v>73</v>
      </c>
      <c r="G78" s="144">
        <v>100.0</v>
      </c>
      <c r="H78" s="156"/>
      <c r="I78" s="146">
        <v>45861.0</v>
      </c>
      <c r="J78" s="147">
        <v>45861.0</v>
      </c>
      <c r="K78" s="147"/>
      <c r="L78" s="147">
        <v>45861.0</v>
      </c>
      <c r="M78" s="25">
        <f>IF(ISBLANK(L78), NETWORKDAYS(J78, TODAY(),Hoja2!$A$1:$A$18), NETWORKDAYS(J78, L78, Hoja2!$A$1:$A$18))</f>
        <v>1</v>
      </c>
      <c r="N78" s="146"/>
      <c r="O78" s="122"/>
      <c r="P78" s="31" t="s">
        <v>604</v>
      </c>
      <c r="Q78" s="28" t="s">
        <v>69</v>
      </c>
      <c r="R78" s="148"/>
      <c r="S78" s="148"/>
      <c r="T78" s="121"/>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customHeight="1">
      <c r="A79" s="54" t="s">
        <v>153</v>
      </c>
      <c r="B79" s="16" t="s">
        <v>605</v>
      </c>
      <c r="C79" s="149" t="s">
        <v>606</v>
      </c>
      <c r="D79" s="149"/>
      <c r="E79" s="143"/>
      <c r="F79" s="19" t="s">
        <v>280</v>
      </c>
      <c r="G79" s="144">
        <v>70.0</v>
      </c>
      <c r="H79" s="145"/>
      <c r="I79" s="146">
        <v>45861.0</v>
      </c>
      <c r="J79" s="147"/>
      <c r="K79" s="147"/>
      <c r="L79" s="147"/>
      <c r="M79" s="25">
        <f>IF(ISBLANK(L79), NETWORKDAYS(J79, TODAY(),Hoja2!$A$1:$A$18), NETWORKDAYS(J79, L79, Hoja2!$A$1:$A$18))</f>
        <v>32812</v>
      </c>
      <c r="N79" s="146"/>
      <c r="O79" s="122"/>
      <c r="P79" s="31" t="s">
        <v>607</v>
      </c>
      <c r="Q79" s="28" t="s">
        <v>69</v>
      </c>
      <c r="R79" s="148"/>
      <c r="S79" s="148"/>
      <c r="T79" s="121"/>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customHeight="1">
      <c r="A80" s="54" t="s">
        <v>153</v>
      </c>
      <c r="B80" s="16" t="s">
        <v>608</v>
      </c>
      <c r="C80" s="142" t="s">
        <v>609</v>
      </c>
      <c r="D80" s="142"/>
      <c r="E80" s="143"/>
      <c r="F80" s="139" t="s">
        <v>73</v>
      </c>
      <c r="G80" s="144">
        <v>100.0</v>
      </c>
      <c r="H80" s="145"/>
      <c r="I80" s="146">
        <v>45862.0</v>
      </c>
      <c r="J80" s="147">
        <v>45863.0</v>
      </c>
      <c r="K80" s="147"/>
      <c r="L80" s="147">
        <v>45863.0</v>
      </c>
      <c r="M80" s="25">
        <f>IF(ISBLANK(L80), NETWORKDAYS(J80, TODAY(),Hoja2!$A$1:$A$18), NETWORKDAYS(J80, L80, Hoja2!$A$1:$A$18))</f>
        <v>1</v>
      </c>
      <c r="N80" s="146"/>
      <c r="O80" s="122"/>
      <c r="P80" s="31" t="s">
        <v>610</v>
      </c>
      <c r="Q80" s="28" t="s">
        <v>69</v>
      </c>
      <c r="R80" s="148"/>
      <c r="S80" s="148"/>
      <c r="T80" s="121"/>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row>
    <row r="81" ht="29.25" customHeight="1">
      <c r="A81" s="54" t="s">
        <v>153</v>
      </c>
      <c r="B81" s="16" t="s">
        <v>611</v>
      </c>
      <c r="C81" s="142" t="s">
        <v>612</v>
      </c>
      <c r="D81" s="142"/>
      <c r="E81" s="143"/>
      <c r="F81" s="139" t="s">
        <v>73</v>
      </c>
      <c r="G81" s="144">
        <v>100.0</v>
      </c>
      <c r="H81" s="145"/>
      <c r="I81" s="146">
        <v>45862.0</v>
      </c>
      <c r="J81" s="147">
        <v>45862.0</v>
      </c>
      <c r="K81" s="147"/>
      <c r="L81" s="147"/>
      <c r="M81" s="25">
        <f>IF(ISBLANK(L81), NETWORKDAYS(J81, TODAY(),Hoja2!$A$1:$A$18), NETWORKDAYS(J81, L81, Hoja2!$A$1:$A$18))</f>
        <v>70</v>
      </c>
      <c r="N81" s="146"/>
      <c r="O81" s="122"/>
      <c r="P81" s="31" t="s">
        <v>613</v>
      </c>
      <c r="Q81" s="28" t="s">
        <v>69</v>
      </c>
      <c r="R81" s="148"/>
      <c r="S81" s="148"/>
      <c r="T81" s="121"/>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34" t="s">
        <v>614</v>
      </c>
      <c r="BL81" s="34"/>
      <c r="BM81" s="34"/>
      <c r="BN81" s="34"/>
    </row>
    <row r="82" ht="29.25" customHeight="1">
      <c r="A82" s="141" t="s">
        <v>205</v>
      </c>
      <c r="B82" s="94" t="s">
        <v>615</v>
      </c>
      <c r="C82" s="157" t="s">
        <v>616</v>
      </c>
      <c r="D82" s="157"/>
      <c r="E82" s="158"/>
      <c r="F82" s="159" t="s">
        <v>73</v>
      </c>
      <c r="G82" s="160">
        <v>100.0</v>
      </c>
      <c r="H82" s="161"/>
      <c r="I82" s="162">
        <v>45862.0</v>
      </c>
      <c r="J82" s="163">
        <v>45862.0</v>
      </c>
      <c r="K82" s="163"/>
      <c r="L82" s="163">
        <v>45863.0</v>
      </c>
      <c r="M82" s="25">
        <f>IF(ISBLANK(L82), NETWORKDAYS(J82, TODAY(),Hoja2!$A$1:$A$18), NETWORKDAYS(J82, L82, Hoja2!$A$1:$A$18))</f>
        <v>2</v>
      </c>
      <c r="N82" s="162"/>
      <c r="O82" s="164"/>
      <c r="P82" s="34" t="s">
        <v>617</v>
      </c>
      <c r="Q82" s="28" t="s">
        <v>69</v>
      </c>
      <c r="R82" s="165"/>
      <c r="S82" s="165"/>
      <c r="T82" s="166"/>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140"/>
      <c r="BL82" s="140"/>
      <c r="BM82" s="140"/>
      <c r="BN82" s="140"/>
    </row>
    <row r="83" ht="29.25" customHeight="1">
      <c r="A83" s="15" t="s">
        <v>64</v>
      </c>
      <c r="B83" s="16" t="s">
        <v>618</v>
      </c>
      <c r="C83" s="142" t="s">
        <v>619</v>
      </c>
      <c r="D83" s="142"/>
      <c r="E83" s="143"/>
      <c r="F83" s="139" t="s">
        <v>73</v>
      </c>
      <c r="G83" s="144">
        <v>100.0</v>
      </c>
      <c r="H83" s="145"/>
      <c r="I83" s="146">
        <v>45863.0</v>
      </c>
      <c r="J83" s="147">
        <v>45863.0</v>
      </c>
      <c r="K83" s="147"/>
      <c r="L83" s="147">
        <v>45863.0</v>
      </c>
      <c r="M83" s="25">
        <f>IF(ISBLANK(L83), NETWORKDAYS(J83, TODAY(),Hoja2!$A$1:$A$18), NETWORKDAYS(J83, L83, Hoja2!$A$1:$A$18))</f>
        <v>1</v>
      </c>
      <c r="N83" s="146"/>
      <c r="O83" s="122"/>
      <c r="P83" s="31" t="s">
        <v>620</v>
      </c>
      <c r="Q83" s="28" t="s">
        <v>69</v>
      </c>
      <c r="R83" s="148"/>
      <c r="S83" s="148"/>
      <c r="T83" s="121"/>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customHeight="1">
      <c r="A84" s="54" t="s">
        <v>124</v>
      </c>
      <c r="B84" s="16" t="s">
        <v>621</v>
      </c>
      <c r="C84" s="142" t="s">
        <v>622</v>
      </c>
      <c r="D84" s="142"/>
      <c r="E84" s="143"/>
      <c r="F84" s="139" t="s">
        <v>73</v>
      </c>
      <c r="G84" s="144">
        <v>100.0</v>
      </c>
      <c r="H84" s="156"/>
      <c r="I84" s="146">
        <v>45863.0</v>
      </c>
      <c r="J84" s="147">
        <v>45863.0</v>
      </c>
      <c r="K84" s="147"/>
      <c r="L84" s="147">
        <v>45863.0</v>
      </c>
      <c r="M84" s="25">
        <f>IF(ISBLANK(L84), NETWORKDAYS(J84, TODAY(),Hoja2!$A$1:$A$18), NETWORKDAYS(J84, L84, Hoja2!$A$1:$A$18))</f>
        <v>1</v>
      </c>
      <c r="N84" s="146"/>
      <c r="O84" s="122"/>
      <c r="P84" s="31" t="s">
        <v>623</v>
      </c>
      <c r="Q84" s="28" t="s">
        <v>69</v>
      </c>
      <c r="R84" s="148"/>
      <c r="S84" s="148"/>
      <c r="T84" s="121"/>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row>
    <row r="85" ht="29.25" customHeight="1">
      <c r="A85" s="54" t="s">
        <v>124</v>
      </c>
      <c r="B85" s="16" t="s">
        <v>624</v>
      </c>
      <c r="C85" s="142" t="s">
        <v>625</v>
      </c>
      <c r="D85" s="142"/>
      <c r="E85" s="143"/>
      <c r="F85" s="139" t="s">
        <v>73</v>
      </c>
      <c r="G85" s="144">
        <v>100.0</v>
      </c>
      <c r="H85" s="145"/>
      <c r="I85" s="146">
        <v>45866.0</v>
      </c>
      <c r="J85" s="147">
        <v>45866.0</v>
      </c>
      <c r="K85" s="147"/>
      <c r="L85" s="147">
        <v>45867.0</v>
      </c>
      <c r="M85" s="25">
        <f>IF(ISBLANK(L85), NETWORKDAYS(J85, TODAY(),Hoja2!$A$1:$A$18), NETWORKDAYS(J85, L85, Hoja2!$A$1:$A$18))</f>
        <v>2</v>
      </c>
      <c r="N85" s="146"/>
      <c r="O85" s="122"/>
      <c r="P85" s="31" t="s">
        <v>626</v>
      </c>
      <c r="Q85" s="28" t="s">
        <v>69</v>
      </c>
      <c r="R85" s="148"/>
      <c r="S85" s="148"/>
      <c r="T85" s="121"/>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34"/>
      <c r="BM85" s="34"/>
      <c r="BN85" s="34"/>
    </row>
    <row r="86" ht="29.25" customHeight="1">
      <c r="A86" s="15" t="s">
        <v>64</v>
      </c>
      <c r="B86" s="16" t="s">
        <v>627</v>
      </c>
      <c r="C86" s="142" t="s">
        <v>628</v>
      </c>
      <c r="D86" s="142"/>
      <c r="E86" s="143"/>
      <c r="F86" s="139" t="s">
        <v>73</v>
      </c>
      <c r="G86" s="144">
        <v>100.0</v>
      </c>
      <c r="H86" s="145"/>
      <c r="I86" s="146">
        <v>45866.0</v>
      </c>
      <c r="J86" s="147">
        <v>45866.0</v>
      </c>
      <c r="K86" s="147"/>
      <c r="L86" s="147">
        <v>45866.0</v>
      </c>
      <c r="M86" s="25">
        <f>IF(ISBLANK(L86), NETWORKDAYS(J86, TODAY(),Hoja2!$A$1:$A$18), NETWORKDAYS(J86, L86, Hoja2!$A$1:$A$18))</f>
        <v>1</v>
      </c>
      <c r="N86" s="146"/>
      <c r="O86" s="122"/>
      <c r="P86" s="31" t="s">
        <v>629</v>
      </c>
      <c r="Q86" s="28" t="s">
        <v>69</v>
      </c>
      <c r="R86" s="148"/>
      <c r="S86" s="148"/>
      <c r="T86" s="121"/>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34" t="s">
        <v>630</v>
      </c>
      <c r="BM86" s="34"/>
      <c r="BN86" s="34"/>
    </row>
    <row r="87" ht="29.25" customHeight="1">
      <c r="A87" s="54" t="s">
        <v>153</v>
      </c>
      <c r="B87" s="16" t="s">
        <v>631</v>
      </c>
      <c r="C87" s="142" t="s">
        <v>632</v>
      </c>
      <c r="D87" s="142"/>
      <c r="E87" s="143"/>
      <c r="F87" s="139" t="s">
        <v>73</v>
      </c>
      <c r="G87" s="144">
        <v>100.0</v>
      </c>
      <c r="H87" s="145"/>
      <c r="I87" s="146">
        <v>45863.0</v>
      </c>
      <c r="J87" s="147">
        <v>45866.0</v>
      </c>
      <c r="K87" s="147"/>
      <c r="L87" s="147">
        <v>45867.0</v>
      </c>
      <c r="M87" s="25">
        <f>IF(ISBLANK(L87), NETWORKDAYS(J87, TODAY(),Hoja2!$A$1:$A$18), NETWORKDAYS(J87, L87, Hoja2!$A$1:$A$18))</f>
        <v>2</v>
      </c>
      <c r="N87" s="146"/>
      <c r="O87" s="122"/>
      <c r="P87" s="31" t="s">
        <v>633</v>
      </c>
      <c r="Q87" s="28" t="s">
        <v>69</v>
      </c>
      <c r="R87" s="148"/>
      <c r="S87" s="148"/>
      <c r="T87" s="121"/>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140"/>
      <c r="BM87" s="140"/>
      <c r="BN87" s="140"/>
    </row>
    <row r="88" ht="29.25" customHeight="1">
      <c r="A88" s="54" t="s">
        <v>153</v>
      </c>
      <c r="B88" s="16" t="s">
        <v>634</v>
      </c>
      <c r="C88" s="142" t="s">
        <v>635</v>
      </c>
      <c r="D88" s="142"/>
      <c r="E88" s="143"/>
      <c r="F88" s="139" t="s">
        <v>73</v>
      </c>
      <c r="G88" s="144">
        <v>100.0</v>
      </c>
      <c r="H88" s="145"/>
      <c r="I88" s="146">
        <v>45867.0</v>
      </c>
      <c r="J88" s="147">
        <v>45867.0</v>
      </c>
      <c r="K88" s="147"/>
      <c r="L88" s="147">
        <v>45867.0</v>
      </c>
      <c r="M88" s="25">
        <f>IF(ISBLANK(L88), NETWORKDAYS(J88, TODAY(),Hoja2!$A$1:$A$18), NETWORKDAYS(J88, L88, Hoja2!$A$1:$A$18))</f>
        <v>1</v>
      </c>
      <c r="N88" s="146"/>
      <c r="O88" s="122"/>
      <c r="P88" s="31" t="s">
        <v>636</v>
      </c>
      <c r="Q88" s="28" t="s">
        <v>69</v>
      </c>
      <c r="R88" s="148"/>
      <c r="S88" s="148"/>
      <c r="T88" s="121"/>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customHeight="1">
      <c r="A89" s="54" t="s">
        <v>153</v>
      </c>
      <c r="B89" s="16" t="s">
        <v>637</v>
      </c>
      <c r="C89" s="149" t="s">
        <v>638</v>
      </c>
      <c r="D89" s="149"/>
      <c r="E89" s="143"/>
      <c r="F89" s="139" t="s">
        <v>73</v>
      </c>
      <c r="G89" s="144">
        <v>100.0</v>
      </c>
      <c r="H89" s="145"/>
      <c r="I89" s="146">
        <v>45867.0</v>
      </c>
      <c r="J89" s="147">
        <v>45867.0</v>
      </c>
      <c r="K89" s="147"/>
      <c r="L89" s="147">
        <v>45867.0</v>
      </c>
      <c r="M89" s="25">
        <f>IF(ISBLANK(L89), NETWORKDAYS(J89, TODAY(),Hoja2!$A$1:$A$18), NETWORKDAYS(J89, L89, Hoja2!$A$1:$A$18))</f>
        <v>1</v>
      </c>
      <c r="N89" s="146"/>
      <c r="O89" s="122"/>
      <c r="P89" s="31" t="s">
        <v>639</v>
      </c>
      <c r="Q89" s="28" t="s">
        <v>69</v>
      </c>
      <c r="R89" s="148"/>
      <c r="S89" s="148"/>
      <c r="T89" s="121"/>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customHeight="1">
      <c r="A90" s="54" t="s">
        <v>153</v>
      </c>
      <c r="B90" s="16" t="s">
        <v>640</v>
      </c>
      <c r="C90" s="149" t="s">
        <v>641</v>
      </c>
      <c r="D90" s="149"/>
      <c r="E90" s="143"/>
      <c r="F90" s="139" t="s">
        <v>73</v>
      </c>
      <c r="G90" s="144">
        <v>100.0</v>
      </c>
      <c r="H90" s="145"/>
      <c r="I90" s="146">
        <v>45867.0</v>
      </c>
      <c r="J90" s="147">
        <v>45867.0</v>
      </c>
      <c r="K90" s="147"/>
      <c r="L90" s="147">
        <v>45867.0</v>
      </c>
      <c r="M90" s="25">
        <f>IF(ISBLANK(L90), NETWORKDAYS(J90, TODAY(),Hoja2!$A$1:$A$18), NETWORKDAYS(J90, L90, Hoja2!$A$1:$A$18))</f>
        <v>1</v>
      </c>
      <c r="N90" s="146"/>
      <c r="O90" s="122"/>
      <c r="P90" s="31" t="s">
        <v>642</v>
      </c>
      <c r="Q90" s="28" t="s">
        <v>69</v>
      </c>
      <c r="R90" s="148"/>
      <c r="S90" s="148"/>
      <c r="T90" s="121"/>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row>
    <row r="91" ht="29.25" customHeight="1">
      <c r="A91" s="54" t="s">
        <v>153</v>
      </c>
      <c r="B91" s="16" t="s">
        <v>643</v>
      </c>
      <c r="C91" s="149" t="s">
        <v>644</v>
      </c>
      <c r="D91" s="149"/>
      <c r="E91" s="143"/>
      <c r="F91" s="139" t="s">
        <v>73</v>
      </c>
      <c r="G91" s="144">
        <v>100.0</v>
      </c>
      <c r="H91" s="145"/>
      <c r="I91" s="146">
        <v>45867.0</v>
      </c>
      <c r="J91" s="147">
        <v>45868.0</v>
      </c>
      <c r="K91" s="147"/>
      <c r="L91" s="147">
        <v>45870.0</v>
      </c>
      <c r="M91" s="25">
        <f>IF(ISBLANK(L91), NETWORKDAYS(J91, TODAY(),Hoja2!$A$1:$A$18), NETWORKDAYS(J91, L91, Hoja2!$A$1:$A$18))</f>
        <v>3</v>
      </c>
      <c r="N91" s="146">
        <v>45870.0</v>
      </c>
      <c r="O91" s="122">
        <v>45881.0</v>
      </c>
      <c r="P91" s="31" t="s">
        <v>645</v>
      </c>
      <c r="Q91" s="28" t="s">
        <v>69</v>
      </c>
      <c r="R91" s="148"/>
      <c r="S91" s="148"/>
      <c r="T91" s="121"/>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34" t="s">
        <v>646</v>
      </c>
    </row>
    <row r="92" ht="29.25" customHeight="1">
      <c r="A92" s="15" t="s">
        <v>64</v>
      </c>
      <c r="B92" s="16" t="s">
        <v>647</v>
      </c>
      <c r="C92" s="149" t="s">
        <v>648</v>
      </c>
      <c r="D92" s="149"/>
      <c r="E92" s="143"/>
      <c r="F92" s="139" t="s">
        <v>73</v>
      </c>
      <c r="G92" s="144">
        <v>50.0</v>
      </c>
      <c r="H92" s="145"/>
      <c r="I92" s="146">
        <v>45867.0</v>
      </c>
      <c r="J92" s="147">
        <v>45867.0</v>
      </c>
      <c r="K92" s="147"/>
      <c r="L92" s="147"/>
      <c r="M92" s="25">
        <f>IF(ISBLANK(L92), NETWORKDAYS(J92, TODAY(),Hoja2!$A$1:$A$18), NETWORKDAYS(J92, L92, Hoja2!$A$1:$A$18))</f>
        <v>67</v>
      </c>
      <c r="N92" s="146"/>
      <c r="O92" s="122"/>
      <c r="P92" s="31" t="s">
        <v>649</v>
      </c>
      <c r="Q92" s="28" t="s">
        <v>69</v>
      </c>
      <c r="R92" s="148"/>
      <c r="S92" s="148"/>
      <c r="T92" s="121"/>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140"/>
    </row>
    <row r="93" ht="29.25" customHeight="1">
      <c r="A93" s="54" t="s">
        <v>153</v>
      </c>
      <c r="B93" s="16" t="s">
        <v>650</v>
      </c>
      <c r="C93" s="149" t="s">
        <v>651</v>
      </c>
      <c r="D93" s="149"/>
      <c r="E93" s="143"/>
      <c r="F93" s="139" t="s">
        <v>73</v>
      </c>
      <c r="G93" s="144">
        <v>100.0</v>
      </c>
      <c r="H93" s="145"/>
      <c r="I93" s="146">
        <v>45866.0</v>
      </c>
      <c r="J93" s="147">
        <v>45867.0</v>
      </c>
      <c r="K93" s="147"/>
      <c r="L93" s="147">
        <v>45868.0</v>
      </c>
      <c r="M93" s="25">
        <f>IF(ISBLANK(L93), NETWORKDAYS(J93, TODAY(),Hoja2!$A$1:$A$18), NETWORKDAYS(J93, L93, Hoja2!$A$1:$A$18))</f>
        <v>2</v>
      </c>
      <c r="N93" s="146"/>
      <c r="O93" s="122"/>
      <c r="P93" s="31" t="s">
        <v>652</v>
      </c>
      <c r="Q93" s="28" t="s">
        <v>69</v>
      </c>
      <c r="R93" s="148"/>
      <c r="S93" s="148"/>
      <c r="T93" s="121"/>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customHeight="1">
      <c r="A94" s="15" t="s">
        <v>64</v>
      </c>
      <c r="B94" s="16" t="s">
        <v>653</v>
      </c>
      <c r="C94" s="149" t="s">
        <v>654</v>
      </c>
      <c r="D94" s="149"/>
      <c r="E94" s="143"/>
      <c r="F94" s="139" t="s">
        <v>73</v>
      </c>
      <c r="G94" s="144">
        <v>100.0</v>
      </c>
      <c r="H94" s="145"/>
      <c r="I94" s="146">
        <v>45867.0</v>
      </c>
      <c r="J94" s="147">
        <v>45867.0</v>
      </c>
      <c r="K94" s="147"/>
      <c r="L94" s="147">
        <v>45875.0</v>
      </c>
      <c r="M94" s="25">
        <f>IF(ISBLANK(L94), NETWORKDAYS(J94, TODAY(),Hoja2!$A$1:$A$18), NETWORKDAYS(J94, L94, Hoja2!$A$1:$A$18))</f>
        <v>7</v>
      </c>
      <c r="N94" s="146"/>
      <c r="O94" s="122"/>
      <c r="P94" s="31" t="s">
        <v>655</v>
      </c>
      <c r="Q94" s="28" t="s">
        <v>69</v>
      </c>
      <c r="R94" s="148"/>
      <c r="S94" s="148"/>
      <c r="T94" s="121"/>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customHeight="1">
      <c r="A95" s="15" t="s">
        <v>64</v>
      </c>
      <c r="B95" s="16" t="s">
        <v>656</v>
      </c>
      <c r="C95" s="149" t="s">
        <v>657</v>
      </c>
      <c r="D95" s="149"/>
      <c r="E95" s="143"/>
      <c r="F95" s="19" t="s">
        <v>280</v>
      </c>
      <c r="G95" s="144">
        <v>20.0</v>
      </c>
      <c r="H95" s="145"/>
      <c r="I95" s="146">
        <v>45867.0</v>
      </c>
      <c r="J95" s="147">
        <v>45867.0</v>
      </c>
      <c r="K95" s="147"/>
      <c r="L95" s="147"/>
      <c r="M95" s="25">
        <f>IF(ISBLANK(L95), NETWORKDAYS(J95, TODAY(),Hoja2!$A$1:$A$18), NETWORKDAYS(J95, L95, Hoja2!$A$1:$A$18))</f>
        <v>67</v>
      </c>
      <c r="N95" s="146"/>
      <c r="O95" s="122"/>
      <c r="P95" s="31" t="s">
        <v>658</v>
      </c>
      <c r="Q95" s="28" t="s">
        <v>69</v>
      </c>
      <c r="R95" s="148"/>
      <c r="S95" s="148"/>
      <c r="T95" s="121"/>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customHeight="1">
      <c r="A96" s="54" t="s">
        <v>124</v>
      </c>
      <c r="B96" s="16" t="s">
        <v>659</v>
      </c>
      <c r="C96" s="149" t="s">
        <v>660</v>
      </c>
      <c r="D96" s="149" t="s">
        <v>661</v>
      </c>
      <c r="E96" s="143"/>
      <c r="F96" s="19" t="s">
        <v>212</v>
      </c>
      <c r="G96" s="144">
        <v>50.0</v>
      </c>
      <c r="H96" s="145"/>
      <c r="I96" s="146">
        <v>45868.0</v>
      </c>
      <c r="J96" s="147">
        <v>45881.0</v>
      </c>
      <c r="K96" s="147"/>
      <c r="L96" s="147">
        <v>45911.0</v>
      </c>
      <c r="M96" s="25">
        <f>IF(ISBLANK(L96), NETWORKDAYS(J96, TODAY(),Hoja2!$A$1:$A$18), NETWORKDAYS(J96, L96, Hoja2!$A$1:$A$18))</f>
        <v>23</v>
      </c>
      <c r="N96" s="146">
        <v>45911.0</v>
      </c>
      <c r="O96" s="122"/>
      <c r="P96" s="31" t="s">
        <v>662</v>
      </c>
      <c r="Q96" s="28" t="s">
        <v>69</v>
      </c>
      <c r="R96" s="167"/>
      <c r="S96" s="144" t="s">
        <v>663</v>
      </c>
      <c r="T96" s="139" t="s">
        <v>664</v>
      </c>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customHeight="1">
      <c r="A97" s="54" t="s">
        <v>153</v>
      </c>
      <c r="B97" s="16" t="s">
        <v>665</v>
      </c>
      <c r="C97" s="149" t="s">
        <v>666</v>
      </c>
      <c r="D97" s="149"/>
      <c r="E97" s="143"/>
      <c r="F97" s="139" t="s">
        <v>73</v>
      </c>
      <c r="G97" s="144">
        <v>100.0</v>
      </c>
      <c r="H97" s="145"/>
      <c r="I97" s="146">
        <v>45868.0</v>
      </c>
      <c r="J97" s="147">
        <v>45868.0</v>
      </c>
      <c r="K97" s="147"/>
      <c r="L97" s="147">
        <v>45869.0</v>
      </c>
      <c r="M97" s="25">
        <f>IF(ISBLANK(L97), NETWORKDAYS(J97, TODAY(),Hoja2!$A$1:$A$18), NETWORKDAYS(J97, L97, Hoja2!$A$1:$A$18))</f>
        <v>2</v>
      </c>
      <c r="N97" s="146"/>
      <c r="O97" s="122"/>
      <c r="P97" s="31" t="s">
        <v>667</v>
      </c>
      <c r="Q97" s="28" t="s">
        <v>69</v>
      </c>
      <c r="R97" s="148"/>
      <c r="S97" s="148"/>
      <c r="T97" s="121"/>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customHeight="1">
      <c r="A98" s="54" t="s">
        <v>124</v>
      </c>
      <c r="B98" s="16" t="s">
        <v>668</v>
      </c>
      <c r="C98" s="149" t="s">
        <v>669</v>
      </c>
      <c r="D98" s="149"/>
      <c r="E98" s="143"/>
      <c r="F98" s="139" t="s">
        <v>73</v>
      </c>
      <c r="G98" s="144">
        <v>100.0</v>
      </c>
      <c r="H98" s="145"/>
      <c r="I98" s="146">
        <v>45870.0</v>
      </c>
      <c r="J98" s="147">
        <v>45874.0</v>
      </c>
      <c r="K98" s="147"/>
      <c r="L98" s="147">
        <v>45874.0</v>
      </c>
      <c r="M98" s="25">
        <f>IF(ISBLANK(L98), NETWORKDAYS(J98, TODAY(),Hoja2!$A$1:$A$18), NETWORKDAYS(J98, L98, Hoja2!$A$1:$A$18))</f>
        <v>1</v>
      </c>
      <c r="N98" s="146">
        <v>45874.0</v>
      </c>
      <c r="O98" s="122">
        <v>45874.0</v>
      </c>
      <c r="P98" s="31" t="s">
        <v>670</v>
      </c>
      <c r="Q98" s="28" t="s">
        <v>69</v>
      </c>
      <c r="R98" s="148"/>
      <c r="S98" s="148"/>
      <c r="T98" s="121"/>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29.25" customHeight="1">
      <c r="A99" s="54" t="s">
        <v>124</v>
      </c>
      <c r="B99" s="94" t="s">
        <v>671</v>
      </c>
      <c r="C99" s="149" t="s">
        <v>672</v>
      </c>
      <c r="D99" s="142"/>
      <c r="E99" s="143"/>
      <c r="F99" s="139" t="s">
        <v>73</v>
      </c>
      <c r="G99" s="144">
        <v>100.0</v>
      </c>
      <c r="H99" s="145"/>
      <c r="I99" s="146">
        <v>45917.0</v>
      </c>
      <c r="J99" s="168">
        <v>45917.0</v>
      </c>
      <c r="K99" s="147"/>
      <c r="L99" s="147">
        <v>45917.0</v>
      </c>
      <c r="M99" s="25">
        <f>IF(ISBLANK(L99), NETWORKDAYS(J99, TODAY(),Hoja2!$A$1:$A$18), NETWORKDAYS(J99, L99, Hoja2!$A$1:$A$18))</f>
        <v>1</v>
      </c>
      <c r="N99" s="146"/>
      <c r="O99" s="122"/>
      <c r="P99" s="90" t="s">
        <v>582</v>
      </c>
      <c r="Q99" s="100" t="s">
        <v>69</v>
      </c>
      <c r="R99" s="144"/>
      <c r="S99" s="148"/>
      <c r="T99" s="121"/>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33.0" customHeight="1">
      <c r="A100" s="54" t="s">
        <v>124</v>
      </c>
      <c r="B100" s="94" t="s">
        <v>673</v>
      </c>
      <c r="C100" s="149" t="s">
        <v>674</v>
      </c>
      <c r="D100" s="142"/>
      <c r="E100" s="143"/>
      <c r="F100" s="139" t="s">
        <v>73</v>
      </c>
      <c r="G100" s="144">
        <v>100.0</v>
      </c>
      <c r="H100" s="145"/>
      <c r="I100" s="146">
        <v>45868.0</v>
      </c>
      <c r="J100" s="168">
        <v>45911.0</v>
      </c>
      <c r="K100" s="147"/>
      <c r="L100" s="147">
        <v>45912.0</v>
      </c>
      <c r="M100" s="25">
        <f>IF(ISBLANK(L100), NETWORKDAYS(J100, TODAY(),Hoja2!$A$1:$A$18), NETWORKDAYS(J100, L100, Hoja2!$A$1:$A$18))</f>
        <v>2</v>
      </c>
      <c r="N100" s="146"/>
      <c r="O100" s="122">
        <v>45930.0</v>
      </c>
      <c r="P100" s="31" t="s">
        <v>675</v>
      </c>
      <c r="Q100" s="100" t="s">
        <v>69</v>
      </c>
      <c r="R100" s="144"/>
      <c r="S100" s="148"/>
      <c r="T100" s="139" t="s">
        <v>664</v>
      </c>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29.25" customHeight="1">
      <c r="A101" s="54" t="s">
        <v>124</v>
      </c>
      <c r="B101" s="94" t="s">
        <v>676</v>
      </c>
      <c r="C101" s="149" t="s">
        <v>677</v>
      </c>
      <c r="D101" s="142"/>
      <c r="E101" s="143"/>
      <c r="F101" s="139" t="s">
        <v>212</v>
      </c>
      <c r="G101" s="144"/>
      <c r="H101" s="145"/>
      <c r="I101" s="169">
        <v>45912.0</v>
      </c>
      <c r="J101" s="168"/>
      <c r="K101" s="147"/>
      <c r="L101" s="147"/>
      <c r="M101" s="25">
        <f>IF(ISBLANK(L101), NETWORKDAYS(J101, TODAY(),Hoja2!$A$1:$A$18), NETWORKDAYS(J101, L101, Hoja2!$A$1:$A$18))</f>
        <v>32812</v>
      </c>
      <c r="N101" s="146"/>
      <c r="O101" s="122"/>
      <c r="P101" s="31" t="s">
        <v>678</v>
      </c>
      <c r="Q101" s="100" t="s">
        <v>120</v>
      </c>
      <c r="R101" s="144"/>
      <c r="S101" s="148"/>
      <c r="T101" s="121"/>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customHeight="1">
      <c r="A102" s="54" t="s">
        <v>124</v>
      </c>
      <c r="B102" s="16" t="s">
        <v>679</v>
      </c>
      <c r="C102" s="149" t="s">
        <v>680</v>
      </c>
      <c r="D102" s="142" t="s">
        <v>681</v>
      </c>
      <c r="E102" s="143"/>
      <c r="F102" s="139" t="s">
        <v>682</v>
      </c>
      <c r="G102" s="144">
        <v>95.0</v>
      </c>
      <c r="H102" s="145"/>
      <c r="I102" s="169">
        <v>45890.0</v>
      </c>
      <c r="J102" s="168">
        <v>45922.0</v>
      </c>
      <c r="K102" s="147">
        <v>45925.0</v>
      </c>
      <c r="L102" s="147">
        <v>45937.0</v>
      </c>
      <c r="M102" s="25">
        <f>IF(ISBLANK(L102), NETWORKDAYS(J102, TODAY(),Hoja2!$A$1:$A$18), NETWORKDAYS(J102, L102, Hoja2!$A$1:$A$18))</f>
        <v>12</v>
      </c>
      <c r="N102" s="146">
        <v>45937.0</v>
      </c>
      <c r="O102" s="122"/>
      <c r="P102" s="31" t="s">
        <v>683</v>
      </c>
      <c r="Q102" s="100" t="s">
        <v>69</v>
      </c>
      <c r="R102" s="144"/>
      <c r="S102" s="144" t="s">
        <v>684</v>
      </c>
      <c r="T102" s="139" t="s">
        <v>685</v>
      </c>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customHeight="1">
      <c r="A103" s="54" t="s">
        <v>124</v>
      </c>
      <c r="B103" s="94" t="s">
        <v>686</v>
      </c>
      <c r="C103" s="170" t="s">
        <v>687</v>
      </c>
      <c r="D103" s="142" t="s">
        <v>688</v>
      </c>
      <c r="E103" s="143"/>
      <c r="F103" s="139" t="s">
        <v>383</v>
      </c>
      <c r="G103" s="144"/>
      <c r="H103" s="145"/>
      <c r="I103" s="169">
        <v>45958.0</v>
      </c>
      <c r="J103" s="171"/>
      <c r="K103" s="147"/>
      <c r="L103" s="147"/>
      <c r="M103" s="25">
        <f>IF(ISBLANK(L103), NETWORKDAYS(J103, TODAY(),Hoja2!$A$1:$A$18), NETWORKDAYS(J103, L103, Hoja2!$A$1:$A$18))</f>
        <v>32812</v>
      </c>
      <c r="N103" s="146"/>
      <c r="O103" s="122"/>
      <c r="P103" s="31" t="s">
        <v>689</v>
      </c>
      <c r="Q103" s="100" t="s">
        <v>69</v>
      </c>
      <c r="R103" s="144"/>
      <c r="S103" s="144"/>
      <c r="T103" s="121"/>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customHeight="1">
      <c r="A104" s="15" t="s">
        <v>64</v>
      </c>
      <c r="B104" s="16" t="s">
        <v>690</v>
      </c>
      <c r="C104" s="149" t="s">
        <v>691</v>
      </c>
      <c r="D104" s="149"/>
      <c r="E104" s="143"/>
      <c r="F104" s="139" t="s">
        <v>73</v>
      </c>
      <c r="G104" s="144">
        <v>100.0</v>
      </c>
      <c r="H104" s="145"/>
      <c r="I104" s="146">
        <v>45869.0</v>
      </c>
      <c r="J104" s="147">
        <v>45870.0</v>
      </c>
      <c r="K104" s="147"/>
      <c r="L104" s="147">
        <v>45880.0</v>
      </c>
      <c r="M104" s="25">
        <f>IF(ISBLANK(L104), NETWORKDAYS(J104, TODAY(),Hoja2!$A$1:$A$18), NETWORKDAYS(J104, L104, Hoja2!$A$1:$A$18))</f>
        <v>7</v>
      </c>
      <c r="N104" s="146"/>
      <c r="O104" s="122"/>
      <c r="P104" s="31" t="s">
        <v>692</v>
      </c>
      <c r="Q104" s="28" t="s">
        <v>69</v>
      </c>
      <c r="R104" s="148"/>
      <c r="S104" s="148"/>
      <c r="T104" s="121"/>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row>
    <row r="105" ht="29.25" customHeight="1">
      <c r="A105" s="15" t="s">
        <v>205</v>
      </c>
      <c r="B105" s="16" t="s">
        <v>693</v>
      </c>
      <c r="C105" s="149" t="s">
        <v>694</v>
      </c>
      <c r="D105" s="149"/>
      <c r="E105" s="143"/>
      <c r="F105" s="139" t="s">
        <v>695</v>
      </c>
      <c r="G105" s="144">
        <v>85.0</v>
      </c>
      <c r="H105" s="145"/>
      <c r="I105" s="146">
        <v>45870.0</v>
      </c>
      <c r="J105" s="147">
        <v>45870.0</v>
      </c>
      <c r="K105" s="147"/>
      <c r="L105" s="147">
        <v>45881.0</v>
      </c>
      <c r="M105" s="25">
        <f>IF(ISBLANK(L105), NETWORKDAYS(J105, TODAY(),Hoja2!$A$1:$A$18), NETWORKDAYS(J105, L105, Hoja2!$A$1:$A$18))</f>
        <v>8</v>
      </c>
      <c r="N105" s="146">
        <v>45881.0</v>
      </c>
      <c r="O105" s="122"/>
      <c r="P105" s="31" t="s">
        <v>696</v>
      </c>
      <c r="Q105" s="28" t="s">
        <v>69</v>
      </c>
      <c r="R105" s="148"/>
      <c r="S105" s="148"/>
      <c r="T105" s="121"/>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34" t="s">
        <v>697</v>
      </c>
    </row>
    <row r="106" ht="29.25" customHeight="1">
      <c r="A106" s="15" t="s">
        <v>205</v>
      </c>
      <c r="B106" s="94" t="s">
        <v>698</v>
      </c>
      <c r="C106" s="149" t="s">
        <v>699</v>
      </c>
      <c r="D106" s="149"/>
      <c r="E106" s="143"/>
      <c r="F106" s="139" t="s">
        <v>73</v>
      </c>
      <c r="G106" s="144">
        <v>100.0</v>
      </c>
      <c r="H106" s="145"/>
      <c r="I106" s="146">
        <v>45917.0</v>
      </c>
      <c r="J106" s="147">
        <v>45918.0</v>
      </c>
      <c r="K106" s="147"/>
      <c r="L106" s="147">
        <v>45919.0</v>
      </c>
      <c r="M106" s="25">
        <f>IF(ISBLANK(L106), NETWORKDAYS(J106, TODAY(),Hoja2!$A$1:$A$18), NETWORKDAYS(J106, L106, Hoja2!$A$1:$A$18))</f>
        <v>2</v>
      </c>
      <c r="N106" s="146"/>
      <c r="O106" s="122"/>
      <c r="P106" s="31" t="s">
        <v>700</v>
      </c>
      <c r="Q106" s="28" t="s">
        <v>69</v>
      </c>
      <c r="R106" s="148"/>
      <c r="S106" s="148"/>
      <c r="T106" s="121"/>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row>
    <row r="107" ht="29.25" customHeight="1">
      <c r="A107" s="15" t="s">
        <v>205</v>
      </c>
      <c r="B107" s="94" t="s">
        <v>701</v>
      </c>
      <c r="C107" s="149" t="s">
        <v>702</v>
      </c>
      <c r="D107" s="149"/>
      <c r="E107" s="143"/>
      <c r="F107" s="139" t="s">
        <v>280</v>
      </c>
      <c r="G107" s="144">
        <v>80.0</v>
      </c>
      <c r="H107" s="145"/>
      <c r="I107" s="146">
        <v>45912.0</v>
      </c>
      <c r="J107" s="147">
        <v>45925.0</v>
      </c>
      <c r="K107" s="147"/>
      <c r="L107" s="147"/>
      <c r="M107" s="25">
        <f>IF(ISBLANK(L107), NETWORKDAYS(J107, TODAY(),Hoja2!$A$1:$A$18), NETWORKDAYS(J107, L107, Hoja2!$A$1:$A$18))</f>
        <v>25</v>
      </c>
      <c r="N107" s="146"/>
      <c r="O107" s="122"/>
      <c r="P107" s="31" t="s">
        <v>703</v>
      </c>
      <c r="Q107" s="28" t="s">
        <v>69</v>
      </c>
      <c r="R107" s="148"/>
      <c r="S107" s="148"/>
      <c r="T107" s="121"/>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customHeight="1">
      <c r="A108" s="15" t="s">
        <v>205</v>
      </c>
      <c r="B108" s="94" t="s">
        <v>704</v>
      </c>
      <c r="C108" s="149" t="s">
        <v>705</v>
      </c>
      <c r="D108" s="149"/>
      <c r="E108" s="143"/>
      <c r="F108" s="139" t="s">
        <v>212</v>
      </c>
      <c r="G108" s="144"/>
      <c r="H108" s="145"/>
      <c r="I108" s="146">
        <v>45953.0</v>
      </c>
      <c r="J108" s="147"/>
      <c r="K108" s="147"/>
      <c r="L108" s="147"/>
      <c r="M108" s="25">
        <f>IF(ISBLANK(L108), NETWORKDAYS(J108, TODAY(),Hoja2!$A$1:$A$18), NETWORKDAYS(J108, L108, Hoja2!$A$1:$A$18))</f>
        <v>32812</v>
      </c>
      <c r="N108" s="146"/>
      <c r="O108" s="122"/>
      <c r="P108" s="31"/>
      <c r="Q108" s="100" t="s">
        <v>69</v>
      </c>
      <c r="R108" s="148"/>
      <c r="S108" s="148"/>
      <c r="T108" s="121"/>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customHeight="1">
      <c r="A109" s="15" t="s">
        <v>205</v>
      </c>
      <c r="B109" s="94" t="s">
        <v>706</v>
      </c>
      <c r="C109" s="149" t="s">
        <v>707</v>
      </c>
      <c r="D109" s="149"/>
      <c r="E109" s="143"/>
      <c r="F109" s="139" t="s">
        <v>383</v>
      </c>
      <c r="G109" s="144"/>
      <c r="H109" s="145"/>
      <c r="I109" s="146">
        <v>45958.0</v>
      </c>
      <c r="J109" s="147">
        <v>45959.0</v>
      </c>
      <c r="K109" s="147"/>
      <c r="L109" s="147"/>
      <c r="M109" s="25">
        <f>IF(ISBLANK(L109), NETWORKDAYS(J109, TODAY(),Hoja2!$A$1:$A$18), NETWORKDAYS(J109, L109, Hoja2!$A$1:$A$18))</f>
        <v>1</v>
      </c>
      <c r="N109" s="146"/>
      <c r="O109" s="122"/>
      <c r="P109" s="31"/>
      <c r="Q109" s="100" t="s">
        <v>69</v>
      </c>
      <c r="R109" s="148"/>
      <c r="S109" s="148"/>
      <c r="T109" s="121"/>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customHeight="1">
      <c r="A110" s="15" t="s">
        <v>205</v>
      </c>
      <c r="B110" s="172" t="s">
        <v>708</v>
      </c>
      <c r="C110" s="173" t="s">
        <v>709</v>
      </c>
      <c r="D110" s="149"/>
      <c r="E110" s="143"/>
      <c r="F110" s="139" t="s">
        <v>73</v>
      </c>
      <c r="G110" s="144">
        <v>100.0</v>
      </c>
      <c r="H110" s="145"/>
      <c r="I110" s="146">
        <v>45937.0</v>
      </c>
      <c r="J110" s="147">
        <v>45937.0</v>
      </c>
      <c r="K110" s="147"/>
      <c r="L110" s="147"/>
      <c r="M110" s="25">
        <f>IF(ISBLANK(L110), NETWORKDAYS(J110, TODAY(),Hoja2!$A$1:$A$18), NETWORKDAYS(J110, L110, Hoja2!$A$1:$A$18))</f>
        <v>17</v>
      </c>
      <c r="N110" s="146"/>
      <c r="O110" s="122"/>
      <c r="P110" s="31" t="s">
        <v>710</v>
      </c>
      <c r="Q110" s="28" t="s">
        <v>69</v>
      </c>
      <c r="R110" s="148"/>
      <c r="S110" s="148"/>
      <c r="T110" s="121"/>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34"/>
    </row>
    <row r="111" ht="29.25" customHeight="1">
      <c r="A111" s="15" t="s">
        <v>205</v>
      </c>
      <c r="B111" s="172" t="s">
        <v>711</v>
      </c>
      <c r="C111" s="173" t="s">
        <v>712</v>
      </c>
      <c r="D111" s="149"/>
      <c r="E111" s="143"/>
      <c r="F111" s="139" t="s">
        <v>73</v>
      </c>
      <c r="G111" s="144">
        <v>100.0</v>
      </c>
      <c r="H111" s="145"/>
      <c r="I111" s="146">
        <v>45945.0</v>
      </c>
      <c r="J111" s="147">
        <v>45945.0</v>
      </c>
      <c r="K111" s="147"/>
      <c r="L111" s="147">
        <v>45945.0</v>
      </c>
      <c r="M111" s="25">
        <f>IF(ISBLANK(L111), NETWORKDAYS(J111, TODAY(),Hoja2!$A$1:$A$18), NETWORKDAYS(J111, L111, Hoja2!$A$1:$A$18))</f>
        <v>1</v>
      </c>
      <c r="N111" s="146"/>
      <c r="O111" s="122"/>
      <c r="P111" s="31"/>
      <c r="Q111" s="28" t="s">
        <v>69</v>
      </c>
      <c r="R111" s="148"/>
      <c r="S111" s="148"/>
      <c r="T111" s="121"/>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row>
    <row r="112" ht="29.25" customHeight="1">
      <c r="A112" s="54" t="s">
        <v>124</v>
      </c>
      <c r="B112" s="16" t="s">
        <v>713</v>
      </c>
      <c r="C112" s="142" t="s">
        <v>714</v>
      </c>
      <c r="D112" s="142"/>
      <c r="E112" s="143"/>
      <c r="F112" s="139" t="s">
        <v>73</v>
      </c>
      <c r="G112" s="145"/>
      <c r="H112" s="145"/>
      <c r="I112" s="146">
        <v>45869.0</v>
      </c>
      <c r="J112" s="147">
        <v>45869.0</v>
      </c>
      <c r="K112" s="147"/>
      <c r="L112" s="147">
        <v>45870.0</v>
      </c>
      <c r="M112" s="25">
        <f>IF(ISBLANK(L112), NETWORKDAYS(J112, TODAY(),Hoja2!$A$1:$A$18), NETWORKDAYS(J112, L112, Hoja2!$A$1:$A$18))</f>
        <v>2</v>
      </c>
      <c r="N112" s="146"/>
      <c r="O112" s="122"/>
      <c r="P112" s="31" t="s">
        <v>715</v>
      </c>
      <c r="Q112" s="28" t="s">
        <v>69</v>
      </c>
      <c r="R112" s="148"/>
      <c r="S112" s="148"/>
      <c r="T112" s="121"/>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140"/>
    </row>
    <row r="113" ht="29.25" customHeight="1">
      <c r="A113" s="54" t="s">
        <v>124</v>
      </c>
      <c r="B113" s="16" t="s">
        <v>716</v>
      </c>
      <c r="C113" s="149" t="s">
        <v>717</v>
      </c>
      <c r="D113" s="149"/>
      <c r="E113" s="143"/>
      <c r="F113" s="139" t="s">
        <v>73</v>
      </c>
      <c r="G113" s="144">
        <v>100.0</v>
      </c>
      <c r="H113" s="145"/>
      <c r="I113" s="146">
        <v>45870.0</v>
      </c>
      <c r="J113" s="147">
        <v>45873.0</v>
      </c>
      <c r="K113" s="147"/>
      <c r="L113" s="147">
        <v>45873.0</v>
      </c>
      <c r="M113" s="25">
        <f>IF(ISBLANK(L113), NETWORKDAYS(J113, TODAY(),Hoja2!$A$1:$A$18), NETWORKDAYS(J113, L113, Hoja2!$A$1:$A$18))</f>
        <v>1</v>
      </c>
      <c r="N113" s="146">
        <v>45873.0</v>
      </c>
      <c r="O113" s="122">
        <v>45873.0</v>
      </c>
      <c r="P113" s="31" t="s">
        <v>718</v>
      </c>
      <c r="Q113" s="28" t="s">
        <v>69</v>
      </c>
      <c r="R113" s="148"/>
      <c r="S113" s="148"/>
      <c r="T113" s="121"/>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34" t="s">
        <v>719</v>
      </c>
    </row>
    <row r="114" ht="29.25" customHeight="1">
      <c r="A114" s="54" t="s">
        <v>124</v>
      </c>
      <c r="B114" s="16" t="s">
        <v>720</v>
      </c>
      <c r="C114" s="142" t="s">
        <v>721</v>
      </c>
      <c r="D114" s="142"/>
      <c r="E114" s="143"/>
      <c r="F114" s="139" t="s">
        <v>73</v>
      </c>
      <c r="G114" s="144">
        <v>100.0</v>
      </c>
      <c r="H114" s="145"/>
      <c r="I114" s="146">
        <v>45870.0</v>
      </c>
      <c r="J114" s="147">
        <v>45874.0</v>
      </c>
      <c r="K114" s="147"/>
      <c r="L114" s="147">
        <v>45875.0</v>
      </c>
      <c r="M114" s="25">
        <f>IF(ISBLANK(L114), NETWORKDAYS(J114, TODAY(),Hoja2!$A$1:$A$18), NETWORKDAYS(J114, L114, Hoja2!$A$1:$A$18))</f>
        <v>2</v>
      </c>
      <c r="N114" s="174">
        <v>45875.0</v>
      </c>
      <c r="O114" s="122">
        <v>45883.0</v>
      </c>
      <c r="P114" s="31" t="s">
        <v>722</v>
      </c>
      <c r="Q114" s="28" t="s">
        <v>69</v>
      </c>
      <c r="R114" s="84"/>
      <c r="S114" s="84" t="s">
        <v>723</v>
      </c>
      <c r="T114" s="139" t="s">
        <v>724</v>
      </c>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34" t="s">
        <v>725</v>
      </c>
    </row>
    <row r="115" ht="29.25" customHeight="1">
      <c r="A115" s="54" t="s">
        <v>124</v>
      </c>
      <c r="B115" s="16" t="s">
        <v>726</v>
      </c>
      <c r="C115" s="142" t="s">
        <v>727</v>
      </c>
      <c r="D115" s="142" t="s">
        <v>728</v>
      </c>
      <c r="E115" s="143"/>
      <c r="F115" s="19" t="s">
        <v>73</v>
      </c>
      <c r="G115" s="144">
        <v>100.0</v>
      </c>
      <c r="H115" s="145"/>
      <c r="I115" s="146">
        <v>45870.0</v>
      </c>
      <c r="J115" s="147">
        <v>45890.0</v>
      </c>
      <c r="K115" s="147"/>
      <c r="L115" s="147">
        <v>45916.0</v>
      </c>
      <c r="M115" s="25">
        <f>IF(ISBLANK(L115), NETWORKDAYS(J122, TODAY(),Hoja2!$A$1:$A$18), NETWORKDAYS(J122, L115, Hoja2!$A$1:$A$18))</f>
        <v>30</v>
      </c>
      <c r="N115" s="146"/>
      <c r="O115" s="122"/>
      <c r="P115" s="31" t="s">
        <v>729</v>
      </c>
      <c r="Q115" s="28" t="s">
        <v>69</v>
      </c>
      <c r="R115" s="148"/>
      <c r="S115" s="148"/>
      <c r="T115" s="121"/>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row>
    <row r="116" ht="29.25" customHeight="1">
      <c r="A116" s="54" t="s">
        <v>124</v>
      </c>
      <c r="B116" s="16" t="s">
        <v>730</v>
      </c>
      <c r="C116" s="142" t="s">
        <v>731</v>
      </c>
      <c r="D116" s="142"/>
      <c r="E116" s="143"/>
      <c r="F116" s="139" t="s">
        <v>73</v>
      </c>
      <c r="G116" s="144">
        <v>100.0</v>
      </c>
      <c r="H116" s="145"/>
      <c r="I116" s="146">
        <v>45870.0</v>
      </c>
      <c r="J116" s="147">
        <v>45917.0</v>
      </c>
      <c r="K116" s="147"/>
      <c r="L116" s="147">
        <v>45918.0</v>
      </c>
      <c r="M116" s="25">
        <f>IF(ISBLANK(L116), NETWORKDAYS(J116, TODAY(),Hoja2!$A$1:$A$18), NETWORKDAYS(J116, L116, Hoja2!$A$1:$A$18))</f>
        <v>2</v>
      </c>
      <c r="N116" s="146">
        <v>45918.0</v>
      </c>
      <c r="O116" s="122"/>
      <c r="P116" s="31" t="s">
        <v>732</v>
      </c>
      <c r="Q116" s="100" t="s">
        <v>69</v>
      </c>
      <c r="R116" s="148"/>
      <c r="S116" s="148"/>
      <c r="T116" s="121"/>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140"/>
    </row>
    <row r="117" ht="29.25" customHeight="1">
      <c r="A117" s="54" t="s">
        <v>124</v>
      </c>
      <c r="B117" s="94" t="s">
        <v>733</v>
      </c>
      <c r="C117" s="142" t="s">
        <v>734</v>
      </c>
      <c r="D117" s="142"/>
      <c r="E117" s="143"/>
      <c r="F117" s="139" t="s">
        <v>73</v>
      </c>
      <c r="G117" s="144">
        <v>100.0</v>
      </c>
      <c r="H117" s="145"/>
      <c r="I117" s="146">
        <v>45904.0</v>
      </c>
      <c r="J117" s="147">
        <v>45904.0</v>
      </c>
      <c r="K117" s="147"/>
      <c r="L117" s="147">
        <v>45904.0</v>
      </c>
      <c r="M117" s="25">
        <f>IF(ISBLANK(L117), NETWORKDAYS(J117, TODAY(),Hoja2!$A$1:$A$18), NETWORKDAYS(J117, L117, Hoja2!$A$1:$A$18))</f>
        <v>1</v>
      </c>
      <c r="N117" s="146"/>
      <c r="O117" s="122"/>
      <c r="P117" s="31" t="s">
        <v>735</v>
      </c>
      <c r="Q117" s="100" t="s">
        <v>69</v>
      </c>
      <c r="R117" s="148"/>
      <c r="S117" s="148"/>
      <c r="T117" s="121"/>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140"/>
    </row>
    <row r="118" ht="29.25" customHeight="1">
      <c r="A118" s="15" t="s">
        <v>64</v>
      </c>
      <c r="B118" s="16" t="s">
        <v>736</v>
      </c>
      <c r="C118" s="142" t="s">
        <v>737</v>
      </c>
      <c r="D118" s="142"/>
      <c r="E118" s="143"/>
      <c r="F118" s="139" t="s">
        <v>73</v>
      </c>
      <c r="G118" s="144">
        <v>100.0</v>
      </c>
      <c r="H118" s="145"/>
      <c r="I118" s="146">
        <v>45870.0</v>
      </c>
      <c r="J118" s="147">
        <v>45870.0</v>
      </c>
      <c r="K118" s="147"/>
      <c r="L118" s="147">
        <v>45870.0</v>
      </c>
      <c r="M118" s="25">
        <f>IF(ISBLANK(L118), NETWORKDAYS(J118, TODAY(),Hoja2!$A$1:$A$18), NETWORKDAYS(J118, L118, Hoja2!$A$1:$A$18))</f>
        <v>1</v>
      </c>
      <c r="N118" s="146"/>
      <c r="O118" s="122"/>
      <c r="P118" s="31" t="s">
        <v>738</v>
      </c>
      <c r="Q118" s="28" t="s">
        <v>69</v>
      </c>
      <c r="R118" s="148"/>
      <c r="S118" s="148"/>
      <c r="T118" s="121"/>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customHeight="1">
      <c r="A119" s="15" t="s">
        <v>64</v>
      </c>
      <c r="B119" s="16" t="s">
        <v>739</v>
      </c>
      <c r="C119" s="142" t="s">
        <v>740</v>
      </c>
      <c r="D119" s="142"/>
      <c r="E119" s="143"/>
      <c r="F119" s="19" t="s">
        <v>73</v>
      </c>
      <c r="G119" s="144">
        <v>100.0</v>
      </c>
      <c r="H119" s="145"/>
      <c r="I119" s="146">
        <v>45870.0</v>
      </c>
      <c r="J119" s="147">
        <v>45870.0</v>
      </c>
      <c r="K119" s="147">
        <v>45891.0</v>
      </c>
      <c r="L119" s="147">
        <v>45898.0</v>
      </c>
      <c r="M119" s="25">
        <f>IF(ISBLANK(L119), NETWORKDAYS(J119, TODAY(),Hoja2!$A$1:$A$18), NETWORKDAYS(J119, L119, Hoja2!$A$1:$A$18))</f>
        <v>21</v>
      </c>
      <c r="N119" s="146"/>
      <c r="O119" s="122">
        <v>45901.0</v>
      </c>
      <c r="P119" s="31" t="s">
        <v>741</v>
      </c>
      <c r="Q119" s="100" t="s">
        <v>69</v>
      </c>
      <c r="R119" s="148"/>
      <c r="S119" s="148"/>
      <c r="T119" s="121"/>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customHeight="1">
      <c r="A120" s="15" t="s">
        <v>64</v>
      </c>
      <c r="B120" s="16" t="s">
        <v>742</v>
      </c>
      <c r="C120" s="142" t="s">
        <v>743</v>
      </c>
      <c r="D120" s="142"/>
      <c r="E120" s="143"/>
      <c r="F120" s="139" t="s">
        <v>73</v>
      </c>
      <c r="G120" s="144">
        <v>100.0</v>
      </c>
      <c r="H120" s="145"/>
      <c r="I120" s="146">
        <v>45873.0</v>
      </c>
      <c r="J120" s="147">
        <v>45873.0</v>
      </c>
      <c r="K120" s="147"/>
      <c r="L120" s="147">
        <v>45874.0</v>
      </c>
      <c r="M120" s="25">
        <f>IF(ISBLANK(L120), NETWORKDAYS(J120, TODAY(),Hoja2!$A$1:$A$18), NETWORKDAYS(J120, L120, Hoja2!$A$1:$A$18))</f>
        <v>2</v>
      </c>
      <c r="N120" s="146"/>
      <c r="O120" s="122">
        <v>45874.0</v>
      </c>
      <c r="P120" s="31" t="s">
        <v>744</v>
      </c>
      <c r="Q120" s="28" t="s">
        <v>69</v>
      </c>
      <c r="R120" s="148"/>
      <c r="S120" s="148"/>
      <c r="T120" s="121"/>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customHeight="1">
      <c r="A121" s="54" t="s">
        <v>124</v>
      </c>
      <c r="B121" s="16" t="s">
        <v>745</v>
      </c>
      <c r="C121" s="142" t="s">
        <v>746</v>
      </c>
      <c r="D121" s="142"/>
      <c r="E121" s="143"/>
      <c r="F121" s="139" t="s">
        <v>73</v>
      </c>
      <c r="G121" s="144">
        <v>100.0</v>
      </c>
      <c r="H121" s="145"/>
      <c r="I121" s="146">
        <v>45874.0</v>
      </c>
      <c r="J121" s="147">
        <v>45877.0</v>
      </c>
      <c r="K121" s="147"/>
      <c r="L121" s="147">
        <v>45877.0</v>
      </c>
      <c r="M121" s="25">
        <f>IF(ISBLANK(L121), NETWORKDAYS(J121, TODAY(),Hoja2!$A$1:$A$18), NETWORKDAYS(J121, L121, Hoja2!$A$1:$A$18))</f>
        <v>1</v>
      </c>
      <c r="N121" s="146">
        <v>45877.0</v>
      </c>
      <c r="O121" s="122">
        <v>45891.0</v>
      </c>
      <c r="P121" s="31" t="s">
        <v>747</v>
      </c>
      <c r="Q121" s="28" t="s">
        <v>69</v>
      </c>
      <c r="R121" s="148"/>
      <c r="S121" s="148"/>
      <c r="T121" s="175"/>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customHeight="1">
      <c r="A122" s="54" t="s">
        <v>153</v>
      </c>
      <c r="B122" s="16" t="s">
        <v>748</v>
      </c>
      <c r="C122" s="149" t="s">
        <v>749</v>
      </c>
      <c r="D122" s="149"/>
      <c r="E122" s="143"/>
      <c r="F122" s="19" t="s">
        <v>73</v>
      </c>
      <c r="G122" s="144">
        <v>100.0</v>
      </c>
      <c r="H122" s="145"/>
      <c r="I122" s="146">
        <v>45874.0</v>
      </c>
      <c r="J122" s="147">
        <v>45875.0</v>
      </c>
      <c r="K122" s="147"/>
      <c r="L122" s="147">
        <v>45880.0</v>
      </c>
      <c r="M122" s="25">
        <f>IF(ISBLANK(L122), NETWORKDAYS(J122, TODAY(),Hoja2!$A$1:$A$18), NETWORKDAYS(J122, L122, Hoja2!$A$1:$A$18))</f>
        <v>4</v>
      </c>
      <c r="N122" s="146"/>
      <c r="O122" s="122"/>
      <c r="P122" s="31" t="s">
        <v>750</v>
      </c>
      <c r="Q122" s="28" t="s">
        <v>69</v>
      </c>
      <c r="R122" s="148"/>
      <c r="S122" s="148"/>
      <c r="T122" s="121"/>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customHeight="1">
      <c r="A123" s="54" t="s">
        <v>153</v>
      </c>
      <c r="B123" s="16" t="s">
        <v>751</v>
      </c>
      <c r="C123" s="142" t="s">
        <v>752</v>
      </c>
      <c r="D123" s="142"/>
      <c r="E123" s="143"/>
      <c r="F123" s="139" t="s">
        <v>73</v>
      </c>
      <c r="G123" s="144">
        <v>100.0</v>
      </c>
      <c r="H123" s="145"/>
      <c r="I123" s="146">
        <v>45873.0</v>
      </c>
      <c r="J123" s="147">
        <v>45874.0</v>
      </c>
      <c r="K123" s="147"/>
      <c r="L123" s="147">
        <v>45874.0</v>
      </c>
      <c r="M123" s="25">
        <f>IF(ISBLANK(L123), NETWORKDAYS(J123, TODAY(),Hoja2!$A$1:$A$18), NETWORKDAYS(J123, L123, Hoja2!$A$1:$A$18))</f>
        <v>1</v>
      </c>
      <c r="N123" s="146"/>
      <c r="O123" s="122"/>
      <c r="P123" s="31" t="s">
        <v>753</v>
      </c>
      <c r="Q123" s="28" t="s">
        <v>69</v>
      </c>
      <c r="R123" s="148"/>
      <c r="S123" s="148"/>
      <c r="T123" s="121"/>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customHeight="1">
      <c r="A124" s="54" t="s">
        <v>153</v>
      </c>
      <c r="B124" s="16" t="s">
        <v>754</v>
      </c>
      <c r="C124" s="149" t="s">
        <v>755</v>
      </c>
      <c r="D124" s="149"/>
      <c r="E124" s="143"/>
      <c r="F124" s="19" t="s">
        <v>212</v>
      </c>
      <c r="G124" s="144">
        <v>0.0</v>
      </c>
      <c r="H124" s="145"/>
      <c r="I124" s="146">
        <v>45874.0</v>
      </c>
      <c r="J124" s="147">
        <v>45880.0</v>
      </c>
      <c r="K124" s="147">
        <v>45882.0</v>
      </c>
      <c r="L124" s="147"/>
      <c r="M124" s="25">
        <f>IF(ISBLANK(L124), NETWORKDAYS(J124, TODAY(),Hoja2!$A$1:$A$18), NETWORKDAYS(J124, L124, Hoja2!$A$1:$A$18))</f>
        <v>58</v>
      </c>
      <c r="N124" s="146"/>
      <c r="O124" s="122"/>
      <c r="P124" s="31" t="s">
        <v>756</v>
      </c>
      <c r="Q124" s="100" t="s">
        <v>120</v>
      </c>
      <c r="R124" s="148"/>
      <c r="S124" s="148"/>
      <c r="T124" s="121"/>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customHeight="1">
      <c r="A125" s="54" t="s">
        <v>153</v>
      </c>
      <c r="B125" s="16" t="s">
        <v>757</v>
      </c>
      <c r="C125" s="142" t="s">
        <v>758</v>
      </c>
      <c r="D125" s="142"/>
      <c r="E125" s="143"/>
      <c r="F125" s="139" t="s">
        <v>73</v>
      </c>
      <c r="G125" s="144">
        <v>100.0</v>
      </c>
      <c r="H125" s="145"/>
      <c r="I125" s="146">
        <v>45877.0</v>
      </c>
      <c r="J125" s="147">
        <v>45877.0</v>
      </c>
      <c r="K125" s="147"/>
      <c r="L125" s="147">
        <v>45877.0</v>
      </c>
      <c r="M125" s="25">
        <f>IF(ISBLANK(L125), NETWORKDAYS(J125, TODAY(),Hoja2!$A$1:$A$18), NETWORKDAYS(J125, L125, Hoja2!$A$1:$A$18))</f>
        <v>1</v>
      </c>
      <c r="N125" s="146"/>
      <c r="O125" s="122"/>
      <c r="P125" s="31" t="s">
        <v>759</v>
      </c>
      <c r="Q125" s="28" t="s">
        <v>69</v>
      </c>
      <c r="R125" s="148"/>
      <c r="S125" s="148"/>
      <c r="T125" s="121"/>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customHeight="1">
      <c r="A126" s="54" t="s">
        <v>153</v>
      </c>
      <c r="B126" s="16" t="s">
        <v>760</v>
      </c>
      <c r="C126" s="142" t="s">
        <v>761</v>
      </c>
      <c r="D126" s="142"/>
      <c r="E126" s="143"/>
      <c r="F126" s="139" t="s">
        <v>73</v>
      </c>
      <c r="G126" s="144">
        <v>100.0</v>
      </c>
      <c r="H126" s="145"/>
      <c r="I126" s="146">
        <v>45867.0</v>
      </c>
      <c r="J126" s="147">
        <v>45877.0</v>
      </c>
      <c r="K126" s="147"/>
      <c r="L126" s="147">
        <v>45877.0</v>
      </c>
      <c r="M126" s="25">
        <f>IF(ISBLANK(L126), NETWORKDAYS(J126, TODAY(),Hoja2!$A$1:$A$18), NETWORKDAYS(J126, L126, Hoja2!$A$1:$A$18))</f>
        <v>1</v>
      </c>
      <c r="N126" s="146"/>
      <c r="O126" s="122"/>
      <c r="P126" s="31" t="s">
        <v>762</v>
      </c>
      <c r="Q126" s="28" t="s">
        <v>69</v>
      </c>
      <c r="R126" s="148"/>
      <c r="S126" s="148"/>
      <c r="T126" s="121"/>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customHeight="1">
      <c r="A127" s="54" t="s">
        <v>153</v>
      </c>
      <c r="B127" s="16" t="s">
        <v>763</v>
      </c>
      <c r="C127" s="149" t="s">
        <v>764</v>
      </c>
      <c r="D127" s="149"/>
      <c r="E127" s="143"/>
      <c r="F127" s="139" t="s">
        <v>73</v>
      </c>
      <c r="G127" s="144">
        <v>100.0</v>
      </c>
      <c r="H127" s="145"/>
      <c r="I127" s="146">
        <v>45877.0</v>
      </c>
      <c r="J127" s="147">
        <v>45877.0</v>
      </c>
      <c r="K127" s="147"/>
      <c r="L127" s="147">
        <v>45880.0</v>
      </c>
      <c r="M127" s="25">
        <f>IF(ISBLANK(L127), NETWORKDAYS(J127, TODAY(),Hoja2!$A$1:$A$18), NETWORKDAYS(J127, L127, Hoja2!$A$1:$A$18))</f>
        <v>2</v>
      </c>
      <c r="N127" s="146"/>
      <c r="O127" s="122"/>
      <c r="P127" s="31" t="s">
        <v>765</v>
      </c>
      <c r="Q127" s="28" t="s">
        <v>69</v>
      </c>
      <c r="R127" s="148"/>
      <c r="S127" s="148"/>
      <c r="T127" s="121"/>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customHeight="1">
      <c r="A128" s="54" t="s">
        <v>153</v>
      </c>
      <c r="B128" s="16" t="s">
        <v>766</v>
      </c>
      <c r="C128" s="149" t="s">
        <v>767</v>
      </c>
      <c r="D128" s="149"/>
      <c r="E128" s="143"/>
      <c r="F128" s="19" t="s">
        <v>73</v>
      </c>
      <c r="G128" s="144">
        <v>100.0</v>
      </c>
      <c r="H128" s="145"/>
      <c r="I128" s="146">
        <v>45881.0</v>
      </c>
      <c r="J128" s="147">
        <v>45882.0</v>
      </c>
      <c r="K128" s="147"/>
      <c r="L128" s="147">
        <v>45883.0</v>
      </c>
      <c r="M128" s="25">
        <f>IF(ISBLANK(L128), NETWORKDAYS(J128, TODAY(),Hoja2!$A$1:$A$18), NETWORKDAYS(J128, L128, Hoja2!$A$1:$A$18))</f>
        <v>2</v>
      </c>
      <c r="N128" s="146"/>
      <c r="O128" s="122">
        <v>45891.0</v>
      </c>
      <c r="P128" s="31" t="s">
        <v>768</v>
      </c>
      <c r="Q128" s="28" t="s">
        <v>69</v>
      </c>
      <c r="R128" s="148"/>
      <c r="S128" s="148"/>
      <c r="T128" s="121"/>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customHeight="1">
      <c r="A129" s="15" t="s">
        <v>64</v>
      </c>
      <c r="B129" s="16" t="s">
        <v>769</v>
      </c>
      <c r="C129" s="142" t="s">
        <v>770</v>
      </c>
      <c r="D129" s="142"/>
      <c r="E129" s="143"/>
      <c r="F129" s="139" t="s">
        <v>73</v>
      </c>
      <c r="G129" s="144">
        <v>100.0</v>
      </c>
      <c r="H129" s="145"/>
      <c r="I129" s="146">
        <v>45881.0</v>
      </c>
      <c r="J129" s="147">
        <v>45881.0</v>
      </c>
      <c r="K129" s="147"/>
      <c r="L129" s="147">
        <v>45882.0</v>
      </c>
      <c r="M129" s="25">
        <f>IF(ISBLANK(L129), NETWORKDAYS(J129, TODAY(),Hoja2!$A$1:$A$18), NETWORKDAYS(J129, L129, Hoja2!$A$1:$A$18))</f>
        <v>2</v>
      </c>
      <c r="N129" s="146"/>
      <c r="O129" s="122"/>
      <c r="P129" s="31" t="s">
        <v>771</v>
      </c>
      <c r="Q129" s="28" t="s">
        <v>69</v>
      </c>
      <c r="R129" s="148"/>
      <c r="S129" s="148"/>
      <c r="T129" s="121"/>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customHeight="1">
      <c r="A130" s="54" t="s">
        <v>153</v>
      </c>
      <c r="B130" s="16" t="s">
        <v>772</v>
      </c>
      <c r="C130" s="149" t="s">
        <v>773</v>
      </c>
      <c r="D130" s="149"/>
      <c r="E130" s="143"/>
      <c r="F130" s="139" t="s">
        <v>73</v>
      </c>
      <c r="G130" s="144">
        <v>100.0</v>
      </c>
      <c r="H130" s="145"/>
      <c r="I130" s="146">
        <v>45882.0</v>
      </c>
      <c r="J130" s="147">
        <v>45883.0</v>
      </c>
      <c r="K130" s="147"/>
      <c r="L130" s="147">
        <v>45883.0</v>
      </c>
      <c r="M130" s="25">
        <f>IF(ISBLANK(L130), NETWORKDAYS(J130, TODAY(),Hoja2!$A$1:$A$18), NETWORKDAYS(J130, L130, Hoja2!$A$1:$A$18))</f>
        <v>1</v>
      </c>
      <c r="N130" s="146"/>
      <c r="O130" s="122"/>
      <c r="P130" s="31" t="s">
        <v>774</v>
      </c>
      <c r="Q130" s="28" t="s">
        <v>69</v>
      </c>
      <c r="R130" s="148"/>
      <c r="S130" s="148"/>
      <c r="T130" s="121"/>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customHeight="1">
      <c r="A131" s="54" t="s">
        <v>153</v>
      </c>
      <c r="B131" s="16" t="s">
        <v>775</v>
      </c>
      <c r="C131" s="149" t="s">
        <v>776</v>
      </c>
      <c r="D131" s="149"/>
      <c r="E131" s="143"/>
      <c r="F131" s="139" t="s">
        <v>73</v>
      </c>
      <c r="G131" s="144">
        <v>100.0</v>
      </c>
      <c r="H131" s="145"/>
      <c r="I131" s="146">
        <v>45883.0</v>
      </c>
      <c r="J131" s="147">
        <v>45883.0</v>
      </c>
      <c r="K131" s="147"/>
      <c r="L131" s="147">
        <v>45884.0</v>
      </c>
      <c r="M131" s="25">
        <f>IF(ISBLANK(L131), NETWORKDAYS(J131, TODAY(),Hoja2!$A$1:$A$18), NETWORKDAYS(J131, L131, Hoja2!$A$1:$A$18))</f>
        <v>2</v>
      </c>
      <c r="N131" s="146">
        <v>45884.0</v>
      </c>
      <c r="O131" s="122"/>
      <c r="P131" s="31" t="s">
        <v>777</v>
      </c>
      <c r="Q131" s="28" t="s">
        <v>69</v>
      </c>
      <c r="R131" s="148"/>
      <c r="S131" s="148"/>
      <c r="T131" s="121"/>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customHeight="1">
      <c r="A132" s="54" t="s">
        <v>153</v>
      </c>
      <c r="B132" s="16" t="s">
        <v>778</v>
      </c>
      <c r="C132" s="149" t="s">
        <v>779</v>
      </c>
      <c r="D132" s="149"/>
      <c r="E132" s="143"/>
      <c r="F132" s="139" t="s">
        <v>212</v>
      </c>
      <c r="G132" s="145"/>
      <c r="H132" s="145"/>
      <c r="I132" s="146">
        <v>45883.0</v>
      </c>
      <c r="J132" s="147"/>
      <c r="K132" s="147"/>
      <c r="L132" s="147"/>
      <c r="M132" s="25">
        <f>IF(ISBLANK(L132), NETWORKDAYS(J132, TODAY(),Hoja2!$A$1:$A$18), NETWORKDAYS(J132, L132, Hoja2!$A$1:$A$18))</f>
        <v>32812</v>
      </c>
      <c r="N132" s="146"/>
      <c r="O132" s="122"/>
      <c r="P132" s="123"/>
      <c r="Q132" s="100" t="s">
        <v>120</v>
      </c>
      <c r="R132" s="148"/>
      <c r="S132" s="148"/>
      <c r="T132" s="121"/>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customHeight="1">
      <c r="A133" s="54" t="s">
        <v>153</v>
      </c>
      <c r="B133" s="16" t="s">
        <v>780</v>
      </c>
      <c r="C133" s="142" t="s">
        <v>781</v>
      </c>
      <c r="D133" s="142"/>
      <c r="E133" s="143"/>
      <c r="F133" s="19" t="s">
        <v>73</v>
      </c>
      <c r="G133" s="144">
        <v>100.0</v>
      </c>
      <c r="H133" s="145"/>
      <c r="I133" s="146">
        <v>45884.0</v>
      </c>
      <c r="J133" s="147">
        <v>45884.0</v>
      </c>
      <c r="K133" s="147">
        <v>45891.0</v>
      </c>
      <c r="L133" s="147">
        <v>45897.0</v>
      </c>
      <c r="M133" s="25">
        <f>IF(ISBLANK(L133), NETWORKDAYS(J133, TODAY(),Hoja2!$A$1:$A$18), NETWORKDAYS(J133, L133, Hoja2!$A$1:$A$18))</f>
        <v>10</v>
      </c>
      <c r="N133" s="146">
        <v>45928.0</v>
      </c>
      <c r="O133" s="122"/>
      <c r="P133" s="31" t="s">
        <v>782</v>
      </c>
      <c r="Q133" s="28" t="s">
        <v>69</v>
      </c>
      <c r="R133" s="144"/>
      <c r="S133" s="144" t="s">
        <v>783</v>
      </c>
      <c r="T133" s="139" t="s">
        <v>784</v>
      </c>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customHeight="1">
      <c r="A134" s="54" t="s">
        <v>124</v>
      </c>
      <c r="B134" s="94" t="s">
        <v>785</v>
      </c>
      <c r="C134" s="142" t="s">
        <v>786</v>
      </c>
      <c r="D134" s="142"/>
      <c r="E134" s="143"/>
      <c r="F134" s="139" t="s">
        <v>73</v>
      </c>
      <c r="G134" s="144">
        <v>100.0</v>
      </c>
      <c r="H134" s="145"/>
      <c r="I134" s="146">
        <v>45870.0</v>
      </c>
      <c r="J134" s="147">
        <v>45915.0</v>
      </c>
      <c r="K134" s="147"/>
      <c r="L134" s="147">
        <v>45918.0</v>
      </c>
      <c r="M134" s="25">
        <f>IF(ISBLANK(L134), NETWORKDAYS(J134, TODAY(),Hoja2!$A$1:$A$18), NETWORKDAYS(J134, L134, Hoja2!$A$1:$A$18))</f>
        <v>4</v>
      </c>
      <c r="N134" s="146"/>
      <c r="O134" s="122"/>
      <c r="P134" s="31" t="s">
        <v>787</v>
      </c>
      <c r="Q134" s="100" t="s">
        <v>69</v>
      </c>
      <c r="R134" s="148"/>
      <c r="S134" s="148"/>
      <c r="T134" s="121"/>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customHeight="1">
      <c r="A135" s="54" t="s">
        <v>124</v>
      </c>
      <c r="B135" s="16" t="s">
        <v>788</v>
      </c>
      <c r="C135" s="142" t="s">
        <v>789</v>
      </c>
      <c r="D135" s="142" t="s">
        <v>790</v>
      </c>
      <c r="E135" s="143"/>
      <c r="F135" s="139" t="s">
        <v>212</v>
      </c>
      <c r="G135" s="145"/>
      <c r="H135" s="145"/>
      <c r="I135" s="146">
        <v>45888.0</v>
      </c>
      <c r="J135" s="147"/>
      <c r="K135" s="147"/>
      <c r="L135" s="147"/>
      <c r="M135" s="25">
        <f>IF(ISBLANK(L135), NETWORKDAYS(J135, TODAY(),Hoja2!$A$1:$A$18), NETWORKDAYS(J135, L135, Hoja2!$A$1:$A$18))</f>
        <v>32812</v>
      </c>
      <c r="N135" s="146"/>
      <c r="O135" s="122"/>
      <c r="P135" s="31" t="s">
        <v>791</v>
      </c>
      <c r="Q135" s="100" t="s">
        <v>120</v>
      </c>
      <c r="R135" s="148"/>
      <c r="S135" s="148"/>
      <c r="T135" s="121"/>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customHeight="1">
      <c r="A136" s="54" t="s">
        <v>124</v>
      </c>
      <c r="B136" s="94" t="s">
        <v>792</v>
      </c>
      <c r="C136" s="142" t="s">
        <v>793</v>
      </c>
      <c r="D136" s="142" t="s">
        <v>794</v>
      </c>
      <c r="E136" s="143"/>
      <c r="F136" s="139" t="s">
        <v>73</v>
      </c>
      <c r="G136" s="144">
        <v>100.0</v>
      </c>
      <c r="H136" s="145"/>
      <c r="I136" s="169">
        <v>45890.0</v>
      </c>
      <c r="J136" s="147">
        <v>45894.0</v>
      </c>
      <c r="K136" s="147"/>
      <c r="L136" s="147">
        <v>45898.0</v>
      </c>
      <c r="M136" s="25">
        <f>IF(ISBLANK(L136), NETWORKDAYS(J136, TODAY(),Hoja2!$A$1:$A$18), NETWORKDAYS(J136, L136, Hoja2!$A$1:$A$18))</f>
        <v>5</v>
      </c>
      <c r="N136" s="146">
        <v>45898.0</v>
      </c>
      <c r="O136" s="176">
        <v>45902.0</v>
      </c>
      <c r="P136" s="31" t="s">
        <v>795</v>
      </c>
      <c r="Q136" s="100" t="s">
        <v>69</v>
      </c>
      <c r="R136" s="144"/>
      <c r="S136" s="144" t="s">
        <v>796</v>
      </c>
      <c r="T136" s="139" t="s">
        <v>797</v>
      </c>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customHeight="1">
      <c r="A137" s="54" t="s">
        <v>124</v>
      </c>
      <c r="B137" s="94" t="s">
        <v>798</v>
      </c>
      <c r="C137" s="149" t="s">
        <v>799</v>
      </c>
      <c r="D137" s="142"/>
      <c r="E137" s="143"/>
      <c r="F137" s="139" t="s">
        <v>212</v>
      </c>
      <c r="G137" s="145"/>
      <c r="H137" s="145"/>
      <c r="I137" s="146">
        <v>45903.0</v>
      </c>
      <c r="J137" s="147"/>
      <c r="K137" s="147"/>
      <c r="L137" s="147"/>
      <c r="M137" s="25">
        <f>IF(ISBLANK(L137), NETWORKDAYS(J137, TODAY(),Hoja2!$A$1:$A$18), NETWORKDAYS(J137, L137, Hoja2!$A$1:$A$18))</f>
        <v>32812</v>
      </c>
      <c r="N137" s="146"/>
      <c r="O137" s="164"/>
      <c r="P137" s="31"/>
      <c r="Q137" s="100" t="s">
        <v>69</v>
      </c>
      <c r="R137" s="148"/>
      <c r="S137" s="148"/>
      <c r="T137" s="121"/>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customHeight="1">
      <c r="A138" s="54" t="s">
        <v>124</v>
      </c>
      <c r="B138" s="16" t="s">
        <v>800</v>
      </c>
      <c r="C138" s="142" t="s">
        <v>801</v>
      </c>
      <c r="D138" s="142" t="s">
        <v>802</v>
      </c>
      <c r="E138" s="143"/>
      <c r="F138" s="139" t="s">
        <v>280</v>
      </c>
      <c r="G138" s="145"/>
      <c r="H138" s="145"/>
      <c r="I138" s="146">
        <v>45888.0</v>
      </c>
      <c r="J138" s="147">
        <v>45894.0</v>
      </c>
      <c r="K138" s="147"/>
      <c r="L138" s="147"/>
      <c r="M138" s="25">
        <f>IF(ISBLANK(L138), NETWORKDAYS(J138, TODAY(),Hoja2!$A$1:$A$18), NETWORKDAYS(J138, L138, Hoja2!$A$1:$A$18))</f>
        <v>48</v>
      </c>
      <c r="N138" s="146"/>
      <c r="O138" s="122"/>
      <c r="P138" s="31" t="s">
        <v>803</v>
      </c>
      <c r="Q138" s="100" t="s">
        <v>69</v>
      </c>
      <c r="R138" s="148"/>
      <c r="S138" s="148"/>
      <c r="T138" s="121"/>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customHeight="1">
      <c r="A139" s="15" t="s">
        <v>64</v>
      </c>
      <c r="B139" s="94" t="s">
        <v>804</v>
      </c>
      <c r="C139" s="142" t="s">
        <v>805</v>
      </c>
      <c r="D139" s="142" t="s">
        <v>806</v>
      </c>
      <c r="E139" s="143"/>
      <c r="F139" s="19" t="s">
        <v>73</v>
      </c>
      <c r="G139" s="144">
        <v>100.0</v>
      </c>
      <c r="H139" s="145"/>
      <c r="I139" s="146">
        <v>45889.0</v>
      </c>
      <c r="J139" s="147">
        <v>45889.0</v>
      </c>
      <c r="K139" s="147"/>
      <c r="L139" s="147">
        <v>45920.0</v>
      </c>
      <c r="M139" s="25">
        <f>IF(ISBLANK(L139), NETWORKDAYS(J139, TODAY(),Hoja2!$A$1:$A$18), NETWORKDAYS(J139, L139, Hoja2!$A$1:$A$18))</f>
        <v>23</v>
      </c>
      <c r="N139" s="146"/>
      <c r="O139" s="122"/>
      <c r="P139" s="31" t="s">
        <v>807</v>
      </c>
      <c r="Q139" s="28" t="s">
        <v>69</v>
      </c>
      <c r="R139" s="144">
        <v>1.0</v>
      </c>
      <c r="S139" s="148"/>
      <c r="T139" s="121"/>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customHeight="1">
      <c r="A140" s="15" t="s">
        <v>64</v>
      </c>
      <c r="B140" s="16" t="s">
        <v>808</v>
      </c>
      <c r="C140" s="149" t="s">
        <v>809</v>
      </c>
      <c r="D140" s="149"/>
      <c r="E140" s="143"/>
      <c r="F140" s="139" t="s">
        <v>73</v>
      </c>
      <c r="G140" s="144">
        <v>100.0</v>
      </c>
      <c r="H140" s="145"/>
      <c r="I140" s="146">
        <v>45889.0</v>
      </c>
      <c r="J140" s="147">
        <v>45908.0</v>
      </c>
      <c r="K140" s="147"/>
      <c r="L140" s="147">
        <v>45920.0</v>
      </c>
      <c r="M140" s="25">
        <f>IF(ISBLANK(L140), NETWORKDAYS(J140, TODAY(),Hoja2!$A$1:$A$18), NETWORKDAYS(J140, L140, Hoja2!$A$1:$A$18))</f>
        <v>10</v>
      </c>
      <c r="N140" s="146"/>
      <c r="O140" s="122"/>
      <c r="P140" s="31" t="s">
        <v>810</v>
      </c>
      <c r="Q140" s="100" t="s">
        <v>69</v>
      </c>
      <c r="R140" s="148"/>
      <c r="S140" s="148"/>
      <c r="T140" s="121"/>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customHeight="1">
      <c r="A141" s="54" t="s">
        <v>153</v>
      </c>
      <c r="B141" s="94" t="s">
        <v>811</v>
      </c>
      <c r="C141" s="149" t="s">
        <v>812</v>
      </c>
      <c r="D141" s="142"/>
      <c r="E141" s="143"/>
      <c r="F141" s="139" t="s">
        <v>212</v>
      </c>
      <c r="G141" s="144"/>
      <c r="H141" s="145"/>
      <c r="I141" s="146">
        <v>45902.0</v>
      </c>
      <c r="J141" s="147"/>
      <c r="K141" s="147"/>
      <c r="L141" s="147"/>
      <c r="M141" s="25">
        <f>IF(ISBLANK(L141), NETWORKDAYS(J141, TODAY(),Hoja2!$A$1:$A$18), NETWORKDAYS(J141, L141, Hoja2!$A$1:$A$18))</f>
        <v>32812</v>
      </c>
      <c r="N141" s="146"/>
      <c r="O141" s="122"/>
      <c r="P141" s="31"/>
      <c r="Q141" s="100" t="s">
        <v>69</v>
      </c>
      <c r="R141" s="148"/>
      <c r="S141" s="148"/>
      <c r="T141" s="121"/>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customHeight="1">
      <c r="A142" s="54" t="s">
        <v>153</v>
      </c>
      <c r="B142" s="16" t="s">
        <v>813</v>
      </c>
      <c r="C142" s="142" t="s">
        <v>814</v>
      </c>
      <c r="D142" s="142" t="s">
        <v>815</v>
      </c>
      <c r="E142" s="143"/>
      <c r="F142" s="139" t="s">
        <v>73</v>
      </c>
      <c r="G142" s="144">
        <v>100.0</v>
      </c>
      <c r="H142" s="145"/>
      <c r="I142" s="146">
        <v>45889.0</v>
      </c>
      <c r="J142" s="147">
        <v>45890.0</v>
      </c>
      <c r="K142" s="147">
        <v>45891.0</v>
      </c>
      <c r="L142" s="147">
        <v>45901.0</v>
      </c>
      <c r="M142" s="25">
        <f>IF(ISBLANK(L142), NETWORKDAYS(J142, TODAY(),Hoja2!$A$1:$A$18), NETWORKDAYS(J142, L142, Hoja2!$A$1:$A$18))</f>
        <v>8</v>
      </c>
      <c r="N142" s="146">
        <v>45901.0</v>
      </c>
      <c r="O142" s="122">
        <v>45903.0</v>
      </c>
      <c r="P142" s="31" t="s">
        <v>816</v>
      </c>
      <c r="Q142" s="100" t="s">
        <v>69</v>
      </c>
      <c r="R142" s="148"/>
      <c r="S142" s="148"/>
      <c r="T142" s="121"/>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customHeight="1">
      <c r="A143" s="54" t="s">
        <v>153</v>
      </c>
      <c r="B143" s="16" t="s">
        <v>817</v>
      </c>
      <c r="C143" s="149" t="s">
        <v>818</v>
      </c>
      <c r="D143" s="142" t="s">
        <v>819</v>
      </c>
      <c r="E143" s="143"/>
      <c r="F143" s="139" t="s">
        <v>73</v>
      </c>
      <c r="G143" s="144">
        <v>100.0</v>
      </c>
      <c r="H143" s="145"/>
      <c r="I143" s="146">
        <v>45890.0</v>
      </c>
      <c r="J143" s="147">
        <v>45890.0</v>
      </c>
      <c r="K143" s="147"/>
      <c r="L143" s="147">
        <v>45891.0</v>
      </c>
      <c r="M143" s="25">
        <f>IF(ISBLANK(L143), NETWORKDAYS(J143, TODAY(),Hoja2!$A$1:$A$18), NETWORKDAYS(J143, L143, Hoja2!$A$1:$A$18))</f>
        <v>2</v>
      </c>
      <c r="N143" s="146"/>
      <c r="O143" s="122"/>
      <c r="P143" s="31" t="s">
        <v>820</v>
      </c>
      <c r="Q143" s="28" t="s">
        <v>69</v>
      </c>
      <c r="R143" s="148"/>
      <c r="S143" s="148"/>
      <c r="T143" s="121"/>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customHeight="1">
      <c r="A144" s="177" t="s">
        <v>64</v>
      </c>
      <c r="B144" s="94" t="s">
        <v>821</v>
      </c>
      <c r="C144" s="149" t="s">
        <v>822</v>
      </c>
      <c r="D144" s="142" t="s">
        <v>823</v>
      </c>
      <c r="E144" s="143"/>
      <c r="F144" s="19" t="s">
        <v>73</v>
      </c>
      <c r="G144" s="144">
        <v>100.0</v>
      </c>
      <c r="H144" s="145"/>
      <c r="I144" s="146">
        <v>45883.0</v>
      </c>
      <c r="J144" s="147">
        <v>45883.0</v>
      </c>
      <c r="K144" s="147"/>
      <c r="L144" s="147">
        <v>45901.0</v>
      </c>
      <c r="M144" s="25">
        <f>IF(ISBLANK(L144), NETWORKDAYS(J144, TODAY(),Hoja2!$A$1:$A$18), NETWORKDAYS(J144, L144, Hoja2!$A$1:$A$18))</f>
        <v>13</v>
      </c>
      <c r="N144" s="146"/>
      <c r="O144" s="122"/>
      <c r="P144" s="31" t="s">
        <v>824</v>
      </c>
      <c r="Q144" s="28" t="s">
        <v>69</v>
      </c>
      <c r="R144" s="148"/>
      <c r="S144" s="148"/>
      <c r="T144" s="121"/>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customHeight="1">
      <c r="A145" s="177" t="s">
        <v>64</v>
      </c>
      <c r="B145" s="94" t="s">
        <v>825</v>
      </c>
      <c r="C145" s="149" t="s">
        <v>826</v>
      </c>
      <c r="D145" s="142"/>
      <c r="E145" s="143"/>
      <c r="F145" s="19" t="s">
        <v>73</v>
      </c>
      <c r="G145" s="144">
        <v>100.0</v>
      </c>
      <c r="H145" s="145"/>
      <c r="I145" s="146">
        <v>45903.0</v>
      </c>
      <c r="J145" s="147">
        <v>45904.0</v>
      </c>
      <c r="K145" s="147"/>
      <c r="L145" s="147">
        <v>45904.0</v>
      </c>
      <c r="M145" s="25">
        <f>IF(ISBLANK(L145), NETWORKDAYS(J145, TODAY(),Hoja2!$A$1:$A$18), NETWORKDAYS(J145, L145, Hoja2!$A$1:$A$18))</f>
        <v>1</v>
      </c>
      <c r="N145" s="146"/>
      <c r="O145" s="122"/>
      <c r="P145" s="31" t="s">
        <v>827</v>
      </c>
      <c r="Q145" s="28" t="s">
        <v>69</v>
      </c>
      <c r="R145" s="148"/>
      <c r="S145" s="148"/>
      <c r="T145" s="121"/>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customHeight="1">
      <c r="A146" s="15" t="s">
        <v>64</v>
      </c>
      <c r="B146" s="94" t="s">
        <v>828</v>
      </c>
      <c r="C146" s="149" t="s">
        <v>829</v>
      </c>
      <c r="D146" s="142" t="s">
        <v>830</v>
      </c>
      <c r="E146" s="143"/>
      <c r="F146" s="19" t="s">
        <v>212</v>
      </c>
      <c r="G146" s="144"/>
      <c r="H146" s="145"/>
      <c r="I146" s="146">
        <v>45912.0</v>
      </c>
      <c r="J146" s="147"/>
      <c r="K146" s="147"/>
      <c r="L146" s="147"/>
      <c r="M146" s="25">
        <f>IF(ISBLANK(L146), NETWORKDAYS(J146, TODAY(),Hoja2!$A$1:$A$18), NETWORKDAYS(J146, L146, Hoja2!$A$1:$A$18))</f>
        <v>32812</v>
      </c>
      <c r="N146" s="146"/>
      <c r="O146" s="122"/>
      <c r="P146" s="31" t="s">
        <v>831</v>
      </c>
      <c r="Q146" s="100" t="s">
        <v>120</v>
      </c>
      <c r="R146" s="148"/>
      <c r="S146" s="148"/>
      <c r="T146" s="121"/>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customHeight="1">
      <c r="A147" s="177" t="s">
        <v>64</v>
      </c>
      <c r="B147" s="94" t="s">
        <v>832</v>
      </c>
      <c r="C147" s="149" t="s">
        <v>833</v>
      </c>
      <c r="D147" s="142" t="s">
        <v>834</v>
      </c>
      <c r="E147" s="143"/>
      <c r="F147" s="19" t="s">
        <v>835</v>
      </c>
      <c r="G147" s="144">
        <v>70.0</v>
      </c>
      <c r="H147" s="145"/>
      <c r="I147" s="146">
        <v>45902.0</v>
      </c>
      <c r="J147" s="147">
        <v>45902.0</v>
      </c>
      <c r="K147" s="147"/>
      <c r="L147" s="147">
        <v>45915.0</v>
      </c>
      <c r="M147" s="25">
        <f>IF(ISBLANK(L147), NETWORKDAYS(J147, TODAY(),Hoja2!$A$1:$A$18), NETWORKDAYS(J147, L147, Hoja2!$A$1:$A$18))</f>
        <v>10</v>
      </c>
      <c r="N147" s="146">
        <v>45915.0</v>
      </c>
      <c r="O147" s="122"/>
      <c r="P147" s="31" t="s">
        <v>836</v>
      </c>
      <c r="Q147" s="28" t="s">
        <v>69</v>
      </c>
      <c r="R147" s="148"/>
      <c r="S147" s="148"/>
      <c r="T147" s="121"/>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customHeight="1">
      <c r="A148" s="177" t="s">
        <v>64</v>
      </c>
      <c r="B148" s="94" t="s">
        <v>837</v>
      </c>
      <c r="C148" s="149" t="s">
        <v>838</v>
      </c>
      <c r="D148" s="142" t="s">
        <v>839</v>
      </c>
      <c r="E148" s="143"/>
      <c r="F148" s="19" t="s">
        <v>73</v>
      </c>
      <c r="G148" s="144">
        <v>100.0</v>
      </c>
      <c r="H148" s="145"/>
      <c r="I148" s="146">
        <v>45905.0</v>
      </c>
      <c r="J148" s="147">
        <v>45905.0</v>
      </c>
      <c r="K148" s="147"/>
      <c r="L148" s="147"/>
      <c r="M148" s="25">
        <f>IF(ISBLANK(L148), NETWORKDAYS(J148, TODAY(),Hoja2!$A$1:$A$18), NETWORKDAYS(J148, L148, Hoja2!$A$1:$A$18))</f>
        <v>39</v>
      </c>
      <c r="N148" s="146"/>
      <c r="O148" s="122"/>
      <c r="P148" s="31" t="s">
        <v>840</v>
      </c>
      <c r="Q148" s="28" t="s">
        <v>69</v>
      </c>
      <c r="R148" s="148"/>
      <c r="S148" s="148"/>
      <c r="T148" s="121"/>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customHeight="1">
      <c r="A149" s="177" t="s">
        <v>153</v>
      </c>
      <c r="B149" s="94" t="s">
        <v>841</v>
      </c>
      <c r="C149" s="149" t="s">
        <v>842</v>
      </c>
      <c r="D149" s="142" t="s">
        <v>843</v>
      </c>
      <c r="E149" s="143"/>
      <c r="F149" s="19" t="s">
        <v>73</v>
      </c>
      <c r="G149" s="144">
        <v>100.0</v>
      </c>
      <c r="H149" s="144">
        <v>0.0</v>
      </c>
      <c r="I149" s="146">
        <v>45909.0</v>
      </c>
      <c r="J149" s="147">
        <v>45909.0</v>
      </c>
      <c r="K149" s="147"/>
      <c r="L149" s="147">
        <v>45930.0</v>
      </c>
      <c r="M149" s="25">
        <f>IF(ISBLANK(L149), NETWORKDAYS(J149, TODAY(),Hoja2!$A$1:$A$18), NETWORKDAYS(J149, L149, Hoja2!$A$1:$A$18))</f>
        <v>16</v>
      </c>
      <c r="N149" s="146"/>
      <c r="O149" s="122"/>
      <c r="P149" s="31" t="s">
        <v>844</v>
      </c>
      <c r="Q149" s="100" t="s">
        <v>69</v>
      </c>
      <c r="R149" s="148"/>
      <c r="S149" s="148"/>
      <c r="T149" s="121"/>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customHeight="1">
      <c r="A150" s="177" t="s">
        <v>64</v>
      </c>
      <c r="B150" s="94" t="s">
        <v>845</v>
      </c>
      <c r="C150" s="149" t="s">
        <v>846</v>
      </c>
      <c r="D150" s="142"/>
      <c r="E150" s="143"/>
      <c r="F150" s="19" t="s">
        <v>286</v>
      </c>
      <c r="G150" s="144">
        <v>65.0</v>
      </c>
      <c r="H150" s="145"/>
      <c r="I150" s="146">
        <v>45905.0</v>
      </c>
      <c r="J150" s="147">
        <v>45916.0</v>
      </c>
      <c r="K150" s="147"/>
      <c r="L150" s="147">
        <v>45954.0</v>
      </c>
      <c r="M150" s="25">
        <f>IF(ISBLANK(L150), NETWORKDAYS(J150, TODAY(),Hoja2!$A$1:$A$18), NETWORKDAYS(J150, L150, Hoja2!$A$1:$A$18))</f>
        <v>29</v>
      </c>
      <c r="N150" s="146">
        <v>45954.0</v>
      </c>
      <c r="O150" s="122"/>
      <c r="P150" s="31" t="s">
        <v>847</v>
      </c>
      <c r="Q150" s="28" t="s">
        <v>69</v>
      </c>
      <c r="R150" s="148"/>
      <c r="S150" s="148"/>
      <c r="T150" s="121"/>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customHeight="1">
      <c r="A151" s="177" t="s">
        <v>153</v>
      </c>
      <c r="B151" s="94" t="s">
        <v>848</v>
      </c>
      <c r="C151" s="149" t="s">
        <v>849</v>
      </c>
      <c r="D151" s="142" t="s">
        <v>850</v>
      </c>
      <c r="E151" s="143"/>
      <c r="F151" s="19" t="s">
        <v>73</v>
      </c>
      <c r="G151" s="144">
        <v>100.0</v>
      </c>
      <c r="H151" s="145"/>
      <c r="I151" s="146">
        <v>45929.0</v>
      </c>
      <c r="J151" s="147">
        <v>45929.0</v>
      </c>
      <c r="K151" s="147"/>
      <c r="L151" s="147">
        <v>45930.0</v>
      </c>
      <c r="M151" s="25">
        <f>IF(ISBLANK(L151), NETWORKDAYS(J151, TODAY(),Hoja2!$A$1:$A$18), NETWORKDAYS(J151, L151, Hoja2!$A$1:$A$18))</f>
        <v>2</v>
      </c>
      <c r="N151" s="146">
        <v>45930.0</v>
      </c>
      <c r="O151" s="122">
        <v>45936.0</v>
      </c>
      <c r="P151" s="31" t="s">
        <v>851</v>
      </c>
      <c r="Q151" s="28" t="s">
        <v>69</v>
      </c>
      <c r="R151" s="148"/>
      <c r="S151" s="148"/>
      <c r="T151" s="121"/>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customHeight="1">
      <c r="A152" s="177" t="s">
        <v>205</v>
      </c>
      <c r="B152" s="94" t="s">
        <v>852</v>
      </c>
      <c r="C152" s="149" t="s">
        <v>853</v>
      </c>
      <c r="D152" s="142" t="s">
        <v>854</v>
      </c>
      <c r="E152" s="143"/>
      <c r="F152" s="19" t="s">
        <v>73</v>
      </c>
      <c r="G152" s="144">
        <v>100.0</v>
      </c>
      <c r="H152" s="145"/>
      <c r="I152" s="146">
        <v>45931.0</v>
      </c>
      <c r="J152" s="147">
        <v>45931.0</v>
      </c>
      <c r="K152" s="147"/>
      <c r="L152" s="147">
        <v>45932.0</v>
      </c>
      <c r="M152" s="25">
        <f>IF(ISBLANK(L152), NETWORKDAYS(J152, TODAY(),Hoja2!$A$1:$A$18), NETWORKDAYS(J152, L152, Hoja2!$A$1:$A$18))</f>
        <v>2</v>
      </c>
      <c r="N152" s="146"/>
      <c r="O152" s="122"/>
      <c r="P152" s="31" t="s">
        <v>855</v>
      </c>
      <c r="Q152" s="28" t="s">
        <v>69</v>
      </c>
      <c r="R152" s="148"/>
      <c r="S152" s="148"/>
      <c r="T152" s="121"/>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customHeight="1">
      <c r="A153" s="177" t="s">
        <v>153</v>
      </c>
      <c r="B153" s="94" t="s">
        <v>856</v>
      </c>
      <c r="C153" s="149" t="s">
        <v>857</v>
      </c>
      <c r="D153" s="142" t="s">
        <v>858</v>
      </c>
      <c r="E153" s="143"/>
      <c r="F153" s="19" t="s">
        <v>212</v>
      </c>
      <c r="G153" s="144"/>
      <c r="H153" s="145"/>
      <c r="I153" s="146">
        <v>45958.0</v>
      </c>
      <c r="J153" s="147"/>
      <c r="K153" s="147"/>
      <c r="L153" s="147"/>
      <c r="M153" s="25">
        <f>IF(ISBLANK(L153), NETWORKDAYS(J153, TODAY(),Hoja2!$A$1:$A$18), NETWORKDAYS(J153, L153, Hoja2!$A$1:$A$18))</f>
        <v>32812</v>
      </c>
      <c r="N153" s="146"/>
      <c r="O153" s="122"/>
      <c r="P153" s="31" t="s">
        <v>859</v>
      </c>
      <c r="Q153" s="28" t="s">
        <v>69</v>
      </c>
      <c r="R153" s="148"/>
      <c r="S153" s="148"/>
      <c r="T153" s="121"/>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customHeight="1">
      <c r="A154" s="177" t="s">
        <v>124</v>
      </c>
      <c r="B154" s="94" t="s">
        <v>860</v>
      </c>
      <c r="C154" s="149" t="s">
        <v>861</v>
      </c>
      <c r="D154" s="142" t="s">
        <v>862</v>
      </c>
      <c r="E154" s="143"/>
      <c r="F154" s="19" t="s">
        <v>73</v>
      </c>
      <c r="G154" s="144">
        <v>100.0</v>
      </c>
      <c r="H154" s="145"/>
      <c r="I154" s="146">
        <v>45958.0</v>
      </c>
      <c r="J154" s="147">
        <v>45958.0</v>
      </c>
      <c r="K154" s="147"/>
      <c r="L154" s="147">
        <v>45958.0</v>
      </c>
      <c r="M154" s="25">
        <f>IF(ISBLANK(L154), NETWORKDAYS(J154, TODAY(),Hoja2!$A$1:$A$18), NETWORKDAYS(J154, L154, Hoja2!$A$1:$A$18))</f>
        <v>1</v>
      </c>
      <c r="N154" s="146"/>
      <c r="O154" s="122"/>
      <c r="P154" s="31" t="s">
        <v>863</v>
      </c>
      <c r="Q154" s="28" t="s">
        <v>69</v>
      </c>
      <c r="R154" s="148"/>
      <c r="S154" s="148"/>
      <c r="T154" s="121"/>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customHeight="1">
      <c r="A155" s="177" t="s">
        <v>864</v>
      </c>
      <c r="B155" s="94" t="s">
        <v>865</v>
      </c>
      <c r="C155" s="149" t="s">
        <v>866</v>
      </c>
      <c r="D155" s="142" t="s">
        <v>867</v>
      </c>
      <c r="E155" s="143"/>
      <c r="F155" s="19" t="s">
        <v>868</v>
      </c>
      <c r="G155" s="144"/>
      <c r="H155" s="145"/>
      <c r="I155" s="146"/>
      <c r="J155" s="147"/>
      <c r="K155" s="147"/>
      <c r="L155" s="147"/>
      <c r="M155" s="25">
        <f>IF(ISBLANK(L155), NETWORKDAYS(J155, TODAY(),Hoja2!$A$1:$A$18), NETWORKDAYS(J155, L155, Hoja2!$A$1:$A$18))</f>
        <v>32812</v>
      </c>
      <c r="N155" s="146"/>
      <c r="O155" s="122"/>
      <c r="P155" s="31"/>
      <c r="Q155" s="28" t="s">
        <v>69</v>
      </c>
      <c r="R155" s="148"/>
      <c r="S155" s="148"/>
      <c r="T155" s="121"/>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customHeight="1">
      <c r="A156" s="177" t="s">
        <v>864</v>
      </c>
      <c r="B156" s="94" t="s">
        <v>869</v>
      </c>
      <c r="C156" s="149" t="s">
        <v>870</v>
      </c>
      <c r="D156" s="142" t="s">
        <v>871</v>
      </c>
      <c r="E156" s="143"/>
      <c r="F156" s="19" t="s">
        <v>868</v>
      </c>
      <c r="G156" s="144"/>
      <c r="H156" s="145"/>
      <c r="I156" s="146"/>
      <c r="J156" s="147"/>
      <c r="K156" s="147"/>
      <c r="L156" s="147"/>
      <c r="M156" s="25">
        <f>IF(ISBLANK(L156), NETWORKDAYS(J156, TODAY(),Hoja2!$A$1:$A$18), NETWORKDAYS(J156, L156, Hoja2!$A$1:$A$18))</f>
        <v>32812</v>
      </c>
      <c r="N156" s="146"/>
      <c r="O156" s="122"/>
      <c r="P156" s="31"/>
      <c r="Q156" s="28" t="s">
        <v>69</v>
      </c>
      <c r="R156" s="148"/>
      <c r="S156" s="148"/>
      <c r="T156" s="121"/>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customHeight="1">
      <c r="A157" s="177" t="s">
        <v>64</v>
      </c>
      <c r="B157" s="94" t="s">
        <v>872</v>
      </c>
      <c r="C157" s="149" t="s">
        <v>873</v>
      </c>
      <c r="D157" s="142" t="s">
        <v>874</v>
      </c>
      <c r="E157" s="143"/>
      <c r="F157" s="19" t="s">
        <v>212</v>
      </c>
      <c r="G157" s="144"/>
      <c r="H157" s="145"/>
      <c r="I157" s="146">
        <v>45933.0</v>
      </c>
      <c r="J157" s="147"/>
      <c r="K157" s="147"/>
      <c r="L157" s="147"/>
      <c r="M157" s="25">
        <f>IF(ISBLANK(L157), NETWORKDAYS(J157, TODAY(),Hoja2!$A$1:$A$18), NETWORKDAYS(J157, L157, Hoja2!$A$1:$A$18))</f>
        <v>32812</v>
      </c>
      <c r="N157" s="146"/>
      <c r="O157" s="122"/>
      <c r="P157" s="31"/>
      <c r="Q157" s="28" t="s">
        <v>120</v>
      </c>
      <c r="R157" s="148"/>
      <c r="S157" s="148"/>
      <c r="T157" s="121"/>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customHeight="1">
      <c r="A158" s="177" t="s">
        <v>864</v>
      </c>
      <c r="B158" s="94" t="s">
        <v>875</v>
      </c>
      <c r="C158" s="149" t="s">
        <v>876</v>
      </c>
      <c r="D158" s="142"/>
      <c r="E158" s="143"/>
      <c r="F158" s="19" t="s">
        <v>212</v>
      </c>
      <c r="G158" s="144"/>
      <c r="H158" s="145"/>
      <c r="I158" s="146"/>
      <c r="J158" s="147"/>
      <c r="K158" s="147"/>
      <c r="L158" s="147"/>
      <c r="M158" s="25">
        <f>IF(ISBLANK(L158), NETWORKDAYS(J158, TODAY(),Hoja2!$A$1:$A$18), NETWORKDAYS(J158, L158, Hoja2!$A$1:$A$18))</f>
        <v>32812</v>
      </c>
      <c r="N158" s="146"/>
      <c r="O158" s="122"/>
      <c r="P158" s="31" t="s">
        <v>877</v>
      </c>
      <c r="Q158" s="28" t="s">
        <v>120</v>
      </c>
      <c r="R158" s="148"/>
      <c r="S158" s="148"/>
      <c r="T158" s="121"/>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customHeight="1">
      <c r="A159" s="177" t="s">
        <v>64</v>
      </c>
      <c r="B159" s="94" t="s">
        <v>878</v>
      </c>
      <c r="C159" s="149" t="s">
        <v>879</v>
      </c>
      <c r="D159" s="142" t="s">
        <v>880</v>
      </c>
      <c r="E159" s="143"/>
      <c r="F159" s="19" t="s">
        <v>73</v>
      </c>
      <c r="G159" s="144">
        <v>100.0</v>
      </c>
      <c r="H159" s="145"/>
      <c r="I159" s="146">
        <v>45940.0</v>
      </c>
      <c r="J159" s="147">
        <v>45945.0</v>
      </c>
      <c r="K159" s="147"/>
      <c r="L159" s="147">
        <v>45947.0</v>
      </c>
      <c r="M159" s="25">
        <f>IF(ISBLANK(L159), NETWORKDAYS(J159, TODAY(),Hoja2!$A$1:$A$18), NETWORKDAYS(J159, L159, Hoja2!$A$1:$A$18))</f>
        <v>3</v>
      </c>
      <c r="N159" s="146"/>
      <c r="O159" s="122"/>
      <c r="P159" s="31" t="s">
        <v>881</v>
      </c>
      <c r="Q159" s="28" t="s">
        <v>69</v>
      </c>
      <c r="R159" s="148"/>
      <c r="S159" s="148"/>
      <c r="T159" s="121"/>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customHeight="1">
      <c r="A160" s="177" t="s">
        <v>64</v>
      </c>
      <c r="B160" s="94" t="s">
        <v>882</v>
      </c>
      <c r="C160" s="149" t="s">
        <v>883</v>
      </c>
      <c r="D160" s="142" t="s">
        <v>884</v>
      </c>
      <c r="E160" s="143"/>
      <c r="F160" s="19" t="s">
        <v>73</v>
      </c>
      <c r="G160" s="144">
        <v>100.0</v>
      </c>
      <c r="H160" s="145"/>
      <c r="I160" s="146">
        <v>45947.0</v>
      </c>
      <c r="J160" s="147">
        <v>45947.0</v>
      </c>
      <c r="K160" s="147"/>
      <c r="L160" s="147">
        <v>45947.0</v>
      </c>
      <c r="M160" s="25">
        <f>IF(ISBLANK(L160), NETWORKDAYS(J160, TODAY(),Hoja2!$A$1:$A$18), NETWORKDAYS(J160, L160, Hoja2!$A$1:$A$18))</f>
        <v>1</v>
      </c>
      <c r="N160" s="146"/>
      <c r="O160" s="122"/>
      <c r="P160" s="31" t="s">
        <v>885</v>
      </c>
      <c r="Q160" s="28" t="s">
        <v>69</v>
      </c>
      <c r="R160" s="148"/>
      <c r="S160" s="148"/>
      <c r="T160" s="121"/>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customHeight="1">
      <c r="A161" s="177" t="s">
        <v>64</v>
      </c>
      <c r="B161" s="94" t="s">
        <v>886</v>
      </c>
      <c r="C161" s="149" t="s">
        <v>887</v>
      </c>
      <c r="D161" s="142" t="s">
        <v>888</v>
      </c>
      <c r="E161" s="143"/>
      <c r="F161" s="19" t="s">
        <v>73</v>
      </c>
      <c r="G161" s="144">
        <v>100.0</v>
      </c>
      <c r="H161" s="145"/>
      <c r="I161" s="146">
        <v>45940.0</v>
      </c>
      <c r="J161" s="147">
        <v>45945.0</v>
      </c>
      <c r="K161" s="147"/>
      <c r="L161" s="147">
        <v>45945.0</v>
      </c>
      <c r="M161" s="25">
        <f>IF(ISBLANK(L161), NETWORKDAYS(J161, TODAY(),Hoja2!$A$1:$A$18), NETWORKDAYS(J161, L161, Hoja2!$A$1:$A$18))</f>
        <v>1</v>
      </c>
      <c r="N161" s="146"/>
      <c r="O161" s="122"/>
      <c r="P161" s="31" t="s">
        <v>889</v>
      </c>
      <c r="Q161" s="28" t="s">
        <v>69</v>
      </c>
      <c r="R161" s="148"/>
      <c r="S161" s="148"/>
      <c r="T161" s="121"/>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customHeight="1">
      <c r="A162" s="177" t="s">
        <v>64</v>
      </c>
      <c r="B162" s="94" t="s">
        <v>890</v>
      </c>
      <c r="C162" s="149" t="s">
        <v>891</v>
      </c>
      <c r="D162" s="142" t="s">
        <v>892</v>
      </c>
      <c r="E162" s="143"/>
      <c r="F162" s="19" t="s">
        <v>73</v>
      </c>
      <c r="G162" s="144">
        <v>100.0</v>
      </c>
      <c r="H162" s="145"/>
      <c r="I162" s="146">
        <v>45940.0</v>
      </c>
      <c r="J162" s="147">
        <v>45945.0</v>
      </c>
      <c r="K162" s="147"/>
      <c r="L162" s="147">
        <v>45945.0</v>
      </c>
      <c r="M162" s="25">
        <f>IF(ISBLANK(L162), NETWORKDAYS(J162, TODAY(),Hoja2!$A$1:$A$18), NETWORKDAYS(J162, L162, Hoja2!$A$1:$A$18))</f>
        <v>1</v>
      </c>
      <c r="N162" s="146"/>
      <c r="O162" s="122"/>
      <c r="P162" s="31" t="s">
        <v>893</v>
      </c>
      <c r="Q162" s="28" t="s">
        <v>69</v>
      </c>
      <c r="R162" s="148"/>
      <c r="S162" s="148"/>
      <c r="T162" s="121"/>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customHeight="1">
      <c r="A163" s="177" t="s">
        <v>64</v>
      </c>
      <c r="B163" s="94" t="s">
        <v>894</v>
      </c>
      <c r="C163" s="149" t="s">
        <v>895</v>
      </c>
      <c r="D163" s="142" t="s">
        <v>896</v>
      </c>
      <c r="E163" s="143"/>
      <c r="F163" s="19" t="s">
        <v>73</v>
      </c>
      <c r="G163" s="144">
        <v>100.0</v>
      </c>
      <c r="H163" s="145"/>
      <c r="I163" s="146">
        <v>45930.0</v>
      </c>
      <c r="J163" s="147">
        <v>45930.0</v>
      </c>
      <c r="K163" s="147"/>
      <c r="L163" s="147">
        <v>45930.0</v>
      </c>
      <c r="M163" s="25">
        <f>IF(ISBLANK(L163), NETWORKDAYS(J163, TODAY(),Hoja2!$A$1:$A$18), NETWORKDAYS(J163, L163, Hoja2!$A$1:$A$18))</f>
        <v>1</v>
      </c>
      <c r="N163" s="146"/>
      <c r="O163" s="122"/>
      <c r="P163" s="31" t="s">
        <v>897</v>
      </c>
      <c r="Q163" s="28" t="s">
        <v>69</v>
      </c>
      <c r="R163" s="148"/>
      <c r="S163" s="148"/>
      <c r="T163" s="121"/>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customHeight="1">
      <c r="A164" s="177" t="s">
        <v>64</v>
      </c>
      <c r="B164" s="94" t="s">
        <v>898</v>
      </c>
      <c r="C164" s="149" t="s">
        <v>899</v>
      </c>
      <c r="D164" s="142" t="s">
        <v>900</v>
      </c>
      <c r="E164" s="143"/>
      <c r="F164" s="19" t="s">
        <v>73</v>
      </c>
      <c r="G164" s="144">
        <v>100.0</v>
      </c>
      <c r="H164" s="145"/>
      <c r="I164" s="146">
        <v>45916.0</v>
      </c>
      <c r="J164" s="147">
        <v>45916.0</v>
      </c>
      <c r="K164" s="147"/>
      <c r="L164" s="147">
        <v>45916.0</v>
      </c>
      <c r="M164" s="25">
        <f>IF(ISBLANK(L164), NETWORKDAYS(J164, TODAY(),Hoja2!$A$1:$A$18), NETWORKDAYS(J164, L164, Hoja2!$A$1:$A$18))</f>
        <v>1</v>
      </c>
      <c r="N164" s="146"/>
      <c r="O164" s="122">
        <v>45916.0</v>
      </c>
      <c r="P164" s="31" t="s">
        <v>901</v>
      </c>
      <c r="Q164" s="28" t="s">
        <v>69</v>
      </c>
      <c r="R164" s="148"/>
      <c r="S164" s="148"/>
      <c r="T164" s="121"/>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customHeight="1">
      <c r="A165" s="177" t="s">
        <v>64</v>
      </c>
      <c r="B165" s="94" t="s">
        <v>902</v>
      </c>
      <c r="C165" s="149" t="s">
        <v>903</v>
      </c>
      <c r="D165" s="142" t="s">
        <v>904</v>
      </c>
      <c r="E165" s="143"/>
      <c r="F165" s="19" t="s">
        <v>73</v>
      </c>
      <c r="G165" s="144">
        <v>100.0</v>
      </c>
      <c r="H165" s="145"/>
      <c r="I165" s="146">
        <v>45910.0</v>
      </c>
      <c r="J165" s="147">
        <v>45910.0</v>
      </c>
      <c r="K165" s="147"/>
      <c r="L165" s="147">
        <v>45910.0</v>
      </c>
      <c r="M165" s="25">
        <f>IF(ISBLANK(L165), NETWORKDAYS(J165, TODAY(),Hoja2!$A$1:$A$18), NETWORKDAYS(J165, L165, Hoja2!$A$1:$A$18))</f>
        <v>1</v>
      </c>
      <c r="N165" s="146"/>
      <c r="O165" s="122"/>
      <c r="P165" s="31" t="s">
        <v>905</v>
      </c>
      <c r="Q165" s="28" t="s">
        <v>69</v>
      </c>
      <c r="R165" s="148"/>
      <c r="S165" s="148"/>
      <c r="T165" s="121"/>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customHeight="1">
      <c r="A166" s="177" t="s">
        <v>153</v>
      </c>
      <c r="B166" s="94" t="s">
        <v>906</v>
      </c>
      <c r="C166" s="149" t="s">
        <v>907</v>
      </c>
      <c r="D166" s="142" t="s">
        <v>908</v>
      </c>
      <c r="E166" s="143"/>
      <c r="F166" s="19" t="s">
        <v>73</v>
      </c>
      <c r="G166" s="144">
        <v>100.0</v>
      </c>
      <c r="H166" s="145"/>
      <c r="I166" s="146">
        <v>45908.0</v>
      </c>
      <c r="J166" s="147">
        <v>45909.0</v>
      </c>
      <c r="K166" s="147"/>
      <c r="L166" s="147">
        <v>45909.0</v>
      </c>
      <c r="M166" s="25">
        <f>IF(ISBLANK(L166), NETWORKDAYS(J166, TODAY(),Hoja2!$A$1:$A$18), NETWORKDAYS(J166, L166, Hoja2!$A$1:$A$18))</f>
        <v>1</v>
      </c>
      <c r="N166" s="146">
        <v>45909.0</v>
      </c>
      <c r="O166" s="122">
        <v>45910.0</v>
      </c>
      <c r="P166" s="31" t="s">
        <v>909</v>
      </c>
      <c r="Q166" s="28" t="s">
        <v>69</v>
      </c>
      <c r="R166" s="148"/>
      <c r="S166" s="148"/>
      <c r="T166" s="121"/>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customHeight="1">
      <c r="A167" s="177" t="s">
        <v>124</v>
      </c>
      <c r="B167" s="94" t="s">
        <v>910</v>
      </c>
      <c r="C167" s="149" t="s">
        <v>911</v>
      </c>
      <c r="D167" s="142" t="s">
        <v>912</v>
      </c>
      <c r="E167" s="143"/>
      <c r="F167" s="19" t="s">
        <v>73</v>
      </c>
      <c r="G167" s="144">
        <v>100.0</v>
      </c>
      <c r="H167" s="145"/>
      <c r="I167" s="146">
        <v>45905.0</v>
      </c>
      <c r="J167" s="147">
        <v>45905.0</v>
      </c>
      <c r="K167" s="147"/>
      <c r="L167" s="147">
        <v>45908.0</v>
      </c>
      <c r="M167" s="25">
        <f>IF(ISBLANK(L167), NETWORKDAYS(J167, TODAY(),Hoja2!$A$1:$A$18), NETWORKDAYS(J167, L167, Hoja2!$A$1:$A$18))</f>
        <v>2</v>
      </c>
      <c r="N167" s="146"/>
      <c r="O167" s="122"/>
      <c r="P167" s="31" t="s">
        <v>913</v>
      </c>
      <c r="Q167" s="28" t="s">
        <v>69</v>
      </c>
      <c r="R167" s="148"/>
      <c r="S167" s="148"/>
      <c r="T167" s="121"/>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customHeight="1">
      <c r="A168" s="177" t="s">
        <v>64</v>
      </c>
      <c r="B168" s="94" t="s">
        <v>914</v>
      </c>
      <c r="C168" s="149" t="s">
        <v>915</v>
      </c>
      <c r="D168" s="142" t="s">
        <v>916</v>
      </c>
      <c r="E168" s="143"/>
      <c r="F168" s="19" t="s">
        <v>73</v>
      </c>
      <c r="G168" s="144">
        <v>100.0</v>
      </c>
      <c r="H168" s="145"/>
      <c r="I168" s="146">
        <v>45890.0</v>
      </c>
      <c r="J168" s="147">
        <v>45890.0</v>
      </c>
      <c r="K168" s="147"/>
      <c r="L168" s="147">
        <v>45898.0</v>
      </c>
      <c r="M168" s="25">
        <f>IF(ISBLANK(L168), NETWORKDAYS(J168, TODAY(),Hoja2!$A$1:$A$18), NETWORKDAYS(J168, L168, Hoja2!$A$1:$A$18))</f>
        <v>7</v>
      </c>
      <c r="N168" s="146"/>
      <c r="O168" s="122"/>
      <c r="P168" s="31" t="s">
        <v>917</v>
      </c>
      <c r="Q168" s="28" t="s">
        <v>69</v>
      </c>
      <c r="R168" s="148"/>
      <c r="S168" s="148"/>
      <c r="T168" s="121"/>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customHeight="1">
      <c r="A169" s="177" t="s">
        <v>124</v>
      </c>
      <c r="B169" s="94" t="s">
        <v>918</v>
      </c>
      <c r="C169" s="142" t="s">
        <v>919</v>
      </c>
      <c r="D169" s="142" t="s">
        <v>920</v>
      </c>
      <c r="E169" s="143"/>
      <c r="F169" s="139" t="s">
        <v>212</v>
      </c>
      <c r="G169" s="145"/>
      <c r="H169" s="145"/>
      <c r="I169" s="146">
        <v>45895.0</v>
      </c>
      <c r="J169" s="147"/>
      <c r="K169" s="147"/>
      <c r="L169" s="147"/>
      <c r="M169" s="25">
        <f>IF(ISBLANK(L169), NETWORKDAYS(J169, TODAY(),Hoja2!$A$1:$A$18), NETWORKDAYS(J169, L169, Hoja2!$A$1:$A$18))</f>
        <v>32812</v>
      </c>
      <c r="N169" s="146"/>
      <c r="O169" s="122"/>
      <c r="P169" s="123"/>
      <c r="Q169" s="28" t="s">
        <v>120</v>
      </c>
      <c r="R169" s="148"/>
      <c r="S169" s="148"/>
      <c r="T169" s="121"/>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customHeight="1">
      <c r="A170" s="177" t="s">
        <v>124</v>
      </c>
      <c r="B170" s="94" t="s">
        <v>921</v>
      </c>
      <c r="C170" s="142" t="s">
        <v>922</v>
      </c>
      <c r="D170" s="142" t="s">
        <v>923</v>
      </c>
      <c r="E170" s="143"/>
      <c r="F170" s="139" t="s">
        <v>73</v>
      </c>
      <c r="G170" s="144">
        <v>100.0</v>
      </c>
      <c r="H170" s="145"/>
      <c r="I170" s="146">
        <v>45895.0</v>
      </c>
      <c r="J170" s="147">
        <v>45904.0</v>
      </c>
      <c r="K170" s="147">
        <v>45910.0</v>
      </c>
      <c r="L170" s="147">
        <v>45905.0</v>
      </c>
      <c r="M170" s="25">
        <f>IF(ISBLANK(L170), NETWORKDAYS(J170, TODAY(),Hoja2!$A$1:$A$18), NETWORKDAYS(J170, L170, Hoja2!$A$1:$A$18))</f>
        <v>2</v>
      </c>
      <c r="N170" s="146">
        <v>45905.0</v>
      </c>
      <c r="O170" s="122">
        <v>45912.0</v>
      </c>
      <c r="P170" s="31" t="s">
        <v>924</v>
      </c>
      <c r="Q170" s="28" t="s">
        <v>69</v>
      </c>
      <c r="R170" s="178"/>
      <c r="S170" s="148"/>
      <c r="T170" s="121"/>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customHeight="1">
      <c r="A171" s="177" t="s">
        <v>124</v>
      </c>
      <c r="B171" s="94" t="s">
        <v>925</v>
      </c>
      <c r="C171" s="142" t="s">
        <v>926</v>
      </c>
      <c r="D171" s="142" t="s">
        <v>927</v>
      </c>
      <c r="E171" s="143"/>
      <c r="F171" s="139" t="s">
        <v>73</v>
      </c>
      <c r="G171" s="144">
        <v>100.0</v>
      </c>
      <c r="H171" s="145"/>
      <c r="I171" s="146">
        <v>45902.0</v>
      </c>
      <c r="J171" s="147">
        <v>45902.0</v>
      </c>
      <c r="K171" s="147"/>
      <c r="L171" s="147">
        <v>45902.0</v>
      </c>
      <c r="M171" s="25">
        <f>IF(ISBLANK(L171), NETWORKDAYS(J171, TODAY(),Hoja2!$A$1:$A$18), NETWORKDAYS(J171, L171, Hoja2!$A$1:$A$18))</f>
        <v>1</v>
      </c>
      <c r="N171" s="146"/>
      <c r="O171" s="122"/>
      <c r="P171" s="31" t="s">
        <v>928</v>
      </c>
      <c r="Q171" s="28" t="s">
        <v>69</v>
      </c>
      <c r="R171" s="148"/>
      <c r="S171" s="148"/>
      <c r="T171" s="121"/>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customHeight="1">
      <c r="A172" s="177" t="s">
        <v>124</v>
      </c>
      <c r="B172" s="94" t="s">
        <v>929</v>
      </c>
      <c r="C172" s="179" t="s">
        <v>930</v>
      </c>
      <c r="D172" s="142"/>
      <c r="E172" s="143"/>
      <c r="F172" s="139" t="s">
        <v>73</v>
      </c>
      <c r="G172" s="144">
        <v>100.0</v>
      </c>
      <c r="H172" s="145"/>
      <c r="I172" s="146">
        <v>45915.0</v>
      </c>
      <c r="J172" s="147">
        <v>45915.0</v>
      </c>
      <c r="K172" s="147"/>
      <c r="L172" s="147">
        <v>45915.0</v>
      </c>
      <c r="M172" s="25">
        <f>IF(ISBLANK(L172), NETWORKDAYS(J172, TODAY(),Hoja2!$A$1:$A$18), NETWORKDAYS(J172, L172, Hoja2!$A$1:$A$18))</f>
        <v>1</v>
      </c>
      <c r="N172" s="146"/>
      <c r="O172" s="122"/>
      <c r="P172" s="31" t="s">
        <v>931</v>
      </c>
      <c r="Q172" s="28" t="s">
        <v>69</v>
      </c>
      <c r="R172" s="148"/>
      <c r="S172" s="148"/>
      <c r="T172" s="121"/>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customHeight="1">
      <c r="A173" s="177" t="s">
        <v>124</v>
      </c>
      <c r="B173" s="94" t="s">
        <v>932</v>
      </c>
      <c r="C173" s="179" t="s">
        <v>933</v>
      </c>
      <c r="D173" s="142" t="s">
        <v>934</v>
      </c>
      <c r="E173" s="143"/>
      <c r="F173" s="139" t="s">
        <v>212</v>
      </c>
      <c r="G173" s="145"/>
      <c r="H173" s="145"/>
      <c r="I173" s="146">
        <v>45902.0</v>
      </c>
      <c r="J173" s="147"/>
      <c r="K173" s="147"/>
      <c r="L173" s="147"/>
      <c r="M173" s="25">
        <f>IF(ISBLANK(L173), NETWORKDAYS(J173, TODAY(),Hoja2!$A$1:$A$18), NETWORKDAYS(J173, L173, Hoja2!$A$1:$A$18))</f>
        <v>32812</v>
      </c>
      <c r="N173" s="146"/>
      <c r="O173" s="122"/>
      <c r="P173" s="31" t="s">
        <v>935</v>
      </c>
      <c r="Q173" s="28" t="s">
        <v>120</v>
      </c>
      <c r="R173" s="148"/>
      <c r="S173" s="144" t="s">
        <v>936</v>
      </c>
      <c r="T173" s="121"/>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customHeight="1">
      <c r="A174" s="177" t="s">
        <v>124</v>
      </c>
      <c r="B174" s="94" t="s">
        <v>937</v>
      </c>
      <c r="C174" s="180" t="s">
        <v>938</v>
      </c>
      <c r="D174" s="142" t="s">
        <v>939</v>
      </c>
      <c r="E174" s="143"/>
      <c r="F174" s="139" t="s">
        <v>73</v>
      </c>
      <c r="G174" s="144">
        <v>100.0</v>
      </c>
      <c r="H174" s="145"/>
      <c r="I174" s="146">
        <v>45904.0</v>
      </c>
      <c r="J174" s="147">
        <v>45905.0</v>
      </c>
      <c r="K174" s="147"/>
      <c r="L174" s="147">
        <v>45918.0</v>
      </c>
      <c r="M174" s="25">
        <f>IF(ISBLANK(L174), NETWORKDAYS(J174, TODAY(),Hoja2!$A$1:$A$18), NETWORKDAYS(J174, L174, Hoja2!$A$1:$A$18))</f>
        <v>10</v>
      </c>
      <c r="N174" s="146">
        <v>45918.0</v>
      </c>
      <c r="O174" s="122"/>
      <c r="P174" s="31" t="s">
        <v>940</v>
      </c>
      <c r="Q174" s="28" t="s">
        <v>69</v>
      </c>
      <c r="R174" s="167">
        <v>2.0</v>
      </c>
      <c r="S174" s="148"/>
      <c r="T174" s="121"/>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customHeight="1">
      <c r="A175" s="177" t="s">
        <v>124</v>
      </c>
      <c r="B175" s="94" t="s">
        <v>941</v>
      </c>
      <c r="C175" s="180" t="s">
        <v>942</v>
      </c>
      <c r="D175" s="142" t="s">
        <v>943</v>
      </c>
      <c r="E175" s="143"/>
      <c r="F175" s="139" t="s">
        <v>73</v>
      </c>
      <c r="G175" s="144">
        <v>100.0</v>
      </c>
      <c r="H175" s="145"/>
      <c r="I175" s="146">
        <v>45916.0</v>
      </c>
      <c r="J175" s="147">
        <v>45919.0</v>
      </c>
      <c r="K175" s="147"/>
      <c r="L175" s="147">
        <v>45920.0</v>
      </c>
      <c r="M175" s="25">
        <f>IF(ISBLANK(L175), NETWORKDAYS(J175, TODAY(),Hoja2!$A$1:$A$18), NETWORKDAYS(J175, L175, Hoja2!$A$1:$A$18))</f>
        <v>1</v>
      </c>
      <c r="N175" s="146"/>
      <c r="O175" s="122"/>
      <c r="P175" s="31" t="s">
        <v>944</v>
      </c>
      <c r="Q175" s="28" t="s">
        <v>69</v>
      </c>
      <c r="R175" s="167"/>
      <c r="S175" s="148"/>
      <c r="T175" s="121"/>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customHeight="1">
      <c r="A176" s="177" t="s">
        <v>124</v>
      </c>
      <c r="B176" s="94" t="s">
        <v>945</v>
      </c>
      <c r="C176" s="180" t="s">
        <v>946</v>
      </c>
      <c r="D176" s="142" t="s">
        <v>947</v>
      </c>
      <c r="E176" s="143"/>
      <c r="F176" s="139" t="s">
        <v>212</v>
      </c>
      <c r="G176" s="181"/>
      <c r="H176" s="145"/>
      <c r="I176" s="146">
        <v>45917.0</v>
      </c>
      <c r="J176" s="147"/>
      <c r="K176" s="147"/>
      <c r="L176" s="147"/>
      <c r="M176" s="25">
        <f>IF(ISBLANK(L176), NETWORKDAYS(J176, TODAY(),Hoja2!$A$1:$A$18), NETWORKDAYS(J176, L176, Hoja2!$A$1:$A$18))</f>
        <v>32812</v>
      </c>
      <c r="N176" s="146"/>
      <c r="O176" s="122"/>
      <c r="P176" s="31"/>
      <c r="Q176" s="28" t="s">
        <v>120</v>
      </c>
      <c r="R176" s="167"/>
      <c r="S176" s="148"/>
      <c r="T176" s="121"/>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customHeight="1">
      <c r="A177" s="177" t="s">
        <v>124</v>
      </c>
      <c r="B177" s="94" t="s">
        <v>948</v>
      </c>
      <c r="C177" s="180" t="s">
        <v>949</v>
      </c>
      <c r="D177" s="142" t="s">
        <v>950</v>
      </c>
      <c r="E177" s="143"/>
      <c r="F177" s="139" t="s">
        <v>73</v>
      </c>
      <c r="G177" s="144">
        <v>40.0</v>
      </c>
      <c r="H177" s="145"/>
      <c r="I177" s="146">
        <v>45924.0</v>
      </c>
      <c r="J177" s="147">
        <v>45925.0</v>
      </c>
      <c r="K177" s="147"/>
      <c r="L177" s="147"/>
      <c r="M177" s="25">
        <f>IF(ISBLANK(L177), NETWORKDAYS(J177, TODAY(),Hoja2!$A$1:$A$18), NETWORKDAYS(J177, L177, Hoja2!$A$1:$A$18))</f>
        <v>25</v>
      </c>
      <c r="N177" s="146"/>
      <c r="O177" s="122"/>
      <c r="P177" s="31" t="s">
        <v>951</v>
      </c>
      <c r="Q177" s="100" t="s">
        <v>69</v>
      </c>
      <c r="R177" s="167"/>
      <c r="S177" s="144" t="s">
        <v>952</v>
      </c>
      <c r="T177" s="121"/>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customHeight="1">
      <c r="A178" s="177" t="s">
        <v>124</v>
      </c>
      <c r="B178" s="94" t="s">
        <v>953</v>
      </c>
      <c r="C178" s="180" t="s">
        <v>954</v>
      </c>
      <c r="D178" s="142" t="s">
        <v>955</v>
      </c>
      <c r="E178" s="143"/>
      <c r="F178" s="139" t="s">
        <v>73</v>
      </c>
      <c r="G178" s="144">
        <v>100.0</v>
      </c>
      <c r="H178" s="145"/>
      <c r="I178" s="146">
        <v>45924.0</v>
      </c>
      <c r="J178" s="147">
        <v>45924.0</v>
      </c>
      <c r="K178" s="147"/>
      <c r="L178" s="147">
        <v>45924.0</v>
      </c>
      <c r="M178" s="25">
        <f>IF(ISBLANK(L178), NETWORKDAYS(J178, TODAY(),Hoja2!$A$1:$A$18), NETWORKDAYS(J178, L178, Hoja2!$A$1:$A$18))</f>
        <v>1</v>
      </c>
      <c r="N178" s="146"/>
      <c r="O178" s="122"/>
      <c r="P178" s="31" t="s">
        <v>956</v>
      </c>
      <c r="Q178" s="100" t="s">
        <v>69</v>
      </c>
      <c r="R178" s="167"/>
      <c r="S178" s="144"/>
      <c r="T178" s="121"/>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customHeight="1">
      <c r="A179" s="177" t="s">
        <v>124</v>
      </c>
      <c r="B179" s="94" t="s">
        <v>957</v>
      </c>
      <c r="C179" s="180" t="s">
        <v>958</v>
      </c>
      <c r="D179" s="142" t="s">
        <v>959</v>
      </c>
      <c r="E179" s="143"/>
      <c r="F179" s="139" t="s">
        <v>212</v>
      </c>
      <c r="G179" s="144"/>
      <c r="H179" s="145"/>
      <c r="I179" s="146">
        <v>45926.0</v>
      </c>
      <c r="J179" s="147"/>
      <c r="K179" s="147"/>
      <c r="L179" s="147"/>
      <c r="M179" s="25">
        <f>IF(ISBLANK(L179), NETWORKDAYS(J179, TODAY(),Hoja2!$A$1:$A$18), NETWORKDAYS(J179, L179, Hoja2!$A$1:$A$18))</f>
        <v>32812</v>
      </c>
      <c r="N179" s="146"/>
      <c r="O179" s="122"/>
      <c r="P179" s="31" t="s">
        <v>960</v>
      </c>
      <c r="Q179" s="100" t="s">
        <v>120</v>
      </c>
      <c r="R179" s="167"/>
      <c r="S179" s="144"/>
      <c r="T179" s="121"/>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customHeight="1">
      <c r="A180" s="177" t="s">
        <v>124</v>
      </c>
      <c r="B180" s="94" t="s">
        <v>961</v>
      </c>
      <c r="C180" s="180" t="s">
        <v>962</v>
      </c>
      <c r="D180" s="142" t="s">
        <v>963</v>
      </c>
      <c r="E180" s="143"/>
      <c r="F180" s="139" t="s">
        <v>73</v>
      </c>
      <c r="G180" s="144">
        <v>100.0</v>
      </c>
      <c r="H180" s="145"/>
      <c r="I180" s="146">
        <v>45938.0</v>
      </c>
      <c r="J180" s="147">
        <v>45939.0</v>
      </c>
      <c r="K180" s="147"/>
      <c r="L180" s="147">
        <v>45939.0</v>
      </c>
      <c r="M180" s="25">
        <f>IF(ISBLANK(L180), NETWORKDAYS(J180, TODAY(),Hoja2!$A$1:$A$18), NETWORKDAYS(J180, L180, Hoja2!$A$1:$A$18))</f>
        <v>1</v>
      </c>
      <c r="N180" s="146"/>
      <c r="O180" s="122">
        <v>45939.0</v>
      </c>
      <c r="P180" s="31" t="s">
        <v>964</v>
      </c>
      <c r="Q180" s="100" t="s">
        <v>69</v>
      </c>
      <c r="R180" s="167"/>
      <c r="S180" s="144"/>
      <c r="T180" s="121"/>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customHeight="1">
      <c r="A181" s="177" t="s">
        <v>124</v>
      </c>
      <c r="B181" s="94" t="s">
        <v>965</v>
      </c>
      <c r="C181" s="180" t="s">
        <v>966</v>
      </c>
      <c r="D181" s="142"/>
      <c r="E181" s="143"/>
      <c r="F181" s="139" t="s">
        <v>73</v>
      </c>
      <c r="G181" s="144">
        <v>100.0</v>
      </c>
      <c r="H181" s="145"/>
      <c r="I181" s="146">
        <v>45939.0</v>
      </c>
      <c r="J181" s="147">
        <v>45939.0</v>
      </c>
      <c r="K181" s="147"/>
      <c r="L181" s="147">
        <v>45939.0</v>
      </c>
      <c r="M181" s="25">
        <f>IF(ISBLANK(L181), NETWORKDAYS(J181, TODAY(),Hoja2!$A$1:$A$18), NETWORKDAYS(J181, L181, Hoja2!$A$1:$A$18))</f>
        <v>1</v>
      </c>
      <c r="N181" s="146"/>
      <c r="O181" s="122"/>
      <c r="P181" s="31" t="s">
        <v>967</v>
      </c>
      <c r="Q181" s="100" t="s">
        <v>69</v>
      </c>
      <c r="R181" s="167"/>
      <c r="S181" s="144"/>
      <c r="T181" s="121"/>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customHeight="1">
      <c r="A182" s="177" t="s">
        <v>153</v>
      </c>
      <c r="B182" s="94" t="s">
        <v>968</v>
      </c>
      <c r="C182" s="180" t="s">
        <v>969</v>
      </c>
      <c r="D182" s="142" t="s">
        <v>963</v>
      </c>
      <c r="E182" s="143"/>
      <c r="F182" s="139" t="s">
        <v>383</v>
      </c>
      <c r="G182" s="144">
        <v>70.0</v>
      </c>
      <c r="H182" s="145"/>
      <c r="I182" s="146">
        <v>45938.0</v>
      </c>
      <c r="J182" s="147">
        <v>45958.0</v>
      </c>
      <c r="K182" s="147"/>
      <c r="L182" s="147"/>
      <c r="M182" s="25">
        <f>IF(ISBLANK(L182), NETWORKDAYS(J182, TODAY(),Hoja2!$A$1:$A$18), NETWORKDAYS(J182, L182, Hoja2!$A$1:$A$18))</f>
        <v>2</v>
      </c>
      <c r="N182" s="146"/>
      <c r="O182" s="122"/>
      <c r="P182" s="31" t="s">
        <v>970</v>
      </c>
      <c r="Q182" s="100" t="s">
        <v>69</v>
      </c>
      <c r="R182" s="167">
        <v>3.0</v>
      </c>
      <c r="S182" s="144"/>
      <c r="T182" s="121"/>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customHeight="1">
      <c r="A183" s="177" t="s">
        <v>124</v>
      </c>
      <c r="B183" s="94" t="s">
        <v>971</v>
      </c>
      <c r="C183" s="180" t="s">
        <v>972</v>
      </c>
      <c r="D183" s="142" t="s">
        <v>973</v>
      </c>
      <c r="E183" s="143"/>
      <c r="F183" s="139" t="s">
        <v>73</v>
      </c>
      <c r="G183" s="144">
        <v>100.0</v>
      </c>
      <c r="H183" s="145"/>
      <c r="I183" s="146">
        <v>45938.0</v>
      </c>
      <c r="J183" s="147">
        <v>45945.0</v>
      </c>
      <c r="K183" s="147"/>
      <c r="L183" s="147">
        <v>45946.0</v>
      </c>
      <c r="M183" s="25">
        <f>IF(ISBLANK(L183), NETWORKDAYS(J183, TODAY(),Hoja2!$A$1:$A$18), NETWORKDAYS(J183, L183, Hoja2!$A$1:$A$18))</f>
        <v>2</v>
      </c>
      <c r="N183" s="146"/>
      <c r="O183" s="122">
        <v>45946.0</v>
      </c>
      <c r="P183" s="31" t="s">
        <v>974</v>
      </c>
      <c r="Q183" s="100" t="s">
        <v>69</v>
      </c>
      <c r="R183" s="167"/>
      <c r="S183" s="144"/>
      <c r="T183" s="121"/>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customHeight="1">
      <c r="A184" s="177" t="s">
        <v>124</v>
      </c>
      <c r="B184" s="94" t="s">
        <v>975</v>
      </c>
      <c r="C184" s="180" t="s">
        <v>976</v>
      </c>
      <c r="D184" s="142" t="s">
        <v>977</v>
      </c>
      <c r="E184" s="143"/>
      <c r="F184" s="139" t="s">
        <v>73</v>
      </c>
      <c r="G184" s="144">
        <v>100.0</v>
      </c>
      <c r="H184" s="145"/>
      <c r="I184" s="146">
        <v>45938.0</v>
      </c>
      <c r="J184" s="147">
        <v>45945.0</v>
      </c>
      <c r="K184" s="147"/>
      <c r="L184" s="147">
        <v>45946.0</v>
      </c>
      <c r="M184" s="25">
        <f>IF(ISBLANK(L184), NETWORKDAYS(J184, TODAY(),Hoja2!$A$1:$A$18), NETWORKDAYS(J184, L184, Hoja2!$A$1:$A$18))</f>
        <v>2</v>
      </c>
      <c r="N184" s="146"/>
      <c r="O184" s="122">
        <v>45946.0</v>
      </c>
      <c r="P184" s="31" t="s">
        <v>978</v>
      </c>
      <c r="Q184" s="100" t="s">
        <v>69</v>
      </c>
      <c r="R184" s="167"/>
      <c r="S184" s="144"/>
      <c r="T184" s="121"/>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customHeight="1">
      <c r="A185" s="177" t="s">
        <v>124</v>
      </c>
      <c r="B185" s="94" t="s">
        <v>979</v>
      </c>
      <c r="C185" s="180" t="s">
        <v>980</v>
      </c>
      <c r="D185" s="142" t="s">
        <v>981</v>
      </c>
      <c r="E185" s="143"/>
      <c r="F185" s="139" t="s">
        <v>982</v>
      </c>
      <c r="G185" s="144">
        <v>70.0</v>
      </c>
      <c r="H185" s="145"/>
      <c r="I185" s="146">
        <v>45944.0</v>
      </c>
      <c r="J185" s="147">
        <v>45946.0</v>
      </c>
      <c r="K185" s="147"/>
      <c r="L185" s="147"/>
      <c r="M185" s="25">
        <f>IF(ISBLANK(L185), NETWORKDAYS(J185, TODAY(),Hoja2!$A$1:$A$18), NETWORKDAYS(J185, L185, Hoja2!$A$1:$A$18))</f>
        <v>10</v>
      </c>
      <c r="N185" s="146"/>
      <c r="O185" s="122"/>
      <c r="P185" s="31" t="s">
        <v>983</v>
      </c>
      <c r="Q185" s="100" t="s">
        <v>69</v>
      </c>
      <c r="R185" s="167">
        <v>1.0</v>
      </c>
      <c r="S185" s="144" t="s">
        <v>936</v>
      </c>
      <c r="T185" s="121"/>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customHeight="1">
      <c r="A186" s="177" t="s">
        <v>124</v>
      </c>
      <c r="B186" s="94" t="s">
        <v>984</v>
      </c>
      <c r="C186" s="180" t="s">
        <v>985</v>
      </c>
      <c r="D186" s="142" t="s">
        <v>986</v>
      </c>
      <c r="E186" s="143"/>
      <c r="F186" s="139" t="s">
        <v>73</v>
      </c>
      <c r="G186" s="144">
        <v>100.0</v>
      </c>
      <c r="H186" s="145"/>
      <c r="I186" s="146">
        <v>45945.0</v>
      </c>
      <c r="J186" s="147">
        <v>45947.0</v>
      </c>
      <c r="K186" s="147"/>
      <c r="L186" s="147">
        <v>45947.0</v>
      </c>
      <c r="M186" s="25">
        <f>IF(ISBLANK(L186), NETWORKDAYS(J186, TODAY(),Hoja2!$A$1:$A$18), NETWORKDAYS(J186, L186, Hoja2!$A$1:$A$18))</f>
        <v>1</v>
      </c>
      <c r="N186" s="146"/>
      <c r="O186" s="122"/>
      <c r="P186" s="31" t="s">
        <v>987</v>
      </c>
      <c r="Q186" s="100" t="s">
        <v>69</v>
      </c>
      <c r="R186" s="167"/>
      <c r="S186" s="144"/>
      <c r="T186" s="121"/>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customHeight="1">
      <c r="A187" s="177" t="s">
        <v>124</v>
      </c>
      <c r="B187" s="94" t="s">
        <v>988</v>
      </c>
      <c r="C187" s="180" t="s">
        <v>989</v>
      </c>
      <c r="D187" s="142" t="s">
        <v>990</v>
      </c>
      <c r="E187" s="143"/>
      <c r="F187" s="139" t="s">
        <v>383</v>
      </c>
      <c r="G187" s="144"/>
      <c r="H187" s="145"/>
      <c r="I187" s="146">
        <v>45947.0</v>
      </c>
      <c r="J187" s="147"/>
      <c r="K187" s="147"/>
      <c r="L187" s="147"/>
      <c r="M187" s="25">
        <f>IF(ISBLANK(L187), NETWORKDAYS(J187, TODAY(),Hoja2!$A$1:$A$18), NETWORKDAYS(J187, L187, Hoja2!$A$1:$A$18))</f>
        <v>32812</v>
      </c>
      <c r="N187" s="146"/>
      <c r="O187" s="122"/>
      <c r="P187" s="31" t="s">
        <v>991</v>
      </c>
      <c r="Q187" s="100" t="s">
        <v>69</v>
      </c>
      <c r="R187" s="167"/>
      <c r="S187" s="144"/>
      <c r="T187" s="121"/>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customHeight="1">
      <c r="A188" s="177" t="s">
        <v>470</v>
      </c>
      <c r="B188" s="94" t="s">
        <v>992</v>
      </c>
      <c r="C188" s="180" t="s">
        <v>993</v>
      </c>
      <c r="D188" s="142" t="s">
        <v>994</v>
      </c>
      <c r="E188" s="143"/>
      <c r="F188" s="139" t="s">
        <v>212</v>
      </c>
      <c r="G188" s="144"/>
      <c r="H188" s="145"/>
      <c r="I188" s="146">
        <v>45950.0</v>
      </c>
      <c r="J188" s="147"/>
      <c r="K188" s="147"/>
      <c r="L188" s="147"/>
      <c r="M188" s="25">
        <f>IF(ISBLANK(L188), NETWORKDAYS(J188, TODAY(),Hoja2!$A$1:$A$18), NETWORKDAYS(J188, L188, Hoja2!$A$1:$A$18))</f>
        <v>32812</v>
      </c>
      <c r="N188" s="146"/>
      <c r="O188" s="122"/>
      <c r="P188" s="31" t="s">
        <v>995</v>
      </c>
      <c r="Q188" s="100" t="s">
        <v>69</v>
      </c>
      <c r="R188" s="167">
        <v>2.0</v>
      </c>
      <c r="S188" s="144"/>
      <c r="T188" s="121"/>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customHeight="1">
      <c r="A189" s="177" t="s">
        <v>124</v>
      </c>
      <c r="B189" s="94" t="s">
        <v>996</v>
      </c>
      <c r="C189" s="180" t="s">
        <v>997</v>
      </c>
      <c r="D189" s="142"/>
      <c r="E189" s="143"/>
      <c r="F189" s="139" t="s">
        <v>212</v>
      </c>
      <c r="G189" s="144"/>
      <c r="H189" s="145"/>
      <c r="I189" s="146">
        <v>45953.0</v>
      </c>
      <c r="J189" s="147"/>
      <c r="K189" s="147"/>
      <c r="L189" s="147"/>
      <c r="M189" s="25">
        <f>IF(ISBLANK(L189), NETWORKDAYS(J189, TODAY(),Hoja2!$A$1:$A$18), NETWORKDAYS(J189, L189, Hoja2!$A$1:$A$18))</f>
        <v>32812</v>
      </c>
      <c r="N189" s="146"/>
      <c r="O189" s="122"/>
      <c r="P189" s="31"/>
      <c r="Q189" s="100" t="s">
        <v>120</v>
      </c>
      <c r="R189" s="167"/>
      <c r="S189" s="144"/>
      <c r="T189" s="121"/>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customHeight="1">
      <c r="A190" s="177" t="s">
        <v>153</v>
      </c>
      <c r="B190" s="94" t="s">
        <v>998</v>
      </c>
      <c r="C190" s="180" t="s">
        <v>999</v>
      </c>
      <c r="D190" s="142" t="s">
        <v>1000</v>
      </c>
      <c r="E190" s="143"/>
      <c r="F190" s="139" t="s">
        <v>73</v>
      </c>
      <c r="G190" s="144">
        <v>100.0</v>
      </c>
      <c r="H190" s="145"/>
      <c r="I190" s="146">
        <v>45953.0</v>
      </c>
      <c r="J190" s="147">
        <v>45958.0</v>
      </c>
      <c r="K190" s="147"/>
      <c r="L190" s="147">
        <v>45958.0</v>
      </c>
      <c r="M190" s="25">
        <f>IF(ISBLANK(L190), NETWORKDAYS(J190, TODAY(),Hoja2!$A$1:$A$18), NETWORKDAYS(J190, L190, Hoja2!$A$1:$A$18))</f>
        <v>1</v>
      </c>
      <c r="N190" s="146"/>
      <c r="O190" s="122"/>
      <c r="P190" s="31" t="s">
        <v>1001</v>
      </c>
      <c r="Q190" s="100" t="s">
        <v>69</v>
      </c>
      <c r="R190" s="167"/>
      <c r="S190" s="144"/>
      <c r="T190" s="121"/>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customHeight="1">
      <c r="A191" s="177" t="s">
        <v>124</v>
      </c>
      <c r="B191" s="94" t="s">
        <v>1002</v>
      </c>
      <c r="C191" s="180" t="s">
        <v>1003</v>
      </c>
      <c r="D191" s="142" t="s">
        <v>1004</v>
      </c>
      <c r="E191" s="143"/>
      <c r="F191" s="139" t="s">
        <v>73</v>
      </c>
      <c r="G191" s="144">
        <v>100.0</v>
      </c>
      <c r="H191" s="145"/>
      <c r="I191" s="146">
        <v>45953.0</v>
      </c>
      <c r="J191" s="147">
        <v>45957.0</v>
      </c>
      <c r="K191" s="147"/>
      <c r="L191" s="147">
        <v>45958.0</v>
      </c>
      <c r="M191" s="25">
        <f>IF(ISBLANK(L191), NETWORKDAYS(J191, TODAY(),Hoja2!$A$1:$A$18), NETWORKDAYS(J191, L191, Hoja2!$A$1:$A$18))</f>
        <v>2</v>
      </c>
      <c r="N191" s="146"/>
      <c r="O191" s="122">
        <v>45958.0</v>
      </c>
      <c r="P191" s="31" t="s">
        <v>1005</v>
      </c>
      <c r="Q191" s="100" t="s">
        <v>69</v>
      </c>
      <c r="R191" s="167"/>
      <c r="S191" s="144"/>
      <c r="T191" s="121"/>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customHeight="1">
      <c r="A192" s="177" t="s">
        <v>124</v>
      </c>
      <c r="B192" s="94" t="s">
        <v>1006</v>
      </c>
      <c r="C192" s="180" t="s">
        <v>1007</v>
      </c>
      <c r="D192" s="142" t="s">
        <v>1008</v>
      </c>
      <c r="E192" s="143"/>
      <c r="F192" s="139" t="s">
        <v>73</v>
      </c>
      <c r="G192" s="144">
        <v>100.0</v>
      </c>
      <c r="H192" s="145"/>
      <c r="I192" s="146">
        <v>45957.0</v>
      </c>
      <c r="J192" s="147">
        <v>45957.0</v>
      </c>
      <c r="K192" s="147"/>
      <c r="L192" s="147">
        <v>45957.0</v>
      </c>
      <c r="M192" s="25">
        <f>IF(ISBLANK(L192), NETWORKDAYS(J192, TODAY(),Hoja2!$A$1:$A$18), NETWORKDAYS(J192, L192, Hoja2!$A$1:$A$18))</f>
        <v>1</v>
      </c>
      <c r="N192" s="146"/>
      <c r="O192" s="122"/>
      <c r="P192" s="31" t="s">
        <v>1009</v>
      </c>
      <c r="Q192" s="100" t="s">
        <v>69</v>
      </c>
      <c r="R192" s="167"/>
      <c r="S192" s="144"/>
      <c r="T192" s="121"/>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customHeight="1">
      <c r="A193" s="177" t="s">
        <v>124</v>
      </c>
      <c r="B193" s="94" t="s">
        <v>1010</v>
      </c>
      <c r="C193" s="180" t="s">
        <v>1011</v>
      </c>
      <c r="D193" s="142" t="s">
        <v>1012</v>
      </c>
      <c r="E193" s="143"/>
      <c r="F193" s="139" t="s">
        <v>383</v>
      </c>
      <c r="G193" s="144"/>
      <c r="H193" s="145"/>
      <c r="I193" s="146">
        <v>45957.0</v>
      </c>
      <c r="J193" s="147"/>
      <c r="K193" s="147"/>
      <c r="L193" s="147"/>
      <c r="M193" s="25">
        <f>IF(ISBLANK(L193), NETWORKDAYS(J193, TODAY(),Hoja2!$A$1:$A$18), NETWORKDAYS(J193, L193, Hoja2!$A$1:$A$18))</f>
        <v>32812</v>
      </c>
      <c r="N193" s="146"/>
      <c r="O193" s="122"/>
      <c r="P193" s="31" t="s">
        <v>1013</v>
      </c>
      <c r="Q193" s="100" t="s">
        <v>69</v>
      </c>
      <c r="R193" s="167"/>
      <c r="S193" s="144"/>
      <c r="T193" s="121"/>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customHeight="1">
      <c r="A194" s="177" t="s">
        <v>124</v>
      </c>
      <c r="B194" s="94" t="s">
        <v>1014</v>
      </c>
      <c r="C194" s="180" t="s">
        <v>1015</v>
      </c>
      <c r="D194" s="142" t="s">
        <v>1016</v>
      </c>
      <c r="E194" s="143"/>
      <c r="F194" s="139" t="s">
        <v>383</v>
      </c>
      <c r="G194" s="144"/>
      <c r="H194" s="145"/>
      <c r="I194" s="146">
        <v>45958.0</v>
      </c>
      <c r="J194" s="147"/>
      <c r="K194" s="147">
        <v>45961.0</v>
      </c>
      <c r="L194" s="147"/>
      <c r="M194" s="25">
        <f>IF(ISBLANK(L194), NETWORKDAYS(J194, TODAY(),Hoja2!$A$1:$A$18), NETWORKDAYS(J194, L194, Hoja2!$A$1:$A$18))</f>
        <v>32812</v>
      </c>
      <c r="N194" s="146"/>
      <c r="O194" s="122"/>
      <c r="P194" s="31" t="s">
        <v>1017</v>
      </c>
      <c r="Q194" s="100" t="s">
        <v>69</v>
      </c>
      <c r="R194" s="167"/>
      <c r="S194" s="144"/>
      <c r="T194" s="121"/>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customHeight="1">
      <c r="A195" s="177" t="s">
        <v>124</v>
      </c>
      <c r="B195" s="94" t="s">
        <v>1018</v>
      </c>
      <c r="C195" s="180" t="s">
        <v>1019</v>
      </c>
      <c r="D195" s="142" t="s">
        <v>1020</v>
      </c>
      <c r="E195" s="143"/>
      <c r="F195" s="139" t="s">
        <v>212</v>
      </c>
      <c r="G195" s="144"/>
      <c r="H195" s="145"/>
      <c r="I195" s="146">
        <v>45958.0</v>
      </c>
      <c r="J195" s="147"/>
      <c r="K195" s="147"/>
      <c r="L195" s="147"/>
      <c r="M195" s="25">
        <f>IF(ISBLANK(L195), NETWORKDAYS(J195, TODAY(),Hoja2!$A$1:$A$18), NETWORKDAYS(J195, L195, Hoja2!$A$1:$A$18))</f>
        <v>32812</v>
      </c>
      <c r="N195" s="146"/>
      <c r="O195" s="122"/>
      <c r="P195" s="31"/>
      <c r="Q195" s="100" t="s">
        <v>120</v>
      </c>
      <c r="R195" s="167"/>
      <c r="S195" s="144"/>
      <c r="T195" s="121"/>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customHeight="1">
      <c r="A196" s="177" t="s">
        <v>124</v>
      </c>
      <c r="B196" s="94" t="s">
        <v>1021</v>
      </c>
      <c r="C196" s="182" t="s">
        <v>1022</v>
      </c>
      <c r="D196" s="142" t="s">
        <v>1023</v>
      </c>
      <c r="E196" s="143"/>
      <c r="F196" s="139" t="s">
        <v>383</v>
      </c>
      <c r="G196" s="144"/>
      <c r="H196" s="145"/>
      <c r="I196" s="146">
        <v>45953.0</v>
      </c>
      <c r="J196" s="147">
        <v>45958.0</v>
      </c>
      <c r="K196" s="147"/>
      <c r="L196" s="147"/>
      <c r="M196" s="25">
        <f>IF(ISBLANK(L196), NETWORKDAYS(J196, TODAY(),Hoja2!$A$1:$A$18), NETWORKDAYS(J196, L196, Hoja2!$A$1:$A$18))</f>
        <v>2</v>
      </c>
      <c r="N196" s="146"/>
      <c r="O196" s="122"/>
      <c r="P196" s="31"/>
      <c r="Q196" s="100" t="s">
        <v>69</v>
      </c>
      <c r="R196" s="167"/>
      <c r="S196" s="144"/>
      <c r="T196" s="121"/>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customHeight="1">
      <c r="A197" s="177" t="s">
        <v>124</v>
      </c>
      <c r="B197" s="94" t="s">
        <v>1024</v>
      </c>
      <c r="C197" s="180" t="s">
        <v>1025</v>
      </c>
      <c r="D197" s="142" t="s">
        <v>1026</v>
      </c>
      <c r="E197" s="143"/>
      <c r="F197" s="139" t="s">
        <v>73</v>
      </c>
      <c r="G197" s="144">
        <v>100.0</v>
      </c>
      <c r="H197" s="145"/>
      <c r="I197" s="146">
        <v>45931.0</v>
      </c>
      <c r="J197" s="147">
        <v>45932.0</v>
      </c>
      <c r="K197" s="147"/>
      <c r="L197" s="147">
        <v>45932.0</v>
      </c>
      <c r="M197" s="25">
        <f>IF(ISBLANK(L197), NETWORKDAYS(J197, TODAY(),Hoja2!$A$1:$A$18), NETWORKDAYS(J197, L197, Hoja2!$A$1:$A$18))</f>
        <v>1</v>
      </c>
      <c r="N197" s="146"/>
      <c r="O197" s="122"/>
      <c r="P197" s="31" t="s">
        <v>1027</v>
      </c>
      <c r="Q197" s="100" t="s">
        <v>69</v>
      </c>
      <c r="R197" s="167"/>
      <c r="S197" s="144"/>
      <c r="T197" s="121"/>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customHeight="1">
      <c r="A198" s="177" t="s">
        <v>124</v>
      </c>
      <c r="B198" s="94" t="s">
        <v>1028</v>
      </c>
      <c r="C198" s="180" t="s">
        <v>1029</v>
      </c>
      <c r="D198" s="142" t="s">
        <v>1030</v>
      </c>
      <c r="E198" s="143"/>
      <c r="F198" s="139" t="s">
        <v>73</v>
      </c>
      <c r="G198" s="144">
        <v>100.0</v>
      </c>
      <c r="H198" s="145"/>
      <c r="I198" s="146">
        <v>45929.0</v>
      </c>
      <c r="J198" s="147">
        <v>45930.0</v>
      </c>
      <c r="K198" s="147"/>
      <c r="L198" s="147">
        <v>45930.0</v>
      </c>
      <c r="M198" s="25">
        <f>IF(ISBLANK(L198), NETWORKDAYS(J198, TODAY(),Hoja2!$A$1:$A$18), NETWORKDAYS(J198, L198, Hoja2!$A$1:$A$18))</f>
        <v>1</v>
      </c>
      <c r="N198" s="146"/>
      <c r="O198" s="122"/>
      <c r="P198" s="31" t="s">
        <v>1031</v>
      </c>
      <c r="Q198" s="100" t="s">
        <v>69</v>
      </c>
      <c r="R198" s="167"/>
      <c r="S198" s="144"/>
      <c r="T198" s="121"/>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customHeight="1">
      <c r="A199" s="177" t="s">
        <v>124</v>
      </c>
      <c r="B199" s="94" t="s">
        <v>1032</v>
      </c>
      <c r="C199" s="180" t="s">
        <v>1033</v>
      </c>
      <c r="D199" s="142" t="s">
        <v>1034</v>
      </c>
      <c r="E199" s="143"/>
      <c r="F199" s="139" t="s">
        <v>73</v>
      </c>
      <c r="G199" s="144">
        <v>100.0</v>
      </c>
      <c r="H199" s="145"/>
      <c r="I199" s="146">
        <v>45908.0</v>
      </c>
      <c r="J199" s="147">
        <v>45909.0</v>
      </c>
      <c r="K199" s="147"/>
      <c r="L199" s="147">
        <v>45909.0</v>
      </c>
      <c r="M199" s="25">
        <f>IF(ISBLANK(L199), NETWORKDAYS(J199, TODAY(),Hoja2!$A$1:$A$18), NETWORKDAYS(J199, L199, Hoja2!$A$1:$A$18))</f>
        <v>1</v>
      </c>
      <c r="N199" s="146">
        <v>45910.0</v>
      </c>
      <c r="O199" s="122">
        <v>45910.0</v>
      </c>
      <c r="P199" s="31" t="s">
        <v>1035</v>
      </c>
      <c r="Q199" s="100" t="s">
        <v>69</v>
      </c>
      <c r="R199" s="148"/>
      <c r="S199" s="148"/>
      <c r="T199" s="121"/>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customHeight="1">
      <c r="A200" s="177" t="s">
        <v>153</v>
      </c>
      <c r="B200" s="94" t="s">
        <v>1036</v>
      </c>
      <c r="C200" s="155" t="s">
        <v>1037</v>
      </c>
      <c r="D200" s="142"/>
      <c r="E200" s="143"/>
      <c r="F200" s="139" t="s">
        <v>73</v>
      </c>
      <c r="G200" s="144">
        <v>100.0</v>
      </c>
      <c r="H200" s="145"/>
      <c r="I200" s="146">
        <v>45912.0</v>
      </c>
      <c r="J200" s="147">
        <v>45915.0</v>
      </c>
      <c r="K200" s="147"/>
      <c r="L200" s="147">
        <v>45915.0</v>
      </c>
      <c r="M200" s="25">
        <f>IF(ISBLANK(L200), NETWORKDAYS(J200, TODAY(),Hoja2!$A$1:$A$18), NETWORKDAYS(J200, L200, Hoja2!$A$1:$A$18))</f>
        <v>1</v>
      </c>
      <c r="N200" s="146"/>
      <c r="O200" s="122"/>
      <c r="P200" s="31" t="s">
        <v>1038</v>
      </c>
      <c r="Q200" s="100" t="s">
        <v>69</v>
      </c>
      <c r="R200" s="148"/>
      <c r="S200" s="148"/>
      <c r="T200" s="121"/>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customHeight="1">
      <c r="A201" s="177" t="s">
        <v>153</v>
      </c>
      <c r="B201" s="94" t="s">
        <v>1039</v>
      </c>
      <c r="C201" s="149" t="s">
        <v>1040</v>
      </c>
      <c r="D201" s="142" t="s">
        <v>1041</v>
      </c>
      <c r="E201" s="143"/>
      <c r="F201" s="139" t="s">
        <v>73</v>
      </c>
      <c r="G201" s="144">
        <v>100.0</v>
      </c>
      <c r="H201" s="145"/>
      <c r="I201" s="146">
        <v>45894.0</v>
      </c>
      <c r="J201" s="147">
        <v>45896.0</v>
      </c>
      <c r="K201" s="147"/>
      <c r="L201" s="147">
        <v>45897.0</v>
      </c>
      <c r="M201" s="25">
        <f>IF(ISBLANK(L201), NETWORKDAYS(J201, TODAY(),Hoja2!$A$1:$A$18), NETWORKDAYS(J201, L201, Hoja2!$A$1:$A$18))</f>
        <v>2</v>
      </c>
      <c r="N201" s="146"/>
      <c r="O201" s="122">
        <v>45897.0</v>
      </c>
      <c r="P201" s="31" t="s">
        <v>1042</v>
      </c>
      <c r="Q201" s="28" t="s">
        <v>69</v>
      </c>
      <c r="R201" s="148"/>
      <c r="S201" s="148"/>
      <c r="T201" s="121"/>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customHeight="1">
      <c r="A202" s="177" t="s">
        <v>153</v>
      </c>
      <c r="B202" s="94" t="s">
        <v>1043</v>
      </c>
      <c r="C202" s="149" t="s">
        <v>1044</v>
      </c>
      <c r="D202" s="142" t="s">
        <v>1045</v>
      </c>
      <c r="E202" s="143"/>
      <c r="F202" s="139" t="s">
        <v>212</v>
      </c>
      <c r="G202" s="145"/>
      <c r="H202" s="145"/>
      <c r="I202" s="146">
        <v>45895.0</v>
      </c>
      <c r="J202" s="147"/>
      <c r="K202" s="147"/>
      <c r="L202" s="147"/>
      <c r="M202" s="25">
        <f>IF(ISBLANK(L202), NETWORKDAYS(J202, TODAY(),Hoja2!$A$1:$A$18), NETWORKDAYS(J202, L202, Hoja2!$A$1:$A$18))</f>
        <v>32812</v>
      </c>
      <c r="N202" s="183"/>
      <c r="O202" s="184"/>
      <c r="P202" s="31" t="s">
        <v>1046</v>
      </c>
      <c r="Q202" s="28" t="s">
        <v>120</v>
      </c>
      <c r="R202" s="148"/>
      <c r="S202" s="148"/>
      <c r="T202" s="121"/>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customHeight="1">
      <c r="A203" s="177" t="s">
        <v>153</v>
      </c>
      <c r="B203" s="94" t="s">
        <v>1047</v>
      </c>
      <c r="C203" s="149" t="s">
        <v>1048</v>
      </c>
      <c r="D203" s="142" t="s">
        <v>1049</v>
      </c>
      <c r="E203" s="143"/>
      <c r="F203" s="139" t="s">
        <v>73</v>
      </c>
      <c r="G203" s="144">
        <v>100.0</v>
      </c>
      <c r="H203" s="145"/>
      <c r="I203" s="146">
        <v>45898.0</v>
      </c>
      <c r="J203" s="147">
        <v>45901.0</v>
      </c>
      <c r="K203" s="147"/>
      <c r="L203" s="147">
        <v>45901.0</v>
      </c>
      <c r="M203" s="25">
        <f>IF(ISBLANK(L203), NETWORKDAYS(J203, TODAY(),Hoja2!$A$1:$A$18), NETWORKDAYS(J203, L203, Hoja2!$A$1:$A$18))</f>
        <v>1</v>
      </c>
      <c r="N203" s="146"/>
      <c r="O203" s="122"/>
      <c r="P203" s="31" t="s">
        <v>1050</v>
      </c>
      <c r="Q203" s="100" t="s">
        <v>69</v>
      </c>
      <c r="R203" s="148"/>
      <c r="S203" s="148"/>
      <c r="T203" s="121"/>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customHeight="1">
      <c r="A204" s="177" t="s">
        <v>153</v>
      </c>
      <c r="B204" s="94" t="s">
        <v>1051</v>
      </c>
      <c r="C204" s="149" t="s">
        <v>1052</v>
      </c>
      <c r="D204" s="142" t="s">
        <v>1053</v>
      </c>
      <c r="E204" s="143"/>
      <c r="F204" s="139" t="s">
        <v>73</v>
      </c>
      <c r="G204" s="144">
        <v>100.0</v>
      </c>
      <c r="H204" s="145"/>
      <c r="I204" s="146">
        <v>45902.0</v>
      </c>
      <c r="J204" s="147">
        <v>45902.0</v>
      </c>
      <c r="K204" s="147"/>
      <c r="L204" s="147">
        <v>45924.0</v>
      </c>
      <c r="M204" s="25">
        <f>IF(ISBLANK(L204), NETWORKDAYS(J204, TODAY(),Hoja2!$A$1:$A$18), NETWORKDAYS(J204, L204, Hoja2!$A$1:$A$18))</f>
        <v>17</v>
      </c>
      <c r="N204" s="146"/>
      <c r="O204" s="122"/>
      <c r="P204" s="31" t="s">
        <v>1054</v>
      </c>
      <c r="Q204" s="28" t="s">
        <v>69</v>
      </c>
      <c r="R204" s="148"/>
      <c r="S204" s="148"/>
      <c r="T204" s="121"/>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customHeight="1">
      <c r="A205" s="177" t="s">
        <v>153</v>
      </c>
      <c r="B205" s="94" t="s">
        <v>1055</v>
      </c>
      <c r="C205" s="149" t="s">
        <v>1056</v>
      </c>
      <c r="D205" s="185" t="s">
        <v>1057</v>
      </c>
      <c r="E205" s="143"/>
      <c r="F205" s="139" t="s">
        <v>383</v>
      </c>
      <c r="G205" s="144">
        <v>85.0</v>
      </c>
      <c r="H205" s="145"/>
      <c r="I205" s="146">
        <v>45902.0</v>
      </c>
      <c r="J205" s="147">
        <v>45903.0</v>
      </c>
      <c r="K205" s="147"/>
      <c r="L205" s="147"/>
      <c r="M205" s="25">
        <f>IF(ISBLANK(L205), NETWORKDAYS(J205, TODAY(),Hoja2!$A$1:$A$18), NETWORKDAYS(J205, L205, Hoja2!$A$1:$A$18))</f>
        <v>41</v>
      </c>
      <c r="N205" s="146"/>
      <c r="O205" s="122"/>
      <c r="P205" s="31" t="s">
        <v>1058</v>
      </c>
      <c r="Q205" s="28" t="s">
        <v>69</v>
      </c>
      <c r="R205" s="148"/>
      <c r="S205" s="148"/>
      <c r="T205" s="121"/>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customHeight="1">
      <c r="A206" s="177" t="s">
        <v>153</v>
      </c>
      <c r="B206" s="94" t="s">
        <v>1059</v>
      </c>
      <c r="C206" s="149" t="s">
        <v>1060</v>
      </c>
      <c r="D206" s="186" t="s">
        <v>1061</v>
      </c>
      <c r="E206" s="143"/>
      <c r="F206" s="139" t="s">
        <v>212</v>
      </c>
      <c r="G206" s="145"/>
      <c r="H206" s="145"/>
      <c r="I206" s="146">
        <v>45903.0</v>
      </c>
      <c r="J206" s="147"/>
      <c r="K206" s="147"/>
      <c r="L206" s="147"/>
      <c r="M206" s="25">
        <f>IF(ISBLANK(L206), NETWORKDAYS(J206, TODAY(),Hoja2!$A$1:$A$18), NETWORKDAYS(J206, L206, Hoja2!$A$1:$A$18))</f>
        <v>32812</v>
      </c>
      <c r="N206" s="146"/>
      <c r="O206" s="122"/>
      <c r="P206" s="31"/>
      <c r="Q206" s="28" t="s">
        <v>120</v>
      </c>
      <c r="R206" s="148"/>
      <c r="S206" s="148"/>
      <c r="T206" s="121"/>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customHeight="1">
      <c r="A207" s="177" t="s">
        <v>153</v>
      </c>
      <c r="B207" s="94" t="s">
        <v>1062</v>
      </c>
      <c r="C207" s="149" t="s">
        <v>1063</v>
      </c>
      <c r="D207" s="187" t="s">
        <v>1064</v>
      </c>
      <c r="E207" s="143"/>
      <c r="F207" s="139" t="s">
        <v>67</v>
      </c>
      <c r="G207" s="144">
        <v>93.0</v>
      </c>
      <c r="H207" s="144">
        <v>10.0</v>
      </c>
      <c r="I207" s="146">
        <v>45904.0</v>
      </c>
      <c r="J207" s="147">
        <v>45910.0</v>
      </c>
      <c r="K207" s="147"/>
      <c r="L207" s="147">
        <v>45932.0</v>
      </c>
      <c r="M207" s="25">
        <f>IF(ISBLANK(L207), NETWORKDAYS(J207, TODAY(),Hoja2!$A$1:$A$18), NETWORKDAYS(J207, L207, Hoja2!$A$1:$A$18))</f>
        <v>17</v>
      </c>
      <c r="N207" s="146">
        <v>45932.0</v>
      </c>
      <c r="O207" s="122"/>
      <c r="P207" s="31" t="s">
        <v>1065</v>
      </c>
      <c r="Q207" s="28" t="s">
        <v>69</v>
      </c>
      <c r="R207" s="144">
        <v>1.0</v>
      </c>
      <c r="S207" s="144" t="s">
        <v>1066</v>
      </c>
      <c r="T207" s="121"/>
      <c r="U207" s="34">
        <v>1.0</v>
      </c>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customHeight="1">
      <c r="A208" s="177" t="s">
        <v>153</v>
      </c>
      <c r="B208" s="94" t="s">
        <v>1067</v>
      </c>
      <c r="C208" s="149" t="s">
        <v>1068</v>
      </c>
      <c r="D208" s="187" t="s">
        <v>1069</v>
      </c>
      <c r="E208" s="143"/>
      <c r="F208" s="139" t="s">
        <v>212</v>
      </c>
      <c r="G208" s="144"/>
      <c r="H208" s="144"/>
      <c r="I208" s="146">
        <v>45931.0</v>
      </c>
      <c r="J208" s="147"/>
      <c r="K208" s="147"/>
      <c r="L208" s="147"/>
      <c r="M208" s="25">
        <f>IF(ISBLANK(L208), NETWORKDAYS(J208, TODAY(),Hoja2!$A$1:$A$18), NETWORKDAYS(J208, L208, Hoja2!$A$1:$A$18))</f>
        <v>32812</v>
      </c>
      <c r="N208" s="146"/>
      <c r="O208" s="122"/>
      <c r="P208" s="31"/>
      <c r="Q208" s="28" t="s">
        <v>120</v>
      </c>
      <c r="R208" s="144"/>
      <c r="S208" s="148"/>
      <c r="T208" s="121"/>
      <c r="U208" s="34"/>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customHeight="1">
      <c r="A209" s="177" t="s">
        <v>153</v>
      </c>
      <c r="B209" s="94" t="s">
        <v>1070</v>
      </c>
      <c r="C209" s="149" t="s">
        <v>1071</v>
      </c>
      <c r="D209" s="187" t="s">
        <v>1072</v>
      </c>
      <c r="E209" s="143"/>
      <c r="F209" s="139" t="s">
        <v>73</v>
      </c>
      <c r="G209" s="144">
        <v>100.0</v>
      </c>
      <c r="H209" s="144"/>
      <c r="I209" s="146">
        <v>45932.0</v>
      </c>
      <c r="J209" s="147">
        <v>45933.0</v>
      </c>
      <c r="K209" s="147"/>
      <c r="L209" s="147">
        <v>45933.0</v>
      </c>
      <c r="M209" s="25">
        <f>IF(ISBLANK(L209), NETWORKDAYS(J209, TODAY(),Hoja2!$A$1:$A$18), NETWORKDAYS(J209, L209, Hoja2!$A$1:$A$18))</f>
        <v>1</v>
      </c>
      <c r="N209" s="146"/>
      <c r="O209" s="122"/>
      <c r="P209" s="31" t="s">
        <v>1073</v>
      </c>
      <c r="Q209" s="28" t="s">
        <v>69</v>
      </c>
      <c r="R209" s="144"/>
      <c r="S209" s="148"/>
      <c r="T209" s="121"/>
      <c r="U209" s="34"/>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customHeight="1">
      <c r="A210" s="177" t="s">
        <v>153</v>
      </c>
      <c r="B210" s="94" t="s">
        <v>1074</v>
      </c>
      <c r="C210" s="149" t="s">
        <v>1075</v>
      </c>
      <c r="D210" s="187" t="s">
        <v>1076</v>
      </c>
      <c r="E210" s="143"/>
      <c r="F210" s="139" t="s">
        <v>73</v>
      </c>
      <c r="G210" s="144">
        <v>100.0</v>
      </c>
      <c r="H210" s="144">
        <v>2.0</v>
      </c>
      <c r="I210" s="146">
        <v>45917.0</v>
      </c>
      <c r="J210" s="147">
        <v>45922.0</v>
      </c>
      <c r="K210" s="147">
        <v>45923.0</v>
      </c>
      <c r="L210" s="147">
        <v>45929.0</v>
      </c>
      <c r="M210" s="25">
        <f>IF(ISBLANK(L210), NETWORKDAYS(J210, TODAY(),Hoja2!$A$1:$A$18), NETWORKDAYS(J210, L210, Hoja2!$A$1:$A$18))</f>
        <v>6</v>
      </c>
      <c r="N210" s="146">
        <v>45929.0</v>
      </c>
      <c r="O210" s="122">
        <v>45930.0</v>
      </c>
      <c r="P210" s="31" t="s">
        <v>1077</v>
      </c>
      <c r="Q210" s="28" t="s">
        <v>69</v>
      </c>
      <c r="R210" s="144"/>
      <c r="S210" s="148"/>
      <c r="T210" s="121"/>
      <c r="U210" s="34"/>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customHeight="1">
      <c r="A211" s="177" t="s">
        <v>153</v>
      </c>
      <c r="B211" s="94" t="s">
        <v>1078</v>
      </c>
      <c r="C211" s="149" t="s">
        <v>1079</v>
      </c>
      <c r="D211" s="187" t="s">
        <v>1080</v>
      </c>
      <c r="E211" s="143"/>
      <c r="F211" s="139" t="s">
        <v>73</v>
      </c>
      <c r="G211" s="144">
        <v>100.0</v>
      </c>
      <c r="H211" s="144"/>
      <c r="I211" s="146">
        <v>45926.0</v>
      </c>
      <c r="J211" s="147">
        <v>45929.0</v>
      </c>
      <c r="K211" s="147"/>
      <c r="L211" s="147">
        <v>45929.0</v>
      </c>
      <c r="M211" s="25">
        <f>IF(ISBLANK(L211), NETWORKDAYS(J211, TODAY(),Hoja2!$A$1:$A$18), NETWORKDAYS(J211, L211, Hoja2!$A$1:$A$18))</f>
        <v>1</v>
      </c>
      <c r="N211" s="146"/>
      <c r="O211" s="122"/>
      <c r="P211" s="31" t="s">
        <v>1081</v>
      </c>
      <c r="Q211" s="28" t="s">
        <v>69</v>
      </c>
      <c r="R211" s="144"/>
      <c r="S211" s="148"/>
      <c r="T211" s="121"/>
      <c r="U211" s="34"/>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customHeight="1">
      <c r="A212" s="177" t="s">
        <v>153</v>
      </c>
      <c r="B212" s="94" t="s">
        <v>1082</v>
      </c>
      <c r="C212" s="149" t="s">
        <v>1083</v>
      </c>
      <c r="D212" s="187" t="s">
        <v>1084</v>
      </c>
      <c r="E212" s="143"/>
      <c r="F212" s="139" t="s">
        <v>73</v>
      </c>
      <c r="G212" s="144">
        <v>100.0</v>
      </c>
      <c r="H212" s="144"/>
      <c r="I212" s="146">
        <v>45922.0</v>
      </c>
      <c r="J212" s="147">
        <v>45924.0</v>
      </c>
      <c r="K212" s="147"/>
      <c r="L212" s="147">
        <v>45925.0</v>
      </c>
      <c r="M212" s="25">
        <f>IF(ISBLANK(L212), NETWORKDAYS(J212, TODAY(),Hoja2!$A$1:$A$18), NETWORKDAYS(J212, L212, Hoja2!$A$1:$A$18))</f>
        <v>2</v>
      </c>
      <c r="N212" s="146"/>
      <c r="O212" s="122"/>
      <c r="P212" s="31" t="s">
        <v>1085</v>
      </c>
      <c r="Q212" s="28" t="s">
        <v>69</v>
      </c>
      <c r="R212" s="144"/>
      <c r="S212" s="148"/>
      <c r="T212" s="121"/>
      <c r="U212" s="34"/>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customHeight="1">
      <c r="A213" s="177" t="s">
        <v>153</v>
      </c>
      <c r="B213" s="94" t="s">
        <v>1086</v>
      </c>
      <c r="C213" s="149" t="s">
        <v>1087</v>
      </c>
      <c r="D213" s="187" t="s">
        <v>1088</v>
      </c>
      <c r="E213" s="143"/>
      <c r="F213" s="139" t="s">
        <v>73</v>
      </c>
      <c r="G213" s="144">
        <v>100.0</v>
      </c>
      <c r="H213" s="144"/>
      <c r="I213" s="146">
        <v>45915.0</v>
      </c>
      <c r="J213" s="147">
        <v>45916.0</v>
      </c>
      <c r="K213" s="147"/>
      <c r="L213" s="147">
        <v>45919.0</v>
      </c>
      <c r="M213" s="25">
        <f>IF(ISBLANK(L213), NETWORKDAYS(J213, TODAY(),Hoja2!$A$1:$A$18), NETWORKDAYS(J213, L213, Hoja2!$A$1:$A$18))</f>
        <v>4</v>
      </c>
      <c r="N213" s="146"/>
      <c r="O213" s="122"/>
      <c r="P213" s="31" t="s">
        <v>1089</v>
      </c>
      <c r="Q213" s="28" t="s">
        <v>69</v>
      </c>
      <c r="R213" s="144"/>
      <c r="S213" s="148"/>
      <c r="T213" s="121"/>
      <c r="U213" s="34"/>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customHeight="1">
      <c r="A214" s="177" t="s">
        <v>153</v>
      </c>
      <c r="B214" s="94" t="s">
        <v>1090</v>
      </c>
      <c r="C214" s="149" t="s">
        <v>1091</v>
      </c>
      <c r="D214" s="187" t="s">
        <v>1092</v>
      </c>
      <c r="E214" s="143"/>
      <c r="F214" s="139" t="s">
        <v>73</v>
      </c>
      <c r="G214" s="144">
        <v>100.0</v>
      </c>
      <c r="H214" s="145"/>
      <c r="I214" s="146">
        <v>45904.0</v>
      </c>
      <c r="J214" s="147">
        <v>45905.0</v>
      </c>
      <c r="K214" s="147"/>
      <c r="L214" s="147">
        <v>45905.0</v>
      </c>
      <c r="M214" s="25">
        <f>IF(ISBLANK(L214), NETWORKDAYS(J214, TODAY(),Hoja2!$A$1:$A$18), NETWORKDAYS(J214, L214, Hoja2!$A$1:$A$18))</f>
        <v>1</v>
      </c>
      <c r="N214" s="146">
        <v>45910.0</v>
      </c>
      <c r="O214" s="122">
        <v>45905.0</v>
      </c>
      <c r="P214" s="31" t="s">
        <v>1093</v>
      </c>
      <c r="Q214" s="28" t="s">
        <v>69</v>
      </c>
      <c r="R214" s="144"/>
      <c r="S214" s="148"/>
      <c r="T214" s="121"/>
      <c r="U214" s="140"/>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customHeight="1">
      <c r="A215" s="177" t="s">
        <v>124</v>
      </c>
      <c r="B215" s="94" t="s">
        <v>1094</v>
      </c>
      <c r="C215" s="142" t="s">
        <v>1095</v>
      </c>
      <c r="D215" s="142" t="s">
        <v>1096</v>
      </c>
      <c r="E215" s="143"/>
      <c r="F215" s="139" t="s">
        <v>73</v>
      </c>
      <c r="G215" s="144">
        <v>100.0</v>
      </c>
      <c r="H215" s="145"/>
      <c r="I215" s="146">
        <v>45896.0</v>
      </c>
      <c r="J215" s="147">
        <v>45898.0</v>
      </c>
      <c r="K215" s="147"/>
      <c r="L215" s="147">
        <v>45898.0</v>
      </c>
      <c r="M215" s="25">
        <f>IF(ISBLANK(L215), NETWORKDAYS(J215, TODAY(),Hoja2!$A$1:$A$18), NETWORKDAYS(J215, L215, Hoja2!$A$1:$A$18))</f>
        <v>1</v>
      </c>
      <c r="N215" s="146"/>
      <c r="O215" s="122">
        <v>45898.0</v>
      </c>
      <c r="P215" s="31" t="s">
        <v>1097</v>
      </c>
      <c r="Q215" s="28" t="s">
        <v>69</v>
      </c>
      <c r="R215" s="148"/>
      <c r="S215" s="148"/>
      <c r="T215" s="121"/>
      <c r="U215" s="140"/>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customHeight="1">
      <c r="A216" s="177" t="s">
        <v>470</v>
      </c>
      <c r="B216" s="94" t="s">
        <v>1098</v>
      </c>
      <c r="C216" s="142" t="s">
        <v>1099</v>
      </c>
      <c r="D216" s="142" t="s">
        <v>1100</v>
      </c>
      <c r="E216" s="143"/>
      <c r="F216" s="139" t="s">
        <v>73</v>
      </c>
      <c r="G216" s="144">
        <v>100.0</v>
      </c>
      <c r="H216" s="145"/>
      <c r="I216" s="146">
        <v>45945.0</v>
      </c>
      <c r="J216" s="147">
        <v>45946.0</v>
      </c>
      <c r="K216" s="147"/>
      <c r="L216" s="147">
        <v>45954.0</v>
      </c>
      <c r="M216" s="25">
        <f>IF(ISBLANK(L216), NETWORKDAYS(J216, TODAY(),Hoja2!$A$1:$A$18), NETWORKDAYS(J216, L216, Hoja2!$A$1:$A$18))</f>
        <v>7</v>
      </c>
      <c r="N216" s="146">
        <v>45954.0</v>
      </c>
      <c r="O216" s="122">
        <v>45954.0</v>
      </c>
      <c r="P216" s="31" t="s">
        <v>1101</v>
      </c>
      <c r="Q216" s="28" t="s">
        <v>69</v>
      </c>
      <c r="R216" s="148"/>
      <c r="S216" s="148"/>
      <c r="T216" s="121"/>
      <c r="U216" s="140"/>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customHeight="1">
      <c r="A217" s="177" t="s">
        <v>470</v>
      </c>
      <c r="B217" s="94" t="s">
        <v>1102</v>
      </c>
      <c r="C217" s="142" t="s">
        <v>1103</v>
      </c>
      <c r="D217" s="188" t="s">
        <v>1104</v>
      </c>
      <c r="E217" s="143"/>
      <c r="F217" s="139" t="s">
        <v>383</v>
      </c>
      <c r="G217" s="144"/>
      <c r="H217" s="145"/>
      <c r="I217" s="146">
        <v>45954.0</v>
      </c>
      <c r="J217" s="147">
        <v>45957.0</v>
      </c>
      <c r="K217" s="147"/>
      <c r="L217" s="147"/>
      <c r="M217" s="25">
        <f>IF(ISBLANK(L217), NETWORKDAYS(J217, TODAY(),Hoja2!$A$1:$A$18), NETWORKDAYS(J217, L217, Hoja2!$A$1:$A$18))</f>
        <v>3</v>
      </c>
      <c r="N217" s="146"/>
      <c r="O217" s="122"/>
      <c r="P217" s="31" t="s">
        <v>1105</v>
      </c>
      <c r="Q217" s="28" t="s">
        <v>69</v>
      </c>
      <c r="R217" s="165"/>
      <c r="S217" s="165"/>
      <c r="T217" s="166"/>
      <c r="U217" s="140"/>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customHeight="1">
      <c r="A218" s="189"/>
      <c r="B218" s="190"/>
      <c r="C218" s="157"/>
      <c r="D218" s="157"/>
      <c r="E218" s="158"/>
      <c r="F218" s="166"/>
      <c r="G218" s="161"/>
      <c r="H218" s="161"/>
      <c r="I218" s="162"/>
      <c r="J218" s="163"/>
      <c r="K218" s="163"/>
      <c r="L218" s="163"/>
      <c r="M218" s="160"/>
      <c r="N218" s="162"/>
      <c r="O218" s="164"/>
      <c r="P218" s="140"/>
      <c r="Q218" s="191"/>
      <c r="R218" s="165"/>
      <c r="S218" s="165"/>
      <c r="T218" s="166"/>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customHeight="1">
      <c r="A219" s="189"/>
      <c r="B219" s="190"/>
      <c r="C219" s="157"/>
      <c r="D219" s="157"/>
      <c r="E219" s="158"/>
      <c r="F219" s="166"/>
      <c r="G219" s="161"/>
      <c r="H219" s="161"/>
      <c r="I219" s="162"/>
      <c r="J219" s="163"/>
      <c r="K219" s="163"/>
      <c r="L219" s="163"/>
      <c r="M219" s="160"/>
      <c r="N219" s="162"/>
      <c r="O219" s="164"/>
      <c r="P219" s="140"/>
      <c r="Q219" s="191"/>
      <c r="R219" s="165"/>
      <c r="S219" s="165"/>
      <c r="T219" s="166"/>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customHeight="1">
      <c r="A220" s="189"/>
      <c r="B220" s="190"/>
      <c r="C220" s="157"/>
      <c r="D220" s="157"/>
      <c r="E220" s="158"/>
      <c r="F220" s="166"/>
      <c r="G220" s="161"/>
      <c r="H220" s="161"/>
      <c r="I220" s="162"/>
      <c r="J220" s="163"/>
      <c r="K220" s="163"/>
      <c r="L220" s="163"/>
      <c r="M220" s="160"/>
      <c r="N220" s="162"/>
      <c r="O220" s="164"/>
      <c r="P220" s="140"/>
      <c r="Q220" s="191"/>
      <c r="R220" s="165"/>
      <c r="S220" s="165"/>
      <c r="T220" s="166"/>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customHeight="1">
      <c r="A221" s="189"/>
      <c r="B221" s="190"/>
      <c r="C221" s="157"/>
      <c r="D221" s="157"/>
      <c r="E221" s="158"/>
      <c r="F221" s="166"/>
      <c r="G221" s="161"/>
      <c r="H221" s="161"/>
      <c r="I221" s="162"/>
      <c r="J221" s="163"/>
      <c r="K221" s="163"/>
      <c r="L221" s="163"/>
      <c r="M221" s="160"/>
      <c r="N221" s="162"/>
      <c r="O221" s="164"/>
      <c r="P221" s="140"/>
      <c r="Q221" s="191"/>
      <c r="R221" s="165"/>
      <c r="S221" s="165"/>
      <c r="T221" s="166"/>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customHeight="1">
      <c r="A222" s="189"/>
      <c r="B222" s="190"/>
      <c r="C222" s="157"/>
      <c r="D222" s="157"/>
      <c r="E222" s="158"/>
      <c r="F222" s="166"/>
      <c r="G222" s="161"/>
      <c r="H222" s="161"/>
      <c r="I222" s="162"/>
      <c r="J222" s="163"/>
      <c r="K222" s="163"/>
      <c r="L222" s="163"/>
      <c r="M222" s="160"/>
      <c r="N222" s="162"/>
      <c r="O222" s="164"/>
      <c r="P222" s="140"/>
      <c r="Q222" s="191"/>
      <c r="R222" s="165"/>
      <c r="S222" s="165"/>
      <c r="T222" s="166"/>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customHeight="1">
      <c r="A223" s="189"/>
      <c r="B223" s="190"/>
      <c r="C223" s="157"/>
      <c r="D223" s="157"/>
      <c r="E223" s="158"/>
      <c r="F223" s="166"/>
      <c r="G223" s="161"/>
      <c r="H223" s="161"/>
      <c r="I223" s="162"/>
      <c r="J223" s="163"/>
      <c r="K223" s="163"/>
      <c r="L223" s="163"/>
      <c r="M223" s="160"/>
      <c r="N223" s="162"/>
      <c r="O223" s="164"/>
      <c r="P223" s="140"/>
      <c r="Q223" s="191"/>
      <c r="R223" s="165"/>
      <c r="S223" s="165"/>
      <c r="T223" s="166"/>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customHeight="1">
      <c r="A224" s="189"/>
      <c r="B224" s="190"/>
      <c r="C224" s="157"/>
      <c r="D224" s="157"/>
      <c r="E224" s="158"/>
      <c r="F224" s="166"/>
      <c r="G224" s="161"/>
      <c r="H224" s="161"/>
      <c r="I224" s="162"/>
      <c r="J224" s="163"/>
      <c r="K224" s="163"/>
      <c r="L224" s="163"/>
      <c r="M224" s="160"/>
      <c r="N224" s="162"/>
      <c r="O224" s="164"/>
      <c r="P224" s="140"/>
      <c r="Q224" s="191"/>
      <c r="R224" s="165"/>
      <c r="S224" s="165"/>
      <c r="T224" s="166"/>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customHeight="1">
      <c r="A225" s="189"/>
      <c r="B225" s="190"/>
      <c r="C225" s="157"/>
      <c r="D225" s="157"/>
      <c r="E225" s="158"/>
      <c r="F225" s="166"/>
      <c r="G225" s="161"/>
      <c r="H225" s="161"/>
      <c r="I225" s="162"/>
      <c r="J225" s="163"/>
      <c r="K225" s="163"/>
      <c r="L225" s="163"/>
      <c r="M225" s="160"/>
      <c r="N225" s="162"/>
      <c r="O225" s="164"/>
      <c r="P225" s="140"/>
      <c r="Q225" s="191"/>
      <c r="R225" s="165"/>
      <c r="S225" s="165"/>
      <c r="T225" s="166"/>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customHeight="1">
      <c r="A226" s="189"/>
      <c r="B226" s="190"/>
      <c r="C226" s="157"/>
      <c r="D226" s="157"/>
      <c r="E226" s="158"/>
      <c r="F226" s="166"/>
      <c r="G226" s="161"/>
      <c r="H226" s="161"/>
      <c r="I226" s="162"/>
      <c r="J226" s="163"/>
      <c r="K226" s="163"/>
      <c r="L226" s="163"/>
      <c r="M226" s="160"/>
      <c r="N226" s="162"/>
      <c r="O226" s="164"/>
      <c r="P226" s="140"/>
      <c r="Q226" s="191"/>
      <c r="R226" s="165"/>
      <c r="S226" s="165"/>
      <c r="T226" s="166"/>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customHeight="1">
      <c r="A227" s="189"/>
      <c r="B227" s="190"/>
      <c r="C227" s="157"/>
      <c r="D227" s="157"/>
      <c r="E227" s="158"/>
      <c r="F227" s="166"/>
      <c r="G227" s="161"/>
      <c r="H227" s="161"/>
      <c r="I227" s="162"/>
      <c r="J227" s="163"/>
      <c r="K227" s="163"/>
      <c r="L227" s="163"/>
      <c r="M227" s="160"/>
      <c r="N227" s="162"/>
      <c r="O227" s="164"/>
      <c r="P227" s="140"/>
      <c r="Q227" s="191"/>
      <c r="R227" s="165"/>
      <c r="S227" s="165"/>
      <c r="T227" s="166"/>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customHeight="1">
      <c r="A228" s="189"/>
      <c r="B228" s="190"/>
      <c r="C228" s="157"/>
      <c r="D228" s="157"/>
      <c r="E228" s="158"/>
      <c r="F228" s="166"/>
      <c r="G228" s="161"/>
      <c r="H228" s="161"/>
      <c r="I228" s="162"/>
      <c r="J228" s="163"/>
      <c r="K228" s="163"/>
      <c r="L228" s="163"/>
      <c r="M228" s="160"/>
      <c r="N228" s="162"/>
      <c r="O228" s="164"/>
      <c r="P228" s="140"/>
      <c r="Q228" s="191"/>
      <c r="R228" s="165"/>
      <c r="S228" s="165"/>
      <c r="T228" s="166"/>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customHeight="1">
      <c r="A229" s="189"/>
      <c r="B229" s="190"/>
      <c r="C229" s="157"/>
      <c r="D229" s="157"/>
      <c r="E229" s="158"/>
      <c r="F229" s="166"/>
      <c r="G229" s="161"/>
      <c r="H229" s="161"/>
      <c r="I229" s="162"/>
      <c r="J229" s="163"/>
      <c r="K229" s="163"/>
      <c r="L229" s="163"/>
      <c r="M229" s="160"/>
      <c r="N229" s="162"/>
      <c r="O229" s="164"/>
      <c r="P229" s="140"/>
      <c r="Q229" s="191"/>
      <c r="R229" s="165"/>
      <c r="S229" s="165"/>
      <c r="T229" s="166"/>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customHeight="1">
      <c r="A230" s="189"/>
      <c r="B230" s="190"/>
      <c r="C230" s="157"/>
      <c r="D230" s="157"/>
      <c r="E230" s="158"/>
      <c r="F230" s="166"/>
      <c r="G230" s="161"/>
      <c r="H230" s="161"/>
      <c r="I230" s="162"/>
      <c r="J230" s="163"/>
      <c r="K230" s="163"/>
      <c r="L230" s="163"/>
      <c r="M230" s="160"/>
      <c r="N230" s="162"/>
      <c r="O230" s="164"/>
      <c r="P230" s="140"/>
      <c r="Q230" s="191"/>
      <c r="R230" s="165"/>
      <c r="S230" s="165"/>
      <c r="T230" s="166"/>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customHeight="1">
      <c r="A231" s="189"/>
      <c r="B231" s="190"/>
      <c r="C231" s="157"/>
      <c r="D231" s="157"/>
      <c r="E231" s="158"/>
      <c r="F231" s="166"/>
      <c r="G231" s="161"/>
      <c r="H231" s="161"/>
      <c r="I231" s="162"/>
      <c r="J231" s="163"/>
      <c r="K231" s="163"/>
      <c r="L231" s="163"/>
      <c r="M231" s="160"/>
      <c r="N231" s="162"/>
      <c r="O231" s="164"/>
      <c r="P231" s="140"/>
      <c r="Q231" s="191"/>
      <c r="R231" s="165"/>
      <c r="S231" s="165"/>
      <c r="T231" s="166"/>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customHeight="1">
      <c r="A232" s="189"/>
      <c r="B232" s="190"/>
      <c r="C232" s="157"/>
      <c r="D232" s="157"/>
      <c r="E232" s="158"/>
      <c r="F232" s="166"/>
      <c r="G232" s="161"/>
      <c r="H232" s="161"/>
      <c r="I232" s="162"/>
      <c r="J232" s="163"/>
      <c r="K232" s="163"/>
      <c r="L232" s="163"/>
      <c r="M232" s="160"/>
      <c r="N232" s="162"/>
      <c r="O232" s="164"/>
      <c r="P232" s="140"/>
      <c r="Q232" s="191"/>
      <c r="R232" s="165"/>
      <c r="S232" s="165"/>
      <c r="T232" s="166"/>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customHeight="1">
      <c r="A233" s="189"/>
      <c r="B233" s="190"/>
      <c r="C233" s="157"/>
      <c r="D233" s="157"/>
      <c r="E233" s="158"/>
      <c r="F233" s="166"/>
      <c r="G233" s="161"/>
      <c r="H233" s="161"/>
      <c r="I233" s="162"/>
      <c r="J233" s="163"/>
      <c r="K233" s="163"/>
      <c r="L233" s="163"/>
      <c r="M233" s="160"/>
      <c r="N233" s="162"/>
      <c r="O233" s="164"/>
      <c r="P233" s="140"/>
      <c r="Q233" s="191"/>
      <c r="R233" s="165"/>
      <c r="S233" s="165"/>
      <c r="T233" s="166"/>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customHeight="1">
      <c r="A234" s="189"/>
      <c r="B234" s="190"/>
      <c r="C234" s="157"/>
      <c r="D234" s="157"/>
      <c r="E234" s="158"/>
      <c r="F234" s="166"/>
      <c r="G234" s="161"/>
      <c r="H234" s="161"/>
      <c r="I234" s="162"/>
      <c r="J234" s="163"/>
      <c r="K234" s="163"/>
      <c r="L234" s="163"/>
      <c r="M234" s="160"/>
      <c r="N234" s="162"/>
      <c r="O234" s="164"/>
      <c r="P234" s="140"/>
      <c r="Q234" s="191"/>
      <c r="R234" s="165"/>
      <c r="S234" s="165"/>
      <c r="T234" s="166"/>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customHeight="1">
      <c r="A235" s="189"/>
      <c r="B235" s="190"/>
      <c r="C235" s="157"/>
      <c r="D235" s="157"/>
      <c r="E235" s="158"/>
      <c r="F235" s="166"/>
      <c r="G235" s="161"/>
      <c r="H235" s="161"/>
      <c r="I235" s="162"/>
      <c r="J235" s="163"/>
      <c r="K235" s="163"/>
      <c r="L235" s="163"/>
      <c r="M235" s="160"/>
      <c r="N235" s="162"/>
      <c r="O235" s="164"/>
      <c r="P235" s="140"/>
      <c r="Q235" s="191"/>
      <c r="R235" s="165"/>
      <c r="S235" s="165"/>
      <c r="T235" s="166"/>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customHeight="1">
      <c r="A236" s="189"/>
      <c r="B236" s="190"/>
      <c r="C236" s="157"/>
      <c r="D236" s="157"/>
      <c r="E236" s="158"/>
      <c r="F236" s="166"/>
      <c r="G236" s="161"/>
      <c r="H236" s="161"/>
      <c r="I236" s="162"/>
      <c r="J236" s="163"/>
      <c r="K236" s="163"/>
      <c r="L236" s="163"/>
      <c r="M236" s="160"/>
      <c r="N236" s="162"/>
      <c r="O236" s="164"/>
      <c r="P236" s="140"/>
      <c r="Q236" s="191"/>
      <c r="R236" s="165"/>
      <c r="S236" s="165"/>
      <c r="T236" s="166"/>
      <c r="U236" s="140"/>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customHeight="1">
      <c r="A237" s="189"/>
      <c r="B237" s="190"/>
      <c r="C237" s="157"/>
      <c r="D237" s="157"/>
      <c r="E237" s="158"/>
      <c r="F237" s="166"/>
      <c r="G237" s="161"/>
      <c r="H237" s="161"/>
      <c r="I237" s="162"/>
      <c r="J237" s="163"/>
      <c r="K237" s="163"/>
      <c r="L237" s="163"/>
      <c r="M237" s="160"/>
      <c r="N237" s="162"/>
      <c r="O237" s="164"/>
      <c r="P237" s="140"/>
      <c r="Q237" s="191"/>
      <c r="R237" s="165"/>
      <c r="S237" s="165"/>
      <c r="T237" s="166"/>
      <c r="U237" s="140"/>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customHeight="1">
      <c r="A238" s="189"/>
      <c r="B238" s="190"/>
      <c r="C238" s="157"/>
      <c r="D238" s="157"/>
      <c r="E238" s="158"/>
      <c r="F238" s="166"/>
      <c r="G238" s="161"/>
      <c r="H238" s="161"/>
      <c r="I238" s="162"/>
      <c r="J238" s="163"/>
      <c r="K238" s="163"/>
      <c r="L238" s="163"/>
      <c r="M238" s="160"/>
      <c r="N238" s="162"/>
      <c r="O238" s="164"/>
      <c r="P238" s="140"/>
      <c r="Q238" s="191"/>
      <c r="R238" s="165"/>
      <c r="S238" s="165"/>
      <c r="T238" s="166"/>
      <c r="U238" s="140"/>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customHeight="1">
      <c r="A239" s="189"/>
      <c r="B239" s="190"/>
      <c r="C239" s="157"/>
      <c r="D239" s="157"/>
      <c r="E239" s="158"/>
      <c r="F239" s="166"/>
      <c r="G239" s="161"/>
      <c r="H239" s="161"/>
      <c r="I239" s="162"/>
      <c r="J239" s="163"/>
      <c r="K239" s="163"/>
      <c r="L239" s="163"/>
      <c r="M239" s="160"/>
      <c r="N239" s="162"/>
      <c r="O239" s="164"/>
      <c r="P239" s="140"/>
      <c r="Q239" s="191"/>
      <c r="R239" s="165"/>
      <c r="S239" s="165"/>
      <c r="T239" s="166"/>
      <c r="U239" s="140"/>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customHeight="1">
      <c r="A240" s="189"/>
      <c r="B240" s="190"/>
      <c r="C240" s="157"/>
      <c r="D240" s="157"/>
      <c r="E240" s="158"/>
      <c r="F240" s="166"/>
      <c r="G240" s="161"/>
      <c r="H240" s="161"/>
      <c r="I240" s="162"/>
      <c r="J240" s="163"/>
      <c r="K240" s="163"/>
      <c r="L240" s="163"/>
      <c r="M240" s="160"/>
      <c r="N240" s="162"/>
      <c r="O240" s="164"/>
      <c r="P240" s="140"/>
      <c r="Q240" s="191"/>
      <c r="R240" s="165"/>
      <c r="S240" s="165"/>
      <c r="T240" s="166"/>
      <c r="U240" s="140"/>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customHeight="1">
      <c r="A241" s="189"/>
      <c r="B241" s="190"/>
      <c r="C241" s="157"/>
      <c r="D241" s="157"/>
      <c r="E241" s="158"/>
      <c r="F241" s="166"/>
      <c r="G241" s="161"/>
      <c r="H241" s="161"/>
      <c r="I241" s="162"/>
      <c r="J241" s="163"/>
      <c r="K241" s="163"/>
      <c r="L241" s="163"/>
      <c r="M241" s="160"/>
      <c r="N241" s="162"/>
      <c r="O241" s="164"/>
      <c r="P241" s="140"/>
      <c r="Q241" s="191"/>
      <c r="R241" s="165"/>
      <c r="S241" s="165"/>
      <c r="T241" s="166"/>
      <c r="U241" s="140"/>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customHeight="1">
      <c r="A242" s="189"/>
      <c r="B242" s="190"/>
      <c r="C242" s="157"/>
      <c r="D242" s="157"/>
      <c r="E242" s="158"/>
      <c r="F242" s="166"/>
      <c r="G242" s="161"/>
      <c r="H242" s="161"/>
      <c r="I242" s="162"/>
      <c r="J242" s="163"/>
      <c r="K242" s="163"/>
      <c r="L242" s="163"/>
      <c r="M242" s="160"/>
      <c r="N242" s="162"/>
      <c r="O242" s="164"/>
      <c r="P242" s="140"/>
      <c r="Q242" s="191"/>
      <c r="R242" s="165"/>
      <c r="S242" s="165"/>
      <c r="T242" s="166"/>
      <c r="U242" s="140"/>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customHeight="1">
      <c r="A243" s="189"/>
      <c r="B243" s="190"/>
      <c r="C243" s="157"/>
      <c r="D243" s="157"/>
      <c r="E243" s="158"/>
      <c r="F243" s="166"/>
      <c r="G243" s="161"/>
      <c r="H243" s="161"/>
      <c r="I243" s="162"/>
      <c r="J243" s="163"/>
      <c r="K243" s="163"/>
      <c r="L243" s="163"/>
      <c r="M243" s="160"/>
      <c r="N243" s="162"/>
      <c r="O243" s="164"/>
      <c r="P243" s="140"/>
      <c r="Q243" s="191"/>
      <c r="R243" s="165"/>
      <c r="S243" s="165"/>
      <c r="T243" s="166"/>
      <c r="U243" s="140"/>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customHeight="1">
      <c r="A244" s="189"/>
      <c r="B244" s="190"/>
      <c r="C244" s="157"/>
      <c r="D244" s="157"/>
      <c r="E244" s="158"/>
      <c r="F244" s="166"/>
      <c r="G244" s="161"/>
      <c r="H244" s="161"/>
      <c r="I244" s="162"/>
      <c r="J244" s="163"/>
      <c r="K244" s="163"/>
      <c r="L244" s="163"/>
      <c r="M244" s="160"/>
      <c r="N244" s="162"/>
      <c r="O244" s="164"/>
      <c r="P244" s="140"/>
      <c r="Q244" s="191"/>
      <c r="R244" s="165"/>
      <c r="S244" s="165"/>
      <c r="T244" s="166"/>
      <c r="U244" s="140"/>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customHeight="1">
      <c r="A245" s="189"/>
      <c r="B245" s="190"/>
      <c r="C245" s="157"/>
      <c r="D245" s="157"/>
      <c r="E245" s="158"/>
      <c r="F245" s="166"/>
      <c r="G245" s="161"/>
      <c r="H245" s="161"/>
      <c r="I245" s="162"/>
      <c r="J245" s="163"/>
      <c r="K245" s="163"/>
      <c r="L245" s="163"/>
      <c r="M245" s="160"/>
      <c r="N245" s="162"/>
      <c r="O245" s="164"/>
      <c r="P245" s="140"/>
      <c r="Q245" s="191"/>
      <c r="R245" s="165"/>
      <c r="S245" s="165"/>
      <c r="T245" s="166"/>
      <c r="U245" s="140"/>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customHeight="1">
      <c r="A246" s="189"/>
      <c r="B246" s="190"/>
      <c r="C246" s="157"/>
      <c r="D246" s="157"/>
      <c r="E246" s="158"/>
      <c r="F246" s="166"/>
      <c r="G246" s="161"/>
      <c r="H246" s="161"/>
      <c r="I246" s="162"/>
      <c r="J246" s="163"/>
      <c r="K246" s="163"/>
      <c r="L246" s="163"/>
      <c r="M246" s="160"/>
      <c r="N246" s="162"/>
      <c r="O246" s="164"/>
      <c r="P246" s="140"/>
      <c r="Q246" s="191"/>
      <c r="R246" s="165"/>
      <c r="S246" s="165"/>
      <c r="T246" s="166"/>
      <c r="U246" s="140"/>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customHeight="1">
      <c r="A247" s="189"/>
      <c r="B247" s="190"/>
      <c r="C247" s="157"/>
      <c r="D247" s="157"/>
      <c r="E247" s="158"/>
      <c r="F247" s="166"/>
      <c r="G247" s="161"/>
      <c r="H247" s="161"/>
      <c r="I247" s="162"/>
      <c r="J247" s="163"/>
      <c r="K247" s="163"/>
      <c r="L247" s="163"/>
      <c r="M247" s="160"/>
      <c r="N247" s="162"/>
      <c r="O247" s="164"/>
      <c r="P247" s="140"/>
      <c r="Q247" s="191"/>
      <c r="R247" s="165"/>
      <c r="S247" s="165"/>
      <c r="T247" s="166"/>
      <c r="U247" s="140"/>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customHeight="1">
      <c r="A248" s="189"/>
      <c r="B248" s="190"/>
      <c r="C248" s="157"/>
      <c r="D248" s="157"/>
      <c r="E248" s="158"/>
      <c r="F248" s="166"/>
      <c r="G248" s="161"/>
      <c r="H248" s="161"/>
      <c r="I248" s="162"/>
      <c r="J248" s="163"/>
      <c r="K248" s="163"/>
      <c r="L248" s="163"/>
      <c r="M248" s="160"/>
      <c r="N248" s="162"/>
      <c r="O248" s="164"/>
      <c r="P248" s="140"/>
      <c r="Q248" s="191"/>
      <c r="R248" s="165"/>
      <c r="S248" s="165"/>
      <c r="T248" s="166"/>
      <c r="U248" s="140"/>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customHeight="1">
      <c r="A249" s="189"/>
      <c r="B249" s="190"/>
      <c r="C249" s="157"/>
      <c r="D249" s="157"/>
      <c r="E249" s="158"/>
      <c r="F249" s="166"/>
      <c r="G249" s="161"/>
      <c r="H249" s="161"/>
      <c r="I249" s="162"/>
      <c r="J249" s="163"/>
      <c r="K249" s="163"/>
      <c r="L249" s="163"/>
      <c r="M249" s="160"/>
      <c r="N249" s="162"/>
      <c r="O249" s="164"/>
      <c r="P249" s="140"/>
      <c r="Q249" s="191"/>
      <c r="R249" s="165"/>
      <c r="S249" s="165"/>
      <c r="T249" s="166"/>
      <c r="U249" s="140"/>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customHeight="1">
      <c r="A250" s="189"/>
      <c r="B250" s="190"/>
      <c r="C250" s="157"/>
      <c r="D250" s="157"/>
      <c r="E250" s="158"/>
      <c r="F250" s="166"/>
      <c r="G250" s="161"/>
      <c r="H250" s="161"/>
      <c r="I250" s="162"/>
      <c r="J250" s="163"/>
      <c r="K250" s="163"/>
      <c r="L250" s="163"/>
      <c r="M250" s="160"/>
      <c r="N250" s="162"/>
      <c r="O250" s="164"/>
      <c r="P250" s="140"/>
      <c r="Q250" s="191"/>
      <c r="R250" s="165"/>
      <c r="S250" s="165"/>
      <c r="T250" s="166"/>
      <c r="U250" s="140"/>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customHeight="1">
      <c r="A251" s="189"/>
      <c r="B251" s="190"/>
      <c r="C251" s="157"/>
      <c r="D251" s="157"/>
      <c r="E251" s="158"/>
      <c r="F251" s="166"/>
      <c r="G251" s="161"/>
      <c r="H251" s="161"/>
      <c r="I251" s="162"/>
      <c r="J251" s="163"/>
      <c r="K251" s="163"/>
      <c r="L251" s="163"/>
      <c r="M251" s="160"/>
      <c r="N251" s="162"/>
      <c r="O251" s="164"/>
      <c r="P251" s="140"/>
      <c r="Q251" s="191"/>
      <c r="R251" s="165"/>
      <c r="S251" s="165"/>
      <c r="T251" s="166"/>
      <c r="U251" s="140"/>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customHeight="1">
      <c r="A252" s="189"/>
      <c r="B252" s="190"/>
      <c r="C252" s="157"/>
      <c r="D252" s="157"/>
      <c r="E252" s="158"/>
      <c r="F252" s="166"/>
      <c r="G252" s="161"/>
      <c r="H252" s="161"/>
      <c r="I252" s="162"/>
      <c r="J252" s="163"/>
      <c r="K252" s="163"/>
      <c r="L252" s="163"/>
      <c r="M252" s="160"/>
      <c r="N252" s="162"/>
      <c r="O252" s="164"/>
      <c r="P252" s="140"/>
      <c r="Q252" s="191"/>
      <c r="R252" s="165"/>
      <c r="S252" s="165"/>
      <c r="T252" s="166"/>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customHeight="1">
      <c r="A253" s="189"/>
      <c r="B253" s="190"/>
      <c r="C253" s="157"/>
      <c r="D253" s="157"/>
      <c r="E253" s="158"/>
      <c r="F253" s="166"/>
      <c r="G253" s="161"/>
      <c r="H253" s="161"/>
      <c r="I253" s="162"/>
      <c r="J253" s="163"/>
      <c r="K253" s="163"/>
      <c r="L253" s="163"/>
      <c r="M253" s="160"/>
      <c r="N253" s="162"/>
      <c r="O253" s="164"/>
      <c r="P253" s="140"/>
      <c r="Q253" s="191"/>
      <c r="R253" s="165"/>
      <c r="S253" s="165"/>
      <c r="T253" s="166"/>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customHeight="1">
      <c r="A254" s="189"/>
      <c r="B254" s="190"/>
      <c r="C254" s="157"/>
      <c r="D254" s="157"/>
      <c r="E254" s="158"/>
      <c r="F254" s="166"/>
      <c r="G254" s="161"/>
      <c r="H254" s="161"/>
      <c r="I254" s="162"/>
      <c r="J254" s="163"/>
      <c r="K254" s="163"/>
      <c r="L254" s="163"/>
      <c r="M254" s="160"/>
      <c r="N254" s="162"/>
      <c r="O254" s="164"/>
      <c r="P254" s="140"/>
      <c r="Q254" s="191"/>
      <c r="R254" s="165"/>
      <c r="S254" s="165"/>
      <c r="T254" s="166"/>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customHeight="1">
      <c r="A255" s="189"/>
      <c r="B255" s="190"/>
      <c r="C255" s="157"/>
      <c r="D255" s="157"/>
      <c r="E255" s="158"/>
      <c r="F255" s="166"/>
      <c r="G255" s="161"/>
      <c r="H255" s="161"/>
      <c r="I255" s="162"/>
      <c r="J255" s="163"/>
      <c r="K255" s="163"/>
      <c r="L255" s="163"/>
      <c r="M255" s="160"/>
      <c r="N255" s="162"/>
      <c r="O255" s="164"/>
      <c r="P255" s="140"/>
      <c r="Q255" s="191"/>
      <c r="R255" s="165"/>
      <c r="S255" s="165"/>
      <c r="T255" s="166"/>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customHeight="1">
      <c r="A256" s="189"/>
      <c r="B256" s="190"/>
      <c r="C256" s="157"/>
      <c r="D256" s="157"/>
      <c r="E256" s="158"/>
      <c r="F256" s="166"/>
      <c r="G256" s="161"/>
      <c r="H256" s="161"/>
      <c r="I256" s="162"/>
      <c r="J256" s="163"/>
      <c r="K256" s="163"/>
      <c r="L256" s="163"/>
      <c r="M256" s="160"/>
      <c r="N256" s="162"/>
      <c r="O256" s="164"/>
      <c r="P256" s="140"/>
      <c r="Q256" s="191"/>
      <c r="R256" s="165"/>
      <c r="S256" s="165"/>
      <c r="T256" s="166"/>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customHeight="1">
      <c r="A257" s="189"/>
      <c r="B257" s="190"/>
      <c r="C257" s="157"/>
      <c r="D257" s="157"/>
      <c r="E257" s="158"/>
      <c r="F257" s="166"/>
      <c r="G257" s="161"/>
      <c r="H257" s="161"/>
      <c r="I257" s="162"/>
      <c r="J257" s="163"/>
      <c r="K257" s="163"/>
      <c r="L257" s="163"/>
      <c r="M257" s="160"/>
      <c r="N257" s="162"/>
      <c r="O257" s="164"/>
      <c r="P257" s="140"/>
      <c r="Q257" s="191"/>
      <c r="R257" s="165"/>
      <c r="S257" s="165"/>
      <c r="T257" s="166"/>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customHeight="1">
      <c r="A258" s="189"/>
      <c r="B258" s="190"/>
      <c r="C258" s="157"/>
      <c r="D258" s="157"/>
      <c r="E258" s="158"/>
      <c r="F258" s="166"/>
      <c r="G258" s="161"/>
      <c r="H258" s="161"/>
      <c r="I258" s="162"/>
      <c r="J258" s="163"/>
      <c r="K258" s="163"/>
      <c r="L258" s="163"/>
      <c r="M258" s="160"/>
      <c r="N258" s="162"/>
      <c r="O258" s="164"/>
      <c r="P258" s="140"/>
      <c r="Q258" s="191"/>
      <c r="R258" s="165"/>
      <c r="S258" s="165"/>
      <c r="T258" s="166"/>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customHeight="1">
      <c r="A259" s="189"/>
      <c r="B259" s="190"/>
      <c r="C259" s="157"/>
      <c r="D259" s="157"/>
      <c r="E259" s="158"/>
      <c r="F259" s="166"/>
      <c r="G259" s="161"/>
      <c r="H259" s="161"/>
      <c r="I259" s="162"/>
      <c r="J259" s="163"/>
      <c r="K259" s="163"/>
      <c r="L259" s="163"/>
      <c r="M259" s="160"/>
      <c r="N259" s="162"/>
      <c r="O259" s="164"/>
      <c r="P259" s="140"/>
      <c r="Q259" s="191"/>
      <c r="R259" s="165"/>
      <c r="S259" s="165"/>
      <c r="T259" s="166"/>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customHeight="1">
      <c r="A260" s="189"/>
      <c r="B260" s="190"/>
      <c r="C260" s="157"/>
      <c r="D260" s="157"/>
      <c r="E260" s="158"/>
      <c r="F260" s="166"/>
      <c r="G260" s="161"/>
      <c r="H260" s="161"/>
      <c r="I260" s="162"/>
      <c r="J260" s="163"/>
      <c r="K260" s="163"/>
      <c r="L260" s="163"/>
      <c r="M260" s="160"/>
      <c r="N260" s="162"/>
      <c r="O260" s="164"/>
      <c r="P260" s="140"/>
      <c r="Q260" s="191"/>
      <c r="R260" s="165"/>
      <c r="S260" s="165"/>
      <c r="T260" s="166"/>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customHeight="1">
      <c r="A261" s="189"/>
      <c r="B261" s="190"/>
      <c r="C261" s="157"/>
      <c r="D261" s="157"/>
      <c r="E261" s="158"/>
      <c r="F261" s="166"/>
      <c r="G261" s="161"/>
      <c r="H261" s="161"/>
      <c r="I261" s="162"/>
      <c r="J261" s="163"/>
      <c r="K261" s="163"/>
      <c r="L261" s="163"/>
      <c r="M261" s="160"/>
      <c r="N261" s="162"/>
      <c r="O261" s="164"/>
      <c r="P261" s="140"/>
      <c r="Q261" s="191"/>
      <c r="R261" s="165"/>
      <c r="S261" s="165"/>
      <c r="T261" s="166"/>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customHeight="1">
      <c r="A262" s="189"/>
      <c r="B262" s="190"/>
      <c r="C262" s="157"/>
      <c r="D262" s="157"/>
      <c r="E262" s="158"/>
      <c r="F262" s="166"/>
      <c r="G262" s="161"/>
      <c r="H262" s="161"/>
      <c r="I262" s="162"/>
      <c r="J262" s="163"/>
      <c r="K262" s="163"/>
      <c r="L262" s="163"/>
      <c r="M262" s="160"/>
      <c r="N262" s="162"/>
      <c r="O262" s="164"/>
      <c r="P262" s="140"/>
      <c r="Q262" s="191"/>
      <c r="R262" s="165"/>
      <c r="S262" s="165"/>
      <c r="T262" s="166"/>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customHeight="1">
      <c r="A263" s="189"/>
      <c r="B263" s="190"/>
      <c r="C263" s="157"/>
      <c r="D263" s="157"/>
      <c r="E263" s="158"/>
      <c r="F263" s="166"/>
      <c r="G263" s="161"/>
      <c r="H263" s="161"/>
      <c r="I263" s="162"/>
      <c r="J263" s="163"/>
      <c r="K263" s="163"/>
      <c r="L263" s="163"/>
      <c r="M263" s="160"/>
      <c r="N263" s="162"/>
      <c r="O263" s="164"/>
      <c r="P263" s="140"/>
      <c r="Q263" s="191"/>
      <c r="R263" s="165"/>
      <c r="S263" s="165"/>
      <c r="T263" s="166"/>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customHeight="1">
      <c r="A264" s="189"/>
      <c r="B264" s="190"/>
      <c r="C264" s="157"/>
      <c r="D264" s="157"/>
      <c r="E264" s="158"/>
      <c r="F264" s="166"/>
      <c r="G264" s="161"/>
      <c r="H264" s="161"/>
      <c r="I264" s="162"/>
      <c r="J264" s="163"/>
      <c r="K264" s="163"/>
      <c r="L264" s="163"/>
      <c r="M264" s="160"/>
      <c r="N264" s="162"/>
      <c r="O264" s="164"/>
      <c r="P264" s="140"/>
      <c r="Q264" s="191"/>
      <c r="R264" s="165"/>
      <c r="S264" s="165"/>
      <c r="T264" s="166"/>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customHeight="1">
      <c r="A265" s="189"/>
      <c r="B265" s="190"/>
      <c r="C265" s="157"/>
      <c r="D265" s="157"/>
      <c r="E265" s="158"/>
      <c r="F265" s="166"/>
      <c r="G265" s="161"/>
      <c r="H265" s="161"/>
      <c r="I265" s="162"/>
      <c r="J265" s="163"/>
      <c r="K265" s="163"/>
      <c r="L265" s="163"/>
      <c r="M265" s="160"/>
      <c r="N265" s="162"/>
      <c r="O265" s="164"/>
      <c r="P265" s="140"/>
      <c r="Q265" s="191"/>
      <c r="R265" s="165"/>
      <c r="S265" s="165"/>
      <c r="T265" s="166"/>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customHeight="1">
      <c r="A266" s="189"/>
      <c r="B266" s="190"/>
      <c r="C266" s="157"/>
      <c r="D266" s="157"/>
      <c r="E266" s="158"/>
      <c r="F266" s="166"/>
      <c r="G266" s="161"/>
      <c r="H266" s="161"/>
      <c r="I266" s="162"/>
      <c r="J266" s="163"/>
      <c r="K266" s="163"/>
      <c r="L266" s="163"/>
      <c r="M266" s="160"/>
      <c r="N266" s="162"/>
      <c r="O266" s="164"/>
      <c r="P266" s="140"/>
      <c r="Q266" s="191"/>
      <c r="R266" s="165"/>
      <c r="S266" s="165"/>
      <c r="T266" s="166"/>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customHeight="1">
      <c r="A267" s="189"/>
      <c r="B267" s="190"/>
      <c r="C267" s="157"/>
      <c r="D267" s="157"/>
      <c r="E267" s="158"/>
      <c r="F267" s="166"/>
      <c r="G267" s="161"/>
      <c r="H267" s="161"/>
      <c r="I267" s="162"/>
      <c r="J267" s="163"/>
      <c r="K267" s="163"/>
      <c r="L267" s="163"/>
      <c r="M267" s="160"/>
      <c r="N267" s="162"/>
      <c r="O267" s="164"/>
      <c r="P267" s="140"/>
      <c r="Q267" s="191"/>
      <c r="R267" s="165"/>
      <c r="S267" s="165"/>
      <c r="T267" s="166"/>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customHeight="1">
      <c r="A268" s="189"/>
      <c r="B268" s="190"/>
      <c r="C268" s="157"/>
      <c r="D268" s="157"/>
      <c r="E268" s="158"/>
      <c r="F268" s="166"/>
      <c r="G268" s="161"/>
      <c r="H268" s="161"/>
      <c r="I268" s="162"/>
      <c r="J268" s="163"/>
      <c r="K268" s="163"/>
      <c r="L268" s="163"/>
      <c r="M268" s="160"/>
      <c r="N268" s="162"/>
      <c r="O268" s="164"/>
      <c r="P268" s="140"/>
      <c r="Q268" s="191"/>
      <c r="R268" s="165"/>
      <c r="S268" s="165"/>
      <c r="T268" s="166"/>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customHeight="1">
      <c r="A269" s="189"/>
      <c r="B269" s="190"/>
      <c r="C269" s="157"/>
      <c r="D269" s="157"/>
      <c r="E269" s="158"/>
      <c r="F269" s="166"/>
      <c r="G269" s="161"/>
      <c r="H269" s="161"/>
      <c r="I269" s="162"/>
      <c r="J269" s="163"/>
      <c r="K269" s="163"/>
      <c r="L269" s="163"/>
      <c r="M269" s="160"/>
      <c r="N269" s="162"/>
      <c r="O269" s="164"/>
      <c r="P269" s="140"/>
      <c r="Q269" s="191"/>
      <c r="R269" s="165"/>
      <c r="S269" s="165"/>
      <c r="T269" s="166"/>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customHeight="1">
      <c r="A270" s="189"/>
      <c r="B270" s="190"/>
      <c r="C270" s="157"/>
      <c r="D270" s="157"/>
      <c r="E270" s="158"/>
      <c r="F270" s="166"/>
      <c r="G270" s="161"/>
      <c r="H270" s="161"/>
      <c r="I270" s="162"/>
      <c r="J270" s="163"/>
      <c r="K270" s="163"/>
      <c r="L270" s="163"/>
      <c r="M270" s="160"/>
      <c r="N270" s="162"/>
      <c r="O270" s="164"/>
      <c r="P270" s="140"/>
      <c r="Q270" s="191"/>
      <c r="R270" s="165"/>
      <c r="S270" s="165"/>
      <c r="T270" s="166"/>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customHeight="1">
      <c r="A271" s="189"/>
      <c r="B271" s="190"/>
      <c r="C271" s="157"/>
      <c r="D271" s="157"/>
      <c r="E271" s="158"/>
      <c r="F271" s="166"/>
      <c r="G271" s="161"/>
      <c r="H271" s="161"/>
      <c r="I271" s="162"/>
      <c r="J271" s="163"/>
      <c r="K271" s="163"/>
      <c r="L271" s="163"/>
      <c r="M271" s="160"/>
      <c r="N271" s="162"/>
      <c r="O271" s="164"/>
      <c r="P271" s="140"/>
      <c r="Q271" s="191"/>
      <c r="R271" s="165"/>
      <c r="S271" s="165"/>
      <c r="T271" s="166"/>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customHeight="1">
      <c r="A272" s="189"/>
      <c r="B272" s="190"/>
      <c r="C272" s="157"/>
      <c r="D272" s="157"/>
      <c r="E272" s="158"/>
      <c r="F272" s="166"/>
      <c r="G272" s="161"/>
      <c r="H272" s="161"/>
      <c r="I272" s="162"/>
      <c r="J272" s="163"/>
      <c r="K272" s="163"/>
      <c r="L272" s="163"/>
      <c r="M272" s="160"/>
      <c r="N272" s="162"/>
      <c r="O272" s="164"/>
      <c r="P272" s="140"/>
      <c r="Q272" s="191"/>
      <c r="R272" s="165"/>
      <c r="S272" s="165"/>
      <c r="T272" s="166"/>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customHeight="1">
      <c r="A273" s="189"/>
      <c r="B273" s="190"/>
      <c r="C273" s="157"/>
      <c r="D273" s="157"/>
      <c r="E273" s="158"/>
      <c r="F273" s="166"/>
      <c r="G273" s="161"/>
      <c r="H273" s="161"/>
      <c r="I273" s="162"/>
      <c r="J273" s="163"/>
      <c r="K273" s="163"/>
      <c r="L273" s="163"/>
      <c r="M273" s="160"/>
      <c r="N273" s="162"/>
      <c r="O273" s="164"/>
      <c r="P273" s="140"/>
      <c r="Q273" s="191"/>
      <c r="R273" s="165"/>
      <c r="S273" s="165"/>
      <c r="T273" s="166"/>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customHeight="1">
      <c r="A274" s="189"/>
      <c r="B274" s="190"/>
      <c r="C274" s="157"/>
      <c r="D274" s="157"/>
      <c r="E274" s="158"/>
      <c r="F274" s="166"/>
      <c r="G274" s="161"/>
      <c r="H274" s="161"/>
      <c r="I274" s="162"/>
      <c r="J274" s="163"/>
      <c r="K274" s="163"/>
      <c r="L274" s="163"/>
      <c r="M274" s="160"/>
      <c r="N274" s="162"/>
      <c r="O274" s="164"/>
      <c r="P274" s="140"/>
      <c r="Q274" s="191"/>
      <c r="R274" s="165"/>
      <c r="S274" s="165"/>
      <c r="T274" s="166"/>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customHeight="1">
      <c r="A275" s="189"/>
      <c r="B275" s="190"/>
      <c r="C275" s="157"/>
      <c r="D275" s="157"/>
      <c r="E275" s="158"/>
      <c r="F275" s="166"/>
      <c r="G275" s="161"/>
      <c r="H275" s="161"/>
      <c r="I275" s="162"/>
      <c r="J275" s="163"/>
      <c r="K275" s="163"/>
      <c r="L275" s="163"/>
      <c r="M275" s="160"/>
      <c r="N275" s="162"/>
      <c r="O275" s="164"/>
      <c r="P275" s="140"/>
      <c r="Q275" s="191"/>
      <c r="R275" s="165"/>
      <c r="S275" s="165"/>
      <c r="T275" s="166"/>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customHeight="1">
      <c r="A276" s="189"/>
      <c r="B276" s="190"/>
      <c r="C276" s="157"/>
      <c r="D276" s="157"/>
      <c r="E276" s="158"/>
      <c r="F276" s="166"/>
      <c r="G276" s="161"/>
      <c r="H276" s="161"/>
      <c r="I276" s="162"/>
      <c r="J276" s="163"/>
      <c r="K276" s="163"/>
      <c r="L276" s="163"/>
      <c r="M276" s="160"/>
      <c r="N276" s="162"/>
      <c r="O276" s="164"/>
      <c r="P276" s="140"/>
      <c r="Q276" s="191"/>
      <c r="R276" s="165"/>
      <c r="S276" s="165"/>
      <c r="T276" s="166"/>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customHeight="1">
      <c r="A277" s="189"/>
      <c r="B277" s="190"/>
      <c r="C277" s="157"/>
      <c r="D277" s="157"/>
      <c r="E277" s="158"/>
      <c r="F277" s="166"/>
      <c r="G277" s="161"/>
      <c r="H277" s="161"/>
      <c r="I277" s="162"/>
      <c r="J277" s="163"/>
      <c r="K277" s="163"/>
      <c r="L277" s="163"/>
      <c r="M277" s="160"/>
      <c r="N277" s="162"/>
      <c r="O277" s="164"/>
      <c r="P277" s="140"/>
      <c r="Q277" s="191"/>
      <c r="R277" s="165"/>
      <c r="S277" s="165"/>
      <c r="T277" s="166"/>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customHeight="1">
      <c r="A278" s="189"/>
      <c r="B278" s="190"/>
      <c r="C278" s="157"/>
      <c r="D278" s="157"/>
      <c r="E278" s="158"/>
      <c r="F278" s="166"/>
      <c r="G278" s="161"/>
      <c r="H278" s="161"/>
      <c r="I278" s="162"/>
      <c r="J278" s="163"/>
      <c r="K278" s="163"/>
      <c r="L278" s="163"/>
      <c r="M278" s="160"/>
      <c r="N278" s="162"/>
      <c r="O278" s="164"/>
      <c r="P278" s="140"/>
      <c r="Q278" s="191"/>
      <c r="R278" s="165"/>
      <c r="S278" s="165"/>
      <c r="T278" s="166"/>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customHeight="1">
      <c r="A279" s="189"/>
      <c r="B279" s="190"/>
      <c r="C279" s="157"/>
      <c r="D279" s="157"/>
      <c r="E279" s="158"/>
      <c r="F279" s="166"/>
      <c r="G279" s="161"/>
      <c r="H279" s="161"/>
      <c r="I279" s="162"/>
      <c r="J279" s="163"/>
      <c r="K279" s="163"/>
      <c r="L279" s="163"/>
      <c r="M279" s="160"/>
      <c r="N279" s="162"/>
      <c r="O279" s="164"/>
      <c r="P279" s="140"/>
      <c r="Q279" s="191"/>
      <c r="R279" s="165"/>
      <c r="S279" s="165"/>
      <c r="T279" s="166"/>
      <c r="U279" s="140"/>
      <c r="V279" s="140"/>
      <c r="W279" s="140"/>
      <c r="X279" s="140"/>
      <c r="Y279" s="140"/>
      <c r="Z279" s="140"/>
      <c r="AA279" s="140"/>
      <c r="AB279" s="140"/>
      <c r="AC279" s="140"/>
      <c r="AD279" s="140"/>
      <c r="AE279" s="140"/>
      <c r="AF279" s="140"/>
      <c r="AG279" s="140"/>
      <c r="AH279" s="140"/>
      <c r="AI279" s="140"/>
      <c r="AJ279" s="140"/>
      <c r="AK279" s="140"/>
      <c r="AL279" s="140"/>
      <c r="AM279" s="140"/>
      <c r="AN279" s="140"/>
      <c r="AO279" s="140"/>
      <c r="AP279" s="140"/>
      <c r="AQ279" s="140"/>
      <c r="AR279" s="140"/>
      <c r="AS279" s="140"/>
      <c r="AT279" s="140"/>
      <c r="AU279" s="140"/>
      <c r="AV279" s="140"/>
      <c r="AW279" s="140"/>
      <c r="AX279" s="140"/>
      <c r="AY279" s="140"/>
      <c r="AZ279" s="140"/>
      <c r="BA279" s="140"/>
      <c r="BB279" s="140"/>
      <c r="BC279" s="140"/>
      <c r="BD279" s="140"/>
      <c r="BE279" s="140"/>
      <c r="BF279" s="140"/>
      <c r="BG279" s="140"/>
      <c r="BH279" s="140"/>
      <c r="BI279" s="140"/>
      <c r="BJ279" s="140"/>
      <c r="BK279" s="140"/>
      <c r="BL279" s="140"/>
      <c r="BM279" s="140"/>
      <c r="BN279" s="140"/>
    </row>
    <row r="280" ht="29.25" customHeight="1">
      <c r="A280" s="189"/>
      <c r="B280" s="190"/>
      <c r="C280" s="157"/>
      <c r="D280" s="157"/>
      <c r="E280" s="158"/>
      <c r="F280" s="166"/>
      <c r="G280" s="161"/>
      <c r="H280" s="161"/>
      <c r="I280" s="162"/>
      <c r="J280" s="163"/>
      <c r="K280" s="163"/>
      <c r="L280" s="163"/>
      <c r="M280" s="160"/>
      <c r="N280" s="162"/>
      <c r="O280" s="164"/>
      <c r="P280" s="140"/>
      <c r="Q280" s="191"/>
      <c r="R280" s="165"/>
      <c r="S280" s="165"/>
      <c r="T280" s="166"/>
      <c r="U280" s="140"/>
      <c r="V280" s="140"/>
      <c r="W280" s="140"/>
      <c r="X280" s="140"/>
      <c r="Y280" s="140"/>
      <c r="Z280" s="140"/>
      <c r="AA280" s="140"/>
      <c r="AB280" s="140"/>
      <c r="AC280" s="140"/>
      <c r="AD280" s="140"/>
      <c r="AE280" s="140"/>
      <c r="AF280" s="140"/>
      <c r="AG280" s="140"/>
      <c r="AH280" s="140"/>
      <c r="AI280" s="140"/>
      <c r="AJ280" s="140"/>
      <c r="AK280" s="140"/>
      <c r="AL280" s="140"/>
      <c r="AM280" s="140"/>
      <c r="AN280" s="140"/>
      <c r="AO280" s="140"/>
      <c r="AP280" s="140"/>
      <c r="AQ280" s="140"/>
      <c r="AR280" s="140"/>
      <c r="AS280" s="140"/>
      <c r="AT280" s="140"/>
      <c r="AU280" s="140"/>
      <c r="AV280" s="140"/>
      <c r="AW280" s="140"/>
      <c r="AX280" s="140"/>
      <c r="AY280" s="140"/>
      <c r="AZ280" s="140"/>
      <c r="BA280" s="140"/>
      <c r="BB280" s="140"/>
      <c r="BC280" s="140"/>
      <c r="BD280" s="140"/>
      <c r="BE280" s="140"/>
      <c r="BF280" s="140"/>
      <c r="BG280" s="140"/>
      <c r="BH280" s="140"/>
      <c r="BI280" s="140"/>
      <c r="BJ280" s="140"/>
      <c r="BK280" s="140"/>
      <c r="BL280" s="140"/>
      <c r="BM280" s="140"/>
      <c r="BN280" s="140"/>
    </row>
    <row r="281" ht="29.25" customHeight="1">
      <c r="A281" s="189"/>
      <c r="B281" s="190"/>
      <c r="C281" s="157"/>
      <c r="D281" s="157"/>
      <c r="E281" s="158"/>
      <c r="F281" s="166"/>
      <c r="G281" s="161"/>
      <c r="H281" s="161"/>
      <c r="I281" s="162"/>
      <c r="J281" s="163"/>
      <c r="K281" s="163"/>
      <c r="L281" s="163"/>
      <c r="M281" s="160"/>
      <c r="N281" s="162"/>
      <c r="O281" s="164"/>
      <c r="P281" s="140"/>
      <c r="Q281" s="191"/>
      <c r="R281" s="165"/>
      <c r="S281" s="165"/>
      <c r="T281" s="166"/>
      <c r="U281" s="140"/>
      <c r="V281" s="140"/>
      <c r="W281" s="140"/>
      <c r="X281" s="140"/>
      <c r="Y281" s="140"/>
      <c r="Z281" s="140"/>
      <c r="AA281" s="140"/>
      <c r="AB281" s="140"/>
      <c r="AC281" s="140"/>
      <c r="AD281" s="140"/>
      <c r="AE281" s="140"/>
      <c r="AF281" s="140"/>
      <c r="AG281" s="140"/>
      <c r="AH281" s="140"/>
      <c r="AI281" s="140"/>
      <c r="AJ281" s="140"/>
      <c r="AK281" s="140"/>
      <c r="AL281" s="140"/>
      <c r="AM281" s="140"/>
      <c r="AN281" s="140"/>
      <c r="AO281" s="140"/>
      <c r="AP281" s="140"/>
      <c r="AQ281" s="140"/>
      <c r="AR281" s="140"/>
      <c r="AS281" s="140"/>
      <c r="AT281" s="140"/>
      <c r="AU281" s="140"/>
      <c r="AV281" s="140"/>
      <c r="AW281" s="140"/>
      <c r="AX281" s="140"/>
      <c r="AY281" s="140"/>
      <c r="AZ281" s="140"/>
      <c r="BA281" s="140"/>
      <c r="BB281" s="140"/>
      <c r="BC281" s="140"/>
      <c r="BD281" s="140"/>
      <c r="BE281" s="140"/>
      <c r="BF281" s="140"/>
      <c r="BG281" s="140"/>
      <c r="BH281" s="140"/>
      <c r="BI281" s="140"/>
      <c r="BJ281" s="140"/>
      <c r="BK281" s="140"/>
      <c r="BL281" s="140"/>
      <c r="BM281" s="140"/>
      <c r="BN281" s="140"/>
    </row>
    <row r="282" ht="29.25" customHeight="1">
      <c r="A282" s="189"/>
      <c r="B282" s="190"/>
      <c r="C282" s="157"/>
      <c r="D282" s="157"/>
      <c r="E282" s="158"/>
      <c r="F282" s="166"/>
      <c r="G282" s="161"/>
      <c r="H282" s="161"/>
      <c r="I282" s="162"/>
      <c r="J282" s="163"/>
      <c r="K282" s="163"/>
      <c r="L282" s="163"/>
      <c r="M282" s="160"/>
      <c r="N282" s="162"/>
      <c r="O282" s="164"/>
      <c r="P282" s="140"/>
      <c r="Q282" s="191"/>
      <c r="R282" s="165"/>
      <c r="S282" s="165"/>
      <c r="T282" s="166"/>
      <c r="U282" s="140"/>
      <c r="V282" s="140"/>
      <c r="W282" s="140"/>
      <c r="X282" s="140"/>
      <c r="Y282" s="140"/>
      <c r="Z282" s="140"/>
      <c r="AA282" s="140"/>
      <c r="AB282" s="140"/>
      <c r="AC282" s="140"/>
      <c r="AD282" s="140"/>
      <c r="AE282" s="140"/>
      <c r="AF282" s="140"/>
      <c r="AG282" s="140"/>
      <c r="AH282" s="140"/>
      <c r="AI282" s="140"/>
      <c r="AJ282" s="140"/>
      <c r="AK282" s="140"/>
      <c r="AL282" s="140"/>
      <c r="AM282" s="140"/>
      <c r="AN282" s="140"/>
      <c r="AO282" s="140"/>
      <c r="AP282" s="140"/>
      <c r="AQ282" s="140"/>
      <c r="AR282" s="140"/>
      <c r="AS282" s="140"/>
      <c r="AT282" s="140"/>
      <c r="AU282" s="140"/>
      <c r="AV282" s="140"/>
      <c r="AW282" s="140"/>
      <c r="AX282" s="140"/>
      <c r="AY282" s="140"/>
      <c r="AZ282" s="140"/>
      <c r="BA282" s="140"/>
      <c r="BB282" s="140"/>
      <c r="BC282" s="140"/>
      <c r="BD282" s="140"/>
      <c r="BE282" s="140"/>
      <c r="BF282" s="140"/>
      <c r="BG282" s="140"/>
      <c r="BH282" s="140"/>
      <c r="BI282" s="140"/>
      <c r="BJ282" s="140"/>
      <c r="BK282" s="140"/>
      <c r="BL282" s="140"/>
      <c r="BM282" s="140"/>
      <c r="BN282" s="140"/>
    </row>
    <row r="283" ht="29.25" customHeight="1">
      <c r="A283" s="189"/>
      <c r="B283" s="190"/>
      <c r="C283" s="157"/>
      <c r="D283" s="157"/>
      <c r="E283" s="158"/>
      <c r="F283" s="166"/>
      <c r="G283" s="161"/>
      <c r="H283" s="161"/>
      <c r="I283" s="162"/>
      <c r="J283" s="163"/>
      <c r="K283" s="163"/>
      <c r="L283" s="163"/>
      <c r="M283" s="160"/>
      <c r="N283" s="162"/>
      <c r="O283" s="164"/>
      <c r="P283" s="140"/>
      <c r="Q283" s="191"/>
      <c r="R283" s="165"/>
      <c r="S283" s="165"/>
      <c r="T283" s="166"/>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92"/>
      <c r="AR283" s="192"/>
      <c r="AS283" s="192"/>
      <c r="AT283" s="192"/>
      <c r="AU283" s="192"/>
      <c r="AV283" s="192"/>
      <c r="AW283" s="192"/>
      <c r="AX283" s="192"/>
      <c r="AY283" s="192"/>
      <c r="AZ283" s="192"/>
      <c r="BA283" s="192"/>
      <c r="BB283" s="192"/>
      <c r="BC283" s="192"/>
      <c r="BD283" s="192"/>
      <c r="BE283" s="192"/>
      <c r="BF283" s="192"/>
      <c r="BG283" s="192"/>
      <c r="BH283" s="192"/>
      <c r="BI283" s="192"/>
      <c r="BJ283" s="192"/>
      <c r="BK283" s="192"/>
      <c r="BL283" s="192"/>
      <c r="BM283" s="192"/>
      <c r="BN283" s="192"/>
    </row>
    <row r="284" ht="29.25" customHeight="1">
      <c r="A284" s="189"/>
      <c r="B284" s="190"/>
      <c r="C284" s="157"/>
      <c r="D284" s="157"/>
      <c r="E284" s="158"/>
      <c r="F284" s="166"/>
      <c r="G284" s="161"/>
      <c r="H284" s="161"/>
      <c r="I284" s="162"/>
      <c r="J284" s="163"/>
      <c r="K284" s="163"/>
      <c r="L284" s="163"/>
      <c r="M284" s="160"/>
      <c r="N284" s="162"/>
      <c r="O284" s="164"/>
      <c r="P284" s="140"/>
      <c r="Q284" s="191"/>
      <c r="R284" s="165"/>
      <c r="S284" s="165"/>
      <c r="T284" s="166"/>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92"/>
      <c r="AR284" s="192"/>
      <c r="AS284" s="192"/>
      <c r="AT284" s="192"/>
      <c r="AU284" s="192"/>
      <c r="AV284" s="192"/>
      <c r="AW284" s="192"/>
      <c r="AX284" s="192"/>
      <c r="AY284" s="192"/>
      <c r="AZ284" s="192"/>
      <c r="BA284" s="192"/>
      <c r="BB284" s="192"/>
      <c r="BC284" s="192"/>
      <c r="BD284" s="192"/>
      <c r="BE284" s="192"/>
      <c r="BF284" s="192"/>
      <c r="BG284" s="192"/>
      <c r="BH284" s="192"/>
      <c r="BI284" s="192"/>
      <c r="BJ284" s="192"/>
      <c r="BK284" s="192"/>
      <c r="BL284" s="192"/>
      <c r="BM284" s="192"/>
      <c r="BN284" s="192"/>
    </row>
    <row r="285" ht="29.25" customHeight="1">
      <c r="A285" s="189"/>
      <c r="B285" s="190"/>
      <c r="C285" s="157"/>
      <c r="D285" s="157"/>
      <c r="E285" s="158"/>
      <c r="F285" s="166"/>
      <c r="G285" s="161"/>
      <c r="H285" s="161"/>
      <c r="I285" s="162"/>
      <c r="J285" s="163"/>
      <c r="K285" s="163"/>
      <c r="L285" s="163"/>
      <c r="M285" s="160"/>
      <c r="N285" s="162"/>
      <c r="O285" s="164"/>
      <c r="P285" s="140"/>
      <c r="Q285" s="191"/>
      <c r="R285" s="165"/>
      <c r="S285" s="165"/>
      <c r="T285" s="166"/>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92"/>
      <c r="AR285" s="192"/>
      <c r="AS285" s="192"/>
      <c r="AT285" s="192"/>
      <c r="AU285" s="192"/>
      <c r="AV285" s="192"/>
      <c r="AW285" s="192"/>
      <c r="AX285" s="192"/>
      <c r="AY285" s="192"/>
      <c r="AZ285" s="192"/>
      <c r="BA285" s="192"/>
      <c r="BB285" s="192"/>
      <c r="BC285" s="192"/>
      <c r="BD285" s="192"/>
      <c r="BE285" s="192"/>
      <c r="BF285" s="192"/>
      <c r="BG285" s="192"/>
      <c r="BH285" s="192"/>
      <c r="BI285" s="192"/>
      <c r="BJ285" s="192"/>
      <c r="BK285" s="192"/>
      <c r="BL285" s="192"/>
      <c r="BM285" s="192"/>
      <c r="BN285" s="192"/>
    </row>
    <row r="286" ht="29.25" customHeight="1">
      <c r="A286" s="189"/>
      <c r="B286" s="190"/>
      <c r="C286" s="157"/>
      <c r="D286" s="157"/>
      <c r="E286" s="158"/>
      <c r="F286" s="166"/>
      <c r="G286" s="161"/>
      <c r="H286" s="161"/>
      <c r="I286" s="162"/>
      <c r="J286" s="163"/>
      <c r="K286" s="163"/>
      <c r="L286" s="163"/>
      <c r="M286" s="160"/>
      <c r="N286" s="162"/>
      <c r="O286" s="164"/>
      <c r="P286" s="140"/>
      <c r="Q286" s="191"/>
      <c r="R286" s="165"/>
      <c r="S286" s="165"/>
      <c r="T286" s="166"/>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92"/>
      <c r="AR286" s="192"/>
      <c r="AS286" s="192"/>
      <c r="AT286" s="192"/>
      <c r="AU286" s="192"/>
      <c r="AV286" s="192"/>
      <c r="AW286" s="192"/>
      <c r="AX286" s="192"/>
      <c r="AY286" s="192"/>
      <c r="AZ286" s="192"/>
      <c r="BA286" s="192"/>
      <c r="BB286" s="192"/>
      <c r="BC286" s="192"/>
      <c r="BD286" s="192"/>
      <c r="BE286" s="192"/>
      <c r="BF286" s="192"/>
      <c r="BG286" s="192"/>
      <c r="BH286" s="192"/>
      <c r="BI286" s="192"/>
      <c r="BJ286" s="192"/>
      <c r="BK286" s="192"/>
      <c r="BL286" s="192"/>
      <c r="BM286" s="192"/>
      <c r="BN286" s="192"/>
    </row>
    <row r="287" ht="29.25" customHeight="1">
      <c r="A287" s="189"/>
      <c r="B287" s="190"/>
      <c r="C287" s="157"/>
      <c r="D287" s="157"/>
      <c r="E287" s="158"/>
      <c r="F287" s="166"/>
      <c r="G287" s="161"/>
      <c r="H287" s="161"/>
      <c r="I287" s="162"/>
      <c r="J287" s="163"/>
      <c r="K287" s="163"/>
      <c r="L287" s="163"/>
      <c r="M287" s="160"/>
      <c r="N287" s="162"/>
      <c r="O287" s="164"/>
      <c r="P287" s="140"/>
      <c r="Q287" s="191"/>
      <c r="R287" s="165"/>
      <c r="S287" s="165"/>
      <c r="T287" s="166"/>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92"/>
      <c r="AR287" s="192"/>
      <c r="AS287" s="192"/>
      <c r="AT287" s="192"/>
      <c r="AU287" s="192"/>
      <c r="AV287" s="192"/>
      <c r="AW287" s="192"/>
      <c r="AX287" s="192"/>
      <c r="AY287" s="192"/>
      <c r="AZ287" s="192"/>
      <c r="BA287" s="192"/>
      <c r="BB287" s="192"/>
      <c r="BC287" s="192"/>
      <c r="BD287" s="192"/>
      <c r="BE287" s="192"/>
      <c r="BF287" s="192"/>
      <c r="BG287" s="192"/>
      <c r="BH287" s="192"/>
      <c r="BI287" s="192"/>
      <c r="BJ287" s="192"/>
      <c r="BK287" s="192"/>
      <c r="BL287" s="192"/>
      <c r="BM287" s="192"/>
      <c r="BN287" s="192"/>
    </row>
    <row r="288" ht="29.25" customHeight="1">
      <c r="A288" s="189"/>
      <c r="B288" s="190"/>
      <c r="C288" s="157"/>
      <c r="D288" s="157"/>
      <c r="E288" s="158"/>
      <c r="F288" s="166"/>
      <c r="G288" s="161"/>
      <c r="H288" s="161"/>
      <c r="I288" s="162"/>
      <c r="J288" s="163"/>
      <c r="K288" s="163"/>
      <c r="L288" s="163"/>
      <c r="M288" s="160"/>
      <c r="N288" s="162"/>
      <c r="O288" s="164"/>
      <c r="P288" s="140"/>
      <c r="Q288" s="191"/>
      <c r="R288" s="165"/>
      <c r="S288" s="165"/>
      <c r="T288" s="166"/>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92"/>
      <c r="AR288" s="192"/>
      <c r="AS288" s="192"/>
      <c r="AT288" s="192"/>
      <c r="AU288" s="192"/>
      <c r="AV288" s="192"/>
      <c r="AW288" s="192"/>
      <c r="AX288" s="192"/>
      <c r="AY288" s="192"/>
      <c r="AZ288" s="192"/>
      <c r="BA288" s="192"/>
      <c r="BB288" s="192"/>
      <c r="BC288" s="192"/>
      <c r="BD288" s="192"/>
      <c r="BE288" s="192"/>
      <c r="BF288" s="192"/>
      <c r="BG288" s="192"/>
      <c r="BH288" s="192"/>
      <c r="BI288" s="192"/>
      <c r="BJ288" s="192"/>
      <c r="BK288" s="192"/>
      <c r="BL288" s="192"/>
      <c r="BM288" s="192"/>
      <c r="BN288" s="192"/>
    </row>
    <row r="289" ht="29.25" customHeight="1">
      <c r="A289" s="189"/>
      <c r="B289" s="190"/>
      <c r="C289" s="157"/>
      <c r="D289" s="157"/>
      <c r="E289" s="158"/>
      <c r="F289" s="166"/>
      <c r="G289" s="161"/>
      <c r="H289" s="161"/>
      <c r="I289" s="162"/>
      <c r="J289" s="163"/>
      <c r="K289" s="163"/>
      <c r="L289" s="163"/>
      <c r="M289" s="160"/>
      <c r="N289" s="162"/>
      <c r="O289" s="164"/>
      <c r="P289" s="140"/>
      <c r="Q289" s="191"/>
      <c r="R289" s="165"/>
      <c r="S289" s="165"/>
      <c r="T289" s="166"/>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92"/>
      <c r="AR289" s="192"/>
      <c r="AS289" s="192"/>
      <c r="AT289" s="192"/>
      <c r="AU289" s="192"/>
      <c r="AV289" s="192"/>
      <c r="AW289" s="192"/>
      <c r="AX289" s="192"/>
      <c r="AY289" s="192"/>
      <c r="AZ289" s="192"/>
      <c r="BA289" s="192"/>
      <c r="BB289" s="192"/>
      <c r="BC289" s="192"/>
      <c r="BD289" s="192"/>
      <c r="BE289" s="192"/>
      <c r="BF289" s="192"/>
      <c r="BG289" s="192"/>
      <c r="BH289" s="192"/>
      <c r="BI289" s="192"/>
      <c r="BJ289" s="192"/>
      <c r="BK289" s="192"/>
      <c r="BL289" s="192"/>
      <c r="BM289" s="192"/>
      <c r="BN289" s="192"/>
    </row>
    <row r="290" ht="29.25" customHeight="1">
      <c r="A290" s="189"/>
      <c r="B290" s="190"/>
      <c r="C290" s="157"/>
      <c r="D290" s="157"/>
      <c r="E290" s="158"/>
      <c r="F290" s="166"/>
      <c r="G290" s="161"/>
      <c r="H290" s="161"/>
      <c r="I290" s="162"/>
      <c r="J290" s="163"/>
      <c r="K290" s="163"/>
      <c r="L290" s="163"/>
      <c r="M290" s="160"/>
      <c r="N290" s="162"/>
      <c r="O290" s="164"/>
      <c r="P290" s="140"/>
      <c r="Q290" s="191"/>
      <c r="R290" s="165"/>
      <c r="S290" s="165"/>
      <c r="T290" s="166"/>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92"/>
      <c r="AR290" s="192"/>
      <c r="AS290" s="192"/>
      <c r="AT290" s="192"/>
      <c r="AU290" s="192"/>
      <c r="AV290" s="192"/>
      <c r="AW290" s="192"/>
      <c r="AX290" s="192"/>
      <c r="AY290" s="192"/>
      <c r="AZ290" s="192"/>
      <c r="BA290" s="192"/>
      <c r="BB290" s="192"/>
      <c r="BC290" s="192"/>
      <c r="BD290" s="192"/>
      <c r="BE290" s="192"/>
      <c r="BF290" s="192"/>
      <c r="BG290" s="192"/>
      <c r="BH290" s="192"/>
      <c r="BI290" s="192"/>
      <c r="BJ290" s="192"/>
      <c r="BK290" s="192"/>
      <c r="BL290" s="192"/>
      <c r="BM290" s="192"/>
      <c r="BN290" s="192"/>
    </row>
    <row r="291" ht="29.25" customHeight="1">
      <c r="A291" s="189"/>
      <c r="B291" s="190"/>
      <c r="C291" s="157"/>
      <c r="D291" s="157"/>
      <c r="E291" s="158"/>
      <c r="F291" s="166"/>
      <c r="G291" s="161"/>
      <c r="H291" s="161"/>
      <c r="I291" s="162"/>
      <c r="J291" s="163"/>
      <c r="K291" s="163"/>
      <c r="L291" s="163"/>
      <c r="M291" s="160"/>
      <c r="N291" s="162"/>
      <c r="O291" s="164"/>
      <c r="P291" s="140"/>
      <c r="Q291" s="191"/>
      <c r="R291" s="165"/>
      <c r="S291" s="165"/>
      <c r="T291" s="166"/>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92"/>
      <c r="AR291" s="192"/>
      <c r="AS291" s="192"/>
      <c r="AT291" s="192"/>
      <c r="AU291" s="192"/>
      <c r="AV291" s="192"/>
      <c r="AW291" s="192"/>
      <c r="AX291" s="192"/>
      <c r="AY291" s="192"/>
      <c r="AZ291" s="192"/>
      <c r="BA291" s="192"/>
      <c r="BB291" s="192"/>
      <c r="BC291" s="192"/>
      <c r="BD291" s="192"/>
      <c r="BE291" s="192"/>
      <c r="BF291" s="192"/>
      <c r="BG291" s="192"/>
      <c r="BH291" s="192"/>
      <c r="BI291" s="192"/>
      <c r="BJ291" s="192"/>
      <c r="BK291" s="192"/>
      <c r="BL291" s="192"/>
      <c r="BM291" s="192"/>
      <c r="BN291" s="192"/>
    </row>
    <row r="292" ht="29.25" customHeight="1">
      <c r="A292" s="189"/>
      <c r="B292" s="190"/>
      <c r="C292" s="157"/>
      <c r="D292" s="157"/>
      <c r="E292" s="158"/>
      <c r="F292" s="166"/>
      <c r="G292" s="161"/>
      <c r="H292" s="161"/>
      <c r="I292" s="162"/>
      <c r="J292" s="163"/>
      <c r="K292" s="163"/>
      <c r="L292" s="163"/>
      <c r="M292" s="160"/>
      <c r="N292" s="162"/>
      <c r="O292" s="164"/>
      <c r="P292" s="140"/>
      <c r="Q292" s="191"/>
      <c r="R292" s="165"/>
      <c r="S292" s="165"/>
      <c r="T292" s="166"/>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92"/>
      <c r="AR292" s="192"/>
      <c r="AS292" s="192"/>
      <c r="AT292" s="192"/>
      <c r="AU292" s="192"/>
      <c r="AV292" s="192"/>
      <c r="AW292" s="192"/>
      <c r="AX292" s="192"/>
      <c r="AY292" s="192"/>
      <c r="AZ292" s="192"/>
      <c r="BA292" s="192"/>
      <c r="BB292" s="192"/>
      <c r="BC292" s="192"/>
      <c r="BD292" s="192"/>
      <c r="BE292" s="192"/>
      <c r="BF292" s="192"/>
      <c r="BG292" s="192"/>
      <c r="BH292" s="192"/>
      <c r="BI292" s="192"/>
      <c r="BJ292" s="192"/>
      <c r="BK292" s="192"/>
      <c r="BL292" s="192"/>
      <c r="BM292" s="192"/>
      <c r="BN292" s="192"/>
    </row>
    <row r="293" ht="29.25" customHeight="1">
      <c r="A293" s="189"/>
      <c r="B293" s="190"/>
      <c r="C293" s="157"/>
      <c r="D293" s="157"/>
      <c r="E293" s="158"/>
      <c r="F293" s="166"/>
      <c r="G293" s="161"/>
      <c r="H293" s="161"/>
      <c r="I293" s="162"/>
      <c r="J293" s="163"/>
      <c r="K293" s="163"/>
      <c r="L293" s="163"/>
      <c r="M293" s="160"/>
      <c r="N293" s="162"/>
      <c r="O293" s="164"/>
      <c r="P293" s="140"/>
      <c r="Q293" s="191"/>
      <c r="R293" s="165"/>
      <c r="S293" s="165"/>
      <c r="T293" s="166"/>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92"/>
      <c r="AR293" s="192"/>
      <c r="AS293" s="192"/>
      <c r="AT293" s="192"/>
      <c r="AU293" s="192"/>
      <c r="AV293" s="192"/>
      <c r="AW293" s="192"/>
      <c r="AX293" s="192"/>
      <c r="AY293" s="192"/>
      <c r="AZ293" s="192"/>
      <c r="BA293" s="192"/>
      <c r="BB293" s="192"/>
      <c r="BC293" s="192"/>
      <c r="BD293" s="192"/>
      <c r="BE293" s="192"/>
      <c r="BF293" s="192"/>
      <c r="BG293" s="192"/>
      <c r="BH293" s="192"/>
      <c r="BI293" s="192"/>
      <c r="BJ293" s="192"/>
      <c r="BK293" s="192"/>
      <c r="BL293" s="192"/>
      <c r="BM293" s="192"/>
      <c r="BN293" s="192"/>
    </row>
    <row r="294" ht="29.25" customHeight="1">
      <c r="A294" s="189"/>
      <c r="B294" s="190"/>
      <c r="C294" s="157"/>
      <c r="D294" s="157"/>
      <c r="E294" s="158"/>
      <c r="F294" s="166"/>
      <c r="G294" s="161"/>
      <c r="H294" s="161"/>
      <c r="I294" s="162"/>
      <c r="J294" s="163"/>
      <c r="K294" s="163"/>
      <c r="L294" s="163"/>
      <c r="M294" s="160"/>
      <c r="N294" s="162"/>
      <c r="O294" s="164"/>
      <c r="P294" s="140"/>
      <c r="Q294" s="191"/>
      <c r="R294" s="165"/>
      <c r="S294" s="165"/>
      <c r="T294" s="166"/>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92"/>
      <c r="AR294" s="192"/>
      <c r="AS294" s="192"/>
      <c r="AT294" s="192"/>
      <c r="AU294" s="192"/>
      <c r="AV294" s="192"/>
      <c r="AW294" s="192"/>
      <c r="AX294" s="192"/>
      <c r="AY294" s="192"/>
      <c r="AZ294" s="192"/>
      <c r="BA294" s="192"/>
      <c r="BB294" s="192"/>
      <c r="BC294" s="192"/>
      <c r="BD294" s="192"/>
      <c r="BE294" s="192"/>
      <c r="BF294" s="192"/>
      <c r="BG294" s="192"/>
      <c r="BH294" s="192"/>
      <c r="BI294" s="192"/>
      <c r="BJ294" s="192"/>
      <c r="BK294" s="192"/>
      <c r="BL294" s="192"/>
      <c r="BM294" s="192"/>
      <c r="BN294" s="192"/>
    </row>
    <row r="295" ht="29.25" customHeight="1">
      <c r="A295" s="189"/>
      <c r="B295" s="190"/>
      <c r="C295" s="157"/>
      <c r="D295" s="157"/>
      <c r="E295" s="158"/>
      <c r="F295" s="166"/>
      <c r="G295" s="161"/>
      <c r="H295" s="161"/>
      <c r="I295" s="162"/>
      <c r="J295" s="163"/>
      <c r="K295" s="163"/>
      <c r="L295" s="163"/>
      <c r="M295" s="160"/>
      <c r="N295" s="162"/>
      <c r="O295" s="164"/>
      <c r="P295" s="140"/>
      <c r="Q295" s="191"/>
      <c r="R295" s="165"/>
      <c r="S295" s="165"/>
      <c r="T295" s="166"/>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92"/>
      <c r="AR295" s="192"/>
      <c r="AS295" s="192"/>
      <c r="AT295" s="192"/>
      <c r="AU295" s="192"/>
      <c r="AV295" s="192"/>
      <c r="AW295" s="192"/>
      <c r="AX295" s="192"/>
      <c r="AY295" s="192"/>
      <c r="AZ295" s="192"/>
      <c r="BA295" s="192"/>
      <c r="BB295" s="192"/>
      <c r="BC295" s="192"/>
      <c r="BD295" s="192"/>
      <c r="BE295" s="192"/>
      <c r="BF295" s="192"/>
      <c r="BG295" s="192"/>
      <c r="BH295" s="192"/>
      <c r="BI295" s="192"/>
      <c r="BJ295" s="192"/>
      <c r="BK295" s="192"/>
      <c r="BL295" s="192"/>
      <c r="BM295" s="192"/>
      <c r="BN295" s="192"/>
    </row>
    <row r="296" ht="29.25" customHeight="1">
      <c r="A296" s="189"/>
      <c r="B296" s="190"/>
      <c r="C296" s="157"/>
      <c r="D296" s="157"/>
      <c r="E296" s="158"/>
      <c r="F296" s="166"/>
      <c r="G296" s="161"/>
      <c r="H296" s="161"/>
      <c r="I296" s="162"/>
      <c r="J296" s="163"/>
      <c r="K296" s="163"/>
      <c r="L296" s="163"/>
      <c r="M296" s="160"/>
      <c r="N296" s="162"/>
      <c r="O296" s="164"/>
      <c r="P296" s="140"/>
      <c r="Q296" s="191"/>
      <c r="R296" s="165"/>
      <c r="S296" s="165"/>
      <c r="T296" s="166"/>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92"/>
      <c r="AR296" s="192"/>
      <c r="AS296" s="192"/>
      <c r="AT296" s="192"/>
      <c r="AU296" s="192"/>
      <c r="AV296" s="192"/>
      <c r="AW296" s="192"/>
      <c r="AX296" s="192"/>
      <c r="AY296" s="192"/>
      <c r="AZ296" s="192"/>
      <c r="BA296" s="192"/>
      <c r="BB296" s="192"/>
      <c r="BC296" s="192"/>
      <c r="BD296" s="192"/>
      <c r="BE296" s="192"/>
      <c r="BF296" s="192"/>
      <c r="BG296" s="192"/>
      <c r="BH296" s="192"/>
      <c r="BI296" s="192"/>
      <c r="BJ296" s="192"/>
      <c r="BK296" s="192"/>
      <c r="BL296" s="192"/>
      <c r="BM296" s="192"/>
      <c r="BN296" s="192"/>
    </row>
    <row r="297" ht="29.25" customHeight="1">
      <c r="A297" s="189"/>
      <c r="B297" s="190"/>
      <c r="C297" s="157"/>
      <c r="D297" s="157"/>
      <c r="E297" s="158"/>
      <c r="F297" s="166"/>
      <c r="G297" s="161"/>
      <c r="H297" s="161"/>
      <c r="I297" s="162"/>
      <c r="J297" s="163"/>
      <c r="K297" s="163"/>
      <c r="L297" s="163"/>
      <c r="M297" s="160"/>
      <c r="N297" s="162"/>
      <c r="O297" s="164"/>
      <c r="P297" s="140"/>
      <c r="Q297" s="191"/>
      <c r="R297" s="165"/>
      <c r="S297" s="165"/>
      <c r="T297" s="166"/>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92"/>
      <c r="AR297" s="192"/>
      <c r="AS297" s="192"/>
      <c r="AT297" s="192"/>
      <c r="AU297" s="192"/>
      <c r="AV297" s="192"/>
      <c r="AW297" s="192"/>
      <c r="AX297" s="192"/>
      <c r="AY297" s="192"/>
      <c r="AZ297" s="192"/>
      <c r="BA297" s="192"/>
      <c r="BB297" s="192"/>
      <c r="BC297" s="192"/>
      <c r="BD297" s="192"/>
      <c r="BE297" s="192"/>
      <c r="BF297" s="192"/>
      <c r="BG297" s="192"/>
      <c r="BH297" s="192"/>
      <c r="BI297" s="192"/>
      <c r="BJ297" s="192"/>
      <c r="BK297" s="192"/>
      <c r="BL297" s="192"/>
      <c r="BM297" s="192"/>
      <c r="BN297" s="192"/>
    </row>
    <row r="298" ht="29.25" customHeight="1">
      <c r="A298" s="189"/>
      <c r="B298" s="190"/>
      <c r="C298" s="157"/>
      <c r="D298" s="157"/>
      <c r="E298" s="158"/>
      <c r="F298" s="166"/>
      <c r="G298" s="161"/>
      <c r="H298" s="161"/>
      <c r="I298" s="162"/>
      <c r="J298" s="163"/>
      <c r="K298" s="163"/>
      <c r="L298" s="163"/>
      <c r="M298" s="160"/>
      <c r="N298" s="162"/>
      <c r="O298" s="164"/>
      <c r="P298" s="140"/>
      <c r="Q298" s="191"/>
      <c r="R298" s="165"/>
      <c r="S298" s="165"/>
      <c r="T298" s="166"/>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92"/>
      <c r="AR298" s="192"/>
      <c r="AS298" s="192"/>
      <c r="AT298" s="192"/>
      <c r="AU298" s="192"/>
      <c r="AV298" s="192"/>
      <c r="AW298" s="192"/>
      <c r="AX298" s="192"/>
      <c r="AY298" s="192"/>
      <c r="AZ298" s="192"/>
      <c r="BA298" s="192"/>
      <c r="BB298" s="192"/>
      <c r="BC298" s="192"/>
      <c r="BD298" s="192"/>
      <c r="BE298" s="192"/>
      <c r="BF298" s="192"/>
      <c r="BG298" s="192"/>
      <c r="BH298" s="192"/>
      <c r="BI298" s="192"/>
      <c r="BJ298" s="192"/>
      <c r="BK298" s="192"/>
      <c r="BL298" s="192"/>
      <c r="BM298" s="192"/>
      <c r="BN298" s="192"/>
    </row>
    <row r="299" ht="29.25" customHeight="1">
      <c r="A299" s="189"/>
      <c r="B299" s="190"/>
      <c r="C299" s="157"/>
      <c r="D299" s="157"/>
      <c r="E299" s="158"/>
      <c r="F299" s="166"/>
      <c r="G299" s="161"/>
      <c r="H299" s="161"/>
      <c r="I299" s="162"/>
      <c r="J299" s="163"/>
      <c r="K299" s="163"/>
      <c r="L299" s="163"/>
      <c r="M299" s="160"/>
      <c r="N299" s="162"/>
      <c r="O299" s="164"/>
      <c r="P299" s="140"/>
      <c r="Q299" s="191"/>
      <c r="R299" s="165"/>
      <c r="S299" s="165"/>
      <c r="T299" s="166"/>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92"/>
      <c r="AR299" s="192"/>
      <c r="AS299" s="192"/>
      <c r="AT299" s="192"/>
      <c r="AU299" s="192"/>
      <c r="AV299" s="192"/>
      <c r="AW299" s="192"/>
      <c r="AX299" s="192"/>
      <c r="AY299" s="192"/>
      <c r="AZ299" s="192"/>
      <c r="BA299" s="192"/>
      <c r="BB299" s="192"/>
      <c r="BC299" s="192"/>
      <c r="BD299" s="192"/>
      <c r="BE299" s="192"/>
      <c r="BF299" s="192"/>
      <c r="BG299" s="192"/>
      <c r="BH299" s="192"/>
      <c r="BI299" s="192"/>
      <c r="BJ299" s="192"/>
      <c r="BK299" s="192"/>
      <c r="BL299" s="192"/>
      <c r="BM299" s="192"/>
      <c r="BN299" s="192"/>
    </row>
    <row r="300" ht="29.25" customHeight="1">
      <c r="A300" s="189"/>
      <c r="B300" s="190"/>
      <c r="C300" s="157"/>
      <c r="D300" s="157"/>
      <c r="E300" s="158"/>
      <c r="F300" s="166"/>
      <c r="G300" s="161"/>
      <c r="H300" s="161"/>
      <c r="I300" s="162"/>
      <c r="J300" s="163"/>
      <c r="K300" s="163"/>
      <c r="L300" s="163"/>
      <c r="M300" s="160"/>
      <c r="N300" s="162"/>
      <c r="O300" s="164"/>
      <c r="P300" s="140"/>
      <c r="Q300" s="191"/>
      <c r="R300" s="165"/>
      <c r="S300" s="165"/>
      <c r="T300" s="166"/>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92"/>
      <c r="AR300" s="192"/>
      <c r="AS300" s="192"/>
      <c r="AT300" s="192"/>
      <c r="AU300" s="192"/>
      <c r="AV300" s="192"/>
      <c r="AW300" s="192"/>
      <c r="AX300" s="192"/>
      <c r="AY300" s="192"/>
      <c r="AZ300" s="192"/>
      <c r="BA300" s="192"/>
      <c r="BB300" s="192"/>
      <c r="BC300" s="192"/>
      <c r="BD300" s="192"/>
      <c r="BE300" s="192"/>
      <c r="BF300" s="192"/>
      <c r="BG300" s="192"/>
      <c r="BH300" s="192"/>
      <c r="BI300" s="192"/>
      <c r="BJ300" s="192"/>
      <c r="BK300" s="192"/>
      <c r="BL300" s="192"/>
      <c r="BM300" s="192"/>
      <c r="BN300" s="192"/>
    </row>
    <row r="301" ht="29.25" customHeight="1">
      <c r="A301" s="189"/>
      <c r="B301" s="190"/>
      <c r="C301" s="157"/>
      <c r="D301" s="157"/>
      <c r="E301" s="158"/>
      <c r="F301" s="166"/>
      <c r="G301" s="161"/>
      <c r="H301" s="161"/>
      <c r="I301" s="162"/>
      <c r="J301" s="163"/>
      <c r="K301" s="163"/>
      <c r="L301" s="163"/>
      <c r="M301" s="160"/>
      <c r="N301" s="162"/>
      <c r="O301" s="164"/>
      <c r="P301" s="140"/>
      <c r="Q301" s="191"/>
      <c r="R301" s="165"/>
      <c r="S301" s="165"/>
      <c r="T301" s="166"/>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92"/>
      <c r="AR301" s="192"/>
      <c r="AS301" s="192"/>
      <c r="AT301" s="192"/>
      <c r="AU301" s="192"/>
      <c r="AV301" s="192"/>
      <c r="AW301" s="192"/>
      <c r="AX301" s="192"/>
      <c r="AY301" s="192"/>
      <c r="AZ301" s="192"/>
      <c r="BA301" s="192"/>
      <c r="BB301" s="192"/>
      <c r="BC301" s="192"/>
      <c r="BD301" s="192"/>
      <c r="BE301" s="192"/>
      <c r="BF301" s="192"/>
      <c r="BG301" s="192"/>
      <c r="BH301" s="192"/>
      <c r="BI301" s="192"/>
      <c r="BJ301" s="192"/>
      <c r="BK301" s="192"/>
      <c r="BL301" s="192"/>
      <c r="BM301" s="192"/>
      <c r="BN301" s="192"/>
    </row>
    <row r="302" ht="29.25" customHeight="1">
      <c r="A302" s="189"/>
      <c r="B302" s="190"/>
      <c r="C302" s="157"/>
      <c r="D302" s="157"/>
      <c r="E302" s="158"/>
      <c r="F302" s="166"/>
      <c r="G302" s="161"/>
      <c r="H302" s="161"/>
      <c r="I302" s="162"/>
      <c r="J302" s="163"/>
      <c r="K302" s="163"/>
      <c r="L302" s="163"/>
      <c r="M302" s="160"/>
      <c r="N302" s="162"/>
      <c r="O302" s="164"/>
      <c r="P302" s="140"/>
      <c r="Q302" s="191"/>
      <c r="R302" s="165"/>
      <c r="S302" s="165"/>
      <c r="T302" s="166"/>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92"/>
      <c r="AR302" s="192"/>
      <c r="AS302" s="192"/>
      <c r="AT302" s="192"/>
      <c r="AU302" s="192"/>
      <c r="AV302" s="192"/>
      <c r="AW302" s="192"/>
      <c r="AX302" s="192"/>
      <c r="AY302" s="192"/>
      <c r="AZ302" s="192"/>
      <c r="BA302" s="192"/>
      <c r="BB302" s="192"/>
      <c r="BC302" s="192"/>
      <c r="BD302" s="192"/>
      <c r="BE302" s="192"/>
      <c r="BF302" s="192"/>
      <c r="BG302" s="192"/>
      <c r="BH302" s="192"/>
      <c r="BI302" s="192"/>
      <c r="BJ302" s="192"/>
      <c r="BK302" s="192"/>
      <c r="BL302" s="192"/>
      <c r="BM302" s="192"/>
      <c r="BN302" s="192"/>
    </row>
    <row r="303" ht="29.25" customHeight="1">
      <c r="A303" s="189"/>
      <c r="B303" s="190"/>
      <c r="C303" s="157"/>
      <c r="D303" s="157"/>
      <c r="E303" s="158"/>
      <c r="F303" s="166"/>
      <c r="G303" s="161"/>
      <c r="H303" s="161"/>
      <c r="I303" s="162"/>
      <c r="J303" s="163"/>
      <c r="K303" s="163"/>
      <c r="L303" s="163"/>
      <c r="M303" s="160"/>
      <c r="N303" s="162"/>
      <c r="O303" s="164"/>
      <c r="P303" s="140"/>
      <c r="Q303" s="191"/>
      <c r="R303" s="165"/>
      <c r="S303" s="165"/>
      <c r="T303" s="166"/>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92"/>
      <c r="AR303" s="192"/>
      <c r="AS303" s="192"/>
      <c r="AT303" s="192"/>
      <c r="AU303" s="192"/>
      <c r="AV303" s="192"/>
      <c r="AW303" s="192"/>
      <c r="AX303" s="192"/>
      <c r="AY303" s="192"/>
      <c r="AZ303" s="192"/>
      <c r="BA303" s="192"/>
      <c r="BB303" s="192"/>
      <c r="BC303" s="192"/>
      <c r="BD303" s="192"/>
      <c r="BE303" s="192"/>
      <c r="BF303" s="192"/>
      <c r="BG303" s="192"/>
      <c r="BH303" s="192"/>
      <c r="BI303" s="192"/>
      <c r="BJ303" s="192"/>
      <c r="BK303" s="192"/>
      <c r="BL303" s="192"/>
      <c r="BM303" s="192"/>
      <c r="BN303" s="192"/>
    </row>
    <row r="304" ht="29.25" customHeight="1">
      <c r="A304" s="189"/>
      <c r="B304" s="190"/>
      <c r="C304" s="157"/>
      <c r="D304" s="157"/>
      <c r="E304" s="158"/>
      <c r="F304" s="166"/>
      <c r="G304" s="161"/>
      <c r="H304" s="161"/>
      <c r="I304" s="162"/>
      <c r="J304" s="163"/>
      <c r="K304" s="163"/>
      <c r="L304" s="163"/>
      <c r="M304" s="160"/>
      <c r="N304" s="162"/>
      <c r="O304" s="164"/>
      <c r="P304" s="140"/>
      <c r="Q304" s="191"/>
      <c r="R304" s="165"/>
      <c r="S304" s="165"/>
      <c r="T304" s="166"/>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92"/>
      <c r="AR304" s="192"/>
      <c r="AS304" s="192"/>
      <c r="AT304" s="192"/>
      <c r="AU304" s="192"/>
      <c r="AV304" s="192"/>
      <c r="AW304" s="192"/>
      <c r="AX304" s="192"/>
      <c r="AY304" s="192"/>
      <c r="AZ304" s="192"/>
      <c r="BA304" s="192"/>
      <c r="BB304" s="192"/>
      <c r="BC304" s="192"/>
      <c r="BD304" s="192"/>
      <c r="BE304" s="192"/>
      <c r="BF304" s="192"/>
      <c r="BG304" s="192"/>
      <c r="BH304" s="192"/>
      <c r="BI304" s="192"/>
      <c r="BJ304" s="192"/>
      <c r="BK304" s="192"/>
      <c r="BL304" s="192"/>
      <c r="BM304" s="192"/>
      <c r="BN304" s="192"/>
    </row>
    <row r="305" ht="29.25" customHeight="1">
      <c r="A305" s="189"/>
      <c r="B305" s="190"/>
      <c r="C305" s="157"/>
      <c r="D305" s="157"/>
      <c r="E305" s="158"/>
      <c r="F305" s="166"/>
      <c r="G305" s="161"/>
      <c r="H305" s="161"/>
      <c r="I305" s="162"/>
      <c r="J305" s="163"/>
      <c r="K305" s="163"/>
      <c r="L305" s="163"/>
      <c r="M305" s="160"/>
      <c r="N305" s="162"/>
      <c r="O305" s="164"/>
      <c r="P305" s="140"/>
      <c r="Q305" s="191"/>
      <c r="R305" s="165"/>
      <c r="S305" s="165"/>
      <c r="T305" s="166"/>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92"/>
      <c r="AR305" s="192"/>
      <c r="AS305" s="192"/>
      <c r="AT305" s="192"/>
      <c r="AU305" s="192"/>
      <c r="AV305" s="192"/>
      <c r="AW305" s="192"/>
      <c r="AX305" s="192"/>
      <c r="AY305" s="192"/>
      <c r="AZ305" s="192"/>
      <c r="BA305" s="192"/>
      <c r="BB305" s="192"/>
      <c r="BC305" s="192"/>
      <c r="BD305" s="192"/>
      <c r="BE305" s="192"/>
      <c r="BF305" s="192"/>
      <c r="BG305" s="192"/>
      <c r="BH305" s="192"/>
      <c r="BI305" s="192"/>
      <c r="BJ305" s="192"/>
      <c r="BK305" s="192"/>
      <c r="BL305" s="192"/>
      <c r="BM305" s="192"/>
      <c r="BN305" s="192"/>
    </row>
    <row r="306" ht="29.25" customHeight="1">
      <c r="A306" s="189"/>
      <c r="B306" s="190"/>
      <c r="C306" s="157"/>
      <c r="D306" s="157"/>
      <c r="E306" s="158"/>
      <c r="F306" s="166"/>
      <c r="G306" s="161"/>
      <c r="H306" s="161"/>
      <c r="I306" s="162"/>
      <c r="J306" s="163"/>
      <c r="K306" s="163"/>
      <c r="L306" s="163"/>
      <c r="M306" s="160"/>
      <c r="N306" s="162"/>
      <c r="O306" s="164"/>
      <c r="P306" s="140"/>
      <c r="Q306" s="191"/>
      <c r="R306" s="165"/>
      <c r="S306" s="165"/>
      <c r="T306" s="166"/>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92"/>
      <c r="AR306" s="192"/>
      <c r="AS306" s="192"/>
      <c r="AT306" s="192"/>
      <c r="AU306" s="192"/>
      <c r="AV306" s="192"/>
      <c r="AW306" s="192"/>
      <c r="AX306" s="192"/>
      <c r="AY306" s="192"/>
      <c r="AZ306" s="192"/>
      <c r="BA306" s="192"/>
      <c r="BB306" s="192"/>
      <c r="BC306" s="192"/>
      <c r="BD306" s="192"/>
      <c r="BE306" s="192"/>
      <c r="BF306" s="192"/>
      <c r="BG306" s="192"/>
      <c r="BH306" s="192"/>
      <c r="BI306" s="192"/>
      <c r="BJ306" s="192"/>
      <c r="BK306" s="192"/>
      <c r="BL306" s="192"/>
      <c r="BM306" s="192"/>
      <c r="BN306" s="192"/>
    </row>
    <row r="307" ht="29.25" customHeight="1">
      <c r="A307" s="189"/>
      <c r="B307" s="190"/>
      <c r="C307" s="157"/>
      <c r="D307" s="157"/>
      <c r="E307" s="158"/>
      <c r="F307" s="166"/>
      <c r="G307" s="161"/>
      <c r="H307" s="161"/>
      <c r="I307" s="162"/>
      <c r="J307" s="163"/>
      <c r="K307" s="163"/>
      <c r="L307" s="163"/>
      <c r="M307" s="160"/>
      <c r="N307" s="162"/>
      <c r="O307" s="164"/>
      <c r="P307" s="140"/>
      <c r="Q307" s="191"/>
      <c r="R307" s="165"/>
      <c r="S307" s="165"/>
      <c r="T307" s="166"/>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92"/>
      <c r="AR307" s="192"/>
      <c r="AS307" s="192"/>
      <c r="AT307" s="192"/>
      <c r="AU307" s="192"/>
      <c r="AV307" s="192"/>
      <c r="AW307" s="192"/>
      <c r="AX307" s="192"/>
      <c r="AY307" s="192"/>
      <c r="AZ307" s="192"/>
      <c r="BA307" s="192"/>
      <c r="BB307" s="192"/>
      <c r="BC307" s="192"/>
      <c r="BD307" s="192"/>
      <c r="BE307" s="192"/>
      <c r="BF307" s="192"/>
      <c r="BG307" s="192"/>
      <c r="BH307" s="192"/>
      <c r="BI307" s="192"/>
      <c r="BJ307" s="192"/>
      <c r="BK307" s="192"/>
      <c r="BL307" s="192"/>
      <c r="BM307" s="192"/>
      <c r="BN307" s="192"/>
    </row>
    <row r="308" ht="29.25" customHeight="1">
      <c r="A308" s="189"/>
      <c r="B308" s="190"/>
      <c r="C308" s="157"/>
      <c r="D308" s="157"/>
      <c r="E308" s="158"/>
      <c r="F308" s="166"/>
      <c r="G308" s="161"/>
      <c r="H308" s="161"/>
      <c r="I308" s="162"/>
      <c r="J308" s="163"/>
      <c r="K308" s="163"/>
      <c r="L308" s="163"/>
      <c r="M308" s="160"/>
      <c r="N308" s="162"/>
      <c r="O308" s="164"/>
      <c r="P308" s="140"/>
      <c r="Q308" s="191"/>
      <c r="R308" s="165"/>
      <c r="S308" s="165"/>
      <c r="T308" s="166"/>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92"/>
      <c r="AR308" s="192"/>
      <c r="AS308" s="192"/>
      <c r="AT308" s="192"/>
      <c r="AU308" s="192"/>
      <c r="AV308" s="192"/>
      <c r="AW308" s="192"/>
      <c r="AX308" s="192"/>
      <c r="AY308" s="192"/>
      <c r="AZ308" s="192"/>
      <c r="BA308" s="192"/>
      <c r="BB308" s="192"/>
      <c r="BC308" s="192"/>
      <c r="BD308" s="192"/>
      <c r="BE308" s="192"/>
      <c r="BF308" s="192"/>
      <c r="BG308" s="192"/>
      <c r="BH308" s="192"/>
      <c r="BI308" s="192"/>
      <c r="BJ308" s="192"/>
      <c r="BK308" s="192"/>
      <c r="BL308" s="192"/>
      <c r="BM308" s="192"/>
      <c r="BN308" s="192"/>
    </row>
    <row r="309" ht="29.25" customHeight="1">
      <c r="A309" s="189"/>
      <c r="B309" s="190"/>
      <c r="C309" s="157"/>
      <c r="D309" s="157"/>
      <c r="E309" s="158"/>
      <c r="F309" s="166"/>
      <c r="G309" s="161"/>
      <c r="H309" s="161"/>
      <c r="I309" s="162"/>
      <c r="J309" s="163"/>
      <c r="K309" s="163"/>
      <c r="L309" s="163"/>
      <c r="M309" s="160"/>
      <c r="N309" s="162"/>
      <c r="O309" s="164"/>
      <c r="P309" s="140"/>
      <c r="Q309" s="191"/>
      <c r="R309" s="165"/>
      <c r="S309" s="165"/>
      <c r="T309" s="166"/>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92"/>
      <c r="AR309" s="192"/>
      <c r="AS309" s="192"/>
      <c r="AT309" s="192"/>
      <c r="AU309" s="192"/>
      <c r="AV309" s="192"/>
      <c r="AW309" s="192"/>
      <c r="AX309" s="192"/>
      <c r="AY309" s="192"/>
      <c r="AZ309" s="192"/>
      <c r="BA309" s="192"/>
      <c r="BB309" s="192"/>
      <c r="BC309" s="192"/>
      <c r="BD309" s="192"/>
      <c r="BE309" s="192"/>
      <c r="BF309" s="192"/>
      <c r="BG309" s="192"/>
      <c r="BH309" s="192"/>
      <c r="BI309" s="192"/>
      <c r="BJ309" s="192"/>
      <c r="BK309" s="192"/>
      <c r="BL309" s="192"/>
      <c r="BM309" s="192"/>
      <c r="BN309" s="192"/>
    </row>
    <row r="310" ht="29.25" customHeight="1">
      <c r="A310" s="189"/>
      <c r="B310" s="190"/>
      <c r="C310" s="157"/>
      <c r="D310" s="157"/>
      <c r="E310" s="158"/>
      <c r="F310" s="166"/>
      <c r="G310" s="161"/>
      <c r="H310" s="161"/>
      <c r="I310" s="162"/>
      <c r="J310" s="163"/>
      <c r="K310" s="163"/>
      <c r="L310" s="163"/>
      <c r="M310" s="160"/>
      <c r="N310" s="162"/>
      <c r="O310" s="164"/>
      <c r="P310" s="140"/>
      <c r="Q310" s="191"/>
      <c r="R310" s="165"/>
      <c r="S310" s="165"/>
      <c r="T310" s="166"/>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92"/>
      <c r="AR310" s="192"/>
      <c r="AS310" s="192"/>
      <c r="AT310" s="192"/>
      <c r="AU310" s="192"/>
      <c r="AV310" s="192"/>
      <c r="AW310" s="192"/>
      <c r="AX310" s="192"/>
      <c r="AY310" s="192"/>
      <c r="AZ310" s="192"/>
      <c r="BA310" s="192"/>
      <c r="BB310" s="192"/>
      <c r="BC310" s="192"/>
      <c r="BD310" s="192"/>
      <c r="BE310" s="192"/>
      <c r="BF310" s="192"/>
      <c r="BG310" s="192"/>
      <c r="BH310" s="192"/>
      <c r="BI310" s="192"/>
      <c r="BJ310" s="192"/>
      <c r="BK310" s="192"/>
      <c r="BL310" s="192"/>
      <c r="BM310" s="192"/>
      <c r="BN310" s="192"/>
    </row>
    <row r="311" ht="29.25" customHeight="1">
      <c r="A311" s="189"/>
      <c r="B311" s="190"/>
      <c r="C311" s="157"/>
      <c r="D311" s="157"/>
      <c r="E311" s="158"/>
      <c r="F311" s="166"/>
      <c r="G311" s="161"/>
      <c r="H311" s="161"/>
      <c r="I311" s="162"/>
      <c r="J311" s="163"/>
      <c r="K311" s="163"/>
      <c r="L311" s="163"/>
      <c r="M311" s="160"/>
      <c r="N311" s="162"/>
      <c r="O311" s="164"/>
      <c r="P311" s="140"/>
      <c r="Q311" s="191"/>
      <c r="R311" s="165"/>
      <c r="S311" s="165"/>
      <c r="T311" s="166"/>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92"/>
      <c r="AR311" s="192"/>
      <c r="AS311" s="192"/>
      <c r="AT311" s="192"/>
      <c r="AU311" s="192"/>
      <c r="AV311" s="192"/>
      <c r="AW311" s="192"/>
      <c r="AX311" s="192"/>
      <c r="AY311" s="192"/>
      <c r="AZ311" s="192"/>
      <c r="BA311" s="192"/>
      <c r="BB311" s="192"/>
      <c r="BC311" s="192"/>
      <c r="BD311" s="192"/>
      <c r="BE311" s="192"/>
      <c r="BF311" s="192"/>
      <c r="BG311" s="192"/>
      <c r="BH311" s="192"/>
      <c r="BI311" s="192"/>
      <c r="BJ311" s="192"/>
      <c r="BK311" s="192"/>
      <c r="BL311" s="192"/>
      <c r="BM311" s="192"/>
      <c r="BN311" s="192"/>
    </row>
    <row r="312" ht="29.25" customHeight="1">
      <c r="A312" s="189"/>
      <c r="B312" s="190"/>
      <c r="C312" s="157"/>
      <c r="D312" s="157"/>
      <c r="E312" s="158"/>
      <c r="F312" s="166"/>
      <c r="G312" s="161"/>
      <c r="H312" s="161"/>
      <c r="I312" s="162"/>
      <c r="J312" s="163"/>
      <c r="K312" s="163"/>
      <c r="L312" s="163"/>
      <c r="M312" s="160"/>
      <c r="N312" s="162"/>
      <c r="O312" s="164"/>
      <c r="P312" s="140"/>
      <c r="Q312" s="191"/>
      <c r="R312" s="165"/>
      <c r="S312" s="165"/>
      <c r="T312" s="166"/>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92"/>
      <c r="AR312" s="192"/>
      <c r="AS312" s="192"/>
      <c r="AT312" s="192"/>
      <c r="AU312" s="192"/>
      <c r="AV312" s="192"/>
      <c r="AW312" s="192"/>
      <c r="AX312" s="192"/>
      <c r="AY312" s="192"/>
      <c r="AZ312" s="192"/>
      <c r="BA312" s="192"/>
      <c r="BB312" s="192"/>
      <c r="BC312" s="192"/>
      <c r="BD312" s="192"/>
      <c r="BE312" s="192"/>
      <c r="BF312" s="192"/>
      <c r="BG312" s="192"/>
      <c r="BH312" s="192"/>
      <c r="BI312" s="192"/>
      <c r="BJ312" s="192"/>
      <c r="BK312" s="192"/>
      <c r="BL312" s="192"/>
      <c r="BM312" s="192"/>
      <c r="BN312" s="192"/>
    </row>
    <row r="313" ht="29.25" customHeight="1">
      <c r="A313" s="189"/>
      <c r="B313" s="190"/>
      <c r="C313" s="157"/>
      <c r="D313" s="157"/>
      <c r="E313" s="158"/>
      <c r="F313" s="166"/>
      <c r="G313" s="161"/>
      <c r="H313" s="161"/>
      <c r="I313" s="162"/>
      <c r="J313" s="163"/>
      <c r="K313" s="163"/>
      <c r="L313" s="163"/>
      <c r="M313" s="160"/>
      <c r="N313" s="162"/>
      <c r="O313" s="164"/>
      <c r="P313" s="140"/>
      <c r="Q313" s="191"/>
      <c r="R313" s="165"/>
      <c r="S313" s="165"/>
      <c r="T313" s="166"/>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92"/>
      <c r="AR313" s="192"/>
      <c r="AS313" s="192"/>
      <c r="AT313" s="192"/>
      <c r="AU313" s="192"/>
      <c r="AV313" s="192"/>
      <c r="AW313" s="192"/>
      <c r="AX313" s="192"/>
      <c r="AY313" s="192"/>
      <c r="AZ313" s="192"/>
      <c r="BA313" s="192"/>
      <c r="BB313" s="192"/>
      <c r="BC313" s="192"/>
      <c r="BD313" s="192"/>
      <c r="BE313" s="192"/>
      <c r="BF313" s="192"/>
      <c r="BG313" s="192"/>
      <c r="BH313" s="192"/>
      <c r="BI313" s="192"/>
      <c r="BJ313" s="192"/>
      <c r="BK313" s="192"/>
      <c r="BL313" s="192"/>
      <c r="BM313" s="192"/>
      <c r="BN313" s="192"/>
    </row>
    <row r="314" ht="29.25" customHeight="1">
      <c r="A314" s="189"/>
      <c r="B314" s="190"/>
      <c r="C314" s="157"/>
      <c r="D314" s="157"/>
      <c r="E314" s="158"/>
      <c r="F314" s="166"/>
      <c r="G314" s="161"/>
      <c r="H314" s="161"/>
      <c r="I314" s="162"/>
      <c r="J314" s="163"/>
      <c r="K314" s="163"/>
      <c r="L314" s="163"/>
      <c r="M314" s="160"/>
      <c r="N314" s="162"/>
      <c r="O314" s="164"/>
      <c r="P314" s="140"/>
      <c r="Q314" s="191"/>
      <c r="R314" s="165"/>
      <c r="S314" s="165"/>
      <c r="T314" s="166"/>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92"/>
      <c r="AR314" s="192"/>
      <c r="AS314" s="192"/>
      <c r="AT314" s="192"/>
      <c r="AU314" s="192"/>
      <c r="AV314" s="192"/>
      <c r="AW314" s="192"/>
      <c r="AX314" s="192"/>
      <c r="AY314" s="192"/>
      <c r="AZ314" s="192"/>
      <c r="BA314" s="192"/>
      <c r="BB314" s="192"/>
      <c r="BC314" s="192"/>
      <c r="BD314" s="192"/>
      <c r="BE314" s="192"/>
      <c r="BF314" s="192"/>
      <c r="BG314" s="192"/>
      <c r="BH314" s="192"/>
      <c r="BI314" s="192"/>
      <c r="BJ314" s="192"/>
      <c r="BK314" s="192"/>
      <c r="BL314" s="192"/>
      <c r="BM314" s="192"/>
      <c r="BN314" s="192"/>
    </row>
    <row r="315" ht="29.25" customHeight="1">
      <c r="A315" s="189"/>
      <c r="B315" s="190"/>
      <c r="C315" s="157"/>
      <c r="D315" s="157"/>
      <c r="E315" s="158"/>
      <c r="F315" s="166"/>
      <c r="G315" s="161"/>
      <c r="H315" s="161"/>
      <c r="I315" s="162"/>
      <c r="J315" s="163"/>
      <c r="K315" s="163"/>
      <c r="L315" s="163"/>
      <c r="M315" s="160"/>
      <c r="N315" s="162"/>
      <c r="O315" s="164"/>
      <c r="P315" s="140"/>
      <c r="Q315" s="191"/>
      <c r="R315" s="165"/>
      <c r="S315" s="165"/>
      <c r="T315" s="166"/>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92"/>
      <c r="AR315" s="192"/>
      <c r="AS315" s="192"/>
      <c r="AT315" s="192"/>
      <c r="AU315" s="192"/>
      <c r="AV315" s="192"/>
      <c r="AW315" s="192"/>
      <c r="AX315" s="192"/>
      <c r="AY315" s="192"/>
      <c r="AZ315" s="192"/>
      <c r="BA315" s="192"/>
      <c r="BB315" s="192"/>
      <c r="BC315" s="192"/>
      <c r="BD315" s="192"/>
      <c r="BE315" s="192"/>
      <c r="BF315" s="192"/>
      <c r="BG315" s="192"/>
      <c r="BH315" s="192"/>
      <c r="BI315" s="192"/>
      <c r="BJ315" s="192"/>
      <c r="BK315" s="192"/>
      <c r="BL315" s="192"/>
      <c r="BM315" s="192"/>
      <c r="BN315" s="192"/>
    </row>
    <row r="316" ht="29.25" customHeight="1">
      <c r="A316" s="189"/>
      <c r="B316" s="190"/>
      <c r="C316" s="157"/>
      <c r="D316" s="157"/>
      <c r="E316" s="158"/>
      <c r="F316" s="166"/>
      <c r="G316" s="161"/>
      <c r="H316" s="161"/>
      <c r="I316" s="162"/>
      <c r="J316" s="163"/>
      <c r="K316" s="163"/>
      <c r="L316" s="163"/>
      <c r="M316" s="160"/>
      <c r="N316" s="162"/>
      <c r="O316" s="164"/>
      <c r="P316" s="140"/>
      <c r="Q316" s="191"/>
      <c r="R316" s="165"/>
      <c r="S316" s="165"/>
      <c r="T316" s="166"/>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92"/>
      <c r="AR316" s="192"/>
      <c r="AS316" s="192"/>
      <c r="AT316" s="192"/>
      <c r="AU316" s="192"/>
      <c r="AV316" s="192"/>
      <c r="AW316" s="192"/>
      <c r="AX316" s="192"/>
      <c r="AY316" s="192"/>
      <c r="AZ316" s="192"/>
      <c r="BA316" s="192"/>
      <c r="BB316" s="192"/>
      <c r="BC316" s="192"/>
      <c r="BD316" s="192"/>
      <c r="BE316" s="192"/>
      <c r="BF316" s="192"/>
      <c r="BG316" s="192"/>
      <c r="BH316" s="192"/>
      <c r="BI316" s="192"/>
      <c r="BJ316" s="192"/>
      <c r="BK316" s="192"/>
      <c r="BL316" s="192"/>
      <c r="BM316" s="192"/>
      <c r="BN316" s="192"/>
    </row>
    <row r="317" ht="29.25" customHeight="1">
      <c r="A317" s="189"/>
      <c r="B317" s="190"/>
      <c r="C317" s="157"/>
      <c r="D317" s="157"/>
      <c r="E317" s="158"/>
      <c r="F317" s="166"/>
      <c r="G317" s="161"/>
      <c r="H317" s="161"/>
      <c r="I317" s="162"/>
      <c r="J317" s="163"/>
      <c r="K317" s="163"/>
      <c r="L317" s="163"/>
      <c r="M317" s="160"/>
      <c r="N317" s="162"/>
      <c r="O317" s="164"/>
      <c r="P317" s="140"/>
      <c r="Q317" s="191"/>
      <c r="R317" s="165"/>
      <c r="S317" s="165"/>
      <c r="T317" s="166"/>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92"/>
      <c r="AR317" s="192"/>
      <c r="AS317" s="192"/>
      <c r="AT317" s="192"/>
      <c r="AU317" s="192"/>
      <c r="AV317" s="192"/>
      <c r="AW317" s="192"/>
      <c r="AX317" s="192"/>
      <c r="AY317" s="192"/>
      <c r="AZ317" s="192"/>
      <c r="BA317" s="192"/>
      <c r="BB317" s="192"/>
      <c r="BC317" s="192"/>
      <c r="BD317" s="192"/>
      <c r="BE317" s="192"/>
      <c r="BF317" s="192"/>
      <c r="BG317" s="192"/>
      <c r="BH317" s="192"/>
      <c r="BI317" s="192"/>
      <c r="BJ317" s="192"/>
      <c r="BK317" s="192"/>
      <c r="BL317" s="192"/>
      <c r="BM317" s="192"/>
      <c r="BN317" s="192"/>
    </row>
    <row r="318" ht="29.25" customHeight="1">
      <c r="A318" s="189"/>
      <c r="B318" s="190"/>
      <c r="C318" s="157"/>
      <c r="D318" s="157"/>
      <c r="E318" s="158"/>
      <c r="F318" s="166"/>
      <c r="G318" s="161"/>
      <c r="H318" s="161"/>
      <c r="I318" s="162"/>
      <c r="J318" s="163"/>
      <c r="K318" s="163"/>
      <c r="L318" s="163"/>
      <c r="M318" s="160"/>
      <c r="N318" s="162"/>
      <c r="O318" s="164"/>
      <c r="P318" s="140"/>
      <c r="Q318" s="191"/>
      <c r="R318" s="165"/>
      <c r="S318" s="165"/>
      <c r="T318" s="166"/>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92"/>
      <c r="AR318" s="192"/>
      <c r="AS318" s="192"/>
      <c r="AT318" s="192"/>
      <c r="AU318" s="192"/>
      <c r="AV318" s="192"/>
      <c r="AW318" s="192"/>
      <c r="AX318" s="192"/>
      <c r="AY318" s="192"/>
      <c r="AZ318" s="192"/>
      <c r="BA318" s="192"/>
      <c r="BB318" s="192"/>
      <c r="BC318" s="192"/>
      <c r="BD318" s="192"/>
      <c r="BE318" s="192"/>
      <c r="BF318" s="192"/>
      <c r="BG318" s="192"/>
      <c r="BH318" s="192"/>
      <c r="BI318" s="192"/>
      <c r="BJ318" s="192"/>
      <c r="BK318" s="192"/>
      <c r="BL318" s="192"/>
      <c r="BM318" s="192"/>
      <c r="BN318" s="192"/>
    </row>
    <row r="319" ht="29.25" customHeight="1">
      <c r="A319" s="189"/>
      <c r="B319" s="190"/>
      <c r="C319" s="157"/>
      <c r="D319" s="157"/>
      <c r="E319" s="158"/>
      <c r="F319" s="166"/>
      <c r="G319" s="161"/>
      <c r="H319" s="161"/>
      <c r="I319" s="162"/>
      <c r="J319" s="163"/>
      <c r="K319" s="163"/>
      <c r="L319" s="163"/>
      <c r="M319" s="160"/>
      <c r="N319" s="162"/>
      <c r="O319" s="164"/>
      <c r="P319" s="140"/>
      <c r="Q319" s="191"/>
      <c r="R319" s="165"/>
      <c r="S319" s="165"/>
      <c r="T319" s="166"/>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92"/>
      <c r="AR319" s="192"/>
      <c r="AS319" s="192"/>
      <c r="AT319" s="192"/>
      <c r="AU319" s="192"/>
      <c r="AV319" s="192"/>
      <c r="AW319" s="192"/>
      <c r="AX319" s="192"/>
      <c r="AY319" s="192"/>
      <c r="AZ319" s="192"/>
      <c r="BA319" s="192"/>
      <c r="BB319" s="192"/>
      <c r="BC319" s="192"/>
      <c r="BD319" s="192"/>
      <c r="BE319" s="192"/>
      <c r="BF319" s="192"/>
      <c r="BG319" s="192"/>
      <c r="BH319" s="192"/>
      <c r="BI319" s="192"/>
      <c r="BJ319" s="192"/>
      <c r="BK319" s="192"/>
      <c r="BL319" s="192"/>
      <c r="BM319" s="192"/>
      <c r="BN319" s="192"/>
    </row>
    <row r="320" ht="29.25" customHeight="1">
      <c r="A320" s="189"/>
      <c r="B320" s="190"/>
      <c r="C320" s="157"/>
      <c r="D320" s="157"/>
      <c r="E320" s="158"/>
      <c r="F320" s="166"/>
      <c r="G320" s="161"/>
      <c r="H320" s="161"/>
      <c r="I320" s="162"/>
      <c r="J320" s="163"/>
      <c r="K320" s="163"/>
      <c r="L320" s="163"/>
      <c r="M320" s="160"/>
      <c r="N320" s="162"/>
      <c r="O320" s="164"/>
      <c r="P320" s="140"/>
      <c r="Q320" s="191"/>
      <c r="R320" s="165"/>
      <c r="S320" s="165"/>
      <c r="T320" s="166"/>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92"/>
      <c r="AR320" s="192"/>
      <c r="AS320" s="192"/>
      <c r="AT320" s="192"/>
      <c r="AU320" s="192"/>
      <c r="AV320" s="192"/>
      <c r="AW320" s="192"/>
      <c r="AX320" s="192"/>
      <c r="AY320" s="192"/>
      <c r="AZ320" s="192"/>
      <c r="BA320" s="192"/>
      <c r="BB320" s="192"/>
      <c r="BC320" s="192"/>
      <c r="BD320" s="192"/>
      <c r="BE320" s="192"/>
      <c r="BF320" s="192"/>
      <c r="BG320" s="192"/>
      <c r="BH320" s="192"/>
      <c r="BI320" s="192"/>
      <c r="BJ320" s="192"/>
      <c r="BK320" s="192"/>
      <c r="BL320" s="192"/>
      <c r="BM320" s="192"/>
      <c r="BN320" s="192"/>
    </row>
    <row r="321" ht="29.25" customHeight="1">
      <c r="A321" s="189"/>
      <c r="B321" s="190"/>
      <c r="C321" s="157"/>
      <c r="D321" s="157"/>
      <c r="E321" s="158"/>
      <c r="F321" s="166"/>
      <c r="G321" s="161"/>
      <c r="H321" s="161"/>
      <c r="I321" s="162"/>
      <c r="J321" s="163"/>
      <c r="K321" s="163"/>
      <c r="L321" s="163"/>
      <c r="M321" s="160"/>
      <c r="N321" s="162"/>
      <c r="O321" s="164"/>
      <c r="P321" s="140"/>
      <c r="Q321" s="191"/>
      <c r="R321" s="165"/>
      <c r="S321" s="165"/>
      <c r="T321" s="166"/>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92"/>
      <c r="AR321" s="192"/>
      <c r="AS321" s="192"/>
      <c r="AT321" s="192"/>
      <c r="AU321" s="192"/>
      <c r="AV321" s="192"/>
      <c r="AW321" s="192"/>
      <c r="AX321" s="192"/>
      <c r="AY321" s="192"/>
      <c r="AZ321" s="192"/>
      <c r="BA321" s="192"/>
      <c r="BB321" s="192"/>
      <c r="BC321" s="192"/>
      <c r="BD321" s="192"/>
      <c r="BE321" s="192"/>
      <c r="BF321" s="192"/>
      <c r="BG321" s="192"/>
      <c r="BH321" s="192"/>
      <c r="BI321" s="192"/>
      <c r="BJ321" s="192"/>
      <c r="BK321" s="192"/>
      <c r="BL321" s="192"/>
      <c r="BM321" s="192"/>
      <c r="BN321" s="192"/>
    </row>
    <row r="322" ht="29.25" customHeight="1">
      <c r="A322" s="189"/>
      <c r="B322" s="190"/>
      <c r="C322" s="157"/>
      <c r="D322" s="157"/>
      <c r="E322" s="158"/>
      <c r="F322" s="166"/>
      <c r="G322" s="161"/>
      <c r="H322" s="161"/>
      <c r="I322" s="162"/>
      <c r="J322" s="163"/>
      <c r="K322" s="163"/>
      <c r="L322" s="163"/>
      <c r="M322" s="160"/>
      <c r="N322" s="162"/>
      <c r="O322" s="164"/>
      <c r="P322" s="140"/>
      <c r="Q322" s="191"/>
      <c r="R322" s="165"/>
      <c r="S322" s="165"/>
      <c r="T322" s="166"/>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92"/>
      <c r="AR322" s="192"/>
      <c r="AS322" s="192"/>
      <c r="AT322" s="192"/>
      <c r="AU322" s="192"/>
      <c r="AV322" s="192"/>
      <c r="AW322" s="192"/>
      <c r="AX322" s="192"/>
      <c r="AY322" s="192"/>
      <c r="AZ322" s="192"/>
      <c r="BA322" s="192"/>
      <c r="BB322" s="192"/>
      <c r="BC322" s="192"/>
      <c r="BD322" s="192"/>
      <c r="BE322" s="192"/>
      <c r="BF322" s="192"/>
      <c r="BG322" s="192"/>
      <c r="BH322" s="192"/>
      <c r="BI322" s="192"/>
      <c r="BJ322" s="192"/>
      <c r="BK322" s="192"/>
      <c r="BL322" s="192"/>
      <c r="BM322" s="192"/>
      <c r="BN322" s="192"/>
    </row>
    <row r="323" ht="29.25" customHeight="1">
      <c r="A323" s="189"/>
      <c r="B323" s="190"/>
      <c r="C323" s="157"/>
      <c r="D323" s="157"/>
      <c r="E323" s="158"/>
      <c r="F323" s="166"/>
      <c r="G323" s="161"/>
      <c r="H323" s="161"/>
      <c r="I323" s="162"/>
      <c r="J323" s="163"/>
      <c r="K323" s="163"/>
      <c r="L323" s="163"/>
      <c r="M323" s="160"/>
      <c r="N323" s="162"/>
      <c r="O323" s="164"/>
      <c r="P323" s="140"/>
      <c r="Q323" s="191"/>
      <c r="R323" s="165"/>
      <c r="S323" s="165"/>
      <c r="T323" s="166"/>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92"/>
      <c r="AR323" s="192"/>
      <c r="AS323" s="192"/>
      <c r="AT323" s="192"/>
      <c r="AU323" s="192"/>
      <c r="AV323" s="192"/>
      <c r="AW323" s="192"/>
      <c r="AX323" s="192"/>
      <c r="AY323" s="192"/>
      <c r="AZ323" s="192"/>
      <c r="BA323" s="192"/>
      <c r="BB323" s="192"/>
      <c r="BC323" s="192"/>
      <c r="BD323" s="192"/>
      <c r="BE323" s="192"/>
      <c r="BF323" s="192"/>
      <c r="BG323" s="192"/>
      <c r="BH323" s="192"/>
      <c r="BI323" s="192"/>
      <c r="BJ323" s="192"/>
      <c r="BK323" s="192"/>
      <c r="BL323" s="192"/>
      <c r="BM323" s="192"/>
      <c r="BN323" s="192"/>
    </row>
    <row r="324" ht="29.25" customHeight="1">
      <c r="A324" s="189"/>
      <c r="B324" s="190"/>
      <c r="C324" s="157"/>
      <c r="D324" s="157"/>
      <c r="E324" s="158"/>
      <c r="F324" s="166"/>
      <c r="G324" s="161"/>
      <c r="H324" s="161"/>
      <c r="I324" s="162"/>
      <c r="J324" s="163"/>
      <c r="K324" s="163"/>
      <c r="L324" s="163"/>
      <c r="M324" s="160"/>
      <c r="N324" s="162"/>
      <c r="O324" s="164"/>
      <c r="P324" s="140"/>
      <c r="Q324" s="191"/>
      <c r="R324" s="165"/>
      <c r="S324" s="165"/>
      <c r="T324" s="166"/>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92"/>
      <c r="AR324" s="192"/>
      <c r="AS324" s="192"/>
      <c r="AT324" s="192"/>
      <c r="AU324" s="192"/>
      <c r="AV324" s="192"/>
      <c r="AW324" s="192"/>
      <c r="AX324" s="192"/>
      <c r="AY324" s="192"/>
      <c r="AZ324" s="192"/>
      <c r="BA324" s="192"/>
      <c r="BB324" s="192"/>
      <c r="BC324" s="192"/>
      <c r="BD324" s="192"/>
      <c r="BE324" s="192"/>
      <c r="BF324" s="192"/>
      <c r="BG324" s="192"/>
      <c r="BH324" s="192"/>
      <c r="BI324" s="192"/>
      <c r="BJ324" s="192"/>
      <c r="BK324" s="192"/>
      <c r="BL324" s="192"/>
      <c r="BM324" s="192"/>
      <c r="BN324" s="192"/>
    </row>
    <row r="325" ht="29.25" customHeight="1">
      <c r="A325" s="189"/>
      <c r="B325" s="190"/>
      <c r="C325" s="157"/>
      <c r="D325" s="157"/>
      <c r="E325" s="158"/>
      <c r="F325" s="166"/>
      <c r="G325" s="161"/>
      <c r="H325" s="161"/>
      <c r="I325" s="162"/>
      <c r="J325" s="163"/>
      <c r="K325" s="163"/>
      <c r="L325" s="163"/>
      <c r="M325" s="160"/>
      <c r="N325" s="162"/>
      <c r="O325" s="164"/>
      <c r="P325" s="140"/>
      <c r="Q325" s="191"/>
      <c r="R325" s="165"/>
      <c r="S325" s="165"/>
      <c r="T325" s="166"/>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92"/>
      <c r="AR325" s="192"/>
      <c r="AS325" s="192"/>
      <c r="AT325" s="192"/>
      <c r="AU325" s="192"/>
      <c r="AV325" s="192"/>
      <c r="AW325" s="192"/>
      <c r="AX325" s="192"/>
      <c r="AY325" s="192"/>
      <c r="AZ325" s="192"/>
      <c r="BA325" s="192"/>
      <c r="BB325" s="192"/>
      <c r="BC325" s="192"/>
      <c r="BD325" s="192"/>
      <c r="BE325" s="192"/>
      <c r="BF325" s="192"/>
      <c r="BG325" s="192"/>
      <c r="BH325" s="192"/>
      <c r="BI325" s="192"/>
      <c r="BJ325" s="192"/>
      <c r="BK325" s="192"/>
      <c r="BL325" s="192"/>
      <c r="BM325" s="192"/>
      <c r="BN325" s="192"/>
    </row>
    <row r="326" ht="29.25" customHeight="1">
      <c r="A326" s="189"/>
      <c r="B326" s="190"/>
      <c r="C326" s="157"/>
      <c r="D326" s="157"/>
      <c r="E326" s="158"/>
      <c r="F326" s="166"/>
      <c r="G326" s="161"/>
      <c r="H326" s="161"/>
      <c r="I326" s="162"/>
      <c r="J326" s="163"/>
      <c r="K326" s="163"/>
      <c r="L326" s="163"/>
      <c r="M326" s="160"/>
      <c r="N326" s="162"/>
      <c r="O326" s="164"/>
      <c r="P326" s="140"/>
      <c r="Q326" s="191"/>
      <c r="R326" s="165"/>
      <c r="S326" s="165"/>
      <c r="T326" s="166"/>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92"/>
      <c r="AR326" s="192"/>
      <c r="AS326" s="192"/>
      <c r="AT326" s="192"/>
      <c r="AU326" s="192"/>
      <c r="AV326" s="192"/>
      <c r="AW326" s="192"/>
      <c r="AX326" s="192"/>
      <c r="AY326" s="192"/>
      <c r="AZ326" s="192"/>
      <c r="BA326" s="192"/>
      <c r="BB326" s="192"/>
      <c r="BC326" s="192"/>
      <c r="BD326" s="192"/>
      <c r="BE326" s="192"/>
      <c r="BF326" s="192"/>
      <c r="BG326" s="192"/>
      <c r="BH326" s="192"/>
      <c r="BI326" s="192"/>
      <c r="BJ326" s="192"/>
      <c r="BK326" s="192"/>
      <c r="BL326" s="192"/>
      <c r="BM326" s="192"/>
      <c r="BN326" s="192"/>
    </row>
    <row r="327" ht="29.25" customHeight="1">
      <c r="A327" s="189"/>
      <c r="B327" s="190"/>
      <c r="C327" s="157"/>
      <c r="D327" s="157"/>
      <c r="E327" s="158"/>
      <c r="F327" s="166"/>
      <c r="G327" s="161"/>
      <c r="H327" s="161"/>
      <c r="I327" s="162"/>
      <c r="J327" s="163"/>
      <c r="K327" s="163"/>
      <c r="L327" s="163"/>
      <c r="M327" s="160"/>
      <c r="N327" s="162"/>
      <c r="O327" s="164"/>
      <c r="P327" s="140"/>
      <c r="Q327" s="191"/>
      <c r="R327" s="165"/>
      <c r="S327" s="165"/>
      <c r="T327" s="166"/>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92"/>
      <c r="AR327" s="192"/>
      <c r="AS327" s="192"/>
      <c r="AT327" s="192"/>
      <c r="AU327" s="192"/>
      <c r="AV327" s="192"/>
      <c r="AW327" s="192"/>
      <c r="AX327" s="192"/>
      <c r="AY327" s="192"/>
      <c r="AZ327" s="192"/>
      <c r="BA327" s="192"/>
      <c r="BB327" s="192"/>
      <c r="BC327" s="192"/>
      <c r="BD327" s="192"/>
      <c r="BE327" s="192"/>
      <c r="BF327" s="192"/>
      <c r="BG327" s="192"/>
      <c r="BH327" s="192"/>
      <c r="BI327" s="192"/>
      <c r="BJ327" s="192"/>
      <c r="BK327" s="192"/>
      <c r="BL327" s="192"/>
      <c r="BM327" s="192"/>
      <c r="BN327" s="192"/>
    </row>
    <row r="328" ht="29.25" customHeight="1">
      <c r="A328" s="189"/>
      <c r="B328" s="190"/>
      <c r="C328" s="157"/>
      <c r="D328" s="157"/>
      <c r="E328" s="158"/>
      <c r="F328" s="166"/>
      <c r="G328" s="161"/>
      <c r="H328" s="161"/>
      <c r="I328" s="162"/>
      <c r="J328" s="163"/>
      <c r="K328" s="163"/>
      <c r="L328" s="163"/>
      <c r="M328" s="160"/>
      <c r="N328" s="162"/>
      <c r="O328" s="164"/>
      <c r="P328" s="140"/>
      <c r="Q328" s="191"/>
      <c r="R328" s="165"/>
      <c r="S328" s="165"/>
      <c r="T328" s="166"/>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92"/>
      <c r="AR328" s="192"/>
      <c r="AS328" s="192"/>
      <c r="AT328" s="192"/>
      <c r="AU328" s="192"/>
      <c r="AV328" s="192"/>
      <c r="AW328" s="192"/>
      <c r="AX328" s="192"/>
      <c r="AY328" s="192"/>
      <c r="AZ328" s="192"/>
      <c r="BA328" s="192"/>
      <c r="BB328" s="192"/>
      <c r="BC328" s="192"/>
      <c r="BD328" s="192"/>
      <c r="BE328" s="192"/>
      <c r="BF328" s="192"/>
      <c r="BG328" s="192"/>
      <c r="BH328" s="192"/>
      <c r="BI328" s="192"/>
      <c r="BJ328" s="192"/>
      <c r="BK328" s="192"/>
      <c r="BL328" s="192"/>
      <c r="BM328" s="192"/>
      <c r="BN328" s="192"/>
    </row>
    <row r="329" ht="29.25" customHeight="1">
      <c r="A329" s="189"/>
      <c r="B329" s="190"/>
      <c r="C329" s="157"/>
      <c r="D329" s="157"/>
      <c r="E329" s="158"/>
      <c r="F329" s="166"/>
      <c r="G329" s="161"/>
      <c r="H329" s="161"/>
      <c r="I329" s="162"/>
      <c r="J329" s="163"/>
      <c r="K329" s="163"/>
      <c r="L329" s="163"/>
      <c r="M329" s="160"/>
      <c r="N329" s="162"/>
      <c r="O329" s="164"/>
      <c r="P329" s="140"/>
      <c r="Q329" s="191"/>
      <c r="R329" s="165"/>
      <c r="S329" s="165"/>
      <c r="T329" s="166"/>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92"/>
      <c r="AR329" s="192"/>
      <c r="AS329" s="192"/>
      <c r="AT329" s="192"/>
      <c r="AU329" s="192"/>
      <c r="AV329" s="192"/>
      <c r="AW329" s="192"/>
      <c r="AX329" s="192"/>
      <c r="AY329" s="192"/>
      <c r="AZ329" s="192"/>
      <c r="BA329" s="192"/>
      <c r="BB329" s="192"/>
      <c r="BC329" s="192"/>
      <c r="BD329" s="192"/>
      <c r="BE329" s="192"/>
      <c r="BF329" s="192"/>
      <c r="BG329" s="192"/>
      <c r="BH329" s="192"/>
      <c r="BI329" s="192"/>
      <c r="BJ329" s="192"/>
      <c r="BK329" s="192"/>
      <c r="BL329" s="192"/>
      <c r="BM329" s="192"/>
      <c r="BN329" s="192"/>
    </row>
    <row r="330" ht="29.25" customHeight="1">
      <c r="A330" s="189"/>
      <c r="B330" s="190"/>
      <c r="C330" s="157"/>
      <c r="D330" s="157"/>
      <c r="E330" s="158"/>
      <c r="F330" s="166"/>
      <c r="G330" s="161"/>
      <c r="H330" s="161"/>
      <c r="I330" s="162"/>
      <c r="J330" s="163"/>
      <c r="K330" s="163"/>
      <c r="L330" s="163"/>
      <c r="M330" s="160"/>
      <c r="N330" s="162"/>
      <c r="O330" s="164"/>
      <c r="P330" s="140"/>
      <c r="Q330" s="191"/>
      <c r="R330" s="165"/>
      <c r="S330" s="165"/>
      <c r="T330" s="166"/>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92"/>
      <c r="AR330" s="192"/>
      <c r="AS330" s="192"/>
      <c r="AT330" s="192"/>
      <c r="AU330" s="192"/>
      <c r="AV330" s="192"/>
      <c r="AW330" s="192"/>
      <c r="AX330" s="192"/>
      <c r="AY330" s="192"/>
      <c r="AZ330" s="192"/>
      <c r="BA330" s="192"/>
      <c r="BB330" s="192"/>
      <c r="BC330" s="192"/>
      <c r="BD330" s="192"/>
      <c r="BE330" s="192"/>
      <c r="BF330" s="192"/>
      <c r="BG330" s="192"/>
      <c r="BH330" s="192"/>
      <c r="BI330" s="192"/>
      <c r="BJ330" s="192"/>
      <c r="BK330" s="192"/>
      <c r="BL330" s="192"/>
      <c r="BM330" s="192"/>
      <c r="BN330" s="192"/>
    </row>
    <row r="331" ht="29.25" customHeight="1">
      <c r="A331" s="189"/>
      <c r="B331" s="190"/>
      <c r="C331" s="157"/>
      <c r="D331" s="157"/>
      <c r="E331" s="158"/>
      <c r="F331" s="166"/>
      <c r="G331" s="161"/>
      <c r="H331" s="161"/>
      <c r="I331" s="162"/>
      <c r="J331" s="163"/>
      <c r="K331" s="163"/>
      <c r="L331" s="163"/>
      <c r="M331" s="160"/>
      <c r="N331" s="162"/>
      <c r="O331" s="164"/>
      <c r="P331" s="140"/>
      <c r="Q331" s="191"/>
      <c r="R331" s="165"/>
      <c r="S331" s="165"/>
      <c r="T331" s="166"/>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92"/>
      <c r="AR331" s="192"/>
      <c r="AS331" s="192"/>
      <c r="AT331" s="192"/>
      <c r="AU331" s="192"/>
      <c r="AV331" s="192"/>
      <c r="AW331" s="192"/>
      <c r="AX331" s="192"/>
      <c r="AY331" s="192"/>
      <c r="AZ331" s="192"/>
      <c r="BA331" s="192"/>
      <c r="BB331" s="192"/>
      <c r="BC331" s="192"/>
      <c r="BD331" s="192"/>
      <c r="BE331" s="192"/>
      <c r="BF331" s="192"/>
      <c r="BG331" s="192"/>
      <c r="BH331" s="192"/>
      <c r="BI331" s="192"/>
      <c r="BJ331" s="192"/>
      <c r="BK331" s="192"/>
      <c r="BL331" s="192"/>
      <c r="BM331" s="192"/>
      <c r="BN331" s="192"/>
    </row>
    <row r="332" ht="29.25" customHeight="1">
      <c r="A332" s="189"/>
      <c r="B332" s="190"/>
      <c r="C332" s="157"/>
      <c r="D332" s="157"/>
      <c r="E332" s="158"/>
      <c r="F332" s="166"/>
      <c r="G332" s="161"/>
      <c r="H332" s="161"/>
      <c r="I332" s="162"/>
      <c r="J332" s="163"/>
      <c r="K332" s="163"/>
      <c r="L332" s="163"/>
      <c r="M332" s="160"/>
      <c r="N332" s="162"/>
      <c r="O332" s="164"/>
      <c r="P332" s="140"/>
      <c r="Q332" s="191"/>
      <c r="R332" s="165"/>
      <c r="S332" s="165"/>
      <c r="T332" s="166"/>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92"/>
      <c r="AR332" s="192"/>
      <c r="AS332" s="192"/>
      <c r="AT332" s="192"/>
      <c r="AU332" s="192"/>
      <c r="AV332" s="192"/>
      <c r="AW332" s="192"/>
      <c r="AX332" s="192"/>
      <c r="AY332" s="192"/>
      <c r="AZ332" s="192"/>
      <c r="BA332" s="192"/>
      <c r="BB332" s="192"/>
      <c r="BC332" s="192"/>
      <c r="BD332" s="192"/>
      <c r="BE332" s="192"/>
      <c r="BF332" s="192"/>
      <c r="BG332" s="192"/>
      <c r="BH332" s="192"/>
      <c r="BI332" s="192"/>
      <c r="BJ332" s="192"/>
      <c r="BK332" s="192"/>
      <c r="BL332" s="192"/>
      <c r="BM332" s="192"/>
      <c r="BN332" s="192"/>
    </row>
    <row r="333" ht="29.25" customHeight="1">
      <c r="A333" s="189"/>
      <c r="B333" s="190"/>
      <c r="C333" s="157"/>
      <c r="D333" s="157"/>
      <c r="E333" s="158"/>
      <c r="F333" s="166"/>
      <c r="G333" s="161"/>
      <c r="H333" s="161"/>
      <c r="I333" s="162"/>
      <c r="J333" s="163"/>
      <c r="K333" s="163"/>
      <c r="L333" s="163"/>
      <c r="M333" s="160"/>
      <c r="N333" s="162"/>
      <c r="O333" s="164"/>
      <c r="P333" s="140"/>
      <c r="Q333" s="191"/>
      <c r="R333" s="165"/>
      <c r="S333" s="165"/>
      <c r="T333" s="166"/>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92"/>
      <c r="AR333" s="192"/>
      <c r="AS333" s="192"/>
      <c r="AT333" s="192"/>
      <c r="AU333" s="192"/>
      <c r="AV333" s="192"/>
      <c r="AW333" s="192"/>
      <c r="AX333" s="192"/>
      <c r="AY333" s="192"/>
      <c r="AZ333" s="192"/>
      <c r="BA333" s="192"/>
      <c r="BB333" s="192"/>
      <c r="BC333" s="192"/>
      <c r="BD333" s="192"/>
      <c r="BE333" s="192"/>
      <c r="BF333" s="192"/>
      <c r="BG333" s="192"/>
      <c r="BH333" s="192"/>
      <c r="BI333" s="192"/>
      <c r="BJ333" s="192"/>
      <c r="BK333" s="192"/>
      <c r="BL333" s="192"/>
      <c r="BM333" s="192"/>
      <c r="BN333" s="192"/>
    </row>
    <row r="334" ht="29.25" customHeight="1">
      <c r="A334" s="189"/>
      <c r="B334" s="190"/>
      <c r="C334" s="157"/>
      <c r="D334" s="157"/>
      <c r="E334" s="158"/>
      <c r="F334" s="166"/>
      <c r="G334" s="161"/>
      <c r="H334" s="161"/>
      <c r="I334" s="162"/>
      <c r="J334" s="163"/>
      <c r="K334" s="163"/>
      <c r="L334" s="163"/>
      <c r="M334" s="160"/>
      <c r="N334" s="162"/>
      <c r="O334" s="164"/>
      <c r="P334" s="140"/>
      <c r="Q334" s="191"/>
      <c r="R334" s="165"/>
      <c r="S334" s="165"/>
      <c r="T334" s="166"/>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92"/>
      <c r="AR334" s="192"/>
      <c r="AS334" s="192"/>
      <c r="AT334" s="192"/>
      <c r="AU334" s="192"/>
      <c r="AV334" s="192"/>
      <c r="AW334" s="192"/>
      <c r="AX334" s="192"/>
      <c r="AY334" s="192"/>
      <c r="AZ334" s="192"/>
      <c r="BA334" s="192"/>
      <c r="BB334" s="192"/>
      <c r="BC334" s="192"/>
      <c r="BD334" s="192"/>
      <c r="BE334" s="192"/>
      <c r="BF334" s="192"/>
      <c r="BG334" s="192"/>
      <c r="BH334" s="192"/>
      <c r="BI334" s="192"/>
      <c r="BJ334" s="192"/>
      <c r="BK334" s="192"/>
      <c r="BL334" s="192"/>
      <c r="BM334" s="192"/>
      <c r="BN334" s="192"/>
    </row>
    <row r="335" ht="29.25" customHeight="1">
      <c r="A335" s="189"/>
      <c r="B335" s="190"/>
      <c r="C335" s="157"/>
      <c r="D335" s="157"/>
      <c r="E335" s="158"/>
      <c r="F335" s="166"/>
      <c r="G335" s="161"/>
      <c r="H335" s="161"/>
      <c r="I335" s="162"/>
      <c r="J335" s="163"/>
      <c r="K335" s="163"/>
      <c r="L335" s="163"/>
      <c r="M335" s="160"/>
      <c r="N335" s="162"/>
      <c r="O335" s="164"/>
      <c r="P335" s="140"/>
      <c r="Q335" s="191"/>
      <c r="R335" s="165"/>
      <c r="S335" s="165"/>
      <c r="T335" s="166"/>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92"/>
      <c r="AR335" s="192"/>
      <c r="AS335" s="192"/>
      <c r="AT335" s="192"/>
      <c r="AU335" s="192"/>
      <c r="AV335" s="192"/>
      <c r="AW335" s="192"/>
      <c r="AX335" s="192"/>
      <c r="AY335" s="192"/>
      <c r="AZ335" s="192"/>
      <c r="BA335" s="192"/>
      <c r="BB335" s="192"/>
      <c r="BC335" s="192"/>
      <c r="BD335" s="192"/>
      <c r="BE335" s="192"/>
      <c r="BF335" s="192"/>
      <c r="BG335" s="192"/>
      <c r="BH335" s="192"/>
      <c r="BI335" s="192"/>
      <c r="BJ335" s="192"/>
      <c r="BK335" s="192"/>
      <c r="BL335" s="192"/>
      <c r="BM335" s="192"/>
      <c r="BN335" s="192"/>
    </row>
    <row r="336" ht="29.25" customHeight="1">
      <c r="A336" s="189"/>
      <c r="B336" s="190"/>
      <c r="C336" s="157"/>
      <c r="D336" s="157"/>
      <c r="E336" s="158"/>
      <c r="F336" s="166"/>
      <c r="G336" s="161"/>
      <c r="H336" s="161"/>
      <c r="I336" s="162"/>
      <c r="J336" s="163"/>
      <c r="K336" s="163"/>
      <c r="L336" s="163"/>
      <c r="M336" s="160"/>
      <c r="N336" s="162"/>
      <c r="O336" s="164"/>
      <c r="P336" s="140"/>
      <c r="Q336" s="191"/>
      <c r="R336" s="165"/>
      <c r="S336" s="165"/>
      <c r="T336" s="166"/>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92"/>
      <c r="AR336" s="192"/>
      <c r="AS336" s="192"/>
      <c r="AT336" s="192"/>
      <c r="AU336" s="192"/>
      <c r="AV336" s="192"/>
      <c r="AW336" s="192"/>
      <c r="AX336" s="192"/>
      <c r="AY336" s="192"/>
      <c r="AZ336" s="192"/>
      <c r="BA336" s="192"/>
      <c r="BB336" s="192"/>
      <c r="BC336" s="192"/>
      <c r="BD336" s="192"/>
      <c r="BE336" s="192"/>
      <c r="BF336" s="192"/>
      <c r="BG336" s="192"/>
      <c r="BH336" s="192"/>
      <c r="BI336" s="192"/>
      <c r="BJ336" s="192"/>
      <c r="BK336" s="192"/>
      <c r="BL336" s="192"/>
      <c r="BM336" s="192"/>
      <c r="BN336" s="192"/>
    </row>
    <row r="337" ht="29.25" customHeight="1">
      <c r="A337" s="189"/>
      <c r="B337" s="190"/>
      <c r="C337" s="157"/>
      <c r="D337" s="157"/>
      <c r="E337" s="158"/>
      <c r="F337" s="166"/>
      <c r="G337" s="161"/>
      <c r="H337" s="161"/>
      <c r="I337" s="162"/>
      <c r="J337" s="163"/>
      <c r="K337" s="163"/>
      <c r="L337" s="163"/>
      <c r="M337" s="160"/>
      <c r="N337" s="162"/>
      <c r="O337" s="164"/>
      <c r="P337" s="140"/>
      <c r="Q337" s="191"/>
      <c r="R337" s="165"/>
      <c r="S337" s="165"/>
      <c r="T337" s="166"/>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92"/>
      <c r="AR337" s="192"/>
      <c r="AS337" s="192"/>
      <c r="AT337" s="192"/>
      <c r="AU337" s="192"/>
      <c r="AV337" s="192"/>
      <c r="AW337" s="192"/>
      <c r="AX337" s="192"/>
      <c r="AY337" s="192"/>
      <c r="AZ337" s="192"/>
      <c r="BA337" s="192"/>
      <c r="BB337" s="192"/>
      <c r="BC337" s="192"/>
      <c r="BD337" s="192"/>
      <c r="BE337" s="192"/>
      <c r="BF337" s="192"/>
      <c r="BG337" s="192"/>
      <c r="BH337" s="192"/>
      <c r="BI337" s="192"/>
      <c r="BJ337" s="192"/>
      <c r="BK337" s="192"/>
      <c r="BL337" s="192"/>
      <c r="BM337" s="192"/>
      <c r="BN337" s="192"/>
    </row>
    <row r="338" ht="29.25" customHeight="1">
      <c r="A338" s="189"/>
      <c r="B338" s="190"/>
      <c r="C338" s="157"/>
      <c r="D338" s="157"/>
      <c r="E338" s="158"/>
      <c r="F338" s="166"/>
      <c r="G338" s="161"/>
      <c r="H338" s="161"/>
      <c r="I338" s="162"/>
      <c r="J338" s="163"/>
      <c r="K338" s="163"/>
      <c r="L338" s="163"/>
      <c r="M338" s="160"/>
      <c r="N338" s="162"/>
      <c r="O338" s="164"/>
      <c r="P338" s="140"/>
      <c r="Q338" s="191"/>
      <c r="R338" s="165"/>
      <c r="S338" s="165"/>
      <c r="T338" s="166"/>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92"/>
      <c r="AR338" s="192"/>
      <c r="AS338" s="192"/>
      <c r="AT338" s="192"/>
      <c r="AU338" s="192"/>
      <c r="AV338" s="192"/>
      <c r="AW338" s="192"/>
      <c r="AX338" s="192"/>
      <c r="AY338" s="192"/>
      <c r="AZ338" s="192"/>
      <c r="BA338" s="192"/>
      <c r="BB338" s="192"/>
      <c r="BC338" s="192"/>
      <c r="BD338" s="192"/>
      <c r="BE338" s="192"/>
      <c r="BF338" s="192"/>
      <c r="BG338" s="192"/>
      <c r="BH338" s="192"/>
      <c r="BI338" s="192"/>
      <c r="BJ338" s="192"/>
      <c r="BK338" s="192"/>
      <c r="BL338" s="192"/>
      <c r="BM338" s="192"/>
      <c r="BN338" s="192"/>
    </row>
    <row r="339" ht="29.25" customHeight="1">
      <c r="A339" s="189"/>
      <c r="B339" s="190"/>
      <c r="C339" s="157"/>
      <c r="D339" s="157"/>
      <c r="E339" s="158"/>
      <c r="F339" s="166"/>
      <c r="G339" s="161"/>
      <c r="H339" s="161"/>
      <c r="I339" s="162"/>
      <c r="J339" s="163"/>
      <c r="K339" s="163"/>
      <c r="L339" s="163"/>
      <c r="M339" s="160"/>
      <c r="N339" s="162"/>
      <c r="O339" s="164"/>
      <c r="P339" s="140"/>
      <c r="Q339" s="191"/>
      <c r="R339" s="165"/>
      <c r="S339" s="165"/>
      <c r="T339" s="166"/>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92"/>
      <c r="AR339" s="192"/>
      <c r="AS339" s="192"/>
      <c r="AT339" s="192"/>
      <c r="AU339" s="192"/>
      <c r="AV339" s="192"/>
      <c r="AW339" s="192"/>
      <c r="AX339" s="192"/>
      <c r="AY339" s="192"/>
      <c r="AZ339" s="192"/>
      <c r="BA339" s="192"/>
      <c r="BB339" s="192"/>
      <c r="BC339" s="192"/>
      <c r="BD339" s="192"/>
      <c r="BE339" s="192"/>
      <c r="BF339" s="192"/>
      <c r="BG339" s="192"/>
      <c r="BH339" s="192"/>
      <c r="BI339" s="192"/>
      <c r="BJ339" s="192"/>
      <c r="BK339" s="192"/>
      <c r="BL339" s="192"/>
      <c r="BM339" s="192"/>
      <c r="BN339" s="192"/>
    </row>
    <row r="340" ht="29.25" customHeight="1">
      <c r="A340" s="189"/>
      <c r="B340" s="190"/>
      <c r="C340" s="157"/>
      <c r="D340" s="157"/>
      <c r="E340" s="158"/>
      <c r="F340" s="166"/>
      <c r="G340" s="161"/>
      <c r="H340" s="161"/>
      <c r="I340" s="162"/>
      <c r="J340" s="163"/>
      <c r="K340" s="163"/>
      <c r="L340" s="163"/>
      <c r="M340" s="160"/>
      <c r="N340" s="162"/>
      <c r="O340" s="164"/>
      <c r="P340" s="140"/>
      <c r="Q340" s="191"/>
      <c r="R340" s="165"/>
      <c r="S340" s="165"/>
      <c r="T340" s="166"/>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92"/>
      <c r="AR340" s="192"/>
      <c r="AS340" s="192"/>
      <c r="AT340" s="192"/>
      <c r="AU340" s="192"/>
      <c r="AV340" s="192"/>
      <c r="AW340" s="192"/>
      <c r="AX340" s="192"/>
      <c r="AY340" s="192"/>
      <c r="AZ340" s="192"/>
      <c r="BA340" s="192"/>
      <c r="BB340" s="192"/>
      <c r="BC340" s="192"/>
      <c r="BD340" s="192"/>
      <c r="BE340" s="192"/>
      <c r="BF340" s="192"/>
      <c r="BG340" s="192"/>
      <c r="BH340" s="192"/>
      <c r="BI340" s="192"/>
      <c r="BJ340" s="192"/>
      <c r="BK340" s="192"/>
      <c r="BL340" s="192"/>
      <c r="BM340" s="192"/>
      <c r="BN340" s="192"/>
    </row>
    <row r="341" ht="29.25" customHeight="1">
      <c r="A341" s="189"/>
      <c r="B341" s="190"/>
      <c r="C341" s="157"/>
      <c r="D341" s="157"/>
      <c r="E341" s="158"/>
      <c r="F341" s="166"/>
      <c r="G341" s="161"/>
      <c r="H341" s="161"/>
      <c r="I341" s="162"/>
      <c r="J341" s="163"/>
      <c r="K341" s="163"/>
      <c r="L341" s="163"/>
      <c r="M341" s="160"/>
      <c r="N341" s="162"/>
      <c r="O341" s="164"/>
      <c r="P341" s="140"/>
      <c r="Q341" s="191"/>
      <c r="R341" s="165"/>
      <c r="S341" s="165"/>
      <c r="T341" s="166"/>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92"/>
      <c r="AR341" s="192"/>
      <c r="AS341" s="192"/>
      <c r="AT341" s="192"/>
      <c r="AU341" s="192"/>
      <c r="AV341" s="192"/>
      <c r="AW341" s="192"/>
      <c r="AX341" s="192"/>
      <c r="AY341" s="192"/>
      <c r="AZ341" s="192"/>
      <c r="BA341" s="192"/>
      <c r="BB341" s="192"/>
      <c r="BC341" s="192"/>
      <c r="BD341" s="192"/>
      <c r="BE341" s="192"/>
      <c r="BF341" s="192"/>
      <c r="BG341" s="192"/>
      <c r="BH341" s="192"/>
      <c r="BI341" s="192"/>
      <c r="BJ341" s="192"/>
      <c r="BK341" s="192"/>
      <c r="BL341" s="192"/>
      <c r="BM341" s="192"/>
      <c r="BN341" s="192"/>
    </row>
    <row r="342" ht="29.25" customHeight="1">
      <c r="A342" s="189"/>
      <c r="B342" s="190"/>
      <c r="C342" s="157"/>
      <c r="D342" s="157"/>
      <c r="E342" s="158"/>
      <c r="F342" s="166"/>
      <c r="G342" s="161"/>
      <c r="H342" s="161"/>
      <c r="I342" s="162"/>
      <c r="J342" s="163"/>
      <c r="K342" s="163"/>
      <c r="L342" s="163"/>
      <c r="M342" s="160"/>
      <c r="N342" s="162"/>
      <c r="O342" s="164"/>
      <c r="P342" s="140"/>
      <c r="Q342" s="191"/>
      <c r="R342" s="165"/>
      <c r="S342" s="165"/>
      <c r="T342" s="166"/>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92"/>
      <c r="AR342" s="192"/>
      <c r="AS342" s="192"/>
      <c r="AT342" s="192"/>
      <c r="AU342" s="192"/>
      <c r="AV342" s="192"/>
      <c r="AW342" s="192"/>
      <c r="AX342" s="192"/>
      <c r="AY342" s="192"/>
      <c r="AZ342" s="192"/>
      <c r="BA342" s="192"/>
      <c r="BB342" s="192"/>
      <c r="BC342" s="192"/>
      <c r="BD342" s="192"/>
      <c r="BE342" s="192"/>
      <c r="BF342" s="192"/>
      <c r="BG342" s="192"/>
      <c r="BH342" s="192"/>
      <c r="BI342" s="192"/>
      <c r="BJ342" s="192"/>
      <c r="BK342" s="192"/>
      <c r="BL342" s="192"/>
      <c r="BM342" s="192"/>
      <c r="BN342" s="192"/>
    </row>
    <row r="343" ht="29.25" customHeight="1">
      <c r="A343" s="189"/>
      <c r="B343" s="190"/>
      <c r="C343" s="157"/>
      <c r="D343" s="157"/>
      <c r="E343" s="158"/>
      <c r="F343" s="166"/>
      <c r="G343" s="161"/>
      <c r="H343" s="161"/>
      <c r="I343" s="162"/>
      <c r="J343" s="163"/>
      <c r="K343" s="163"/>
      <c r="L343" s="163"/>
      <c r="M343" s="160"/>
      <c r="N343" s="162"/>
      <c r="O343" s="164"/>
      <c r="P343" s="140"/>
      <c r="Q343" s="191"/>
      <c r="R343" s="165"/>
      <c r="S343" s="165"/>
      <c r="T343" s="166"/>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92"/>
      <c r="AR343" s="192"/>
      <c r="AS343" s="192"/>
      <c r="AT343" s="192"/>
      <c r="AU343" s="192"/>
      <c r="AV343" s="192"/>
      <c r="AW343" s="192"/>
      <c r="AX343" s="192"/>
      <c r="AY343" s="192"/>
      <c r="AZ343" s="192"/>
      <c r="BA343" s="192"/>
      <c r="BB343" s="192"/>
      <c r="BC343" s="192"/>
      <c r="BD343" s="192"/>
      <c r="BE343" s="192"/>
      <c r="BF343" s="192"/>
      <c r="BG343" s="192"/>
      <c r="BH343" s="192"/>
      <c r="BI343" s="192"/>
      <c r="BJ343" s="192"/>
      <c r="BK343" s="192"/>
      <c r="BL343" s="192"/>
      <c r="BM343" s="192"/>
      <c r="BN343" s="192"/>
    </row>
    <row r="344" ht="29.25" customHeight="1">
      <c r="A344" s="189"/>
      <c r="B344" s="190"/>
      <c r="C344" s="157"/>
      <c r="D344" s="157"/>
      <c r="E344" s="158"/>
      <c r="F344" s="166"/>
      <c r="G344" s="161"/>
      <c r="H344" s="161"/>
      <c r="I344" s="162"/>
      <c r="J344" s="163"/>
      <c r="K344" s="163"/>
      <c r="L344" s="163"/>
      <c r="M344" s="160"/>
      <c r="N344" s="162"/>
      <c r="O344" s="164"/>
      <c r="P344" s="140"/>
      <c r="Q344" s="191"/>
      <c r="R344" s="165"/>
      <c r="S344" s="165"/>
      <c r="T344" s="166"/>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92"/>
      <c r="AR344" s="192"/>
      <c r="AS344" s="192"/>
      <c r="AT344" s="192"/>
      <c r="AU344" s="192"/>
      <c r="AV344" s="192"/>
      <c r="AW344" s="192"/>
      <c r="AX344" s="192"/>
      <c r="AY344" s="192"/>
      <c r="AZ344" s="192"/>
      <c r="BA344" s="192"/>
      <c r="BB344" s="192"/>
      <c r="BC344" s="192"/>
      <c r="BD344" s="192"/>
      <c r="BE344" s="192"/>
      <c r="BF344" s="192"/>
      <c r="BG344" s="192"/>
      <c r="BH344" s="192"/>
      <c r="BI344" s="192"/>
      <c r="BJ344" s="192"/>
      <c r="BK344" s="192"/>
      <c r="BL344" s="192"/>
      <c r="BM344" s="192"/>
      <c r="BN344" s="192"/>
    </row>
    <row r="345" ht="29.25" customHeight="1">
      <c r="A345" s="189"/>
      <c r="B345" s="190"/>
      <c r="C345" s="157"/>
      <c r="D345" s="157"/>
      <c r="E345" s="158"/>
      <c r="F345" s="166"/>
      <c r="G345" s="161"/>
      <c r="H345" s="161"/>
      <c r="I345" s="162"/>
      <c r="J345" s="163"/>
      <c r="K345" s="163"/>
      <c r="L345" s="163"/>
      <c r="M345" s="160"/>
      <c r="N345" s="162"/>
      <c r="O345" s="164"/>
      <c r="P345" s="140"/>
      <c r="Q345" s="191"/>
      <c r="R345" s="165"/>
      <c r="S345" s="165"/>
      <c r="T345" s="166"/>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92"/>
      <c r="AR345" s="192"/>
      <c r="AS345" s="192"/>
      <c r="AT345" s="192"/>
      <c r="AU345" s="192"/>
      <c r="AV345" s="192"/>
      <c r="AW345" s="192"/>
      <c r="AX345" s="192"/>
      <c r="AY345" s="192"/>
      <c r="AZ345" s="192"/>
      <c r="BA345" s="192"/>
      <c r="BB345" s="192"/>
      <c r="BC345" s="192"/>
      <c r="BD345" s="192"/>
      <c r="BE345" s="192"/>
      <c r="BF345" s="192"/>
      <c r="BG345" s="192"/>
      <c r="BH345" s="192"/>
      <c r="BI345" s="192"/>
      <c r="BJ345" s="192"/>
      <c r="BK345" s="192"/>
      <c r="BL345" s="192"/>
      <c r="BM345" s="192"/>
      <c r="BN345" s="192"/>
    </row>
    <row r="346" ht="29.25" customHeight="1">
      <c r="A346" s="189"/>
      <c r="B346" s="190"/>
      <c r="C346" s="157"/>
      <c r="D346" s="157"/>
      <c r="E346" s="158"/>
      <c r="F346" s="166"/>
      <c r="G346" s="161"/>
      <c r="H346" s="161"/>
      <c r="I346" s="162"/>
      <c r="J346" s="163"/>
      <c r="K346" s="163"/>
      <c r="L346" s="163"/>
      <c r="M346" s="160"/>
      <c r="N346" s="162"/>
      <c r="O346" s="164"/>
      <c r="P346" s="140"/>
      <c r="Q346" s="191"/>
      <c r="R346" s="165"/>
      <c r="S346" s="165"/>
      <c r="T346" s="166"/>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92"/>
      <c r="AR346" s="192"/>
      <c r="AS346" s="192"/>
      <c r="AT346" s="192"/>
      <c r="AU346" s="192"/>
      <c r="AV346" s="192"/>
      <c r="AW346" s="192"/>
      <c r="AX346" s="192"/>
      <c r="AY346" s="192"/>
      <c r="AZ346" s="192"/>
      <c r="BA346" s="192"/>
      <c r="BB346" s="192"/>
      <c r="BC346" s="192"/>
      <c r="BD346" s="192"/>
      <c r="BE346" s="192"/>
      <c r="BF346" s="192"/>
      <c r="BG346" s="192"/>
      <c r="BH346" s="192"/>
      <c r="BI346" s="192"/>
      <c r="BJ346" s="192"/>
      <c r="BK346" s="192"/>
      <c r="BL346" s="192"/>
      <c r="BM346" s="192"/>
      <c r="BN346" s="192"/>
    </row>
    <row r="347" ht="29.25" customHeight="1">
      <c r="A347" s="189"/>
      <c r="B347" s="190"/>
      <c r="C347" s="157"/>
      <c r="D347" s="157"/>
      <c r="E347" s="158"/>
      <c r="F347" s="166"/>
      <c r="G347" s="161"/>
      <c r="H347" s="161"/>
      <c r="I347" s="162"/>
      <c r="J347" s="163"/>
      <c r="K347" s="163"/>
      <c r="L347" s="163"/>
      <c r="M347" s="160"/>
      <c r="N347" s="162"/>
      <c r="O347" s="164"/>
      <c r="P347" s="140"/>
      <c r="Q347" s="191"/>
      <c r="R347" s="165"/>
      <c r="S347" s="165"/>
      <c r="T347" s="166"/>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92"/>
      <c r="AR347" s="192"/>
      <c r="AS347" s="192"/>
      <c r="AT347" s="192"/>
      <c r="AU347" s="192"/>
      <c r="AV347" s="192"/>
      <c r="AW347" s="192"/>
      <c r="AX347" s="192"/>
      <c r="AY347" s="192"/>
      <c r="AZ347" s="192"/>
      <c r="BA347" s="192"/>
      <c r="BB347" s="192"/>
      <c r="BC347" s="192"/>
      <c r="BD347" s="192"/>
      <c r="BE347" s="192"/>
      <c r="BF347" s="192"/>
      <c r="BG347" s="192"/>
      <c r="BH347" s="192"/>
      <c r="BI347" s="192"/>
      <c r="BJ347" s="192"/>
      <c r="BK347" s="192"/>
      <c r="BL347" s="192"/>
      <c r="BM347" s="192"/>
      <c r="BN347" s="192"/>
    </row>
    <row r="348" ht="29.25" customHeight="1">
      <c r="A348" s="189"/>
      <c r="B348" s="190"/>
      <c r="C348" s="157"/>
      <c r="D348" s="157"/>
      <c r="E348" s="158"/>
      <c r="F348" s="166"/>
      <c r="G348" s="161"/>
      <c r="H348" s="161"/>
      <c r="I348" s="162"/>
      <c r="J348" s="163"/>
      <c r="K348" s="163"/>
      <c r="L348" s="163"/>
      <c r="M348" s="160"/>
      <c r="N348" s="162"/>
      <c r="O348" s="164"/>
      <c r="P348" s="140"/>
      <c r="Q348" s="191"/>
      <c r="R348" s="165"/>
      <c r="S348" s="165"/>
      <c r="T348" s="166"/>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92"/>
      <c r="AR348" s="192"/>
      <c r="AS348" s="192"/>
      <c r="AT348" s="192"/>
      <c r="AU348" s="192"/>
      <c r="AV348" s="192"/>
      <c r="AW348" s="192"/>
      <c r="AX348" s="192"/>
      <c r="AY348" s="192"/>
      <c r="AZ348" s="192"/>
      <c r="BA348" s="192"/>
      <c r="BB348" s="192"/>
      <c r="BC348" s="192"/>
      <c r="BD348" s="192"/>
      <c r="BE348" s="192"/>
      <c r="BF348" s="192"/>
      <c r="BG348" s="192"/>
      <c r="BH348" s="192"/>
      <c r="BI348" s="192"/>
      <c r="BJ348" s="192"/>
      <c r="BK348" s="192"/>
      <c r="BL348" s="192"/>
      <c r="BM348" s="192"/>
      <c r="BN348" s="192"/>
    </row>
    <row r="349" ht="29.25" customHeight="1">
      <c r="A349" s="189"/>
      <c r="B349" s="190"/>
      <c r="C349" s="157"/>
      <c r="D349" s="157"/>
      <c r="E349" s="158"/>
      <c r="F349" s="166"/>
      <c r="G349" s="161"/>
      <c r="H349" s="161"/>
      <c r="I349" s="162"/>
      <c r="J349" s="163"/>
      <c r="K349" s="163"/>
      <c r="L349" s="163"/>
      <c r="M349" s="160"/>
      <c r="N349" s="162"/>
      <c r="O349" s="164"/>
      <c r="P349" s="140"/>
      <c r="Q349" s="191"/>
      <c r="R349" s="165"/>
      <c r="S349" s="165"/>
      <c r="T349" s="166"/>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92"/>
      <c r="AR349" s="192"/>
      <c r="AS349" s="192"/>
      <c r="AT349" s="192"/>
      <c r="AU349" s="192"/>
      <c r="AV349" s="192"/>
      <c r="AW349" s="192"/>
      <c r="AX349" s="192"/>
      <c r="AY349" s="192"/>
      <c r="AZ349" s="192"/>
      <c r="BA349" s="192"/>
      <c r="BB349" s="192"/>
      <c r="BC349" s="192"/>
      <c r="BD349" s="192"/>
      <c r="BE349" s="192"/>
      <c r="BF349" s="192"/>
      <c r="BG349" s="192"/>
      <c r="BH349" s="192"/>
      <c r="BI349" s="192"/>
      <c r="BJ349" s="192"/>
      <c r="BK349" s="192"/>
      <c r="BL349" s="192"/>
      <c r="BM349" s="192"/>
      <c r="BN349" s="192"/>
    </row>
    <row r="350" ht="29.25" customHeight="1">
      <c r="A350" s="189"/>
      <c r="B350" s="190"/>
      <c r="C350" s="157"/>
      <c r="D350" s="157"/>
      <c r="E350" s="158"/>
      <c r="F350" s="166"/>
      <c r="G350" s="161"/>
      <c r="H350" s="161"/>
      <c r="I350" s="162"/>
      <c r="J350" s="163"/>
      <c r="K350" s="163"/>
      <c r="L350" s="163"/>
      <c r="M350" s="160"/>
      <c r="N350" s="162"/>
      <c r="O350" s="164"/>
      <c r="P350" s="140"/>
      <c r="Q350" s="191"/>
      <c r="R350" s="165"/>
      <c r="S350" s="165"/>
      <c r="T350" s="166"/>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92"/>
      <c r="AR350" s="192"/>
      <c r="AS350" s="192"/>
      <c r="AT350" s="192"/>
      <c r="AU350" s="192"/>
      <c r="AV350" s="192"/>
      <c r="AW350" s="192"/>
      <c r="AX350" s="192"/>
      <c r="AY350" s="192"/>
      <c r="AZ350" s="192"/>
      <c r="BA350" s="192"/>
      <c r="BB350" s="192"/>
      <c r="BC350" s="192"/>
      <c r="BD350" s="192"/>
      <c r="BE350" s="192"/>
      <c r="BF350" s="192"/>
      <c r="BG350" s="192"/>
      <c r="BH350" s="192"/>
      <c r="BI350" s="192"/>
      <c r="BJ350" s="192"/>
      <c r="BK350" s="192"/>
      <c r="BL350" s="192"/>
      <c r="BM350" s="192"/>
      <c r="BN350" s="192"/>
    </row>
    <row r="351" ht="29.25" customHeight="1">
      <c r="A351" s="189"/>
      <c r="B351" s="190"/>
      <c r="C351" s="157"/>
      <c r="D351" s="157"/>
      <c r="E351" s="158"/>
      <c r="F351" s="166"/>
      <c r="G351" s="161"/>
      <c r="H351" s="161"/>
      <c r="I351" s="162"/>
      <c r="J351" s="163"/>
      <c r="K351" s="163"/>
      <c r="L351" s="163"/>
      <c r="M351" s="160"/>
      <c r="N351" s="162"/>
      <c r="O351" s="164"/>
      <c r="P351" s="140"/>
      <c r="Q351" s="191"/>
      <c r="R351" s="165"/>
      <c r="S351" s="165"/>
      <c r="T351" s="166"/>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92"/>
      <c r="AR351" s="192"/>
      <c r="AS351" s="192"/>
      <c r="AT351" s="192"/>
      <c r="AU351" s="192"/>
      <c r="AV351" s="192"/>
      <c r="AW351" s="192"/>
      <c r="AX351" s="192"/>
      <c r="AY351" s="192"/>
      <c r="AZ351" s="192"/>
      <c r="BA351" s="192"/>
      <c r="BB351" s="192"/>
      <c r="BC351" s="192"/>
      <c r="BD351" s="192"/>
      <c r="BE351" s="192"/>
      <c r="BF351" s="192"/>
      <c r="BG351" s="192"/>
      <c r="BH351" s="192"/>
      <c r="BI351" s="192"/>
      <c r="BJ351" s="192"/>
      <c r="BK351" s="192"/>
      <c r="BL351" s="192"/>
      <c r="BM351" s="192"/>
      <c r="BN351" s="192"/>
    </row>
    <row r="352" ht="29.25" customHeight="1">
      <c r="A352" s="189"/>
      <c r="B352" s="190"/>
      <c r="C352" s="157"/>
      <c r="D352" s="157"/>
      <c r="E352" s="158"/>
      <c r="F352" s="166"/>
      <c r="G352" s="161"/>
      <c r="H352" s="161"/>
      <c r="I352" s="162"/>
      <c r="J352" s="163"/>
      <c r="K352" s="163"/>
      <c r="L352" s="163"/>
      <c r="M352" s="160"/>
      <c r="N352" s="162"/>
      <c r="O352" s="164"/>
      <c r="P352" s="140"/>
      <c r="Q352" s="191"/>
      <c r="R352" s="165"/>
      <c r="S352" s="165"/>
      <c r="T352" s="166"/>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92"/>
      <c r="AR352" s="192"/>
      <c r="AS352" s="192"/>
      <c r="AT352" s="192"/>
      <c r="AU352" s="192"/>
      <c r="AV352" s="192"/>
      <c r="AW352" s="192"/>
      <c r="AX352" s="192"/>
      <c r="AY352" s="192"/>
      <c r="AZ352" s="192"/>
      <c r="BA352" s="192"/>
      <c r="BB352" s="192"/>
      <c r="BC352" s="192"/>
      <c r="BD352" s="192"/>
      <c r="BE352" s="192"/>
      <c r="BF352" s="192"/>
      <c r="BG352" s="192"/>
      <c r="BH352" s="192"/>
      <c r="BI352" s="192"/>
      <c r="BJ352" s="192"/>
      <c r="BK352" s="192"/>
      <c r="BL352" s="192"/>
      <c r="BM352" s="192"/>
      <c r="BN352" s="192"/>
    </row>
    <row r="353" ht="29.25" customHeight="1">
      <c r="A353" s="189"/>
      <c r="B353" s="190"/>
      <c r="C353" s="157"/>
      <c r="D353" s="157"/>
      <c r="E353" s="158"/>
      <c r="F353" s="166"/>
      <c r="G353" s="161"/>
      <c r="H353" s="161"/>
      <c r="I353" s="162"/>
      <c r="J353" s="163"/>
      <c r="K353" s="163"/>
      <c r="L353" s="163"/>
      <c r="M353" s="160"/>
      <c r="N353" s="162"/>
      <c r="O353" s="164"/>
      <c r="P353" s="140"/>
      <c r="Q353" s="191"/>
      <c r="R353" s="165"/>
      <c r="S353" s="165"/>
      <c r="T353" s="166"/>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92"/>
      <c r="AR353" s="192"/>
      <c r="AS353" s="192"/>
      <c r="AT353" s="192"/>
      <c r="AU353" s="192"/>
      <c r="AV353" s="192"/>
      <c r="AW353" s="192"/>
      <c r="AX353" s="192"/>
      <c r="AY353" s="192"/>
      <c r="AZ353" s="192"/>
      <c r="BA353" s="192"/>
      <c r="BB353" s="192"/>
      <c r="BC353" s="192"/>
      <c r="BD353" s="192"/>
      <c r="BE353" s="192"/>
      <c r="BF353" s="192"/>
      <c r="BG353" s="192"/>
      <c r="BH353" s="192"/>
      <c r="BI353" s="192"/>
      <c r="BJ353" s="192"/>
      <c r="BK353" s="192"/>
      <c r="BL353" s="192"/>
      <c r="BM353" s="192"/>
      <c r="BN353" s="192"/>
    </row>
    <row r="354" ht="29.25" customHeight="1">
      <c r="A354" s="189"/>
      <c r="B354" s="190"/>
      <c r="C354" s="157"/>
      <c r="D354" s="157"/>
      <c r="E354" s="158"/>
      <c r="F354" s="166"/>
      <c r="G354" s="161"/>
      <c r="H354" s="161"/>
      <c r="I354" s="162"/>
      <c r="J354" s="163"/>
      <c r="K354" s="163"/>
      <c r="L354" s="163"/>
      <c r="M354" s="160"/>
      <c r="N354" s="162"/>
      <c r="O354" s="164"/>
      <c r="P354" s="140"/>
      <c r="Q354" s="191"/>
      <c r="R354" s="165"/>
      <c r="S354" s="165"/>
      <c r="T354" s="166"/>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92"/>
      <c r="AR354" s="192"/>
      <c r="AS354" s="192"/>
      <c r="AT354" s="192"/>
      <c r="AU354" s="192"/>
      <c r="AV354" s="192"/>
      <c r="AW354" s="192"/>
      <c r="AX354" s="192"/>
      <c r="AY354" s="192"/>
      <c r="AZ354" s="192"/>
      <c r="BA354" s="192"/>
      <c r="BB354" s="192"/>
      <c r="BC354" s="192"/>
      <c r="BD354" s="192"/>
      <c r="BE354" s="192"/>
      <c r="BF354" s="192"/>
      <c r="BG354" s="192"/>
      <c r="BH354" s="192"/>
      <c r="BI354" s="192"/>
      <c r="BJ354" s="192"/>
      <c r="BK354" s="192"/>
      <c r="BL354" s="192"/>
      <c r="BM354" s="192"/>
      <c r="BN354" s="192"/>
    </row>
    <row r="355" ht="29.25" customHeight="1">
      <c r="A355" s="189"/>
      <c r="B355" s="190"/>
      <c r="C355" s="157"/>
      <c r="D355" s="157"/>
      <c r="E355" s="158"/>
      <c r="F355" s="166"/>
      <c r="G355" s="161"/>
      <c r="H355" s="161"/>
      <c r="I355" s="162"/>
      <c r="J355" s="163"/>
      <c r="K355" s="163"/>
      <c r="L355" s="163"/>
      <c r="M355" s="160"/>
      <c r="N355" s="162"/>
      <c r="O355" s="164"/>
      <c r="P355" s="140"/>
      <c r="Q355" s="191"/>
      <c r="R355" s="165"/>
      <c r="S355" s="165"/>
      <c r="T355" s="166"/>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92"/>
      <c r="AR355" s="192"/>
      <c r="AS355" s="192"/>
      <c r="AT355" s="192"/>
      <c r="AU355" s="192"/>
      <c r="AV355" s="192"/>
      <c r="AW355" s="192"/>
      <c r="AX355" s="192"/>
      <c r="AY355" s="192"/>
      <c r="AZ355" s="192"/>
      <c r="BA355" s="192"/>
      <c r="BB355" s="192"/>
      <c r="BC355" s="192"/>
      <c r="BD355" s="192"/>
      <c r="BE355" s="192"/>
      <c r="BF355" s="192"/>
      <c r="BG355" s="192"/>
      <c r="BH355" s="192"/>
      <c r="BI355" s="192"/>
      <c r="BJ355" s="192"/>
      <c r="BK355" s="192"/>
      <c r="BL355" s="192"/>
      <c r="BM355" s="192"/>
      <c r="BN355" s="192"/>
    </row>
    <row r="356" ht="29.25" customHeight="1">
      <c r="A356" s="189"/>
      <c r="B356" s="190"/>
      <c r="C356" s="157"/>
      <c r="D356" s="157"/>
      <c r="E356" s="158"/>
      <c r="F356" s="166"/>
      <c r="G356" s="161"/>
      <c r="H356" s="161"/>
      <c r="I356" s="162"/>
      <c r="J356" s="163"/>
      <c r="K356" s="163"/>
      <c r="L356" s="163"/>
      <c r="M356" s="160"/>
      <c r="N356" s="162"/>
      <c r="O356" s="164"/>
      <c r="P356" s="140"/>
      <c r="Q356" s="191"/>
      <c r="R356" s="165"/>
      <c r="S356" s="165"/>
      <c r="T356" s="166"/>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92"/>
      <c r="AR356" s="192"/>
      <c r="AS356" s="192"/>
      <c r="AT356" s="192"/>
      <c r="AU356" s="192"/>
      <c r="AV356" s="192"/>
      <c r="AW356" s="192"/>
      <c r="AX356" s="192"/>
      <c r="AY356" s="192"/>
      <c r="AZ356" s="192"/>
      <c r="BA356" s="192"/>
      <c r="BB356" s="192"/>
      <c r="BC356" s="192"/>
      <c r="BD356" s="192"/>
      <c r="BE356" s="192"/>
      <c r="BF356" s="192"/>
      <c r="BG356" s="192"/>
      <c r="BH356" s="192"/>
      <c r="BI356" s="192"/>
      <c r="BJ356" s="192"/>
      <c r="BK356" s="192"/>
      <c r="BL356" s="192"/>
      <c r="BM356" s="192"/>
      <c r="BN356" s="192"/>
    </row>
    <row r="357" ht="29.25" customHeight="1">
      <c r="A357" s="189"/>
      <c r="B357" s="190"/>
      <c r="C357" s="157"/>
      <c r="D357" s="157"/>
      <c r="E357" s="158"/>
      <c r="F357" s="166"/>
      <c r="G357" s="161"/>
      <c r="H357" s="161"/>
      <c r="I357" s="162"/>
      <c r="J357" s="163"/>
      <c r="K357" s="163"/>
      <c r="L357" s="163"/>
      <c r="M357" s="160"/>
      <c r="N357" s="162"/>
      <c r="O357" s="164"/>
      <c r="P357" s="140"/>
      <c r="Q357" s="191"/>
      <c r="R357" s="165"/>
      <c r="S357" s="165"/>
      <c r="T357" s="166"/>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92"/>
      <c r="AR357" s="192"/>
      <c r="AS357" s="192"/>
      <c r="AT357" s="192"/>
      <c r="AU357" s="192"/>
      <c r="AV357" s="192"/>
      <c r="AW357" s="192"/>
      <c r="AX357" s="192"/>
      <c r="AY357" s="192"/>
      <c r="AZ357" s="192"/>
      <c r="BA357" s="192"/>
      <c r="BB357" s="192"/>
      <c r="BC357" s="192"/>
      <c r="BD357" s="192"/>
      <c r="BE357" s="192"/>
      <c r="BF357" s="192"/>
      <c r="BG357" s="192"/>
      <c r="BH357" s="192"/>
      <c r="BI357" s="192"/>
      <c r="BJ357" s="192"/>
      <c r="BK357" s="192"/>
      <c r="BL357" s="192"/>
      <c r="BM357" s="192"/>
      <c r="BN357" s="192"/>
    </row>
    <row r="358" ht="29.25" customHeight="1">
      <c r="A358" s="189"/>
      <c r="B358" s="190"/>
      <c r="C358" s="157"/>
      <c r="D358" s="157"/>
      <c r="E358" s="158"/>
      <c r="F358" s="166"/>
      <c r="G358" s="161"/>
      <c r="H358" s="161"/>
      <c r="I358" s="162"/>
      <c r="J358" s="163"/>
      <c r="K358" s="163"/>
      <c r="L358" s="163"/>
      <c r="M358" s="160"/>
      <c r="N358" s="162"/>
      <c r="O358" s="164"/>
      <c r="P358" s="140"/>
      <c r="Q358" s="191"/>
      <c r="R358" s="165"/>
      <c r="S358" s="165"/>
      <c r="T358" s="166"/>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92"/>
      <c r="AR358" s="192"/>
      <c r="AS358" s="192"/>
      <c r="AT358" s="192"/>
      <c r="AU358" s="192"/>
      <c r="AV358" s="192"/>
      <c r="AW358" s="192"/>
      <c r="AX358" s="192"/>
      <c r="AY358" s="192"/>
      <c r="AZ358" s="192"/>
      <c r="BA358" s="192"/>
      <c r="BB358" s="192"/>
      <c r="BC358" s="192"/>
      <c r="BD358" s="192"/>
      <c r="BE358" s="192"/>
      <c r="BF358" s="192"/>
      <c r="BG358" s="192"/>
      <c r="BH358" s="192"/>
      <c r="BI358" s="192"/>
      <c r="BJ358" s="192"/>
      <c r="BK358" s="192"/>
      <c r="BL358" s="192"/>
      <c r="BM358" s="192"/>
      <c r="BN358" s="192"/>
    </row>
    <row r="359" ht="29.25" customHeight="1">
      <c r="A359" s="189"/>
      <c r="B359" s="190"/>
      <c r="C359" s="157"/>
      <c r="D359" s="157"/>
      <c r="E359" s="158"/>
      <c r="F359" s="166"/>
      <c r="G359" s="161"/>
      <c r="H359" s="161"/>
      <c r="I359" s="162"/>
      <c r="J359" s="163"/>
      <c r="K359" s="163"/>
      <c r="L359" s="163"/>
      <c r="M359" s="160"/>
      <c r="N359" s="162"/>
      <c r="O359" s="164"/>
      <c r="P359" s="140"/>
      <c r="Q359" s="191"/>
      <c r="R359" s="165"/>
      <c r="S359" s="165"/>
      <c r="T359" s="166"/>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92"/>
      <c r="AR359" s="192"/>
      <c r="AS359" s="192"/>
      <c r="AT359" s="192"/>
      <c r="AU359" s="192"/>
      <c r="AV359" s="192"/>
      <c r="AW359" s="192"/>
      <c r="AX359" s="192"/>
      <c r="AY359" s="192"/>
      <c r="AZ359" s="192"/>
      <c r="BA359" s="192"/>
      <c r="BB359" s="192"/>
      <c r="BC359" s="192"/>
      <c r="BD359" s="192"/>
      <c r="BE359" s="192"/>
      <c r="BF359" s="192"/>
      <c r="BG359" s="192"/>
      <c r="BH359" s="192"/>
      <c r="BI359" s="192"/>
      <c r="BJ359" s="192"/>
      <c r="BK359" s="192"/>
      <c r="BL359" s="192"/>
      <c r="BM359" s="192"/>
      <c r="BN359" s="192"/>
    </row>
    <row r="360" ht="29.25" customHeight="1">
      <c r="A360" s="189"/>
      <c r="B360" s="190"/>
      <c r="C360" s="157"/>
      <c r="D360" s="157"/>
      <c r="E360" s="158"/>
      <c r="F360" s="166"/>
      <c r="G360" s="161"/>
      <c r="H360" s="161"/>
      <c r="I360" s="162"/>
      <c r="J360" s="163"/>
      <c r="K360" s="163"/>
      <c r="L360" s="163"/>
      <c r="M360" s="160"/>
      <c r="N360" s="162"/>
      <c r="O360" s="164"/>
      <c r="P360" s="140"/>
      <c r="Q360" s="191"/>
      <c r="R360" s="165"/>
      <c r="S360" s="165"/>
      <c r="T360" s="166"/>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92"/>
      <c r="AR360" s="192"/>
      <c r="AS360" s="192"/>
      <c r="AT360" s="192"/>
      <c r="AU360" s="192"/>
      <c r="AV360" s="192"/>
      <c r="AW360" s="192"/>
      <c r="AX360" s="192"/>
      <c r="AY360" s="192"/>
      <c r="AZ360" s="192"/>
      <c r="BA360" s="192"/>
      <c r="BB360" s="192"/>
      <c r="BC360" s="192"/>
      <c r="BD360" s="192"/>
      <c r="BE360" s="192"/>
      <c r="BF360" s="192"/>
      <c r="BG360" s="192"/>
      <c r="BH360" s="192"/>
      <c r="BI360" s="192"/>
      <c r="BJ360" s="192"/>
      <c r="BK360" s="192"/>
      <c r="BL360" s="192"/>
      <c r="BM360" s="192"/>
      <c r="BN360" s="192"/>
    </row>
    <row r="361" ht="29.25" customHeight="1">
      <c r="A361" s="189"/>
      <c r="B361" s="190"/>
      <c r="C361" s="157"/>
      <c r="D361" s="157"/>
      <c r="E361" s="158"/>
      <c r="F361" s="166"/>
      <c r="G361" s="161"/>
      <c r="H361" s="161"/>
      <c r="I361" s="162"/>
      <c r="J361" s="163"/>
      <c r="K361" s="163"/>
      <c r="L361" s="163"/>
      <c r="M361" s="160"/>
      <c r="N361" s="162"/>
      <c r="O361" s="164"/>
      <c r="P361" s="140"/>
      <c r="Q361" s="191"/>
      <c r="R361" s="165"/>
      <c r="S361" s="165"/>
      <c r="T361" s="166"/>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92"/>
      <c r="AR361" s="192"/>
      <c r="AS361" s="192"/>
      <c r="AT361" s="192"/>
      <c r="AU361" s="192"/>
      <c r="AV361" s="192"/>
      <c r="AW361" s="192"/>
      <c r="AX361" s="192"/>
      <c r="AY361" s="192"/>
      <c r="AZ361" s="192"/>
      <c r="BA361" s="192"/>
      <c r="BB361" s="192"/>
      <c r="BC361" s="192"/>
      <c r="BD361" s="192"/>
      <c r="BE361" s="192"/>
      <c r="BF361" s="192"/>
      <c r="BG361" s="192"/>
      <c r="BH361" s="192"/>
      <c r="BI361" s="192"/>
      <c r="BJ361" s="192"/>
      <c r="BK361" s="192"/>
      <c r="BL361" s="192"/>
      <c r="BM361" s="192"/>
      <c r="BN361" s="192"/>
    </row>
    <row r="362" ht="29.25" customHeight="1">
      <c r="A362" s="189"/>
      <c r="B362" s="190"/>
      <c r="C362" s="157"/>
      <c r="D362" s="157"/>
      <c r="E362" s="158"/>
      <c r="F362" s="166"/>
      <c r="G362" s="161"/>
      <c r="H362" s="161"/>
      <c r="I362" s="162"/>
      <c r="J362" s="163"/>
      <c r="K362" s="163"/>
      <c r="L362" s="163"/>
      <c r="M362" s="160"/>
      <c r="N362" s="162"/>
      <c r="O362" s="164"/>
      <c r="P362" s="140"/>
      <c r="Q362" s="191"/>
      <c r="R362" s="165"/>
      <c r="S362" s="165"/>
      <c r="T362" s="166"/>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92"/>
      <c r="AR362" s="192"/>
      <c r="AS362" s="192"/>
      <c r="AT362" s="192"/>
      <c r="AU362" s="192"/>
      <c r="AV362" s="192"/>
      <c r="AW362" s="192"/>
      <c r="AX362" s="192"/>
      <c r="AY362" s="192"/>
      <c r="AZ362" s="192"/>
      <c r="BA362" s="192"/>
      <c r="BB362" s="192"/>
      <c r="BC362" s="192"/>
      <c r="BD362" s="192"/>
      <c r="BE362" s="192"/>
      <c r="BF362" s="192"/>
      <c r="BG362" s="192"/>
      <c r="BH362" s="192"/>
      <c r="BI362" s="192"/>
      <c r="BJ362" s="192"/>
      <c r="BK362" s="192"/>
      <c r="BL362" s="192"/>
      <c r="BM362" s="192"/>
      <c r="BN362" s="192"/>
    </row>
    <row r="363" ht="29.25" customHeight="1">
      <c r="A363" s="189"/>
      <c r="B363" s="190"/>
      <c r="C363" s="157"/>
      <c r="D363" s="157"/>
      <c r="E363" s="158"/>
      <c r="F363" s="166"/>
      <c r="G363" s="161"/>
      <c r="H363" s="161"/>
      <c r="I363" s="162"/>
      <c r="J363" s="163"/>
      <c r="K363" s="163"/>
      <c r="L363" s="163"/>
      <c r="M363" s="160"/>
      <c r="N363" s="162"/>
      <c r="O363" s="164"/>
      <c r="P363" s="140"/>
      <c r="Q363" s="191"/>
      <c r="R363" s="165"/>
      <c r="S363" s="165"/>
      <c r="T363" s="166"/>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92"/>
      <c r="AR363" s="192"/>
      <c r="AS363" s="192"/>
      <c r="AT363" s="192"/>
      <c r="AU363" s="192"/>
      <c r="AV363" s="192"/>
      <c r="AW363" s="192"/>
      <c r="AX363" s="192"/>
      <c r="AY363" s="192"/>
      <c r="AZ363" s="192"/>
      <c r="BA363" s="192"/>
      <c r="BB363" s="192"/>
      <c r="BC363" s="192"/>
      <c r="BD363" s="192"/>
      <c r="BE363" s="192"/>
      <c r="BF363" s="192"/>
      <c r="BG363" s="192"/>
      <c r="BH363" s="192"/>
      <c r="BI363" s="192"/>
      <c r="BJ363" s="192"/>
      <c r="BK363" s="192"/>
      <c r="BL363" s="192"/>
      <c r="BM363" s="192"/>
      <c r="BN363" s="192"/>
    </row>
    <row r="364" ht="29.25" customHeight="1">
      <c r="A364" s="189"/>
      <c r="B364" s="190"/>
      <c r="C364" s="157"/>
      <c r="D364" s="157"/>
      <c r="E364" s="158"/>
      <c r="F364" s="166"/>
      <c r="G364" s="161"/>
      <c r="H364" s="161"/>
      <c r="I364" s="162"/>
      <c r="J364" s="163"/>
      <c r="K364" s="163"/>
      <c r="L364" s="163"/>
      <c r="M364" s="160"/>
      <c r="N364" s="162"/>
      <c r="O364" s="164"/>
      <c r="P364" s="140"/>
      <c r="Q364" s="191"/>
      <c r="R364" s="165"/>
      <c r="S364" s="165"/>
      <c r="T364" s="166"/>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92"/>
      <c r="AR364" s="192"/>
      <c r="AS364" s="192"/>
      <c r="AT364" s="192"/>
      <c r="AU364" s="192"/>
      <c r="AV364" s="192"/>
      <c r="AW364" s="192"/>
      <c r="AX364" s="192"/>
      <c r="AY364" s="192"/>
      <c r="AZ364" s="192"/>
      <c r="BA364" s="192"/>
      <c r="BB364" s="192"/>
      <c r="BC364" s="192"/>
      <c r="BD364" s="192"/>
      <c r="BE364" s="192"/>
      <c r="BF364" s="192"/>
      <c r="BG364" s="192"/>
      <c r="BH364" s="192"/>
      <c r="BI364" s="192"/>
      <c r="BJ364" s="192"/>
      <c r="BK364" s="192"/>
      <c r="BL364" s="192"/>
      <c r="BM364" s="192"/>
      <c r="BN364" s="192"/>
    </row>
    <row r="365" ht="29.25" customHeight="1">
      <c r="A365" s="189"/>
      <c r="B365" s="190"/>
      <c r="C365" s="157"/>
      <c r="D365" s="157"/>
      <c r="E365" s="158"/>
      <c r="F365" s="166"/>
      <c r="G365" s="161"/>
      <c r="H365" s="161"/>
      <c r="I365" s="162"/>
      <c r="J365" s="163"/>
      <c r="K365" s="163"/>
      <c r="L365" s="163"/>
      <c r="M365" s="160"/>
      <c r="N365" s="162"/>
      <c r="O365" s="164"/>
      <c r="P365" s="140"/>
      <c r="Q365" s="191"/>
      <c r="R365" s="165"/>
      <c r="S365" s="165"/>
      <c r="T365" s="166"/>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92"/>
      <c r="AR365" s="192"/>
      <c r="AS365" s="192"/>
      <c r="AT365" s="192"/>
      <c r="AU365" s="192"/>
      <c r="AV365" s="192"/>
      <c r="AW365" s="192"/>
      <c r="AX365" s="192"/>
      <c r="AY365" s="192"/>
      <c r="AZ365" s="192"/>
      <c r="BA365" s="192"/>
      <c r="BB365" s="192"/>
      <c r="BC365" s="192"/>
      <c r="BD365" s="192"/>
      <c r="BE365" s="192"/>
      <c r="BF365" s="192"/>
      <c r="BG365" s="192"/>
      <c r="BH365" s="192"/>
      <c r="BI365" s="192"/>
      <c r="BJ365" s="192"/>
      <c r="BK365" s="192"/>
      <c r="BL365" s="192"/>
      <c r="BM365" s="192"/>
      <c r="BN365" s="192"/>
    </row>
    <row r="366" ht="29.25" customHeight="1">
      <c r="A366" s="189"/>
      <c r="B366" s="190"/>
      <c r="C366" s="157"/>
      <c r="D366" s="157"/>
      <c r="E366" s="158"/>
      <c r="F366" s="166"/>
      <c r="G366" s="161"/>
      <c r="H366" s="161"/>
      <c r="I366" s="162"/>
      <c r="J366" s="163"/>
      <c r="K366" s="163"/>
      <c r="L366" s="163"/>
      <c r="M366" s="160"/>
      <c r="N366" s="162"/>
      <c r="O366" s="164"/>
      <c r="P366" s="140"/>
      <c r="Q366" s="191"/>
      <c r="R366" s="165"/>
      <c r="S366" s="165"/>
      <c r="T366" s="166"/>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92"/>
      <c r="AR366" s="192"/>
      <c r="AS366" s="192"/>
      <c r="AT366" s="192"/>
      <c r="AU366" s="192"/>
      <c r="AV366" s="192"/>
      <c r="AW366" s="192"/>
      <c r="AX366" s="192"/>
      <c r="AY366" s="192"/>
      <c r="AZ366" s="192"/>
      <c r="BA366" s="192"/>
      <c r="BB366" s="192"/>
      <c r="BC366" s="192"/>
      <c r="BD366" s="192"/>
      <c r="BE366" s="192"/>
      <c r="BF366" s="192"/>
      <c r="BG366" s="192"/>
      <c r="BH366" s="192"/>
      <c r="BI366" s="192"/>
      <c r="BJ366" s="192"/>
      <c r="BK366" s="192"/>
      <c r="BL366" s="192"/>
      <c r="BM366" s="192"/>
      <c r="BN366" s="192"/>
    </row>
    <row r="367" ht="29.25" customHeight="1">
      <c r="A367" s="189"/>
      <c r="B367" s="190"/>
      <c r="C367" s="157"/>
      <c r="D367" s="157"/>
      <c r="E367" s="158"/>
      <c r="F367" s="166"/>
      <c r="G367" s="161"/>
      <c r="H367" s="161"/>
      <c r="I367" s="162"/>
      <c r="J367" s="163"/>
      <c r="K367" s="163"/>
      <c r="L367" s="163"/>
      <c r="M367" s="160"/>
      <c r="N367" s="162"/>
      <c r="O367" s="164"/>
      <c r="P367" s="140"/>
      <c r="Q367" s="191"/>
      <c r="R367" s="165"/>
      <c r="S367" s="165"/>
      <c r="T367" s="166"/>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92"/>
      <c r="AR367" s="192"/>
      <c r="AS367" s="192"/>
      <c r="AT367" s="192"/>
      <c r="AU367" s="192"/>
      <c r="AV367" s="192"/>
      <c r="AW367" s="192"/>
      <c r="AX367" s="192"/>
      <c r="AY367" s="192"/>
      <c r="AZ367" s="192"/>
      <c r="BA367" s="192"/>
      <c r="BB367" s="192"/>
      <c r="BC367" s="192"/>
      <c r="BD367" s="192"/>
      <c r="BE367" s="192"/>
      <c r="BF367" s="192"/>
      <c r="BG367" s="192"/>
      <c r="BH367" s="192"/>
      <c r="BI367" s="192"/>
      <c r="BJ367" s="192"/>
      <c r="BK367" s="192"/>
      <c r="BL367" s="192"/>
      <c r="BM367" s="192"/>
      <c r="BN367" s="192"/>
    </row>
    <row r="368" ht="29.25" customHeight="1">
      <c r="A368" s="189"/>
      <c r="B368" s="190"/>
      <c r="C368" s="157"/>
      <c r="D368" s="157"/>
      <c r="E368" s="158"/>
      <c r="F368" s="166"/>
      <c r="G368" s="161"/>
      <c r="H368" s="161"/>
      <c r="I368" s="162"/>
      <c r="J368" s="163"/>
      <c r="K368" s="163"/>
      <c r="L368" s="163"/>
      <c r="M368" s="160"/>
      <c r="N368" s="162"/>
      <c r="O368" s="164"/>
      <c r="P368" s="140"/>
      <c r="Q368" s="191"/>
      <c r="R368" s="165"/>
      <c r="S368" s="165"/>
      <c r="T368" s="166"/>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92"/>
      <c r="AR368" s="192"/>
      <c r="AS368" s="192"/>
      <c r="AT368" s="192"/>
      <c r="AU368" s="192"/>
      <c r="AV368" s="192"/>
      <c r="AW368" s="192"/>
      <c r="AX368" s="192"/>
      <c r="AY368" s="192"/>
      <c r="AZ368" s="192"/>
      <c r="BA368" s="192"/>
      <c r="BB368" s="192"/>
      <c r="BC368" s="192"/>
      <c r="BD368" s="192"/>
      <c r="BE368" s="192"/>
      <c r="BF368" s="192"/>
      <c r="BG368" s="192"/>
      <c r="BH368" s="192"/>
      <c r="BI368" s="192"/>
      <c r="BJ368" s="192"/>
      <c r="BK368" s="192"/>
      <c r="BL368" s="192"/>
      <c r="BM368" s="192"/>
      <c r="BN368" s="192"/>
    </row>
    <row r="369" ht="29.25" customHeight="1">
      <c r="A369" s="189"/>
      <c r="B369" s="190"/>
      <c r="C369" s="157"/>
      <c r="D369" s="157"/>
      <c r="E369" s="158"/>
      <c r="F369" s="166"/>
      <c r="G369" s="161"/>
      <c r="H369" s="161"/>
      <c r="I369" s="162"/>
      <c r="J369" s="163"/>
      <c r="K369" s="163"/>
      <c r="L369" s="163"/>
      <c r="M369" s="160"/>
      <c r="N369" s="162"/>
      <c r="O369" s="164"/>
      <c r="P369" s="140"/>
      <c r="Q369" s="191"/>
      <c r="R369" s="165"/>
      <c r="S369" s="165"/>
      <c r="T369" s="166"/>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92"/>
      <c r="AR369" s="192"/>
      <c r="AS369" s="192"/>
      <c r="AT369" s="192"/>
      <c r="AU369" s="192"/>
      <c r="AV369" s="192"/>
      <c r="AW369" s="192"/>
      <c r="AX369" s="192"/>
      <c r="AY369" s="192"/>
      <c r="AZ369" s="192"/>
      <c r="BA369" s="192"/>
      <c r="BB369" s="192"/>
      <c r="BC369" s="192"/>
      <c r="BD369" s="192"/>
      <c r="BE369" s="192"/>
      <c r="BF369" s="192"/>
      <c r="BG369" s="192"/>
      <c r="BH369" s="192"/>
      <c r="BI369" s="192"/>
      <c r="BJ369" s="192"/>
      <c r="BK369" s="192"/>
      <c r="BL369" s="192"/>
      <c r="BM369" s="192"/>
      <c r="BN369" s="192"/>
    </row>
    <row r="370" ht="29.25" customHeight="1">
      <c r="A370" s="189"/>
      <c r="B370" s="190"/>
      <c r="C370" s="157"/>
      <c r="D370" s="157"/>
      <c r="E370" s="158"/>
      <c r="F370" s="166"/>
      <c r="G370" s="161"/>
      <c r="H370" s="161"/>
      <c r="I370" s="162"/>
      <c r="J370" s="163"/>
      <c r="K370" s="163"/>
      <c r="L370" s="163"/>
      <c r="M370" s="160"/>
      <c r="N370" s="162"/>
      <c r="O370" s="164"/>
      <c r="P370" s="140"/>
      <c r="Q370" s="191"/>
      <c r="R370" s="165"/>
      <c r="S370" s="165"/>
      <c r="T370" s="166"/>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92"/>
      <c r="AR370" s="192"/>
      <c r="AS370" s="192"/>
      <c r="AT370" s="192"/>
      <c r="AU370" s="192"/>
      <c r="AV370" s="192"/>
      <c r="AW370" s="192"/>
      <c r="AX370" s="192"/>
      <c r="AY370" s="192"/>
      <c r="AZ370" s="192"/>
      <c r="BA370" s="192"/>
      <c r="BB370" s="192"/>
      <c r="BC370" s="192"/>
      <c r="BD370" s="192"/>
      <c r="BE370" s="192"/>
      <c r="BF370" s="192"/>
      <c r="BG370" s="192"/>
      <c r="BH370" s="192"/>
      <c r="BI370" s="192"/>
      <c r="BJ370" s="192"/>
      <c r="BK370" s="192"/>
      <c r="BL370" s="192"/>
      <c r="BM370" s="192"/>
      <c r="BN370" s="192"/>
    </row>
    <row r="371" ht="29.25" customHeight="1">
      <c r="A371" s="189"/>
      <c r="B371" s="190"/>
      <c r="C371" s="157"/>
      <c r="D371" s="157"/>
      <c r="E371" s="158"/>
      <c r="F371" s="166"/>
      <c r="G371" s="161"/>
      <c r="H371" s="161"/>
      <c r="I371" s="162"/>
      <c r="J371" s="163"/>
      <c r="K371" s="163"/>
      <c r="L371" s="163"/>
      <c r="M371" s="160"/>
      <c r="N371" s="162"/>
      <c r="O371" s="164"/>
      <c r="P371" s="140"/>
      <c r="Q371" s="191"/>
      <c r="R371" s="165"/>
      <c r="S371" s="165"/>
      <c r="T371" s="166"/>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92"/>
      <c r="AR371" s="192"/>
      <c r="AS371" s="192"/>
      <c r="AT371" s="192"/>
      <c r="AU371" s="192"/>
      <c r="AV371" s="192"/>
      <c r="AW371" s="192"/>
      <c r="AX371" s="192"/>
      <c r="AY371" s="192"/>
      <c r="AZ371" s="192"/>
      <c r="BA371" s="192"/>
      <c r="BB371" s="192"/>
      <c r="BC371" s="192"/>
      <c r="BD371" s="192"/>
      <c r="BE371" s="192"/>
      <c r="BF371" s="192"/>
      <c r="BG371" s="192"/>
      <c r="BH371" s="192"/>
      <c r="BI371" s="192"/>
      <c r="BJ371" s="192"/>
      <c r="BK371" s="192"/>
      <c r="BL371" s="192"/>
      <c r="BM371" s="192"/>
      <c r="BN371" s="192"/>
    </row>
    <row r="372" ht="29.25" customHeight="1">
      <c r="A372" s="189"/>
      <c r="B372" s="190"/>
      <c r="C372" s="157"/>
      <c r="D372" s="157"/>
      <c r="E372" s="158"/>
      <c r="F372" s="166"/>
      <c r="G372" s="161"/>
      <c r="H372" s="161"/>
      <c r="I372" s="162"/>
      <c r="J372" s="163"/>
      <c r="K372" s="163"/>
      <c r="L372" s="163"/>
      <c r="M372" s="160"/>
      <c r="N372" s="162"/>
      <c r="O372" s="164"/>
      <c r="P372" s="140"/>
      <c r="Q372" s="191"/>
      <c r="R372" s="165"/>
      <c r="S372" s="165"/>
      <c r="T372" s="166"/>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92"/>
      <c r="AR372" s="192"/>
      <c r="AS372" s="192"/>
      <c r="AT372" s="192"/>
      <c r="AU372" s="192"/>
      <c r="AV372" s="192"/>
      <c r="AW372" s="192"/>
      <c r="AX372" s="192"/>
      <c r="AY372" s="192"/>
      <c r="AZ372" s="192"/>
      <c r="BA372" s="192"/>
      <c r="BB372" s="192"/>
      <c r="BC372" s="192"/>
      <c r="BD372" s="192"/>
      <c r="BE372" s="192"/>
      <c r="BF372" s="192"/>
      <c r="BG372" s="192"/>
      <c r="BH372" s="192"/>
      <c r="BI372" s="192"/>
      <c r="BJ372" s="192"/>
      <c r="BK372" s="192"/>
      <c r="BL372" s="192"/>
      <c r="BM372" s="192"/>
      <c r="BN372" s="192"/>
    </row>
    <row r="373" ht="29.25" customHeight="1">
      <c r="A373" s="189"/>
      <c r="B373" s="190"/>
      <c r="C373" s="157"/>
      <c r="D373" s="157"/>
      <c r="E373" s="158"/>
      <c r="F373" s="166"/>
      <c r="G373" s="161"/>
      <c r="H373" s="161"/>
      <c r="I373" s="162"/>
      <c r="J373" s="163"/>
      <c r="K373" s="163"/>
      <c r="L373" s="163"/>
      <c r="M373" s="160"/>
      <c r="N373" s="162"/>
      <c r="O373" s="164"/>
      <c r="P373" s="140"/>
      <c r="Q373" s="191"/>
      <c r="R373" s="165"/>
      <c r="S373" s="165"/>
      <c r="T373" s="166"/>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92"/>
      <c r="AR373" s="192"/>
      <c r="AS373" s="192"/>
      <c r="AT373" s="192"/>
      <c r="AU373" s="192"/>
      <c r="AV373" s="192"/>
      <c r="AW373" s="192"/>
      <c r="AX373" s="192"/>
      <c r="AY373" s="192"/>
      <c r="AZ373" s="192"/>
      <c r="BA373" s="192"/>
      <c r="BB373" s="192"/>
      <c r="BC373" s="192"/>
      <c r="BD373" s="192"/>
      <c r="BE373" s="192"/>
      <c r="BF373" s="192"/>
      <c r="BG373" s="192"/>
      <c r="BH373" s="192"/>
      <c r="BI373" s="192"/>
      <c r="BJ373" s="192"/>
      <c r="BK373" s="192"/>
      <c r="BL373" s="192"/>
      <c r="BM373" s="192"/>
      <c r="BN373" s="192"/>
    </row>
    <row r="374" ht="29.25" customHeight="1">
      <c r="A374" s="189"/>
      <c r="B374" s="190"/>
      <c r="C374" s="157"/>
      <c r="D374" s="157"/>
      <c r="E374" s="158"/>
      <c r="F374" s="166"/>
      <c r="G374" s="161"/>
      <c r="H374" s="161"/>
      <c r="I374" s="162"/>
      <c r="J374" s="163"/>
      <c r="K374" s="163"/>
      <c r="L374" s="163"/>
      <c r="M374" s="160"/>
      <c r="N374" s="162"/>
      <c r="O374" s="164"/>
      <c r="P374" s="140"/>
      <c r="Q374" s="191"/>
      <c r="R374" s="165"/>
      <c r="S374" s="165"/>
      <c r="T374" s="166"/>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92"/>
      <c r="AR374" s="192"/>
      <c r="AS374" s="192"/>
      <c r="AT374" s="192"/>
      <c r="AU374" s="192"/>
      <c r="AV374" s="192"/>
      <c r="AW374" s="192"/>
      <c r="AX374" s="192"/>
      <c r="AY374" s="192"/>
      <c r="AZ374" s="192"/>
      <c r="BA374" s="192"/>
      <c r="BB374" s="192"/>
      <c r="BC374" s="192"/>
      <c r="BD374" s="192"/>
      <c r="BE374" s="192"/>
      <c r="BF374" s="192"/>
      <c r="BG374" s="192"/>
      <c r="BH374" s="192"/>
      <c r="BI374" s="192"/>
      <c r="BJ374" s="192"/>
      <c r="BK374" s="192"/>
      <c r="BL374" s="192"/>
      <c r="BM374" s="192"/>
      <c r="BN374" s="192"/>
    </row>
    <row r="375" ht="29.25" customHeight="1">
      <c r="A375" s="189"/>
      <c r="B375" s="190"/>
      <c r="C375" s="157"/>
      <c r="D375" s="157"/>
      <c r="E375" s="158"/>
      <c r="F375" s="166"/>
      <c r="G375" s="161"/>
      <c r="H375" s="161"/>
      <c r="I375" s="162"/>
      <c r="J375" s="163"/>
      <c r="K375" s="163"/>
      <c r="L375" s="163"/>
      <c r="M375" s="160"/>
      <c r="N375" s="162"/>
      <c r="O375" s="164"/>
      <c r="P375" s="140"/>
      <c r="Q375" s="191"/>
      <c r="R375" s="165"/>
      <c r="S375" s="165"/>
      <c r="T375" s="166"/>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92"/>
      <c r="AR375" s="192"/>
      <c r="AS375" s="192"/>
      <c r="AT375" s="192"/>
      <c r="AU375" s="192"/>
      <c r="AV375" s="192"/>
      <c r="AW375" s="192"/>
      <c r="AX375" s="192"/>
      <c r="AY375" s="192"/>
      <c r="AZ375" s="192"/>
      <c r="BA375" s="192"/>
      <c r="BB375" s="192"/>
      <c r="BC375" s="192"/>
      <c r="BD375" s="192"/>
      <c r="BE375" s="192"/>
      <c r="BF375" s="192"/>
      <c r="BG375" s="192"/>
      <c r="BH375" s="192"/>
      <c r="BI375" s="192"/>
      <c r="BJ375" s="192"/>
      <c r="BK375" s="192"/>
      <c r="BL375" s="192"/>
      <c r="BM375" s="192"/>
      <c r="BN375" s="192"/>
    </row>
    <row r="376" ht="29.25" customHeight="1">
      <c r="A376" s="189"/>
      <c r="B376" s="190"/>
      <c r="C376" s="157"/>
      <c r="D376" s="157"/>
      <c r="E376" s="158"/>
      <c r="F376" s="166"/>
      <c r="G376" s="161"/>
      <c r="H376" s="161"/>
      <c r="I376" s="162"/>
      <c r="J376" s="163"/>
      <c r="K376" s="163"/>
      <c r="L376" s="163"/>
      <c r="M376" s="160"/>
      <c r="N376" s="162"/>
      <c r="O376" s="164"/>
      <c r="P376" s="140"/>
      <c r="Q376" s="191"/>
      <c r="R376" s="165"/>
      <c r="S376" s="165"/>
      <c r="T376" s="166"/>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92"/>
      <c r="AR376" s="192"/>
      <c r="AS376" s="192"/>
      <c r="AT376" s="192"/>
      <c r="AU376" s="192"/>
      <c r="AV376" s="192"/>
      <c r="AW376" s="192"/>
      <c r="AX376" s="192"/>
      <c r="AY376" s="192"/>
      <c r="AZ376" s="192"/>
      <c r="BA376" s="192"/>
      <c r="BB376" s="192"/>
      <c r="BC376" s="192"/>
      <c r="BD376" s="192"/>
      <c r="BE376" s="192"/>
      <c r="BF376" s="192"/>
      <c r="BG376" s="192"/>
      <c r="BH376" s="192"/>
      <c r="BI376" s="192"/>
      <c r="BJ376" s="192"/>
      <c r="BK376" s="192"/>
      <c r="BL376" s="192"/>
      <c r="BM376" s="192"/>
      <c r="BN376" s="192"/>
    </row>
    <row r="377" ht="29.25" customHeight="1">
      <c r="A377" s="189"/>
      <c r="B377" s="190"/>
      <c r="C377" s="157"/>
      <c r="D377" s="157"/>
      <c r="E377" s="158"/>
      <c r="F377" s="166"/>
      <c r="G377" s="161"/>
      <c r="H377" s="161"/>
      <c r="I377" s="162"/>
      <c r="J377" s="163"/>
      <c r="K377" s="163"/>
      <c r="L377" s="163"/>
      <c r="M377" s="160"/>
      <c r="N377" s="162"/>
      <c r="O377" s="164"/>
      <c r="P377" s="140"/>
      <c r="Q377" s="191"/>
      <c r="R377" s="165"/>
      <c r="S377" s="165"/>
      <c r="T377" s="166"/>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92"/>
      <c r="AR377" s="192"/>
      <c r="AS377" s="192"/>
      <c r="AT377" s="192"/>
      <c r="AU377" s="192"/>
      <c r="AV377" s="192"/>
      <c r="AW377" s="192"/>
      <c r="AX377" s="192"/>
      <c r="AY377" s="192"/>
      <c r="AZ377" s="192"/>
      <c r="BA377" s="192"/>
      <c r="BB377" s="192"/>
      <c r="BC377" s="192"/>
      <c r="BD377" s="192"/>
      <c r="BE377" s="192"/>
      <c r="BF377" s="192"/>
      <c r="BG377" s="192"/>
      <c r="BH377" s="192"/>
      <c r="BI377" s="192"/>
      <c r="BJ377" s="192"/>
      <c r="BK377" s="192"/>
      <c r="BL377" s="192"/>
      <c r="BM377" s="192"/>
      <c r="BN377" s="192"/>
    </row>
    <row r="378" ht="29.25" customHeight="1">
      <c r="A378" s="189"/>
      <c r="B378" s="190"/>
      <c r="C378" s="157"/>
      <c r="D378" s="157"/>
      <c r="E378" s="158"/>
      <c r="F378" s="166"/>
      <c r="G378" s="161"/>
      <c r="H378" s="161"/>
      <c r="I378" s="162"/>
      <c r="J378" s="163"/>
      <c r="K378" s="163"/>
      <c r="L378" s="163"/>
      <c r="M378" s="160"/>
      <c r="N378" s="162"/>
      <c r="O378" s="164"/>
      <c r="P378" s="140"/>
      <c r="Q378" s="191"/>
      <c r="R378" s="165"/>
      <c r="S378" s="165"/>
      <c r="T378" s="166"/>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92"/>
      <c r="AR378" s="192"/>
      <c r="AS378" s="192"/>
      <c r="AT378" s="192"/>
      <c r="AU378" s="192"/>
      <c r="AV378" s="192"/>
      <c r="AW378" s="192"/>
      <c r="AX378" s="192"/>
      <c r="AY378" s="192"/>
      <c r="AZ378" s="192"/>
      <c r="BA378" s="192"/>
      <c r="BB378" s="192"/>
      <c r="BC378" s="192"/>
      <c r="BD378" s="192"/>
      <c r="BE378" s="192"/>
      <c r="BF378" s="192"/>
      <c r="BG378" s="192"/>
      <c r="BH378" s="192"/>
      <c r="BI378" s="192"/>
      <c r="BJ378" s="192"/>
      <c r="BK378" s="192"/>
      <c r="BL378" s="192"/>
      <c r="BM378" s="192"/>
      <c r="BN378" s="192"/>
    </row>
    <row r="379" ht="29.25" customHeight="1">
      <c r="A379" s="189"/>
      <c r="B379" s="190"/>
      <c r="C379" s="157"/>
      <c r="D379" s="157"/>
      <c r="E379" s="158"/>
      <c r="F379" s="166"/>
      <c r="G379" s="161"/>
      <c r="H379" s="161"/>
      <c r="I379" s="162"/>
      <c r="J379" s="163"/>
      <c r="K379" s="163"/>
      <c r="L379" s="163"/>
      <c r="M379" s="160"/>
      <c r="N379" s="162"/>
      <c r="O379" s="164"/>
      <c r="P379" s="140"/>
      <c r="Q379" s="191"/>
      <c r="R379" s="165"/>
      <c r="S379" s="165"/>
      <c r="T379" s="166"/>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92"/>
      <c r="AR379" s="192"/>
      <c r="AS379" s="192"/>
      <c r="AT379" s="192"/>
      <c r="AU379" s="192"/>
      <c r="AV379" s="192"/>
      <c r="AW379" s="192"/>
      <c r="AX379" s="192"/>
      <c r="AY379" s="192"/>
      <c r="AZ379" s="192"/>
      <c r="BA379" s="192"/>
      <c r="BB379" s="192"/>
      <c r="BC379" s="192"/>
      <c r="BD379" s="192"/>
      <c r="BE379" s="192"/>
      <c r="BF379" s="192"/>
      <c r="BG379" s="192"/>
      <c r="BH379" s="192"/>
      <c r="BI379" s="192"/>
      <c r="BJ379" s="192"/>
      <c r="BK379" s="192"/>
      <c r="BL379" s="192"/>
      <c r="BM379" s="192"/>
      <c r="BN379" s="192"/>
    </row>
    <row r="380" ht="29.25" customHeight="1">
      <c r="A380" s="189"/>
      <c r="B380" s="190"/>
      <c r="C380" s="157"/>
      <c r="D380" s="157"/>
      <c r="E380" s="158"/>
      <c r="F380" s="166"/>
      <c r="G380" s="161"/>
      <c r="H380" s="161"/>
      <c r="I380" s="162"/>
      <c r="J380" s="163"/>
      <c r="K380" s="163"/>
      <c r="L380" s="163"/>
      <c r="M380" s="160"/>
      <c r="N380" s="162"/>
      <c r="O380" s="164"/>
      <c r="P380" s="140"/>
      <c r="Q380" s="191"/>
      <c r="R380" s="165"/>
      <c r="S380" s="165"/>
      <c r="T380" s="166"/>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92"/>
      <c r="AR380" s="192"/>
      <c r="AS380" s="192"/>
      <c r="AT380" s="192"/>
      <c r="AU380" s="192"/>
      <c r="AV380" s="192"/>
      <c r="AW380" s="192"/>
      <c r="AX380" s="192"/>
      <c r="AY380" s="192"/>
      <c r="AZ380" s="192"/>
      <c r="BA380" s="192"/>
      <c r="BB380" s="192"/>
      <c r="BC380" s="192"/>
      <c r="BD380" s="192"/>
      <c r="BE380" s="192"/>
      <c r="BF380" s="192"/>
      <c r="BG380" s="192"/>
      <c r="BH380" s="192"/>
      <c r="BI380" s="192"/>
      <c r="BJ380" s="192"/>
      <c r="BK380" s="192"/>
      <c r="BL380" s="192"/>
      <c r="BM380" s="192"/>
      <c r="BN380" s="192"/>
    </row>
    <row r="381" ht="29.25" customHeight="1">
      <c r="A381" s="189"/>
      <c r="B381" s="190"/>
      <c r="C381" s="157"/>
      <c r="D381" s="157"/>
      <c r="E381" s="158"/>
      <c r="F381" s="166"/>
      <c r="G381" s="161"/>
      <c r="H381" s="161"/>
      <c r="I381" s="162"/>
      <c r="J381" s="163"/>
      <c r="K381" s="163"/>
      <c r="L381" s="163"/>
      <c r="M381" s="160"/>
      <c r="N381" s="162"/>
      <c r="O381" s="164"/>
      <c r="P381" s="140"/>
      <c r="Q381" s="191"/>
      <c r="R381" s="165"/>
      <c r="S381" s="165"/>
      <c r="T381" s="166"/>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92"/>
      <c r="AR381" s="192"/>
      <c r="AS381" s="192"/>
      <c r="AT381" s="192"/>
      <c r="AU381" s="192"/>
      <c r="AV381" s="192"/>
      <c r="AW381" s="192"/>
      <c r="AX381" s="192"/>
      <c r="AY381" s="192"/>
      <c r="AZ381" s="192"/>
      <c r="BA381" s="192"/>
      <c r="BB381" s="192"/>
      <c r="BC381" s="192"/>
      <c r="BD381" s="192"/>
      <c r="BE381" s="192"/>
      <c r="BF381" s="192"/>
      <c r="BG381" s="192"/>
      <c r="BH381" s="192"/>
      <c r="BI381" s="192"/>
      <c r="BJ381" s="192"/>
      <c r="BK381" s="192"/>
      <c r="BL381" s="192"/>
      <c r="BM381" s="192"/>
      <c r="BN381" s="192"/>
    </row>
    <row r="382" ht="29.25" customHeight="1">
      <c r="A382" s="189"/>
      <c r="B382" s="190"/>
      <c r="C382" s="157"/>
      <c r="D382" s="157"/>
      <c r="E382" s="158"/>
      <c r="F382" s="166"/>
      <c r="G382" s="161"/>
      <c r="H382" s="161"/>
      <c r="I382" s="162"/>
      <c r="J382" s="163"/>
      <c r="K382" s="163"/>
      <c r="L382" s="163"/>
      <c r="M382" s="160"/>
      <c r="N382" s="162"/>
      <c r="O382" s="164"/>
      <c r="P382" s="140"/>
      <c r="Q382" s="191"/>
      <c r="R382" s="165"/>
      <c r="S382" s="165"/>
      <c r="T382" s="166"/>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92"/>
      <c r="AR382" s="192"/>
      <c r="AS382" s="192"/>
      <c r="AT382" s="192"/>
      <c r="AU382" s="192"/>
      <c r="AV382" s="192"/>
      <c r="AW382" s="192"/>
      <c r="AX382" s="192"/>
      <c r="AY382" s="192"/>
      <c r="AZ382" s="192"/>
      <c r="BA382" s="192"/>
      <c r="BB382" s="192"/>
      <c r="BC382" s="192"/>
      <c r="BD382" s="192"/>
      <c r="BE382" s="192"/>
      <c r="BF382" s="192"/>
      <c r="BG382" s="192"/>
      <c r="BH382" s="192"/>
      <c r="BI382" s="192"/>
      <c r="BJ382" s="192"/>
      <c r="BK382" s="192"/>
      <c r="BL382" s="192"/>
      <c r="BM382" s="192"/>
      <c r="BN382" s="192"/>
    </row>
    <row r="383" ht="29.25" customHeight="1">
      <c r="A383" s="189"/>
      <c r="B383" s="190"/>
      <c r="C383" s="157"/>
      <c r="D383" s="157"/>
      <c r="E383" s="158"/>
      <c r="F383" s="166"/>
      <c r="G383" s="161"/>
      <c r="H383" s="161"/>
      <c r="I383" s="162"/>
      <c r="J383" s="163"/>
      <c r="K383" s="163"/>
      <c r="L383" s="163"/>
      <c r="M383" s="160"/>
      <c r="N383" s="162"/>
      <c r="O383" s="164"/>
      <c r="P383" s="140"/>
      <c r="Q383" s="191"/>
      <c r="R383" s="165"/>
      <c r="S383" s="165"/>
      <c r="T383" s="166"/>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92"/>
      <c r="AR383" s="192"/>
      <c r="AS383" s="192"/>
      <c r="AT383" s="192"/>
      <c r="AU383" s="192"/>
      <c r="AV383" s="192"/>
      <c r="AW383" s="192"/>
      <c r="AX383" s="192"/>
      <c r="AY383" s="192"/>
      <c r="AZ383" s="192"/>
      <c r="BA383" s="192"/>
      <c r="BB383" s="192"/>
      <c r="BC383" s="192"/>
      <c r="BD383" s="192"/>
      <c r="BE383" s="192"/>
      <c r="BF383" s="192"/>
      <c r="BG383" s="192"/>
      <c r="BH383" s="192"/>
      <c r="BI383" s="192"/>
      <c r="BJ383" s="192"/>
      <c r="BK383" s="192"/>
      <c r="BL383" s="192"/>
      <c r="BM383" s="192"/>
      <c r="BN383" s="192"/>
    </row>
    <row r="384" ht="29.25" customHeight="1">
      <c r="A384" s="189"/>
      <c r="B384" s="190"/>
      <c r="C384" s="157"/>
      <c r="D384" s="157"/>
      <c r="E384" s="158"/>
      <c r="F384" s="166"/>
      <c r="G384" s="161"/>
      <c r="H384" s="161"/>
      <c r="I384" s="162"/>
      <c r="J384" s="163"/>
      <c r="K384" s="163"/>
      <c r="L384" s="163"/>
      <c r="M384" s="160"/>
      <c r="N384" s="162"/>
      <c r="O384" s="164"/>
      <c r="P384" s="140"/>
      <c r="Q384" s="191"/>
      <c r="R384" s="165"/>
      <c r="S384" s="165"/>
      <c r="T384" s="166"/>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92"/>
      <c r="AR384" s="192"/>
      <c r="AS384" s="192"/>
      <c r="AT384" s="192"/>
      <c r="AU384" s="192"/>
      <c r="AV384" s="192"/>
      <c r="AW384" s="192"/>
      <c r="AX384" s="192"/>
      <c r="AY384" s="192"/>
      <c r="AZ384" s="192"/>
      <c r="BA384" s="192"/>
      <c r="BB384" s="192"/>
      <c r="BC384" s="192"/>
      <c r="BD384" s="192"/>
      <c r="BE384" s="192"/>
      <c r="BF384" s="192"/>
      <c r="BG384" s="192"/>
      <c r="BH384" s="192"/>
      <c r="BI384" s="192"/>
      <c r="BJ384" s="192"/>
      <c r="BK384" s="192"/>
      <c r="BL384" s="192"/>
      <c r="BM384" s="192"/>
      <c r="BN384" s="192"/>
    </row>
    <row r="385" ht="29.25" customHeight="1">
      <c r="A385" s="189"/>
      <c r="B385" s="190"/>
      <c r="C385" s="157"/>
      <c r="D385" s="157"/>
      <c r="E385" s="158"/>
      <c r="F385" s="166"/>
      <c r="G385" s="161"/>
      <c r="H385" s="161"/>
      <c r="I385" s="162"/>
      <c r="J385" s="163"/>
      <c r="K385" s="163"/>
      <c r="L385" s="163"/>
      <c r="M385" s="160"/>
      <c r="N385" s="162"/>
      <c r="O385" s="164"/>
      <c r="P385" s="140"/>
      <c r="Q385" s="191"/>
      <c r="R385" s="165"/>
      <c r="S385" s="165"/>
      <c r="T385" s="166"/>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92"/>
      <c r="AR385" s="192"/>
      <c r="AS385" s="192"/>
      <c r="AT385" s="192"/>
      <c r="AU385" s="192"/>
      <c r="AV385" s="192"/>
      <c r="AW385" s="192"/>
      <c r="AX385" s="192"/>
      <c r="AY385" s="192"/>
      <c r="AZ385" s="192"/>
      <c r="BA385" s="192"/>
      <c r="BB385" s="192"/>
      <c r="BC385" s="192"/>
      <c r="BD385" s="192"/>
      <c r="BE385" s="192"/>
      <c r="BF385" s="192"/>
      <c r="BG385" s="192"/>
      <c r="BH385" s="192"/>
      <c r="BI385" s="192"/>
      <c r="BJ385" s="192"/>
      <c r="BK385" s="192"/>
      <c r="BL385" s="192"/>
      <c r="BM385" s="192"/>
      <c r="BN385" s="192"/>
    </row>
    <row r="386" ht="29.25" customHeight="1">
      <c r="A386" s="189"/>
      <c r="B386" s="190"/>
      <c r="C386" s="157"/>
      <c r="D386" s="157"/>
      <c r="E386" s="158"/>
      <c r="F386" s="166"/>
      <c r="G386" s="161"/>
      <c r="H386" s="161"/>
      <c r="I386" s="162"/>
      <c r="J386" s="163"/>
      <c r="K386" s="163"/>
      <c r="L386" s="163"/>
      <c r="M386" s="160"/>
      <c r="N386" s="162"/>
      <c r="O386" s="164"/>
      <c r="P386" s="140"/>
      <c r="Q386" s="191"/>
      <c r="R386" s="165"/>
      <c r="S386" s="165"/>
      <c r="T386" s="166"/>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92"/>
      <c r="AR386" s="192"/>
      <c r="AS386" s="192"/>
      <c r="AT386" s="192"/>
      <c r="AU386" s="192"/>
      <c r="AV386" s="192"/>
      <c r="AW386" s="192"/>
      <c r="AX386" s="192"/>
      <c r="AY386" s="192"/>
      <c r="AZ386" s="192"/>
      <c r="BA386" s="192"/>
      <c r="BB386" s="192"/>
      <c r="BC386" s="192"/>
      <c r="BD386" s="192"/>
      <c r="BE386" s="192"/>
      <c r="BF386" s="192"/>
      <c r="BG386" s="192"/>
      <c r="BH386" s="192"/>
      <c r="BI386" s="192"/>
      <c r="BJ386" s="192"/>
      <c r="BK386" s="192"/>
      <c r="BL386" s="192"/>
      <c r="BM386" s="192"/>
      <c r="BN386" s="192"/>
    </row>
    <row r="387" ht="29.25" customHeight="1">
      <c r="A387" s="189"/>
      <c r="B387" s="190"/>
      <c r="C387" s="157"/>
      <c r="D387" s="157"/>
      <c r="E387" s="158"/>
      <c r="F387" s="166"/>
      <c r="G387" s="161"/>
      <c r="H387" s="161"/>
      <c r="I387" s="162"/>
      <c r="J387" s="163"/>
      <c r="K387" s="163"/>
      <c r="L387" s="163"/>
      <c r="M387" s="160"/>
      <c r="N387" s="162"/>
      <c r="O387" s="164"/>
      <c r="P387" s="140"/>
      <c r="Q387" s="191"/>
      <c r="R387" s="165"/>
      <c r="S387" s="165"/>
      <c r="T387" s="166"/>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92"/>
      <c r="AR387" s="192"/>
      <c r="AS387" s="192"/>
      <c r="AT387" s="192"/>
      <c r="AU387" s="192"/>
      <c r="AV387" s="192"/>
      <c r="AW387" s="192"/>
      <c r="AX387" s="192"/>
      <c r="AY387" s="192"/>
      <c r="AZ387" s="192"/>
      <c r="BA387" s="192"/>
      <c r="BB387" s="192"/>
      <c r="BC387" s="192"/>
      <c r="BD387" s="192"/>
      <c r="BE387" s="192"/>
      <c r="BF387" s="192"/>
      <c r="BG387" s="192"/>
      <c r="BH387" s="192"/>
      <c r="BI387" s="192"/>
      <c r="BJ387" s="192"/>
      <c r="BK387" s="192"/>
      <c r="BL387" s="192"/>
      <c r="BM387" s="192"/>
      <c r="BN387" s="192"/>
    </row>
    <row r="388" ht="29.25" customHeight="1">
      <c r="A388" s="189"/>
      <c r="B388" s="190"/>
      <c r="C388" s="157"/>
      <c r="D388" s="157"/>
      <c r="E388" s="158"/>
      <c r="F388" s="166"/>
      <c r="G388" s="161"/>
      <c r="H388" s="161"/>
      <c r="I388" s="162"/>
      <c r="J388" s="163"/>
      <c r="K388" s="163"/>
      <c r="L388" s="163"/>
      <c r="M388" s="160"/>
      <c r="N388" s="162"/>
      <c r="O388" s="164"/>
      <c r="P388" s="140"/>
      <c r="Q388" s="191"/>
      <c r="R388" s="165"/>
      <c r="S388" s="165"/>
      <c r="T388" s="166"/>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92"/>
      <c r="AR388" s="192"/>
      <c r="AS388" s="192"/>
      <c r="AT388" s="192"/>
      <c r="AU388" s="192"/>
      <c r="AV388" s="192"/>
      <c r="AW388" s="192"/>
      <c r="AX388" s="192"/>
      <c r="AY388" s="192"/>
      <c r="AZ388" s="192"/>
      <c r="BA388" s="192"/>
      <c r="BB388" s="192"/>
      <c r="BC388" s="192"/>
      <c r="BD388" s="192"/>
      <c r="BE388" s="192"/>
      <c r="BF388" s="192"/>
      <c r="BG388" s="192"/>
      <c r="BH388" s="192"/>
      <c r="BI388" s="192"/>
      <c r="BJ388" s="192"/>
      <c r="BK388" s="192"/>
      <c r="BL388" s="192"/>
      <c r="BM388" s="192"/>
      <c r="BN388" s="192"/>
    </row>
    <row r="389" ht="29.25" customHeight="1">
      <c r="A389" s="189"/>
      <c r="B389" s="190"/>
      <c r="C389" s="157"/>
      <c r="D389" s="157"/>
      <c r="E389" s="158"/>
      <c r="F389" s="166"/>
      <c r="G389" s="161"/>
      <c r="H389" s="161"/>
      <c r="I389" s="162"/>
      <c r="J389" s="163"/>
      <c r="K389" s="163"/>
      <c r="L389" s="163"/>
      <c r="M389" s="160"/>
      <c r="N389" s="162"/>
      <c r="O389" s="164"/>
      <c r="P389" s="140"/>
      <c r="Q389" s="191"/>
      <c r="R389" s="165"/>
      <c r="S389" s="165"/>
      <c r="T389" s="166"/>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92"/>
      <c r="AR389" s="192"/>
      <c r="AS389" s="192"/>
      <c r="AT389" s="192"/>
      <c r="AU389" s="192"/>
      <c r="AV389" s="192"/>
      <c r="AW389" s="192"/>
      <c r="AX389" s="192"/>
      <c r="AY389" s="192"/>
      <c r="AZ389" s="192"/>
      <c r="BA389" s="192"/>
      <c r="BB389" s="192"/>
      <c r="BC389" s="192"/>
      <c r="BD389" s="192"/>
      <c r="BE389" s="192"/>
      <c r="BF389" s="192"/>
      <c r="BG389" s="192"/>
      <c r="BH389" s="192"/>
      <c r="BI389" s="192"/>
      <c r="BJ389" s="192"/>
      <c r="BK389" s="192"/>
      <c r="BL389" s="192"/>
      <c r="BM389" s="192"/>
      <c r="BN389" s="192"/>
    </row>
    <row r="390" ht="29.25" customHeight="1">
      <c r="A390" s="189"/>
      <c r="B390" s="190"/>
      <c r="C390" s="157"/>
      <c r="D390" s="157"/>
      <c r="E390" s="158"/>
      <c r="F390" s="166"/>
      <c r="G390" s="161"/>
      <c r="H390" s="161"/>
      <c r="I390" s="162"/>
      <c r="J390" s="163"/>
      <c r="K390" s="163"/>
      <c r="L390" s="163"/>
      <c r="M390" s="160"/>
      <c r="N390" s="162"/>
      <c r="O390" s="164"/>
      <c r="P390" s="140"/>
      <c r="Q390" s="191"/>
      <c r="R390" s="165"/>
      <c r="S390" s="165"/>
      <c r="T390" s="166"/>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92"/>
      <c r="AR390" s="192"/>
      <c r="AS390" s="192"/>
      <c r="AT390" s="192"/>
      <c r="AU390" s="192"/>
      <c r="AV390" s="192"/>
      <c r="AW390" s="192"/>
      <c r="AX390" s="192"/>
      <c r="AY390" s="192"/>
      <c r="AZ390" s="192"/>
      <c r="BA390" s="192"/>
      <c r="BB390" s="192"/>
      <c r="BC390" s="192"/>
      <c r="BD390" s="192"/>
      <c r="BE390" s="192"/>
      <c r="BF390" s="192"/>
      <c r="BG390" s="192"/>
      <c r="BH390" s="192"/>
      <c r="BI390" s="192"/>
      <c r="BJ390" s="192"/>
      <c r="BK390" s="192"/>
      <c r="BL390" s="192"/>
      <c r="BM390" s="192"/>
      <c r="BN390" s="192"/>
    </row>
    <row r="391" ht="29.25" customHeight="1">
      <c r="A391" s="189"/>
      <c r="B391" s="190"/>
      <c r="C391" s="157"/>
      <c r="D391" s="157"/>
      <c r="E391" s="158"/>
      <c r="F391" s="166"/>
      <c r="G391" s="161"/>
      <c r="H391" s="161"/>
      <c r="I391" s="162"/>
      <c r="J391" s="163"/>
      <c r="K391" s="163"/>
      <c r="L391" s="163"/>
      <c r="M391" s="160"/>
      <c r="N391" s="162"/>
      <c r="O391" s="164"/>
      <c r="P391" s="140"/>
      <c r="Q391" s="191"/>
      <c r="R391" s="165"/>
      <c r="S391" s="165"/>
      <c r="T391" s="166"/>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92"/>
      <c r="AR391" s="192"/>
      <c r="AS391" s="192"/>
      <c r="AT391" s="192"/>
      <c r="AU391" s="192"/>
      <c r="AV391" s="192"/>
      <c r="AW391" s="192"/>
      <c r="AX391" s="192"/>
      <c r="AY391" s="192"/>
      <c r="AZ391" s="192"/>
      <c r="BA391" s="192"/>
      <c r="BB391" s="192"/>
      <c r="BC391" s="192"/>
      <c r="BD391" s="192"/>
      <c r="BE391" s="192"/>
      <c r="BF391" s="192"/>
      <c r="BG391" s="192"/>
      <c r="BH391" s="192"/>
      <c r="BI391" s="192"/>
      <c r="BJ391" s="192"/>
      <c r="BK391" s="192"/>
      <c r="BL391" s="192"/>
      <c r="BM391" s="192"/>
      <c r="BN391" s="192"/>
    </row>
    <row r="392" ht="29.25" customHeight="1">
      <c r="A392" s="189"/>
      <c r="B392" s="190"/>
      <c r="C392" s="157"/>
      <c r="D392" s="157"/>
      <c r="E392" s="158"/>
      <c r="F392" s="166"/>
      <c r="G392" s="161"/>
      <c r="H392" s="161"/>
      <c r="I392" s="162"/>
      <c r="J392" s="163"/>
      <c r="K392" s="163"/>
      <c r="L392" s="163"/>
      <c r="M392" s="160"/>
      <c r="N392" s="162"/>
      <c r="O392" s="164"/>
      <c r="P392" s="140"/>
      <c r="Q392" s="191"/>
      <c r="R392" s="165"/>
      <c r="S392" s="165"/>
      <c r="T392" s="166"/>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92"/>
      <c r="AR392" s="192"/>
      <c r="AS392" s="192"/>
      <c r="AT392" s="192"/>
      <c r="AU392" s="192"/>
      <c r="AV392" s="192"/>
      <c r="AW392" s="192"/>
      <c r="AX392" s="192"/>
      <c r="AY392" s="192"/>
      <c r="AZ392" s="192"/>
      <c r="BA392" s="192"/>
      <c r="BB392" s="192"/>
      <c r="BC392" s="192"/>
      <c r="BD392" s="192"/>
      <c r="BE392" s="192"/>
      <c r="BF392" s="192"/>
      <c r="BG392" s="192"/>
      <c r="BH392" s="192"/>
      <c r="BI392" s="192"/>
      <c r="BJ392" s="192"/>
      <c r="BK392" s="192"/>
      <c r="BL392" s="192"/>
      <c r="BM392" s="192"/>
      <c r="BN392" s="192"/>
    </row>
    <row r="393" ht="29.25" customHeight="1">
      <c r="A393" s="189"/>
      <c r="B393" s="190"/>
      <c r="C393" s="157"/>
      <c r="D393" s="157"/>
      <c r="E393" s="158"/>
      <c r="F393" s="166"/>
      <c r="G393" s="161"/>
      <c r="H393" s="161"/>
      <c r="I393" s="162"/>
      <c r="J393" s="163"/>
      <c r="K393" s="163"/>
      <c r="L393" s="163"/>
      <c r="M393" s="160"/>
      <c r="N393" s="162"/>
      <c r="O393" s="164"/>
      <c r="P393" s="140"/>
      <c r="Q393" s="191"/>
      <c r="R393" s="165"/>
      <c r="S393" s="165"/>
      <c r="T393" s="166"/>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92"/>
      <c r="AR393" s="192"/>
      <c r="AS393" s="192"/>
      <c r="AT393" s="192"/>
      <c r="AU393" s="192"/>
      <c r="AV393" s="192"/>
      <c r="AW393" s="192"/>
      <c r="AX393" s="192"/>
      <c r="AY393" s="192"/>
      <c r="AZ393" s="192"/>
      <c r="BA393" s="192"/>
      <c r="BB393" s="192"/>
      <c r="BC393" s="192"/>
      <c r="BD393" s="192"/>
      <c r="BE393" s="192"/>
      <c r="BF393" s="192"/>
      <c r="BG393" s="192"/>
      <c r="BH393" s="192"/>
      <c r="BI393" s="192"/>
      <c r="BJ393" s="192"/>
      <c r="BK393" s="192"/>
      <c r="BL393" s="192"/>
      <c r="BM393" s="192"/>
      <c r="BN393" s="192"/>
    </row>
    <row r="394" ht="29.25" customHeight="1">
      <c r="A394" s="189"/>
      <c r="B394" s="190"/>
      <c r="C394" s="157"/>
      <c r="D394" s="157"/>
      <c r="E394" s="158"/>
      <c r="F394" s="166"/>
      <c r="G394" s="161"/>
      <c r="H394" s="161"/>
      <c r="I394" s="162"/>
      <c r="J394" s="163"/>
      <c r="K394" s="163"/>
      <c r="L394" s="163"/>
      <c r="M394" s="160"/>
      <c r="N394" s="162"/>
      <c r="O394" s="164"/>
      <c r="P394" s="140"/>
      <c r="Q394" s="191"/>
      <c r="R394" s="165"/>
      <c r="S394" s="165"/>
      <c r="T394" s="166"/>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92"/>
      <c r="AR394" s="192"/>
      <c r="AS394" s="192"/>
      <c r="AT394" s="192"/>
      <c r="AU394" s="192"/>
      <c r="AV394" s="192"/>
      <c r="AW394" s="192"/>
      <c r="AX394" s="192"/>
      <c r="AY394" s="192"/>
      <c r="AZ394" s="192"/>
      <c r="BA394" s="192"/>
      <c r="BB394" s="192"/>
      <c r="BC394" s="192"/>
      <c r="BD394" s="192"/>
      <c r="BE394" s="192"/>
      <c r="BF394" s="192"/>
      <c r="BG394" s="192"/>
      <c r="BH394" s="192"/>
      <c r="BI394" s="192"/>
      <c r="BJ394" s="192"/>
      <c r="BK394" s="192"/>
      <c r="BL394" s="192"/>
      <c r="BM394" s="192"/>
      <c r="BN394" s="192"/>
    </row>
    <row r="395" ht="29.25" customHeight="1">
      <c r="A395" s="189"/>
      <c r="B395" s="190"/>
      <c r="C395" s="157"/>
      <c r="D395" s="157"/>
      <c r="E395" s="158"/>
      <c r="F395" s="166"/>
      <c r="G395" s="161"/>
      <c r="H395" s="161"/>
      <c r="I395" s="162"/>
      <c r="J395" s="163"/>
      <c r="K395" s="163"/>
      <c r="L395" s="163"/>
      <c r="M395" s="160"/>
      <c r="N395" s="162"/>
      <c r="O395" s="164"/>
      <c r="P395" s="140"/>
      <c r="Q395" s="191"/>
      <c r="R395" s="165"/>
      <c r="S395" s="165"/>
      <c r="T395" s="166"/>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92"/>
      <c r="AR395" s="192"/>
      <c r="AS395" s="192"/>
      <c r="AT395" s="192"/>
      <c r="AU395" s="192"/>
      <c r="AV395" s="192"/>
      <c r="AW395" s="192"/>
      <c r="AX395" s="192"/>
      <c r="AY395" s="192"/>
      <c r="AZ395" s="192"/>
      <c r="BA395" s="192"/>
      <c r="BB395" s="192"/>
      <c r="BC395" s="192"/>
      <c r="BD395" s="192"/>
      <c r="BE395" s="192"/>
      <c r="BF395" s="192"/>
      <c r="BG395" s="192"/>
      <c r="BH395" s="192"/>
      <c r="BI395" s="192"/>
      <c r="BJ395" s="192"/>
      <c r="BK395" s="192"/>
      <c r="BL395" s="192"/>
      <c r="BM395" s="192"/>
      <c r="BN395" s="192"/>
    </row>
    <row r="396" ht="29.25" customHeight="1">
      <c r="A396" s="189"/>
      <c r="B396" s="190"/>
      <c r="C396" s="157"/>
      <c r="D396" s="157"/>
      <c r="E396" s="158"/>
      <c r="F396" s="166"/>
      <c r="G396" s="161"/>
      <c r="H396" s="161"/>
      <c r="I396" s="162"/>
      <c r="J396" s="163"/>
      <c r="K396" s="163"/>
      <c r="L396" s="163"/>
      <c r="M396" s="160"/>
      <c r="N396" s="162"/>
      <c r="O396" s="164"/>
      <c r="P396" s="140"/>
      <c r="Q396" s="191"/>
      <c r="R396" s="165"/>
      <c r="S396" s="165"/>
      <c r="T396" s="166"/>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92"/>
      <c r="AR396" s="192"/>
      <c r="AS396" s="192"/>
      <c r="AT396" s="192"/>
      <c r="AU396" s="192"/>
      <c r="AV396" s="192"/>
      <c r="AW396" s="192"/>
      <c r="AX396" s="192"/>
      <c r="AY396" s="192"/>
      <c r="AZ396" s="192"/>
      <c r="BA396" s="192"/>
      <c r="BB396" s="192"/>
      <c r="BC396" s="192"/>
      <c r="BD396" s="192"/>
      <c r="BE396" s="192"/>
      <c r="BF396" s="192"/>
      <c r="BG396" s="192"/>
      <c r="BH396" s="192"/>
      <c r="BI396" s="192"/>
      <c r="BJ396" s="192"/>
      <c r="BK396" s="192"/>
      <c r="BL396" s="192"/>
      <c r="BM396" s="192"/>
      <c r="BN396" s="192"/>
    </row>
    <row r="397" ht="29.25" customHeight="1">
      <c r="A397" s="189"/>
      <c r="B397" s="190"/>
      <c r="C397" s="157"/>
      <c r="D397" s="157"/>
      <c r="E397" s="158"/>
      <c r="F397" s="166"/>
      <c r="G397" s="161"/>
      <c r="H397" s="161"/>
      <c r="I397" s="162"/>
      <c r="J397" s="163"/>
      <c r="K397" s="163"/>
      <c r="L397" s="163"/>
      <c r="M397" s="160"/>
      <c r="N397" s="162"/>
      <c r="O397" s="164"/>
      <c r="P397" s="140"/>
      <c r="Q397" s="191"/>
      <c r="R397" s="165"/>
      <c r="S397" s="165"/>
      <c r="T397" s="166"/>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92"/>
      <c r="AR397" s="192"/>
      <c r="AS397" s="192"/>
      <c r="AT397" s="192"/>
      <c r="AU397" s="192"/>
      <c r="AV397" s="192"/>
      <c r="AW397" s="192"/>
      <c r="AX397" s="192"/>
      <c r="AY397" s="192"/>
      <c r="AZ397" s="192"/>
      <c r="BA397" s="192"/>
      <c r="BB397" s="192"/>
      <c r="BC397" s="192"/>
      <c r="BD397" s="192"/>
      <c r="BE397" s="192"/>
      <c r="BF397" s="192"/>
      <c r="BG397" s="192"/>
      <c r="BH397" s="192"/>
      <c r="BI397" s="192"/>
      <c r="BJ397" s="192"/>
      <c r="BK397" s="192"/>
      <c r="BL397" s="192"/>
      <c r="BM397" s="192"/>
      <c r="BN397" s="192"/>
    </row>
    <row r="398" ht="29.25" customHeight="1">
      <c r="A398" s="189"/>
      <c r="B398" s="190"/>
      <c r="C398" s="157"/>
      <c r="D398" s="157"/>
      <c r="E398" s="158"/>
      <c r="F398" s="166"/>
      <c r="G398" s="161"/>
      <c r="H398" s="161"/>
      <c r="I398" s="162"/>
      <c r="J398" s="163"/>
      <c r="K398" s="163"/>
      <c r="L398" s="163"/>
      <c r="M398" s="160"/>
      <c r="N398" s="162"/>
      <c r="O398" s="164"/>
      <c r="P398" s="140"/>
      <c r="Q398" s="191"/>
      <c r="R398" s="165"/>
      <c r="S398" s="165"/>
      <c r="T398" s="166"/>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92"/>
      <c r="AR398" s="192"/>
      <c r="AS398" s="192"/>
      <c r="AT398" s="192"/>
      <c r="AU398" s="192"/>
      <c r="AV398" s="192"/>
      <c r="AW398" s="192"/>
      <c r="AX398" s="192"/>
      <c r="AY398" s="192"/>
      <c r="AZ398" s="192"/>
      <c r="BA398" s="192"/>
      <c r="BB398" s="192"/>
      <c r="BC398" s="192"/>
      <c r="BD398" s="192"/>
      <c r="BE398" s="192"/>
      <c r="BF398" s="192"/>
      <c r="BG398" s="192"/>
      <c r="BH398" s="192"/>
      <c r="BI398" s="192"/>
      <c r="BJ398" s="192"/>
      <c r="BK398" s="192"/>
      <c r="BL398" s="192"/>
      <c r="BM398" s="192"/>
      <c r="BN398" s="192"/>
    </row>
    <row r="399" ht="29.25" customHeight="1">
      <c r="A399" s="189"/>
      <c r="B399" s="190"/>
      <c r="C399" s="157"/>
      <c r="D399" s="157"/>
      <c r="E399" s="158"/>
      <c r="F399" s="166"/>
      <c r="G399" s="161"/>
      <c r="H399" s="161"/>
      <c r="I399" s="162"/>
      <c r="J399" s="163"/>
      <c r="K399" s="163"/>
      <c r="L399" s="163"/>
      <c r="M399" s="160"/>
      <c r="N399" s="162"/>
      <c r="O399" s="164"/>
      <c r="P399" s="140"/>
      <c r="Q399" s="191"/>
      <c r="R399" s="165"/>
      <c r="S399" s="165"/>
      <c r="T399" s="166"/>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92"/>
      <c r="AR399" s="192"/>
      <c r="AS399" s="192"/>
      <c r="AT399" s="192"/>
      <c r="AU399" s="192"/>
      <c r="AV399" s="192"/>
      <c r="AW399" s="192"/>
      <c r="AX399" s="192"/>
      <c r="AY399" s="192"/>
      <c r="AZ399" s="192"/>
      <c r="BA399" s="192"/>
      <c r="BB399" s="192"/>
      <c r="BC399" s="192"/>
      <c r="BD399" s="192"/>
      <c r="BE399" s="192"/>
      <c r="BF399" s="192"/>
      <c r="BG399" s="192"/>
      <c r="BH399" s="192"/>
      <c r="BI399" s="192"/>
      <c r="BJ399" s="192"/>
      <c r="BK399" s="192"/>
      <c r="BL399" s="192"/>
      <c r="BM399" s="192"/>
      <c r="BN399" s="192"/>
    </row>
    <row r="400" ht="29.25" customHeight="1">
      <c r="A400" s="189"/>
      <c r="B400" s="190"/>
      <c r="C400" s="157"/>
      <c r="D400" s="157"/>
      <c r="E400" s="158"/>
      <c r="F400" s="166"/>
      <c r="G400" s="161"/>
      <c r="H400" s="161"/>
      <c r="I400" s="162"/>
      <c r="J400" s="163"/>
      <c r="K400" s="163"/>
      <c r="L400" s="163"/>
      <c r="M400" s="160"/>
      <c r="N400" s="162"/>
      <c r="O400" s="164"/>
      <c r="P400" s="140"/>
      <c r="Q400" s="191"/>
      <c r="R400" s="165"/>
      <c r="S400" s="165"/>
      <c r="T400" s="166"/>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92"/>
      <c r="AR400" s="192"/>
      <c r="AS400" s="192"/>
      <c r="AT400" s="192"/>
      <c r="AU400" s="192"/>
      <c r="AV400" s="192"/>
      <c r="AW400" s="192"/>
      <c r="AX400" s="192"/>
      <c r="AY400" s="192"/>
      <c r="AZ400" s="192"/>
      <c r="BA400" s="192"/>
      <c r="BB400" s="192"/>
      <c r="BC400" s="192"/>
      <c r="BD400" s="192"/>
      <c r="BE400" s="192"/>
      <c r="BF400" s="192"/>
      <c r="BG400" s="192"/>
      <c r="BH400" s="192"/>
      <c r="BI400" s="192"/>
      <c r="BJ400" s="192"/>
      <c r="BK400" s="192"/>
      <c r="BL400" s="192"/>
      <c r="BM400" s="192"/>
      <c r="BN400" s="192"/>
    </row>
    <row r="401" ht="29.25" customHeight="1">
      <c r="A401" s="189"/>
      <c r="B401" s="190"/>
      <c r="C401" s="157"/>
      <c r="D401" s="157"/>
      <c r="E401" s="158"/>
      <c r="F401" s="166"/>
      <c r="G401" s="161"/>
      <c r="H401" s="161"/>
      <c r="I401" s="162"/>
      <c r="J401" s="163"/>
      <c r="K401" s="163"/>
      <c r="L401" s="163"/>
      <c r="M401" s="160"/>
      <c r="N401" s="162"/>
      <c r="O401" s="164"/>
      <c r="P401" s="140"/>
      <c r="Q401" s="191"/>
      <c r="R401" s="165"/>
      <c r="S401" s="165"/>
      <c r="T401" s="166"/>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92"/>
      <c r="AR401" s="192"/>
      <c r="AS401" s="192"/>
      <c r="AT401" s="192"/>
      <c r="AU401" s="192"/>
      <c r="AV401" s="192"/>
      <c r="AW401" s="192"/>
      <c r="AX401" s="192"/>
      <c r="AY401" s="192"/>
      <c r="AZ401" s="192"/>
      <c r="BA401" s="192"/>
      <c r="BB401" s="192"/>
      <c r="BC401" s="192"/>
      <c r="BD401" s="192"/>
      <c r="BE401" s="192"/>
      <c r="BF401" s="192"/>
      <c r="BG401" s="192"/>
      <c r="BH401" s="192"/>
      <c r="BI401" s="192"/>
      <c r="BJ401" s="192"/>
      <c r="BK401" s="192"/>
      <c r="BL401" s="192"/>
      <c r="BM401" s="192"/>
      <c r="BN401" s="192"/>
    </row>
    <row r="402" ht="29.25" customHeight="1">
      <c r="A402" s="189"/>
      <c r="B402" s="190"/>
      <c r="C402" s="157"/>
      <c r="D402" s="157"/>
      <c r="E402" s="158"/>
      <c r="F402" s="166"/>
      <c r="G402" s="161"/>
      <c r="H402" s="161"/>
      <c r="I402" s="162"/>
      <c r="J402" s="163"/>
      <c r="K402" s="163"/>
      <c r="L402" s="163"/>
      <c r="M402" s="160"/>
      <c r="N402" s="162"/>
      <c r="O402" s="164"/>
      <c r="P402" s="140"/>
      <c r="Q402" s="191"/>
      <c r="R402" s="165"/>
      <c r="S402" s="165"/>
      <c r="T402" s="166"/>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92"/>
      <c r="AR402" s="192"/>
      <c r="AS402" s="192"/>
      <c r="AT402" s="192"/>
      <c r="AU402" s="192"/>
      <c r="AV402" s="192"/>
      <c r="AW402" s="192"/>
      <c r="AX402" s="192"/>
      <c r="AY402" s="192"/>
      <c r="AZ402" s="192"/>
      <c r="BA402" s="192"/>
      <c r="BB402" s="192"/>
      <c r="BC402" s="192"/>
      <c r="BD402" s="192"/>
      <c r="BE402" s="192"/>
      <c r="BF402" s="192"/>
      <c r="BG402" s="192"/>
      <c r="BH402" s="192"/>
      <c r="BI402" s="192"/>
      <c r="BJ402" s="192"/>
      <c r="BK402" s="192"/>
      <c r="BL402" s="192"/>
      <c r="BM402" s="192"/>
      <c r="BN402" s="192"/>
    </row>
    <row r="403" ht="29.25" customHeight="1">
      <c r="A403" s="189"/>
      <c r="B403" s="190"/>
      <c r="C403" s="157"/>
      <c r="D403" s="157"/>
      <c r="E403" s="158"/>
      <c r="F403" s="166"/>
      <c r="G403" s="161"/>
      <c r="H403" s="161"/>
      <c r="I403" s="162"/>
      <c r="J403" s="163"/>
      <c r="K403" s="163"/>
      <c r="L403" s="163"/>
      <c r="M403" s="160"/>
      <c r="N403" s="162"/>
      <c r="O403" s="164"/>
      <c r="P403" s="140"/>
      <c r="Q403" s="191"/>
      <c r="R403" s="165"/>
      <c r="S403" s="165"/>
      <c r="T403" s="166"/>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92"/>
      <c r="AR403" s="192"/>
      <c r="AS403" s="192"/>
      <c r="AT403" s="192"/>
      <c r="AU403" s="192"/>
      <c r="AV403" s="192"/>
      <c r="AW403" s="192"/>
      <c r="AX403" s="192"/>
      <c r="AY403" s="192"/>
      <c r="AZ403" s="192"/>
      <c r="BA403" s="192"/>
      <c r="BB403" s="192"/>
      <c r="BC403" s="192"/>
      <c r="BD403" s="192"/>
      <c r="BE403" s="192"/>
      <c r="BF403" s="192"/>
      <c r="BG403" s="192"/>
      <c r="BH403" s="192"/>
      <c r="BI403" s="192"/>
      <c r="BJ403" s="192"/>
      <c r="BK403" s="192"/>
      <c r="BL403" s="192"/>
      <c r="BM403" s="192"/>
      <c r="BN403" s="192"/>
    </row>
    <row r="404" ht="29.25" customHeight="1">
      <c r="A404" s="189"/>
      <c r="B404" s="190"/>
      <c r="C404" s="157"/>
      <c r="D404" s="157"/>
      <c r="E404" s="158"/>
      <c r="F404" s="166"/>
      <c r="G404" s="161"/>
      <c r="H404" s="161"/>
      <c r="I404" s="162"/>
      <c r="J404" s="163"/>
      <c r="K404" s="163"/>
      <c r="L404" s="163"/>
      <c r="M404" s="160"/>
      <c r="N404" s="162"/>
      <c r="O404" s="164"/>
      <c r="P404" s="140"/>
      <c r="Q404" s="191"/>
      <c r="R404" s="165"/>
      <c r="S404" s="165"/>
      <c r="T404" s="166"/>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92"/>
      <c r="AR404" s="192"/>
      <c r="AS404" s="192"/>
      <c r="AT404" s="192"/>
      <c r="AU404" s="192"/>
      <c r="AV404" s="192"/>
      <c r="AW404" s="192"/>
      <c r="AX404" s="192"/>
      <c r="AY404" s="192"/>
      <c r="AZ404" s="192"/>
      <c r="BA404" s="192"/>
      <c r="BB404" s="192"/>
      <c r="BC404" s="192"/>
      <c r="BD404" s="192"/>
      <c r="BE404" s="192"/>
      <c r="BF404" s="192"/>
      <c r="BG404" s="192"/>
      <c r="BH404" s="192"/>
      <c r="BI404" s="192"/>
      <c r="BJ404" s="192"/>
      <c r="BK404" s="192"/>
      <c r="BL404" s="192"/>
      <c r="BM404" s="192"/>
      <c r="BN404" s="192"/>
    </row>
    <row r="405" ht="29.25" customHeight="1">
      <c r="A405" s="189"/>
      <c r="B405" s="190"/>
      <c r="C405" s="157"/>
      <c r="D405" s="157"/>
      <c r="E405" s="158"/>
      <c r="F405" s="166"/>
      <c r="G405" s="161"/>
      <c r="H405" s="161"/>
      <c r="I405" s="162"/>
      <c r="J405" s="163"/>
      <c r="K405" s="163"/>
      <c r="L405" s="163"/>
      <c r="M405" s="160"/>
      <c r="N405" s="162"/>
      <c r="O405" s="164"/>
      <c r="P405" s="140"/>
      <c r="Q405" s="191"/>
      <c r="R405" s="165"/>
      <c r="S405" s="165"/>
      <c r="T405" s="166"/>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92"/>
      <c r="AR405" s="192"/>
      <c r="AS405" s="192"/>
      <c r="AT405" s="192"/>
      <c r="AU405" s="192"/>
      <c r="AV405" s="192"/>
      <c r="AW405" s="192"/>
      <c r="AX405" s="192"/>
      <c r="AY405" s="192"/>
      <c r="AZ405" s="192"/>
      <c r="BA405" s="192"/>
      <c r="BB405" s="192"/>
      <c r="BC405" s="192"/>
      <c r="BD405" s="192"/>
      <c r="BE405" s="192"/>
      <c r="BF405" s="192"/>
      <c r="BG405" s="192"/>
      <c r="BH405" s="192"/>
      <c r="BI405" s="192"/>
      <c r="BJ405" s="192"/>
      <c r="BK405" s="192"/>
      <c r="BL405" s="192"/>
      <c r="BM405" s="192"/>
      <c r="BN405" s="192"/>
    </row>
    <row r="406" ht="29.25" customHeight="1">
      <c r="A406" s="189"/>
      <c r="B406" s="190"/>
      <c r="C406" s="157"/>
      <c r="D406" s="157"/>
      <c r="E406" s="158"/>
      <c r="F406" s="166"/>
      <c r="G406" s="161"/>
      <c r="H406" s="161"/>
      <c r="I406" s="162"/>
      <c r="J406" s="163"/>
      <c r="K406" s="163"/>
      <c r="L406" s="163"/>
      <c r="M406" s="160"/>
      <c r="N406" s="162"/>
      <c r="O406" s="164"/>
      <c r="P406" s="140"/>
      <c r="Q406" s="191"/>
      <c r="R406" s="165"/>
      <c r="S406" s="165"/>
      <c r="T406" s="166"/>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92"/>
      <c r="AR406" s="192"/>
      <c r="AS406" s="192"/>
      <c r="AT406" s="192"/>
      <c r="AU406" s="192"/>
      <c r="AV406" s="192"/>
      <c r="AW406" s="192"/>
      <c r="AX406" s="192"/>
      <c r="AY406" s="192"/>
      <c r="AZ406" s="192"/>
      <c r="BA406" s="192"/>
      <c r="BB406" s="192"/>
      <c r="BC406" s="192"/>
      <c r="BD406" s="192"/>
      <c r="BE406" s="192"/>
      <c r="BF406" s="192"/>
      <c r="BG406" s="192"/>
      <c r="BH406" s="192"/>
      <c r="BI406" s="192"/>
      <c r="BJ406" s="192"/>
      <c r="BK406" s="192"/>
      <c r="BL406" s="192"/>
      <c r="BM406" s="192"/>
      <c r="BN406" s="192"/>
    </row>
    <row r="407" ht="29.25" customHeight="1">
      <c r="A407" s="189"/>
      <c r="B407" s="190"/>
      <c r="C407" s="157"/>
      <c r="D407" s="157"/>
      <c r="E407" s="158"/>
      <c r="F407" s="166"/>
      <c r="G407" s="161"/>
      <c r="H407" s="161"/>
      <c r="I407" s="162"/>
      <c r="J407" s="163"/>
      <c r="K407" s="163"/>
      <c r="L407" s="163"/>
      <c r="M407" s="160"/>
      <c r="N407" s="162"/>
      <c r="O407" s="164"/>
      <c r="P407" s="140"/>
      <c r="Q407" s="191"/>
      <c r="R407" s="165"/>
      <c r="S407" s="165"/>
      <c r="T407" s="166"/>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92"/>
      <c r="AR407" s="192"/>
      <c r="AS407" s="192"/>
      <c r="AT407" s="192"/>
      <c r="AU407" s="192"/>
      <c r="AV407" s="192"/>
      <c r="AW407" s="192"/>
      <c r="AX407" s="192"/>
      <c r="AY407" s="192"/>
      <c r="AZ407" s="192"/>
      <c r="BA407" s="192"/>
      <c r="BB407" s="192"/>
      <c r="BC407" s="192"/>
      <c r="BD407" s="192"/>
      <c r="BE407" s="192"/>
      <c r="BF407" s="192"/>
      <c r="BG407" s="192"/>
      <c r="BH407" s="192"/>
      <c r="BI407" s="192"/>
      <c r="BJ407" s="192"/>
      <c r="BK407" s="192"/>
      <c r="BL407" s="192"/>
      <c r="BM407" s="192"/>
      <c r="BN407" s="192"/>
    </row>
    <row r="408" ht="29.25" customHeight="1">
      <c r="A408" s="189"/>
      <c r="B408" s="190"/>
      <c r="C408" s="157"/>
      <c r="D408" s="157"/>
      <c r="E408" s="158"/>
      <c r="F408" s="166"/>
      <c r="G408" s="161"/>
      <c r="H408" s="161"/>
      <c r="I408" s="162"/>
      <c r="J408" s="163"/>
      <c r="K408" s="163"/>
      <c r="L408" s="163"/>
      <c r="M408" s="160"/>
      <c r="N408" s="162"/>
      <c r="O408" s="164"/>
      <c r="P408" s="140"/>
      <c r="Q408" s="191"/>
      <c r="R408" s="165"/>
      <c r="S408" s="165"/>
      <c r="T408" s="166"/>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92"/>
      <c r="AR408" s="192"/>
      <c r="AS408" s="192"/>
      <c r="AT408" s="192"/>
      <c r="AU408" s="192"/>
      <c r="AV408" s="192"/>
      <c r="AW408" s="192"/>
      <c r="AX408" s="192"/>
      <c r="AY408" s="192"/>
      <c r="AZ408" s="192"/>
      <c r="BA408" s="192"/>
      <c r="BB408" s="192"/>
      <c r="BC408" s="192"/>
      <c r="BD408" s="192"/>
      <c r="BE408" s="192"/>
      <c r="BF408" s="192"/>
      <c r="BG408" s="192"/>
      <c r="BH408" s="192"/>
      <c r="BI408" s="192"/>
      <c r="BJ408" s="192"/>
      <c r="BK408" s="192"/>
      <c r="BL408" s="192"/>
      <c r="BM408" s="192"/>
      <c r="BN408" s="192"/>
    </row>
    <row r="409" ht="29.25" customHeight="1">
      <c r="A409" s="189"/>
      <c r="B409" s="190"/>
      <c r="C409" s="157"/>
      <c r="D409" s="157"/>
      <c r="E409" s="158"/>
      <c r="F409" s="166"/>
      <c r="G409" s="161"/>
      <c r="H409" s="161"/>
      <c r="I409" s="162"/>
      <c r="J409" s="163"/>
      <c r="K409" s="163"/>
      <c r="L409" s="163"/>
      <c r="M409" s="160"/>
      <c r="N409" s="162"/>
      <c r="O409" s="164"/>
      <c r="P409" s="140"/>
      <c r="Q409" s="191"/>
      <c r="R409" s="165"/>
      <c r="S409" s="165"/>
      <c r="T409" s="166"/>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92"/>
      <c r="AR409" s="192"/>
      <c r="AS409" s="192"/>
      <c r="AT409" s="192"/>
      <c r="AU409" s="192"/>
      <c r="AV409" s="192"/>
      <c r="AW409" s="192"/>
      <c r="AX409" s="192"/>
      <c r="AY409" s="192"/>
      <c r="AZ409" s="192"/>
      <c r="BA409" s="192"/>
      <c r="BB409" s="192"/>
      <c r="BC409" s="192"/>
      <c r="BD409" s="192"/>
      <c r="BE409" s="192"/>
      <c r="BF409" s="192"/>
      <c r="BG409" s="192"/>
      <c r="BH409" s="192"/>
      <c r="BI409" s="192"/>
      <c r="BJ409" s="192"/>
      <c r="BK409" s="192"/>
      <c r="BL409" s="192"/>
      <c r="BM409" s="192"/>
      <c r="BN409" s="192"/>
    </row>
    <row r="410" ht="29.25" customHeight="1">
      <c r="A410" s="189"/>
      <c r="B410" s="190"/>
      <c r="C410" s="157"/>
      <c r="D410" s="157"/>
      <c r="E410" s="158"/>
      <c r="F410" s="166"/>
      <c r="G410" s="161"/>
      <c r="H410" s="161"/>
      <c r="I410" s="162"/>
      <c r="J410" s="163"/>
      <c r="K410" s="163"/>
      <c r="L410" s="163"/>
      <c r="M410" s="160"/>
      <c r="N410" s="162"/>
      <c r="O410" s="164"/>
      <c r="P410" s="140"/>
      <c r="Q410" s="191"/>
      <c r="R410" s="165"/>
      <c r="S410" s="165"/>
      <c r="T410" s="166"/>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92"/>
      <c r="AR410" s="192"/>
      <c r="AS410" s="192"/>
      <c r="AT410" s="192"/>
      <c r="AU410" s="192"/>
      <c r="AV410" s="192"/>
      <c r="AW410" s="192"/>
      <c r="AX410" s="192"/>
      <c r="AY410" s="192"/>
      <c r="AZ410" s="192"/>
      <c r="BA410" s="192"/>
      <c r="BB410" s="192"/>
      <c r="BC410" s="192"/>
      <c r="BD410" s="192"/>
      <c r="BE410" s="192"/>
      <c r="BF410" s="192"/>
      <c r="BG410" s="192"/>
      <c r="BH410" s="192"/>
      <c r="BI410" s="192"/>
      <c r="BJ410" s="192"/>
      <c r="BK410" s="192"/>
      <c r="BL410" s="192"/>
      <c r="BM410" s="192"/>
      <c r="BN410" s="192"/>
    </row>
    <row r="411" ht="29.25" customHeight="1">
      <c r="A411" s="189"/>
      <c r="B411" s="190"/>
      <c r="C411" s="157"/>
      <c r="D411" s="157"/>
      <c r="E411" s="158"/>
      <c r="F411" s="166"/>
      <c r="G411" s="161"/>
      <c r="H411" s="161"/>
      <c r="I411" s="162"/>
      <c r="J411" s="163"/>
      <c r="K411" s="163"/>
      <c r="L411" s="163"/>
      <c r="M411" s="160"/>
      <c r="N411" s="162"/>
      <c r="O411" s="164"/>
      <c r="P411" s="140"/>
      <c r="Q411" s="191"/>
      <c r="R411" s="165"/>
      <c r="S411" s="165"/>
      <c r="T411" s="166"/>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92"/>
      <c r="AR411" s="192"/>
      <c r="AS411" s="192"/>
      <c r="AT411" s="192"/>
      <c r="AU411" s="192"/>
      <c r="AV411" s="192"/>
      <c r="AW411" s="192"/>
      <c r="AX411" s="192"/>
      <c r="AY411" s="192"/>
      <c r="AZ411" s="192"/>
      <c r="BA411" s="192"/>
      <c r="BB411" s="192"/>
      <c r="BC411" s="192"/>
      <c r="BD411" s="192"/>
      <c r="BE411" s="192"/>
      <c r="BF411" s="192"/>
      <c r="BG411" s="192"/>
      <c r="BH411" s="192"/>
      <c r="BI411" s="192"/>
      <c r="BJ411" s="192"/>
      <c r="BK411" s="192"/>
      <c r="BL411" s="192"/>
      <c r="BM411" s="192"/>
      <c r="BN411" s="192"/>
    </row>
    <row r="412" ht="29.25" customHeight="1">
      <c r="A412" s="189"/>
      <c r="B412" s="190"/>
      <c r="C412" s="157"/>
      <c r="D412" s="157"/>
      <c r="E412" s="158"/>
      <c r="F412" s="166"/>
      <c r="G412" s="161"/>
      <c r="H412" s="161"/>
      <c r="I412" s="162"/>
      <c r="J412" s="163"/>
      <c r="K412" s="163"/>
      <c r="L412" s="163"/>
      <c r="M412" s="160"/>
      <c r="N412" s="162"/>
      <c r="O412" s="164"/>
      <c r="P412" s="140"/>
      <c r="Q412" s="191"/>
      <c r="R412" s="165"/>
      <c r="S412" s="165"/>
      <c r="T412" s="166"/>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92"/>
      <c r="AR412" s="192"/>
      <c r="AS412" s="192"/>
      <c r="AT412" s="192"/>
      <c r="AU412" s="192"/>
      <c r="AV412" s="192"/>
      <c r="AW412" s="192"/>
      <c r="AX412" s="192"/>
      <c r="AY412" s="192"/>
      <c r="AZ412" s="192"/>
      <c r="BA412" s="192"/>
      <c r="BB412" s="192"/>
      <c r="BC412" s="192"/>
      <c r="BD412" s="192"/>
      <c r="BE412" s="192"/>
      <c r="BF412" s="192"/>
      <c r="BG412" s="192"/>
      <c r="BH412" s="192"/>
      <c r="BI412" s="192"/>
      <c r="BJ412" s="192"/>
      <c r="BK412" s="192"/>
      <c r="BL412" s="192"/>
      <c r="BM412" s="192"/>
      <c r="BN412" s="192"/>
    </row>
    <row r="413" ht="29.25" customHeight="1">
      <c r="A413" s="189"/>
      <c r="B413" s="190"/>
      <c r="C413" s="157"/>
      <c r="D413" s="157"/>
      <c r="E413" s="158"/>
      <c r="F413" s="166"/>
      <c r="G413" s="161"/>
      <c r="H413" s="161"/>
      <c r="I413" s="162"/>
      <c r="J413" s="163"/>
      <c r="K413" s="163"/>
      <c r="L413" s="163"/>
      <c r="M413" s="160"/>
      <c r="N413" s="162"/>
      <c r="O413" s="164"/>
      <c r="P413" s="140"/>
      <c r="Q413" s="191"/>
      <c r="R413" s="165"/>
      <c r="S413" s="165"/>
      <c r="T413" s="166"/>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92"/>
      <c r="AR413" s="192"/>
      <c r="AS413" s="192"/>
      <c r="AT413" s="192"/>
      <c r="AU413" s="192"/>
      <c r="AV413" s="192"/>
      <c r="AW413" s="192"/>
      <c r="AX413" s="192"/>
      <c r="AY413" s="192"/>
      <c r="AZ413" s="192"/>
      <c r="BA413" s="192"/>
      <c r="BB413" s="192"/>
      <c r="BC413" s="192"/>
      <c r="BD413" s="192"/>
      <c r="BE413" s="192"/>
      <c r="BF413" s="192"/>
      <c r="BG413" s="192"/>
      <c r="BH413" s="192"/>
      <c r="BI413" s="192"/>
      <c r="BJ413" s="192"/>
      <c r="BK413" s="192"/>
      <c r="BL413" s="192"/>
      <c r="BM413" s="192"/>
      <c r="BN413" s="192"/>
    </row>
    <row r="414" ht="29.25" customHeight="1">
      <c r="A414" s="189"/>
      <c r="B414" s="190"/>
      <c r="C414" s="157"/>
      <c r="D414" s="157"/>
      <c r="E414" s="158"/>
      <c r="F414" s="166"/>
      <c r="G414" s="161"/>
      <c r="H414" s="161"/>
      <c r="I414" s="162"/>
      <c r="J414" s="163"/>
      <c r="K414" s="163"/>
      <c r="L414" s="163"/>
      <c r="M414" s="160"/>
      <c r="N414" s="162"/>
      <c r="O414" s="164"/>
      <c r="P414" s="140"/>
      <c r="Q414" s="191"/>
      <c r="R414" s="165"/>
      <c r="S414" s="165"/>
      <c r="T414" s="166"/>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92"/>
      <c r="AR414" s="192"/>
      <c r="AS414" s="192"/>
      <c r="AT414" s="192"/>
      <c r="AU414" s="192"/>
      <c r="AV414" s="192"/>
      <c r="AW414" s="192"/>
      <c r="AX414" s="192"/>
      <c r="AY414" s="192"/>
      <c r="AZ414" s="192"/>
      <c r="BA414" s="192"/>
      <c r="BB414" s="192"/>
      <c r="BC414" s="192"/>
      <c r="BD414" s="192"/>
      <c r="BE414" s="192"/>
      <c r="BF414" s="192"/>
      <c r="BG414" s="192"/>
      <c r="BH414" s="192"/>
      <c r="BI414" s="192"/>
      <c r="BJ414" s="192"/>
      <c r="BK414" s="192"/>
      <c r="BL414" s="192"/>
      <c r="BM414" s="192"/>
      <c r="BN414" s="192"/>
    </row>
    <row r="415" ht="29.25" customHeight="1">
      <c r="A415" s="189"/>
      <c r="B415" s="190"/>
      <c r="C415" s="157"/>
      <c r="D415" s="157"/>
      <c r="E415" s="158"/>
      <c r="F415" s="166"/>
      <c r="G415" s="161"/>
      <c r="H415" s="161"/>
      <c r="I415" s="162"/>
      <c r="J415" s="163"/>
      <c r="K415" s="163"/>
      <c r="L415" s="163"/>
      <c r="M415" s="160"/>
      <c r="N415" s="162"/>
      <c r="O415" s="164"/>
      <c r="P415" s="140"/>
      <c r="Q415" s="191"/>
      <c r="R415" s="165"/>
      <c r="S415" s="165"/>
      <c r="T415" s="166"/>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92"/>
      <c r="AR415" s="192"/>
      <c r="AS415" s="192"/>
      <c r="AT415" s="192"/>
      <c r="AU415" s="192"/>
      <c r="AV415" s="192"/>
      <c r="AW415" s="192"/>
      <c r="AX415" s="192"/>
      <c r="AY415" s="192"/>
      <c r="AZ415" s="192"/>
      <c r="BA415" s="192"/>
      <c r="BB415" s="192"/>
      <c r="BC415" s="192"/>
      <c r="BD415" s="192"/>
      <c r="BE415" s="192"/>
      <c r="BF415" s="192"/>
      <c r="BG415" s="192"/>
      <c r="BH415" s="192"/>
      <c r="BI415" s="192"/>
      <c r="BJ415" s="192"/>
      <c r="BK415" s="192"/>
      <c r="BL415" s="192"/>
      <c r="BM415" s="192"/>
      <c r="BN415" s="192"/>
    </row>
    <row r="416" ht="29.25" customHeight="1">
      <c r="A416" s="189"/>
      <c r="B416" s="190"/>
      <c r="C416" s="157"/>
      <c r="D416" s="157"/>
      <c r="E416" s="158"/>
      <c r="F416" s="166"/>
      <c r="G416" s="161"/>
      <c r="H416" s="161"/>
      <c r="I416" s="162"/>
      <c r="J416" s="163"/>
      <c r="K416" s="163"/>
      <c r="L416" s="163"/>
      <c r="M416" s="160"/>
      <c r="N416" s="162"/>
      <c r="O416" s="164"/>
      <c r="P416" s="140"/>
      <c r="Q416" s="191"/>
      <c r="R416" s="165"/>
      <c r="S416" s="165"/>
      <c r="T416" s="166"/>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92"/>
      <c r="AR416" s="192"/>
      <c r="AS416" s="192"/>
      <c r="AT416" s="192"/>
      <c r="AU416" s="192"/>
      <c r="AV416" s="192"/>
      <c r="AW416" s="192"/>
      <c r="AX416" s="192"/>
      <c r="AY416" s="192"/>
      <c r="AZ416" s="192"/>
      <c r="BA416" s="192"/>
      <c r="BB416" s="192"/>
      <c r="BC416" s="192"/>
      <c r="BD416" s="192"/>
      <c r="BE416" s="192"/>
      <c r="BF416" s="192"/>
      <c r="BG416" s="192"/>
      <c r="BH416" s="192"/>
      <c r="BI416" s="192"/>
      <c r="BJ416" s="192"/>
      <c r="BK416" s="192"/>
      <c r="BL416" s="192"/>
      <c r="BM416" s="192"/>
      <c r="BN416" s="192"/>
    </row>
    <row r="417" ht="29.25" customHeight="1">
      <c r="A417" s="189"/>
      <c r="B417" s="190"/>
      <c r="C417" s="157"/>
      <c r="D417" s="157"/>
      <c r="E417" s="158"/>
      <c r="F417" s="166"/>
      <c r="G417" s="161"/>
      <c r="H417" s="161"/>
      <c r="I417" s="162"/>
      <c r="J417" s="163"/>
      <c r="K417" s="163"/>
      <c r="L417" s="163"/>
      <c r="M417" s="160"/>
      <c r="N417" s="162"/>
      <c r="O417" s="164"/>
      <c r="P417" s="140"/>
      <c r="Q417" s="191"/>
      <c r="R417" s="165"/>
      <c r="S417" s="165"/>
      <c r="T417" s="166"/>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92"/>
      <c r="AR417" s="192"/>
      <c r="AS417" s="192"/>
      <c r="AT417" s="192"/>
      <c r="AU417" s="192"/>
      <c r="AV417" s="192"/>
      <c r="AW417" s="192"/>
      <c r="AX417" s="192"/>
      <c r="AY417" s="192"/>
      <c r="AZ417" s="192"/>
      <c r="BA417" s="192"/>
      <c r="BB417" s="192"/>
      <c r="BC417" s="192"/>
      <c r="BD417" s="192"/>
      <c r="BE417" s="192"/>
      <c r="BF417" s="192"/>
      <c r="BG417" s="192"/>
      <c r="BH417" s="192"/>
      <c r="BI417" s="192"/>
      <c r="BJ417" s="192"/>
      <c r="BK417" s="192"/>
      <c r="BL417" s="192"/>
      <c r="BM417" s="192"/>
      <c r="BN417" s="192"/>
    </row>
    <row r="418" ht="29.25" customHeight="1">
      <c r="A418" s="189"/>
      <c r="B418" s="190"/>
      <c r="C418" s="157"/>
      <c r="D418" s="157"/>
      <c r="E418" s="158"/>
      <c r="F418" s="166"/>
      <c r="G418" s="161"/>
      <c r="H418" s="161"/>
      <c r="I418" s="162"/>
      <c r="J418" s="163"/>
      <c r="K418" s="163"/>
      <c r="L418" s="163"/>
      <c r="M418" s="160"/>
      <c r="N418" s="162"/>
      <c r="O418" s="164"/>
      <c r="P418" s="140"/>
      <c r="Q418" s="191"/>
      <c r="R418" s="165"/>
      <c r="S418" s="165"/>
      <c r="T418" s="166"/>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92"/>
      <c r="AR418" s="192"/>
      <c r="AS418" s="192"/>
      <c r="AT418" s="192"/>
      <c r="AU418" s="192"/>
      <c r="AV418" s="192"/>
      <c r="AW418" s="192"/>
      <c r="AX418" s="192"/>
      <c r="AY418" s="192"/>
      <c r="AZ418" s="192"/>
      <c r="BA418" s="192"/>
      <c r="BB418" s="192"/>
      <c r="BC418" s="192"/>
      <c r="BD418" s="192"/>
      <c r="BE418" s="192"/>
      <c r="BF418" s="192"/>
      <c r="BG418" s="192"/>
      <c r="BH418" s="192"/>
      <c r="BI418" s="192"/>
      <c r="BJ418" s="192"/>
      <c r="BK418" s="192"/>
      <c r="BL418" s="192"/>
      <c r="BM418" s="192"/>
      <c r="BN418" s="192"/>
    </row>
    <row r="419" ht="29.25" customHeight="1">
      <c r="A419" s="189"/>
      <c r="B419" s="190"/>
      <c r="C419" s="157"/>
      <c r="D419" s="157"/>
      <c r="E419" s="158"/>
      <c r="F419" s="166"/>
      <c r="G419" s="161"/>
      <c r="H419" s="161"/>
      <c r="I419" s="162"/>
      <c r="J419" s="163"/>
      <c r="K419" s="163"/>
      <c r="L419" s="163"/>
      <c r="M419" s="160"/>
      <c r="N419" s="162"/>
      <c r="O419" s="164"/>
      <c r="P419" s="140"/>
      <c r="Q419" s="191"/>
      <c r="R419" s="165"/>
      <c r="S419" s="165"/>
      <c r="T419" s="166"/>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92"/>
      <c r="AR419" s="192"/>
      <c r="AS419" s="192"/>
      <c r="AT419" s="192"/>
      <c r="AU419" s="192"/>
      <c r="AV419" s="192"/>
      <c r="AW419" s="192"/>
      <c r="AX419" s="192"/>
      <c r="AY419" s="192"/>
      <c r="AZ419" s="192"/>
      <c r="BA419" s="192"/>
      <c r="BB419" s="192"/>
      <c r="BC419" s="192"/>
      <c r="BD419" s="192"/>
      <c r="BE419" s="192"/>
      <c r="BF419" s="192"/>
      <c r="BG419" s="192"/>
      <c r="BH419" s="192"/>
      <c r="BI419" s="192"/>
      <c r="BJ419" s="192"/>
      <c r="BK419" s="192"/>
      <c r="BL419" s="192"/>
      <c r="BM419" s="192"/>
      <c r="BN419" s="192"/>
    </row>
    <row r="420" ht="29.25" customHeight="1">
      <c r="A420" s="189"/>
      <c r="B420" s="190"/>
      <c r="C420" s="157"/>
      <c r="D420" s="157"/>
      <c r="E420" s="158"/>
      <c r="F420" s="166"/>
      <c r="G420" s="161"/>
      <c r="H420" s="161"/>
      <c r="I420" s="162"/>
      <c r="J420" s="163"/>
      <c r="K420" s="163"/>
      <c r="L420" s="163"/>
      <c r="M420" s="160"/>
      <c r="N420" s="162"/>
      <c r="O420" s="164"/>
      <c r="P420" s="140"/>
      <c r="Q420" s="191"/>
      <c r="R420" s="165"/>
      <c r="S420" s="165"/>
      <c r="T420" s="166"/>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92"/>
      <c r="AR420" s="192"/>
      <c r="AS420" s="192"/>
      <c r="AT420" s="192"/>
      <c r="AU420" s="192"/>
      <c r="AV420" s="192"/>
      <c r="AW420" s="192"/>
      <c r="AX420" s="192"/>
      <c r="AY420" s="192"/>
      <c r="AZ420" s="192"/>
      <c r="BA420" s="192"/>
      <c r="BB420" s="192"/>
      <c r="BC420" s="192"/>
      <c r="BD420" s="192"/>
      <c r="BE420" s="192"/>
      <c r="BF420" s="192"/>
      <c r="BG420" s="192"/>
      <c r="BH420" s="192"/>
      <c r="BI420" s="192"/>
      <c r="BJ420" s="192"/>
      <c r="BK420" s="192"/>
      <c r="BL420" s="192"/>
      <c r="BM420" s="192"/>
      <c r="BN420" s="192"/>
    </row>
    <row r="421" ht="29.25" customHeight="1">
      <c r="A421" s="189"/>
      <c r="B421" s="190"/>
      <c r="C421" s="157"/>
      <c r="D421" s="157"/>
      <c r="E421" s="158"/>
      <c r="F421" s="166"/>
      <c r="G421" s="161"/>
      <c r="H421" s="161"/>
      <c r="I421" s="162"/>
      <c r="J421" s="163"/>
      <c r="K421" s="163"/>
      <c r="L421" s="163"/>
      <c r="M421" s="160"/>
      <c r="N421" s="162"/>
      <c r="O421" s="164"/>
      <c r="P421" s="140"/>
      <c r="Q421" s="191"/>
      <c r="R421" s="165"/>
      <c r="S421" s="165"/>
      <c r="T421" s="166"/>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92"/>
      <c r="AR421" s="192"/>
      <c r="AS421" s="192"/>
      <c r="AT421" s="192"/>
      <c r="AU421" s="192"/>
      <c r="AV421" s="192"/>
      <c r="AW421" s="192"/>
      <c r="AX421" s="192"/>
      <c r="AY421" s="192"/>
      <c r="AZ421" s="192"/>
      <c r="BA421" s="192"/>
      <c r="BB421" s="192"/>
      <c r="BC421" s="192"/>
      <c r="BD421" s="192"/>
      <c r="BE421" s="192"/>
      <c r="BF421" s="192"/>
      <c r="BG421" s="192"/>
      <c r="BH421" s="192"/>
      <c r="BI421" s="192"/>
      <c r="BJ421" s="192"/>
      <c r="BK421" s="192"/>
      <c r="BL421" s="192"/>
      <c r="BM421" s="192"/>
      <c r="BN421" s="192"/>
    </row>
    <row r="422" ht="29.25" customHeight="1">
      <c r="A422" s="189"/>
      <c r="B422" s="190"/>
      <c r="C422" s="157"/>
      <c r="D422" s="157"/>
      <c r="E422" s="158"/>
      <c r="F422" s="166"/>
      <c r="G422" s="161"/>
      <c r="H422" s="161"/>
      <c r="I422" s="162"/>
      <c r="J422" s="163"/>
      <c r="K422" s="163"/>
      <c r="L422" s="163"/>
      <c r="M422" s="160"/>
      <c r="N422" s="162"/>
      <c r="O422" s="164"/>
      <c r="P422" s="140"/>
      <c r="Q422" s="191"/>
      <c r="R422" s="165"/>
      <c r="S422" s="165"/>
      <c r="T422" s="166"/>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92"/>
      <c r="AR422" s="192"/>
      <c r="AS422" s="192"/>
      <c r="AT422" s="192"/>
      <c r="AU422" s="192"/>
      <c r="AV422" s="192"/>
      <c r="AW422" s="192"/>
      <c r="AX422" s="192"/>
      <c r="AY422" s="192"/>
      <c r="AZ422" s="192"/>
      <c r="BA422" s="192"/>
      <c r="BB422" s="192"/>
      <c r="BC422" s="192"/>
      <c r="BD422" s="192"/>
      <c r="BE422" s="192"/>
      <c r="BF422" s="192"/>
      <c r="BG422" s="192"/>
      <c r="BH422" s="192"/>
      <c r="BI422" s="192"/>
      <c r="BJ422" s="192"/>
      <c r="BK422" s="192"/>
      <c r="BL422" s="192"/>
      <c r="BM422" s="192"/>
      <c r="BN422" s="192"/>
    </row>
    <row r="423" ht="29.25" customHeight="1">
      <c r="A423" s="189"/>
      <c r="B423" s="190"/>
      <c r="C423" s="157"/>
      <c r="D423" s="157"/>
      <c r="E423" s="158"/>
      <c r="F423" s="166"/>
      <c r="G423" s="161"/>
      <c r="H423" s="161"/>
      <c r="I423" s="162"/>
      <c r="J423" s="163"/>
      <c r="K423" s="163"/>
      <c r="L423" s="163"/>
      <c r="M423" s="160"/>
      <c r="N423" s="162"/>
      <c r="O423" s="164"/>
      <c r="P423" s="140"/>
      <c r="Q423" s="191"/>
      <c r="R423" s="165"/>
      <c r="S423" s="165"/>
      <c r="T423" s="166"/>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92"/>
      <c r="AR423" s="192"/>
      <c r="AS423" s="192"/>
      <c r="AT423" s="192"/>
      <c r="AU423" s="192"/>
      <c r="AV423" s="192"/>
      <c r="AW423" s="192"/>
      <c r="AX423" s="192"/>
      <c r="AY423" s="192"/>
      <c r="AZ423" s="192"/>
      <c r="BA423" s="192"/>
      <c r="BB423" s="192"/>
      <c r="BC423" s="192"/>
      <c r="BD423" s="192"/>
      <c r="BE423" s="192"/>
      <c r="BF423" s="192"/>
      <c r="BG423" s="192"/>
      <c r="BH423" s="192"/>
      <c r="BI423" s="192"/>
      <c r="BJ423" s="192"/>
      <c r="BK423" s="192"/>
      <c r="BL423" s="192"/>
      <c r="BM423" s="192"/>
      <c r="BN423" s="192"/>
    </row>
    <row r="424" ht="29.25" customHeight="1">
      <c r="A424" s="189"/>
      <c r="B424" s="190"/>
      <c r="C424" s="157"/>
      <c r="D424" s="157"/>
      <c r="E424" s="158"/>
      <c r="F424" s="166"/>
      <c r="G424" s="161"/>
      <c r="H424" s="161"/>
      <c r="I424" s="162"/>
      <c r="J424" s="163"/>
      <c r="K424" s="163"/>
      <c r="L424" s="163"/>
      <c r="M424" s="160"/>
      <c r="N424" s="162"/>
      <c r="O424" s="164"/>
      <c r="P424" s="140"/>
      <c r="Q424" s="191"/>
      <c r="R424" s="165"/>
      <c r="S424" s="165"/>
      <c r="T424" s="166"/>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92"/>
      <c r="AR424" s="192"/>
      <c r="AS424" s="192"/>
      <c r="AT424" s="192"/>
      <c r="AU424" s="192"/>
      <c r="AV424" s="192"/>
      <c r="AW424" s="192"/>
      <c r="AX424" s="192"/>
      <c r="AY424" s="192"/>
      <c r="AZ424" s="192"/>
      <c r="BA424" s="192"/>
      <c r="BB424" s="192"/>
      <c r="BC424" s="192"/>
      <c r="BD424" s="192"/>
      <c r="BE424" s="192"/>
      <c r="BF424" s="192"/>
      <c r="BG424" s="192"/>
      <c r="BH424" s="192"/>
      <c r="BI424" s="192"/>
      <c r="BJ424" s="192"/>
      <c r="BK424" s="192"/>
      <c r="BL424" s="192"/>
      <c r="BM424" s="192"/>
      <c r="BN424" s="192"/>
    </row>
    <row r="425" ht="29.25" customHeight="1">
      <c r="A425" s="189"/>
      <c r="B425" s="190"/>
      <c r="C425" s="157"/>
      <c r="D425" s="157"/>
      <c r="E425" s="158"/>
      <c r="F425" s="166"/>
      <c r="G425" s="161"/>
      <c r="H425" s="161"/>
      <c r="I425" s="162"/>
      <c r="J425" s="163"/>
      <c r="K425" s="163"/>
      <c r="L425" s="163"/>
      <c r="M425" s="160"/>
      <c r="N425" s="162"/>
      <c r="O425" s="164"/>
      <c r="P425" s="140"/>
      <c r="Q425" s="191"/>
      <c r="R425" s="165"/>
      <c r="S425" s="165"/>
      <c r="T425" s="166"/>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92"/>
      <c r="AR425" s="192"/>
      <c r="AS425" s="192"/>
      <c r="AT425" s="192"/>
      <c r="AU425" s="192"/>
      <c r="AV425" s="192"/>
      <c r="AW425" s="192"/>
      <c r="AX425" s="192"/>
      <c r="AY425" s="192"/>
      <c r="AZ425" s="192"/>
      <c r="BA425" s="192"/>
      <c r="BB425" s="192"/>
      <c r="BC425" s="192"/>
      <c r="BD425" s="192"/>
      <c r="BE425" s="192"/>
      <c r="BF425" s="192"/>
      <c r="BG425" s="192"/>
      <c r="BH425" s="192"/>
      <c r="BI425" s="192"/>
      <c r="BJ425" s="192"/>
      <c r="BK425" s="192"/>
      <c r="BL425" s="192"/>
      <c r="BM425" s="192"/>
      <c r="BN425" s="192"/>
    </row>
    <row r="426" ht="29.25" customHeight="1">
      <c r="A426" s="189"/>
      <c r="B426" s="190"/>
      <c r="C426" s="157"/>
      <c r="D426" s="157"/>
      <c r="E426" s="158"/>
      <c r="F426" s="166"/>
      <c r="G426" s="161"/>
      <c r="H426" s="161"/>
      <c r="I426" s="162"/>
      <c r="J426" s="163"/>
      <c r="K426" s="163"/>
      <c r="L426" s="163"/>
      <c r="M426" s="160"/>
      <c r="N426" s="162"/>
      <c r="O426" s="164"/>
      <c r="P426" s="140"/>
      <c r="Q426" s="191"/>
      <c r="R426" s="165"/>
      <c r="S426" s="165"/>
      <c r="T426" s="166"/>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92"/>
      <c r="AR426" s="192"/>
      <c r="AS426" s="192"/>
      <c r="AT426" s="192"/>
      <c r="AU426" s="192"/>
      <c r="AV426" s="192"/>
      <c r="AW426" s="192"/>
      <c r="AX426" s="192"/>
      <c r="AY426" s="192"/>
      <c r="AZ426" s="192"/>
      <c r="BA426" s="192"/>
      <c r="BB426" s="192"/>
      <c r="BC426" s="192"/>
      <c r="BD426" s="192"/>
      <c r="BE426" s="192"/>
      <c r="BF426" s="192"/>
      <c r="BG426" s="192"/>
      <c r="BH426" s="192"/>
      <c r="BI426" s="192"/>
      <c r="BJ426" s="192"/>
      <c r="BK426" s="192"/>
      <c r="BL426" s="192"/>
      <c r="BM426" s="192"/>
      <c r="BN426" s="192"/>
    </row>
    <row r="427" ht="29.25" customHeight="1">
      <c r="A427" s="189"/>
      <c r="B427" s="190"/>
      <c r="C427" s="157"/>
      <c r="D427" s="157"/>
      <c r="E427" s="158"/>
      <c r="F427" s="166"/>
      <c r="G427" s="161"/>
      <c r="H427" s="161"/>
      <c r="I427" s="162"/>
      <c r="J427" s="163"/>
      <c r="K427" s="163"/>
      <c r="L427" s="163"/>
      <c r="M427" s="160"/>
      <c r="N427" s="162"/>
      <c r="O427" s="164"/>
      <c r="P427" s="140"/>
      <c r="Q427" s="191"/>
      <c r="R427" s="165"/>
      <c r="S427" s="165"/>
      <c r="T427" s="166"/>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92"/>
      <c r="AR427" s="192"/>
      <c r="AS427" s="192"/>
      <c r="AT427" s="192"/>
      <c r="AU427" s="192"/>
      <c r="AV427" s="192"/>
      <c r="AW427" s="192"/>
      <c r="AX427" s="192"/>
      <c r="AY427" s="192"/>
      <c r="AZ427" s="192"/>
      <c r="BA427" s="192"/>
      <c r="BB427" s="192"/>
      <c r="BC427" s="192"/>
      <c r="BD427" s="192"/>
      <c r="BE427" s="192"/>
      <c r="BF427" s="192"/>
      <c r="BG427" s="192"/>
      <c r="BH427" s="192"/>
      <c r="BI427" s="192"/>
      <c r="BJ427" s="192"/>
      <c r="BK427" s="192"/>
      <c r="BL427" s="192"/>
      <c r="BM427" s="192"/>
      <c r="BN427" s="192"/>
    </row>
    <row r="428" ht="29.25" customHeight="1">
      <c r="A428" s="189"/>
      <c r="B428" s="190"/>
      <c r="C428" s="157"/>
      <c r="D428" s="157"/>
      <c r="E428" s="158"/>
      <c r="F428" s="166"/>
      <c r="G428" s="161"/>
      <c r="H428" s="161"/>
      <c r="I428" s="162"/>
      <c r="J428" s="163"/>
      <c r="K428" s="163"/>
      <c r="L428" s="163"/>
      <c r="M428" s="160"/>
      <c r="N428" s="162"/>
      <c r="O428" s="164"/>
      <c r="P428" s="140"/>
      <c r="Q428" s="191"/>
      <c r="R428" s="165"/>
      <c r="S428" s="165"/>
      <c r="T428" s="166"/>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92"/>
      <c r="AR428" s="192"/>
      <c r="AS428" s="192"/>
      <c r="AT428" s="192"/>
      <c r="AU428" s="192"/>
      <c r="AV428" s="192"/>
      <c r="AW428" s="192"/>
      <c r="AX428" s="192"/>
      <c r="AY428" s="192"/>
      <c r="AZ428" s="192"/>
      <c r="BA428" s="192"/>
      <c r="BB428" s="192"/>
      <c r="BC428" s="192"/>
      <c r="BD428" s="192"/>
      <c r="BE428" s="192"/>
      <c r="BF428" s="192"/>
      <c r="BG428" s="192"/>
      <c r="BH428" s="192"/>
      <c r="BI428" s="192"/>
      <c r="BJ428" s="192"/>
      <c r="BK428" s="192"/>
      <c r="BL428" s="192"/>
      <c r="BM428" s="192"/>
      <c r="BN428" s="192"/>
    </row>
    <row r="429" ht="29.25" customHeight="1">
      <c r="A429" s="189"/>
      <c r="B429" s="190"/>
      <c r="C429" s="157"/>
      <c r="D429" s="157"/>
      <c r="E429" s="158"/>
      <c r="F429" s="166"/>
      <c r="G429" s="161"/>
      <c r="H429" s="161"/>
      <c r="I429" s="162"/>
      <c r="J429" s="163"/>
      <c r="K429" s="163"/>
      <c r="L429" s="163"/>
      <c r="M429" s="160"/>
      <c r="N429" s="162"/>
      <c r="O429" s="164"/>
      <c r="P429" s="140"/>
      <c r="Q429" s="191"/>
      <c r="R429" s="165"/>
      <c r="S429" s="165"/>
      <c r="T429" s="166"/>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92"/>
      <c r="AR429" s="192"/>
      <c r="AS429" s="192"/>
      <c r="AT429" s="192"/>
      <c r="AU429" s="192"/>
      <c r="AV429" s="192"/>
      <c r="AW429" s="192"/>
      <c r="AX429" s="192"/>
      <c r="AY429" s="192"/>
      <c r="AZ429" s="192"/>
      <c r="BA429" s="192"/>
      <c r="BB429" s="192"/>
      <c r="BC429" s="192"/>
      <c r="BD429" s="192"/>
      <c r="BE429" s="192"/>
      <c r="BF429" s="192"/>
      <c r="BG429" s="192"/>
      <c r="BH429" s="192"/>
      <c r="BI429" s="192"/>
      <c r="BJ429" s="192"/>
      <c r="BK429" s="192"/>
      <c r="BL429" s="192"/>
      <c r="BM429" s="192"/>
      <c r="BN429" s="192"/>
    </row>
    <row r="430" ht="29.25" customHeight="1">
      <c r="A430" s="189"/>
      <c r="B430" s="190"/>
      <c r="C430" s="157"/>
      <c r="D430" s="157"/>
      <c r="E430" s="158"/>
      <c r="F430" s="166"/>
      <c r="G430" s="161"/>
      <c r="H430" s="161"/>
      <c r="I430" s="162"/>
      <c r="J430" s="163"/>
      <c r="K430" s="163"/>
      <c r="L430" s="163"/>
      <c r="M430" s="160"/>
      <c r="N430" s="162"/>
      <c r="O430" s="164"/>
      <c r="P430" s="140"/>
      <c r="Q430" s="191"/>
      <c r="R430" s="165"/>
      <c r="S430" s="165"/>
      <c r="T430" s="166"/>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92"/>
      <c r="AR430" s="192"/>
      <c r="AS430" s="192"/>
      <c r="AT430" s="192"/>
      <c r="AU430" s="192"/>
      <c r="AV430" s="192"/>
      <c r="AW430" s="192"/>
      <c r="AX430" s="192"/>
      <c r="AY430" s="192"/>
      <c r="AZ430" s="192"/>
      <c r="BA430" s="192"/>
      <c r="BB430" s="192"/>
      <c r="BC430" s="192"/>
      <c r="BD430" s="192"/>
      <c r="BE430" s="192"/>
      <c r="BF430" s="192"/>
      <c r="BG430" s="192"/>
      <c r="BH430" s="192"/>
      <c r="BI430" s="192"/>
      <c r="BJ430" s="192"/>
      <c r="BK430" s="192"/>
      <c r="BL430" s="192"/>
      <c r="BM430" s="192"/>
      <c r="BN430" s="192"/>
    </row>
    <row r="431" ht="29.25" customHeight="1">
      <c r="A431" s="189"/>
      <c r="B431" s="190"/>
      <c r="C431" s="157"/>
      <c r="D431" s="157"/>
      <c r="E431" s="158"/>
      <c r="F431" s="166"/>
      <c r="G431" s="161"/>
      <c r="H431" s="161"/>
      <c r="I431" s="162"/>
      <c r="J431" s="163"/>
      <c r="K431" s="163"/>
      <c r="L431" s="163"/>
      <c r="M431" s="160"/>
      <c r="N431" s="162"/>
      <c r="O431" s="164"/>
      <c r="P431" s="140"/>
      <c r="Q431" s="191"/>
      <c r="R431" s="165"/>
      <c r="S431" s="165"/>
      <c r="T431" s="166"/>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92"/>
      <c r="AR431" s="192"/>
      <c r="AS431" s="192"/>
      <c r="AT431" s="192"/>
      <c r="AU431" s="192"/>
      <c r="AV431" s="192"/>
      <c r="AW431" s="192"/>
      <c r="AX431" s="192"/>
      <c r="AY431" s="192"/>
      <c r="AZ431" s="192"/>
      <c r="BA431" s="192"/>
      <c r="BB431" s="192"/>
      <c r="BC431" s="192"/>
      <c r="BD431" s="192"/>
      <c r="BE431" s="192"/>
      <c r="BF431" s="192"/>
      <c r="BG431" s="192"/>
      <c r="BH431" s="192"/>
      <c r="BI431" s="192"/>
      <c r="BJ431" s="192"/>
      <c r="BK431" s="192"/>
      <c r="BL431" s="192"/>
      <c r="BM431" s="192"/>
      <c r="BN431" s="192"/>
    </row>
    <row r="432" ht="29.25" customHeight="1">
      <c r="A432" s="189"/>
      <c r="B432" s="190"/>
      <c r="C432" s="157"/>
      <c r="D432" s="157"/>
      <c r="E432" s="158"/>
      <c r="F432" s="166"/>
      <c r="G432" s="161"/>
      <c r="H432" s="161"/>
      <c r="I432" s="162"/>
      <c r="J432" s="163"/>
      <c r="K432" s="163"/>
      <c r="L432" s="163"/>
      <c r="M432" s="160"/>
      <c r="N432" s="162"/>
      <c r="O432" s="164"/>
      <c r="P432" s="140"/>
      <c r="Q432" s="191"/>
      <c r="R432" s="165"/>
      <c r="S432" s="165"/>
      <c r="T432" s="166"/>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92"/>
      <c r="AR432" s="192"/>
      <c r="AS432" s="192"/>
      <c r="AT432" s="192"/>
      <c r="AU432" s="192"/>
      <c r="AV432" s="192"/>
      <c r="AW432" s="192"/>
      <c r="AX432" s="192"/>
      <c r="AY432" s="192"/>
      <c r="AZ432" s="192"/>
      <c r="BA432" s="192"/>
      <c r="BB432" s="192"/>
      <c r="BC432" s="192"/>
      <c r="BD432" s="192"/>
      <c r="BE432" s="192"/>
      <c r="BF432" s="192"/>
      <c r="BG432" s="192"/>
      <c r="BH432" s="192"/>
      <c r="BI432" s="192"/>
      <c r="BJ432" s="192"/>
      <c r="BK432" s="192"/>
      <c r="BL432" s="192"/>
      <c r="BM432" s="192"/>
      <c r="BN432" s="192"/>
    </row>
    <row r="433" ht="29.25" customHeight="1">
      <c r="A433" s="189"/>
      <c r="B433" s="190"/>
      <c r="C433" s="157"/>
      <c r="D433" s="157"/>
      <c r="E433" s="158"/>
      <c r="F433" s="166"/>
      <c r="G433" s="161"/>
      <c r="H433" s="161"/>
      <c r="I433" s="162"/>
      <c r="J433" s="163"/>
      <c r="K433" s="163"/>
      <c r="L433" s="163"/>
      <c r="M433" s="160"/>
      <c r="N433" s="162"/>
      <c r="O433" s="164"/>
      <c r="P433" s="140"/>
      <c r="Q433" s="191"/>
      <c r="R433" s="165"/>
      <c r="S433" s="165"/>
      <c r="T433" s="166"/>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92"/>
      <c r="AR433" s="192"/>
      <c r="AS433" s="192"/>
      <c r="AT433" s="192"/>
      <c r="AU433" s="192"/>
      <c r="AV433" s="192"/>
      <c r="AW433" s="192"/>
      <c r="AX433" s="192"/>
      <c r="AY433" s="192"/>
      <c r="AZ433" s="192"/>
      <c r="BA433" s="192"/>
      <c r="BB433" s="192"/>
      <c r="BC433" s="192"/>
      <c r="BD433" s="192"/>
      <c r="BE433" s="192"/>
      <c r="BF433" s="192"/>
      <c r="BG433" s="192"/>
      <c r="BH433" s="192"/>
      <c r="BI433" s="192"/>
      <c r="BJ433" s="192"/>
      <c r="BK433" s="192"/>
      <c r="BL433" s="192"/>
      <c r="BM433" s="192"/>
      <c r="BN433" s="192"/>
    </row>
    <row r="434" ht="29.25" customHeight="1">
      <c r="A434" s="189"/>
      <c r="B434" s="190"/>
      <c r="C434" s="157"/>
      <c r="D434" s="157"/>
      <c r="E434" s="158"/>
      <c r="F434" s="166"/>
      <c r="G434" s="161"/>
      <c r="H434" s="161"/>
      <c r="I434" s="162"/>
      <c r="J434" s="163"/>
      <c r="K434" s="163"/>
      <c r="L434" s="163"/>
      <c r="M434" s="160"/>
      <c r="N434" s="162"/>
      <c r="O434" s="164"/>
      <c r="P434" s="140"/>
      <c r="Q434" s="191"/>
      <c r="R434" s="165"/>
      <c r="S434" s="165"/>
      <c r="T434" s="166"/>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92"/>
      <c r="AR434" s="192"/>
      <c r="AS434" s="192"/>
      <c r="AT434" s="192"/>
      <c r="AU434" s="192"/>
      <c r="AV434" s="192"/>
      <c r="AW434" s="192"/>
      <c r="AX434" s="192"/>
      <c r="AY434" s="192"/>
      <c r="AZ434" s="192"/>
      <c r="BA434" s="192"/>
      <c r="BB434" s="192"/>
      <c r="BC434" s="192"/>
      <c r="BD434" s="192"/>
      <c r="BE434" s="192"/>
      <c r="BF434" s="192"/>
      <c r="BG434" s="192"/>
      <c r="BH434" s="192"/>
      <c r="BI434" s="192"/>
      <c r="BJ434" s="192"/>
      <c r="BK434" s="192"/>
      <c r="BL434" s="192"/>
      <c r="BM434" s="192"/>
      <c r="BN434" s="192"/>
    </row>
    <row r="435" ht="29.25" customHeight="1">
      <c r="A435" s="189"/>
      <c r="B435" s="190"/>
      <c r="C435" s="157"/>
      <c r="D435" s="157"/>
      <c r="E435" s="158"/>
      <c r="F435" s="166"/>
      <c r="G435" s="161"/>
      <c r="H435" s="161"/>
      <c r="I435" s="162"/>
      <c r="J435" s="163"/>
      <c r="K435" s="163"/>
      <c r="L435" s="163"/>
      <c r="M435" s="160"/>
      <c r="N435" s="162"/>
      <c r="O435" s="164"/>
      <c r="P435" s="140"/>
      <c r="Q435" s="191"/>
      <c r="R435" s="165"/>
      <c r="S435" s="165"/>
      <c r="T435" s="166"/>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92"/>
      <c r="AR435" s="192"/>
      <c r="AS435" s="192"/>
      <c r="AT435" s="192"/>
      <c r="AU435" s="192"/>
      <c r="AV435" s="192"/>
      <c r="AW435" s="192"/>
      <c r="AX435" s="192"/>
      <c r="AY435" s="192"/>
      <c r="AZ435" s="192"/>
      <c r="BA435" s="192"/>
      <c r="BB435" s="192"/>
      <c r="BC435" s="192"/>
      <c r="BD435" s="192"/>
      <c r="BE435" s="192"/>
      <c r="BF435" s="192"/>
      <c r="BG435" s="192"/>
      <c r="BH435" s="192"/>
      <c r="BI435" s="192"/>
      <c r="BJ435" s="192"/>
      <c r="BK435" s="192"/>
      <c r="BL435" s="192"/>
      <c r="BM435" s="192"/>
      <c r="BN435" s="192"/>
    </row>
    <row r="436" ht="29.25" customHeight="1">
      <c r="A436" s="189"/>
      <c r="B436" s="190"/>
      <c r="C436" s="157"/>
      <c r="D436" s="157"/>
      <c r="E436" s="158"/>
      <c r="F436" s="166"/>
      <c r="G436" s="161"/>
      <c r="H436" s="161"/>
      <c r="I436" s="162"/>
      <c r="J436" s="163"/>
      <c r="K436" s="163"/>
      <c r="L436" s="163"/>
      <c r="M436" s="160"/>
      <c r="N436" s="162"/>
      <c r="O436" s="164"/>
      <c r="P436" s="140"/>
      <c r="Q436" s="191"/>
      <c r="R436" s="165"/>
      <c r="S436" s="165"/>
      <c r="T436" s="166"/>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92"/>
      <c r="AR436" s="192"/>
      <c r="AS436" s="192"/>
      <c r="AT436" s="192"/>
      <c r="AU436" s="192"/>
      <c r="AV436" s="192"/>
      <c r="AW436" s="192"/>
      <c r="AX436" s="192"/>
      <c r="AY436" s="192"/>
      <c r="AZ436" s="192"/>
      <c r="BA436" s="192"/>
      <c r="BB436" s="192"/>
      <c r="BC436" s="192"/>
      <c r="BD436" s="192"/>
      <c r="BE436" s="192"/>
      <c r="BF436" s="192"/>
      <c r="BG436" s="192"/>
      <c r="BH436" s="192"/>
      <c r="BI436" s="192"/>
      <c r="BJ436" s="192"/>
      <c r="BK436" s="192"/>
      <c r="BL436" s="192"/>
      <c r="BM436" s="192"/>
      <c r="BN436" s="192"/>
    </row>
    <row r="437" ht="29.25" customHeight="1">
      <c r="A437" s="189"/>
      <c r="B437" s="190"/>
      <c r="C437" s="157"/>
      <c r="D437" s="157"/>
      <c r="E437" s="158"/>
      <c r="F437" s="166"/>
      <c r="G437" s="161"/>
      <c r="H437" s="161"/>
      <c r="I437" s="162"/>
      <c r="J437" s="163"/>
      <c r="K437" s="163"/>
      <c r="L437" s="163"/>
      <c r="M437" s="160"/>
      <c r="N437" s="162"/>
      <c r="O437" s="164"/>
      <c r="P437" s="140"/>
      <c r="Q437" s="191"/>
      <c r="R437" s="165"/>
      <c r="S437" s="165"/>
      <c r="T437" s="166"/>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92"/>
      <c r="AR437" s="192"/>
      <c r="AS437" s="192"/>
      <c r="AT437" s="192"/>
      <c r="AU437" s="192"/>
      <c r="AV437" s="192"/>
      <c r="AW437" s="192"/>
      <c r="AX437" s="192"/>
      <c r="AY437" s="192"/>
      <c r="AZ437" s="192"/>
      <c r="BA437" s="192"/>
      <c r="BB437" s="192"/>
      <c r="BC437" s="192"/>
      <c r="BD437" s="192"/>
      <c r="BE437" s="192"/>
      <c r="BF437" s="192"/>
      <c r="BG437" s="192"/>
      <c r="BH437" s="192"/>
      <c r="BI437" s="192"/>
      <c r="BJ437" s="192"/>
      <c r="BK437" s="192"/>
      <c r="BL437" s="192"/>
      <c r="BM437" s="192"/>
      <c r="BN437" s="192"/>
    </row>
    <row r="438" ht="29.25" customHeight="1">
      <c r="A438" s="189"/>
      <c r="B438" s="190"/>
      <c r="C438" s="157"/>
      <c r="D438" s="157"/>
      <c r="E438" s="158"/>
      <c r="F438" s="166"/>
      <c r="G438" s="161"/>
      <c r="H438" s="161"/>
      <c r="I438" s="162"/>
      <c r="J438" s="163"/>
      <c r="K438" s="163"/>
      <c r="L438" s="163"/>
      <c r="M438" s="160"/>
      <c r="N438" s="162"/>
      <c r="O438" s="164"/>
      <c r="P438" s="140"/>
      <c r="Q438" s="191"/>
      <c r="R438" s="165"/>
      <c r="S438" s="165"/>
      <c r="T438" s="166"/>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92"/>
      <c r="AR438" s="192"/>
      <c r="AS438" s="192"/>
      <c r="AT438" s="192"/>
      <c r="AU438" s="192"/>
      <c r="AV438" s="192"/>
      <c r="AW438" s="192"/>
      <c r="AX438" s="192"/>
      <c r="AY438" s="192"/>
      <c r="AZ438" s="192"/>
      <c r="BA438" s="192"/>
      <c r="BB438" s="192"/>
      <c r="BC438" s="192"/>
      <c r="BD438" s="192"/>
      <c r="BE438" s="192"/>
      <c r="BF438" s="192"/>
      <c r="BG438" s="192"/>
      <c r="BH438" s="192"/>
      <c r="BI438" s="192"/>
      <c r="BJ438" s="192"/>
      <c r="BK438" s="192"/>
      <c r="BL438" s="192"/>
      <c r="BM438" s="192"/>
      <c r="BN438" s="192"/>
    </row>
    <row r="439" ht="29.25" customHeight="1">
      <c r="A439" s="189"/>
      <c r="B439" s="190"/>
      <c r="C439" s="157"/>
      <c r="D439" s="157"/>
      <c r="E439" s="158"/>
      <c r="F439" s="166"/>
      <c r="G439" s="161"/>
      <c r="H439" s="161"/>
      <c r="I439" s="162"/>
      <c r="J439" s="163"/>
      <c r="K439" s="163"/>
      <c r="L439" s="163"/>
      <c r="M439" s="160"/>
      <c r="N439" s="162"/>
      <c r="O439" s="164"/>
      <c r="P439" s="140"/>
      <c r="Q439" s="191"/>
      <c r="R439" s="165"/>
      <c r="S439" s="165"/>
      <c r="T439" s="166"/>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92"/>
      <c r="AR439" s="192"/>
      <c r="AS439" s="192"/>
      <c r="AT439" s="192"/>
      <c r="AU439" s="192"/>
      <c r="AV439" s="192"/>
      <c r="AW439" s="192"/>
      <c r="AX439" s="192"/>
      <c r="AY439" s="192"/>
      <c r="AZ439" s="192"/>
      <c r="BA439" s="192"/>
      <c r="BB439" s="192"/>
      <c r="BC439" s="192"/>
      <c r="BD439" s="192"/>
      <c r="BE439" s="192"/>
      <c r="BF439" s="192"/>
      <c r="BG439" s="192"/>
      <c r="BH439" s="192"/>
      <c r="BI439" s="192"/>
      <c r="BJ439" s="192"/>
      <c r="BK439" s="192"/>
      <c r="BL439" s="192"/>
      <c r="BM439" s="192"/>
      <c r="BN439" s="192"/>
    </row>
    <row r="440" ht="29.25" customHeight="1">
      <c r="A440" s="189"/>
      <c r="B440" s="190"/>
      <c r="C440" s="157"/>
      <c r="D440" s="157"/>
      <c r="E440" s="158"/>
      <c r="F440" s="166"/>
      <c r="G440" s="161"/>
      <c r="H440" s="161"/>
      <c r="I440" s="162"/>
      <c r="J440" s="163"/>
      <c r="K440" s="163"/>
      <c r="L440" s="163"/>
      <c r="M440" s="160"/>
      <c r="N440" s="162"/>
      <c r="O440" s="164"/>
      <c r="P440" s="140"/>
      <c r="Q440" s="191"/>
      <c r="R440" s="165"/>
      <c r="S440" s="165"/>
      <c r="T440" s="166"/>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92"/>
      <c r="AR440" s="192"/>
      <c r="AS440" s="192"/>
      <c r="AT440" s="192"/>
      <c r="AU440" s="192"/>
      <c r="AV440" s="192"/>
      <c r="AW440" s="192"/>
      <c r="AX440" s="192"/>
      <c r="AY440" s="192"/>
      <c r="AZ440" s="192"/>
      <c r="BA440" s="192"/>
      <c r="BB440" s="192"/>
      <c r="BC440" s="192"/>
      <c r="BD440" s="192"/>
      <c r="BE440" s="192"/>
      <c r="BF440" s="192"/>
      <c r="BG440" s="192"/>
      <c r="BH440" s="192"/>
      <c r="BI440" s="192"/>
      <c r="BJ440" s="192"/>
      <c r="BK440" s="192"/>
      <c r="BL440" s="192"/>
      <c r="BM440" s="192"/>
      <c r="BN440" s="192"/>
    </row>
    <row r="441" ht="29.25" customHeight="1">
      <c r="A441" s="189"/>
      <c r="B441" s="190"/>
      <c r="C441" s="157"/>
      <c r="D441" s="157"/>
      <c r="E441" s="158"/>
      <c r="F441" s="166"/>
      <c r="G441" s="161"/>
      <c r="H441" s="161"/>
      <c r="I441" s="162"/>
      <c r="J441" s="163"/>
      <c r="K441" s="163"/>
      <c r="L441" s="163"/>
      <c r="M441" s="160"/>
      <c r="N441" s="162"/>
      <c r="O441" s="164"/>
      <c r="P441" s="140"/>
      <c r="Q441" s="191"/>
      <c r="R441" s="165"/>
      <c r="S441" s="165"/>
      <c r="T441" s="166"/>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92"/>
      <c r="AR441" s="192"/>
      <c r="AS441" s="192"/>
      <c r="AT441" s="192"/>
      <c r="AU441" s="192"/>
      <c r="AV441" s="192"/>
      <c r="AW441" s="192"/>
      <c r="AX441" s="192"/>
      <c r="AY441" s="192"/>
      <c r="AZ441" s="192"/>
      <c r="BA441" s="192"/>
      <c r="BB441" s="192"/>
      <c r="BC441" s="192"/>
      <c r="BD441" s="192"/>
      <c r="BE441" s="192"/>
      <c r="BF441" s="192"/>
      <c r="BG441" s="192"/>
      <c r="BH441" s="192"/>
      <c r="BI441" s="192"/>
      <c r="BJ441" s="192"/>
      <c r="BK441" s="192"/>
      <c r="BL441" s="192"/>
      <c r="BM441" s="192"/>
      <c r="BN441" s="192"/>
    </row>
    <row r="442" ht="29.25" customHeight="1">
      <c r="A442" s="189"/>
      <c r="B442" s="190"/>
      <c r="C442" s="157"/>
      <c r="D442" s="157"/>
      <c r="E442" s="158"/>
      <c r="F442" s="166"/>
      <c r="G442" s="161"/>
      <c r="H442" s="161"/>
      <c r="I442" s="162"/>
      <c r="J442" s="163"/>
      <c r="K442" s="163"/>
      <c r="L442" s="163"/>
      <c r="M442" s="160"/>
      <c r="N442" s="162"/>
      <c r="O442" s="164"/>
      <c r="P442" s="140"/>
      <c r="Q442" s="191"/>
      <c r="R442" s="165"/>
      <c r="S442" s="165"/>
      <c r="T442" s="166"/>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92"/>
      <c r="AR442" s="192"/>
      <c r="AS442" s="192"/>
      <c r="AT442" s="192"/>
      <c r="AU442" s="192"/>
      <c r="AV442" s="192"/>
      <c r="AW442" s="192"/>
      <c r="AX442" s="192"/>
      <c r="AY442" s="192"/>
      <c r="AZ442" s="192"/>
      <c r="BA442" s="192"/>
      <c r="BB442" s="192"/>
      <c r="BC442" s="192"/>
      <c r="BD442" s="192"/>
      <c r="BE442" s="192"/>
      <c r="BF442" s="192"/>
      <c r="BG442" s="192"/>
      <c r="BH442" s="192"/>
      <c r="BI442" s="192"/>
      <c r="BJ442" s="192"/>
      <c r="BK442" s="192"/>
      <c r="BL442" s="192"/>
      <c r="BM442" s="192"/>
      <c r="BN442" s="192"/>
    </row>
    <row r="443" ht="29.25" customHeight="1">
      <c r="A443" s="189"/>
      <c r="B443" s="190"/>
      <c r="C443" s="157"/>
      <c r="D443" s="157"/>
      <c r="E443" s="158"/>
      <c r="F443" s="166"/>
      <c r="G443" s="161"/>
      <c r="H443" s="161"/>
      <c r="I443" s="162"/>
      <c r="J443" s="163"/>
      <c r="K443" s="163"/>
      <c r="L443" s="163"/>
      <c r="M443" s="160"/>
      <c r="N443" s="162"/>
      <c r="O443" s="164"/>
      <c r="P443" s="140"/>
      <c r="Q443" s="191"/>
      <c r="R443" s="165"/>
      <c r="S443" s="165"/>
      <c r="T443" s="166"/>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92"/>
      <c r="AR443" s="192"/>
      <c r="AS443" s="192"/>
      <c r="AT443" s="192"/>
      <c r="AU443" s="192"/>
      <c r="AV443" s="192"/>
      <c r="AW443" s="192"/>
      <c r="AX443" s="192"/>
      <c r="AY443" s="192"/>
      <c r="AZ443" s="192"/>
      <c r="BA443" s="192"/>
      <c r="BB443" s="192"/>
      <c r="BC443" s="192"/>
      <c r="BD443" s="192"/>
      <c r="BE443" s="192"/>
      <c r="BF443" s="192"/>
      <c r="BG443" s="192"/>
      <c r="BH443" s="192"/>
      <c r="BI443" s="192"/>
      <c r="BJ443" s="192"/>
      <c r="BK443" s="192"/>
      <c r="BL443" s="192"/>
      <c r="BM443" s="192"/>
      <c r="BN443" s="192"/>
    </row>
    <row r="444" ht="29.25" customHeight="1">
      <c r="A444" s="189"/>
      <c r="B444" s="190"/>
      <c r="C444" s="157"/>
      <c r="D444" s="157"/>
      <c r="E444" s="158"/>
      <c r="F444" s="166"/>
      <c r="G444" s="161"/>
      <c r="H444" s="161"/>
      <c r="I444" s="162"/>
      <c r="J444" s="163"/>
      <c r="K444" s="163"/>
      <c r="L444" s="163"/>
      <c r="M444" s="160"/>
      <c r="N444" s="162"/>
      <c r="O444" s="164"/>
      <c r="P444" s="140"/>
      <c r="Q444" s="191"/>
      <c r="R444" s="165"/>
      <c r="S444" s="165"/>
      <c r="T444" s="166"/>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92"/>
      <c r="AR444" s="192"/>
      <c r="AS444" s="192"/>
      <c r="AT444" s="192"/>
      <c r="AU444" s="192"/>
      <c r="AV444" s="192"/>
      <c r="AW444" s="192"/>
      <c r="AX444" s="192"/>
      <c r="AY444" s="192"/>
      <c r="AZ444" s="192"/>
      <c r="BA444" s="192"/>
      <c r="BB444" s="192"/>
      <c r="BC444" s="192"/>
      <c r="BD444" s="192"/>
      <c r="BE444" s="192"/>
      <c r="BF444" s="192"/>
      <c r="BG444" s="192"/>
      <c r="BH444" s="192"/>
      <c r="BI444" s="192"/>
      <c r="BJ444" s="192"/>
      <c r="BK444" s="192"/>
      <c r="BL444" s="192"/>
      <c r="BM444" s="192"/>
      <c r="BN444" s="192"/>
    </row>
    <row r="445" ht="29.25" customHeight="1">
      <c r="A445" s="189"/>
      <c r="B445" s="190"/>
      <c r="C445" s="157"/>
      <c r="D445" s="157"/>
      <c r="E445" s="158"/>
      <c r="F445" s="166"/>
      <c r="G445" s="161"/>
      <c r="H445" s="161"/>
      <c r="I445" s="162"/>
      <c r="J445" s="163"/>
      <c r="K445" s="163"/>
      <c r="L445" s="163"/>
      <c r="M445" s="160"/>
      <c r="N445" s="162"/>
      <c r="O445" s="164"/>
      <c r="P445" s="140"/>
      <c r="Q445" s="191"/>
      <c r="R445" s="165"/>
      <c r="S445" s="165"/>
      <c r="T445" s="166"/>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92"/>
      <c r="AR445" s="192"/>
      <c r="AS445" s="192"/>
      <c r="AT445" s="192"/>
      <c r="AU445" s="192"/>
      <c r="AV445" s="192"/>
      <c r="AW445" s="192"/>
      <c r="AX445" s="192"/>
      <c r="AY445" s="192"/>
      <c r="AZ445" s="192"/>
      <c r="BA445" s="192"/>
      <c r="BB445" s="192"/>
      <c r="BC445" s="192"/>
      <c r="BD445" s="192"/>
      <c r="BE445" s="192"/>
      <c r="BF445" s="192"/>
      <c r="BG445" s="192"/>
      <c r="BH445" s="192"/>
      <c r="BI445" s="192"/>
      <c r="BJ445" s="192"/>
      <c r="BK445" s="192"/>
      <c r="BL445" s="192"/>
      <c r="BM445" s="192"/>
      <c r="BN445" s="192"/>
    </row>
    <row r="446" ht="29.25" customHeight="1">
      <c r="A446" s="189"/>
      <c r="B446" s="190"/>
      <c r="C446" s="157"/>
      <c r="D446" s="157"/>
      <c r="E446" s="158"/>
      <c r="F446" s="166"/>
      <c r="G446" s="161"/>
      <c r="H446" s="161"/>
      <c r="I446" s="162"/>
      <c r="J446" s="163"/>
      <c r="K446" s="163"/>
      <c r="L446" s="163"/>
      <c r="M446" s="160"/>
      <c r="N446" s="162"/>
      <c r="O446" s="164"/>
      <c r="P446" s="140"/>
      <c r="Q446" s="191"/>
      <c r="R446" s="165"/>
      <c r="S446" s="165"/>
      <c r="T446" s="166"/>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92"/>
      <c r="AR446" s="192"/>
      <c r="AS446" s="192"/>
      <c r="AT446" s="192"/>
      <c r="AU446" s="192"/>
      <c r="AV446" s="192"/>
      <c r="AW446" s="192"/>
      <c r="AX446" s="192"/>
      <c r="AY446" s="192"/>
      <c r="AZ446" s="192"/>
      <c r="BA446" s="192"/>
      <c r="BB446" s="192"/>
      <c r="BC446" s="192"/>
      <c r="BD446" s="192"/>
      <c r="BE446" s="192"/>
      <c r="BF446" s="192"/>
      <c r="BG446" s="192"/>
      <c r="BH446" s="192"/>
      <c r="BI446" s="192"/>
      <c r="BJ446" s="192"/>
      <c r="BK446" s="192"/>
      <c r="BL446" s="192"/>
      <c r="BM446" s="192"/>
      <c r="BN446" s="192"/>
    </row>
    <row r="447" ht="29.25" customHeight="1">
      <c r="A447" s="189"/>
      <c r="B447" s="190"/>
      <c r="C447" s="157"/>
      <c r="D447" s="157"/>
      <c r="E447" s="158"/>
      <c r="F447" s="166"/>
      <c r="G447" s="161"/>
      <c r="H447" s="161"/>
      <c r="I447" s="162"/>
      <c r="J447" s="163"/>
      <c r="K447" s="163"/>
      <c r="L447" s="163"/>
      <c r="M447" s="160"/>
      <c r="N447" s="162"/>
      <c r="O447" s="164"/>
      <c r="P447" s="140"/>
      <c r="Q447" s="191"/>
      <c r="R447" s="165"/>
      <c r="S447" s="165"/>
      <c r="T447" s="166"/>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92"/>
      <c r="AR447" s="192"/>
      <c r="AS447" s="192"/>
      <c r="AT447" s="192"/>
      <c r="AU447" s="192"/>
      <c r="AV447" s="192"/>
      <c r="AW447" s="192"/>
      <c r="AX447" s="192"/>
      <c r="AY447" s="192"/>
      <c r="AZ447" s="192"/>
      <c r="BA447" s="192"/>
      <c r="BB447" s="192"/>
      <c r="BC447" s="192"/>
      <c r="BD447" s="192"/>
      <c r="BE447" s="192"/>
      <c r="BF447" s="192"/>
      <c r="BG447" s="192"/>
      <c r="BH447" s="192"/>
      <c r="BI447" s="192"/>
      <c r="BJ447" s="192"/>
      <c r="BK447" s="192"/>
      <c r="BL447" s="192"/>
      <c r="BM447" s="192"/>
      <c r="BN447" s="192"/>
    </row>
    <row r="448" ht="29.25" customHeight="1">
      <c r="A448" s="189"/>
      <c r="B448" s="190"/>
      <c r="C448" s="157"/>
      <c r="D448" s="157"/>
      <c r="E448" s="158"/>
      <c r="F448" s="166"/>
      <c r="G448" s="161"/>
      <c r="H448" s="161"/>
      <c r="I448" s="162"/>
      <c r="J448" s="163"/>
      <c r="K448" s="163"/>
      <c r="L448" s="163"/>
      <c r="M448" s="160"/>
      <c r="N448" s="162"/>
      <c r="O448" s="164"/>
      <c r="P448" s="140"/>
      <c r="Q448" s="191"/>
      <c r="R448" s="165"/>
      <c r="S448" s="165"/>
      <c r="T448" s="166"/>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92"/>
      <c r="AR448" s="192"/>
      <c r="AS448" s="192"/>
      <c r="AT448" s="192"/>
      <c r="AU448" s="192"/>
      <c r="AV448" s="192"/>
      <c r="AW448" s="192"/>
      <c r="AX448" s="192"/>
      <c r="AY448" s="192"/>
      <c r="AZ448" s="192"/>
      <c r="BA448" s="192"/>
      <c r="BB448" s="192"/>
      <c r="BC448" s="192"/>
      <c r="BD448" s="192"/>
      <c r="BE448" s="192"/>
      <c r="BF448" s="192"/>
      <c r="BG448" s="192"/>
      <c r="BH448" s="192"/>
      <c r="BI448" s="192"/>
      <c r="BJ448" s="192"/>
      <c r="BK448" s="192"/>
      <c r="BL448" s="192"/>
      <c r="BM448" s="192"/>
      <c r="BN448" s="192"/>
    </row>
    <row r="449" ht="29.25" customHeight="1">
      <c r="A449" s="189"/>
      <c r="B449" s="190"/>
      <c r="C449" s="157"/>
      <c r="D449" s="157"/>
      <c r="E449" s="158"/>
      <c r="F449" s="166"/>
      <c r="G449" s="161"/>
      <c r="H449" s="161"/>
      <c r="I449" s="162"/>
      <c r="J449" s="163"/>
      <c r="K449" s="163"/>
      <c r="L449" s="163"/>
      <c r="M449" s="160"/>
      <c r="N449" s="162"/>
      <c r="O449" s="164"/>
      <c r="P449" s="140"/>
      <c r="Q449" s="191"/>
      <c r="R449" s="165"/>
      <c r="S449" s="165"/>
      <c r="T449" s="166"/>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92"/>
      <c r="AR449" s="192"/>
      <c r="AS449" s="192"/>
      <c r="AT449" s="192"/>
      <c r="AU449" s="192"/>
      <c r="AV449" s="192"/>
      <c r="AW449" s="192"/>
      <c r="AX449" s="192"/>
      <c r="AY449" s="192"/>
      <c r="AZ449" s="192"/>
      <c r="BA449" s="192"/>
      <c r="BB449" s="192"/>
      <c r="BC449" s="192"/>
      <c r="BD449" s="192"/>
      <c r="BE449" s="192"/>
      <c r="BF449" s="192"/>
      <c r="BG449" s="192"/>
      <c r="BH449" s="192"/>
      <c r="BI449" s="192"/>
      <c r="BJ449" s="192"/>
      <c r="BK449" s="192"/>
      <c r="BL449" s="192"/>
      <c r="BM449" s="192"/>
      <c r="BN449" s="192"/>
    </row>
    <row r="450" ht="29.25" customHeight="1">
      <c r="A450" s="189"/>
      <c r="B450" s="190"/>
      <c r="C450" s="157"/>
      <c r="D450" s="157"/>
      <c r="E450" s="158"/>
      <c r="F450" s="166"/>
      <c r="G450" s="161"/>
      <c r="H450" s="161"/>
      <c r="I450" s="162"/>
      <c r="J450" s="163"/>
      <c r="K450" s="163"/>
      <c r="L450" s="163"/>
      <c r="M450" s="160"/>
      <c r="N450" s="162"/>
      <c r="O450" s="164"/>
      <c r="P450" s="140"/>
      <c r="Q450" s="191"/>
      <c r="R450" s="165"/>
      <c r="S450" s="165"/>
      <c r="T450" s="166"/>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92"/>
      <c r="AR450" s="192"/>
      <c r="AS450" s="192"/>
      <c r="AT450" s="192"/>
      <c r="AU450" s="192"/>
      <c r="AV450" s="192"/>
      <c r="AW450" s="192"/>
      <c r="AX450" s="192"/>
      <c r="AY450" s="192"/>
      <c r="AZ450" s="192"/>
      <c r="BA450" s="192"/>
      <c r="BB450" s="192"/>
      <c r="BC450" s="192"/>
      <c r="BD450" s="192"/>
      <c r="BE450" s="192"/>
      <c r="BF450" s="192"/>
      <c r="BG450" s="192"/>
      <c r="BH450" s="192"/>
      <c r="BI450" s="192"/>
      <c r="BJ450" s="192"/>
      <c r="BK450" s="192"/>
      <c r="BL450" s="192"/>
      <c r="BM450" s="192"/>
      <c r="BN450" s="192"/>
    </row>
    <row r="451" ht="29.25" customHeight="1">
      <c r="A451" s="189"/>
      <c r="B451" s="190"/>
      <c r="C451" s="157"/>
      <c r="D451" s="157"/>
      <c r="E451" s="158"/>
      <c r="F451" s="166"/>
      <c r="G451" s="161"/>
      <c r="H451" s="161"/>
      <c r="I451" s="162"/>
      <c r="J451" s="163"/>
      <c r="K451" s="163"/>
      <c r="L451" s="163"/>
      <c r="M451" s="160"/>
      <c r="N451" s="162"/>
      <c r="O451" s="164"/>
      <c r="P451" s="140"/>
      <c r="Q451" s="191"/>
      <c r="R451" s="165"/>
      <c r="S451" s="165"/>
      <c r="T451" s="166"/>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92"/>
      <c r="AR451" s="192"/>
      <c r="AS451" s="192"/>
      <c r="AT451" s="192"/>
      <c r="AU451" s="192"/>
      <c r="AV451" s="192"/>
      <c r="AW451" s="192"/>
      <c r="AX451" s="192"/>
      <c r="AY451" s="192"/>
      <c r="AZ451" s="192"/>
      <c r="BA451" s="192"/>
      <c r="BB451" s="192"/>
      <c r="BC451" s="192"/>
      <c r="BD451" s="192"/>
      <c r="BE451" s="192"/>
      <c r="BF451" s="192"/>
      <c r="BG451" s="192"/>
      <c r="BH451" s="192"/>
      <c r="BI451" s="192"/>
      <c r="BJ451" s="192"/>
      <c r="BK451" s="192"/>
      <c r="BL451" s="192"/>
      <c r="BM451" s="192"/>
      <c r="BN451" s="192"/>
    </row>
    <row r="452" ht="29.25" customHeight="1">
      <c r="A452" s="189"/>
      <c r="B452" s="190"/>
      <c r="C452" s="157"/>
      <c r="D452" s="157"/>
      <c r="E452" s="158"/>
      <c r="F452" s="166"/>
      <c r="G452" s="161"/>
      <c r="H452" s="161"/>
      <c r="I452" s="162"/>
      <c r="J452" s="163"/>
      <c r="K452" s="163"/>
      <c r="L452" s="163"/>
      <c r="M452" s="160"/>
      <c r="N452" s="162"/>
      <c r="O452" s="164"/>
      <c r="P452" s="140"/>
      <c r="Q452" s="191"/>
      <c r="R452" s="165"/>
      <c r="S452" s="165"/>
      <c r="T452" s="166"/>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92"/>
      <c r="AR452" s="192"/>
      <c r="AS452" s="192"/>
      <c r="AT452" s="192"/>
      <c r="AU452" s="192"/>
      <c r="AV452" s="192"/>
      <c r="AW452" s="192"/>
      <c r="AX452" s="192"/>
      <c r="AY452" s="192"/>
      <c r="AZ452" s="192"/>
      <c r="BA452" s="192"/>
      <c r="BB452" s="192"/>
      <c r="BC452" s="192"/>
      <c r="BD452" s="192"/>
      <c r="BE452" s="192"/>
      <c r="BF452" s="192"/>
      <c r="BG452" s="192"/>
      <c r="BH452" s="192"/>
      <c r="BI452" s="192"/>
      <c r="BJ452" s="192"/>
      <c r="BK452" s="192"/>
      <c r="BL452" s="192"/>
      <c r="BM452" s="192"/>
      <c r="BN452" s="192"/>
    </row>
    <row r="453" ht="29.25" customHeight="1">
      <c r="A453" s="189"/>
      <c r="B453" s="190"/>
      <c r="C453" s="157"/>
      <c r="D453" s="157"/>
      <c r="E453" s="158"/>
      <c r="F453" s="166"/>
      <c r="G453" s="161"/>
      <c r="H453" s="161"/>
      <c r="I453" s="162"/>
      <c r="J453" s="163"/>
      <c r="K453" s="163"/>
      <c r="L453" s="163"/>
      <c r="M453" s="160"/>
      <c r="N453" s="162"/>
      <c r="O453" s="164"/>
      <c r="P453" s="140"/>
      <c r="Q453" s="191"/>
      <c r="R453" s="165"/>
      <c r="S453" s="165"/>
      <c r="T453" s="166"/>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92"/>
      <c r="AR453" s="192"/>
      <c r="AS453" s="192"/>
      <c r="AT453" s="192"/>
      <c r="AU453" s="192"/>
      <c r="AV453" s="192"/>
      <c r="AW453" s="192"/>
      <c r="AX453" s="192"/>
      <c r="AY453" s="192"/>
      <c r="AZ453" s="192"/>
      <c r="BA453" s="192"/>
      <c r="BB453" s="192"/>
      <c r="BC453" s="192"/>
      <c r="BD453" s="192"/>
      <c r="BE453" s="192"/>
      <c r="BF453" s="192"/>
      <c r="BG453" s="192"/>
      <c r="BH453" s="192"/>
      <c r="BI453" s="192"/>
      <c r="BJ453" s="192"/>
      <c r="BK453" s="192"/>
      <c r="BL453" s="192"/>
      <c r="BM453" s="192"/>
      <c r="BN453" s="192"/>
    </row>
    <row r="454" ht="29.25" customHeight="1">
      <c r="A454" s="189"/>
      <c r="B454" s="190"/>
      <c r="C454" s="157"/>
      <c r="D454" s="157"/>
      <c r="E454" s="158"/>
      <c r="F454" s="166"/>
      <c r="G454" s="161"/>
      <c r="H454" s="161"/>
      <c r="I454" s="162"/>
      <c r="J454" s="163"/>
      <c r="K454" s="163"/>
      <c r="L454" s="163"/>
      <c r="M454" s="160"/>
      <c r="N454" s="162"/>
      <c r="O454" s="164"/>
      <c r="P454" s="140"/>
      <c r="Q454" s="191"/>
      <c r="R454" s="165"/>
      <c r="S454" s="165"/>
      <c r="T454" s="166"/>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92"/>
      <c r="AR454" s="192"/>
      <c r="AS454" s="192"/>
      <c r="AT454" s="192"/>
      <c r="AU454" s="192"/>
      <c r="AV454" s="192"/>
      <c r="AW454" s="192"/>
      <c r="AX454" s="192"/>
      <c r="AY454" s="192"/>
      <c r="AZ454" s="192"/>
      <c r="BA454" s="192"/>
      <c r="BB454" s="192"/>
      <c r="BC454" s="192"/>
      <c r="BD454" s="192"/>
      <c r="BE454" s="192"/>
      <c r="BF454" s="192"/>
      <c r="BG454" s="192"/>
      <c r="BH454" s="192"/>
      <c r="BI454" s="192"/>
      <c r="BJ454" s="192"/>
      <c r="BK454" s="192"/>
      <c r="BL454" s="192"/>
      <c r="BM454" s="192"/>
      <c r="BN454" s="192"/>
    </row>
    <row r="455" ht="29.25" customHeight="1">
      <c r="A455" s="189"/>
      <c r="B455" s="190"/>
      <c r="C455" s="157"/>
      <c r="D455" s="157"/>
      <c r="E455" s="158"/>
      <c r="F455" s="166"/>
      <c r="G455" s="161"/>
      <c r="H455" s="161"/>
      <c r="I455" s="162"/>
      <c r="J455" s="163"/>
      <c r="K455" s="163"/>
      <c r="L455" s="163"/>
      <c r="M455" s="160"/>
      <c r="N455" s="162"/>
      <c r="O455" s="164"/>
      <c r="P455" s="140"/>
      <c r="Q455" s="191"/>
      <c r="R455" s="165"/>
      <c r="S455" s="165"/>
      <c r="T455" s="166"/>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92"/>
      <c r="AR455" s="192"/>
      <c r="AS455" s="192"/>
      <c r="AT455" s="192"/>
      <c r="AU455" s="192"/>
      <c r="AV455" s="192"/>
      <c r="AW455" s="192"/>
      <c r="AX455" s="192"/>
      <c r="AY455" s="192"/>
      <c r="AZ455" s="192"/>
      <c r="BA455" s="192"/>
      <c r="BB455" s="192"/>
      <c r="BC455" s="192"/>
      <c r="BD455" s="192"/>
      <c r="BE455" s="192"/>
      <c r="BF455" s="192"/>
      <c r="BG455" s="192"/>
      <c r="BH455" s="192"/>
      <c r="BI455" s="192"/>
      <c r="BJ455" s="192"/>
      <c r="BK455" s="192"/>
      <c r="BL455" s="192"/>
      <c r="BM455" s="192"/>
      <c r="BN455" s="192"/>
    </row>
    <row r="456" ht="29.25" customHeight="1">
      <c r="A456" s="189"/>
      <c r="B456" s="190"/>
      <c r="C456" s="157"/>
      <c r="D456" s="157"/>
      <c r="E456" s="158"/>
      <c r="F456" s="166"/>
      <c r="G456" s="161"/>
      <c r="H456" s="161"/>
      <c r="I456" s="162"/>
      <c r="J456" s="163"/>
      <c r="K456" s="163"/>
      <c r="L456" s="163"/>
      <c r="M456" s="160"/>
      <c r="N456" s="162"/>
      <c r="O456" s="164"/>
      <c r="P456" s="140"/>
      <c r="Q456" s="191"/>
      <c r="R456" s="165"/>
      <c r="S456" s="165"/>
      <c r="T456" s="166"/>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92"/>
      <c r="AR456" s="192"/>
      <c r="AS456" s="192"/>
      <c r="AT456" s="192"/>
      <c r="AU456" s="192"/>
      <c r="AV456" s="192"/>
      <c r="AW456" s="192"/>
      <c r="AX456" s="192"/>
      <c r="AY456" s="192"/>
      <c r="AZ456" s="192"/>
      <c r="BA456" s="192"/>
      <c r="BB456" s="192"/>
      <c r="BC456" s="192"/>
      <c r="BD456" s="192"/>
      <c r="BE456" s="192"/>
      <c r="BF456" s="192"/>
      <c r="BG456" s="192"/>
      <c r="BH456" s="192"/>
      <c r="BI456" s="192"/>
      <c r="BJ456" s="192"/>
      <c r="BK456" s="192"/>
      <c r="BL456" s="192"/>
      <c r="BM456" s="192"/>
      <c r="BN456" s="192"/>
    </row>
    <row r="457" ht="29.25" customHeight="1">
      <c r="A457" s="189"/>
      <c r="B457" s="190"/>
      <c r="C457" s="157"/>
      <c r="D457" s="157"/>
      <c r="E457" s="158"/>
      <c r="F457" s="166"/>
      <c r="G457" s="161"/>
      <c r="H457" s="161"/>
      <c r="I457" s="162"/>
      <c r="J457" s="163"/>
      <c r="K457" s="163"/>
      <c r="L457" s="163"/>
      <c r="M457" s="160"/>
      <c r="N457" s="162"/>
      <c r="O457" s="164"/>
      <c r="P457" s="140"/>
      <c r="Q457" s="191"/>
      <c r="R457" s="165"/>
      <c r="S457" s="165"/>
      <c r="T457" s="166"/>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92"/>
      <c r="AR457" s="192"/>
      <c r="AS457" s="192"/>
      <c r="AT457" s="192"/>
      <c r="AU457" s="192"/>
      <c r="AV457" s="192"/>
      <c r="AW457" s="192"/>
      <c r="AX457" s="192"/>
      <c r="AY457" s="192"/>
      <c r="AZ457" s="192"/>
      <c r="BA457" s="192"/>
      <c r="BB457" s="192"/>
      <c r="BC457" s="192"/>
      <c r="BD457" s="192"/>
      <c r="BE457" s="192"/>
      <c r="BF457" s="192"/>
      <c r="BG457" s="192"/>
      <c r="BH457" s="192"/>
      <c r="BI457" s="192"/>
      <c r="BJ457" s="192"/>
      <c r="BK457" s="192"/>
      <c r="BL457" s="192"/>
      <c r="BM457" s="192"/>
      <c r="BN457" s="192"/>
    </row>
    <row r="458" ht="29.25" customHeight="1">
      <c r="A458" s="189"/>
      <c r="B458" s="190"/>
      <c r="C458" s="157"/>
      <c r="D458" s="157"/>
      <c r="E458" s="158"/>
      <c r="F458" s="166"/>
      <c r="G458" s="161"/>
      <c r="H458" s="161"/>
      <c r="I458" s="162"/>
      <c r="J458" s="163"/>
      <c r="K458" s="163"/>
      <c r="L458" s="163"/>
      <c r="M458" s="160"/>
      <c r="N458" s="162"/>
      <c r="O458" s="164"/>
      <c r="P458" s="140"/>
      <c r="Q458" s="191"/>
      <c r="R458" s="165"/>
      <c r="S458" s="165"/>
      <c r="T458" s="166"/>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92"/>
      <c r="AR458" s="192"/>
      <c r="AS458" s="192"/>
      <c r="AT458" s="192"/>
      <c r="AU458" s="192"/>
      <c r="AV458" s="192"/>
      <c r="AW458" s="192"/>
      <c r="AX458" s="192"/>
      <c r="AY458" s="192"/>
      <c r="AZ458" s="192"/>
      <c r="BA458" s="192"/>
      <c r="BB458" s="192"/>
      <c r="BC458" s="192"/>
      <c r="BD458" s="192"/>
      <c r="BE458" s="192"/>
      <c r="BF458" s="192"/>
      <c r="BG458" s="192"/>
      <c r="BH458" s="192"/>
      <c r="BI458" s="192"/>
      <c r="BJ458" s="192"/>
      <c r="BK458" s="192"/>
      <c r="BL458" s="192"/>
      <c r="BM458" s="192"/>
      <c r="BN458" s="192"/>
    </row>
    <row r="459" ht="29.25" customHeight="1">
      <c r="A459" s="189"/>
      <c r="B459" s="190"/>
      <c r="C459" s="157"/>
      <c r="D459" s="157"/>
      <c r="E459" s="158"/>
      <c r="F459" s="166"/>
      <c r="G459" s="161"/>
      <c r="H459" s="161"/>
      <c r="I459" s="162"/>
      <c r="J459" s="163"/>
      <c r="K459" s="163"/>
      <c r="L459" s="163"/>
      <c r="M459" s="160"/>
      <c r="N459" s="162"/>
      <c r="O459" s="164"/>
      <c r="P459" s="140"/>
      <c r="Q459" s="191"/>
      <c r="R459" s="165"/>
      <c r="S459" s="165"/>
      <c r="T459" s="166"/>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92"/>
      <c r="AR459" s="192"/>
      <c r="AS459" s="192"/>
      <c r="AT459" s="192"/>
      <c r="AU459" s="192"/>
      <c r="AV459" s="192"/>
      <c r="AW459" s="192"/>
      <c r="AX459" s="192"/>
      <c r="AY459" s="192"/>
      <c r="AZ459" s="192"/>
      <c r="BA459" s="192"/>
      <c r="BB459" s="192"/>
      <c r="BC459" s="192"/>
      <c r="BD459" s="192"/>
      <c r="BE459" s="192"/>
      <c r="BF459" s="192"/>
      <c r="BG459" s="192"/>
      <c r="BH459" s="192"/>
      <c r="BI459" s="192"/>
      <c r="BJ459" s="192"/>
      <c r="BK459" s="192"/>
      <c r="BL459" s="192"/>
      <c r="BM459" s="192"/>
      <c r="BN459" s="192"/>
    </row>
    <row r="460" ht="29.25" customHeight="1">
      <c r="A460" s="189"/>
      <c r="B460" s="190"/>
      <c r="C460" s="157"/>
      <c r="D460" s="157"/>
      <c r="E460" s="158"/>
      <c r="F460" s="166"/>
      <c r="G460" s="161"/>
      <c r="H460" s="161"/>
      <c r="I460" s="162"/>
      <c r="J460" s="163"/>
      <c r="K460" s="163"/>
      <c r="L460" s="163"/>
      <c r="M460" s="160"/>
      <c r="N460" s="162"/>
      <c r="O460" s="164"/>
      <c r="P460" s="140"/>
      <c r="Q460" s="191"/>
      <c r="R460" s="165"/>
      <c r="S460" s="165"/>
      <c r="T460" s="166"/>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92"/>
      <c r="AR460" s="192"/>
      <c r="AS460" s="192"/>
      <c r="AT460" s="192"/>
      <c r="AU460" s="192"/>
      <c r="AV460" s="192"/>
      <c r="AW460" s="192"/>
      <c r="AX460" s="192"/>
      <c r="AY460" s="192"/>
      <c r="AZ460" s="192"/>
      <c r="BA460" s="192"/>
      <c r="BB460" s="192"/>
      <c r="BC460" s="192"/>
      <c r="BD460" s="192"/>
      <c r="BE460" s="192"/>
      <c r="BF460" s="192"/>
      <c r="BG460" s="192"/>
      <c r="BH460" s="192"/>
      <c r="BI460" s="192"/>
      <c r="BJ460" s="192"/>
      <c r="BK460" s="192"/>
      <c r="BL460" s="192"/>
      <c r="BM460" s="192"/>
      <c r="BN460" s="192"/>
    </row>
    <row r="461" ht="29.25" customHeight="1">
      <c r="A461" s="189"/>
      <c r="B461" s="190"/>
      <c r="C461" s="157"/>
      <c r="D461" s="157"/>
      <c r="E461" s="158"/>
      <c r="F461" s="166"/>
      <c r="G461" s="161"/>
      <c r="H461" s="161"/>
      <c r="I461" s="162"/>
      <c r="J461" s="163"/>
      <c r="K461" s="163"/>
      <c r="L461" s="163"/>
      <c r="M461" s="160"/>
      <c r="N461" s="162"/>
      <c r="O461" s="164"/>
      <c r="P461" s="140"/>
      <c r="Q461" s="191"/>
      <c r="R461" s="165"/>
      <c r="S461" s="165"/>
      <c r="T461" s="166"/>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92"/>
      <c r="AR461" s="192"/>
      <c r="AS461" s="192"/>
      <c r="AT461" s="192"/>
      <c r="AU461" s="192"/>
      <c r="AV461" s="192"/>
      <c r="AW461" s="192"/>
      <c r="AX461" s="192"/>
      <c r="AY461" s="192"/>
      <c r="AZ461" s="192"/>
      <c r="BA461" s="192"/>
      <c r="BB461" s="192"/>
      <c r="BC461" s="192"/>
      <c r="BD461" s="192"/>
      <c r="BE461" s="192"/>
      <c r="BF461" s="192"/>
      <c r="BG461" s="192"/>
      <c r="BH461" s="192"/>
      <c r="BI461" s="192"/>
      <c r="BJ461" s="192"/>
      <c r="BK461" s="192"/>
      <c r="BL461" s="192"/>
      <c r="BM461" s="192"/>
      <c r="BN461" s="192"/>
    </row>
    <row r="462" ht="29.25" customHeight="1">
      <c r="A462" s="189"/>
      <c r="B462" s="190"/>
      <c r="C462" s="157"/>
      <c r="D462" s="157"/>
      <c r="E462" s="158"/>
      <c r="F462" s="166"/>
      <c r="G462" s="161"/>
      <c r="H462" s="161"/>
      <c r="I462" s="162"/>
      <c r="J462" s="163"/>
      <c r="K462" s="163"/>
      <c r="L462" s="163"/>
      <c r="M462" s="160"/>
      <c r="N462" s="162"/>
      <c r="O462" s="164"/>
      <c r="P462" s="140"/>
      <c r="Q462" s="191"/>
      <c r="R462" s="165"/>
      <c r="S462" s="165"/>
      <c r="T462" s="166"/>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92"/>
      <c r="AR462" s="192"/>
      <c r="AS462" s="192"/>
      <c r="AT462" s="192"/>
      <c r="AU462" s="192"/>
      <c r="AV462" s="192"/>
      <c r="AW462" s="192"/>
      <c r="AX462" s="192"/>
      <c r="AY462" s="192"/>
      <c r="AZ462" s="192"/>
      <c r="BA462" s="192"/>
      <c r="BB462" s="192"/>
      <c r="BC462" s="192"/>
      <c r="BD462" s="192"/>
      <c r="BE462" s="192"/>
      <c r="BF462" s="192"/>
      <c r="BG462" s="192"/>
      <c r="BH462" s="192"/>
      <c r="BI462" s="192"/>
      <c r="BJ462" s="192"/>
      <c r="BK462" s="192"/>
      <c r="BL462" s="192"/>
      <c r="BM462" s="192"/>
      <c r="BN462" s="192"/>
    </row>
    <row r="463" ht="29.25" customHeight="1">
      <c r="A463" s="189"/>
      <c r="B463" s="190"/>
      <c r="C463" s="157"/>
      <c r="D463" s="157"/>
      <c r="E463" s="158"/>
      <c r="F463" s="166"/>
      <c r="G463" s="161"/>
      <c r="H463" s="161"/>
      <c r="I463" s="162"/>
      <c r="J463" s="163"/>
      <c r="K463" s="163"/>
      <c r="L463" s="163"/>
      <c r="M463" s="160"/>
      <c r="N463" s="162"/>
      <c r="O463" s="164"/>
      <c r="P463" s="140"/>
      <c r="Q463" s="191"/>
      <c r="R463" s="165"/>
      <c r="S463" s="165"/>
      <c r="T463" s="166"/>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92"/>
      <c r="AR463" s="192"/>
      <c r="AS463" s="192"/>
      <c r="AT463" s="192"/>
      <c r="AU463" s="192"/>
      <c r="AV463" s="192"/>
      <c r="AW463" s="192"/>
      <c r="AX463" s="192"/>
      <c r="AY463" s="192"/>
      <c r="AZ463" s="192"/>
      <c r="BA463" s="192"/>
      <c r="BB463" s="192"/>
      <c r="BC463" s="192"/>
      <c r="BD463" s="192"/>
      <c r="BE463" s="192"/>
      <c r="BF463" s="192"/>
      <c r="BG463" s="192"/>
      <c r="BH463" s="192"/>
      <c r="BI463" s="192"/>
      <c r="BJ463" s="192"/>
      <c r="BK463" s="192"/>
      <c r="BL463" s="192"/>
      <c r="BM463" s="192"/>
      <c r="BN463" s="192"/>
    </row>
    <row r="464" ht="29.25" customHeight="1">
      <c r="A464" s="189"/>
      <c r="B464" s="190"/>
      <c r="C464" s="157"/>
      <c r="D464" s="157"/>
      <c r="E464" s="158"/>
      <c r="F464" s="166"/>
      <c r="G464" s="161"/>
      <c r="H464" s="161"/>
      <c r="I464" s="162"/>
      <c r="J464" s="163"/>
      <c r="K464" s="163"/>
      <c r="L464" s="163"/>
      <c r="M464" s="160"/>
      <c r="N464" s="162"/>
      <c r="O464" s="164"/>
      <c r="P464" s="140"/>
      <c r="Q464" s="191"/>
      <c r="R464" s="165"/>
      <c r="S464" s="165"/>
      <c r="T464" s="166"/>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92"/>
      <c r="AR464" s="192"/>
      <c r="AS464" s="192"/>
      <c r="AT464" s="192"/>
      <c r="AU464" s="192"/>
      <c r="AV464" s="192"/>
      <c r="AW464" s="192"/>
      <c r="AX464" s="192"/>
      <c r="AY464" s="192"/>
      <c r="AZ464" s="192"/>
      <c r="BA464" s="192"/>
      <c r="BB464" s="192"/>
      <c r="BC464" s="192"/>
      <c r="BD464" s="192"/>
      <c r="BE464" s="192"/>
      <c r="BF464" s="192"/>
      <c r="BG464" s="192"/>
      <c r="BH464" s="192"/>
      <c r="BI464" s="192"/>
      <c r="BJ464" s="192"/>
      <c r="BK464" s="192"/>
      <c r="BL464" s="192"/>
      <c r="BM464" s="192"/>
      <c r="BN464" s="192"/>
    </row>
    <row r="465" ht="29.25" customHeight="1">
      <c r="A465" s="189"/>
      <c r="B465" s="190"/>
      <c r="C465" s="157"/>
      <c r="D465" s="157"/>
      <c r="E465" s="158"/>
      <c r="F465" s="166"/>
      <c r="G465" s="161"/>
      <c r="H465" s="161"/>
      <c r="I465" s="162"/>
      <c r="J465" s="163"/>
      <c r="K465" s="163"/>
      <c r="L465" s="163"/>
      <c r="M465" s="160"/>
      <c r="N465" s="162"/>
      <c r="O465" s="164"/>
      <c r="P465" s="140"/>
      <c r="Q465" s="191"/>
      <c r="R465" s="165"/>
      <c r="S465" s="165"/>
      <c r="T465" s="166"/>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92"/>
      <c r="AR465" s="192"/>
      <c r="AS465" s="192"/>
      <c r="AT465" s="192"/>
      <c r="AU465" s="192"/>
      <c r="AV465" s="192"/>
      <c r="AW465" s="192"/>
      <c r="AX465" s="192"/>
      <c r="AY465" s="192"/>
      <c r="AZ465" s="192"/>
      <c r="BA465" s="192"/>
      <c r="BB465" s="192"/>
      <c r="BC465" s="192"/>
      <c r="BD465" s="192"/>
      <c r="BE465" s="192"/>
      <c r="BF465" s="192"/>
      <c r="BG465" s="192"/>
      <c r="BH465" s="192"/>
      <c r="BI465" s="192"/>
      <c r="BJ465" s="192"/>
      <c r="BK465" s="192"/>
      <c r="BL465" s="192"/>
      <c r="BM465" s="192"/>
      <c r="BN465" s="192"/>
    </row>
    <row r="466" ht="29.25" customHeight="1">
      <c r="A466" s="189"/>
      <c r="B466" s="190"/>
      <c r="C466" s="157"/>
      <c r="D466" s="157"/>
      <c r="E466" s="158"/>
      <c r="F466" s="166"/>
      <c r="G466" s="161"/>
      <c r="H466" s="161"/>
      <c r="I466" s="162"/>
      <c r="J466" s="163"/>
      <c r="K466" s="163"/>
      <c r="L466" s="163"/>
      <c r="M466" s="160"/>
      <c r="N466" s="162"/>
      <c r="O466" s="164"/>
      <c r="P466" s="140"/>
      <c r="Q466" s="191"/>
      <c r="R466" s="165"/>
      <c r="S466" s="165"/>
      <c r="T466" s="166"/>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92"/>
      <c r="AR466" s="192"/>
      <c r="AS466" s="192"/>
      <c r="AT466" s="192"/>
      <c r="AU466" s="192"/>
      <c r="AV466" s="192"/>
      <c r="AW466" s="192"/>
      <c r="AX466" s="192"/>
      <c r="AY466" s="192"/>
      <c r="AZ466" s="192"/>
      <c r="BA466" s="192"/>
      <c r="BB466" s="192"/>
      <c r="BC466" s="192"/>
      <c r="BD466" s="192"/>
      <c r="BE466" s="192"/>
      <c r="BF466" s="192"/>
      <c r="BG466" s="192"/>
      <c r="BH466" s="192"/>
      <c r="BI466" s="192"/>
      <c r="BJ466" s="192"/>
      <c r="BK466" s="192"/>
      <c r="BL466" s="192"/>
      <c r="BM466" s="192"/>
      <c r="BN466" s="192"/>
    </row>
    <row r="467" ht="29.25" customHeight="1">
      <c r="A467" s="189"/>
      <c r="B467" s="190"/>
      <c r="C467" s="157"/>
      <c r="D467" s="157"/>
      <c r="E467" s="158"/>
      <c r="F467" s="166"/>
      <c r="G467" s="161"/>
      <c r="H467" s="161"/>
      <c r="I467" s="162"/>
      <c r="J467" s="163"/>
      <c r="K467" s="163"/>
      <c r="L467" s="163"/>
      <c r="M467" s="160"/>
      <c r="N467" s="162"/>
      <c r="O467" s="164"/>
      <c r="P467" s="140"/>
      <c r="Q467" s="191"/>
      <c r="R467" s="165"/>
      <c r="S467" s="165"/>
      <c r="T467" s="166"/>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92"/>
      <c r="AR467" s="192"/>
      <c r="AS467" s="192"/>
      <c r="AT467" s="192"/>
      <c r="AU467" s="192"/>
      <c r="AV467" s="192"/>
      <c r="AW467" s="192"/>
      <c r="AX467" s="192"/>
      <c r="AY467" s="192"/>
      <c r="AZ467" s="192"/>
      <c r="BA467" s="192"/>
      <c r="BB467" s="192"/>
      <c r="BC467" s="192"/>
      <c r="BD467" s="192"/>
      <c r="BE467" s="192"/>
      <c r="BF467" s="192"/>
      <c r="BG467" s="192"/>
      <c r="BH467" s="192"/>
      <c r="BI467" s="192"/>
      <c r="BJ467" s="192"/>
      <c r="BK467" s="192"/>
      <c r="BL467" s="192"/>
      <c r="BM467" s="192"/>
      <c r="BN467" s="192"/>
    </row>
    <row r="468" ht="29.25" customHeight="1">
      <c r="A468" s="189"/>
      <c r="B468" s="190"/>
      <c r="C468" s="157"/>
      <c r="D468" s="157"/>
      <c r="E468" s="158"/>
      <c r="F468" s="166"/>
      <c r="G468" s="161"/>
      <c r="H468" s="161"/>
      <c r="I468" s="162"/>
      <c r="J468" s="163"/>
      <c r="K468" s="163"/>
      <c r="L468" s="163"/>
      <c r="M468" s="160"/>
      <c r="N468" s="162"/>
      <c r="O468" s="164"/>
      <c r="P468" s="140"/>
      <c r="Q468" s="191"/>
      <c r="R468" s="165"/>
      <c r="S468" s="165"/>
      <c r="T468" s="166"/>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92"/>
      <c r="AR468" s="192"/>
      <c r="AS468" s="192"/>
      <c r="AT468" s="192"/>
      <c r="AU468" s="192"/>
      <c r="AV468" s="192"/>
      <c r="AW468" s="192"/>
      <c r="AX468" s="192"/>
      <c r="AY468" s="192"/>
      <c r="AZ468" s="192"/>
      <c r="BA468" s="192"/>
      <c r="BB468" s="192"/>
      <c r="BC468" s="192"/>
      <c r="BD468" s="192"/>
      <c r="BE468" s="192"/>
      <c r="BF468" s="192"/>
      <c r="BG468" s="192"/>
      <c r="BH468" s="192"/>
      <c r="BI468" s="192"/>
      <c r="BJ468" s="192"/>
      <c r="BK468" s="192"/>
      <c r="BL468" s="192"/>
      <c r="BM468" s="192"/>
      <c r="BN468" s="192"/>
    </row>
    <row r="469" ht="29.25" customHeight="1">
      <c r="A469" s="189"/>
      <c r="B469" s="190"/>
      <c r="C469" s="157"/>
      <c r="D469" s="157"/>
      <c r="E469" s="158"/>
      <c r="F469" s="166"/>
      <c r="G469" s="161"/>
      <c r="H469" s="161"/>
      <c r="I469" s="162"/>
      <c r="J469" s="163"/>
      <c r="K469" s="163"/>
      <c r="L469" s="163"/>
      <c r="M469" s="160"/>
      <c r="N469" s="162"/>
      <c r="O469" s="164"/>
      <c r="P469" s="140"/>
      <c r="Q469" s="191"/>
      <c r="R469" s="165"/>
      <c r="S469" s="165"/>
      <c r="T469" s="166"/>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92"/>
      <c r="AR469" s="192"/>
      <c r="AS469" s="192"/>
      <c r="AT469" s="192"/>
      <c r="AU469" s="192"/>
      <c r="AV469" s="192"/>
      <c r="AW469" s="192"/>
      <c r="AX469" s="192"/>
      <c r="AY469" s="192"/>
      <c r="AZ469" s="192"/>
      <c r="BA469" s="192"/>
      <c r="BB469" s="192"/>
      <c r="BC469" s="192"/>
      <c r="BD469" s="192"/>
      <c r="BE469" s="192"/>
      <c r="BF469" s="192"/>
      <c r="BG469" s="192"/>
      <c r="BH469" s="192"/>
      <c r="BI469" s="192"/>
      <c r="BJ469" s="192"/>
      <c r="BK469" s="192"/>
      <c r="BL469" s="192"/>
      <c r="BM469" s="192"/>
      <c r="BN469" s="192"/>
    </row>
    <row r="470" ht="29.25" customHeight="1">
      <c r="A470" s="189"/>
      <c r="B470" s="190"/>
      <c r="C470" s="157"/>
      <c r="D470" s="157"/>
      <c r="E470" s="158"/>
      <c r="F470" s="166"/>
      <c r="G470" s="161"/>
      <c r="H470" s="161"/>
      <c r="I470" s="162"/>
      <c r="J470" s="163"/>
      <c r="K470" s="163"/>
      <c r="L470" s="163"/>
      <c r="M470" s="160"/>
      <c r="N470" s="162"/>
      <c r="O470" s="164"/>
      <c r="P470" s="140"/>
      <c r="Q470" s="191"/>
      <c r="R470" s="165"/>
      <c r="S470" s="165"/>
      <c r="T470" s="166"/>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92"/>
      <c r="AR470" s="192"/>
      <c r="AS470" s="192"/>
      <c r="AT470" s="192"/>
      <c r="AU470" s="192"/>
      <c r="AV470" s="192"/>
      <c r="AW470" s="192"/>
      <c r="AX470" s="192"/>
      <c r="AY470" s="192"/>
      <c r="AZ470" s="192"/>
      <c r="BA470" s="192"/>
      <c r="BB470" s="192"/>
      <c r="BC470" s="192"/>
      <c r="BD470" s="192"/>
      <c r="BE470" s="192"/>
      <c r="BF470" s="192"/>
      <c r="BG470" s="192"/>
      <c r="BH470" s="192"/>
      <c r="BI470" s="192"/>
      <c r="BJ470" s="192"/>
      <c r="BK470" s="192"/>
      <c r="BL470" s="192"/>
      <c r="BM470" s="192"/>
      <c r="BN470" s="192"/>
    </row>
    <row r="471" ht="29.25" customHeight="1">
      <c r="A471" s="189"/>
      <c r="B471" s="190"/>
      <c r="C471" s="157"/>
      <c r="D471" s="157"/>
      <c r="E471" s="158"/>
      <c r="F471" s="166"/>
      <c r="G471" s="161"/>
      <c r="H471" s="161"/>
      <c r="I471" s="162"/>
      <c r="J471" s="163"/>
      <c r="K471" s="163"/>
      <c r="L471" s="163"/>
      <c r="M471" s="160"/>
      <c r="N471" s="162"/>
      <c r="O471" s="164"/>
      <c r="P471" s="140"/>
      <c r="Q471" s="191"/>
      <c r="R471" s="165"/>
      <c r="S471" s="165"/>
      <c r="T471" s="166"/>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92"/>
      <c r="AR471" s="192"/>
      <c r="AS471" s="192"/>
      <c r="AT471" s="192"/>
      <c r="AU471" s="192"/>
      <c r="AV471" s="192"/>
      <c r="AW471" s="192"/>
      <c r="AX471" s="192"/>
      <c r="AY471" s="192"/>
      <c r="AZ471" s="192"/>
      <c r="BA471" s="192"/>
      <c r="BB471" s="192"/>
      <c r="BC471" s="192"/>
      <c r="BD471" s="192"/>
      <c r="BE471" s="192"/>
      <c r="BF471" s="192"/>
      <c r="BG471" s="192"/>
      <c r="BH471" s="192"/>
      <c r="BI471" s="192"/>
      <c r="BJ471" s="192"/>
      <c r="BK471" s="192"/>
      <c r="BL471" s="192"/>
      <c r="BM471" s="192"/>
      <c r="BN471" s="192"/>
    </row>
    <row r="472" ht="29.25" customHeight="1">
      <c r="A472" s="189"/>
      <c r="B472" s="190"/>
      <c r="C472" s="157"/>
      <c r="D472" s="157"/>
      <c r="E472" s="158"/>
      <c r="F472" s="166"/>
      <c r="G472" s="161"/>
      <c r="H472" s="161"/>
      <c r="I472" s="162"/>
      <c r="J472" s="163"/>
      <c r="K472" s="163"/>
      <c r="L472" s="163"/>
      <c r="M472" s="160"/>
      <c r="N472" s="162"/>
      <c r="O472" s="164"/>
      <c r="P472" s="140"/>
      <c r="Q472" s="191"/>
      <c r="R472" s="165"/>
      <c r="S472" s="165"/>
      <c r="T472" s="166"/>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92"/>
      <c r="AR472" s="192"/>
      <c r="AS472" s="192"/>
      <c r="AT472" s="192"/>
      <c r="AU472" s="192"/>
      <c r="AV472" s="192"/>
      <c r="AW472" s="192"/>
      <c r="AX472" s="192"/>
      <c r="AY472" s="192"/>
      <c r="AZ472" s="192"/>
      <c r="BA472" s="192"/>
      <c r="BB472" s="192"/>
      <c r="BC472" s="192"/>
      <c r="BD472" s="192"/>
      <c r="BE472" s="192"/>
      <c r="BF472" s="192"/>
      <c r="BG472" s="192"/>
      <c r="BH472" s="192"/>
      <c r="BI472" s="192"/>
      <c r="BJ472" s="192"/>
      <c r="BK472" s="192"/>
      <c r="BL472" s="192"/>
      <c r="BM472" s="192"/>
      <c r="BN472" s="192"/>
    </row>
    <row r="473" ht="29.25" customHeight="1">
      <c r="A473" s="189"/>
      <c r="B473" s="190"/>
      <c r="C473" s="157"/>
      <c r="D473" s="157"/>
      <c r="E473" s="158"/>
      <c r="F473" s="166"/>
      <c r="G473" s="161"/>
      <c r="H473" s="161"/>
      <c r="I473" s="162"/>
      <c r="J473" s="163"/>
      <c r="K473" s="163"/>
      <c r="L473" s="163"/>
      <c r="M473" s="160"/>
      <c r="N473" s="162"/>
      <c r="O473" s="164"/>
      <c r="P473" s="140"/>
      <c r="Q473" s="191"/>
      <c r="R473" s="165"/>
      <c r="S473" s="165"/>
      <c r="T473" s="166"/>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92"/>
      <c r="AR473" s="192"/>
      <c r="AS473" s="192"/>
      <c r="AT473" s="192"/>
      <c r="AU473" s="192"/>
      <c r="AV473" s="192"/>
      <c r="AW473" s="192"/>
      <c r="AX473" s="192"/>
      <c r="AY473" s="192"/>
      <c r="AZ473" s="192"/>
      <c r="BA473" s="192"/>
      <c r="BB473" s="192"/>
      <c r="BC473" s="192"/>
      <c r="BD473" s="192"/>
      <c r="BE473" s="192"/>
      <c r="BF473" s="192"/>
      <c r="BG473" s="192"/>
      <c r="BH473" s="192"/>
      <c r="BI473" s="192"/>
      <c r="BJ473" s="192"/>
      <c r="BK473" s="192"/>
      <c r="BL473" s="192"/>
      <c r="BM473" s="192"/>
      <c r="BN473" s="192"/>
    </row>
    <row r="474" ht="29.25" customHeight="1">
      <c r="A474" s="189"/>
      <c r="B474" s="190"/>
      <c r="C474" s="157"/>
      <c r="D474" s="157"/>
      <c r="E474" s="158"/>
      <c r="F474" s="166"/>
      <c r="G474" s="161"/>
      <c r="H474" s="161"/>
      <c r="I474" s="162"/>
      <c r="J474" s="163"/>
      <c r="K474" s="163"/>
      <c r="L474" s="163"/>
      <c r="M474" s="160"/>
      <c r="N474" s="162"/>
      <c r="O474" s="164"/>
      <c r="P474" s="140"/>
      <c r="Q474" s="191"/>
      <c r="R474" s="165"/>
      <c r="S474" s="165"/>
      <c r="T474" s="166"/>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92"/>
      <c r="AR474" s="192"/>
      <c r="AS474" s="192"/>
      <c r="AT474" s="192"/>
      <c r="AU474" s="192"/>
      <c r="AV474" s="192"/>
      <c r="AW474" s="192"/>
      <c r="AX474" s="192"/>
      <c r="AY474" s="192"/>
      <c r="AZ474" s="192"/>
      <c r="BA474" s="192"/>
      <c r="BB474" s="192"/>
      <c r="BC474" s="192"/>
      <c r="BD474" s="192"/>
      <c r="BE474" s="192"/>
      <c r="BF474" s="192"/>
      <c r="BG474" s="192"/>
      <c r="BH474" s="192"/>
      <c r="BI474" s="192"/>
      <c r="BJ474" s="192"/>
      <c r="BK474" s="192"/>
      <c r="BL474" s="192"/>
      <c r="BM474" s="192"/>
      <c r="BN474" s="192"/>
    </row>
    <row r="475" ht="29.25" customHeight="1">
      <c r="A475" s="189"/>
      <c r="B475" s="190"/>
      <c r="C475" s="157"/>
      <c r="D475" s="157"/>
      <c r="E475" s="158"/>
      <c r="F475" s="166"/>
      <c r="G475" s="161"/>
      <c r="H475" s="161"/>
      <c r="I475" s="162"/>
      <c r="J475" s="163"/>
      <c r="K475" s="163"/>
      <c r="L475" s="163"/>
      <c r="M475" s="160"/>
      <c r="N475" s="162"/>
      <c r="O475" s="164"/>
      <c r="P475" s="140"/>
      <c r="Q475" s="191"/>
      <c r="R475" s="165"/>
      <c r="S475" s="165"/>
      <c r="T475" s="166"/>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92"/>
      <c r="AR475" s="192"/>
      <c r="AS475" s="192"/>
      <c r="AT475" s="192"/>
      <c r="AU475" s="192"/>
      <c r="AV475" s="192"/>
      <c r="AW475" s="192"/>
      <c r="AX475" s="192"/>
      <c r="AY475" s="192"/>
      <c r="AZ475" s="192"/>
      <c r="BA475" s="192"/>
      <c r="BB475" s="192"/>
      <c r="BC475" s="192"/>
      <c r="BD475" s="192"/>
      <c r="BE475" s="192"/>
      <c r="BF475" s="192"/>
      <c r="BG475" s="192"/>
      <c r="BH475" s="192"/>
      <c r="BI475" s="192"/>
      <c r="BJ475" s="192"/>
      <c r="BK475" s="192"/>
      <c r="BL475" s="192"/>
      <c r="BM475" s="192"/>
      <c r="BN475" s="192"/>
    </row>
    <row r="476" ht="29.25" customHeight="1">
      <c r="A476" s="189"/>
      <c r="B476" s="190"/>
      <c r="C476" s="157"/>
      <c r="D476" s="157"/>
      <c r="E476" s="158"/>
      <c r="F476" s="166"/>
      <c r="G476" s="161"/>
      <c r="H476" s="161"/>
      <c r="I476" s="162"/>
      <c r="J476" s="163"/>
      <c r="K476" s="163"/>
      <c r="L476" s="163"/>
      <c r="M476" s="160"/>
      <c r="N476" s="162"/>
      <c r="O476" s="164"/>
      <c r="P476" s="140"/>
      <c r="Q476" s="191"/>
      <c r="R476" s="165"/>
      <c r="S476" s="165"/>
      <c r="T476" s="166"/>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92"/>
      <c r="AR476" s="192"/>
      <c r="AS476" s="192"/>
      <c r="AT476" s="192"/>
      <c r="AU476" s="192"/>
      <c r="AV476" s="192"/>
      <c r="AW476" s="192"/>
      <c r="AX476" s="192"/>
      <c r="AY476" s="192"/>
      <c r="AZ476" s="192"/>
      <c r="BA476" s="192"/>
      <c r="BB476" s="192"/>
      <c r="BC476" s="192"/>
      <c r="BD476" s="192"/>
      <c r="BE476" s="192"/>
      <c r="BF476" s="192"/>
      <c r="BG476" s="192"/>
      <c r="BH476" s="192"/>
      <c r="BI476" s="192"/>
      <c r="BJ476" s="192"/>
      <c r="BK476" s="192"/>
      <c r="BL476" s="192"/>
      <c r="BM476" s="192"/>
      <c r="BN476" s="192"/>
    </row>
    <row r="477" ht="29.25" customHeight="1">
      <c r="A477" s="189"/>
      <c r="B477" s="190"/>
      <c r="C477" s="157"/>
      <c r="D477" s="157"/>
      <c r="E477" s="158"/>
      <c r="F477" s="166"/>
      <c r="G477" s="161"/>
      <c r="H477" s="161"/>
      <c r="I477" s="162"/>
      <c r="J477" s="163"/>
      <c r="K477" s="163"/>
      <c r="L477" s="163"/>
      <c r="M477" s="160"/>
      <c r="N477" s="162"/>
      <c r="O477" s="164"/>
      <c r="P477" s="140"/>
      <c r="Q477" s="191"/>
      <c r="R477" s="165"/>
      <c r="S477" s="165"/>
      <c r="T477" s="166"/>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92"/>
      <c r="AR477" s="192"/>
      <c r="AS477" s="192"/>
      <c r="AT477" s="192"/>
      <c r="AU477" s="192"/>
      <c r="AV477" s="192"/>
      <c r="AW477" s="192"/>
      <c r="AX477" s="192"/>
      <c r="AY477" s="192"/>
      <c r="AZ477" s="192"/>
      <c r="BA477" s="192"/>
      <c r="BB477" s="192"/>
      <c r="BC477" s="192"/>
      <c r="BD477" s="192"/>
      <c r="BE477" s="192"/>
      <c r="BF477" s="192"/>
      <c r="BG477" s="192"/>
      <c r="BH477" s="192"/>
      <c r="BI477" s="192"/>
      <c r="BJ477" s="192"/>
      <c r="BK477" s="192"/>
      <c r="BL477" s="192"/>
      <c r="BM477" s="192"/>
      <c r="BN477" s="192"/>
    </row>
    <row r="478" ht="29.25" customHeight="1">
      <c r="A478" s="189"/>
      <c r="B478" s="190"/>
      <c r="C478" s="157"/>
      <c r="D478" s="157"/>
      <c r="E478" s="158"/>
      <c r="F478" s="166"/>
      <c r="G478" s="161"/>
      <c r="H478" s="161"/>
      <c r="I478" s="162"/>
      <c r="J478" s="163"/>
      <c r="K478" s="163"/>
      <c r="L478" s="163"/>
      <c r="M478" s="160"/>
      <c r="N478" s="162"/>
      <c r="O478" s="164"/>
      <c r="P478" s="140"/>
      <c r="Q478" s="191"/>
      <c r="R478" s="165"/>
      <c r="S478" s="165"/>
      <c r="T478" s="166"/>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92"/>
      <c r="AR478" s="192"/>
      <c r="AS478" s="192"/>
      <c r="AT478" s="192"/>
      <c r="AU478" s="192"/>
      <c r="AV478" s="192"/>
      <c r="AW478" s="192"/>
      <c r="AX478" s="192"/>
      <c r="AY478" s="192"/>
      <c r="AZ478" s="192"/>
      <c r="BA478" s="192"/>
      <c r="BB478" s="192"/>
      <c r="BC478" s="192"/>
      <c r="BD478" s="192"/>
      <c r="BE478" s="192"/>
      <c r="BF478" s="192"/>
      <c r="BG478" s="192"/>
      <c r="BH478" s="192"/>
      <c r="BI478" s="192"/>
      <c r="BJ478" s="192"/>
      <c r="BK478" s="192"/>
      <c r="BL478" s="192"/>
      <c r="BM478" s="192"/>
      <c r="BN478" s="192"/>
    </row>
    <row r="479" ht="29.25" customHeight="1">
      <c r="A479" s="189"/>
      <c r="B479" s="190"/>
      <c r="C479" s="157"/>
      <c r="D479" s="157"/>
      <c r="E479" s="158"/>
      <c r="F479" s="166"/>
      <c r="G479" s="161"/>
      <c r="H479" s="161"/>
      <c r="I479" s="162"/>
      <c r="J479" s="163"/>
      <c r="K479" s="163"/>
      <c r="L479" s="163"/>
      <c r="M479" s="160"/>
      <c r="N479" s="162"/>
      <c r="O479" s="164"/>
      <c r="P479" s="140"/>
      <c r="Q479" s="191"/>
      <c r="R479" s="165"/>
      <c r="S479" s="165"/>
      <c r="T479" s="166"/>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92"/>
      <c r="AR479" s="192"/>
      <c r="AS479" s="192"/>
      <c r="AT479" s="192"/>
      <c r="AU479" s="192"/>
      <c r="AV479" s="192"/>
      <c r="AW479" s="192"/>
      <c r="AX479" s="192"/>
      <c r="AY479" s="192"/>
      <c r="AZ479" s="192"/>
      <c r="BA479" s="192"/>
      <c r="BB479" s="192"/>
      <c r="BC479" s="192"/>
      <c r="BD479" s="192"/>
      <c r="BE479" s="192"/>
      <c r="BF479" s="192"/>
      <c r="BG479" s="192"/>
      <c r="BH479" s="192"/>
      <c r="BI479" s="192"/>
      <c r="BJ479" s="192"/>
      <c r="BK479" s="192"/>
      <c r="BL479" s="192"/>
      <c r="BM479" s="192"/>
      <c r="BN479" s="192"/>
    </row>
    <row r="480" ht="29.25" customHeight="1">
      <c r="A480" s="189"/>
      <c r="B480" s="190"/>
      <c r="C480" s="157"/>
      <c r="D480" s="157"/>
      <c r="E480" s="158"/>
      <c r="F480" s="166"/>
      <c r="G480" s="161"/>
      <c r="H480" s="161"/>
      <c r="I480" s="162"/>
      <c r="J480" s="163"/>
      <c r="K480" s="163"/>
      <c r="L480" s="163"/>
      <c r="M480" s="160"/>
      <c r="N480" s="162"/>
      <c r="O480" s="164"/>
      <c r="P480" s="140"/>
      <c r="Q480" s="191"/>
      <c r="R480" s="165"/>
      <c r="S480" s="165"/>
      <c r="T480" s="166"/>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92"/>
      <c r="AR480" s="192"/>
      <c r="AS480" s="192"/>
      <c r="AT480" s="192"/>
      <c r="AU480" s="192"/>
      <c r="AV480" s="192"/>
      <c r="AW480" s="192"/>
      <c r="AX480" s="192"/>
      <c r="AY480" s="192"/>
      <c r="AZ480" s="192"/>
      <c r="BA480" s="192"/>
      <c r="BB480" s="192"/>
      <c r="BC480" s="192"/>
      <c r="BD480" s="192"/>
      <c r="BE480" s="192"/>
      <c r="BF480" s="192"/>
      <c r="BG480" s="192"/>
      <c r="BH480" s="192"/>
      <c r="BI480" s="192"/>
      <c r="BJ480" s="192"/>
      <c r="BK480" s="192"/>
      <c r="BL480" s="192"/>
      <c r="BM480" s="192"/>
      <c r="BN480" s="192"/>
    </row>
    <row r="481" ht="29.25" customHeight="1">
      <c r="A481" s="189"/>
      <c r="B481" s="190"/>
      <c r="C481" s="157"/>
      <c r="D481" s="157"/>
      <c r="E481" s="158"/>
      <c r="F481" s="166"/>
      <c r="G481" s="161"/>
      <c r="H481" s="161"/>
      <c r="I481" s="162"/>
      <c r="J481" s="163"/>
      <c r="K481" s="163"/>
      <c r="L481" s="163"/>
      <c r="M481" s="160"/>
      <c r="N481" s="162"/>
      <c r="O481" s="164"/>
      <c r="P481" s="140"/>
      <c r="Q481" s="191"/>
      <c r="R481" s="165"/>
      <c r="S481" s="165"/>
      <c r="T481" s="166"/>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92"/>
      <c r="AR481" s="192"/>
      <c r="AS481" s="192"/>
      <c r="AT481" s="192"/>
      <c r="AU481" s="192"/>
      <c r="AV481" s="192"/>
      <c r="AW481" s="192"/>
      <c r="AX481" s="192"/>
      <c r="AY481" s="192"/>
      <c r="AZ481" s="192"/>
      <c r="BA481" s="192"/>
      <c r="BB481" s="192"/>
      <c r="BC481" s="192"/>
      <c r="BD481" s="192"/>
      <c r="BE481" s="192"/>
      <c r="BF481" s="192"/>
      <c r="BG481" s="192"/>
      <c r="BH481" s="192"/>
      <c r="BI481" s="192"/>
      <c r="BJ481" s="192"/>
      <c r="BK481" s="192"/>
      <c r="BL481" s="192"/>
      <c r="BM481" s="192"/>
      <c r="BN481" s="192"/>
    </row>
    <row r="482" ht="29.25" customHeight="1">
      <c r="A482" s="189"/>
      <c r="B482" s="190"/>
      <c r="C482" s="157"/>
      <c r="D482" s="157"/>
      <c r="E482" s="158"/>
      <c r="F482" s="166"/>
      <c r="G482" s="161"/>
      <c r="H482" s="161"/>
      <c r="I482" s="162"/>
      <c r="J482" s="163"/>
      <c r="K482" s="163"/>
      <c r="L482" s="163"/>
      <c r="M482" s="160"/>
      <c r="N482" s="162"/>
      <c r="O482" s="164"/>
      <c r="P482" s="140"/>
      <c r="Q482" s="191"/>
      <c r="R482" s="165"/>
      <c r="S482" s="165"/>
      <c r="T482" s="166"/>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92"/>
      <c r="AR482" s="192"/>
      <c r="AS482" s="192"/>
      <c r="AT482" s="192"/>
      <c r="AU482" s="192"/>
      <c r="AV482" s="192"/>
      <c r="AW482" s="192"/>
      <c r="AX482" s="192"/>
      <c r="AY482" s="192"/>
      <c r="AZ482" s="192"/>
      <c r="BA482" s="192"/>
      <c r="BB482" s="192"/>
      <c r="BC482" s="192"/>
      <c r="BD482" s="192"/>
      <c r="BE482" s="192"/>
      <c r="BF482" s="192"/>
      <c r="BG482" s="192"/>
      <c r="BH482" s="192"/>
      <c r="BI482" s="192"/>
      <c r="BJ482" s="192"/>
      <c r="BK482" s="192"/>
      <c r="BL482" s="192"/>
      <c r="BM482" s="192"/>
      <c r="BN482" s="192"/>
    </row>
    <row r="483" ht="29.25" customHeight="1">
      <c r="A483" s="189"/>
      <c r="B483" s="190"/>
      <c r="C483" s="157"/>
      <c r="D483" s="157"/>
      <c r="E483" s="158"/>
      <c r="F483" s="166"/>
      <c r="G483" s="161"/>
      <c r="H483" s="161"/>
      <c r="I483" s="162"/>
      <c r="J483" s="163"/>
      <c r="K483" s="163"/>
      <c r="L483" s="163"/>
      <c r="M483" s="160"/>
      <c r="N483" s="162"/>
      <c r="O483" s="164"/>
      <c r="P483" s="140"/>
      <c r="Q483" s="191"/>
      <c r="R483" s="165"/>
      <c r="S483" s="165"/>
      <c r="T483" s="166"/>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92"/>
      <c r="AR483" s="192"/>
      <c r="AS483" s="192"/>
      <c r="AT483" s="192"/>
      <c r="AU483" s="192"/>
      <c r="AV483" s="192"/>
      <c r="AW483" s="192"/>
      <c r="AX483" s="192"/>
      <c r="AY483" s="192"/>
      <c r="AZ483" s="192"/>
      <c r="BA483" s="192"/>
      <c r="BB483" s="192"/>
      <c r="BC483" s="192"/>
      <c r="BD483" s="192"/>
      <c r="BE483" s="192"/>
      <c r="BF483" s="192"/>
      <c r="BG483" s="192"/>
      <c r="BH483" s="192"/>
      <c r="BI483" s="192"/>
      <c r="BJ483" s="192"/>
      <c r="BK483" s="192"/>
      <c r="BL483" s="192"/>
      <c r="BM483" s="192"/>
      <c r="BN483" s="192"/>
    </row>
    <row r="484" ht="29.25" customHeight="1">
      <c r="A484" s="189"/>
      <c r="B484" s="190"/>
      <c r="C484" s="157"/>
      <c r="D484" s="157"/>
      <c r="E484" s="158"/>
      <c r="F484" s="166"/>
      <c r="G484" s="161"/>
      <c r="H484" s="161"/>
      <c r="I484" s="162"/>
      <c r="J484" s="163"/>
      <c r="K484" s="163"/>
      <c r="L484" s="163"/>
      <c r="M484" s="160"/>
      <c r="N484" s="162"/>
      <c r="O484" s="164"/>
      <c r="P484" s="140"/>
      <c r="Q484" s="191"/>
      <c r="R484" s="165"/>
      <c r="S484" s="165"/>
      <c r="T484" s="166"/>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92"/>
      <c r="AR484" s="192"/>
      <c r="AS484" s="192"/>
      <c r="AT484" s="192"/>
      <c r="AU484" s="192"/>
      <c r="AV484" s="192"/>
      <c r="AW484" s="192"/>
      <c r="AX484" s="192"/>
      <c r="AY484" s="192"/>
      <c r="AZ484" s="192"/>
      <c r="BA484" s="192"/>
      <c r="BB484" s="192"/>
      <c r="BC484" s="192"/>
      <c r="BD484" s="192"/>
      <c r="BE484" s="192"/>
      <c r="BF484" s="192"/>
      <c r="BG484" s="192"/>
      <c r="BH484" s="192"/>
      <c r="BI484" s="192"/>
      <c r="BJ484" s="192"/>
      <c r="BK484" s="192"/>
      <c r="BL484" s="192"/>
      <c r="BM484" s="192"/>
      <c r="BN484" s="192"/>
    </row>
    <row r="485" ht="29.25" customHeight="1">
      <c r="A485" s="189"/>
      <c r="B485" s="190"/>
      <c r="C485" s="157"/>
      <c r="D485" s="157"/>
      <c r="E485" s="158"/>
      <c r="F485" s="166"/>
      <c r="G485" s="161"/>
      <c r="H485" s="161"/>
      <c r="I485" s="162"/>
      <c r="J485" s="163"/>
      <c r="K485" s="163"/>
      <c r="L485" s="163"/>
      <c r="M485" s="160"/>
      <c r="N485" s="162"/>
      <c r="O485" s="164"/>
      <c r="P485" s="140"/>
      <c r="Q485" s="191"/>
      <c r="R485" s="165"/>
      <c r="S485" s="165"/>
      <c r="T485" s="166"/>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92"/>
      <c r="AR485" s="192"/>
      <c r="AS485" s="192"/>
      <c r="AT485" s="192"/>
      <c r="AU485" s="192"/>
      <c r="AV485" s="192"/>
      <c r="AW485" s="192"/>
      <c r="AX485" s="192"/>
      <c r="AY485" s="192"/>
      <c r="AZ485" s="192"/>
      <c r="BA485" s="192"/>
      <c r="BB485" s="192"/>
      <c r="BC485" s="192"/>
      <c r="BD485" s="192"/>
      <c r="BE485" s="192"/>
      <c r="BF485" s="192"/>
      <c r="BG485" s="192"/>
      <c r="BH485" s="192"/>
      <c r="BI485" s="192"/>
      <c r="BJ485" s="192"/>
      <c r="BK485" s="192"/>
      <c r="BL485" s="192"/>
      <c r="BM485" s="192"/>
      <c r="BN485" s="192"/>
    </row>
    <row r="486" ht="29.25" customHeight="1">
      <c r="A486" s="189"/>
      <c r="B486" s="190"/>
      <c r="C486" s="157"/>
      <c r="D486" s="157"/>
      <c r="E486" s="158"/>
      <c r="F486" s="166"/>
      <c r="G486" s="161"/>
      <c r="H486" s="161"/>
      <c r="I486" s="162"/>
      <c r="J486" s="163"/>
      <c r="K486" s="163"/>
      <c r="L486" s="163"/>
      <c r="M486" s="160"/>
      <c r="N486" s="162"/>
      <c r="O486" s="164"/>
      <c r="P486" s="140"/>
      <c r="Q486" s="191"/>
      <c r="R486" s="165"/>
      <c r="S486" s="165"/>
      <c r="T486" s="166"/>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92"/>
      <c r="AR486" s="192"/>
      <c r="AS486" s="192"/>
      <c r="AT486" s="192"/>
      <c r="AU486" s="192"/>
      <c r="AV486" s="192"/>
      <c r="AW486" s="192"/>
      <c r="AX486" s="192"/>
      <c r="AY486" s="192"/>
      <c r="AZ486" s="192"/>
      <c r="BA486" s="192"/>
      <c r="BB486" s="192"/>
      <c r="BC486" s="192"/>
      <c r="BD486" s="192"/>
      <c r="BE486" s="192"/>
      <c r="BF486" s="192"/>
      <c r="BG486" s="192"/>
      <c r="BH486" s="192"/>
      <c r="BI486" s="192"/>
      <c r="BJ486" s="192"/>
      <c r="BK486" s="192"/>
      <c r="BL486" s="192"/>
      <c r="BM486" s="192"/>
      <c r="BN486" s="192"/>
    </row>
    <row r="487" ht="29.25" customHeight="1">
      <c r="A487" s="189"/>
      <c r="B487" s="190"/>
      <c r="C487" s="157"/>
      <c r="D487" s="157"/>
      <c r="E487" s="158"/>
      <c r="F487" s="166"/>
      <c r="G487" s="161"/>
      <c r="H487" s="161"/>
      <c r="I487" s="162"/>
      <c r="J487" s="163"/>
      <c r="K487" s="163"/>
      <c r="L487" s="163"/>
      <c r="M487" s="160"/>
      <c r="N487" s="162"/>
      <c r="O487" s="164"/>
      <c r="P487" s="140"/>
      <c r="Q487" s="191"/>
      <c r="R487" s="165"/>
      <c r="S487" s="165"/>
      <c r="T487" s="166"/>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92"/>
      <c r="AR487" s="192"/>
      <c r="AS487" s="192"/>
      <c r="AT487" s="192"/>
      <c r="AU487" s="192"/>
      <c r="AV487" s="192"/>
      <c r="AW487" s="192"/>
      <c r="AX487" s="192"/>
      <c r="AY487" s="192"/>
      <c r="AZ487" s="192"/>
      <c r="BA487" s="192"/>
      <c r="BB487" s="192"/>
      <c r="BC487" s="192"/>
      <c r="BD487" s="192"/>
      <c r="BE487" s="192"/>
      <c r="BF487" s="192"/>
      <c r="BG487" s="192"/>
      <c r="BH487" s="192"/>
      <c r="BI487" s="192"/>
      <c r="BJ487" s="192"/>
      <c r="BK487" s="192"/>
      <c r="BL487" s="192"/>
      <c r="BM487" s="192"/>
      <c r="BN487" s="192"/>
    </row>
    <row r="488" ht="29.25" customHeight="1">
      <c r="A488" s="189"/>
      <c r="B488" s="190"/>
      <c r="C488" s="157"/>
      <c r="D488" s="157"/>
      <c r="E488" s="158"/>
      <c r="F488" s="166"/>
      <c r="G488" s="161"/>
      <c r="H488" s="161"/>
      <c r="I488" s="162"/>
      <c r="J488" s="163"/>
      <c r="K488" s="163"/>
      <c r="L488" s="163"/>
      <c r="M488" s="160"/>
      <c r="N488" s="162"/>
      <c r="O488" s="164"/>
      <c r="P488" s="140"/>
      <c r="Q488" s="191"/>
      <c r="R488" s="165"/>
      <c r="S488" s="165"/>
      <c r="T488" s="166"/>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92"/>
      <c r="AR488" s="192"/>
      <c r="AS488" s="192"/>
      <c r="AT488" s="192"/>
      <c r="AU488" s="192"/>
      <c r="AV488" s="192"/>
      <c r="AW488" s="192"/>
      <c r="AX488" s="192"/>
      <c r="AY488" s="192"/>
      <c r="AZ488" s="192"/>
      <c r="BA488" s="192"/>
      <c r="BB488" s="192"/>
      <c r="BC488" s="192"/>
      <c r="BD488" s="192"/>
      <c r="BE488" s="192"/>
      <c r="BF488" s="192"/>
      <c r="BG488" s="192"/>
      <c r="BH488" s="192"/>
      <c r="BI488" s="192"/>
      <c r="BJ488" s="192"/>
      <c r="BK488" s="192"/>
      <c r="BL488" s="192"/>
      <c r="BM488" s="192"/>
      <c r="BN488" s="192"/>
    </row>
    <row r="489" ht="29.25" customHeight="1">
      <c r="A489" s="189"/>
      <c r="B489" s="190"/>
      <c r="C489" s="157"/>
      <c r="D489" s="157"/>
      <c r="E489" s="158"/>
      <c r="F489" s="166"/>
      <c r="G489" s="161"/>
      <c r="H489" s="161"/>
      <c r="I489" s="162"/>
      <c r="J489" s="163"/>
      <c r="K489" s="163"/>
      <c r="L489" s="163"/>
      <c r="M489" s="160"/>
      <c r="N489" s="162"/>
      <c r="O489" s="164"/>
      <c r="P489" s="140"/>
      <c r="Q489" s="191"/>
      <c r="R489" s="165"/>
      <c r="S489" s="165"/>
      <c r="T489" s="166"/>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92"/>
      <c r="AR489" s="192"/>
      <c r="AS489" s="192"/>
      <c r="AT489" s="192"/>
      <c r="AU489" s="192"/>
      <c r="AV489" s="192"/>
      <c r="AW489" s="192"/>
      <c r="AX489" s="192"/>
      <c r="AY489" s="192"/>
      <c r="AZ489" s="192"/>
      <c r="BA489" s="192"/>
      <c r="BB489" s="192"/>
      <c r="BC489" s="192"/>
      <c r="BD489" s="192"/>
      <c r="BE489" s="192"/>
      <c r="BF489" s="192"/>
      <c r="BG489" s="192"/>
      <c r="BH489" s="192"/>
      <c r="BI489" s="192"/>
      <c r="BJ489" s="192"/>
      <c r="BK489" s="192"/>
      <c r="BL489" s="192"/>
      <c r="BM489" s="192"/>
      <c r="BN489" s="192"/>
    </row>
    <row r="490" ht="29.25" customHeight="1">
      <c r="A490" s="189"/>
      <c r="B490" s="190"/>
      <c r="C490" s="157"/>
      <c r="D490" s="157"/>
      <c r="E490" s="158"/>
      <c r="F490" s="166"/>
      <c r="G490" s="161"/>
      <c r="H490" s="161"/>
      <c r="I490" s="162"/>
      <c r="J490" s="163"/>
      <c r="K490" s="163"/>
      <c r="L490" s="163"/>
      <c r="M490" s="160"/>
      <c r="N490" s="162"/>
      <c r="O490" s="164"/>
      <c r="P490" s="140"/>
      <c r="Q490" s="191"/>
      <c r="R490" s="165"/>
      <c r="S490" s="165"/>
      <c r="T490" s="166"/>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92"/>
      <c r="AR490" s="192"/>
      <c r="AS490" s="192"/>
      <c r="AT490" s="192"/>
      <c r="AU490" s="192"/>
      <c r="AV490" s="192"/>
      <c r="AW490" s="192"/>
      <c r="AX490" s="192"/>
      <c r="AY490" s="192"/>
      <c r="AZ490" s="192"/>
      <c r="BA490" s="192"/>
      <c r="BB490" s="192"/>
      <c r="BC490" s="192"/>
      <c r="BD490" s="192"/>
      <c r="BE490" s="192"/>
      <c r="BF490" s="192"/>
      <c r="BG490" s="192"/>
      <c r="BH490" s="192"/>
      <c r="BI490" s="192"/>
      <c r="BJ490" s="192"/>
      <c r="BK490" s="192"/>
      <c r="BL490" s="192"/>
      <c r="BM490" s="192"/>
      <c r="BN490" s="192"/>
    </row>
    <row r="491" ht="29.25" customHeight="1">
      <c r="A491" s="189"/>
      <c r="B491" s="190"/>
      <c r="C491" s="157"/>
      <c r="D491" s="157"/>
      <c r="E491" s="158"/>
      <c r="F491" s="166"/>
      <c r="G491" s="161"/>
      <c r="H491" s="161"/>
      <c r="I491" s="162"/>
      <c r="J491" s="163"/>
      <c r="K491" s="163"/>
      <c r="L491" s="163"/>
      <c r="M491" s="160"/>
      <c r="N491" s="162"/>
      <c r="O491" s="164"/>
      <c r="P491" s="140"/>
      <c r="Q491" s="191"/>
      <c r="R491" s="165"/>
      <c r="S491" s="165"/>
      <c r="T491" s="166"/>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92"/>
      <c r="AR491" s="192"/>
      <c r="AS491" s="192"/>
      <c r="AT491" s="192"/>
      <c r="AU491" s="192"/>
      <c r="AV491" s="192"/>
      <c r="AW491" s="192"/>
      <c r="AX491" s="192"/>
      <c r="AY491" s="192"/>
      <c r="AZ491" s="192"/>
      <c r="BA491" s="192"/>
      <c r="BB491" s="192"/>
      <c r="BC491" s="192"/>
      <c r="BD491" s="192"/>
      <c r="BE491" s="192"/>
      <c r="BF491" s="192"/>
      <c r="BG491" s="192"/>
      <c r="BH491" s="192"/>
      <c r="BI491" s="192"/>
      <c r="BJ491" s="192"/>
      <c r="BK491" s="192"/>
      <c r="BL491" s="192"/>
      <c r="BM491" s="192"/>
      <c r="BN491" s="192"/>
    </row>
    <row r="492" ht="29.25" customHeight="1">
      <c r="A492" s="189"/>
      <c r="B492" s="190"/>
      <c r="C492" s="157"/>
      <c r="D492" s="157"/>
      <c r="E492" s="158"/>
      <c r="F492" s="166"/>
      <c r="G492" s="161"/>
      <c r="H492" s="161"/>
      <c r="I492" s="162"/>
      <c r="J492" s="163"/>
      <c r="K492" s="163"/>
      <c r="L492" s="163"/>
      <c r="M492" s="160"/>
      <c r="N492" s="162"/>
      <c r="O492" s="164"/>
      <c r="P492" s="140"/>
      <c r="Q492" s="191"/>
      <c r="R492" s="165"/>
      <c r="S492" s="165"/>
      <c r="T492" s="166"/>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92"/>
      <c r="AR492" s="192"/>
      <c r="AS492" s="192"/>
      <c r="AT492" s="192"/>
      <c r="AU492" s="192"/>
      <c r="AV492" s="192"/>
      <c r="AW492" s="192"/>
      <c r="AX492" s="192"/>
      <c r="AY492" s="192"/>
      <c r="AZ492" s="192"/>
      <c r="BA492" s="192"/>
      <c r="BB492" s="192"/>
      <c r="BC492" s="192"/>
      <c r="BD492" s="192"/>
      <c r="BE492" s="192"/>
      <c r="BF492" s="192"/>
      <c r="BG492" s="192"/>
      <c r="BH492" s="192"/>
      <c r="BI492" s="192"/>
      <c r="BJ492" s="192"/>
      <c r="BK492" s="192"/>
      <c r="BL492" s="192"/>
      <c r="BM492" s="192"/>
      <c r="BN492" s="192"/>
    </row>
    <row r="493" ht="29.25" customHeight="1">
      <c r="A493" s="189"/>
      <c r="B493" s="190"/>
      <c r="C493" s="157"/>
      <c r="D493" s="157"/>
      <c r="E493" s="158"/>
      <c r="F493" s="166"/>
      <c r="G493" s="161"/>
      <c r="H493" s="161"/>
      <c r="I493" s="162"/>
      <c r="J493" s="163"/>
      <c r="K493" s="163"/>
      <c r="L493" s="163"/>
      <c r="M493" s="160"/>
      <c r="N493" s="162"/>
      <c r="O493" s="164"/>
      <c r="P493" s="140"/>
      <c r="Q493" s="191"/>
      <c r="R493" s="165"/>
      <c r="S493" s="165"/>
      <c r="T493" s="166"/>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92"/>
      <c r="AR493" s="192"/>
      <c r="AS493" s="192"/>
      <c r="AT493" s="192"/>
      <c r="AU493" s="192"/>
      <c r="AV493" s="192"/>
      <c r="AW493" s="192"/>
      <c r="AX493" s="192"/>
      <c r="AY493" s="192"/>
      <c r="AZ493" s="192"/>
      <c r="BA493" s="192"/>
      <c r="BB493" s="192"/>
      <c r="BC493" s="192"/>
      <c r="BD493" s="192"/>
      <c r="BE493" s="192"/>
      <c r="BF493" s="192"/>
      <c r="BG493" s="192"/>
      <c r="BH493" s="192"/>
      <c r="BI493" s="192"/>
      <c r="BJ493" s="192"/>
      <c r="BK493" s="192"/>
      <c r="BL493" s="192"/>
      <c r="BM493" s="192"/>
      <c r="BN493" s="192"/>
    </row>
    <row r="494" ht="29.25" customHeight="1">
      <c r="A494" s="189"/>
      <c r="B494" s="190"/>
      <c r="C494" s="157"/>
      <c r="D494" s="157"/>
      <c r="E494" s="158"/>
      <c r="F494" s="166"/>
      <c r="G494" s="161"/>
      <c r="H494" s="161"/>
      <c r="I494" s="162"/>
      <c r="J494" s="163"/>
      <c r="K494" s="163"/>
      <c r="L494" s="163"/>
      <c r="M494" s="160"/>
      <c r="N494" s="162"/>
      <c r="O494" s="164"/>
      <c r="P494" s="140"/>
      <c r="Q494" s="191"/>
      <c r="R494" s="165"/>
      <c r="S494" s="165"/>
      <c r="T494" s="166"/>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92"/>
      <c r="AR494" s="192"/>
      <c r="AS494" s="192"/>
      <c r="AT494" s="192"/>
      <c r="AU494" s="192"/>
      <c r="AV494" s="192"/>
      <c r="AW494" s="192"/>
      <c r="AX494" s="192"/>
      <c r="AY494" s="192"/>
      <c r="AZ494" s="192"/>
      <c r="BA494" s="192"/>
      <c r="BB494" s="192"/>
      <c r="BC494" s="192"/>
      <c r="BD494" s="192"/>
      <c r="BE494" s="192"/>
      <c r="BF494" s="192"/>
      <c r="BG494" s="192"/>
      <c r="BH494" s="192"/>
      <c r="BI494" s="192"/>
      <c r="BJ494" s="192"/>
      <c r="BK494" s="192"/>
      <c r="BL494" s="192"/>
      <c r="BM494" s="192"/>
      <c r="BN494" s="192"/>
    </row>
    <row r="495" ht="29.25" customHeight="1">
      <c r="A495" s="189"/>
      <c r="B495" s="190"/>
      <c r="C495" s="157"/>
      <c r="D495" s="157"/>
      <c r="E495" s="158"/>
      <c r="F495" s="166"/>
      <c r="G495" s="161"/>
      <c r="H495" s="161"/>
      <c r="I495" s="162"/>
      <c r="J495" s="163"/>
      <c r="K495" s="163"/>
      <c r="L495" s="163"/>
      <c r="M495" s="160"/>
      <c r="N495" s="162"/>
      <c r="O495" s="164"/>
      <c r="P495" s="140"/>
      <c r="Q495" s="191"/>
      <c r="R495" s="165"/>
      <c r="S495" s="165"/>
      <c r="T495" s="166"/>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92"/>
      <c r="AR495" s="192"/>
      <c r="AS495" s="192"/>
      <c r="AT495" s="192"/>
      <c r="AU495" s="192"/>
      <c r="AV495" s="192"/>
      <c r="AW495" s="192"/>
      <c r="AX495" s="192"/>
      <c r="AY495" s="192"/>
      <c r="AZ495" s="192"/>
      <c r="BA495" s="192"/>
      <c r="BB495" s="192"/>
      <c r="BC495" s="192"/>
      <c r="BD495" s="192"/>
      <c r="BE495" s="192"/>
      <c r="BF495" s="192"/>
      <c r="BG495" s="192"/>
      <c r="BH495" s="192"/>
      <c r="BI495" s="192"/>
      <c r="BJ495" s="192"/>
      <c r="BK495" s="192"/>
      <c r="BL495" s="192"/>
      <c r="BM495" s="192"/>
      <c r="BN495" s="192"/>
    </row>
    <row r="496" ht="29.25" customHeight="1">
      <c r="A496" s="189"/>
      <c r="B496" s="190"/>
      <c r="C496" s="157"/>
      <c r="D496" s="157"/>
      <c r="E496" s="158"/>
      <c r="F496" s="166"/>
      <c r="G496" s="161"/>
      <c r="H496" s="161"/>
      <c r="I496" s="162"/>
      <c r="J496" s="163"/>
      <c r="K496" s="163"/>
      <c r="L496" s="163"/>
      <c r="M496" s="160"/>
      <c r="N496" s="162"/>
      <c r="O496" s="164"/>
      <c r="P496" s="140"/>
      <c r="Q496" s="191"/>
      <c r="R496" s="165"/>
      <c r="S496" s="165"/>
      <c r="T496" s="166"/>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92"/>
      <c r="AR496" s="192"/>
      <c r="AS496" s="192"/>
      <c r="AT496" s="192"/>
      <c r="AU496" s="192"/>
      <c r="AV496" s="192"/>
      <c r="AW496" s="192"/>
      <c r="AX496" s="192"/>
      <c r="AY496" s="192"/>
      <c r="AZ496" s="192"/>
      <c r="BA496" s="192"/>
      <c r="BB496" s="192"/>
      <c r="BC496" s="192"/>
      <c r="BD496" s="192"/>
      <c r="BE496" s="192"/>
      <c r="BF496" s="192"/>
      <c r="BG496" s="192"/>
      <c r="BH496" s="192"/>
      <c r="BI496" s="192"/>
      <c r="BJ496" s="192"/>
      <c r="BK496" s="192"/>
      <c r="BL496" s="192"/>
      <c r="BM496" s="192"/>
      <c r="BN496" s="192"/>
    </row>
    <row r="497" ht="29.25" customHeight="1">
      <c r="A497" s="189"/>
      <c r="B497" s="190"/>
      <c r="C497" s="157"/>
      <c r="D497" s="157"/>
      <c r="E497" s="158"/>
      <c r="F497" s="166"/>
      <c r="G497" s="161"/>
      <c r="H497" s="161"/>
      <c r="I497" s="162"/>
      <c r="J497" s="163"/>
      <c r="K497" s="163"/>
      <c r="L497" s="163"/>
      <c r="M497" s="160"/>
      <c r="N497" s="162"/>
      <c r="O497" s="164"/>
      <c r="P497" s="140"/>
      <c r="Q497" s="191"/>
      <c r="R497" s="165"/>
      <c r="S497" s="165"/>
      <c r="T497" s="166"/>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92"/>
      <c r="AR497" s="192"/>
      <c r="AS497" s="192"/>
      <c r="AT497" s="192"/>
      <c r="AU497" s="192"/>
      <c r="AV497" s="192"/>
      <c r="AW497" s="192"/>
      <c r="AX497" s="192"/>
      <c r="AY497" s="192"/>
      <c r="AZ497" s="192"/>
      <c r="BA497" s="192"/>
      <c r="BB497" s="192"/>
      <c r="BC497" s="192"/>
      <c r="BD497" s="192"/>
      <c r="BE497" s="192"/>
      <c r="BF497" s="192"/>
      <c r="BG497" s="192"/>
      <c r="BH497" s="192"/>
      <c r="BI497" s="192"/>
      <c r="BJ497" s="192"/>
      <c r="BK497" s="192"/>
      <c r="BL497" s="192"/>
      <c r="BM497" s="192"/>
      <c r="BN497" s="192"/>
    </row>
    <row r="498" ht="29.25" customHeight="1">
      <c r="A498" s="189"/>
      <c r="B498" s="190"/>
      <c r="C498" s="157"/>
      <c r="D498" s="157"/>
      <c r="E498" s="158"/>
      <c r="F498" s="166"/>
      <c r="G498" s="161"/>
      <c r="H498" s="161"/>
      <c r="I498" s="162"/>
      <c r="J498" s="163"/>
      <c r="K498" s="163"/>
      <c r="L498" s="163"/>
      <c r="M498" s="160"/>
      <c r="N498" s="162"/>
      <c r="O498" s="164"/>
      <c r="P498" s="140"/>
      <c r="Q498" s="191"/>
      <c r="R498" s="165"/>
      <c r="S498" s="165"/>
      <c r="T498" s="166"/>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92"/>
      <c r="AR498" s="192"/>
      <c r="AS498" s="192"/>
      <c r="AT498" s="192"/>
      <c r="AU498" s="192"/>
      <c r="AV498" s="192"/>
      <c r="AW498" s="192"/>
      <c r="AX498" s="192"/>
      <c r="AY498" s="192"/>
      <c r="AZ498" s="192"/>
      <c r="BA498" s="192"/>
      <c r="BB498" s="192"/>
      <c r="BC498" s="192"/>
      <c r="BD498" s="192"/>
      <c r="BE498" s="192"/>
      <c r="BF498" s="192"/>
      <c r="BG498" s="192"/>
      <c r="BH498" s="192"/>
      <c r="BI498" s="192"/>
      <c r="BJ498" s="192"/>
      <c r="BK498" s="192"/>
      <c r="BL498" s="192"/>
      <c r="BM498" s="192"/>
      <c r="BN498" s="192"/>
    </row>
    <row r="499" ht="29.25" customHeight="1">
      <c r="A499" s="189"/>
      <c r="B499" s="190"/>
      <c r="C499" s="157"/>
      <c r="D499" s="157"/>
      <c r="E499" s="158"/>
      <c r="F499" s="166"/>
      <c r="G499" s="161"/>
      <c r="H499" s="161"/>
      <c r="I499" s="162"/>
      <c r="J499" s="163"/>
      <c r="K499" s="163"/>
      <c r="L499" s="163"/>
      <c r="M499" s="160"/>
      <c r="N499" s="162"/>
      <c r="O499" s="164"/>
      <c r="P499" s="140"/>
      <c r="Q499" s="191"/>
      <c r="R499" s="165"/>
      <c r="S499" s="165"/>
      <c r="T499" s="166"/>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92"/>
      <c r="AR499" s="192"/>
      <c r="AS499" s="192"/>
      <c r="AT499" s="192"/>
      <c r="AU499" s="192"/>
      <c r="AV499" s="192"/>
      <c r="AW499" s="192"/>
      <c r="AX499" s="192"/>
      <c r="AY499" s="192"/>
      <c r="AZ499" s="192"/>
      <c r="BA499" s="192"/>
      <c r="BB499" s="192"/>
      <c r="BC499" s="192"/>
      <c r="BD499" s="192"/>
      <c r="BE499" s="192"/>
      <c r="BF499" s="192"/>
      <c r="BG499" s="192"/>
      <c r="BH499" s="192"/>
      <c r="BI499" s="192"/>
      <c r="BJ499" s="192"/>
      <c r="BK499" s="192"/>
      <c r="BL499" s="192"/>
      <c r="BM499" s="192"/>
      <c r="BN499" s="192"/>
    </row>
    <row r="500" ht="29.25" customHeight="1">
      <c r="A500" s="189"/>
      <c r="B500" s="190"/>
      <c r="C500" s="157"/>
      <c r="D500" s="157"/>
      <c r="E500" s="158"/>
      <c r="F500" s="166"/>
      <c r="G500" s="161"/>
      <c r="H500" s="161"/>
      <c r="I500" s="162"/>
      <c r="J500" s="163"/>
      <c r="K500" s="163"/>
      <c r="L500" s="163"/>
      <c r="M500" s="160"/>
      <c r="N500" s="162"/>
      <c r="O500" s="164"/>
      <c r="P500" s="140"/>
      <c r="Q500" s="191"/>
      <c r="R500" s="165"/>
      <c r="S500" s="165"/>
      <c r="T500" s="166"/>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92"/>
      <c r="AR500" s="192"/>
      <c r="AS500" s="192"/>
      <c r="AT500" s="192"/>
      <c r="AU500" s="192"/>
      <c r="AV500" s="192"/>
      <c r="AW500" s="192"/>
      <c r="AX500" s="192"/>
      <c r="AY500" s="192"/>
      <c r="AZ500" s="192"/>
      <c r="BA500" s="192"/>
      <c r="BB500" s="192"/>
      <c r="BC500" s="192"/>
      <c r="BD500" s="192"/>
      <c r="BE500" s="192"/>
      <c r="BF500" s="192"/>
      <c r="BG500" s="192"/>
      <c r="BH500" s="192"/>
      <c r="BI500" s="192"/>
      <c r="BJ500" s="192"/>
      <c r="BK500" s="192"/>
      <c r="BL500" s="192"/>
      <c r="BM500" s="192"/>
      <c r="BN500" s="192"/>
    </row>
    <row r="501" ht="29.25" customHeight="1">
      <c r="A501" s="189"/>
      <c r="B501" s="190"/>
      <c r="C501" s="157"/>
      <c r="D501" s="157"/>
      <c r="E501" s="158"/>
      <c r="F501" s="166"/>
      <c r="G501" s="161"/>
      <c r="H501" s="161"/>
      <c r="I501" s="162"/>
      <c r="J501" s="163"/>
      <c r="K501" s="163"/>
      <c r="L501" s="163"/>
      <c r="M501" s="160"/>
      <c r="N501" s="162"/>
      <c r="O501" s="164"/>
      <c r="P501" s="140"/>
      <c r="Q501" s="191"/>
      <c r="R501" s="165"/>
      <c r="S501" s="165"/>
      <c r="T501" s="166"/>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92"/>
      <c r="AR501" s="192"/>
      <c r="AS501" s="192"/>
      <c r="AT501" s="192"/>
      <c r="AU501" s="192"/>
      <c r="AV501" s="192"/>
      <c r="AW501" s="192"/>
      <c r="AX501" s="192"/>
      <c r="AY501" s="192"/>
      <c r="AZ501" s="192"/>
      <c r="BA501" s="192"/>
      <c r="BB501" s="192"/>
      <c r="BC501" s="192"/>
      <c r="BD501" s="192"/>
      <c r="BE501" s="192"/>
      <c r="BF501" s="192"/>
      <c r="BG501" s="192"/>
      <c r="BH501" s="192"/>
      <c r="BI501" s="192"/>
      <c r="BJ501" s="192"/>
      <c r="BK501" s="192"/>
      <c r="BL501" s="192"/>
      <c r="BM501" s="192"/>
      <c r="BN501" s="192"/>
    </row>
    <row r="502" ht="29.25" customHeight="1">
      <c r="A502" s="189"/>
      <c r="B502" s="190"/>
      <c r="C502" s="157"/>
      <c r="D502" s="157"/>
      <c r="E502" s="158"/>
      <c r="F502" s="166"/>
      <c r="G502" s="161"/>
      <c r="H502" s="161"/>
      <c r="I502" s="162"/>
      <c r="J502" s="163"/>
      <c r="K502" s="163"/>
      <c r="L502" s="163"/>
      <c r="M502" s="160"/>
      <c r="N502" s="162"/>
      <c r="O502" s="164"/>
      <c r="P502" s="140"/>
      <c r="Q502" s="191"/>
      <c r="R502" s="165"/>
      <c r="S502" s="165"/>
      <c r="T502" s="166"/>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92"/>
      <c r="AR502" s="192"/>
      <c r="AS502" s="192"/>
      <c r="AT502" s="192"/>
      <c r="AU502" s="192"/>
      <c r="AV502" s="192"/>
      <c r="AW502" s="192"/>
      <c r="AX502" s="192"/>
      <c r="AY502" s="192"/>
      <c r="AZ502" s="192"/>
      <c r="BA502" s="192"/>
      <c r="BB502" s="192"/>
      <c r="BC502" s="192"/>
      <c r="BD502" s="192"/>
      <c r="BE502" s="192"/>
      <c r="BF502" s="192"/>
      <c r="BG502" s="192"/>
      <c r="BH502" s="192"/>
      <c r="BI502" s="192"/>
      <c r="BJ502" s="192"/>
      <c r="BK502" s="192"/>
      <c r="BL502" s="192"/>
      <c r="BM502" s="192"/>
      <c r="BN502" s="192"/>
    </row>
    <row r="503" ht="29.25" customHeight="1">
      <c r="A503" s="189"/>
      <c r="B503" s="190"/>
      <c r="C503" s="157"/>
      <c r="D503" s="157"/>
      <c r="E503" s="158"/>
      <c r="F503" s="166"/>
      <c r="G503" s="161"/>
      <c r="H503" s="161"/>
      <c r="I503" s="162"/>
      <c r="J503" s="163"/>
      <c r="K503" s="163"/>
      <c r="L503" s="163"/>
      <c r="M503" s="160"/>
      <c r="N503" s="162"/>
      <c r="O503" s="164"/>
      <c r="P503" s="140"/>
      <c r="Q503" s="191"/>
      <c r="R503" s="165"/>
      <c r="S503" s="165"/>
      <c r="T503" s="166"/>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92"/>
      <c r="AR503" s="192"/>
      <c r="AS503" s="192"/>
      <c r="AT503" s="192"/>
      <c r="AU503" s="192"/>
      <c r="AV503" s="192"/>
      <c r="AW503" s="192"/>
      <c r="AX503" s="192"/>
      <c r="AY503" s="192"/>
      <c r="AZ503" s="192"/>
      <c r="BA503" s="192"/>
      <c r="BB503" s="192"/>
      <c r="BC503" s="192"/>
      <c r="BD503" s="192"/>
      <c r="BE503" s="192"/>
      <c r="BF503" s="192"/>
      <c r="BG503" s="192"/>
      <c r="BH503" s="192"/>
      <c r="BI503" s="192"/>
      <c r="BJ503" s="192"/>
      <c r="BK503" s="192"/>
      <c r="BL503" s="192"/>
      <c r="BM503" s="192"/>
      <c r="BN503" s="192"/>
    </row>
    <row r="504" ht="29.25" customHeight="1">
      <c r="A504" s="189"/>
      <c r="B504" s="190"/>
      <c r="C504" s="157"/>
      <c r="D504" s="157"/>
      <c r="E504" s="158"/>
      <c r="F504" s="166"/>
      <c r="G504" s="161"/>
      <c r="H504" s="161"/>
      <c r="I504" s="162"/>
      <c r="J504" s="163"/>
      <c r="K504" s="163"/>
      <c r="L504" s="163"/>
      <c r="M504" s="160"/>
      <c r="N504" s="162"/>
      <c r="O504" s="164"/>
      <c r="P504" s="140"/>
      <c r="Q504" s="191"/>
      <c r="R504" s="165"/>
      <c r="S504" s="165"/>
      <c r="T504" s="166"/>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92"/>
      <c r="AR504" s="192"/>
      <c r="AS504" s="192"/>
      <c r="AT504" s="192"/>
      <c r="AU504" s="192"/>
      <c r="AV504" s="192"/>
      <c r="AW504" s="192"/>
      <c r="AX504" s="192"/>
      <c r="AY504" s="192"/>
      <c r="AZ504" s="192"/>
      <c r="BA504" s="192"/>
      <c r="BB504" s="192"/>
      <c r="BC504" s="192"/>
      <c r="BD504" s="192"/>
      <c r="BE504" s="192"/>
      <c r="BF504" s="192"/>
      <c r="BG504" s="192"/>
      <c r="BH504" s="192"/>
      <c r="BI504" s="192"/>
      <c r="BJ504" s="192"/>
      <c r="BK504" s="192"/>
      <c r="BL504" s="192"/>
      <c r="BM504" s="192"/>
      <c r="BN504" s="192"/>
    </row>
    <row r="505" ht="29.25" customHeight="1">
      <c r="A505" s="189"/>
      <c r="B505" s="190"/>
      <c r="C505" s="157"/>
      <c r="D505" s="157"/>
      <c r="E505" s="158"/>
      <c r="F505" s="166"/>
      <c r="G505" s="161"/>
      <c r="H505" s="161"/>
      <c r="I505" s="162"/>
      <c r="J505" s="163"/>
      <c r="K505" s="163"/>
      <c r="L505" s="163"/>
      <c r="M505" s="160"/>
      <c r="N505" s="162"/>
      <c r="O505" s="164"/>
      <c r="P505" s="140"/>
      <c r="Q505" s="191"/>
      <c r="R505" s="165"/>
      <c r="S505" s="165"/>
      <c r="T505" s="166"/>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92"/>
      <c r="AR505" s="192"/>
      <c r="AS505" s="192"/>
      <c r="AT505" s="192"/>
      <c r="AU505" s="192"/>
      <c r="AV505" s="192"/>
      <c r="AW505" s="192"/>
      <c r="AX505" s="192"/>
      <c r="AY505" s="192"/>
      <c r="AZ505" s="192"/>
      <c r="BA505" s="192"/>
      <c r="BB505" s="192"/>
      <c r="BC505" s="192"/>
      <c r="BD505" s="192"/>
      <c r="BE505" s="192"/>
      <c r="BF505" s="192"/>
      <c r="BG505" s="192"/>
      <c r="BH505" s="192"/>
      <c r="BI505" s="192"/>
      <c r="BJ505" s="192"/>
      <c r="BK505" s="192"/>
      <c r="BL505" s="192"/>
      <c r="BM505" s="192"/>
      <c r="BN505" s="192"/>
    </row>
    <row r="506" ht="29.25" customHeight="1">
      <c r="A506" s="189"/>
      <c r="B506" s="190"/>
      <c r="C506" s="157"/>
      <c r="D506" s="157"/>
      <c r="E506" s="158"/>
      <c r="F506" s="166"/>
      <c r="G506" s="161"/>
      <c r="H506" s="161"/>
      <c r="I506" s="162"/>
      <c r="J506" s="163"/>
      <c r="K506" s="163"/>
      <c r="L506" s="163"/>
      <c r="M506" s="160"/>
      <c r="N506" s="162"/>
      <c r="O506" s="164"/>
      <c r="P506" s="140"/>
      <c r="Q506" s="191"/>
      <c r="R506" s="165"/>
      <c r="S506" s="165"/>
      <c r="T506" s="166"/>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92"/>
      <c r="AR506" s="192"/>
      <c r="AS506" s="192"/>
      <c r="AT506" s="192"/>
      <c r="AU506" s="192"/>
      <c r="AV506" s="192"/>
      <c r="AW506" s="192"/>
      <c r="AX506" s="192"/>
      <c r="AY506" s="192"/>
      <c r="AZ506" s="192"/>
      <c r="BA506" s="192"/>
      <c r="BB506" s="192"/>
      <c r="BC506" s="192"/>
      <c r="BD506" s="192"/>
      <c r="BE506" s="192"/>
      <c r="BF506" s="192"/>
      <c r="BG506" s="192"/>
      <c r="BH506" s="192"/>
      <c r="BI506" s="192"/>
      <c r="BJ506" s="192"/>
      <c r="BK506" s="192"/>
      <c r="BL506" s="192"/>
      <c r="BM506" s="192"/>
      <c r="BN506" s="192"/>
    </row>
    <row r="507" ht="29.25" customHeight="1">
      <c r="A507" s="189"/>
      <c r="B507" s="190"/>
      <c r="C507" s="157"/>
      <c r="D507" s="157"/>
      <c r="E507" s="158"/>
      <c r="F507" s="166"/>
      <c r="G507" s="161"/>
      <c r="H507" s="161"/>
      <c r="I507" s="162"/>
      <c r="J507" s="163"/>
      <c r="K507" s="163"/>
      <c r="L507" s="163"/>
      <c r="M507" s="160"/>
      <c r="N507" s="162"/>
      <c r="O507" s="164"/>
      <c r="P507" s="140"/>
      <c r="Q507" s="191"/>
      <c r="R507" s="165"/>
      <c r="S507" s="165"/>
      <c r="T507" s="166"/>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92"/>
      <c r="AR507" s="192"/>
      <c r="AS507" s="192"/>
      <c r="AT507" s="192"/>
      <c r="AU507" s="192"/>
      <c r="AV507" s="192"/>
      <c r="AW507" s="192"/>
      <c r="AX507" s="192"/>
      <c r="AY507" s="192"/>
      <c r="AZ507" s="192"/>
      <c r="BA507" s="192"/>
      <c r="BB507" s="192"/>
      <c r="BC507" s="192"/>
      <c r="BD507" s="192"/>
      <c r="BE507" s="192"/>
      <c r="BF507" s="192"/>
      <c r="BG507" s="192"/>
      <c r="BH507" s="192"/>
      <c r="BI507" s="192"/>
      <c r="BJ507" s="192"/>
      <c r="BK507" s="192"/>
      <c r="BL507" s="192"/>
      <c r="BM507" s="192"/>
      <c r="BN507" s="192"/>
    </row>
    <row r="508" ht="29.25" customHeight="1">
      <c r="A508" s="189"/>
      <c r="B508" s="190"/>
      <c r="C508" s="157"/>
      <c r="D508" s="157"/>
      <c r="E508" s="158"/>
      <c r="F508" s="166"/>
      <c r="G508" s="161"/>
      <c r="H508" s="161"/>
      <c r="I508" s="162"/>
      <c r="J508" s="163"/>
      <c r="K508" s="163"/>
      <c r="L508" s="163"/>
      <c r="M508" s="160"/>
      <c r="N508" s="162"/>
      <c r="O508" s="164"/>
      <c r="P508" s="140"/>
      <c r="Q508" s="191"/>
      <c r="R508" s="165"/>
      <c r="S508" s="165"/>
      <c r="T508" s="166"/>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92"/>
      <c r="AR508" s="192"/>
      <c r="AS508" s="192"/>
      <c r="AT508" s="192"/>
      <c r="AU508" s="192"/>
      <c r="AV508" s="192"/>
      <c r="AW508" s="192"/>
      <c r="AX508" s="192"/>
      <c r="AY508" s="192"/>
      <c r="AZ508" s="192"/>
      <c r="BA508" s="192"/>
      <c r="BB508" s="192"/>
      <c r="BC508" s="192"/>
      <c r="BD508" s="192"/>
      <c r="BE508" s="192"/>
      <c r="BF508" s="192"/>
      <c r="BG508" s="192"/>
      <c r="BH508" s="192"/>
      <c r="BI508" s="192"/>
      <c r="BJ508" s="192"/>
      <c r="BK508" s="192"/>
      <c r="BL508" s="192"/>
      <c r="BM508" s="192"/>
      <c r="BN508" s="192"/>
    </row>
    <row r="509" ht="29.25" customHeight="1">
      <c r="A509" s="189"/>
      <c r="B509" s="190"/>
      <c r="C509" s="157"/>
      <c r="D509" s="157"/>
      <c r="E509" s="158"/>
      <c r="F509" s="166"/>
      <c r="G509" s="161"/>
      <c r="H509" s="161"/>
      <c r="I509" s="162"/>
      <c r="J509" s="163"/>
      <c r="K509" s="163"/>
      <c r="L509" s="163"/>
      <c r="M509" s="160"/>
      <c r="N509" s="162"/>
      <c r="O509" s="164"/>
      <c r="P509" s="140"/>
      <c r="Q509" s="191"/>
      <c r="R509" s="165"/>
      <c r="S509" s="165"/>
      <c r="T509" s="166"/>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92"/>
      <c r="AR509" s="192"/>
      <c r="AS509" s="192"/>
      <c r="AT509" s="192"/>
      <c r="AU509" s="192"/>
      <c r="AV509" s="192"/>
      <c r="AW509" s="192"/>
      <c r="AX509" s="192"/>
      <c r="AY509" s="192"/>
      <c r="AZ509" s="192"/>
      <c r="BA509" s="192"/>
      <c r="BB509" s="192"/>
      <c r="BC509" s="192"/>
      <c r="BD509" s="192"/>
      <c r="BE509" s="192"/>
      <c r="BF509" s="192"/>
      <c r="BG509" s="192"/>
      <c r="BH509" s="192"/>
      <c r="BI509" s="192"/>
      <c r="BJ509" s="192"/>
      <c r="BK509" s="192"/>
      <c r="BL509" s="192"/>
      <c r="BM509" s="192"/>
      <c r="BN509" s="192"/>
    </row>
    <row r="510" ht="29.25" customHeight="1">
      <c r="A510" s="189"/>
      <c r="B510" s="190"/>
      <c r="C510" s="157"/>
      <c r="D510" s="157"/>
      <c r="E510" s="158"/>
      <c r="F510" s="166"/>
      <c r="G510" s="161"/>
      <c r="H510" s="161"/>
      <c r="I510" s="162"/>
      <c r="J510" s="163"/>
      <c r="K510" s="163"/>
      <c r="L510" s="163"/>
      <c r="M510" s="160"/>
      <c r="N510" s="162"/>
      <c r="O510" s="164"/>
      <c r="P510" s="140"/>
      <c r="Q510" s="191"/>
      <c r="R510" s="165"/>
      <c r="S510" s="165"/>
      <c r="T510" s="166"/>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92"/>
      <c r="AR510" s="192"/>
      <c r="AS510" s="192"/>
      <c r="AT510" s="192"/>
      <c r="AU510" s="192"/>
      <c r="AV510" s="192"/>
      <c r="AW510" s="192"/>
      <c r="AX510" s="192"/>
      <c r="AY510" s="192"/>
      <c r="AZ510" s="192"/>
      <c r="BA510" s="192"/>
      <c r="BB510" s="192"/>
      <c r="BC510" s="192"/>
      <c r="BD510" s="192"/>
      <c r="BE510" s="192"/>
      <c r="BF510" s="192"/>
      <c r="BG510" s="192"/>
      <c r="BH510" s="192"/>
      <c r="BI510" s="192"/>
      <c r="BJ510" s="192"/>
      <c r="BK510" s="192"/>
      <c r="BL510" s="192"/>
      <c r="BM510" s="192"/>
      <c r="BN510" s="192"/>
    </row>
    <row r="511" ht="29.25" customHeight="1">
      <c r="A511" s="189"/>
      <c r="B511" s="190"/>
      <c r="C511" s="157"/>
      <c r="D511" s="157"/>
      <c r="E511" s="158"/>
      <c r="F511" s="166"/>
      <c r="G511" s="161"/>
      <c r="H511" s="161"/>
      <c r="I511" s="162"/>
      <c r="J511" s="163"/>
      <c r="K511" s="163"/>
      <c r="L511" s="163"/>
      <c r="M511" s="160"/>
      <c r="N511" s="162"/>
      <c r="O511" s="164"/>
      <c r="P511" s="140"/>
      <c r="Q511" s="191"/>
      <c r="R511" s="165"/>
      <c r="S511" s="165"/>
      <c r="T511" s="166"/>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92"/>
      <c r="AR511" s="192"/>
      <c r="AS511" s="192"/>
      <c r="AT511" s="192"/>
      <c r="AU511" s="192"/>
      <c r="AV511" s="192"/>
      <c r="AW511" s="192"/>
      <c r="AX511" s="192"/>
      <c r="AY511" s="192"/>
      <c r="AZ511" s="192"/>
      <c r="BA511" s="192"/>
      <c r="BB511" s="192"/>
      <c r="BC511" s="192"/>
      <c r="BD511" s="192"/>
      <c r="BE511" s="192"/>
      <c r="BF511" s="192"/>
      <c r="BG511" s="192"/>
      <c r="BH511" s="192"/>
      <c r="BI511" s="192"/>
      <c r="BJ511" s="192"/>
      <c r="BK511" s="192"/>
      <c r="BL511" s="192"/>
      <c r="BM511" s="192"/>
      <c r="BN511" s="192"/>
    </row>
    <row r="512" ht="29.25" customHeight="1">
      <c r="A512" s="189"/>
      <c r="B512" s="190"/>
      <c r="C512" s="157"/>
      <c r="D512" s="157"/>
      <c r="E512" s="158"/>
      <c r="F512" s="166"/>
      <c r="G512" s="161"/>
      <c r="H512" s="161"/>
      <c r="I512" s="162"/>
      <c r="J512" s="163"/>
      <c r="K512" s="163"/>
      <c r="L512" s="163"/>
      <c r="M512" s="160"/>
      <c r="N512" s="162"/>
      <c r="O512" s="164"/>
      <c r="P512" s="140"/>
      <c r="Q512" s="191"/>
      <c r="R512" s="165"/>
      <c r="S512" s="165"/>
      <c r="T512" s="166"/>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92"/>
      <c r="AR512" s="192"/>
      <c r="AS512" s="192"/>
      <c r="AT512" s="192"/>
      <c r="AU512" s="192"/>
      <c r="AV512" s="192"/>
      <c r="AW512" s="192"/>
      <c r="AX512" s="192"/>
      <c r="AY512" s="192"/>
      <c r="AZ512" s="192"/>
      <c r="BA512" s="192"/>
      <c r="BB512" s="192"/>
      <c r="BC512" s="192"/>
      <c r="BD512" s="192"/>
      <c r="BE512" s="192"/>
      <c r="BF512" s="192"/>
      <c r="BG512" s="192"/>
      <c r="BH512" s="192"/>
      <c r="BI512" s="192"/>
      <c r="BJ512" s="192"/>
      <c r="BK512" s="192"/>
      <c r="BL512" s="192"/>
      <c r="BM512" s="192"/>
      <c r="BN512" s="192"/>
    </row>
    <row r="513" ht="29.25" customHeight="1">
      <c r="A513" s="189"/>
      <c r="B513" s="190"/>
      <c r="C513" s="157"/>
      <c r="D513" s="157"/>
      <c r="E513" s="158"/>
      <c r="F513" s="166"/>
      <c r="G513" s="161"/>
      <c r="H513" s="161"/>
      <c r="I513" s="162"/>
      <c r="J513" s="163"/>
      <c r="K513" s="163"/>
      <c r="L513" s="163"/>
      <c r="M513" s="160"/>
      <c r="N513" s="162"/>
      <c r="O513" s="164"/>
      <c r="P513" s="140"/>
      <c r="Q513" s="191"/>
      <c r="R513" s="165"/>
      <c r="S513" s="165"/>
      <c r="T513" s="166"/>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92"/>
      <c r="AR513" s="192"/>
      <c r="AS513" s="192"/>
      <c r="AT513" s="192"/>
      <c r="AU513" s="192"/>
      <c r="AV513" s="192"/>
      <c r="AW513" s="192"/>
      <c r="AX513" s="192"/>
      <c r="AY513" s="192"/>
      <c r="AZ513" s="192"/>
      <c r="BA513" s="192"/>
      <c r="BB513" s="192"/>
      <c r="BC513" s="192"/>
      <c r="BD513" s="192"/>
      <c r="BE513" s="192"/>
      <c r="BF513" s="192"/>
      <c r="BG513" s="192"/>
      <c r="BH513" s="192"/>
      <c r="BI513" s="192"/>
      <c r="BJ513" s="192"/>
      <c r="BK513" s="192"/>
      <c r="BL513" s="192"/>
      <c r="BM513" s="192"/>
      <c r="BN513" s="192"/>
    </row>
    <row r="514" ht="29.25" customHeight="1">
      <c r="A514" s="189"/>
      <c r="B514" s="190"/>
      <c r="C514" s="157"/>
      <c r="D514" s="157"/>
      <c r="E514" s="158"/>
      <c r="F514" s="166"/>
      <c r="G514" s="161"/>
      <c r="H514" s="161"/>
      <c r="I514" s="162"/>
      <c r="J514" s="163"/>
      <c r="K514" s="163"/>
      <c r="L514" s="163"/>
      <c r="M514" s="160"/>
      <c r="N514" s="162"/>
      <c r="O514" s="164"/>
      <c r="P514" s="140"/>
      <c r="Q514" s="191"/>
      <c r="R514" s="165"/>
      <c r="S514" s="165"/>
      <c r="T514" s="166"/>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92"/>
      <c r="AR514" s="192"/>
      <c r="AS514" s="192"/>
      <c r="AT514" s="192"/>
      <c r="AU514" s="192"/>
      <c r="AV514" s="192"/>
      <c r="AW514" s="192"/>
      <c r="AX514" s="192"/>
      <c r="AY514" s="192"/>
      <c r="AZ514" s="192"/>
      <c r="BA514" s="192"/>
      <c r="BB514" s="192"/>
      <c r="BC514" s="192"/>
      <c r="BD514" s="192"/>
      <c r="BE514" s="192"/>
      <c r="BF514" s="192"/>
      <c r="BG514" s="192"/>
      <c r="BH514" s="192"/>
      <c r="BI514" s="192"/>
      <c r="BJ514" s="192"/>
      <c r="BK514" s="192"/>
      <c r="BL514" s="192"/>
      <c r="BM514" s="192"/>
      <c r="BN514" s="192"/>
    </row>
    <row r="515" ht="29.25" customHeight="1">
      <c r="A515" s="189"/>
      <c r="B515" s="190"/>
      <c r="C515" s="157"/>
      <c r="D515" s="157"/>
      <c r="E515" s="158"/>
      <c r="F515" s="166"/>
      <c r="G515" s="161"/>
      <c r="H515" s="161"/>
      <c r="I515" s="162"/>
      <c r="J515" s="163"/>
      <c r="K515" s="163"/>
      <c r="L515" s="163"/>
      <c r="M515" s="160"/>
      <c r="N515" s="162"/>
      <c r="O515" s="164"/>
      <c r="P515" s="140"/>
      <c r="Q515" s="191"/>
      <c r="R515" s="165"/>
      <c r="S515" s="165"/>
      <c r="T515" s="166"/>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92"/>
      <c r="AR515" s="192"/>
      <c r="AS515" s="192"/>
      <c r="AT515" s="192"/>
      <c r="AU515" s="192"/>
      <c r="AV515" s="192"/>
      <c r="AW515" s="192"/>
      <c r="AX515" s="192"/>
      <c r="AY515" s="192"/>
      <c r="AZ515" s="192"/>
      <c r="BA515" s="192"/>
      <c r="BB515" s="192"/>
      <c r="BC515" s="192"/>
      <c r="BD515" s="192"/>
      <c r="BE515" s="192"/>
      <c r="BF515" s="192"/>
      <c r="BG515" s="192"/>
      <c r="BH515" s="192"/>
      <c r="BI515" s="192"/>
      <c r="BJ515" s="192"/>
      <c r="BK515" s="192"/>
      <c r="BL515" s="192"/>
      <c r="BM515" s="192"/>
      <c r="BN515" s="192"/>
    </row>
    <row r="516" ht="29.25" customHeight="1">
      <c r="A516" s="189"/>
      <c r="B516" s="190"/>
      <c r="C516" s="157"/>
      <c r="D516" s="157"/>
      <c r="E516" s="158"/>
      <c r="F516" s="166"/>
      <c r="G516" s="161"/>
      <c r="H516" s="161"/>
      <c r="I516" s="162"/>
      <c r="J516" s="163"/>
      <c r="K516" s="163"/>
      <c r="L516" s="163"/>
      <c r="M516" s="160"/>
      <c r="N516" s="162"/>
      <c r="O516" s="164"/>
      <c r="P516" s="140"/>
      <c r="Q516" s="191"/>
      <c r="R516" s="165"/>
      <c r="S516" s="165"/>
      <c r="T516" s="166"/>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92"/>
      <c r="AR516" s="192"/>
      <c r="AS516" s="192"/>
      <c r="AT516" s="192"/>
      <c r="AU516" s="192"/>
      <c r="AV516" s="192"/>
      <c r="AW516" s="192"/>
      <c r="AX516" s="192"/>
      <c r="AY516" s="192"/>
      <c r="AZ516" s="192"/>
      <c r="BA516" s="192"/>
      <c r="BB516" s="192"/>
      <c r="BC516" s="192"/>
      <c r="BD516" s="192"/>
      <c r="BE516" s="192"/>
      <c r="BF516" s="192"/>
      <c r="BG516" s="192"/>
      <c r="BH516" s="192"/>
      <c r="BI516" s="192"/>
      <c r="BJ516" s="192"/>
      <c r="BK516" s="192"/>
      <c r="BL516" s="192"/>
      <c r="BM516" s="192"/>
      <c r="BN516" s="192"/>
    </row>
    <row r="517" ht="29.25" customHeight="1">
      <c r="A517" s="189"/>
      <c r="B517" s="190"/>
      <c r="C517" s="157"/>
      <c r="D517" s="157"/>
      <c r="E517" s="158"/>
      <c r="F517" s="166"/>
      <c r="G517" s="161"/>
      <c r="H517" s="161"/>
      <c r="I517" s="162"/>
      <c r="J517" s="163"/>
      <c r="K517" s="163"/>
      <c r="L517" s="163"/>
      <c r="M517" s="160"/>
      <c r="N517" s="162"/>
      <c r="O517" s="164"/>
      <c r="P517" s="140"/>
      <c r="Q517" s="191"/>
      <c r="R517" s="165"/>
      <c r="S517" s="165"/>
      <c r="T517" s="166"/>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92"/>
      <c r="AR517" s="192"/>
      <c r="AS517" s="192"/>
      <c r="AT517" s="192"/>
      <c r="AU517" s="192"/>
      <c r="AV517" s="192"/>
      <c r="AW517" s="192"/>
      <c r="AX517" s="192"/>
      <c r="AY517" s="192"/>
      <c r="AZ517" s="192"/>
      <c r="BA517" s="192"/>
      <c r="BB517" s="192"/>
      <c r="BC517" s="192"/>
      <c r="BD517" s="192"/>
      <c r="BE517" s="192"/>
      <c r="BF517" s="192"/>
      <c r="BG517" s="192"/>
      <c r="BH517" s="192"/>
      <c r="BI517" s="192"/>
      <c r="BJ517" s="192"/>
      <c r="BK517" s="192"/>
      <c r="BL517" s="192"/>
      <c r="BM517" s="192"/>
      <c r="BN517" s="192"/>
    </row>
    <row r="518" ht="29.25" customHeight="1">
      <c r="A518" s="189"/>
      <c r="B518" s="190"/>
      <c r="C518" s="157"/>
      <c r="D518" s="157"/>
      <c r="E518" s="158"/>
      <c r="F518" s="166"/>
      <c r="G518" s="161"/>
      <c r="H518" s="161"/>
      <c r="I518" s="162"/>
      <c r="J518" s="163"/>
      <c r="K518" s="163"/>
      <c r="L518" s="163"/>
      <c r="M518" s="160"/>
      <c r="N518" s="162"/>
      <c r="O518" s="164"/>
      <c r="P518" s="140"/>
      <c r="Q518" s="191"/>
      <c r="R518" s="165"/>
      <c r="S518" s="165"/>
      <c r="T518" s="166"/>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92"/>
      <c r="AR518" s="192"/>
      <c r="AS518" s="192"/>
      <c r="AT518" s="192"/>
      <c r="AU518" s="192"/>
      <c r="AV518" s="192"/>
      <c r="AW518" s="192"/>
      <c r="AX518" s="192"/>
      <c r="AY518" s="192"/>
      <c r="AZ518" s="192"/>
      <c r="BA518" s="192"/>
      <c r="BB518" s="192"/>
      <c r="BC518" s="192"/>
      <c r="BD518" s="192"/>
      <c r="BE518" s="192"/>
      <c r="BF518" s="192"/>
      <c r="BG518" s="192"/>
      <c r="BH518" s="192"/>
      <c r="BI518" s="192"/>
      <c r="BJ518" s="192"/>
      <c r="BK518" s="192"/>
      <c r="BL518" s="192"/>
      <c r="BM518" s="192"/>
      <c r="BN518" s="192"/>
    </row>
    <row r="519" ht="29.25" customHeight="1">
      <c r="A519" s="189"/>
      <c r="B519" s="190"/>
      <c r="C519" s="157"/>
      <c r="D519" s="157"/>
      <c r="E519" s="158"/>
      <c r="F519" s="166"/>
      <c r="G519" s="161"/>
      <c r="H519" s="161"/>
      <c r="I519" s="162"/>
      <c r="J519" s="163"/>
      <c r="K519" s="163"/>
      <c r="L519" s="163"/>
      <c r="M519" s="160"/>
      <c r="N519" s="162"/>
      <c r="O519" s="164"/>
      <c r="P519" s="140"/>
      <c r="Q519" s="191"/>
      <c r="R519" s="165"/>
      <c r="S519" s="165"/>
      <c r="T519" s="166"/>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92"/>
      <c r="AR519" s="192"/>
      <c r="AS519" s="192"/>
      <c r="AT519" s="192"/>
      <c r="AU519" s="192"/>
      <c r="AV519" s="192"/>
      <c r="AW519" s="192"/>
      <c r="AX519" s="192"/>
      <c r="AY519" s="192"/>
      <c r="AZ519" s="192"/>
      <c r="BA519" s="192"/>
      <c r="BB519" s="192"/>
      <c r="BC519" s="192"/>
      <c r="BD519" s="192"/>
      <c r="BE519" s="192"/>
      <c r="BF519" s="192"/>
      <c r="BG519" s="192"/>
      <c r="BH519" s="192"/>
      <c r="BI519" s="192"/>
      <c r="BJ519" s="192"/>
      <c r="BK519" s="192"/>
      <c r="BL519" s="192"/>
      <c r="BM519" s="192"/>
      <c r="BN519" s="192"/>
    </row>
    <row r="520" ht="29.25" customHeight="1">
      <c r="A520" s="189"/>
      <c r="B520" s="190"/>
      <c r="C520" s="157"/>
      <c r="D520" s="157"/>
      <c r="E520" s="158"/>
      <c r="F520" s="166"/>
      <c r="G520" s="161"/>
      <c r="H520" s="161"/>
      <c r="I520" s="162"/>
      <c r="J520" s="163"/>
      <c r="K520" s="163"/>
      <c r="L520" s="163"/>
      <c r="M520" s="160"/>
      <c r="N520" s="162"/>
      <c r="O520" s="164"/>
      <c r="P520" s="140"/>
      <c r="Q520" s="191"/>
      <c r="R520" s="165"/>
      <c r="S520" s="165"/>
      <c r="T520" s="166"/>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92"/>
      <c r="AR520" s="192"/>
      <c r="AS520" s="192"/>
      <c r="AT520" s="192"/>
      <c r="AU520" s="192"/>
      <c r="AV520" s="192"/>
      <c r="AW520" s="192"/>
      <c r="AX520" s="192"/>
      <c r="AY520" s="192"/>
      <c r="AZ520" s="192"/>
      <c r="BA520" s="192"/>
      <c r="BB520" s="192"/>
      <c r="BC520" s="192"/>
      <c r="BD520" s="192"/>
      <c r="BE520" s="192"/>
      <c r="BF520" s="192"/>
      <c r="BG520" s="192"/>
      <c r="BH520" s="192"/>
      <c r="BI520" s="192"/>
      <c r="BJ520" s="192"/>
      <c r="BK520" s="192"/>
      <c r="BL520" s="192"/>
      <c r="BM520" s="192"/>
      <c r="BN520" s="192"/>
    </row>
    <row r="521" ht="29.25" customHeight="1">
      <c r="A521" s="189"/>
      <c r="B521" s="190"/>
      <c r="C521" s="157"/>
      <c r="D521" s="157"/>
      <c r="E521" s="158"/>
      <c r="F521" s="166"/>
      <c r="G521" s="161"/>
      <c r="H521" s="161"/>
      <c r="I521" s="162"/>
      <c r="J521" s="163"/>
      <c r="K521" s="163"/>
      <c r="L521" s="163"/>
      <c r="M521" s="160"/>
      <c r="N521" s="162"/>
      <c r="O521" s="164"/>
      <c r="P521" s="140"/>
      <c r="Q521" s="191"/>
      <c r="R521" s="165"/>
      <c r="S521" s="165"/>
      <c r="T521" s="166"/>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92"/>
      <c r="AR521" s="192"/>
      <c r="AS521" s="192"/>
      <c r="AT521" s="192"/>
      <c r="AU521" s="192"/>
      <c r="AV521" s="192"/>
      <c r="AW521" s="192"/>
      <c r="AX521" s="192"/>
      <c r="AY521" s="192"/>
      <c r="AZ521" s="192"/>
      <c r="BA521" s="192"/>
      <c r="BB521" s="192"/>
      <c r="BC521" s="192"/>
      <c r="BD521" s="192"/>
      <c r="BE521" s="192"/>
      <c r="BF521" s="192"/>
      <c r="BG521" s="192"/>
      <c r="BH521" s="192"/>
      <c r="BI521" s="192"/>
      <c r="BJ521" s="192"/>
      <c r="BK521" s="192"/>
      <c r="BL521" s="192"/>
      <c r="BM521" s="192"/>
      <c r="BN521" s="192"/>
    </row>
    <row r="522" ht="29.25" customHeight="1">
      <c r="A522" s="189"/>
      <c r="B522" s="190"/>
      <c r="C522" s="157"/>
      <c r="D522" s="157"/>
      <c r="E522" s="158"/>
      <c r="F522" s="166"/>
      <c r="G522" s="161"/>
      <c r="H522" s="161"/>
      <c r="I522" s="162"/>
      <c r="J522" s="163"/>
      <c r="K522" s="163"/>
      <c r="L522" s="163"/>
      <c r="M522" s="160"/>
      <c r="N522" s="162"/>
      <c r="O522" s="164"/>
      <c r="P522" s="140"/>
      <c r="Q522" s="191"/>
      <c r="R522" s="165"/>
      <c r="S522" s="165"/>
      <c r="T522" s="166"/>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92"/>
      <c r="AR522" s="192"/>
      <c r="AS522" s="192"/>
      <c r="AT522" s="192"/>
      <c r="AU522" s="192"/>
      <c r="AV522" s="192"/>
      <c r="AW522" s="192"/>
      <c r="AX522" s="192"/>
      <c r="AY522" s="192"/>
      <c r="AZ522" s="192"/>
      <c r="BA522" s="192"/>
      <c r="BB522" s="192"/>
      <c r="BC522" s="192"/>
      <c r="BD522" s="192"/>
      <c r="BE522" s="192"/>
      <c r="BF522" s="192"/>
      <c r="BG522" s="192"/>
      <c r="BH522" s="192"/>
      <c r="BI522" s="192"/>
      <c r="BJ522" s="192"/>
      <c r="BK522" s="192"/>
      <c r="BL522" s="192"/>
      <c r="BM522" s="192"/>
      <c r="BN522" s="192"/>
    </row>
    <row r="523" ht="29.25" customHeight="1">
      <c r="A523" s="189"/>
      <c r="B523" s="190"/>
      <c r="C523" s="157"/>
      <c r="D523" s="157"/>
      <c r="E523" s="158"/>
      <c r="F523" s="166"/>
      <c r="G523" s="161"/>
      <c r="H523" s="161"/>
      <c r="I523" s="162"/>
      <c r="J523" s="163"/>
      <c r="K523" s="163"/>
      <c r="L523" s="163"/>
      <c r="M523" s="160"/>
      <c r="N523" s="162"/>
      <c r="O523" s="164"/>
      <c r="P523" s="140"/>
      <c r="Q523" s="191"/>
      <c r="R523" s="165"/>
      <c r="S523" s="165"/>
      <c r="T523" s="166"/>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92"/>
      <c r="AR523" s="192"/>
      <c r="AS523" s="192"/>
      <c r="AT523" s="192"/>
      <c r="AU523" s="192"/>
      <c r="AV523" s="192"/>
      <c r="AW523" s="192"/>
      <c r="AX523" s="192"/>
      <c r="AY523" s="192"/>
      <c r="AZ523" s="192"/>
      <c r="BA523" s="192"/>
      <c r="BB523" s="192"/>
      <c r="BC523" s="192"/>
      <c r="BD523" s="192"/>
      <c r="BE523" s="192"/>
      <c r="BF523" s="192"/>
      <c r="BG523" s="192"/>
      <c r="BH523" s="192"/>
      <c r="BI523" s="192"/>
      <c r="BJ523" s="192"/>
      <c r="BK523" s="192"/>
      <c r="BL523" s="192"/>
      <c r="BM523" s="192"/>
      <c r="BN523" s="192"/>
    </row>
    <row r="524" ht="29.25" customHeight="1">
      <c r="A524" s="189"/>
      <c r="B524" s="190"/>
      <c r="C524" s="157"/>
      <c r="D524" s="157"/>
      <c r="E524" s="158"/>
      <c r="F524" s="166"/>
      <c r="G524" s="161"/>
      <c r="H524" s="161"/>
      <c r="I524" s="162"/>
      <c r="J524" s="163"/>
      <c r="K524" s="163"/>
      <c r="L524" s="163"/>
      <c r="M524" s="160"/>
      <c r="N524" s="162"/>
      <c r="O524" s="164"/>
      <c r="P524" s="140"/>
      <c r="Q524" s="191"/>
      <c r="R524" s="165"/>
      <c r="S524" s="165"/>
      <c r="T524" s="166"/>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92"/>
      <c r="AR524" s="192"/>
      <c r="AS524" s="192"/>
      <c r="AT524" s="192"/>
      <c r="AU524" s="192"/>
      <c r="AV524" s="192"/>
      <c r="AW524" s="192"/>
      <c r="AX524" s="192"/>
      <c r="AY524" s="192"/>
      <c r="AZ524" s="192"/>
      <c r="BA524" s="192"/>
      <c r="BB524" s="192"/>
      <c r="BC524" s="192"/>
      <c r="BD524" s="192"/>
      <c r="BE524" s="192"/>
      <c r="BF524" s="192"/>
      <c r="BG524" s="192"/>
      <c r="BH524" s="192"/>
      <c r="BI524" s="192"/>
      <c r="BJ524" s="192"/>
      <c r="BK524" s="192"/>
      <c r="BL524" s="192"/>
      <c r="BM524" s="192"/>
      <c r="BN524" s="192"/>
    </row>
    <row r="525" ht="29.25" customHeight="1">
      <c r="A525" s="189"/>
      <c r="B525" s="190"/>
      <c r="C525" s="157"/>
      <c r="D525" s="157"/>
      <c r="E525" s="158"/>
      <c r="F525" s="166"/>
      <c r="G525" s="161"/>
      <c r="H525" s="161"/>
      <c r="I525" s="162"/>
      <c r="J525" s="163"/>
      <c r="K525" s="163"/>
      <c r="L525" s="163"/>
      <c r="M525" s="160"/>
      <c r="N525" s="162"/>
      <c r="O525" s="164"/>
      <c r="P525" s="140"/>
      <c r="Q525" s="191"/>
      <c r="R525" s="165"/>
      <c r="S525" s="165"/>
      <c r="T525" s="166"/>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92"/>
      <c r="AR525" s="192"/>
      <c r="AS525" s="192"/>
      <c r="AT525" s="192"/>
      <c r="AU525" s="192"/>
      <c r="AV525" s="192"/>
      <c r="AW525" s="192"/>
      <c r="AX525" s="192"/>
      <c r="AY525" s="192"/>
      <c r="AZ525" s="192"/>
      <c r="BA525" s="192"/>
      <c r="BB525" s="192"/>
      <c r="BC525" s="192"/>
      <c r="BD525" s="192"/>
      <c r="BE525" s="192"/>
      <c r="BF525" s="192"/>
      <c r="BG525" s="192"/>
      <c r="BH525" s="192"/>
      <c r="BI525" s="192"/>
      <c r="BJ525" s="192"/>
      <c r="BK525" s="192"/>
      <c r="BL525" s="192"/>
      <c r="BM525" s="192"/>
      <c r="BN525" s="192"/>
    </row>
    <row r="526" ht="29.25" customHeight="1">
      <c r="A526" s="189"/>
      <c r="B526" s="190"/>
      <c r="C526" s="157"/>
      <c r="D526" s="157"/>
      <c r="E526" s="158"/>
      <c r="F526" s="166"/>
      <c r="G526" s="161"/>
      <c r="H526" s="161"/>
      <c r="I526" s="162"/>
      <c r="J526" s="163"/>
      <c r="K526" s="163"/>
      <c r="L526" s="163"/>
      <c r="M526" s="160"/>
      <c r="N526" s="162"/>
      <c r="O526" s="164"/>
      <c r="P526" s="140"/>
      <c r="Q526" s="191"/>
      <c r="R526" s="165"/>
      <c r="S526" s="165"/>
      <c r="T526" s="166"/>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92"/>
      <c r="AR526" s="192"/>
      <c r="AS526" s="192"/>
      <c r="AT526" s="192"/>
      <c r="AU526" s="192"/>
      <c r="AV526" s="192"/>
      <c r="AW526" s="192"/>
      <c r="AX526" s="192"/>
      <c r="AY526" s="192"/>
      <c r="AZ526" s="192"/>
      <c r="BA526" s="192"/>
      <c r="BB526" s="192"/>
      <c r="BC526" s="192"/>
      <c r="BD526" s="192"/>
      <c r="BE526" s="192"/>
      <c r="BF526" s="192"/>
      <c r="BG526" s="192"/>
      <c r="BH526" s="192"/>
      <c r="BI526" s="192"/>
      <c r="BJ526" s="192"/>
      <c r="BK526" s="192"/>
      <c r="BL526" s="192"/>
      <c r="BM526" s="192"/>
      <c r="BN526" s="192"/>
    </row>
    <row r="527" ht="29.25" customHeight="1">
      <c r="A527" s="189"/>
      <c r="B527" s="190"/>
      <c r="C527" s="157"/>
      <c r="D527" s="157"/>
      <c r="E527" s="158"/>
      <c r="F527" s="166"/>
      <c r="G527" s="161"/>
      <c r="H527" s="161"/>
      <c r="I527" s="162"/>
      <c r="J527" s="163"/>
      <c r="K527" s="163"/>
      <c r="L527" s="163"/>
      <c r="M527" s="160"/>
      <c r="N527" s="162"/>
      <c r="O527" s="164"/>
      <c r="P527" s="140"/>
      <c r="Q527" s="191"/>
      <c r="R527" s="165"/>
      <c r="S527" s="165"/>
      <c r="T527" s="166"/>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92"/>
      <c r="AR527" s="192"/>
      <c r="AS527" s="192"/>
      <c r="AT527" s="192"/>
      <c r="AU527" s="192"/>
      <c r="AV527" s="192"/>
      <c r="AW527" s="192"/>
      <c r="AX527" s="192"/>
      <c r="AY527" s="192"/>
      <c r="AZ527" s="192"/>
      <c r="BA527" s="192"/>
      <c r="BB527" s="192"/>
      <c r="BC527" s="192"/>
      <c r="BD527" s="192"/>
      <c r="BE527" s="192"/>
      <c r="BF527" s="192"/>
      <c r="BG527" s="192"/>
      <c r="BH527" s="192"/>
      <c r="BI527" s="192"/>
      <c r="BJ527" s="192"/>
      <c r="BK527" s="192"/>
      <c r="BL527" s="192"/>
      <c r="BM527" s="192"/>
      <c r="BN527" s="192"/>
    </row>
    <row r="528" ht="29.25" customHeight="1">
      <c r="A528" s="189"/>
      <c r="B528" s="190"/>
      <c r="C528" s="157"/>
      <c r="D528" s="157"/>
      <c r="E528" s="158"/>
      <c r="F528" s="166"/>
      <c r="G528" s="161"/>
      <c r="H528" s="161"/>
      <c r="I528" s="162"/>
      <c r="J528" s="163"/>
      <c r="K528" s="163"/>
      <c r="L528" s="163"/>
      <c r="M528" s="160"/>
      <c r="N528" s="162"/>
      <c r="O528" s="164"/>
      <c r="P528" s="140"/>
      <c r="Q528" s="191"/>
      <c r="R528" s="165"/>
      <c r="S528" s="165"/>
      <c r="T528" s="166"/>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92"/>
      <c r="AR528" s="192"/>
      <c r="AS528" s="192"/>
      <c r="AT528" s="192"/>
      <c r="AU528" s="192"/>
      <c r="AV528" s="192"/>
      <c r="AW528" s="192"/>
      <c r="AX528" s="192"/>
      <c r="AY528" s="192"/>
      <c r="AZ528" s="192"/>
      <c r="BA528" s="192"/>
      <c r="BB528" s="192"/>
      <c r="BC528" s="192"/>
      <c r="BD528" s="192"/>
      <c r="BE528" s="192"/>
      <c r="BF528" s="192"/>
      <c r="BG528" s="192"/>
      <c r="BH528" s="192"/>
      <c r="BI528" s="192"/>
      <c r="BJ528" s="192"/>
      <c r="BK528" s="192"/>
      <c r="BL528" s="192"/>
      <c r="BM528" s="192"/>
      <c r="BN528" s="192"/>
    </row>
    <row r="529" ht="29.25" customHeight="1">
      <c r="A529" s="189"/>
      <c r="B529" s="190"/>
      <c r="C529" s="157"/>
      <c r="D529" s="157"/>
      <c r="E529" s="158"/>
      <c r="F529" s="166"/>
      <c r="G529" s="161"/>
      <c r="H529" s="161"/>
      <c r="I529" s="162"/>
      <c r="J529" s="163"/>
      <c r="K529" s="163"/>
      <c r="L529" s="163"/>
      <c r="M529" s="160"/>
      <c r="N529" s="162"/>
      <c r="O529" s="164"/>
      <c r="P529" s="140"/>
      <c r="Q529" s="191"/>
      <c r="R529" s="165"/>
      <c r="S529" s="165"/>
      <c r="T529" s="166"/>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92"/>
      <c r="AR529" s="192"/>
      <c r="AS529" s="192"/>
      <c r="AT529" s="192"/>
      <c r="AU529" s="192"/>
      <c r="AV529" s="192"/>
      <c r="AW529" s="192"/>
      <c r="AX529" s="192"/>
      <c r="AY529" s="192"/>
      <c r="AZ529" s="192"/>
      <c r="BA529" s="192"/>
      <c r="BB529" s="192"/>
      <c r="BC529" s="192"/>
      <c r="BD529" s="192"/>
      <c r="BE529" s="192"/>
      <c r="BF529" s="192"/>
      <c r="BG529" s="192"/>
      <c r="BH529" s="192"/>
      <c r="BI529" s="192"/>
      <c r="BJ529" s="192"/>
      <c r="BK529" s="192"/>
      <c r="BL529" s="192"/>
      <c r="BM529" s="192"/>
      <c r="BN529" s="192"/>
    </row>
    <row r="530" ht="29.25" customHeight="1">
      <c r="A530" s="189"/>
      <c r="B530" s="190"/>
      <c r="C530" s="157"/>
      <c r="D530" s="157"/>
      <c r="E530" s="158"/>
      <c r="F530" s="166"/>
      <c r="G530" s="161"/>
      <c r="H530" s="161"/>
      <c r="I530" s="162"/>
      <c r="J530" s="163"/>
      <c r="K530" s="163"/>
      <c r="L530" s="163"/>
      <c r="M530" s="160"/>
      <c r="N530" s="162"/>
      <c r="O530" s="164"/>
      <c r="P530" s="140"/>
      <c r="Q530" s="191"/>
      <c r="R530" s="165"/>
      <c r="S530" s="165"/>
      <c r="T530" s="166"/>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92"/>
      <c r="AR530" s="192"/>
      <c r="AS530" s="192"/>
      <c r="AT530" s="192"/>
      <c r="AU530" s="192"/>
      <c r="AV530" s="192"/>
      <c r="AW530" s="192"/>
      <c r="AX530" s="192"/>
      <c r="AY530" s="192"/>
      <c r="AZ530" s="192"/>
      <c r="BA530" s="192"/>
      <c r="BB530" s="192"/>
      <c r="BC530" s="192"/>
      <c r="BD530" s="192"/>
      <c r="BE530" s="192"/>
      <c r="BF530" s="192"/>
      <c r="BG530" s="192"/>
      <c r="BH530" s="192"/>
      <c r="BI530" s="192"/>
      <c r="BJ530" s="192"/>
      <c r="BK530" s="192"/>
      <c r="BL530" s="192"/>
      <c r="BM530" s="192"/>
      <c r="BN530" s="192"/>
    </row>
    <row r="531" ht="29.25" customHeight="1">
      <c r="A531" s="189"/>
      <c r="B531" s="190"/>
      <c r="C531" s="157"/>
      <c r="D531" s="157"/>
      <c r="E531" s="158"/>
      <c r="F531" s="166"/>
      <c r="G531" s="161"/>
      <c r="H531" s="161"/>
      <c r="I531" s="162"/>
      <c r="J531" s="163"/>
      <c r="K531" s="163"/>
      <c r="L531" s="163"/>
      <c r="M531" s="160"/>
      <c r="N531" s="162"/>
      <c r="O531" s="164"/>
      <c r="P531" s="140"/>
      <c r="Q531" s="191"/>
      <c r="R531" s="165"/>
      <c r="S531" s="165"/>
      <c r="T531" s="166"/>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92"/>
      <c r="AR531" s="192"/>
      <c r="AS531" s="192"/>
      <c r="AT531" s="192"/>
      <c r="AU531" s="192"/>
      <c r="AV531" s="192"/>
      <c r="AW531" s="192"/>
      <c r="AX531" s="192"/>
      <c r="AY531" s="192"/>
      <c r="AZ531" s="192"/>
      <c r="BA531" s="192"/>
      <c r="BB531" s="192"/>
      <c r="BC531" s="192"/>
      <c r="BD531" s="192"/>
      <c r="BE531" s="192"/>
      <c r="BF531" s="192"/>
      <c r="BG531" s="192"/>
      <c r="BH531" s="192"/>
      <c r="BI531" s="192"/>
      <c r="BJ531" s="192"/>
      <c r="BK531" s="192"/>
      <c r="BL531" s="192"/>
      <c r="BM531" s="192"/>
      <c r="BN531" s="192"/>
    </row>
    <row r="532" ht="29.25" customHeight="1">
      <c r="A532" s="189"/>
      <c r="B532" s="190"/>
      <c r="C532" s="157"/>
      <c r="D532" s="157"/>
      <c r="E532" s="158"/>
      <c r="F532" s="166"/>
      <c r="G532" s="161"/>
      <c r="H532" s="161"/>
      <c r="I532" s="162"/>
      <c r="J532" s="163"/>
      <c r="K532" s="163"/>
      <c r="L532" s="163"/>
      <c r="M532" s="160"/>
      <c r="N532" s="162"/>
      <c r="O532" s="164"/>
      <c r="P532" s="140"/>
      <c r="Q532" s="191"/>
      <c r="R532" s="165"/>
      <c r="S532" s="165"/>
      <c r="T532" s="166"/>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92"/>
      <c r="AR532" s="192"/>
      <c r="AS532" s="192"/>
      <c r="AT532" s="192"/>
      <c r="AU532" s="192"/>
      <c r="AV532" s="192"/>
      <c r="AW532" s="192"/>
      <c r="AX532" s="192"/>
      <c r="AY532" s="192"/>
      <c r="AZ532" s="192"/>
      <c r="BA532" s="192"/>
      <c r="BB532" s="192"/>
      <c r="BC532" s="192"/>
      <c r="BD532" s="192"/>
      <c r="BE532" s="192"/>
      <c r="BF532" s="192"/>
      <c r="BG532" s="192"/>
      <c r="BH532" s="192"/>
      <c r="BI532" s="192"/>
      <c r="BJ532" s="192"/>
      <c r="BK532" s="192"/>
      <c r="BL532" s="192"/>
      <c r="BM532" s="192"/>
      <c r="BN532" s="192"/>
    </row>
    <row r="533" ht="29.25" customHeight="1">
      <c r="A533" s="189"/>
      <c r="B533" s="190"/>
      <c r="C533" s="157"/>
      <c r="D533" s="157"/>
      <c r="E533" s="158"/>
      <c r="F533" s="166"/>
      <c r="G533" s="161"/>
      <c r="H533" s="161"/>
      <c r="I533" s="162"/>
      <c r="J533" s="163"/>
      <c r="K533" s="163"/>
      <c r="L533" s="163"/>
      <c r="M533" s="160"/>
      <c r="N533" s="162"/>
      <c r="O533" s="164"/>
      <c r="P533" s="140"/>
      <c r="Q533" s="191"/>
      <c r="R533" s="165"/>
      <c r="S533" s="165"/>
      <c r="T533" s="166"/>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92"/>
      <c r="AR533" s="192"/>
      <c r="AS533" s="192"/>
      <c r="AT533" s="192"/>
      <c r="AU533" s="192"/>
      <c r="AV533" s="192"/>
      <c r="AW533" s="192"/>
      <c r="AX533" s="192"/>
      <c r="AY533" s="192"/>
      <c r="AZ533" s="192"/>
      <c r="BA533" s="192"/>
      <c r="BB533" s="192"/>
      <c r="BC533" s="192"/>
      <c r="BD533" s="192"/>
      <c r="BE533" s="192"/>
      <c r="BF533" s="192"/>
      <c r="BG533" s="192"/>
      <c r="BH533" s="192"/>
      <c r="BI533" s="192"/>
      <c r="BJ533" s="192"/>
      <c r="BK533" s="192"/>
      <c r="BL533" s="192"/>
      <c r="BM533" s="192"/>
      <c r="BN533" s="192"/>
    </row>
    <row r="534" ht="29.25" customHeight="1">
      <c r="A534" s="189"/>
      <c r="B534" s="190"/>
      <c r="C534" s="157"/>
      <c r="D534" s="157"/>
      <c r="E534" s="158"/>
      <c r="F534" s="166"/>
      <c r="G534" s="161"/>
      <c r="H534" s="161"/>
      <c r="I534" s="162"/>
      <c r="J534" s="163"/>
      <c r="K534" s="163"/>
      <c r="L534" s="163"/>
      <c r="M534" s="160"/>
      <c r="N534" s="162"/>
      <c r="O534" s="164"/>
      <c r="P534" s="140"/>
      <c r="Q534" s="191"/>
      <c r="R534" s="165"/>
      <c r="S534" s="165"/>
      <c r="T534" s="166"/>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92"/>
      <c r="AR534" s="192"/>
      <c r="AS534" s="192"/>
      <c r="AT534" s="192"/>
      <c r="AU534" s="192"/>
      <c r="AV534" s="192"/>
      <c r="AW534" s="192"/>
      <c r="AX534" s="192"/>
      <c r="AY534" s="192"/>
      <c r="AZ534" s="192"/>
      <c r="BA534" s="192"/>
      <c r="BB534" s="192"/>
      <c r="BC534" s="192"/>
      <c r="BD534" s="192"/>
      <c r="BE534" s="192"/>
      <c r="BF534" s="192"/>
      <c r="BG534" s="192"/>
      <c r="BH534" s="192"/>
      <c r="BI534" s="192"/>
      <c r="BJ534" s="192"/>
      <c r="BK534" s="192"/>
      <c r="BL534" s="192"/>
      <c r="BM534" s="192"/>
      <c r="BN534" s="192"/>
    </row>
    <row r="535" ht="29.25" customHeight="1">
      <c r="A535" s="189"/>
      <c r="B535" s="190"/>
      <c r="C535" s="157"/>
      <c r="D535" s="157"/>
      <c r="E535" s="158"/>
      <c r="F535" s="166"/>
      <c r="G535" s="161"/>
      <c r="H535" s="161"/>
      <c r="I535" s="162"/>
      <c r="J535" s="163"/>
      <c r="K535" s="163"/>
      <c r="L535" s="163"/>
      <c r="M535" s="160"/>
      <c r="N535" s="162"/>
      <c r="O535" s="164"/>
      <c r="P535" s="140"/>
      <c r="Q535" s="191"/>
      <c r="R535" s="165"/>
      <c r="S535" s="165"/>
      <c r="T535" s="166"/>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92"/>
      <c r="AR535" s="192"/>
      <c r="AS535" s="192"/>
      <c r="AT535" s="192"/>
      <c r="AU535" s="192"/>
      <c r="AV535" s="192"/>
      <c r="AW535" s="192"/>
      <c r="AX535" s="192"/>
      <c r="AY535" s="192"/>
      <c r="AZ535" s="192"/>
      <c r="BA535" s="192"/>
      <c r="BB535" s="192"/>
      <c r="BC535" s="192"/>
      <c r="BD535" s="192"/>
      <c r="BE535" s="192"/>
      <c r="BF535" s="192"/>
      <c r="BG535" s="192"/>
      <c r="BH535" s="192"/>
      <c r="BI535" s="192"/>
      <c r="BJ535" s="192"/>
      <c r="BK535" s="192"/>
      <c r="BL535" s="192"/>
      <c r="BM535" s="192"/>
      <c r="BN535" s="192"/>
    </row>
    <row r="536" ht="29.25" customHeight="1">
      <c r="A536" s="189"/>
      <c r="B536" s="190"/>
      <c r="C536" s="157"/>
      <c r="D536" s="157"/>
      <c r="E536" s="158"/>
      <c r="F536" s="166"/>
      <c r="G536" s="161"/>
      <c r="H536" s="161"/>
      <c r="I536" s="162"/>
      <c r="J536" s="163"/>
      <c r="K536" s="163"/>
      <c r="L536" s="163"/>
      <c r="M536" s="160"/>
      <c r="N536" s="162"/>
      <c r="O536" s="164"/>
      <c r="P536" s="140"/>
      <c r="Q536" s="191"/>
      <c r="R536" s="165"/>
      <c r="S536" s="165"/>
      <c r="T536" s="166"/>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92"/>
      <c r="AR536" s="192"/>
      <c r="AS536" s="192"/>
      <c r="AT536" s="192"/>
      <c r="AU536" s="192"/>
      <c r="AV536" s="192"/>
      <c r="AW536" s="192"/>
      <c r="AX536" s="192"/>
      <c r="AY536" s="192"/>
      <c r="AZ536" s="192"/>
      <c r="BA536" s="192"/>
      <c r="BB536" s="192"/>
      <c r="BC536" s="192"/>
      <c r="BD536" s="192"/>
      <c r="BE536" s="192"/>
      <c r="BF536" s="192"/>
      <c r="BG536" s="192"/>
      <c r="BH536" s="192"/>
      <c r="BI536" s="192"/>
      <c r="BJ536" s="192"/>
      <c r="BK536" s="192"/>
      <c r="BL536" s="192"/>
      <c r="BM536" s="192"/>
      <c r="BN536" s="192"/>
    </row>
    <row r="537" ht="29.25" customHeight="1">
      <c r="A537" s="189"/>
      <c r="B537" s="190"/>
      <c r="C537" s="157"/>
      <c r="D537" s="157"/>
      <c r="E537" s="158"/>
      <c r="F537" s="166"/>
      <c r="G537" s="161"/>
      <c r="H537" s="161"/>
      <c r="I537" s="162"/>
      <c r="J537" s="163"/>
      <c r="K537" s="163"/>
      <c r="L537" s="163"/>
      <c r="M537" s="160"/>
      <c r="N537" s="162"/>
      <c r="O537" s="164"/>
      <c r="P537" s="140"/>
      <c r="Q537" s="191"/>
      <c r="R537" s="165"/>
      <c r="S537" s="165"/>
      <c r="T537" s="166"/>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92"/>
      <c r="AR537" s="192"/>
      <c r="AS537" s="192"/>
      <c r="AT537" s="192"/>
      <c r="AU537" s="192"/>
      <c r="AV537" s="192"/>
      <c r="AW537" s="192"/>
      <c r="AX537" s="192"/>
      <c r="AY537" s="192"/>
      <c r="AZ537" s="192"/>
      <c r="BA537" s="192"/>
      <c r="BB537" s="192"/>
      <c r="BC537" s="192"/>
      <c r="BD537" s="192"/>
      <c r="BE537" s="192"/>
      <c r="BF537" s="192"/>
      <c r="BG537" s="192"/>
      <c r="BH537" s="192"/>
      <c r="BI537" s="192"/>
      <c r="BJ537" s="192"/>
      <c r="BK537" s="192"/>
      <c r="BL537" s="192"/>
      <c r="BM537" s="192"/>
      <c r="BN537" s="192"/>
    </row>
    <row r="538" ht="29.25" customHeight="1">
      <c r="A538" s="189"/>
      <c r="B538" s="190"/>
      <c r="C538" s="157"/>
      <c r="D538" s="157"/>
      <c r="E538" s="158"/>
      <c r="F538" s="166"/>
      <c r="G538" s="161"/>
      <c r="H538" s="161"/>
      <c r="I538" s="162"/>
      <c r="J538" s="163"/>
      <c r="K538" s="163"/>
      <c r="L538" s="163"/>
      <c r="M538" s="160"/>
      <c r="N538" s="162"/>
      <c r="O538" s="164"/>
      <c r="P538" s="140"/>
      <c r="Q538" s="191"/>
      <c r="R538" s="165"/>
      <c r="S538" s="165"/>
      <c r="T538" s="166"/>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92"/>
      <c r="AR538" s="192"/>
      <c r="AS538" s="192"/>
      <c r="AT538" s="192"/>
      <c r="AU538" s="192"/>
      <c r="AV538" s="192"/>
      <c r="AW538" s="192"/>
      <c r="AX538" s="192"/>
      <c r="AY538" s="192"/>
      <c r="AZ538" s="192"/>
      <c r="BA538" s="192"/>
      <c r="BB538" s="192"/>
      <c r="BC538" s="192"/>
      <c r="BD538" s="192"/>
      <c r="BE538" s="192"/>
      <c r="BF538" s="192"/>
      <c r="BG538" s="192"/>
      <c r="BH538" s="192"/>
      <c r="BI538" s="192"/>
      <c r="BJ538" s="192"/>
      <c r="BK538" s="192"/>
      <c r="BL538" s="192"/>
      <c r="BM538" s="192"/>
      <c r="BN538" s="192"/>
    </row>
    <row r="539" ht="29.25" customHeight="1">
      <c r="A539" s="189"/>
      <c r="B539" s="190"/>
      <c r="C539" s="157"/>
      <c r="D539" s="157"/>
      <c r="E539" s="158"/>
      <c r="F539" s="166"/>
      <c r="G539" s="161"/>
      <c r="H539" s="161"/>
      <c r="I539" s="162"/>
      <c r="J539" s="163"/>
      <c r="K539" s="163"/>
      <c r="L539" s="163"/>
      <c r="M539" s="160"/>
      <c r="N539" s="162"/>
      <c r="O539" s="164"/>
      <c r="P539" s="140"/>
      <c r="Q539" s="191"/>
      <c r="R539" s="165"/>
      <c r="S539" s="165"/>
      <c r="T539" s="166"/>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92"/>
      <c r="AR539" s="192"/>
      <c r="AS539" s="192"/>
      <c r="AT539" s="192"/>
      <c r="AU539" s="192"/>
      <c r="AV539" s="192"/>
      <c r="AW539" s="192"/>
      <c r="AX539" s="192"/>
      <c r="AY539" s="192"/>
      <c r="AZ539" s="192"/>
      <c r="BA539" s="192"/>
      <c r="BB539" s="192"/>
      <c r="BC539" s="192"/>
      <c r="BD539" s="192"/>
      <c r="BE539" s="192"/>
      <c r="BF539" s="192"/>
      <c r="BG539" s="192"/>
      <c r="BH539" s="192"/>
      <c r="BI539" s="192"/>
      <c r="BJ539" s="192"/>
      <c r="BK539" s="192"/>
      <c r="BL539" s="192"/>
      <c r="BM539" s="192"/>
      <c r="BN539" s="192"/>
    </row>
    <row r="540" ht="29.25" customHeight="1">
      <c r="A540" s="189"/>
      <c r="B540" s="190"/>
      <c r="C540" s="157"/>
      <c r="D540" s="157"/>
      <c r="E540" s="158"/>
      <c r="F540" s="166"/>
      <c r="G540" s="161"/>
      <c r="H540" s="161"/>
      <c r="I540" s="162"/>
      <c r="J540" s="163"/>
      <c r="K540" s="163"/>
      <c r="L540" s="163"/>
      <c r="M540" s="160"/>
      <c r="N540" s="162"/>
      <c r="O540" s="164"/>
      <c r="P540" s="140"/>
      <c r="Q540" s="191"/>
      <c r="R540" s="165"/>
      <c r="S540" s="165"/>
      <c r="T540" s="166"/>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92"/>
      <c r="AR540" s="192"/>
      <c r="AS540" s="192"/>
      <c r="AT540" s="192"/>
      <c r="AU540" s="192"/>
      <c r="AV540" s="192"/>
      <c r="AW540" s="192"/>
      <c r="AX540" s="192"/>
      <c r="AY540" s="192"/>
      <c r="AZ540" s="192"/>
      <c r="BA540" s="192"/>
      <c r="BB540" s="192"/>
      <c r="BC540" s="192"/>
      <c r="BD540" s="192"/>
      <c r="BE540" s="192"/>
      <c r="BF540" s="192"/>
      <c r="BG540" s="192"/>
      <c r="BH540" s="192"/>
      <c r="BI540" s="192"/>
      <c r="BJ540" s="192"/>
      <c r="BK540" s="192"/>
      <c r="BL540" s="192"/>
      <c r="BM540" s="192"/>
      <c r="BN540" s="192"/>
    </row>
    <row r="541" ht="29.25" customHeight="1">
      <c r="A541" s="189"/>
      <c r="B541" s="190"/>
      <c r="C541" s="157"/>
      <c r="D541" s="157"/>
      <c r="E541" s="158"/>
      <c r="F541" s="166"/>
      <c r="G541" s="161"/>
      <c r="H541" s="161"/>
      <c r="I541" s="162"/>
      <c r="J541" s="163"/>
      <c r="K541" s="163"/>
      <c r="L541" s="163"/>
      <c r="M541" s="160"/>
      <c r="N541" s="162"/>
      <c r="O541" s="164"/>
      <c r="P541" s="140"/>
      <c r="Q541" s="191"/>
      <c r="R541" s="165"/>
      <c r="S541" s="165"/>
      <c r="T541" s="166"/>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92"/>
      <c r="AR541" s="192"/>
      <c r="AS541" s="192"/>
      <c r="AT541" s="192"/>
      <c r="AU541" s="192"/>
      <c r="AV541" s="192"/>
      <c r="AW541" s="192"/>
      <c r="AX541" s="192"/>
      <c r="AY541" s="192"/>
      <c r="AZ541" s="192"/>
      <c r="BA541" s="192"/>
      <c r="BB541" s="192"/>
      <c r="BC541" s="192"/>
      <c r="BD541" s="192"/>
      <c r="BE541" s="192"/>
      <c r="BF541" s="192"/>
      <c r="BG541" s="192"/>
      <c r="BH541" s="192"/>
      <c r="BI541" s="192"/>
      <c r="BJ541" s="192"/>
      <c r="BK541" s="192"/>
      <c r="BL541" s="192"/>
      <c r="BM541" s="192"/>
      <c r="BN541" s="192"/>
    </row>
    <row r="542" ht="29.25" customHeight="1">
      <c r="A542" s="189"/>
      <c r="B542" s="190"/>
      <c r="C542" s="157"/>
      <c r="D542" s="157"/>
      <c r="E542" s="158"/>
      <c r="F542" s="166"/>
      <c r="G542" s="161"/>
      <c r="H542" s="161"/>
      <c r="I542" s="162"/>
      <c r="J542" s="163"/>
      <c r="K542" s="163"/>
      <c r="L542" s="163"/>
      <c r="M542" s="160"/>
      <c r="N542" s="162"/>
      <c r="O542" s="164"/>
      <c r="P542" s="140"/>
      <c r="Q542" s="191"/>
      <c r="R542" s="165"/>
      <c r="S542" s="165"/>
      <c r="T542" s="166"/>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92"/>
      <c r="AR542" s="192"/>
      <c r="AS542" s="192"/>
      <c r="AT542" s="192"/>
      <c r="AU542" s="192"/>
      <c r="AV542" s="192"/>
      <c r="AW542" s="192"/>
      <c r="AX542" s="192"/>
      <c r="AY542" s="192"/>
      <c r="AZ542" s="192"/>
      <c r="BA542" s="192"/>
      <c r="BB542" s="192"/>
      <c r="BC542" s="192"/>
      <c r="BD542" s="192"/>
      <c r="BE542" s="192"/>
      <c r="BF542" s="192"/>
      <c r="BG542" s="192"/>
      <c r="BH542" s="192"/>
      <c r="BI542" s="192"/>
      <c r="BJ542" s="192"/>
      <c r="BK542" s="192"/>
      <c r="BL542" s="192"/>
      <c r="BM542" s="192"/>
      <c r="BN542" s="192"/>
    </row>
    <row r="543" ht="29.25" customHeight="1">
      <c r="A543" s="189"/>
      <c r="B543" s="190"/>
      <c r="C543" s="157"/>
      <c r="D543" s="157"/>
      <c r="E543" s="158"/>
      <c r="F543" s="166"/>
      <c r="G543" s="161"/>
      <c r="H543" s="161"/>
      <c r="I543" s="162"/>
      <c r="J543" s="163"/>
      <c r="K543" s="163"/>
      <c r="L543" s="163"/>
      <c r="M543" s="160"/>
      <c r="N543" s="162"/>
      <c r="O543" s="164"/>
      <c r="P543" s="140"/>
      <c r="Q543" s="191"/>
      <c r="R543" s="165"/>
      <c r="S543" s="165"/>
      <c r="T543" s="166"/>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92"/>
      <c r="AR543" s="192"/>
      <c r="AS543" s="192"/>
      <c r="AT543" s="192"/>
      <c r="AU543" s="192"/>
      <c r="AV543" s="192"/>
      <c r="AW543" s="192"/>
      <c r="AX543" s="192"/>
      <c r="AY543" s="192"/>
      <c r="AZ543" s="192"/>
      <c r="BA543" s="192"/>
      <c r="BB543" s="192"/>
      <c r="BC543" s="192"/>
      <c r="BD543" s="192"/>
      <c r="BE543" s="192"/>
      <c r="BF543" s="192"/>
      <c r="BG543" s="192"/>
      <c r="BH543" s="192"/>
      <c r="BI543" s="192"/>
      <c r="BJ543" s="192"/>
      <c r="BK543" s="192"/>
      <c r="BL543" s="192"/>
      <c r="BM543" s="192"/>
      <c r="BN543" s="192"/>
    </row>
    <row r="544" ht="29.25" customHeight="1">
      <c r="A544" s="189"/>
      <c r="B544" s="190"/>
      <c r="C544" s="157"/>
      <c r="D544" s="157"/>
      <c r="E544" s="158"/>
      <c r="F544" s="166"/>
      <c r="G544" s="161"/>
      <c r="H544" s="161"/>
      <c r="I544" s="162"/>
      <c r="J544" s="163"/>
      <c r="K544" s="163"/>
      <c r="L544" s="163"/>
      <c r="M544" s="160"/>
      <c r="N544" s="162"/>
      <c r="O544" s="164"/>
      <c r="P544" s="140"/>
      <c r="Q544" s="191"/>
      <c r="R544" s="165"/>
      <c r="S544" s="165"/>
      <c r="T544" s="166"/>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92"/>
      <c r="AR544" s="192"/>
      <c r="AS544" s="192"/>
      <c r="AT544" s="192"/>
      <c r="AU544" s="192"/>
      <c r="AV544" s="192"/>
      <c r="AW544" s="192"/>
      <c r="AX544" s="192"/>
      <c r="AY544" s="192"/>
      <c r="AZ544" s="192"/>
      <c r="BA544" s="192"/>
      <c r="BB544" s="192"/>
      <c r="BC544" s="192"/>
      <c r="BD544" s="192"/>
      <c r="BE544" s="192"/>
      <c r="BF544" s="192"/>
      <c r="BG544" s="192"/>
      <c r="BH544" s="192"/>
      <c r="BI544" s="192"/>
      <c r="BJ544" s="192"/>
      <c r="BK544" s="192"/>
      <c r="BL544" s="192"/>
      <c r="BM544" s="192"/>
      <c r="BN544" s="192"/>
    </row>
    <row r="545" ht="29.25" customHeight="1">
      <c r="A545" s="189"/>
      <c r="B545" s="190"/>
      <c r="C545" s="157"/>
      <c r="D545" s="157"/>
      <c r="E545" s="158"/>
      <c r="F545" s="166"/>
      <c r="G545" s="161"/>
      <c r="H545" s="161"/>
      <c r="I545" s="162"/>
      <c r="J545" s="163"/>
      <c r="K545" s="163"/>
      <c r="L545" s="163"/>
      <c r="M545" s="160"/>
      <c r="N545" s="162"/>
      <c r="O545" s="164"/>
      <c r="P545" s="140"/>
      <c r="Q545" s="191"/>
      <c r="R545" s="165"/>
      <c r="S545" s="165"/>
      <c r="T545" s="166"/>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92"/>
      <c r="AR545" s="192"/>
      <c r="AS545" s="192"/>
      <c r="AT545" s="192"/>
      <c r="AU545" s="192"/>
      <c r="AV545" s="192"/>
      <c r="AW545" s="192"/>
      <c r="AX545" s="192"/>
      <c r="AY545" s="192"/>
      <c r="AZ545" s="192"/>
      <c r="BA545" s="192"/>
      <c r="BB545" s="192"/>
      <c r="BC545" s="192"/>
      <c r="BD545" s="192"/>
      <c r="BE545" s="192"/>
      <c r="BF545" s="192"/>
      <c r="BG545" s="192"/>
      <c r="BH545" s="192"/>
      <c r="BI545" s="192"/>
      <c r="BJ545" s="192"/>
      <c r="BK545" s="192"/>
      <c r="BL545" s="192"/>
      <c r="BM545" s="192"/>
      <c r="BN545" s="192"/>
    </row>
    <row r="546" ht="29.25" customHeight="1">
      <c r="A546" s="189"/>
      <c r="B546" s="190"/>
      <c r="C546" s="157"/>
      <c r="D546" s="157"/>
      <c r="E546" s="158"/>
      <c r="F546" s="166"/>
      <c r="G546" s="161"/>
      <c r="H546" s="161"/>
      <c r="I546" s="162"/>
      <c r="J546" s="163"/>
      <c r="K546" s="163"/>
      <c r="L546" s="163"/>
      <c r="M546" s="160"/>
      <c r="N546" s="162"/>
      <c r="O546" s="164"/>
      <c r="P546" s="140"/>
      <c r="Q546" s="191"/>
      <c r="R546" s="165"/>
      <c r="S546" s="165"/>
      <c r="T546" s="166"/>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92"/>
      <c r="AR546" s="192"/>
      <c r="AS546" s="192"/>
      <c r="AT546" s="192"/>
      <c r="AU546" s="192"/>
      <c r="AV546" s="192"/>
      <c r="AW546" s="192"/>
      <c r="AX546" s="192"/>
      <c r="AY546" s="192"/>
      <c r="AZ546" s="192"/>
      <c r="BA546" s="192"/>
      <c r="BB546" s="192"/>
      <c r="BC546" s="192"/>
      <c r="BD546" s="192"/>
      <c r="BE546" s="192"/>
      <c r="BF546" s="192"/>
      <c r="BG546" s="192"/>
      <c r="BH546" s="192"/>
      <c r="BI546" s="192"/>
      <c r="BJ546" s="192"/>
      <c r="BK546" s="192"/>
      <c r="BL546" s="192"/>
      <c r="BM546" s="192"/>
      <c r="BN546" s="192"/>
    </row>
    <row r="547" ht="29.25" customHeight="1">
      <c r="A547" s="189"/>
      <c r="B547" s="190"/>
      <c r="C547" s="157"/>
      <c r="D547" s="157"/>
      <c r="E547" s="158"/>
      <c r="F547" s="166"/>
      <c r="G547" s="161"/>
      <c r="H547" s="161"/>
      <c r="I547" s="162"/>
      <c r="J547" s="163"/>
      <c r="K547" s="163"/>
      <c r="L547" s="163"/>
      <c r="M547" s="160"/>
      <c r="N547" s="162"/>
      <c r="O547" s="164"/>
      <c r="P547" s="140"/>
      <c r="Q547" s="191"/>
      <c r="R547" s="165"/>
      <c r="S547" s="165"/>
      <c r="T547" s="166"/>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92"/>
      <c r="AR547" s="192"/>
      <c r="AS547" s="192"/>
      <c r="AT547" s="192"/>
      <c r="AU547" s="192"/>
      <c r="AV547" s="192"/>
      <c r="AW547" s="192"/>
      <c r="AX547" s="192"/>
      <c r="AY547" s="192"/>
      <c r="AZ547" s="192"/>
      <c r="BA547" s="192"/>
      <c r="BB547" s="192"/>
      <c r="BC547" s="192"/>
      <c r="BD547" s="192"/>
      <c r="BE547" s="192"/>
      <c r="BF547" s="192"/>
      <c r="BG547" s="192"/>
      <c r="BH547" s="192"/>
      <c r="BI547" s="192"/>
      <c r="BJ547" s="192"/>
      <c r="BK547" s="192"/>
      <c r="BL547" s="192"/>
      <c r="BM547" s="192"/>
      <c r="BN547" s="192"/>
    </row>
    <row r="548" ht="29.25" customHeight="1">
      <c r="A548" s="189"/>
      <c r="B548" s="190"/>
      <c r="C548" s="157"/>
      <c r="D548" s="157"/>
      <c r="E548" s="158"/>
      <c r="F548" s="166"/>
      <c r="G548" s="161"/>
      <c r="H548" s="161"/>
      <c r="I548" s="162"/>
      <c r="J548" s="163"/>
      <c r="K548" s="163"/>
      <c r="L548" s="163"/>
      <c r="M548" s="160"/>
      <c r="N548" s="162"/>
      <c r="O548" s="164"/>
      <c r="P548" s="140"/>
      <c r="Q548" s="191"/>
      <c r="R548" s="165"/>
      <c r="S548" s="165"/>
      <c r="T548" s="166"/>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92"/>
      <c r="AR548" s="192"/>
      <c r="AS548" s="192"/>
      <c r="AT548" s="192"/>
      <c r="AU548" s="192"/>
      <c r="AV548" s="192"/>
      <c r="AW548" s="192"/>
      <c r="AX548" s="192"/>
      <c r="AY548" s="192"/>
      <c r="AZ548" s="192"/>
      <c r="BA548" s="192"/>
      <c r="BB548" s="192"/>
      <c r="BC548" s="192"/>
      <c r="BD548" s="192"/>
      <c r="BE548" s="192"/>
      <c r="BF548" s="192"/>
      <c r="BG548" s="192"/>
      <c r="BH548" s="192"/>
      <c r="BI548" s="192"/>
      <c r="BJ548" s="192"/>
      <c r="BK548" s="192"/>
      <c r="BL548" s="192"/>
      <c r="BM548" s="192"/>
      <c r="BN548" s="192"/>
    </row>
    <row r="549" ht="29.25" customHeight="1">
      <c r="A549" s="189"/>
      <c r="B549" s="190"/>
      <c r="C549" s="157"/>
      <c r="D549" s="157"/>
      <c r="E549" s="158"/>
      <c r="F549" s="166"/>
      <c r="G549" s="161"/>
      <c r="H549" s="161"/>
      <c r="I549" s="162"/>
      <c r="J549" s="163"/>
      <c r="K549" s="163"/>
      <c r="L549" s="163"/>
      <c r="M549" s="160"/>
      <c r="N549" s="162"/>
      <c r="O549" s="164"/>
      <c r="P549" s="140"/>
      <c r="Q549" s="191"/>
      <c r="R549" s="165"/>
      <c r="S549" s="165"/>
      <c r="T549" s="166"/>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92"/>
      <c r="AR549" s="192"/>
      <c r="AS549" s="192"/>
      <c r="AT549" s="192"/>
      <c r="AU549" s="192"/>
      <c r="AV549" s="192"/>
      <c r="AW549" s="192"/>
      <c r="AX549" s="192"/>
      <c r="AY549" s="192"/>
      <c r="AZ549" s="192"/>
      <c r="BA549" s="192"/>
      <c r="BB549" s="192"/>
      <c r="BC549" s="192"/>
      <c r="BD549" s="192"/>
      <c r="BE549" s="192"/>
      <c r="BF549" s="192"/>
      <c r="BG549" s="192"/>
      <c r="BH549" s="192"/>
      <c r="BI549" s="192"/>
      <c r="BJ549" s="192"/>
      <c r="BK549" s="192"/>
      <c r="BL549" s="192"/>
      <c r="BM549" s="192"/>
      <c r="BN549" s="192"/>
    </row>
    <row r="550" ht="29.25" customHeight="1">
      <c r="A550" s="189"/>
      <c r="B550" s="190"/>
      <c r="C550" s="157"/>
      <c r="D550" s="157"/>
      <c r="E550" s="158"/>
      <c r="F550" s="166"/>
      <c r="G550" s="161"/>
      <c r="H550" s="161"/>
      <c r="I550" s="162"/>
      <c r="J550" s="163"/>
      <c r="K550" s="163"/>
      <c r="L550" s="163"/>
      <c r="M550" s="160"/>
      <c r="N550" s="162"/>
      <c r="O550" s="164"/>
      <c r="P550" s="140"/>
      <c r="Q550" s="191"/>
      <c r="R550" s="165"/>
      <c r="S550" s="165"/>
      <c r="T550" s="166"/>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92"/>
      <c r="AR550" s="192"/>
      <c r="AS550" s="192"/>
      <c r="AT550" s="192"/>
      <c r="AU550" s="192"/>
      <c r="AV550" s="192"/>
      <c r="AW550" s="192"/>
      <c r="AX550" s="192"/>
      <c r="AY550" s="192"/>
      <c r="AZ550" s="192"/>
      <c r="BA550" s="192"/>
      <c r="BB550" s="192"/>
      <c r="BC550" s="192"/>
      <c r="BD550" s="192"/>
      <c r="BE550" s="192"/>
      <c r="BF550" s="192"/>
      <c r="BG550" s="192"/>
      <c r="BH550" s="192"/>
      <c r="BI550" s="192"/>
      <c r="BJ550" s="192"/>
      <c r="BK550" s="192"/>
      <c r="BL550" s="192"/>
      <c r="BM550" s="192"/>
      <c r="BN550" s="192"/>
    </row>
    <row r="551" ht="29.25" customHeight="1">
      <c r="A551" s="189"/>
      <c r="B551" s="190"/>
      <c r="C551" s="157"/>
      <c r="D551" s="157"/>
      <c r="E551" s="158"/>
      <c r="F551" s="166"/>
      <c r="G551" s="161"/>
      <c r="H551" s="161"/>
      <c r="I551" s="162"/>
      <c r="J551" s="163"/>
      <c r="K551" s="163"/>
      <c r="L551" s="163"/>
      <c r="M551" s="160"/>
      <c r="N551" s="162"/>
      <c r="O551" s="164"/>
      <c r="P551" s="140"/>
      <c r="Q551" s="191"/>
      <c r="R551" s="165"/>
      <c r="S551" s="165"/>
      <c r="T551" s="166"/>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92"/>
      <c r="AR551" s="192"/>
      <c r="AS551" s="192"/>
      <c r="AT551" s="192"/>
      <c r="AU551" s="192"/>
      <c r="AV551" s="192"/>
      <c r="AW551" s="192"/>
      <c r="AX551" s="192"/>
      <c r="AY551" s="192"/>
      <c r="AZ551" s="192"/>
      <c r="BA551" s="192"/>
      <c r="BB551" s="192"/>
      <c r="BC551" s="192"/>
      <c r="BD551" s="192"/>
      <c r="BE551" s="192"/>
      <c r="BF551" s="192"/>
      <c r="BG551" s="192"/>
      <c r="BH551" s="192"/>
      <c r="BI551" s="192"/>
      <c r="BJ551" s="192"/>
      <c r="BK551" s="192"/>
      <c r="BL551" s="192"/>
      <c r="BM551" s="192"/>
      <c r="BN551" s="192"/>
    </row>
    <row r="552" ht="29.25" customHeight="1">
      <c r="A552" s="189"/>
      <c r="B552" s="190"/>
      <c r="C552" s="157"/>
      <c r="D552" s="157"/>
      <c r="E552" s="158"/>
      <c r="F552" s="166"/>
      <c r="G552" s="161"/>
      <c r="H552" s="161"/>
      <c r="I552" s="162"/>
      <c r="J552" s="163"/>
      <c r="K552" s="163"/>
      <c r="L552" s="163"/>
      <c r="M552" s="160"/>
      <c r="N552" s="162"/>
      <c r="O552" s="164"/>
      <c r="P552" s="140"/>
      <c r="Q552" s="191"/>
      <c r="R552" s="165"/>
      <c r="S552" s="165"/>
      <c r="T552" s="166"/>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92"/>
      <c r="AR552" s="192"/>
      <c r="AS552" s="192"/>
      <c r="AT552" s="192"/>
      <c r="AU552" s="192"/>
      <c r="AV552" s="192"/>
      <c r="AW552" s="192"/>
      <c r="AX552" s="192"/>
      <c r="AY552" s="192"/>
      <c r="AZ552" s="192"/>
      <c r="BA552" s="192"/>
      <c r="BB552" s="192"/>
      <c r="BC552" s="192"/>
      <c r="BD552" s="192"/>
      <c r="BE552" s="192"/>
      <c r="BF552" s="192"/>
      <c r="BG552" s="192"/>
      <c r="BH552" s="192"/>
      <c r="BI552" s="192"/>
      <c r="BJ552" s="192"/>
      <c r="BK552" s="192"/>
      <c r="BL552" s="192"/>
      <c r="BM552" s="192"/>
      <c r="BN552" s="192"/>
    </row>
    <row r="553" ht="29.25" customHeight="1">
      <c r="A553" s="189"/>
      <c r="B553" s="190"/>
      <c r="C553" s="157"/>
      <c r="D553" s="157"/>
      <c r="E553" s="158"/>
      <c r="F553" s="166"/>
      <c r="G553" s="161"/>
      <c r="H553" s="161"/>
      <c r="I553" s="162"/>
      <c r="J553" s="163"/>
      <c r="K553" s="163"/>
      <c r="L553" s="163"/>
      <c r="M553" s="160"/>
      <c r="N553" s="162"/>
      <c r="O553" s="164"/>
      <c r="P553" s="140"/>
      <c r="Q553" s="191"/>
      <c r="R553" s="165"/>
      <c r="S553" s="165"/>
      <c r="T553" s="166"/>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92"/>
      <c r="AR553" s="192"/>
      <c r="AS553" s="192"/>
      <c r="AT553" s="192"/>
      <c r="AU553" s="192"/>
      <c r="AV553" s="192"/>
      <c r="AW553" s="192"/>
      <c r="AX553" s="192"/>
      <c r="AY553" s="192"/>
      <c r="AZ553" s="192"/>
      <c r="BA553" s="192"/>
      <c r="BB553" s="192"/>
      <c r="BC553" s="192"/>
      <c r="BD553" s="192"/>
      <c r="BE553" s="192"/>
      <c r="BF553" s="192"/>
      <c r="BG553" s="192"/>
      <c r="BH553" s="192"/>
      <c r="BI553" s="192"/>
      <c r="BJ553" s="192"/>
      <c r="BK553" s="192"/>
      <c r="BL553" s="192"/>
      <c r="BM553" s="192"/>
      <c r="BN553" s="192"/>
    </row>
    <row r="554" ht="29.25" customHeight="1">
      <c r="A554" s="189"/>
      <c r="B554" s="190"/>
      <c r="C554" s="157"/>
      <c r="D554" s="157"/>
      <c r="E554" s="158"/>
      <c r="F554" s="166"/>
      <c r="G554" s="161"/>
      <c r="H554" s="161"/>
      <c r="I554" s="162"/>
      <c r="J554" s="163"/>
      <c r="K554" s="163"/>
      <c r="L554" s="163"/>
      <c r="M554" s="160"/>
      <c r="N554" s="162"/>
      <c r="O554" s="164"/>
      <c r="P554" s="140"/>
      <c r="Q554" s="191"/>
      <c r="R554" s="165"/>
      <c r="S554" s="165"/>
      <c r="T554" s="166"/>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92"/>
      <c r="AR554" s="192"/>
      <c r="AS554" s="192"/>
      <c r="AT554" s="192"/>
      <c r="AU554" s="192"/>
      <c r="AV554" s="192"/>
      <c r="AW554" s="192"/>
      <c r="AX554" s="192"/>
      <c r="AY554" s="192"/>
      <c r="AZ554" s="192"/>
      <c r="BA554" s="192"/>
      <c r="BB554" s="192"/>
      <c r="BC554" s="192"/>
      <c r="BD554" s="192"/>
      <c r="BE554" s="192"/>
      <c r="BF554" s="192"/>
      <c r="BG554" s="192"/>
      <c r="BH554" s="192"/>
      <c r="BI554" s="192"/>
      <c r="BJ554" s="192"/>
      <c r="BK554" s="192"/>
      <c r="BL554" s="192"/>
      <c r="BM554" s="192"/>
      <c r="BN554" s="192"/>
    </row>
    <row r="555" ht="29.25" customHeight="1">
      <c r="A555" s="189"/>
      <c r="B555" s="190"/>
      <c r="C555" s="157"/>
      <c r="D555" s="157"/>
      <c r="E555" s="158"/>
      <c r="F555" s="166"/>
      <c r="G555" s="161"/>
      <c r="H555" s="161"/>
      <c r="I555" s="162"/>
      <c r="J555" s="163"/>
      <c r="K555" s="163"/>
      <c r="L555" s="163"/>
      <c r="M555" s="160"/>
      <c r="N555" s="162"/>
      <c r="O555" s="164"/>
      <c r="P555" s="140"/>
      <c r="Q555" s="191"/>
      <c r="R555" s="165"/>
      <c r="S555" s="165"/>
      <c r="T555" s="166"/>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92"/>
      <c r="AR555" s="192"/>
      <c r="AS555" s="192"/>
      <c r="AT555" s="192"/>
      <c r="AU555" s="192"/>
      <c r="AV555" s="192"/>
      <c r="AW555" s="192"/>
      <c r="AX555" s="192"/>
      <c r="AY555" s="192"/>
      <c r="AZ555" s="192"/>
      <c r="BA555" s="192"/>
      <c r="BB555" s="192"/>
      <c r="BC555" s="192"/>
      <c r="BD555" s="192"/>
      <c r="BE555" s="192"/>
      <c r="BF555" s="192"/>
      <c r="BG555" s="192"/>
      <c r="BH555" s="192"/>
      <c r="BI555" s="192"/>
      <c r="BJ555" s="192"/>
      <c r="BK555" s="192"/>
      <c r="BL555" s="192"/>
      <c r="BM555" s="192"/>
      <c r="BN555" s="192"/>
    </row>
    <row r="556" ht="29.25" customHeight="1">
      <c r="A556" s="189"/>
      <c r="B556" s="190"/>
      <c r="C556" s="157"/>
      <c r="D556" s="157"/>
      <c r="E556" s="158"/>
      <c r="F556" s="166"/>
      <c r="G556" s="161"/>
      <c r="H556" s="161"/>
      <c r="I556" s="162"/>
      <c r="J556" s="163"/>
      <c r="K556" s="163"/>
      <c r="L556" s="163"/>
      <c r="M556" s="160"/>
      <c r="N556" s="162"/>
      <c r="O556" s="164"/>
      <c r="P556" s="140"/>
      <c r="Q556" s="191"/>
      <c r="R556" s="165"/>
      <c r="S556" s="165"/>
      <c r="T556" s="166"/>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92"/>
      <c r="AR556" s="192"/>
      <c r="AS556" s="192"/>
      <c r="AT556" s="192"/>
      <c r="AU556" s="192"/>
      <c r="AV556" s="192"/>
      <c r="AW556" s="192"/>
      <c r="AX556" s="192"/>
      <c r="AY556" s="192"/>
      <c r="AZ556" s="192"/>
      <c r="BA556" s="192"/>
      <c r="BB556" s="192"/>
      <c r="BC556" s="192"/>
      <c r="BD556" s="192"/>
      <c r="BE556" s="192"/>
      <c r="BF556" s="192"/>
      <c r="BG556" s="192"/>
      <c r="BH556" s="192"/>
      <c r="BI556" s="192"/>
      <c r="BJ556" s="192"/>
      <c r="BK556" s="192"/>
      <c r="BL556" s="192"/>
      <c r="BM556" s="192"/>
      <c r="BN556" s="192"/>
    </row>
    <row r="557" ht="29.25" customHeight="1">
      <c r="A557" s="189"/>
      <c r="B557" s="190"/>
      <c r="C557" s="157"/>
      <c r="D557" s="157"/>
      <c r="E557" s="158"/>
      <c r="F557" s="166"/>
      <c r="G557" s="161"/>
      <c r="H557" s="161"/>
      <c r="I557" s="162"/>
      <c r="J557" s="163"/>
      <c r="K557" s="163"/>
      <c r="L557" s="163"/>
      <c r="M557" s="160"/>
      <c r="N557" s="162"/>
      <c r="O557" s="164"/>
      <c r="P557" s="140"/>
      <c r="Q557" s="191"/>
      <c r="R557" s="165"/>
      <c r="S557" s="165"/>
      <c r="T557" s="166"/>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92"/>
      <c r="AR557" s="192"/>
      <c r="AS557" s="192"/>
      <c r="AT557" s="192"/>
      <c r="AU557" s="192"/>
      <c r="AV557" s="192"/>
      <c r="AW557" s="192"/>
      <c r="AX557" s="192"/>
      <c r="AY557" s="192"/>
      <c r="AZ557" s="192"/>
      <c r="BA557" s="192"/>
      <c r="BB557" s="192"/>
      <c r="BC557" s="192"/>
      <c r="BD557" s="192"/>
      <c r="BE557" s="192"/>
      <c r="BF557" s="192"/>
      <c r="BG557" s="192"/>
      <c r="BH557" s="192"/>
      <c r="BI557" s="192"/>
      <c r="BJ557" s="192"/>
      <c r="BK557" s="192"/>
      <c r="BL557" s="192"/>
      <c r="BM557" s="192"/>
      <c r="BN557" s="192"/>
    </row>
    <row r="558" ht="29.25" customHeight="1">
      <c r="A558" s="189"/>
      <c r="B558" s="190"/>
      <c r="C558" s="157"/>
      <c r="D558" s="157"/>
      <c r="E558" s="158"/>
      <c r="F558" s="166"/>
      <c r="G558" s="161"/>
      <c r="H558" s="161"/>
      <c r="I558" s="162"/>
      <c r="J558" s="163"/>
      <c r="K558" s="163"/>
      <c r="L558" s="163"/>
      <c r="M558" s="160"/>
      <c r="N558" s="162"/>
      <c r="O558" s="164"/>
      <c r="P558" s="140"/>
      <c r="Q558" s="191"/>
      <c r="R558" s="165"/>
      <c r="S558" s="165"/>
      <c r="T558" s="166"/>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92"/>
      <c r="AR558" s="192"/>
      <c r="AS558" s="192"/>
      <c r="AT558" s="192"/>
      <c r="AU558" s="192"/>
      <c r="AV558" s="192"/>
      <c r="AW558" s="192"/>
      <c r="AX558" s="192"/>
      <c r="AY558" s="192"/>
      <c r="AZ558" s="192"/>
      <c r="BA558" s="192"/>
      <c r="BB558" s="192"/>
      <c r="BC558" s="192"/>
      <c r="BD558" s="192"/>
      <c r="BE558" s="192"/>
      <c r="BF558" s="192"/>
      <c r="BG558" s="192"/>
      <c r="BH558" s="192"/>
      <c r="BI558" s="192"/>
      <c r="BJ558" s="192"/>
      <c r="BK558" s="192"/>
      <c r="BL558" s="192"/>
      <c r="BM558" s="192"/>
      <c r="BN558" s="192"/>
    </row>
    <row r="559" ht="29.25" customHeight="1">
      <c r="A559" s="189"/>
      <c r="B559" s="190"/>
      <c r="C559" s="157"/>
      <c r="D559" s="157"/>
      <c r="E559" s="158"/>
      <c r="F559" s="166"/>
      <c r="G559" s="161"/>
      <c r="H559" s="161"/>
      <c r="I559" s="162"/>
      <c r="J559" s="163"/>
      <c r="K559" s="163"/>
      <c r="L559" s="163"/>
      <c r="M559" s="160"/>
      <c r="N559" s="162"/>
      <c r="O559" s="164"/>
      <c r="P559" s="140"/>
      <c r="Q559" s="191"/>
      <c r="R559" s="165"/>
      <c r="S559" s="165"/>
      <c r="T559" s="166"/>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92"/>
      <c r="AR559" s="192"/>
      <c r="AS559" s="192"/>
      <c r="AT559" s="192"/>
      <c r="AU559" s="192"/>
      <c r="AV559" s="192"/>
      <c r="AW559" s="192"/>
      <c r="AX559" s="192"/>
      <c r="AY559" s="192"/>
      <c r="AZ559" s="192"/>
      <c r="BA559" s="192"/>
      <c r="BB559" s="192"/>
      <c r="BC559" s="192"/>
      <c r="BD559" s="192"/>
      <c r="BE559" s="192"/>
      <c r="BF559" s="192"/>
      <c r="BG559" s="192"/>
      <c r="BH559" s="192"/>
      <c r="BI559" s="192"/>
      <c r="BJ559" s="192"/>
      <c r="BK559" s="192"/>
      <c r="BL559" s="192"/>
      <c r="BM559" s="192"/>
      <c r="BN559" s="192"/>
    </row>
    <row r="560" ht="29.25" customHeight="1">
      <c r="A560" s="189"/>
      <c r="B560" s="190"/>
      <c r="C560" s="157"/>
      <c r="D560" s="157"/>
      <c r="E560" s="158"/>
      <c r="F560" s="166"/>
      <c r="G560" s="161"/>
      <c r="H560" s="161"/>
      <c r="I560" s="162"/>
      <c r="J560" s="163"/>
      <c r="K560" s="163"/>
      <c r="L560" s="163"/>
      <c r="M560" s="160"/>
      <c r="N560" s="162"/>
      <c r="O560" s="164"/>
      <c r="P560" s="140"/>
      <c r="Q560" s="191"/>
      <c r="R560" s="165"/>
      <c r="S560" s="165"/>
      <c r="T560" s="166"/>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92"/>
      <c r="AR560" s="192"/>
      <c r="AS560" s="192"/>
      <c r="AT560" s="192"/>
      <c r="AU560" s="192"/>
      <c r="AV560" s="192"/>
      <c r="AW560" s="192"/>
      <c r="AX560" s="192"/>
      <c r="AY560" s="192"/>
      <c r="AZ560" s="192"/>
      <c r="BA560" s="192"/>
      <c r="BB560" s="192"/>
      <c r="BC560" s="192"/>
      <c r="BD560" s="192"/>
      <c r="BE560" s="192"/>
      <c r="BF560" s="192"/>
      <c r="BG560" s="192"/>
      <c r="BH560" s="192"/>
      <c r="BI560" s="192"/>
      <c r="BJ560" s="192"/>
      <c r="BK560" s="192"/>
      <c r="BL560" s="192"/>
      <c r="BM560" s="192"/>
      <c r="BN560" s="192"/>
    </row>
    <row r="561" ht="29.25" customHeight="1">
      <c r="A561" s="189"/>
      <c r="B561" s="190"/>
      <c r="C561" s="157"/>
      <c r="D561" s="157"/>
      <c r="E561" s="158"/>
      <c r="F561" s="166"/>
      <c r="G561" s="161"/>
      <c r="H561" s="161"/>
      <c r="I561" s="162"/>
      <c r="J561" s="163"/>
      <c r="K561" s="163"/>
      <c r="L561" s="163"/>
      <c r="M561" s="160"/>
      <c r="N561" s="162"/>
      <c r="O561" s="164"/>
      <c r="P561" s="140"/>
      <c r="Q561" s="191"/>
      <c r="R561" s="165"/>
      <c r="S561" s="165"/>
      <c r="T561" s="166"/>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92"/>
      <c r="AR561" s="192"/>
      <c r="AS561" s="192"/>
      <c r="AT561" s="192"/>
      <c r="AU561" s="192"/>
      <c r="AV561" s="192"/>
      <c r="AW561" s="192"/>
      <c r="AX561" s="192"/>
      <c r="AY561" s="192"/>
      <c r="AZ561" s="192"/>
      <c r="BA561" s="192"/>
      <c r="BB561" s="192"/>
      <c r="BC561" s="192"/>
      <c r="BD561" s="192"/>
      <c r="BE561" s="192"/>
      <c r="BF561" s="192"/>
      <c r="BG561" s="192"/>
      <c r="BH561" s="192"/>
      <c r="BI561" s="192"/>
      <c r="BJ561" s="192"/>
      <c r="BK561" s="192"/>
      <c r="BL561" s="192"/>
      <c r="BM561" s="192"/>
      <c r="BN561" s="192"/>
    </row>
    <row r="562" ht="29.25" customHeight="1">
      <c r="A562" s="189"/>
      <c r="B562" s="190"/>
      <c r="C562" s="157"/>
      <c r="D562" s="157"/>
      <c r="E562" s="158"/>
      <c r="F562" s="166"/>
      <c r="G562" s="161"/>
      <c r="H562" s="161"/>
      <c r="I562" s="162"/>
      <c r="J562" s="163"/>
      <c r="K562" s="163"/>
      <c r="L562" s="163"/>
      <c r="M562" s="160"/>
      <c r="N562" s="162"/>
      <c r="O562" s="164"/>
      <c r="P562" s="140"/>
      <c r="Q562" s="191"/>
      <c r="R562" s="165"/>
      <c r="S562" s="165"/>
      <c r="T562" s="166"/>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92"/>
      <c r="AR562" s="192"/>
      <c r="AS562" s="192"/>
      <c r="AT562" s="192"/>
      <c r="AU562" s="192"/>
      <c r="AV562" s="192"/>
      <c r="AW562" s="192"/>
      <c r="AX562" s="192"/>
      <c r="AY562" s="192"/>
      <c r="AZ562" s="192"/>
      <c r="BA562" s="192"/>
      <c r="BB562" s="192"/>
      <c r="BC562" s="192"/>
      <c r="BD562" s="192"/>
      <c r="BE562" s="192"/>
      <c r="BF562" s="192"/>
      <c r="BG562" s="192"/>
      <c r="BH562" s="192"/>
      <c r="BI562" s="192"/>
      <c r="BJ562" s="192"/>
      <c r="BK562" s="192"/>
      <c r="BL562" s="192"/>
      <c r="BM562" s="192"/>
      <c r="BN562" s="192"/>
    </row>
    <row r="563" ht="29.25" customHeight="1">
      <c r="A563" s="189"/>
      <c r="B563" s="190"/>
      <c r="C563" s="157"/>
      <c r="D563" s="157"/>
      <c r="E563" s="158"/>
      <c r="F563" s="166"/>
      <c r="G563" s="161"/>
      <c r="H563" s="161"/>
      <c r="I563" s="162"/>
      <c r="J563" s="163"/>
      <c r="K563" s="163"/>
      <c r="L563" s="163"/>
      <c r="M563" s="160"/>
      <c r="N563" s="162"/>
      <c r="O563" s="164"/>
      <c r="P563" s="140"/>
      <c r="Q563" s="191"/>
      <c r="R563" s="165"/>
      <c r="S563" s="165"/>
      <c r="T563" s="166"/>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92"/>
      <c r="AR563" s="192"/>
      <c r="AS563" s="192"/>
      <c r="AT563" s="192"/>
      <c r="AU563" s="192"/>
      <c r="AV563" s="192"/>
      <c r="AW563" s="192"/>
      <c r="AX563" s="192"/>
      <c r="AY563" s="192"/>
      <c r="AZ563" s="192"/>
      <c r="BA563" s="192"/>
      <c r="BB563" s="192"/>
      <c r="BC563" s="192"/>
      <c r="BD563" s="192"/>
      <c r="BE563" s="192"/>
      <c r="BF563" s="192"/>
      <c r="BG563" s="192"/>
      <c r="BH563" s="192"/>
      <c r="BI563" s="192"/>
      <c r="BJ563" s="192"/>
      <c r="BK563" s="192"/>
      <c r="BL563" s="192"/>
      <c r="BM563" s="192"/>
      <c r="BN563" s="192"/>
    </row>
    <row r="564" ht="29.25" customHeight="1">
      <c r="A564" s="189"/>
      <c r="B564" s="190"/>
      <c r="C564" s="157"/>
      <c r="D564" s="157"/>
      <c r="E564" s="158"/>
      <c r="F564" s="166"/>
      <c r="G564" s="161"/>
      <c r="H564" s="161"/>
      <c r="I564" s="162"/>
      <c r="J564" s="163"/>
      <c r="K564" s="163"/>
      <c r="L564" s="163"/>
      <c r="M564" s="160"/>
      <c r="N564" s="162"/>
      <c r="O564" s="164"/>
      <c r="P564" s="140"/>
      <c r="Q564" s="191"/>
      <c r="R564" s="165"/>
      <c r="S564" s="165"/>
      <c r="T564" s="166"/>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92"/>
      <c r="AR564" s="192"/>
      <c r="AS564" s="192"/>
      <c r="AT564" s="192"/>
      <c r="AU564" s="192"/>
      <c r="AV564" s="192"/>
      <c r="AW564" s="192"/>
      <c r="AX564" s="192"/>
      <c r="AY564" s="192"/>
      <c r="AZ564" s="192"/>
      <c r="BA564" s="192"/>
      <c r="BB564" s="192"/>
      <c r="BC564" s="192"/>
      <c r="BD564" s="192"/>
      <c r="BE564" s="192"/>
      <c r="BF564" s="192"/>
      <c r="BG564" s="192"/>
      <c r="BH564" s="192"/>
      <c r="BI564" s="192"/>
      <c r="BJ564" s="192"/>
      <c r="BK564" s="192"/>
      <c r="BL564" s="192"/>
      <c r="BM564" s="192"/>
      <c r="BN564" s="192"/>
    </row>
    <row r="565" ht="29.25" customHeight="1">
      <c r="A565" s="189"/>
      <c r="B565" s="190"/>
      <c r="C565" s="157"/>
      <c r="D565" s="157"/>
      <c r="E565" s="158"/>
      <c r="F565" s="166"/>
      <c r="G565" s="161"/>
      <c r="H565" s="161"/>
      <c r="I565" s="162"/>
      <c r="J565" s="163"/>
      <c r="K565" s="163"/>
      <c r="L565" s="163"/>
      <c r="M565" s="160"/>
      <c r="N565" s="162"/>
      <c r="O565" s="164"/>
      <c r="P565" s="140"/>
      <c r="Q565" s="191"/>
      <c r="R565" s="165"/>
      <c r="S565" s="165"/>
      <c r="T565" s="166"/>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92"/>
      <c r="AR565" s="192"/>
      <c r="AS565" s="192"/>
      <c r="AT565" s="192"/>
      <c r="AU565" s="192"/>
      <c r="AV565" s="192"/>
      <c r="AW565" s="192"/>
      <c r="AX565" s="192"/>
      <c r="AY565" s="192"/>
      <c r="AZ565" s="192"/>
      <c r="BA565" s="192"/>
      <c r="BB565" s="192"/>
      <c r="BC565" s="192"/>
      <c r="BD565" s="192"/>
      <c r="BE565" s="192"/>
      <c r="BF565" s="192"/>
      <c r="BG565" s="192"/>
      <c r="BH565" s="192"/>
      <c r="BI565" s="192"/>
      <c r="BJ565" s="192"/>
      <c r="BK565" s="192"/>
      <c r="BL565" s="192"/>
      <c r="BM565" s="192"/>
      <c r="BN565" s="192"/>
    </row>
    <row r="566" ht="29.25" customHeight="1">
      <c r="A566" s="189"/>
      <c r="B566" s="190"/>
      <c r="C566" s="157"/>
      <c r="D566" s="157"/>
      <c r="E566" s="158"/>
      <c r="F566" s="166"/>
      <c r="G566" s="161"/>
      <c r="H566" s="161"/>
      <c r="I566" s="162"/>
      <c r="J566" s="163"/>
      <c r="K566" s="163"/>
      <c r="L566" s="163"/>
      <c r="M566" s="160"/>
      <c r="N566" s="162"/>
      <c r="O566" s="164"/>
      <c r="P566" s="140"/>
      <c r="Q566" s="191"/>
      <c r="R566" s="165"/>
      <c r="S566" s="165"/>
      <c r="T566" s="166"/>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92"/>
      <c r="AR566" s="192"/>
      <c r="AS566" s="192"/>
      <c r="AT566" s="192"/>
      <c r="AU566" s="192"/>
      <c r="AV566" s="192"/>
      <c r="AW566" s="192"/>
      <c r="AX566" s="192"/>
      <c r="AY566" s="192"/>
      <c r="AZ566" s="192"/>
      <c r="BA566" s="192"/>
      <c r="BB566" s="192"/>
      <c r="BC566" s="192"/>
      <c r="BD566" s="192"/>
      <c r="BE566" s="192"/>
      <c r="BF566" s="192"/>
      <c r="BG566" s="192"/>
      <c r="BH566" s="192"/>
      <c r="BI566" s="192"/>
      <c r="BJ566" s="192"/>
      <c r="BK566" s="192"/>
      <c r="BL566" s="192"/>
      <c r="BM566" s="192"/>
      <c r="BN566" s="192"/>
    </row>
    <row r="567" ht="29.25" customHeight="1">
      <c r="A567" s="189"/>
      <c r="B567" s="190"/>
      <c r="C567" s="157"/>
      <c r="D567" s="157"/>
      <c r="E567" s="158"/>
      <c r="F567" s="166"/>
      <c r="G567" s="161"/>
      <c r="H567" s="161"/>
      <c r="I567" s="162"/>
      <c r="J567" s="163"/>
      <c r="K567" s="163"/>
      <c r="L567" s="163"/>
      <c r="M567" s="160"/>
      <c r="N567" s="162"/>
      <c r="O567" s="164"/>
      <c r="P567" s="140"/>
      <c r="Q567" s="191"/>
      <c r="R567" s="165"/>
      <c r="S567" s="165"/>
      <c r="T567" s="166"/>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92"/>
      <c r="AR567" s="192"/>
      <c r="AS567" s="192"/>
      <c r="AT567" s="192"/>
      <c r="AU567" s="192"/>
      <c r="AV567" s="192"/>
      <c r="AW567" s="192"/>
      <c r="AX567" s="192"/>
      <c r="AY567" s="192"/>
      <c r="AZ567" s="192"/>
      <c r="BA567" s="192"/>
      <c r="BB567" s="192"/>
      <c r="BC567" s="192"/>
      <c r="BD567" s="192"/>
      <c r="BE567" s="192"/>
      <c r="BF567" s="192"/>
      <c r="BG567" s="192"/>
      <c r="BH567" s="192"/>
      <c r="BI567" s="192"/>
      <c r="BJ567" s="192"/>
      <c r="BK567" s="192"/>
      <c r="BL567" s="192"/>
      <c r="BM567" s="192"/>
      <c r="BN567" s="192"/>
    </row>
    <row r="568" ht="29.25" customHeight="1">
      <c r="A568" s="189"/>
      <c r="B568" s="190"/>
      <c r="C568" s="157"/>
      <c r="D568" s="157"/>
      <c r="E568" s="158"/>
      <c r="F568" s="166"/>
      <c r="G568" s="161"/>
      <c r="H568" s="161"/>
      <c r="I568" s="162"/>
      <c r="J568" s="163"/>
      <c r="K568" s="163"/>
      <c r="L568" s="163"/>
      <c r="M568" s="160"/>
      <c r="N568" s="162"/>
      <c r="O568" s="164"/>
      <c r="P568" s="140"/>
      <c r="Q568" s="191"/>
      <c r="R568" s="165"/>
      <c r="S568" s="165"/>
      <c r="T568" s="166"/>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92"/>
      <c r="AR568" s="192"/>
      <c r="AS568" s="192"/>
      <c r="AT568" s="192"/>
      <c r="AU568" s="192"/>
      <c r="AV568" s="192"/>
      <c r="AW568" s="192"/>
      <c r="AX568" s="192"/>
      <c r="AY568" s="192"/>
      <c r="AZ568" s="192"/>
      <c r="BA568" s="192"/>
      <c r="BB568" s="192"/>
      <c r="BC568" s="192"/>
      <c r="BD568" s="192"/>
      <c r="BE568" s="192"/>
      <c r="BF568" s="192"/>
      <c r="BG568" s="192"/>
      <c r="BH568" s="192"/>
      <c r="BI568" s="192"/>
      <c r="BJ568" s="192"/>
      <c r="BK568" s="192"/>
      <c r="BL568" s="192"/>
      <c r="BM568" s="192"/>
      <c r="BN568" s="192"/>
    </row>
    <row r="569" ht="29.25" customHeight="1">
      <c r="A569" s="189"/>
      <c r="B569" s="190"/>
      <c r="C569" s="157"/>
      <c r="D569" s="157"/>
      <c r="E569" s="158"/>
      <c r="F569" s="166"/>
      <c r="G569" s="161"/>
      <c r="H569" s="161"/>
      <c r="I569" s="162"/>
      <c r="J569" s="163"/>
      <c r="K569" s="163"/>
      <c r="L569" s="163"/>
      <c r="M569" s="160"/>
      <c r="N569" s="162"/>
      <c r="O569" s="164"/>
      <c r="P569" s="140"/>
      <c r="Q569" s="191"/>
      <c r="R569" s="165"/>
      <c r="S569" s="165"/>
      <c r="T569" s="166"/>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92"/>
      <c r="AR569" s="192"/>
      <c r="AS569" s="192"/>
      <c r="AT569" s="192"/>
      <c r="AU569" s="192"/>
      <c r="AV569" s="192"/>
      <c r="AW569" s="192"/>
      <c r="AX569" s="192"/>
      <c r="AY569" s="192"/>
      <c r="AZ569" s="192"/>
      <c r="BA569" s="192"/>
      <c r="BB569" s="192"/>
      <c r="BC569" s="192"/>
      <c r="BD569" s="192"/>
      <c r="BE569" s="192"/>
      <c r="BF569" s="192"/>
      <c r="BG569" s="192"/>
      <c r="BH569" s="192"/>
      <c r="BI569" s="192"/>
      <c r="BJ569" s="192"/>
      <c r="BK569" s="192"/>
      <c r="BL569" s="192"/>
      <c r="BM569" s="192"/>
      <c r="BN569" s="192"/>
    </row>
    <row r="570" ht="29.25" customHeight="1">
      <c r="A570" s="189"/>
      <c r="B570" s="190"/>
      <c r="C570" s="157"/>
      <c r="D570" s="157"/>
      <c r="E570" s="158"/>
      <c r="F570" s="166"/>
      <c r="G570" s="161"/>
      <c r="H570" s="161"/>
      <c r="I570" s="162"/>
      <c r="J570" s="163"/>
      <c r="K570" s="163"/>
      <c r="L570" s="163"/>
      <c r="M570" s="160"/>
      <c r="N570" s="162"/>
      <c r="O570" s="164"/>
      <c r="P570" s="140"/>
      <c r="Q570" s="191"/>
      <c r="R570" s="165"/>
      <c r="S570" s="165"/>
      <c r="T570" s="166"/>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92"/>
      <c r="AR570" s="192"/>
      <c r="AS570" s="192"/>
      <c r="AT570" s="192"/>
      <c r="AU570" s="192"/>
      <c r="AV570" s="192"/>
      <c r="AW570" s="192"/>
      <c r="AX570" s="192"/>
      <c r="AY570" s="192"/>
      <c r="AZ570" s="192"/>
      <c r="BA570" s="192"/>
      <c r="BB570" s="192"/>
      <c r="BC570" s="192"/>
      <c r="BD570" s="192"/>
      <c r="BE570" s="192"/>
      <c r="BF570" s="192"/>
      <c r="BG570" s="192"/>
      <c r="BH570" s="192"/>
      <c r="BI570" s="192"/>
      <c r="BJ570" s="192"/>
      <c r="BK570" s="192"/>
      <c r="BL570" s="192"/>
      <c r="BM570" s="192"/>
      <c r="BN570" s="192"/>
    </row>
    <row r="571" ht="29.25" customHeight="1">
      <c r="A571" s="189"/>
      <c r="B571" s="190"/>
      <c r="C571" s="157"/>
      <c r="D571" s="157"/>
      <c r="E571" s="158"/>
      <c r="F571" s="166"/>
      <c r="G571" s="161"/>
      <c r="H571" s="161"/>
      <c r="I571" s="162"/>
      <c r="J571" s="163"/>
      <c r="K571" s="163"/>
      <c r="L571" s="163"/>
      <c r="M571" s="160"/>
      <c r="N571" s="162"/>
      <c r="O571" s="164"/>
      <c r="P571" s="140"/>
      <c r="Q571" s="191"/>
      <c r="R571" s="165"/>
      <c r="S571" s="165"/>
      <c r="T571" s="166"/>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92"/>
      <c r="AR571" s="192"/>
      <c r="AS571" s="192"/>
      <c r="AT571" s="192"/>
      <c r="AU571" s="192"/>
      <c r="AV571" s="192"/>
      <c r="AW571" s="192"/>
      <c r="AX571" s="192"/>
      <c r="AY571" s="192"/>
      <c r="AZ571" s="192"/>
      <c r="BA571" s="192"/>
      <c r="BB571" s="192"/>
      <c r="BC571" s="192"/>
      <c r="BD571" s="192"/>
      <c r="BE571" s="192"/>
      <c r="BF571" s="192"/>
      <c r="BG571" s="192"/>
      <c r="BH571" s="192"/>
      <c r="BI571" s="192"/>
      <c r="BJ571" s="192"/>
      <c r="BK571" s="192"/>
      <c r="BL571" s="192"/>
      <c r="BM571" s="192"/>
      <c r="BN571" s="192"/>
    </row>
    <row r="572" ht="29.25" customHeight="1">
      <c r="A572" s="189"/>
      <c r="B572" s="190"/>
      <c r="C572" s="157"/>
      <c r="D572" s="157"/>
      <c r="E572" s="158"/>
      <c r="F572" s="166"/>
      <c r="G572" s="161"/>
      <c r="H572" s="161"/>
      <c r="I572" s="162"/>
      <c r="J572" s="163"/>
      <c r="K572" s="163"/>
      <c r="L572" s="163"/>
      <c r="M572" s="160"/>
      <c r="N572" s="162"/>
      <c r="O572" s="164"/>
      <c r="P572" s="140"/>
      <c r="Q572" s="191"/>
      <c r="R572" s="165"/>
      <c r="S572" s="165"/>
      <c r="T572" s="166"/>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92"/>
      <c r="AR572" s="192"/>
      <c r="AS572" s="192"/>
      <c r="AT572" s="192"/>
      <c r="AU572" s="192"/>
      <c r="AV572" s="192"/>
      <c r="AW572" s="192"/>
      <c r="AX572" s="192"/>
      <c r="AY572" s="192"/>
      <c r="AZ572" s="192"/>
      <c r="BA572" s="192"/>
      <c r="BB572" s="192"/>
      <c r="BC572" s="192"/>
      <c r="BD572" s="192"/>
      <c r="BE572" s="192"/>
      <c r="BF572" s="192"/>
      <c r="BG572" s="192"/>
      <c r="BH572" s="192"/>
      <c r="BI572" s="192"/>
      <c r="BJ572" s="192"/>
      <c r="BK572" s="192"/>
      <c r="BL572" s="192"/>
      <c r="BM572" s="192"/>
      <c r="BN572" s="192"/>
    </row>
    <row r="573" ht="29.25" customHeight="1">
      <c r="A573" s="189"/>
      <c r="B573" s="190"/>
      <c r="C573" s="157"/>
      <c r="D573" s="157"/>
      <c r="E573" s="158"/>
      <c r="F573" s="166"/>
      <c r="G573" s="161"/>
      <c r="H573" s="161"/>
      <c r="I573" s="162"/>
      <c r="J573" s="163"/>
      <c r="K573" s="163"/>
      <c r="L573" s="163"/>
      <c r="M573" s="160"/>
      <c r="N573" s="162"/>
      <c r="O573" s="164"/>
      <c r="P573" s="140"/>
      <c r="Q573" s="191"/>
      <c r="R573" s="165"/>
      <c r="S573" s="165"/>
      <c r="T573" s="166"/>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92"/>
      <c r="AR573" s="192"/>
      <c r="AS573" s="192"/>
      <c r="AT573" s="192"/>
      <c r="AU573" s="192"/>
      <c r="AV573" s="192"/>
      <c r="AW573" s="192"/>
      <c r="AX573" s="192"/>
      <c r="AY573" s="192"/>
      <c r="AZ573" s="192"/>
      <c r="BA573" s="192"/>
      <c r="BB573" s="192"/>
      <c r="BC573" s="192"/>
      <c r="BD573" s="192"/>
      <c r="BE573" s="192"/>
      <c r="BF573" s="192"/>
      <c r="BG573" s="192"/>
      <c r="BH573" s="192"/>
      <c r="BI573" s="192"/>
      <c r="BJ573" s="192"/>
      <c r="BK573" s="192"/>
      <c r="BL573" s="192"/>
      <c r="BM573" s="192"/>
      <c r="BN573" s="192"/>
    </row>
    <row r="574" ht="29.25" customHeight="1">
      <c r="A574" s="189"/>
      <c r="B574" s="190"/>
      <c r="C574" s="157"/>
      <c r="D574" s="157"/>
      <c r="E574" s="158"/>
      <c r="F574" s="166"/>
      <c r="G574" s="161"/>
      <c r="H574" s="161"/>
      <c r="I574" s="162"/>
      <c r="J574" s="163"/>
      <c r="K574" s="163"/>
      <c r="L574" s="163"/>
      <c r="M574" s="160"/>
      <c r="N574" s="162"/>
      <c r="O574" s="164"/>
      <c r="P574" s="140"/>
      <c r="Q574" s="191"/>
      <c r="R574" s="165"/>
      <c r="S574" s="165"/>
      <c r="T574" s="166"/>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92"/>
      <c r="AR574" s="192"/>
      <c r="AS574" s="192"/>
      <c r="AT574" s="192"/>
      <c r="AU574" s="192"/>
      <c r="AV574" s="192"/>
      <c r="AW574" s="192"/>
      <c r="AX574" s="192"/>
      <c r="AY574" s="192"/>
      <c r="AZ574" s="192"/>
      <c r="BA574" s="192"/>
      <c r="BB574" s="192"/>
      <c r="BC574" s="192"/>
      <c r="BD574" s="192"/>
      <c r="BE574" s="192"/>
      <c r="BF574" s="192"/>
      <c r="BG574" s="192"/>
      <c r="BH574" s="192"/>
      <c r="BI574" s="192"/>
      <c r="BJ574" s="192"/>
      <c r="BK574" s="192"/>
      <c r="BL574" s="192"/>
      <c r="BM574" s="192"/>
      <c r="BN574" s="192"/>
    </row>
    <row r="575" ht="29.25" customHeight="1">
      <c r="A575" s="189"/>
      <c r="B575" s="190"/>
      <c r="C575" s="157"/>
      <c r="D575" s="157"/>
      <c r="E575" s="158"/>
      <c r="F575" s="166"/>
      <c r="G575" s="161"/>
      <c r="H575" s="161"/>
      <c r="I575" s="162"/>
      <c r="J575" s="163"/>
      <c r="K575" s="163"/>
      <c r="L575" s="163"/>
      <c r="M575" s="160"/>
      <c r="N575" s="162"/>
      <c r="O575" s="164"/>
      <c r="P575" s="140"/>
      <c r="Q575" s="191"/>
      <c r="R575" s="165"/>
      <c r="S575" s="165"/>
      <c r="T575" s="166"/>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92"/>
      <c r="AR575" s="192"/>
      <c r="AS575" s="192"/>
      <c r="AT575" s="192"/>
      <c r="AU575" s="192"/>
      <c r="AV575" s="192"/>
      <c r="AW575" s="192"/>
      <c r="AX575" s="192"/>
      <c r="AY575" s="192"/>
      <c r="AZ575" s="192"/>
      <c r="BA575" s="192"/>
      <c r="BB575" s="192"/>
      <c r="BC575" s="192"/>
      <c r="BD575" s="192"/>
      <c r="BE575" s="192"/>
      <c r="BF575" s="192"/>
      <c r="BG575" s="192"/>
      <c r="BH575" s="192"/>
      <c r="BI575" s="192"/>
      <c r="BJ575" s="192"/>
      <c r="BK575" s="192"/>
      <c r="BL575" s="192"/>
      <c r="BM575" s="192"/>
      <c r="BN575" s="192"/>
    </row>
    <row r="576" ht="29.25" customHeight="1">
      <c r="A576" s="189"/>
      <c r="B576" s="190"/>
      <c r="C576" s="157"/>
      <c r="D576" s="157"/>
      <c r="E576" s="158"/>
      <c r="F576" s="166"/>
      <c r="G576" s="161"/>
      <c r="H576" s="161"/>
      <c r="I576" s="162"/>
      <c r="J576" s="163"/>
      <c r="K576" s="163"/>
      <c r="L576" s="163"/>
      <c r="M576" s="160"/>
      <c r="N576" s="162"/>
      <c r="O576" s="164"/>
      <c r="P576" s="140"/>
      <c r="Q576" s="191"/>
      <c r="R576" s="165"/>
      <c r="S576" s="165"/>
      <c r="T576" s="166"/>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92"/>
      <c r="AR576" s="192"/>
      <c r="AS576" s="192"/>
      <c r="AT576" s="192"/>
      <c r="AU576" s="192"/>
      <c r="AV576" s="192"/>
      <c r="AW576" s="192"/>
      <c r="AX576" s="192"/>
      <c r="AY576" s="192"/>
      <c r="AZ576" s="192"/>
      <c r="BA576" s="192"/>
      <c r="BB576" s="192"/>
      <c r="BC576" s="192"/>
      <c r="BD576" s="192"/>
      <c r="BE576" s="192"/>
      <c r="BF576" s="192"/>
      <c r="BG576" s="192"/>
      <c r="BH576" s="192"/>
      <c r="BI576" s="192"/>
      <c r="BJ576" s="192"/>
      <c r="BK576" s="192"/>
      <c r="BL576" s="192"/>
      <c r="BM576" s="192"/>
      <c r="BN576" s="192"/>
    </row>
    <row r="577" ht="29.25" customHeight="1">
      <c r="A577" s="189"/>
      <c r="B577" s="190"/>
      <c r="C577" s="157"/>
      <c r="D577" s="157"/>
      <c r="E577" s="158"/>
      <c r="F577" s="166"/>
      <c r="G577" s="161"/>
      <c r="H577" s="161"/>
      <c r="I577" s="162"/>
      <c r="J577" s="163"/>
      <c r="K577" s="163"/>
      <c r="L577" s="163"/>
      <c r="M577" s="160"/>
      <c r="N577" s="162"/>
      <c r="O577" s="164"/>
      <c r="P577" s="140"/>
      <c r="Q577" s="191"/>
      <c r="R577" s="165"/>
      <c r="S577" s="165"/>
      <c r="T577" s="166"/>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92"/>
      <c r="AR577" s="192"/>
      <c r="AS577" s="192"/>
      <c r="AT577" s="192"/>
      <c r="AU577" s="192"/>
      <c r="AV577" s="192"/>
      <c r="AW577" s="192"/>
      <c r="AX577" s="192"/>
      <c r="AY577" s="192"/>
      <c r="AZ577" s="192"/>
      <c r="BA577" s="192"/>
      <c r="BB577" s="192"/>
      <c r="BC577" s="192"/>
      <c r="BD577" s="192"/>
      <c r="BE577" s="192"/>
      <c r="BF577" s="192"/>
      <c r="BG577" s="192"/>
      <c r="BH577" s="192"/>
      <c r="BI577" s="192"/>
      <c r="BJ577" s="192"/>
      <c r="BK577" s="192"/>
      <c r="BL577" s="192"/>
      <c r="BM577" s="192"/>
      <c r="BN577" s="192"/>
    </row>
    <row r="578" ht="29.25" customHeight="1">
      <c r="A578" s="189"/>
      <c r="B578" s="190"/>
      <c r="C578" s="157"/>
      <c r="D578" s="157"/>
      <c r="E578" s="158"/>
      <c r="F578" s="166"/>
      <c r="G578" s="161"/>
      <c r="H578" s="161"/>
      <c r="I578" s="162"/>
      <c r="J578" s="163"/>
      <c r="K578" s="163"/>
      <c r="L578" s="163"/>
      <c r="M578" s="160"/>
      <c r="N578" s="162"/>
      <c r="O578" s="164"/>
      <c r="P578" s="140"/>
      <c r="Q578" s="191"/>
      <c r="R578" s="165"/>
      <c r="S578" s="165"/>
      <c r="T578" s="166"/>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92"/>
      <c r="AR578" s="192"/>
      <c r="AS578" s="192"/>
      <c r="AT578" s="192"/>
      <c r="AU578" s="192"/>
      <c r="AV578" s="192"/>
      <c r="AW578" s="192"/>
      <c r="AX578" s="192"/>
      <c r="AY578" s="192"/>
      <c r="AZ578" s="192"/>
      <c r="BA578" s="192"/>
      <c r="BB578" s="192"/>
      <c r="BC578" s="192"/>
      <c r="BD578" s="192"/>
      <c r="BE578" s="192"/>
      <c r="BF578" s="192"/>
      <c r="BG578" s="192"/>
      <c r="BH578" s="192"/>
      <c r="BI578" s="192"/>
      <c r="BJ578" s="192"/>
      <c r="BK578" s="192"/>
      <c r="BL578" s="192"/>
      <c r="BM578" s="192"/>
      <c r="BN578" s="192"/>
    </row>
    <row r="579" ht="29.25" customHeight="1">
      <c r="A579" s="189"/>
      <c r="B579" s="190"/>
      <c r="C579" s="157"/>
      <c r="D579" s="157"/>
      <c r="E579" s="158"/>
      <c r="F579" s="166"/>
      <c r="G579" s="161"/>
      <c r="H579" s="161"/>
      <c r="I579" s="162"/>
      <c r="J579" s="163"/>
      <c r="K579" s="163"/>
      <c r="L579" s="163"/>
      <c r="M579" s="160"/>
      <c r="N579" s="162"/>
      <c r="O579" s="164"/>
      <c r="P579" s="140"/>
      <c r="Q579" s="191"/>
      <c r="R579" s="165"/>
      <c r="S579" s="165"/>
      <c r="T579" s="166"/>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92"/>
      <c r="AR579" s="192"/>
      <c r="AS579" s="192"/>
      <c r="AT579" s="192"/>
      <c r="AU579" s="192"/>
      <c r="AV579" s="192"/>
      <c r="AW579" s="192"/>
      <c r="AX579" s="192"/>
      <c r="AY579" s="192"/>
      <c r="AZ579" s="192"/>
      <c r="BA579" s="192"/>
      <c r="BB579" s="192"/>
      <c r="BC579" s="192"/>
      <c r="BD579" s="192"/>
      <c r="BE579" s="192"/>
      <c r="BF579" s="192"/>
      <c r="BG579" s="192"/>
      <c r="BH579" s="192"/>
      <c r="BI579" s="192"/>
      <c r="BJ579" s="192"/>
      <c r="BK579" s="192"/>
      <c r="BL579" s="192"/>
      <c r="BM579" s="192"/>
      <c r="BN579" s="192"/>
    </row>
    <row r="580" ht="29.25" customHeight="1">
      <c r="A580" s="189"/>
      <c r="B580" s="190"/>
      <c r="C580" s="157"/>
      <c r="D580" s="157"/>
      <c r="E580" s="158"/>
      <c r="F580" s="166"/>
      <c r="G580" s="161"/>
      <c r="H580" s="161"/>
      <c r="I580" s="162"/>
      <c r="J580" s="163"/>
      <c r="K580" s="163"/>
      <c r="L580" s="163"/>
      <c r="M580" s="160"/>
      <c r="N580" s="162"/>
      <c r="O580" s="164"/>
      <c r="P580" s="140"/>
      <c r="Q580" s="191"/>
      <c r="R580" s="165"/>
      <c r="S580" s="165"/>
      <c r="T580" s="166"/>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92"/>
      <c r="AR580" s="192"/>
      <c r="AS580" s="192"/>
      <c r="AT580" s="192"/>
      <c r="AU580" s="192"/>
      <c r="AV580" s="192"/>
      <c r="AW580" s="192"/>
      <c r="AX580" s="192"/>
      <c r="AY580" s="192"/>
      <c r="AZ580" s="192"/>
      <c r="BA580" s="192"/>
      <c r="BB580" s="192"/>
      <c r="BC580" s="192"/>
      <c r="BD580" s="192"/>
      <c r="BE580" s="192"/>
      <c r="BF580" s="192"/>
      <c r="BG580" s="192"/>
      <c r="BH580" s="192"/>
      <c r="BI580" s="192"/>
      <c r="BJ580" s="192"/>
      <c r="BK580" s="192"/>
      <c r="BL580" s="192"/>
      <c r="BM580" s="192"/>
      <c r="BN580" s="192"/>
    </row>
    <row r="581" ht="29.25" customHeight="1">
      <c r="A581" s="189"/>
      <c r="B581" s="190"/>
      <c r="C581" s="157"/>
      <c r="D581" s="157"/>
      <c r="E581" s="158"/>
      <c r="F581" s="166"/>
      <c r="G581" s="161"/>
      <c r="H581" s="161"/>
      <c r="I581" s="162"/>
      <c r="J581" s="163"/>
      <c r="K581" s="163"/>
      <c r="L581" s="163"/>
      <c r="M581" s="160"/>
      <c r="N581" s="162"/>
      <c r="O581" s="164"/>
      <c r="P581" s="140"/>
      <c r="Q581" s="191"/>
      <c r="R581" s="165"/>
      <c r="S581" s="165"/>
      <c r="T581" s="166"/>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92"/>
      <c r="AR581" s="192"/>
      <c r="AS581" s="192"/>
      <c r="AT581" s="192"/>
      <c r="AU581" s="192"/>
      <c r="AV581" s="192"/>
      <c r="AW581" s="192"/>
      <c r="AX581" s="192"/>
      <c r="AY581" s="192"/>
      <c r="AZ581" s="192"/>
      <c r="BA581" s="192"/>
      <c r="BB581" s="192"/>
      <c r="BC581" s="192"/>
      <c r="BD581" s="192"/>
      <c r="BE581" s="192"/>
      <c r="BF581" s="192"/>
      <c r="BG581" s="192"/>
      <c r="BH581" s="192"/>
      <c r="BI581" s="192"/>
      <c r="BJ581" s="192"/>
      <c r="BK581" s="192"/>
      <c r="BL581" s="192"/>
      <c r="BM581" s="192"/>
      <c r="BN581" s="192"/>
    </row>
    <row r="582" ht="29.25" customHeight="1">
      <c r="A582" s="189"/>
      <c r="B582" s="190"/>
      <c r="C582" s="157"/>
      <c r="D582" s="157"/>
      <c r="E582" s="158"/>
      <c r="F582" s="166"/>
      <c r="G582" s="161"/>
      <c r="H582" s="161"/>
      <c r="I582" s="162"/>
      <c r="J582" s="163"/>
      <c r="K582" s="163"/>
      <c r="L582" s="163"/>
      <c r="M582" s="160"/>
      <c r="N582" s="162"/>
      <c r="O582" s="164"/>
      <c r="P582" s="140"/>
      <c r="Q582" s="191"/>
      <c r="R582" s="165"/>
      <c r="S582" s="165"/>
      <c r="T582" s="166"/>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92"/>
      <c r="AR582" s="192"/>
      <c r="AS582" s="192"/>
      <c r="AT582" s="192"/>
      <c r="AU582" s="192"/>
      <c r="AV582" s="192"/>
      <c r="AW582" s="192"/>
      <c r="AX582" s="192"/>
      <c r="AY582" s="192"/>
      <c r="AZ582" s="192"/>
      <c r="BA582" s="192"/>
      <c r="BB582" s="192"/>
      <c r="BC582" s="192"/>
      <c r="BD582" s="192"/>
      <c r="BE582" s="192"/>
      <c r="BF582" s="192"/>
      <c r="BG582" s="192"/>
      <c r="BH582" s="192"/>
      <c r="BI582" s="192"/>
      <c r="BJ582" s="192"/>
      <c r="BK582" s="192"/>
      <c r="BL582" s="192"/>
      <c r="BM582" s="192"/>
      <c r="BN582" s="192"/>
    </row>
    <row r="583" ht="29.25" customHeight="1">
      <c r="A583" s="189"/>
      <c r="B583" s="190"/>
      <c r="C583" s="157"/>
      <c r="D583" s="157"/>
      <c r="E583" s="158"/>
      <c r="F583" s="166"/>
      <c r="G583" s="161"/>
      <c r="H583" s="161"/>
      <c r="I583" s="162"/>
      <c r="J583" s="163"/>
      <c r="K583" s="163"/>
      <c r="L583" s="163"/>
      <c r="M583" s="160"/>
      <c r="N583" s="162"/>
      <c r="O583" s="164"/>
      <c r="P583" s="140"/>
      <c r="Q583" s="191"/>
      <c r="R583" s="165"/>
      <c r="S583" s="165"/>
      <c r="T583" s="166"/>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92"/>
      <c r="AR583" s="192"/>
      <c r="AS583" s="192"/>
      <c r="AT583" s="192"/>
      <c r="AU583" s="192"/>
      <c r="AV583" s="192"/>
      <c r="AW583" s="192"/>
      <c r="AX583" s="192"/>
      <c r="AY583" s="192"/>
      <c r="AZ583" s="192"/>
      <c r="BA583" s="192"/>
      <c r="BB583" s="192"/>
      <c r="BC583" s="192"/>
      <c r="BD583" s="192"/>
      <c r="BE583" s="192"/>
      <c r="BF583" s="192"/>
      <c r="BG583" s="192"/>
      <c r="BH583" s="192"/>
      <c r="BI583" s="192"/>
      <c r="BJ583" s="192"/>
      <c r="BK583" s="192"/>
      <c r="BL583" s="192"/>
      <c r="BM583" s="192"/>
      <c r="BN583" s="192"/>
    </row>
    <row r="584" ht="29.25" customHeight="1">
      <c r="A584" s="189"/>
      <c r="B584" s="190"/>
      <c r="C584" s="157"/>
      <c r="D584" s="157"/>
      <c r="E584" s="158"/>
      <c r="F584" s="166"/>
      <c r="G584" s="161"/>
      <c r="H584" s="161"/>
      <c r="I584" s="162"/>
      <c r="J584" s="163"/>
      <c r="K584" s="163"/>
      <c r="L584" s="163"/>
      <c r="M584" s="160"/>
      <c r="N584" s="162"/>
      <c r="O584" s="164"/>
      <c r="P584" s="140"/>
      <c r="Q584" s="191"/>
      <c r="R584" s="165"/>
      <c r="S584" s="165"/>
      <c r="T584" s="166"/>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92"/>
      <c r="AR584" s="192"/>
      <c r="AS584" s="192"/>
      <c r="AT584" s="192"/>
      <c r="AU584" s="192"/>
      <c r="AV584" s="192"/>
      <c r="AW584" s="192"/>
      <c r="AX584" s="192"/>
      <c r="AY584" s="192"/>
      <c r="AZ584" s="192"/>
      <c r="BA584" s="192"/>
      <c r="BB584" s="192"/>
      <c r="BC584" s="192"/>
      <c r="BD584" s="192"/>
      <c r="BE584" s="192"/>
      <c r="BF584" s="192"/>
      <c r="BG584" s="192"/>
      <c r="BH584" s="192"/>
      <c r="BI584" s="192"/>
      <c r="BJ584" s="192"/>
      <c r="BK584" s="192"/>
      <c r="BL584" s="192"/>
      <c r="BM584" s="192"/>
      <c r="BN584" s="192"/>
    </row>
    <row r="585" ht="29.25" customHeight="1">
      <c r="A585" s="189"/>
      <c r="B585" s="190"/>
      <c r="C585" s="157"/>
      <c r="D585" s="157"/>
      <c r="E585" s="158"/>
      <c r="F585" s="166"/>
      <c r="G585" s="161"/>
      <c r="H585" s="161"/>
      <c r="I585" s="162"/>
      <c r="J585" s="163"/>
      <c r="K585" s="163"/>
      <c r="L585" s="163"/>
      <c r="M585" s="160"/>
      <c r="N585" s="162"/>
      <c r="O585" s="164"/>
      <c r="P585" s="140"/>
      <c r="Q585" s="191"/>
      <c r="R585" s="165"/>
      <c r="S585" s="165"/>
      <c r="T585" s="166"/>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92"/>
      <c r="AR585" s="192"/>
      <c r="AS585" s="192"/>
      <c r="AT585" s="192"/>
      <c r="AU585" s="192"/>
      <c r="AV585" s="192"/>
      <c r="AW585" s="192"/>
      <c r="AX585" s="192"/>
      <c r="AY585" s="192"/>
      <c r="AZ585" s="192"/>
      <c r="BA585" s="192"/>
      <c r="BB585" s="192"/>
      <c r="BC585" s="192"/>
      <c r="BD585" s="192"/>
      <c r="BE585" s="192"/>
      <c r="BF585" s="192"/>
      <c r="BG585" s="192"/>
      <c r="BH585" s="192"/>
      <c r="BI585" s="192"/>
      <c r="BJ585" s="192"/>
      <c r="BK585" s="192"/>
      <c r="BL585" s="192"/>
      <c r="BM585" s="192"/>
      <c r="BN585" s="192"/>
    </row>
    <row r="586" ht="29.25" customHeight="1">
      <c r="A586" s="189"/>
      <c r="B586" s="190"/>
      <c r="C586" s="157"/>
      <c r="D586" s="157"/>
      <c r="E586" s="158"/>
      <c r="F586" s="166"/>
      <c r="G586" s="161"/>
      <c r="H586" s="161"/>
      <c r="I586" s="162"/>
      <c r="J586" s="163"/>
      <c r="K586" s="163"/>
      <c r="L586" s="163"/>
      <c r="M586" s="160"/>
      <c r="N586" s="162"/>
      <c r="O586" s="164"/>
      <c r="P586" s="140"/>
      <c r="Q586" s="191"/>
      <c r="R586" s="165"/>
      <c r="S586" s="165"/>
      <c r="T586" s="166"/>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92"/>
      <c r="AR586" s="192"/>
      <c r="AS586" s="192"/>
      <c r="AT586" s="192"/>
      <c r="AU586" s="192"/>
      <c r="AV586" s="192"/>
      <c r="AW586" s="192"/>
      <c r="AX586" s="192"/>
      <c r="AY586" s="192"/>
      <c r="AZ586" s="192"/>
      <c r="BA586" s="192"/>
      <c r="BB586" s="192"/>
      <c r="BC586" s="192"/>
      <c r="BD586" s="192"/>
      <c r="BE586" s="192"/>
      <c r="BF586" s="192"/>
      <c r="BG586" s="192"/>
      <c r="BH586" s="192"/>
      <c r="BI586" s="192"/>
      <c r="BJ586" s="192"/>
      <c r="BK586" s="192"/>
      <c r="BL586" s="192"/>
      <c r="BM586" s="192"/>
      <c r="BN586" s="192"/>
    </row>
    <row r="587" ht="29.25" customHeight="1">
      <c r="A587" s="189"/>
      <c r="B587" s="190"/>
      <c r="C587" s="157"/>
      <c r="D587" s="157"/>
      <c r="E587" s="158"/>
      <c r="F587" s="166"/>
      <c r="G587" s="161"/>
      <c r="H587" s="161"/>
      <c r="I587" s="162"/>
      <c r="J587" s="163"/>
      <c r="K587" s="163"/>
      <c r="L587" s="163"/>
      <c r="M587" s="160"/>
      <c r="N587" s="162"/>
      <c r="O587" s="164"/>
      <c r="P587" s="140"/>
      <c r="Q587" s="191"/>
      <c r="R587" s="165"/>
      <c r="S587" s="165"/>
      <c r="T587" s="166"/>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92"/>
      <c r="AR587" s="192"/>
      <c r="AS587" s="192"/>
      <c r="AT587" s="192"/>
      <c r="AU587" s="192"/>
      <c r="AV587" s="192"/>
      <c r="AW587" s="192"/>
      <c r="AX587" s="192"/>
      <c r="AY587" s="192"/>
      <c r="AZ587" s="192"/>
      <c r="BA587" s="192"/>
      <c r="BB587" s="192"/>
      <c r="BC587" s="192"/>
      <c r="BD587" s="192"/>
      <c r="BE587" s="192"/>
      <c r="BF587" s="192"/>
      <c r="BG587" s="192"/>
      <c r="BH587" s="192"/>
      <c r="BI587" s="192"/>
      <c r="BJ587" s="192"/>
      <c r="BK587" s="192"/>
      <c r="BL587" s="192"/>
      <c r="BM587" s="192"/>
      <c r="BN587" s="192"/>
    </row>
    <row r="588" ht="29.25" customHeight="1">
      <c r="A588" s="189"/>
      <c r="B588" s="190"/>
      <c r="C588" s="157"/>
      <c r="D588" s="157"/>
      <c r="E588" s="158"/>
      <c r="F588" s="166"/>
      <c r="G588" s="161"/>
      <c r="H588" s="161"/>
      <c r="I588" s="162"/>
      <c r="J588" s="163"/>
      <c r="K588" s="163"/>
      <c r="L588" s="163"/>
      <c r="M588" s="160"/>
      <c r="N588" s="162"/>
      <c r="O588" s="164"/>
      <c r="P588" s="140"/>
      <c r="Q588" s="191"/>
      <c r="R588" s="165"/>
      <c r="S588" s="165"/>
      <c r="T588" s="166"/>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92"/>
      <c r="AR588" s="192"/>
      <c r="AS588" s="192"/>
      <c r="AT588" s="192"/>
      <c r="AU588" s="192"/>
      <c r="AV588" s="192"/>
      <c r="AW588" s="192"/>
      <c r="AX588" s="192"/>
      <c r="AY588" s="192"/>
      <c r="AZ588" s="192"/>
      <c r="BA588" s="192"/>
      <c r="BB588" s="192"/>
      <c r="BC588" s="192"/>
      <c r="BD588" s="192"/>
      <c r="BE588" s="192"/>
      <c r="BF588" s="192"/>
      <c r="BG588" s="192"/>
      <c r="BH588" s="192"/>
      <c r="BI588" s="192"/>
      <c r="BJ588" s="192"/>
      <c r="BK588" s="192"/>
      <c r="BL588" s="192"/>
      <c r="BM588" s="192"/>
      <c r="BN588" s="192"/>
    </row>
    <row r="589" ht="29.25" customHeight="1">
      <c r="A589" s="189"/>
      <c r="B589" s="190"/>
      <c r="C589" s="157"/>
      <c r="D589" s="157"/>
      <c r="E589" s="158"/>
      <c r="F589" s="166"/>
      <c r="G589" s="161"/>
      <c r="H589" s="161"/>
      <c r="I589" s="162"/>
      <c r="J589" s="163"/>
      <c r="K589" s="163"/>
      <c r="L589" s="163"/>
      <c r="M589" s="160"/>
      <c r="N589" s="162"/>
      <c r="O589" s="164"/>
      <c r="P589" s="140"/>
      <c r="Q589" s="191"/>
      <c r="R589" s="165"/>
      <c r="S589" s="165"/>
      <c r="T589" s="166"/>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92"/>
      <c r="AR589" s="192"/>
      <c r="AS589" s="192"/>
      <c r="AT589" s="192"/>
      <c r="AU589" s="192"/>
      <c r="AV589" s="192"/>
      <c r="AW589" s="192"/>
      <c r="AX589" s="192"/>
      <c r="AY589" s="192"/>
      <c r="AZ589" s="192"/>
      <c r="BA589" s="192"/>
      <c r="BB589" s="192"/>
      <c r="BC589" s="192"/>
      <c r="BD589" s="192"/>
      <c r="BE589" s="192"/>
      <c r="BF589" s="192"/>
      <c r="BG589" s="192"/>
      <c r="BH589" s="192"/>
      <c r="BI589" s="192"/>
      <c r="BJ589" s="192"/>
      <c r="BK589" s="192"/>
      <c r="BL589" s="192"/>
      <c r="BM589" s="192"/>
      <c r="BN589" s="192"/>
    </row>
    <row r="590" ht="29.25" customHeight="1">
      <c r="A590" s="189"/>
      <c r="B590" s="190"/>
      <c r="C590" s="157"/>
      <c r="D590" s="157"/>
      <c r="E590" s="158"/>
      <c r="F590" s="166"/>
      <c r="G590" s="161"/>
      <c r="H590" s="161"/>
      <c r="I590" s="162"/>
      <c r="J590" s="163"/>
      <c r="K590" s="163"/>
      <c r="L590" s="163"/>
      <c r="M590" s="160"/>
      <c r="N590" s="162"/>
      <c r="O590" s="164"/>
      <c r="P590" s="140"/>
      <c r="Q590" s="191"/>
      <c r="R590" s="165"/>
      <c r="S590" s="165"/>
      <c r="T590" s="166"/>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92"/>
      <c r="AR590" s="192"/>
      <c r="AS590" s="192"/>
      <c r="AT590" s="192"/>
      <c r="AU590" s="192"/>
      <c r="AV590" s="192"/>
      <c r="AW590" s="192"/>
      <c r="AX590" s="192"/>
      <c r="AY590" s="192"/>
      <c r="AZ590" s="192"/>
      <c r="BA590" s="192"/>
      <c r="BB590" s="192"/>
      <c r="BC590" s="192"/>
      <c r="BD590" s="192"/>
      <c r="BE590" s="192"/>
      <c r="BF590" s="192"/>
      <c r="BG590" s="192"/>
      <c r="BH590" s="192"/>
      <c r="BI590" s="192"/>
      <c r="BJ590" s="192"/>
      <c r="BK590" s="192"/>
      <c r="BL590" s="192"/>
      <c r="BM590" s="192"/>
      <c r="BN590" s="192"/>
    </row>
    <row r="591" ht="29.25" customHeight="1">
      <c r="A591" s="189"/>
      <c r="B591" s="190"/>
      <c r="C591" s="157"/>
      <c r="D591" s="157"/>
      <c r="E591" s="158"/>
      <c r="F591" s="166"/>
      <c r="G591" s="161"/>
      <c r="H591" s="161"/>
      <c r="I591" s="162"/>
      <c r="J591" s="163"/>
      <c r="K591" s="163"/>
      <c r="L591" s="163"/>
      <c r="M591" s="160"/>
      <c r="N591" s="162"/>
      <c r="O591" s="164"/>
      <c r="P591" s="140"/>
      <c r="Q591" s="191"/>
      <c r="R591" s="165"/>
      <c r="S591" s="165"/>
      <c r="T591" s="166"/>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92"/>
      <c r="AR591" s="192"/>
      <c r="AS591" s="192"/>
      <c r="AT591" s="192"/>
      <c r="AU591" s="192"/>
      <c r="AV591" s="192"/>
      <c r="AW591" s="192"/>
      <c r="AX591" s="192"/>
      <c r="AY591" s="192"/>
      <c r="AZ591" s="192"/>
      <c r="BA591" s="192"/>
      <c r="BB591" s="192"/>
      <c r="BC591" s="192"/>
      <c r="BD591" s="192"/>
      <c r="BE591" s="192"/>
      <c r="BF591" s="192"/>
      <c r="BG591" s="192"/>
      <c r="BH591" s="192"/>
      <c r="BI591" s="192"/>
      <c r="BJ591" s="192"/>
      <c r="BK591" s="192"/>
      <c r="BL591" s="192"/>
      <c r="BM591" s="192"/>
      <c r="BN591" s="192"/>
    </row>
    <row r="592" ht="29.25" customHeight="1">
      <c r="A592" s="189"/>
      <c r="B592" s="190"/>
      <c r="C592" s="157"/>
      <c r="D592" s="157"/>
      <c r="E592" s="158"/>
      <c r="F592" s="166"/>
      <c r="G592" s="161"/>
      <c r="H592" s="161"/>
      <c r="I592" s="162"/>
      <c r="J592" s="163"/>
      <c r="K592" s="163"/>
      <c r="L592" s="163"/>
      <c r="M592" s="160"/>
      <c r="N592" s="162"/>
      <c r="O592" s="164"/>
      <c r="P592" s="140"/>
      <c r="Q592" s="191"/>
      <c r="R592" s="165"/>
      <c r="S592" s="165"/>
      <c r="T592" s="166"/>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92"/>
      <c r="AR592" s="192"/>
      <c r="AS592" s="192"/>
      <c r="AT592" s="192"/>
      <c r="AU592" s="192"/>
      <c r="AV592" s="192"/>
      <c r="AW592" s="192"/>
      <c r="AX592" s="192"/>
      <c r="AY592" s="192"/>
      <c r="AZ592" s="192"/>
      <c r="BA592" s="192"/>
      <c r="BB592" s="192"/>
      <c r="BC592" s="192"/>
      <c r="BD592" s="192"/>
      <c r="BE592" s="192"/>
      <c r="BF592" s="192"/>
      <c r="BG592" s="192"/>
      <c r="BH592" s="192"/>
      <c r="BI592" s="192"/>
      <c r="BJ592" s="192"/>
      <c r="BK592" s="192"/>
      <c r="BL592" s="192"/>
      <c r="BM592" s="192"/>
      <c r="BN592" s="192"/>
    </row>
    <row r="593" ht="29.25" customHeight="1">
      <c r="A593" s="189"/>
      <c r="B593" s="190"/>
      <c r="C593" s="157"/>
      <c r="D593" s="157"/>
      <c r="E593" s="158"/>
      <c r="F593" s="166"/>
      <c r="G593" s="161"/>
      <c r="H593" s="161"/>
      <c r="I593" s="162"/>
      <c r="J593" s="163"/>
      <c r="K593" s="163"/>
      <c r="L593" s="163"/>
      <c r="M593" s="160"/>
      <c r="N593" s="162"/>
      <c r="O593" s="164"/>
      <c r="P593" s="140"/>
      <c r="Q593" s="191"/>
      <c r="R593" s="165"/>
      <c r="S593" s="165"/>
      <c r="T593" s="166"/>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92"/>
      <c r="AR593" s="192"/>
      <c r="AS593" s="192"/>
      <c r="AT593" s="192"/>
      <c r="AU593" s="192"/>
      <c r="AV593" s="192"/>
      <c r="AW593" s="192"/>
      <c r="AX593" s="192"/>
      <c r="AY593" s="192"/>
      <c r="AZ593" s="192"/>
      <c r="BA593" s="192"/>
      <c r="BB593" s="192"/>
      <c r="BC593" s="192"/>
      <c r="BD593" s="192"/>
      <c r="BE593" s="192"/>
      <c r="BF593" s="192"/>
      <c r="BG593" s="192"/>
      <c r="BH593" s="192"/>
      <c r="BI593" s="192"/>
      <c r="BJ593" s="192"/>
      <c r="BK593" s="192"/>
      <c r="BL593" s="192"/>
      <c r="BM593" s="192"/>
      <c r="BN593" s="192"/>
    </row>
    <row r="594" ht="29.25" customHeight="1">
      <c r="A594" s="189"/>
      <c r="B594" s="190"/>
      <c r="C594" s="157"/>
      <c r="D594" s="157"/>
      <c r="E594" s="158"/>
      <c r="F594" s="166"/>
      <c r="G594" s="161"/>
      <c r="H594" s="161"/>
      <c r="I594" s="162"/>
      <c r="J594" s="163"/>
      <c r="K594" s="163"/>
      <c r="L594" s="163"/>
      <c r="M594" s="160"/>
      <c r="N594" s="162"/>
      <c r="O594" s="164"/>
      <c r="P594" s="140"/>
      <c r="Q594" s="191"/>
      <c r="R594" s="165"/>
      <c r="S594" s="165"/>
      <c r="T594" s="166"/>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92"/>
      <c r="AR594" s="192"/>
      <c r="AS594" s="192"/>
      <c r="AT594" s="192"/>
      <c r="AU594" s="192"/>
      <c r="AV594" s="192"/>
      <c r="AW594" s="192"/>
      <c r="AX594" s="192"/>
      <c r="AY594" s="192"/>
      <c r="AZ594" s="192"/>
      <c r="BA594" s="192"/>
      <c r="BB594" s="192"/>
      <c r="BC594" s="192"/>
      <c r="BD594" s="192"/>
      <c r="BE594" s="192"/>
      <c r="BF594" s="192"/>
      <c r="BG594" s="192"/>
      <c r="BH594" s="192"/>
      <c r="BI594" s="192"/>
      <c r="BJ594" s="192"/>
      <c r="BK594" s="192"/>
      <c r="BL594" s="192"/>
      <c r="BM594" s="192"/>
      <c r="BN594" s="192"/>
    </row>
    <row r="595" ht="29.25" customHeight="1">
      <c r="A595" s="189"/>
      <c r="B595" s="190"/>
      <c r="C595" s="157"/>
      <c r="D595" s="157"/>
      <c r="E595" s="158"/>
      <c r="F595" s="166"/>
      <c r="G595" s="161"/>
      <c r="H595" s="161"/>
      <c r="I595" s="162"/>
      <c r="J595" s="163"/>
      <c r="K595" s="163"/>
      <c r="L595" s="163"/>
      <c r="M595" s="160"/>
      <c r="N595" s="162"/>
      <c r="O595" s="164"/>
      <c r="P595" s="140"/>
      <c r="Q595" s="191"/>
      <c r="R595" s="165"/>
      <c r="S595" s="165"/>
      <c r="T595" s="166"/>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92"/>
      <c r="AR595" s="192"/>
      <c r="AS595" s="192"/>
      <c r="AT595" s="192"/>
      <c r="AU595" s="192"/>
      <c r="AV595" s="192"/>
      <c r="AW595" s="192"/>
      <c r="AX595" s="192"/>
      <c r="AY595" s="192"/>
      <c r="AZ595" s="192"/>
      <c r="BA595" s="192"/>
      <c r="BB595" s="192"/>
      <c r="BC595" s="192"/>
      <c r="BD595" s="192"/>
      <c r="BE595" s="192"/>
      <c r="BF595" s="192"/>
      <c r="BG595" s="192"/>
      <c r="BH595" s="192"/>
      <c r="BI595" s="192"/>
      <c r="BJ595" s="192"/>
      <c r="BK595" s="192"/>
      <c r="BL595" s="192"/>
      <c r="BM595" s="192"/>
      <c r="BN595" s="192"/>
    </row>
    <row r="596" ht="29.25" customHeight="1">
      <c r="A596" s="189"/>
      <c r="B596" s="190"/>
      <c r="C596" s="157"/>
      <c r="D596" s="157"/>
      <c r="E596" s="158"/>
      <c r="F596" s="166"/>
      <c r="G596" s="161"/>
      <c r="H596" s="161"/>
      <c r="I596" s="162"/>
      <c r="J596" s="163"/>
      <c r="K596" s="163"/>
      <c r="L596" s="163"/>
      <c r="M596" s="160"/>
      <c r="N596" s="162"/>
      <c r="O596" s="164"/>
      <c r="P596" s="140"/>
      <c r="Q596" s="191"/>
      <c r="R596" s="165"/>
      <c r="S596" s="165"/>
      <c r="T596" s="166"/>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92"/>
      <c r="AR596" s="192"/>
      <c r="AS596" s="192"/>
      <c r="AT596" s="192"/>
      <c r="AU596" s="192"/>
      <c r="AV596" s="192"/>
      <c r="AW596" s="192"/>
      <c r="AX596" s="192"/>
      <c r="AY596" s="192"/>
      <c r="AZ596" s="192"/>
      <c r="BA596" s="192"/>
      <c r="BB596" s="192"/>
      <c r="BC596" s="192"/>
      <c r="BD596" s="192"/>
      <c r="BE596" s="192"/>
      <c r="BF596" s="192"/>
      <c r="BG596" s="192"/>
      <c r="BH596" s="192"/>
      <c r="BI596" s="192"/>
      <c r="BJ596" s="192"/>
      <c r="BK596" s="192"/>
      <c r="BL596" s="192"/>
      <c r="BM596" s="192"/>
      <c r="BN596" s="192"/>
    </row>
    <row r="597" ht="29.25" customHeight="1">
      <c r="A597" s="189"/>
      <c r="B597" s="190"/>
      <c r="C597" s="157"/>
      <c r="D597" s="157"/>
      <c r="E597" s="158"/>
      <c r="F597" s="166"/>
      <c r="G597" s="161"/>
      <c r="H597" s="161"/>
      <c r="I597" s="162"/>
      <c r="J597" s="163"/>
      <c r="K597" s="163"/>
      <c r="L597" s="163"/>
      <c r="M597" s="160"/>
      <c r="N597" s="162"/>
      <c r="O597" s="164"/>
      <c r="P597" s="140"/>
      <c r="Q597" s="191"/>
      <c r="R597" s="165"/>
      <c r="S597" s="165"/>
      <c r="T597" s="166"/>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92"/>
      <c r="AR597" s="192"/>
      <c r="AS597" s="192"/>
      <c r="AT597" s="192"/>
      <c r="AU597" s="192"/>
      <c r="AV597" s="192"/>
      <c r="AW597" s="192"/>
      <c r="AX597" s="192"/>
      <c r="AY597" s="192"/>
      <c r="AZ597" s="192"/>
      <c r="BA597" s="192"/>
      <c r="BB597" s="192"/>
      <c r="BC597" s="192"/>
      <c r="BD597" s="192"/>
      <c r="BE597" s="192"/>
      <c r="BF597" s="192"/>
      <c r="BG597" s="192"/>
      <c r="BH597" s="192"/>
      <c r="BI597" s="192"/>
      <c r="BJ597" s="192"/>
      <c r="BK597" s="192"/>
      <c r="BL597" s="192"/>
      <c r="BM597" s="192"/>
      <c r="BN597" s="192"/>
    </row>
    <row r="598" ht="29.25" customHeight="1">
      <c r="A598" s="189"/>
      <c r="B598" s="190"/>
      <c r="C598" s="157"/>
      <c r="D598" s="157"/>
      <c r="E598" s="158"/>
      <c r="F598" s="166"/>
      <c r="G598" s="161"/>
      <c r="H598" s="161"/>
      <c r="I598" s="162"/>
      <c r="J598" s="163"/>
      <c r="K598" s="163"/>
      <c r="L598" s="163"/>
      <c r="M598" s="160"/>
      <c r="N598" s="162"/>
      <c r="O598" s="164"/>
      <c r="P598" s="140"/>
      <c r="Q598" s="191"/>
      <c r="R598" s="165"/>
      <c r="S598" s="165"/>
      <c r="T598" s="166"/>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92"/>
      <c r="AR598" s="192"/>
      <c r="AS598" s="192"/>
      <c r="AT598" s="192"/>
      <c r="AU598" s="192"/>
      <c r="AV598" s="192"/>
      <c r="AW598" s="192"/>
      <c r="AX598" s="192"/>
      <c r="AY598" s="192"/>
      <c r="AZ598" s="192"/>
      <c r="BA598" s="192"/>
      <c r="BB598" s="192"/>
      <c r="BC598" s="192"/>
      <c r="BD598" s="192"/>
      <c r="BE598" s="192"/>
      <c r="BF598" s="192"/>
      <c r="BG598" s="192"/>
      <c r="BH598" s="192"/>
      <c r="BI598" s="192"/>
      <c r="BJ598" s="192"/>
      <c r="BK598" s="192"/>
      <c r="BL598" s="192"/>
      <c r="BM598" s="192"/>
      <c r="BN598" s="192"/>
    </row>
    <row r="599" ht="29.25" customHeight="1">
      <c r="A599" s="189"/>
      <c r="B599" s="190"/>
      <c r="C599" s="157"/>
      <c r="D599" s="157"/>
      <c r="E599" s="158"/>
      <c r="F599" s="166"/>
      <c r="G599" s="161"/>
      <c r="H599" s="161"/>
      <c r="I599" s="162"/>
      <c r="J599" s="163"/>
      <c r="K599" s="163"/>
      <c r="L599" s="163"/>
      <c r="M599" s="160"/>
      <c r="N599" s="162"/>
      <c r="O599" s="164"/>
      <c r="P599" s="140"/>
      <c r="Q599" s="191"/>
      <c r="R599" s="165"/>
      <c r="S599" s="165"/>
      <c r="T599" s="166"/>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92"/>
      <c r="AR599" s="192"/>
      <c r="AS599" s="192"/>
      <c r="AT599" s="192"/>
      <c r="AU599" s="192"/>
      <c r="AV599" s="192"/>
      <c r="AW599" s="192"/>
      <c r="AX599" s="192"/>
      <c r="AY599" s="192"/>
      <c r="AZ599" s="192"/>
      <c r="BA599" s="192"/>
      <c r="BB599" s="192"/>
      <c r="BC599" s="192"/>
      <c r="BD599" s="192"/>
      <c r="BE599" s="192"/>
      <c r="BF599" s="192"/>
      <c r="BG599" s="192"/>
      <c r="BH599" s="192"/>
      <c r="BI599" s="192"/>
      <c r="BJ599" s="192"/>
      <c r="BK599" s="192"/>
      <c r="BL599" s="192"/>
      <c r="BM599" s="192"/>
      <c r="BN599" s="192"/>
    </row>
    <row r="600" ht="29.25" customHeight="1">
      <c r="A600" s="189"/>
      <c r="B600" s="190"/>
      <c r="C600" s="157"/>
      <c r="D600" s="157"/>
      <c r="E600" s="158"/>
      <c r="F600" s="166"/>
      <c r="G600" s="161"/>
      <c r="H600" s="161"/>
      <c r="I600" s="162"/>
      <c r="J600" s="163"/>
      <c r="K600" s="163"/>
      <c r="L600" s="163"/>
      <c r="M600" s="160"/>
      <c r="N600" s="162"/>
      <c r="O600" s="164"/>
      <c r="P600" s="140"/>
      <c r="Q600" s="191"/>
      <c r="R600" s="165"/>
      <c r="S600" s="165"/>
      <c r="T600" s="166"/>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92"/>
      <c r="AR600" s="192"/>
      <c r="AS600" s="192"/>
      <c r="AT600" s="192"/>
      <c r="AU600" s="192"/>
      <c r="AV600" s="192"/>
      <c r="AW600" s="192"/>
      <c r="AX600" s="192"/>
      <c r="AY600" s="192"/>
      <c r="AZ600" s="192"/>
      <c r="BA600" s="192"/>
      <c r="BB600" s="192"/>
      <c r="BC600" s="192"/>
      <c r="BD600" s="192"/>
      <c r="BE600" s="192"/>
      <c r="BF600" s="192"/>
      <c r="BG600" s="192"/>
      <c r="BH600" s="192"/>
      <c r="BI600" s="192"/>
      <c r="BJ600" s="192"/>
      <c r="BK600" s="192"/>
      <c r="BL600" s="192"/>
      <c r="BM600" s="192"/>
      <c r="BN600" s="192"/>
    </row>
    <row r="601" ht="29.25" customHeight="1">
      <c r="A601" s="189"/>
      <c r="B601" s="190"/>
      <c r="C601" s="157"/>
      <c r="D601" s="157"/>
      <c r="E601" s="158"/>
      <c r="F601" s="166"/>
      <c r="G601" s="161"/>
      <c r="H601" s="161"/>
      <c r="I601" s="162"/>
      <c r="J601" s="163"/>
      <c r="K601" s="163"/>
      <c r="L601" s="163"/>
      <c r="M601" s="160"/>
      <c r="N601" s="162"/>
      <c r="O601" s="164"/>
      <c r="P601" s="140"/>
      <c r="Q601" s="191"/>
      <c r="R601" s="165"/>
      <c r="S601" s="165"/>
      <c r="T601" s="166"/>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92"/>
      <c r="AR601" s="192"/>
      <c r="AS601" s="192"/>
      <c r="AT601" s="192"/>
      <c r="AU601" s="192"/>
      <c r="AV601" s="192"/>
      <c r="AW601" s="192"/>
      <c r="AX601" s="192"/>
      <c r="AY601" s="192"/>
      <c r="AZ601" s="192"/>
      <c r="BA601" s="192"/>
      <c r="BB601" s="192"/>
      <c r="BC601" s="192"/>
      <c r="BD601" s="192"/>
      <c r="BE601" s="192"/>
      <c r="BF601" s="192"/>
      <c r="BG601" s="192"/>
      <c r="BH601" s="192"/>
      <c r="BI601" s="192"/>
      <c r="BJ601" s="192"/>
      <c r="BK601" s="192"/>
      <c r="BL601" s="192"/>
      <c r="BM601" s="192"/>
      <c r="BN601" s="192"/>
    </row>
    <row r="602" ht="29.25" customHeight="1">
      <c r="A602" s="189"/>
      <c r="B602" s="190"/>
      <c r="C602" s="157"/>
      <c r="D602" s="157"/>
      <c r="E602" s="158"/>
      <c r="F602" s="166"/>
      <c r="G602" s="161"/>
      <c r="H602" s="161"/>
      <c r="I602" s="162"/>
      <c r="J602" s="163"/>
      <c r="K602" s="163"/>
      <c r="L602" s="163"/>
      <c r="M602" s="160"/>
      <c r="N602" s="162"/>
      <c r="O602" s="164"/>
      <c r="P602" s="140"/>
      <c r="Q602" s="191"/>
      <c r="R602" s="165"/>
      <c r="S602" s="165"/>
      <c r="T602" s="166"/>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92"/>
      <c r="AR602" s="192"/>
      <c r="AS602" s="192"/>
      <c r="AT602" s="192"/>
      <c r="AU602" s="192"/>
      <c r="AV602" s="192"/>
      <c r="AW602" s="192"/>
      <c r="AX602" s="192"/>
      <c r="AY602" s="192"/>
      <c r="AZ602" s="192"/>
      <c r="BA602" s="192"/>
      <c r="BB602" s="192"/>
      <c r="BC602" s="192"/>
      <c r="BD602" s="192"/>
      <c r="BE602" s="192"/>
      <c r="BF602" s="192"/>
      <c r="BG602" s="192"/>
      <c r="BH602" s="192"/>
      <c r="BI602" s="192"/>
      <c r="BJ602" s="192"/>
      <c r="BK602" s="192"/>
      <c r="BL602" s="192"/>
      <c r="BM602" s="192"/>
      <c r="BN602" s="192"/>
    </row>
    <row r="603" ht="29.25" customHeight="1">
      <c r="A603" s="189"/>
      <c r="B603" s="190"/>
      <c r="C603" s="157"/>
      <c r="D603" s="157"/>
      <c r="E603" s="158"/>
      <c r="F603" s="166"/>
      <c r="G603" s="161"/>
      <c r="H603" s="161"/>
      <c r="I603" s="162"/>
      <c r="J603" s="163"/>
      <c r="K603" s="163"/>
      <c r="L603" s="163"/>
      <c r="M603" s="160"/>
      <c r="N603" s="162"/>
      <c r="O603" s="164"/>
      <c r="P603" s="140"/>
      <c r="Q603" s="191"/>
      <c r="R603" s="165"/>
      <c r="S603" s="165"/>
      <c r="T603" s="166"/>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92"/>
      <c r="AR603" s="192"/>
      <c r="AS603" s="192"/>
      <c r="AT603" s="192"/>
      <c r="AU603" s="192"/>
      <c r="AV603" s="192"/>
      <c r="AW603" s="192"/>
      <c r="AX603" s="192"/>
      <c r="AY603" s="192"/>
      <c r="AZ603" s="192"/>
      <c r="BA603" s="192"/>
      <c r="BB603" s="192"/>
      <c r="BC603" s="192"/>
      <c r="BD603" s="192"/>
      <c r="BE603" s="192"/>
      <c r="BF603" s="192"/>
      <c r="BG603" s="192"/>
      <c r="BH603" s="192"/>
      <c r="BI603" s="192"/>
      <c r="BJ603" s="192"/>
      <c r="BK603" s="192"/>
      <c r="BL603" s="192"/>
      <c r="BM603" s="192"/>
      <c r="BN603" s="192"/>
    </row>
    <row r="604" ht="29.25" customHeight="1">
      <c r="A604" s="189"/>
      <c r="B604" s="190"/>
      <c r="C604" s="157"/>
      <c r="D604" s="157"/>
      <c r="E604" s="158"/>
      <c r="F604" s="166"/>
      <c r="G604" s="161"/>
      <c r="H604" s="161"/>
      <c r="I604" s="162"/>
      <c r="J604" s="163"/>
      <c r="K604" s="163"/>
      <c r="L604" s="163"/>
      <c r="M604" s="160"/>
      <c r="N604" s="162"/>
      <c r="O604" s="164"/>
      <c r="P604" s="140"/>
      <c r="Q604" s="191"/>
      <c r="R604" s="165"/>
      <c r="S604" s="165"/>
      <c r="T604" s="166"/>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92"/>
      <c r="AR604" s="192"/>
      <c r="AS604" s="192"/>
      <c r="AT604" s="192"/>
      <c r="AU604" s="192"/>
      <c r="AV604" s="192"/>
      <c r="AW604" s="192"/>
      <c r="AX604" s="192"/>
      <c r="AY604" s="192"/>
      <c r="AZ604" s="192"/>
      <c r="BA604" s="192"/>
      <c r="BB604" s="192"/>
      <c r="BC604" s="192"/>
      <c r="BD604" s="192"/>
      <c r="BE604" s="192"/>
      <c r="BF604" s="192"/>
      <c r="BG604" s="192"/>
      <c r="BH604" s="192"/>
      <c r="BI604" s="192"/>
      <c r="BJ604" s="192"/>
      <c r="BK604" s="192"/>
      <c r="BL604" s="192"/>
      <c r="BM604" s="192"/>
      <c r="BN604" s="192"/>
    </row>
    <row r="605" ht="29.25" customHeight="1">
      <c r="A605" s="189"/>
      <c r="B605" s="190"/>
      <c r="C605" s="157"/>
      <c r="D605" s="157"/>
      <c r="E605" s="158"/>
      <c r="F605" s="166"/>
      <c r="G605" s="161"/>
      <c r="H605" s="161"/>
      <c r="I605" s="162"/>
      <c r="J605" s="163"/>
      <c r="K605" s="163"/>
      <c r="L605" s="163"/>
      <c r="M605" s="160"/>
      <c r="N605" s="162"/>
      <c r="O605" s="164"/>
      <c r="P605" s="140"/>
      <c r="Q605" s="191"/>
      <c r="R605" s="165"/>
      <c r="S605" s="165"/>
      <c r="T605" s="166"/>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92"/>
      <c r="AR605" s="192"/>
      <c r="AS605" s="192"/>
      <c r="AT605" s="192"/>
      <c r="AU605" s="192"/>
      <c r="AV605" s="192"/>
      <c r="AW605" s="192"/>
      <c r="AX605" s="192"/>
      <c r="AY605" s="192"/>
      <c r="AZ605" s="192"/>
      <c r="BA605" s="192"/>
      <c r="BB605" s="192"/>
      <c r="BC605" s="192"/>
      <c r="BD605" s="192"/>
      <c r="BE605" s="192"/>
      <c r="BF605" s="192"/>
      <c r="BG605" s="192"/>
      <c r="BH605" s="192"/>
      <c r="BI605" s="192"/>
      <c r="BJ605" s="192"/>
      <c r="BK605" s="192"/>
      <c r="BL605" s="192"/>
      <c r="BM605" s="192"/>
      <c r="BN605" s="192"/>
    </row>
    <row r="606" ht="29.25" customHeight="1">
      <c r="A606" s="189"/>
      <c r="B606" s="190"/>
      <c r="C606" s="157"/>
      <c r="D606" s="157"/>
      <c r="E606" s="158"/>
      <c r="F606" s="166"/>
      <c r="G606" s="161"/>
      <c r="H606" s="161"/>
      <c r="I606" s="162"/>
      <c r="J606" s="163"/>
      <c r="K606" s="163"/>
      <c r="L606" s="163"/>
      <c r="M606" s="160"/>
      <c r="N606" s="162"/>
      <c r="O606" s="164"/>
      <c r="P606" s="140"/>
      <c r="Q606" s="191"/>
      <c r="R606" s="165"/>
      <c r="S606" s="165"/>
      <c r="T606" s="166"/>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92"/>
      <c r="AR606" s="192"/>
      <c r="AS606" s="192"/>
      <c r="AT606" s="192"/>
      <c r="AU606" s="192"/>
      <c r="AV606" s="192"/>
      <c r="AW606" s="192"/>
      <c r="AX606" s="192"/>
      <c r="AY606" s="192"/>
      <c r="AZ606" s="192"/>
      <c r="BA606" s="192"/>
      <c r="BB606" s="192"/>
      <c r="BC606" s="192"/>
      <c r="BD606" s="192"/>
      <c r="BE606" s="192"/>
      <c r="BF606" s="192"/>
      <c r="BG606" s="192"/>
      <c r="BH606" s="192"/>
      <c r="BI606" s="192"/>
      <c r="BJ606" s="192"/>
      <c r="BK606" s="192"/>
      <c r="BL606" s="192"/>
      <c r="BM606" s="192"/>
      <c r="BN606" s="192"/>
    </row>
    <row r="607" ht="29.25" customHeight="1">
      <c r="A607" s="189"/>
      <c r="B607" s="190"/>
      <c r="C607" s="157"/>
      <c r="D607" s="157"/>
      <c r="E607" s="158"/>
      <c r="F607" s="166"/>
      <c r="G607" s="161"/>
      <c r="H607" s="161"/>
      <c r="I607" s="162"/>
      <c r="J607" s="163"/>
      <c r="K607" s="163"/>
      <c r="L607" s="163"/>
      <c r="M607" s="160"/>
      <c r="N607" s="162"/>
      <c r="O607" s="164"/>
      <c r="P607" s="140"/>
      <c r="Q607" s="191"/>
      <c r="R607" s="165"/>
      <c r="S607" s="165"/>
      <c r="T607" s="166"/>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92"/>
      <c r="AR607" s="192"/>
      <c r="AS607" s="192"/>
      <c r="AT607" s="192"/>
      <c r="AU607" s="192"/>
      <c r="AV607" s="192"/>
      <c r="AW607" s="192"/>
      <c r="AX607" s="192"/>
      <c r="AY607" s="192"/>
      <c r="AZ607" s="192"/>
      <c r="BA607" s="192"/>
      <c r="BB607" s="192"/>
      <c r="BC607" s="192"/>
      <c r="BD607" s="192"/>
      <c r="BE607" s="192"/>
      <c r="BF607" s="192"/>
      <c r="BG607" s="192"/>
      <c r="BH607" s="192"/>
      <c r="BI607" s="192"/>
      <c r="BJ607" s="192"/>
      <c r="BK607" s="192"/>
      <c r="BL607" s="192"/>
      <c r="BM607" s="192"/>
      <c r="BN607" s="192"/>
    </row>
    <row r="608" ht="29.25" customHeight="1">
      <c r="A608" s="189"/>
      <c r="B608" s="190"/>
      <c r="C608" s="157"/>
      <c r="D608" s="157"/>
      <c r="E608" s="158"/>
      <c r="F608" s="166"/>
      <c r="G608" s="161"/>
      <c r="H608" s="161"/>
      <c r="I608" s="162"/>
      <c r="J608" s="163"/>
      <c r="K608" s="163"/>
      <c r="L608" s="163"/>
      <c r="M608" s="160"/>
      <c r="N608" s="162"/>
      <c r="O608" s="164"/>
      <c r="P608" s="140"/>
      <c r="Q608" s="191"/>
      <c r="R608" s="165"/>
      <c r="S608" s="165"/>
      <c r="T608" s="166"/>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92"/>
      <c r="AR608" s="192"/>
      <c r="AS608" s="192"/>
      <c r="AT608" s="192"/>
      <c r="AU608" s="192"/>
      <c r="AV608" s="192"/>
      <c r="AW608" s="192"/>
      <c r="AX608" s="192"/>
      <c r="AY608" s="192"/>
      <c r="AZ608" s="192"/>
      <c r="BA608" s="192"/>
      <c r="BB608" s="192"/>
      <c r="BC608" s="192"/>
      <c r="BD608" s="192"/>
      <c r="BE608" s="192"/>
      <c r="BF608" s="192"/>
      <c r="BG608" s="192"/>
      <c r="BH608" s="192"/>
      <c r="BI608" s="192"/>
      <c r="BJ608" s="192"/>
      <c r="BK608" s="192"/>
      <c r="BL608" s="192"/>
      <c r="BM608" s="192"/>
      <c r="BN608" s="192"/>
    </row>
    <row r="609" ht="29.25" customHeight="1">
      <c r="A609" s="189"/>
      <c r="B609" s="190"/>
      <c r="C609" s="157"/>
      <c r="D609" s="157"/>
      <c r="E609" s="158"/>
      <c r="F609" s="166"/>
      <c r="G609" s="161"/>
      <c r="H609" s="161"/>
      <c r="I609" s="162"/>
      <c r="J609" s="163"/>
      <c r="K609" s="163"/>
      <c r="L609" s="163"/>
      <c r="M609" s="160"/>
      <c r="N609" s="162"/>
      <c r="O609" s="164"/>
      <c r="P609" s="140"/>
      <c r="Q609" s="191"/>
      <c r="R609" s="165"/>
      <c r="S609" s="165"/>
      <c r="T609" s="166"/>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92"/>
      <c r="AR609" s="192"/>
      <c r="AS609" s="192"/>
      <c r="AT609" s="192"/>
      <c r="AU609" s="192"/>
      <c r="AV609" s="192"/>
      <c r="AW609" s="192"/>
      <c r="AX609" s="192"/>
      <c r="AY609" s="192"/>
      <c r="AZ609" s="192"/>
      <c r="BA609" s="192"/>
      <c r="BB609" s="192"/>
      <c r="BC609" s="192"/>
      <c r="BD609" s="192"/>
      <c r="BE609" s="192"/>
      <c r="BF609" s="192"/>
      <c r="BG609" s="192"/>
      <c r="BH609" s="192"/>
      <c r="BI609" s="192"/>
      <c r="BJ609" s="192"/>
      <c r="BK609" s="192"/>
      <c r="BL609" s="192"/>
      <c r="BM609" s="192"/>
      <c r="BN609" s="192"/>
    </row>
    <row r="610" ht="29.25" customHeight="1">
      <c r="A610" s="189"/>
      <c r="B610" s="190"/>
      <c r="C610" s="157"/>
      <c r="D610" s="157"/>
      <c r="E610" s="158"/>
      <c r="F610" s="166"/>
      <c r="G610" s="161"/>
      <c r="H610" s="161"/>
      <c r="I610" s="162"/>
      <c r="J610" s="163"/>
      <c r="K610" s="163"/>
      <c r="L610" s="163"/>
      <c r="M610" s="160"/>
      <c r="N610" s="162"/>
      <c r="O610" s="164"/>
      <c r="P610" s="140"/>
      <c r="Q610" s="191"/>
      <c r="R610" s="165"/>
      <c r="S610" s="165"/>
      <c r="T610" s="166"/>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92"/>
      <c r="AR610" s="192"/>
      <c r="AS610" s="192"/>
      <c r="AT610" s="192"/>
      <c r="AU610" s="192"/>
      <c r="AV610" s="192"/>
      <c r="AW610" s="192"/>
      <c r="AX610" s="192"/>
      <c r="AY610" s="192"/>
      <c r="AZ610" s="192"/>
      <c r="BA610" s="192"/>
      <c r="BB610" s="192"/>
      <c r="BC610" s="192"/>
      <c r="BD610" s="192"/>
      <c r="BE610" s="192"/>
      <c r="BF610" s="192"/>
      <c r="BG610" s="192"/>
      <c r="BH610" s="192"/>
      <c r="BI610" s="192"/>
      <c r="BJ610" s="192"/>
      <c r="BK610" s="192"/>
      <c r="BL610" s="192"/>
      <c r="BM610" s="192"/>
      <c r="BN610" s="192"/>
    </row>
    <row r="611" ht="29.25" customHeight="1">
      <c r="A611" s="189"/>
      <c r="B611" s="190"/>
      <c r="C611" s="157"/>
      <c r="D611" s="157"/>
      <c r="E611" s="158"/>
      <c r="F611" s="166"/>
      <c r="G611" s="161"/>
      <c r="H611" s="161"/>
      <c r="I611" s="162"/>
      <c r="J611" s="163"/>
      <c r="K611" s="163"/>
      <c r="L611" s="163"/>
      <c r="M611" s="160"/>
      <c r="N611" s="162"/>
      <c r="O611" s="164"/>
      <c r="P611" s="140"/>
      <c r="Q611" s="191"/>
      <c r="R611" s="165"/>
      <c r="S611" s="165"/>
      <c r="T611" s="166"/>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92"/>
      <c r="AR611" s="192"/>
      <c r="AS611" s="192"/>
      <c r="AT611" s="192"/>
      <c r="AU611" s="192"/>
      <c r="AV611" s="192"/>
      <c r="AW611" s="192"/>
      <c r="AX611" s="192"/>
      <c r="AY611" s="192"/>
      <c r="AZ611" s="192"/>
      <c r="BA611" s="192"/>
      <c r="BB611" s="192"/>
      <c r="BC611" s="192"/>
      <c r="BD611" s="192"/>
      <c r="BE611" s="192"/>
      <c r="BF611" s="192"/>
      <c r="BG611" s="192"/>
      <c r="BH611" s="192"/>
      <c r="BI611" s="192"/>
      <c r="BJ611" s="192"/>
      <c r="BK611" s="192"/>
      <c r="BL611" s="192"/>
      <c r="BM611" s="192"/>
      <c r="BN611" s="192"/>
    </row>
    <row r="612" ht="29.25" customHeight="1">
      <c r="A612" s="189"/>
      <c r="B612" s="190"/>
      <c r="C612" s="157"/>
      <c r="D612" s="157"/>
      <c r="E612" s="158"/>
      <c r="F612" s="166"/>
      <c r="G612" s="161"/>
      <c r="H612" s="161"/>
      <c r="I612" s="162"/>
      <c r="J612" s="163"/>
      <c r="K612" s="163"/>
      <c r="L612" s="163"/>
      <c r="M612" s="160"/>
      <c r="N612" s="162"/>
      <c r="O612" s="164"/>
      <c r="P612" s="140"/>
      <c r="Q612" s="191"/>
      <c r="R612" s="165"/>
      <c r="S612" s="165"/>
      <c r="T612" s="166"/>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92"/>
      <c r="AR612" s="192"/>
      <c r="AS612" s="192"/>
      <c r="AT612" s="192"/>
      <c r="AU612" s="192"/>
      <c r="AV612" s="192"/>
      <c r="AW612" s="192"/>
      <c r="AX612" s="192"/>
      <c r="AY612" s="192"/>
      <c r="AZ612" s="192"/>
      <c r="BA612" s="192"/>
      <c r="BB612" s="192"/>
      <c r="BC612" s="192"/>
      <c r="BD612" s="192"/>
      <c r="BE612" s="192"/>
      <c r="BF612" s="192"/>
      <c r="BG612" s="192"/>
      <c r="BH612" s="192"/>
      <c r="BI612" s="192"/>
      <c r="BJ612" s="192"/>
      <c r="BK612" s="192"/>
      <c r="BL612" s="192"/>
      <c r="BM612" s="192"/>
      <c r="BN612" s="192"/>
    </row>
    <row r="613" ht="29.25" customHeight="1">
      <c r="A613" s="189"/>
      <c r="B613" s="190"/>
      <c r="C613" s="157"/>
      <c r="D613" s="157"/>
      <c r="E613" s="158"/>
      <c r="F613" s="166"/>
      <c r="G613" s="161"/>
      <c r="H613" s="161"/>
      <c r="I613" s="162"/>
      <c r="J613" s="163"/>
      <c r="K613" s="163"/>
      <c r="L613" s="163"/>
      <c r="M613" s="160"/>
      <c r="N613" s="162"/>
      <c r="O613" s="164"/>
      <c r="P613" s="140"/>
      <c r="Q613" s="191"/>
      <c r="R613" s="165"/>
      <c r="S613" s="165"/>
      <c r="T613" s="166"/>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92"/>
      <c r="AR613" s="192"/>
      <c r="AS613" s="192"/>
      <c r="AT613" s="192"/>
      <c r="AU613" s="192"/>
      <c r="AV613" s="192"/>
      <c r="AW613" s="192"/>
      <c r="AX613" s="192"/>
      <c r="AY613" s="192"/>
      <c r="AZ613" s="192"/>
      <c r="BA613" s="192"/>
      <c r="BB613" s="192"/>
      <c r="BC613" s="192"/>
      <c r="BD613" s="192"/>
      <c r="BE613" s="192"/>
      <c r="BF613" s="192"/>
      <c r="BG613" s="192"/>
      <c r="BH613" s="192"/>
      <c r="BI613" s="192"/>
      <c r="BJ613" s="192"/>
      <c r="BK613" s="192"/>
      <c r="BL613" s="192"/>
      <c r="BM613" s="192"/>
      <c r="BN613" s="192"/>
    </row>
    <row r="614" ht="29.25" customHeight="1">
      <c r="A614" s="189"/>
      <c r="B614" s="190"/>
      <c r="C614" s="157"/>
      <c r="D614" s="157"/>
      <c r="E614" s="158"/>
      <c r="F614" s="166"/>
      <c r="G614" s="161"/>
      <c r="H614" s="161"/>
      <c r="I614" s="162"/>
      <c r="J614" s="163"/>
      <c r="K614" s="163"/>
      <c r="L614" s="163"/>
      <c r="M614" s="160"/>
      <c r="N614" s="162"/>
      <c r="O614" s="164"/>
      <c r="P614" s="140"/>
      <c r="Q614" s="191"/>
      <c r="R614" s="165"/>
      <c r="S614" s="165"/>
      <c r="T614" s="166"/>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92"/>
      <c r="AR614" s="192"/>
      <c r="AS614" s="192"/>
      <c r="AT614" s="192"/>
      <c r="AU614" s="192"/>
      <c r="AV614" s="192"/>
      <c r="AW614" s="192"/>
      <c r="AX614" s="192"/>
      <c r="AY614" s="192"/>
      <c r="AZ614" s="192"/>
      <c r="BA614" s="192"/>
      <c r="BB614" s="192"/>
      <c r="BC614" s="192"/>
      <c r="BD614" s="192"/>
      <c r="BE614" s="192"/>
      <c r="BF614" s="192"/>
      <c r="BG614" s="192"/>
      <c r="BH614" s="192"/>
      <c r="BI614" s="192"/>
      <c r="BJ614" s="192"/>
      <c r="BK614" s="192"/>
      <c r="BL614" s="192"/>
      <c r="BM614" s="192"/>
      <c r="BN614" s="192"/>
    </row>
    <row r="615" ht="29.25" customHeight="1">
      <c r="A615" s="189"/>
      <c r="B615" s="190"/>
      <c r="C615" s="157"/>
      <c r="D615" s="157"/>
      <c r="E615" s="158"/>
      <c r="F615" s="166"/>
      <c r="G615" s="161"/>
      <c r="H615" s="161"/>
      <c r="I615" s="162"/>
      <c r="J615" s="163"/>
      <c r="K615" s="163"/>
      <c r="L615" s="163"/>
      <c r="M615" s="160"/>
      <c r="N615" s="162"/>
      <c r="O615" s="164"/>
      <c r="P615" s="140"/>
      <c r="Q615" s="191"/>
      <c r="R615" s="165"/>
      <c r="S615" s="165"/>
      <c r="T615" s="166"/>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92"/>
      <c r="AR615" s="192"/>
      <c r="AS615" s="192"/>
      <c r="AT615" s="192"/>
      <c r="AU615" s="192"/>
      <c r="AV615" s="192"/>
      <c r="AW615" s="192"/>
      <c r="AX615" s="192"/>
      <c r="AY615" s="192"/>
      <c r="AZ615" s="192"/>
      <c r="BA615" s="192"/>
      <c r="BB615" s="192"/>
      <c r="BC615" s="192"/>
      <c r="BD615" s="192"/>
      <c r="BE615" s="192"/>
      <c r="BF615" s="192"/>
      <c r="BG615" s="192"/>
      <c r="BH615" s="192"/>
      <c r="BI615" s="192"/>
      <c r="BJ615" s="192"/>
      <c r="BK615" s="192"/>
      <c r="BL615" s="192"/>
      <c r="BM615" s="192"/>
      <c r="BN615" s="192"/>
    </row>
    <row r="616" ht="29.25" customHeight="1">
      <c r="A616" s="189"/>
      <c r="B616" s="190"/>
      <c r="C616" s="157"/>
      <c r="D616" s="157"/>
      <c r="E616" s="158"/>
      <c r="F616" s="166"/>
      <c r="G616" s="161"/>
      <c r="H616" s="161"/>
      <c r="I616" s="162"/>
      <c r="J616" s="163"/>
      <c r="K616" s="163"/>
      <c r="L616" s="163"/>
      <c r="M616" s="160"/>
      <c r="N616" s="162"/>
      <c r="O616" s="164"/>
      <c r="P616" s="140"/>
      <c r="Q616" s="191"/>
      <c r="R616" s="165"/>
      <c r="S616" s="165"/>
      <c r="T616" s="166"/>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92"/>
      <c r="AR616" s="192"/>
      <c r="AS616" s="192"/>
      <c r="AT616" s="192"/>
      <c r="AU616" s="192"/>
      <c r="AV616" s="192"/>
      <c r="AW616" s="192"/>
      <c r="AX616" s="192"/>
      <c r="AY616" s="192"/>
      <c r="AZ616" s="192"/>
      <c r="BA616" s="192"/>
      <c r="BB616" s="192"/>
      <c r="BC616" s="192"/>
      <c r="BD616" s="192"/>
      <c r="BE616" s="192"/>
      <c r="BF616" s="192"/>
      <c r="BG616" s="192"/>
      <c r="BH616" s="192"/>
      <c r="BI616" s="192"/>
      <c r="BJ616" s="192"/>
      <c r="BK616" s="192"/>
      <c r="BL616" s="192"/>
      <c r="BM616" s="192"/>
      <c r="BN616" s="192"/>
    </row>
    <row r="617" ht="29.25" customHeight="1">
      <c r="A617" s="189"/>
      <c r="B617" s="190"/>
      <c r="C617" s="157"/>
      <c r="D617" s="157"/>
      <c r="E617" s="158"/>
      <c r="F617" s="166"/>
      <c r="G617" s="161"/>
      <c r="H617" s="161"/>
      <c r="I617" s="162"/>
      <c r="J617" s="163"/>
      <c r="K617" s="163"/>
      <c r="L617" s="163"/>
      <c r="M617" s="160"/>
      <c r="N617" s="162"/>
      <c r="O617" s="164"/>
      <c r="P617" s="140"/>
      <c r="Q617" s="191"/>
      <c r="R617" s="165"/>
      <c r="S617" s="165"/>
      <c r="T617" s="166"/>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92"/>
      <c r="AR617" s="192"/>
      <c r="AS617" s="192"/>
      <c r="AT617" s="192"/>
      <c r="AU617" s="192"/>
      <c r="AV617" s="192"/>
      <c r="AW617" s="192"/>
      <c r="AX617" s="192"/>
      <c r="AY617" s="192"/>
      <c r="AZ617" s="192"/>
      <c r="BA617" s="192"/>
      <c r="BB617" s="192"/>
      <c r="BC617" s="192"/>
      <c r="BD617" s="192"/>
      <c r="BE617" s="192"/>
      <c r="BF617" s="192"/>
      <c r="BG617" s="192"/>
      <c r="BH617" s="192"/>
      <c r="BI617" s="192"/>
      <c r="BJ617" s="192"/>
      <c r="BK617" s="192"/>
      <c r="BL617" s="192"/>
      <c r="BM617" s="192"/>
      <c r="BN617" s="192"/>
    </row>
    <row r="618" ht="29.25" customHeight="1">
      <c r="A618" s="189"/>
      <c r="B618" s="190"/>
      <c r="C618" s="157"/>
      <c r="D618" s="157"/>
      <c r="E618" s="158"/>
      <c r="F618" s="166"/>
      <c r="G618" s="161"/>
      <c r="H618" s="161"/>
      <c r="I618" s="162"/>
      <c r="J618" s="163"/>
      <c r="K618" s="163"/>
      <c r="L618" s="163"/>
      <c r="M618" s="160"/>
      <c r="N618" s="162"/>
      <c r="O618" s="164"/>
      <c r="P618" s="140"/>
      <c r="Q618" s="191"/>
      <c r="R618" s="165"/>
      <c r="S618" s="165"/>
      <c r="T618" s="166"/>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92"/>
      <c r="AR618" s="192"/>
      <c r="AS618" s="192"/>
      <c r="AT618" s="192"/>
      <c r="AU618" s="192"/>
      <c r="AV618" s="192"/>
      <c r="AW618" s="192"/>
      <c r="AX618" s="192"/>
      <c r="AY618" s="192"/>
      <c r="AZ618" s="192"/>
      <c r="BA618" s="192"/>
      <c r="BB618" s="192"/>
      <c r="BC618" s="192"/>
      <c r="BD618" s="192"/>
      <c r="BE618" s="192"/>
      <c r="BF618" s="192"/>
      <c r="BG618" s="192"/>
      <c r="BH618" s="192"/>
      <c r="BI618" s="192"/>
      <c r="BJ618" s="192"/>
      <c r="BK618" s="192"/>
      <c r="BL618" s="192"/>
      <c r="BM618" s="192"/>
      <c r="BN618" s="192"/>
    </row>
    <row r="619" ht="29.25" customHeight="1">
      <c r="A619" s="189"/>
      <c r="B619" s="190"/>
      <c r="C619" s="157"/>
      <c r="D619" s="157"/>
      <c r="E619" s="158"/>
      <c r="F619" s="166"/>
      <c r="G619" s="161"/>
      <c r="H619" s="161"/>
      <c r="I619" s="162"/>
      <c r="J619" s="163"/>
      <c r="K619" s="163"/>
      <c r="L619" s="163"/>
      <c r="M619" s="160"/>
      <c r="N619" s="162"/>
      <c r="O619" s="164"/>
      <c r="P619" s="140"/>
      <c r="Q619" s="191"/>
      <c r="R619" s="165"/>
      <c r="S619" s="165"/>
      <c r="T619" s="166"/>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92"/>
      <c r="AR619" s="192"/>
      <c r="AS619" s="192"/>
      <c r="AT619" s="192"/>
      <c r="AU619" s="192"/>
      <c r="AV619" s="192"/>
      <c r="AW619" s="192"/>
      <c r="AX619" s="192"/>
      <c r="AY619" s="192"/>
      <c r="AZ619" s="192"/>
      <c r="BA619" s="192"/>
      <c r="BB619" s="192"/>
      <c r="BC619" s="192"/>
      <c r="BD619" s="192"/>
      <c r="BE619" s="192"/>
      <c r="BF619" s="192"/>
      <c r="BG619" s="192"/>
      <c r="BH619" s="192"/>
      <c r="BI619" s="192"/>
      <c r="BJ619" s="192"/>
      <c r="BK619" s="192"/>
      <c r="BL619" s="192"/>
      <c r="BM619" s="192"/>
      <c r="BN619" s="192"/>
    </row>
    <row r="620" ht="29.25" customHeight="1">
      <c r="A620" s="189"/>
      <c r="B620" s="190"/>
      <c r="C620" s="157"/>
      <c r="D620" s="157"/>
      <c r="E620" s="158"/>
      <c r="F620" s="166"/>
      <c r="G620" s="161"/>
      <c r="H620" s="161"/>
      <c r="I620" s="162"/>
      <c r="J620" s="163"/>
      <c r="K620" s="163"/>
      <c r="L620" s="163"/>
      <c r="M620" s="160"/>
      <c r="N620" s="162"/>
      <c r="O620" s="164"/>
      <c r="P620" s="140"/>
      <c r="Q620" s="191"/>
      <c r="R620" s="165"/>
      <c r="S620" s="165"/>
      <c r="T620" s="166"/>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92"/>
      <c r="AR620" s="192"/>
      <c r="AS620" s="192"/>
      <c r="AT620" s="192"/>
      <c r="AU620" s="192"/>
      <c r="AV620" s="192"/>
      <c r="AW620" s="192"/>
      <c r="AX620" s="192"/>
      <c r="AY620" s="192"/>
      <c r="AZ620" s="192"/>
      <c r="BA620" s="192"/>
      <c r="BB620" s="192"/>
      <c r="BC620" s="192"/>
      <c r="BD620" s="192"/>
      <c r="BE620" s="192"/>
      <c r="BF620" s="192"/>
      <c r="BG620" s="192"/>
      <c r="BH620" s="192"/>
      <c r="BI620" s="192"/>
      <c r="BJ620" s="192"/>
      <c r="BK620" s="192"/>
      <c r="BL620" s="192"/>
      <c r="BM620" s="192"/>
      <c r="BN620" s="192"/>
    </row>
    <row r="621" ht="29.25" customHeight="1">
      <c r="A621" s="189"/>
      <c r="B621" s="190"/>
      <c r="C621" s="157"/>
      <c r="D621" s="157"/>
      <c r="E621" s="158"/>
      <c r="F621" s="166"/>
      <c r="G621" s="161"/>
      <c r="H621" s="161"/>
      <c r="I621" s="162"/>
      <c r="J621" s="163"/>
      <c r="K621" s="163"/>
      <c r="L621" s="163"/>
      <c r="M621" s="160"/>
      <c r="N621" s="162"/>
      <c r="O621" s="164"/>
      <c r="P621" s="140"/>
      <c r="Q621" s="191"/>
      <c r="R621" s="165"/>
      <c r="S621" s="165"/>
      <c r="T621" s="166"/>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92"/>
      <c r="AR621" s="192"/>
      <c r="AS621" s="192"/>
      <c r="AT621" s="192"/>
      <c r="AU621" s="192"/>
      <c r="AV621" s="192"/>
      <c r="AW621" s="192"/>
      <c r="AX621" s="192"/>
      <c r="AY621" s="192"/>
      <c r="AZ621" s="192"/>
      <c r="BA621" s="192"/>
      <c r="BB621" s="192"/>
      <c r="BC621" s="192"/>
      <c r="BD621" s="192"/>
      <c r="BE621" s="192"/>
      <c r="BF621" s="192"/>
      <c r="BG621" s="192"/>
      <c r="BH621" s="192"/>
      <c r="BI621" s="192"/>
      <c r="BJ621" s="192"/>
      <c r="BK621" s="192"/>
      <c r="BL621" s="192"/>
      <c r="BM621" s="192"/>
      <c r="BN621" s="192"/>
    </row>
    <row r="622" ht="29.25" customHeight="1">
      <c r="A622" s="189"/>
      <c r="B622" s="190"/>
      <c r="C622" s="157"/>
      <c r="D622" s="157"/>
      <c r="E622" s="158"/>
      <c r="F622" s="166"/>
      <c r="G622" s="161"/>
      <c r="H622" s="161"/>
      <c r="I622" s="162"/>
      <c r="J622" s="163"/>
      <c r="K622" s="163"/>
      <c r="L622" s="163"/>
      <c r="M622" s="160"/>
      <c r="N622" s="162"/>
      <c r="O622" s="164"/>
      <c r="P622" s="140"/>
      <c r="Q622" s="191"/>
      <c r="R622" s="165"/>
      <c r="S622" s="165"/>
      <c r="T622" s="166"/>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92"/>
      <c r="AR622" s="192"/>
      <c r="AS622" s="192"/>
      <c r="AT622" s="192"/>
      <c r="AU622" s="192"/>
      <c r="AV622" s="192"/>
      <c r="AW622" s="192"/>
      <c r="AX622" s="192"/>
      <c r="AY622" s="192"/>
      <c r="AZ622" s="192"/>
      <c r="BA622" s="192"/>
      <c r="BB622" s="192"/>
      <c r="BC622" s="192"/>
      <c r="BD622" s="192"/>
      <c r="BE622" s="192"/>
      <c r="BF622" s="192"/>
      <c r="BG622" s="192"/>
      <c r="BH622" s="192"/>
      <c r="BI622" s="192"/>
      <c r="BJ622" s="192"/>
      <c r="BK622" s="192"/>
      <c r="BL622" s="192"/>
      <c r="BM622" s="192"/>
      <c r="BN622" s="192"/>
    </row>
    <row r="623" ht="29.25" customHeight="1">
      <c r="A623" s="189"/>
      <c r="B623" s="190"/>
      <c r="C623" s="157"/>
      <c r="D623" s="157"/>
      <c r="E623" s="158"/>
      <c r="F623" s="166"/>
      <c r="G623" s="161"/>
      <c r="H623" s="161"/>
      <c r="I623" s="162"/>
      <c r="J623" s="163"/>
      <c r="K623" s="163"/>
      <c r="L623" s="163"/>
      <c r="M623" s="160"/>
      <c r="N623" s="162"/>
      <c r="O623" s="164"/>
      <c r="P623" s="140"/>
      <c r="Q623" s="191"/>
      <c r="R623" s="165"/>
      <c r="S623" s="165"/>
      <c r="T623" s="166"/>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92"/>
      <c r="AR623" s="192"/>
      <c r="AS623" s="192"/>
      <c r="AT623" s="192"/>
      <c r="AU623" s="192"/>
      <c r="AV623" s="192"/>
      <c r="AW623" s="192"/>
      <c r="AX623" s="192"/>
      <c r="AY623" s="192"/>
      <c r="AZ623" s="192"/>
      <c r="BA623" s="192"/>
      <c r="BB623" s="192"/>
      <c r="BC623" s="192"/>
      <c r="BD623" s="192"/>
      <c r="BE623" s="192"/>
      <c r="BF623" s="192"/>
      <c r="BG623" s="192"/>
      <c r="BH623" s="192"/>
      <c r="BI623" s="192"/>
      <c r="BJ623" s="192"/>
      <c r="BK623" s="192"/>
      <c r="BL623" s="192"/>
      <c r="BM623" s="192"/>
      <c r="BN623" s="192"/>
    </row>
    <row r="624" ht="29.25" customHeight="1">
      <c r="A624" s="189"/>
      <c r="B624" s="190"/>
      <c r="C624" s="157"/>
      <c r="D624" s="157"/>
      <c r="E624" s="158"/>
      <c r="F624" s="166"/>
      <c r="G624" s="161"/>
      <c r="H624" s="161"/>
      <c r="I624" s="162"/>
      <c r="J624" s="163"/>
      <c r="K624" s="163"/>
      <c r="L624" s="163"/>
      <c r="M624" s="160"/>
      <c r="N624" s="162"/>
      <c r="O624" s="164"/>
      <c r="P624" s="140"/>
      <c r="Q624" s="191"/>
      <c r="R624" s="165"/>
      <c r="S624" s="165"/>
      <c r="T624" s="166"/>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92"/>
      <c r="AR624" s="192"/>
      <c r="AS624" s="192"/>
      <c r="AT624" s="192"/>
      <c r="AU624" s="192"/>
      <c r="AV624" s="192"/>
      <c r="AW624" s="192"/>
      <c r="AX624" s="192"/>
      <c r="AY624" s="192"/>
      <c r="AZ624" s="192"/>
      <c r="BA624" s="192"/>
      <c r="BB624" s="192"/>
      <c r="BC624" s="192"/>
      <c r="BD624" s="192"/>
      <c r="BE624" s="192"/>
      <c r="BF624" s="192"/>
      <c r="BG624" s="192"/>
      <c r="BH624" s="192"/>
      <c r="BI624" s="192"/>
      <c r="BJ624" s="192"/>
      <c r="BK624" s="192"/>
      <c r="BL624" s="192"/>
      <c r="BM624" s="192"/>
      <c r="BN624" s="192"/>
    </row>
    <row r="625" ht="29.25" customHeight="1">
      <c r="A625" s="189"/>
      <c r="B625" s="190"/>
      <c r="C625" s="157"/>
      <c r="D625" s="157"/>
      <c r="E625" s="158"/>
      <c r="F625" s="166"/>
      <c r="G625" s="161"/>
      <c r="H625" s="161"/>
      <c r="I625" s="162"/>
      <c r="J625" s="163"/>
      <c r="K625" s="163"/>
      <c r="L625" s="163"/>
      <c r="M625" s="160"/>
      <c r="N625" s="162"/>
      <c r="O625" s="164"/>
      <c r="P625" s="140"/>
      <c r="Q625" s="191"/>
      <c r="R625" s="165"/>
      <c r="S625" s="165"/>
      <c r="T625" s="166"/>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92"/>
      <c r="AR625" s="192"/>
      <c r="AS625" s="192"/>
      <c r="AT625" s="192"/>
      <c r="AU625" s="192"/>
      <c r="AV625" s="192"/>
      <c r="AW625" s="192"/>
      <c r="AX625" s="192"/>
      <c r="AY625" s="192"/>
      <c r="AZ625" s="192"/>
      <c r="BA625" s="192"/>
      <c r="BB625" s="192"/>
      <c r="BC625" s="192"/>
      <c r="BD625" s="192"/>
      <c r="BE625" s="192"/>
      <c r="BF625" s="192"/>
      <c r="BG625" s="192"/>
      <c r="BH625" s="192"/>
      <c r="BI625" s="192"/>
      <c r="BJ625" s="192"/>
      <c r="BK625" s="192"/>
      <c r="BL625" s="192"/>
      <c r="BM625" s="192"/>
      <c r="BN625" s="192"/>
    </row>
    <row r="626" ht="29.25" customHeight="1">
      <c r="A626" s="189"/>
      <c r="B626" s="190"/>
      <c r="C626" s="157"/>
      <c r="D626" s="157"/>
      <c r="E626" s="158"/>
      <c r="F626" s="166"/>
      <c r="G626" s="161"/>
      <c r="H626" s="161"/>
      <c r="I626" s="162"/>
      <c r="J626" s="163"/>
      <c r="K626" s="163"/>
      <c r="L626" s="163"/>
      <c r="M626" s="160"/>
      <c r="N626" s="162"/>
      <c r="O626" s="164"/>
      <c r="P626" s="140"/>
      <c r="Q626" s="191"/>
      <c r="R626" s="165"/>
      <c r="S626" s="165"/>
      <c r="T626" s="166"/>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92"/>
      <c r="AR626" s="192"/>
      <c r="AS626" s="192"/>
      <c r="AT626" s="192"/>
      <c r="AU626" s="192"/>
      <c r="AV626" s="192"/>
      <c r="AW626" s="192"/>
      <c r="AX626" s="192"/>
      <c r="AY626" s="192"/>
      <c r="AZ626" s="192"/>
      <c r="BA626" s="192"/>
      <c r="BB626" s="192"/>
      <c r="BC626" s="192"/>
      <c r="BD626" s="192"/>
      <c r="BE626" s="192"/>
      <c r="BF626" s="192"/>
      <c r="BG626" s="192"/>
      <c r="BH626" s="192"/>
      <c r="BI626" s="192"/>
      <c r="BJ626" s="192"/>
      <c r="BK626" s="192"/>
      <c r="BL626" s="192"/>
      <c r="BM626" s="192"/>
      <c r="BN626" s="192"/>
    </row>
    <row r="627" ht="29.25" customHeight="1">
      <c r="A627" s="189"/>
      <c r="B627" s="190"/>
      <c r="C627" s="157"/>
      <c r="D627" s="157"/>
      <c r="E627" s="158"/>
      <c r="F627" s="166"/>
      <c r="G627" s="161"/>
      <c r="H627" s="161"/>
      <c r="I627" s="162"/>
      <c r="J627" s="163"/>
      <c r="K627" s="163"/>
      <c r="L627" s="163"/>
      <c r="M627" s="160"/>
      <c r="N627" s="162"/>
      <c r="O627" s="164"/>
      <c r="P627" s="140"/>
      <c r="Q627" s="191"/>
      <c r="R627" s="165"/>
      <c r="S627" s="165"/>
      <c r="T627" s="166"/>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92"/>
      <c r="AR627" s="192"/>
      <c r="AS627" s="192"/>
      <c r="AT627" s="192"/>
      <c r="AU627" s="192"/>
      <c r="AV627" s="192"/>
      <c r="AW627" s="192"/>
      <c r="AX627" s="192"/>
      <c r="AY627" s="192"/>
      <c r="AZ627" s="192"/>
      <c r="BA627" s="192"/>
      <c r="BB627" s="192"/>
      <c r="BC627" s="192"/>
      <c r="BD627" s="192"/>
      <c r="BE627" s="192"/>
      <c r="BF627" s="192"/>
      <c r="BG627" s="192"/>
      <c r="BH627" s="192"/>
      <c r="BI627" s="192"/>
      <c r="BJ627" s="192"/>
      <c r="BK627" s="192"/>
      <c r="BL627" s="192"/>
      <c r="BM627" s="192"/>
      <c r="BN627" s="192"/>
    </row>
    <row r="628" ht="29.25" customHeight="1">
      <c r="A628" s="189"/>
      <c r="B628" s="190"/>
      <c r="C628" s="157"/>
      <c r="D628" s="157"/>
      <c r="E628" s="158"/>
      <c r="F628" s="166"/>
      <c r="G628" s="161"/>
      <c r="H628" s="161"/>
      <c r="I628" s="162"/>
      <c r="J628" s="163"/>
      <c r="K628" s="163"/>
      <c r="L628" s="163"/>
      <c r="M628" s="160"/>
      <c r="N628" s="162"/>
      <c r="O628" s="164"/>
      <c r="P628" s="140"/>
      <c r="Q628" s="191"/>
      <c r="R628" s="165"/>
      <c r="S628" s="165"/>
      <c r="T628" s="166"/>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92"/>
      <c r="AR628" s="192"/>
      <c r="AS628" s="192"/>
      <c r="AT628" s="192"/>
      <c r="AU628" s="192"/>
      <c r="AV628" s="192"/>
      <c r="AW628" s="192"/>
      <c r="AX628" s="192"/>
      <c r="AY628" s="192"/>
      <c r="AZ628" s="192"/>
      <c r="BA628" s="192"/>
      <c r="BB628" s="192"/>
      <c r="BC628" s="192"/>
      <c r="BD628" s="192"/>
      <c r="BE628" s="192"/>
      <c r="BF628" s="192"/>
      <c r="BG628" s="192"/>
      <c r="BH628" s="192"/>
      <c r="BI628" s="192"/>
      <c r="BJ628" s="192"/>
      <c r="BK628" s="192"/>
      <c r="BL628" s="192"/>
      <c r="BM628" s="192"/>
      <c r="BN628" s="192"/>
    </row>
    <row r="629" ht="29.25" customHeight="1">
      <c r="A629" s="189"/>
      <c r="B629" s="190"/>
      <c r="C629" s="157"/>
      <c r="D629" s="157"/>
      <c r="E629" s="158"/>
      <c r="F629" s="166"/>
      <c r="G629" s="161"/>
      <c r="H629" s="161"/>
      <c r="I629" s="162"/>
      <c r="J629" s="163"/>
      <c r="K629" s="163"/>
      <c r="L629" s="163"/>
      <c r="M629" s="160"/>
      <c r="N629" s="162"/>
      <c r="O629" s="164"/>
      <c r="P629" s="140"/>
      <c r="Q629" s="191"/>
      <c r="R629" s="165"/>
      <c r="S629" s="165"/>
      <c r="T629" s="166"/>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92"/>
      <c r="AR629" s="192"/>
      <c r="AS629" s="192"/>
      <c r="AT629" s="192"/>
      <c r="AU629" s="192"/>
      <c r="AV629" s="192"/>
      <c r="AW629" s="192"/>
      <c r="AX629" s="192"/>
      <c r="AY629" s="192"/>
      <c r="AZ629" s="192"/>
      <c r="BA629" s="192"/>
      <c r="BB629" s="192"/>
      <c r="BC629" s="192"/>
      <c r="BD629" s="192"/>
      <c r="BE629" s="192"/>
      <c r="BF629" s="192"/>
      <c r="BG629" s="192"/>
      <c r="BH629" s="192"/>
      <c r="BI629" s="192"/>
      <c r="BJ629" s="192"/>
      <c r="BK629" s="192"/>
      <c r="BL629" s="192"/>
      <c r="BM629" s="192"/>
      <c r="BN629" s="192"/>
    </row>
    <row r="630" ht="29.25" customHeight="1">
      <c r="A630" s="189"/>
      <c r="B630" s="190"/>
      <c r="C630" s="157"/>
      <c r="D630" s="157"/>
      <c r="E630" s="158"/>
      <c r="F630" s="166"/>
      <c r="G630" s="161"/>
      <c r="H630" s="161"/>
      <c r="I630" s="162"/>
      <c r="J630" s="163"/>
      <c r="K630" s="163"/>
      <c r="L630" s="163"/>
      <c r="M630" s="160"/>
      <c r="N630" s="162"/>
      <c r="O630" s="164"/>
      <c r="P630" s="140"/>
      <c r="Q630" s="191"/>
      <c r="R630" s="165"/>
      <c r="S630" s="165"/>
      <c r="T630" s="166"/>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92"/>
      <c r="AR630" s="192"/>
      <c r="AS630" s="192"/>
      <c r="AT630" s="192"/>
      <c r="AU630" s="192"/>
      <c r="AV630" s="192"/>
      <c r="AW630" s="192"/>
      <c r="AX630" s="192"/>
      <c r="AY630" s="192"/>
      <c r="AZ630" s="192"/>
      <c r="BA630" s="192"/>
      <c r="BB630" s="192"/>
      <c r="BC630" s="192"/>
      <c r="BD630" s="192"/>
      <c r="BE630" s="192"/>
      <c r="BF630" s="192"/>
      <c r="BG630" s="192"/>
      <c r="BH630" s="192"/>
      <c r="BI630" s="192"/>
      <c r="BJ630" s="192"/>
      <c r="BK630" s="192"/>
      <c r="BL630" s="192"/>
      <c r="BM630" s="192"/>
      <c r="BN630" s="192"/>
    </row>
    <row r="631" ht="29.25" customHeight="1">
      <c r="A631" s="189"/>
      <c r="B631" s="190"/>
      <c r="C631" s="157"/>
      <c r="D631" s="157"/>
      <c r="E631" s="158"/>
      <c r="F631" s="166"/>
      <c r="G631" s="161"/>
      <c r="H631" s="161"/>
      <c r="I631" s="162"/>
      <c r="J631" s="163"/>
      <c r="K631" s="163"/>
      <c r="L631" s="163"/>
      <c r="M631" s="160"/>
      <c r="N631" s="162"/>
      <c r="O631" s="164"/>
      <c r="P631" s="140"/>
      <c r="Q631" s="191"/>
      <c r="R631" s="165"/>
      <c r="S631" s="165"/>
      <c r="T631" s="166"/>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92"/>
      <c r="AR631" s="192"/>
      <c r="AS631" s="192"/>
      <c r="AT631" s="192"/>
      <c r="AU631" s="192"/>
      <c r="AV631" s="192"/>
      <c r="AW631" s="192"/>
      <c r="AX631" s="192"/>
      <c r="AY631" s="192"/>
      <c r="AZ631" s="192"/>
      <c r="BA631" s="192"/>
      <c r="BB631" s="192"/>
      <c r="BC631" s="192"/>
      <c r="BD631" s="192"/>
      <c r="BE631" s="192"/>
      <c r="BF631" s="192"/>
      <c r="BG631" s="192"/>
      <c r="BH631" s="192"/>
      <c r="BI631" s="192"/>
      <c r="BJ631" s="192"/>
      <c r="BK631" s="192"/>
      <c r="BL631" s="192"/>
      <c r="BM631" s="192"/>
      <c r="BN631" s="192"/>
    </row>
    <row r="632" ht="29.25" customHeight="1">
      <c r="A632" s="189"/>
      <c r="B632" s="190"/>
      <c r="C632" s="157"/>
      <c r="D632" s="157"/>
      <c r="E632" s="158"/>
      <c r="F632" s="166"/>
      <c r="G632" s="161"/>
      <c r="H632" s="161"/>
      <c r="I632" s="162"/>
      <c r="J632" s="163"/>
      <c r="K632" s="163"/>
      <c r="L632" s="163"/>
      <c r="M632" s="160"/>
      <c r="N632" s="162"/>
      <c r="O632" s="164"/>
      <c r="P632" s="140"/>
      <c r="Q632" s="191"/>
      <c r="R632" s="165"/>
      <c r="S632" s="165"/>
      <c r="T632" s="166"/>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92"/>
      <c r="AR632" s="192"/>
      <c r="AS632" s="192"/>
      <c r="AT632" s="192"/>
      <c r="AU632" s="192"/>
      <c r="AV632" s="192"/>
      <c r="AW632" s="192"/>
      <c r="AX632" s="192"/>
      <c r="AY632" s="192"/>
      <c r="AZ632" s="192"/>
      <c r="BA632" s="192"/>
      <c r="BB632" s="192"/>
      <c r="BC632" s="192"/>
      <c r="BD632" s="192"/>
      <c r="BE632" s="192"/>
      <c r="BF632" s="192"/>
      <c r="BG632" s="192"/>
      <c r="BH632" s="192"/>
      <c r="BI632" s="192"/>
      <c r="BJ632" s="192"/>
      <c r="BK632" s="192"/>
      <c r="BL632" s="192"/>
      <c r="BM632" s="192"/>
      <c r="BN632" s="192"/>
    </row>
    <row r="633" ht="29.25" customHeight="1">
      <c r="A633" s="189"/>
      <c r="B633" s="190"/>
      <c r="C633" s="157"/>
      <c r="D633" s="157"/>
      <c r="E633" s="158"/>
      <c r="F633" s="166"/>
      <c r="G633" s="161"/>
      <c r="H633" s="161"/>
      <c r="I633" s="162"/>
      <c r="J633" s="163"/>
      <c r="K633" s="163"/>
      <c r="L633" s="163"/>
      <c r="M633" s="160"/>
      <c r="N633" s="162"/>
      <c r="O633" s="164"/>
      <c r="P633" s="140"/>
      <c r="Q633" s="191"/>
      <c r="R633" s="165"/>
      <c r="S633" s="165"/>
      <c r="T633" s="166"/>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92"/>
      <c r="AR633" s="192"/>
      <c r="AS633" s="192"/>
      <c r="AT633" s="192"/>
      <c r="AU633" s="192"/>
      <c r="AV633" s="192"/>
      <c r="AW633" s="192"/>
      <c r="AX633" s="192"/>
      <c r="AY633" s="192"/>
      <c r="AZ633" s="192"/>
      <c r="BA633" s="192"/>
      <c r="BB633" s="192"/>
      <c r="BC633" s="192"/>
      <c r="BD633" s="192"/>
      <c r="BE633" s="192"/>
      <c r="BF633" s="192"/>
      <c r="BG633" s="192"/>
      <c r="BH633" s="192"/>
      <c r="BI633" s="192"/>
      <c r="BJ633" s="192"/>
      <c r="BK633" s="192"/>
      <c r="BL633" s="192"/>
      <c r="BM633" s="192"/>
      <c r="BN633" s="192"/>
    </row>
    <row r="634" ht="29.25" customHeight="1">
      <c r="A634" s="189"/>
      <c r="B634" s="190"/>
      <c r="C634" s="157"/>
      <c r="D634" s="157"/>
      <c r="E634" s="158"/>
      <c r="F634" s="166"/>
      <c r="G634" s="161"/>
      <c r="H634" s="161"/>
      <c r="I634" s="162"/>
      <c r="J634" s="163"/>
      <c r="K634" s="163"/>
      <c r="L634" s="163"/>
      <c r="M634" s="160"/>
      <c r="N634" s="162"/>
      <c r="O634" s="164"/>
      <c r="P634" s="140"/>
      <c r="Q634" s="191"/>
      <c r="R634" s="165"/>
      <c r="S634" s="165"/>
      <c r="T634" s="166"/>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92"/>
      <c r="AR634" s="192"/>
      <c r="AS634" s="192"/>
      <c r="AT634" s="192"/>
      <c r="AU634" s="192"/>
      <c r="AV634" s="192"/>
      <c r="AW634" s="192"/>
      <c r="AX634" s="192"/>
      <c r="AY634" s="192"/>
      <c r="AZ634" s="192"/>
      <c r="BA634" s="192"/>
      <c r="BB634" s="192"/>
      <c r="BC634" s="192"/>
      <c r="BD634" s="192"/>
      <c r="BE634" s="192"/>
      <c r="BF634" s="192"/>
      <c r="BG634" s="192"/>
      <c r="BH634" s="192"/>
      <c r="BI634" s="192"/>
      <c r="BJ634" s="192"/>
      <c r="BK634" s="192"/>
      <c r="BL634" s="192"/>
      <c r="BM634" s="192"/>
      <c r="BN634" s="192"/>
    </row>
    <row r="635" ht="29.25" customHeight="1">
      <c r="A635" s="189"/>
      <c r="B635" s="190"/>
      <c r="C635" s="157"/>
      <c r="D635" s="157"/>
      <c r="E635" s="158"/>
      <c r="F635" s="166"/>
      <c r="G635" s="161"/>
      <c r="H635" s="161"/>
      <c r="I635" s="162"/>
      <c r="J635" s="163"/>
      <c r="K635" s="163"/>
      <c r="L635" s="163"/>
      <c r="M635" s="160"/>
      <c r="N635" s="162"/>
      <c r="O635" s="164"/>
      <c r="P635" s="140"/>
      <c r="Q635" s="191"/>
      <c r="R635" s="165"/>
      <c r="S635" s="165"/>
      <c r="T635" s="166"/>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92"/>
      <c r="AR635" s="192"/>
      <c r="AS635" s="192"/>
      <c r="AT635" s="192"/>
      <c r="AU635" s="192"/>
      <c r="AV635" s="192"/>
      <c r="AW635" s="192"/>
      <c r="AX635" s="192"/>
      <c r="AY635" s="192"/>
      <c r="AZ635" s="192"/>
      <c r="BA635" s="192"/>
      <c r="BB635" s="192"/>
      <c r="BC635" s="192"/>
      <c r="BD635" s="192"/>
      <c r="BE635" s="192"/>
      <c r="BF635" s="192"/>
      <c r="BG635" s="192"/>
      <c r="BH635" s="192"/>
      <c r="BI635" s="192"/>
      <c r="BJ635" s="192"/>
      <c r="BK635" s="192"/>
      <c r="BL635" s="192"/>
      <c r="BM635" s="192"/>
      <c r="BN635" s="192"/>
    </row>
    <row r="636" ht="29.25" customHeight="1">
      <c r="A636" s="189"/>
      <c r="B636" s="190"/>
      <c r="C636" s="157"/>
      <c r="D636" s="157"/>
      <c r="E636" s="158"/>
      <c r="F636" s="166"/>
      <c r="G636" s="161"/>
      <c r="H636" s="161"/>
      <c r="I636" s="162"/>
      <c r="J636" s="163"/>
      <c r="K636" s="163"/>
      <c r="L636" s="163"/>
      <c r="M636" s="160"/>
      <c r="N636" s="162"/>
      <c r="O636" s="164"/>
      <c r="P636" s="140"/>
      <c r="Q636" s="191"/>
      <c r="R636" s="165"/>
      <c r="S636" s="165"/>
      <c r="T636" s="166"/>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92"/>
      <c r="AR636" s="192"/>
      <c r="AS636" s="192"/>
      <c r="AT636" s="192"/>
      <c r="AU636" s="192"/>
      <c r="AV636" s="192"/>
      <c r="AW636" s="192"/>
      <c r="AX636" s="192"/>
      <c r="AY636" s="192"/>
      <c r="AZ636" s="192"/>
      <c r="BA636" s="192"/>
      <c r="BB636" s="192"/>
      <c r="BC636" s="192"/>
      <c r="BD636" s="192"/>
      <c r="BE636" s="192"/>
      <c r="BF636" s="192"/>
      <c r="BG636" s="192"/>
      <c r="BH636" s="192"/>
      <c r="BI636" s="192"/>
      <c r="BJ636" s="192"/>
      <c r="BK636" s="192"/>
      <c r="BL636" s="192"/>
      <c r="BM636" s="192"/>
      <c r="BN636" s="192"/>
    </row>
    <row r="637" ht="29.25" customHeight="1">
      <c r="A637" s="189"/>
      <c r="B637" s="190"/>
      <c r="C637" s="157"/>
      <c r="D637" s="157"/>
      <c r="E637" s="158"/>
      <c r="F637" s="166"/>
      <c r="G637" s="161"/>
      <c r="H637" s="161"/>
      <c r="I637" s="162"/>
      <c r="J637" s="163"/>
      <c r="K637" s="163"/>
      <c r="L637" s="163"/>
      <c r="M637" s="160"/>
      <c r="N637" s="162"/>
      <c r="O637" s="164"/>
      <c r="P637" s="140"/>
      <c r="Q637" s="191"/>
      <c r="R637" s="165"/>
      <c r="S637" s="165"/>
      <c r="T637" s="166"/>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92"/>
      <c r="AR637" s="192"/>
      <c r="AS637" s="192"/>
      <c r="AT637" s="192"/>
      <c r="AU637" s="192"/>
      <c r="AV637" s="192"/>
      <c r="AW637" s="192"/>
      <c r="AX637" s="192"/>
      <c r="AY637" s="192"/>
      <c r="AZ637" s="192"/>
      <c r="BA637" s="192"/>
      <c r="BB637" s="192"/>
      <c r="BC637" s="192"/>
      <c r="BD637" s="192"/>
      <c r="BE637" s="192"/>
      <c r="BF637" s="192"/>
      <c r="BG637" s="192"/>
      <c r="BH637" s="192"/>
      <c r="BI637" s="192"/>
      <c r="BJ637" s="192"/>
      <c r="BK637" s="192"/>
      <c r="BL637" s="192"/>
      <c r="BM637" s="192"/>
      <c r="BN637" s="192"/>
    </row>
    <row r="638" ht="29.25" customHeight="1">
      <c r="A638" s="189"/>
      <c r="B638" s="190"/>
      <c r="C638" s="157"/>
      <c r="D638" s="157"/>
      <c r="E638" s="158"/>
      <c r="F638" s="166"/>
      <c r="G638" s="161"/>
      <c r="H638" s="161"/>
      <c r="I638" s="162"/>
      <c r="J638" s="163"/>
      <c r="K638" s="163"/>
      <c r="L638" s="163"/>
      <c r="M638" s="160"/>
      <c r="N638" s="162"/>
      <c r="O638" s="164"/>
      <c r="P638" s="140"/>
      <c r="Q638" s="191"/>
      <c r="R638" s="165"/>
      <c r="S638" s="165"/>
      <c r="T638" s="166"/>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92"/>
      <c r="AR638" s="192"/>
      <c r="AS638" s="192"/>
      <c r="AT638" s="192"/>
      <c r="AU638" s="192"/>
      <c r="AV638" s="192"/>
      <c r="AW638" s="192"/>
      <c r="AX638" s="192"/>
      <c r="AY638" s="192"/>
      <c r="AZ638" s="192"/>
      <c r="BA638" s="192"/>
      <c r="BB638" s="192"/>
      <c r="BC638" s="192"/>
      <c r="BD638" s="192"/>
      <c r="BE638" s="192"/>
      <c r="BF638" s="192"/>
      <c r="BG638" s="192"/>
      <c r="BH638" s="192"/>
      <c r="BI638" s="192"/>
      <c r="BJ638" s="192"/>
      <c r="BK638" s="192"/>
      <c r="BL638" s="192"/>
      <c r="BM638" s="192"/>
      <c r="BN638" s="192"/>
    </row>
    <row r="639" ht="29.25" customHeight="1">
      <c r="A639" s="189"/>
      <c r="B639" s="190"/>
      <c r="C639" s="157"/>
      <c r="D639" s="157"/>
      <c r="E639" s="158"/>
      <c r="F639" s="166"/>
      <c r="G639" s="161"/>
      <c r="H639" s="161"/>
      <c r="I639" s="162"/>
      <c r="J639" s="163"/>
      <c r="K639" s="163"/>
      <c r="L639" s="163"/>
      <c r="M639" s="160"/>
      <c r="N639" s="162"/>
      <c r="O639" s="164"/>
      <c r="P639" s="140"/>
      <c r="Q639" s="191"/>
      <c r="R639" s="165"/>
      <c r="S639" s="165"/>
      <c r="T639" s="166"/>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92"/>
      <c r="AR639" s="192"/>
      <c r="AS639" s="192"/>
      <c r="AT639" s="192"/>
      <c r="AU639" s="192"/>
      <c r="AV639" s="192"/>
      <c r="AW639" s="192"/>
      <c r="AX639" s="192"/>
      <c r="AY639" s="192"/>
      <c r="AZ639" s="192"/>
      <c r="BA639" s="192"/>
      <c r="BB639" s="192"/>
      <c r="BC639" s="192"/>
      <c r="BD639" s="192"/>
      <c r="BE639" s="192"/>
      <c r="BF639" s="192"/>
      <c r="BG639" s="192"/>
      <c r="BH639" s="192"/>
      <c r="BI639" s="192"/>
      <c r="BJ639" s="192"/>
      <c r="BK639" s="192"/>
      <c r="BL639" s="192"/>
      <c r="BM639" s="192"/>
      <c r="BN639" s="192"/>
    </row>
    <row r="640" ht="29.25" customHeight="1">
      <c r="A640" s="189"/>
      <c r="B640" s="190"/>
      <c r="C640" s="157"/>
      <c r="D640" s="157"/>
      <c r="E640" s="158"/>
      <c r="F640" s="166"/>
      <c r="G640" s="161"/>
      <c r="H640" s="161"/>
      <c r="I640" s="162"/>
      <c r="J640" s="163"/>
      <c r="K640" s="163"/>
      <c r="L640" s="163"/>
      <c r="M640" s="160"/>
      <c r="N640" s="162"/>
      <c r="O640" s="164"/>
      <c r="P640" s="140"/>
      <c r="Q640" s="191"/>
      <c r="R640" s="165"/>
      <c r="S640" s="165"/>
      <c r="T640" s="166"/>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92"/>
      <c r="AR640" s="192"/>
      <c r="AS640" s="192"/>
      <c r="AT640" s="192"/>
      <c r="AU640" s="192"/>
      <c r="AV640" s="192"/>
      <c r="AW640" s="192"/>
      <c r="AX640" s="192"/>
      <c r="AY640" s="192"/>
      <c r="AZ640" s="192"/>
      <c r="BA640" s="192"/>
      <c r="BB640" s="192"/>
      <c r="BC640" s="192"/>
      <c r="BD640" s="192"/>
      <c r="BE640" s="192"/>
      <c r="BF640" s="192"/>
      <c r="BG640" s="192"/>
      <c r="BH640" s="192"/>
      <c r="BI640" s="192"/>
      <c r="BJ640" s="192"/>
      <c r="BK640" s="192"/>
      <c r="BL640" s="192"/>
      <c r="BM640" s="192"/>
      <c r="BN640" s="192"/>
    </row>
    <row r="641" ht="29.25" customHeight="1">
      <c r="A641" s="189"/>
      <c r="B641" s="190"/>
      <c r="C641" s="157"/>
      <c r="D641" s="157"/>
      <c r="E641" s="158"/>
      <c r="F641" s="166"/>
      <c r="G641" s="161"/>
      <c r="H641" s="161"/>
      <c r="I641" s="162"/>
      <c r="J641" s="163"/>
      <c r="K641" s="163"/>
      <c r="L641" s="163"/>
      <c r="M641" s="160"/>
      <c r="N641" s="162"/>
      <c r="O641" s="164"/>
      <c r="P641" s="140"/>
      <c r="Q641" s="191"/>
      <c r="R641" s="165"/>
      <c r="S641" s="165"/>
      <c r="T641" s="166"/>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92"/>
      <c r="AR641" s="192"/>
      <c r="AS641" s="192"/>
      <c r="AT641" s="192"/>
      <c r="AU641" s="192"/>
      <c r="AV641" s="192"/>
      <c r="AW641" s="192"/>
      <c r="AX641" s="192"/>
      <c r="AY641" s="192"/>
      <c r="AZ641" s="192"/>
      <c r="BA641" s="192"/>
      <c r="BB641" s="192"/>
      <c r="BC641" s="192"/>
      <c r="BD641" s="192"/>
      <c r="BE641" s="192"/>
      <c r="BF641" s="192"/>
      <c r="BG641" s="192"/>
      <c r="BH641" s="192"/>
      <c r="BI641" s="192"/>
      <c r="BJ641" s="192"/>
      <c r="BK641" s="192"/>
      <c r="BL641" s="192"/>
      <c r="BM641" s="192"/>
      <c r="BN641" s="192"/>
    </row>
    <row r="642" ht="29.25" customHeight="1">
      <c r="A642" s="189"/>
      <c r="B642" s="190"/>
      <c r="C642" s="157"/>
      <c r="D642" s="157"/>
      <c r="E642" s="158"/>
      <c r="F642" s="166"/>
      <c r="G642" s="161"/>
      <c r="H642" s="161"/>
      <c r="I642" s="162"/>
      <c r="J642" s="163"/>
      <c r="K642" s="163"/>
      <c r="L642" s="163"/>
      <c r="M642" s="160"/>
      <c r="N642" s="162"/>
      <c r="O642" s="164"/>
      <c r="P642" s="140"/>
      <c r="Q642" s="191"/>
      <c r="R642" s="165"/>
      <c r="S642" s="165"/>
      <c r="T642" s="166"/>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92"/>
      <c r="AR642" s="192"/>
      <c r="AS642" s="192"/>
      <c r="AT642" s="192"/>
      <c r="AU642" s="192"/>
      <c r="AV642" s="192"/>
      <c r="AW642" s="192"/>
      <c r="AX642" s="192"/>
      <c r="AY642" s="192"/>
      <c r="AZ642" s="192"/>
      <c r="BA642" s="192"/>
      <c r="BB642" s="192"/>
      <c r="BC642" s="192"/>
      <c r="BD642" s="192"/>
      <c r="BE642" s="192"/>
      <c r="BF642" s="192"/>
      <c r="BG642" s="192"/>
      <c r="BH642" s="192"/>
      <c r="BI642" s="192"/>
      <c r="BJ642" s="192"/>
      <c r="BK642" s="192"/>
      <c r="BL642" s="192"/>
      <c r="BM642" s="192"/>
      <c r="BN642" s="192"/>
    </row>
    <row r="643" ht="29.25" customHeight="1">
      <c r="A643" s="189"/>
      <c r="B643" s="190"/>
      <c r="C643" s="157"/>
      <c r="D643" s="157"/>
      <c r="E643" s="158"/>
      <c r="F643" s="166"/>
      <c r="G643" s="161"/>
      <c r="H643" s="161"/>
      <c r="I643" s="162"/>
      <c r="J643" s="163"/>
      <c r="K643" s="163"/>
      <c r="L643" s="163"/>
      <c r="M643" s="160"/>
      <c r="N643" s="162"/>
      <c r="O643" s="164"/>
      <c r="P643" s="140"/>
      <c r="Q643" s="191"/>
      <c r="R643" s="165"/>
      <c r="S643" s="165"/>
      <c r="T643" s="166"/>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92"/>
      <c r="AR643" s="192"/>
      <c r="AS643" s="192"/>
      <c r="AT643" s="192"/>
      <c r="AU643" s="192"/>
      <c r="AV643" s="192"/>
      <c r="AW643" s="192"/>
      <c r="AX643" s="192"/>
      <c r="AY643" s="192"/>
      <c r="AZ643" s="192"/>
      <c r="BA643" s="192"/>
      <c r="BB643" s="192"/>
      <c r="BC643" s="192"/>
      <c r="BD643" s="192"/>
      <c r="BE643" s="192"/>
      <c r="BF643" s="192"/>
      <c r="BG643" s="192"/>
      <c r="BH643" s="192"/>
      <c r="BI643" s="192"/>
      <c r="BJ643" s="192"/>
      <c r="BK643" s="192"/>
      <c r="BL643" s="192"/>
      <c r="BM643" s="192"/>
      <c r="BN643" s="192"/>
    </row>
    <row r="644" ht="29.25" customHeight="1">
      <c r="A644" s="189"/>
      <c r="B644" s="190"/>
      <c r="C644" s="157"/>
      <c r="D644" s="157"/>
      <c r="E644" s="158"/>
      <c r="F644" s="166"/>
      <c r="G644" s="161"/>
      <c r="H644" s="161"/>
      <c r="I644" s="162"/>
      <c r="J644" s="163"/>
      <c r="K644" s="163"/>
      <c r="L644" s="163"/>
      <c r="M644" s="160"/>
      <c r="N644" s="162"/>
      <c r="O644" s="164"/>
      <c r="P644" s="140"/>
      <c r="Q644" s="191"/>
      <c r="R644" s="165"/>
      <c r="S644" s="165"/>
      <c r="T644" s="166"/>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92"/>
      <c r="AR644" s="192"/>
      <c r="AS644" s="192"/>
      <c r="AT644" s="192"/>
      <c r="AU644" s="192"/>
      <c r="AV644" s="192"/>
      <c r="AW644" s="192"/>
      <c r="AX644" s="192"/>
      <c r="AY644" s="192"/>
      <c r="AZ644" s="192"/>
      <c r="BA644" s="192"/>
      <c r="BB644" s="192"/>
      <c r="BC644" s="192"/>
      <c r="BD644" s="192"/>
      <c r="BE644" s="192"/>
      <c r="BF644" s="192"/>
      <c r="BG644" s="192"/>
      <c r="BH644" s="192"/>
      <c r="BI644" s="192"/>
      <c r="BJ644" s="192"/>
      <c r="BK644" s="192"/>
      <c r="BL644" s="192"/>
      <c r="BM644" s="192"/>
      <c r="BN644" s="192"/>
    </row>
    <row r="645" ht="29.25" customHeight="1">
      <c r="A645" s="189"/>
      <c r="B645" s="190"/>
      <c r="C645" s="157"/>
      <c r="D645" s="157"/>
      <c r="E645" s="158"/>
      <c r="F645" s="166"/>
      <c r="G645" s="161"/>
      <c r="H645" s="161"/>
      <c r="I645" s="162"/>
      <c r="J645" s="163"/>
      <c r="K645" s="163"/>
      <c r="L645" s="163"/>
      <c r="M645" s="160"/>
      <c r="N645" s="162"/>
      <c r="O645" s="164"/>
      <c r="P645" s="140"/>
      <c r="Q645" s="191"/>
      <c r="R645" s="165"/>
      <c r="S645" s="165"/>
      <c r="T645" s="166"/>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92"/>
      <c r="AR645" s="192"/>
      <c r="AS645" s="192"/>
      <c r="AT645" s="192"/>
      <c r="AU645" s="192"/>
      <c r="AV645" s="192"/>
      <c r="AW645" s="192"/>
      <c r="AX645" s="192"/>
      <c r="AY645" s="192"/>
      <c r="AZ645" s="192"/>
      <c r="BA645" s="192"/>
      <c r="BB645" s="192"/>
      <c r="BC645" s="192"/>
      <c r="BD645" s="192"/>
      <c r="BE645" s="192"/>
      <c r="BF645" s="192"/>
      <c r="BG645" s="192"/>
      <c r="BH645" s="192"/>
      <c r="BI645" s="192"/>
      <c r="BJ645" s="192"/>
      <c r="BK645" s="192"/>
      <c r="BL645" s="192"/>
      <c r="BM645" s="192"/>
      <c r="BN645" s="192"/>
    </row>
    <row r="646" ht="29.25" customHeight="1">
      <c r="A646" s="189"/>
      <c r="B646" s="190"/>
      <c r="C646" s="157"/>
      <c r="D646" s="157"/>
      <c r="E646" s="158"/>
      <c r="F646" s="166"/>
      <c r="G646" s="161"/>
      <c r="H646" s="161"/>
      <c r="I646" s="162"/>
      <c r="J646" s="163"/>
      <c r="K646" s="163"/>
      <c r="L646" s="163"/>
      <c r="M646" s="160"/>
      <c r="N646" s="162"/>
      <c r="O646" s="164"/>
      <c r="P646" s="140"/>
      <c r="Q646" s="191"/>
      <c r="R646" s="165"/>
      <c r="S646" s="165"/>
      <c r="T646" s="166"/>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92"/>
      <c r="AR646" s="192"/>
      <c r="AS646" s="192"/>
      <c r="AT646" s="192"/>
      <c r="AU646" s="192"/>
      <c r="AV646" s="192"/>
      <c r="AW646" s="192"/>
      <c r="AX646" s="192"/>
      <c r="AY646" s="192"/>
      <c r="AZ646" s="192"/>
      <c r="BA646" s="192"/>
      <c r="BB646" s="192"/>
      <c r="BC646" s="192"/>
      <c r="BD646" s="192"/>
      <c r="BE646" s="192"/>
      <c r="BF646" s="192"/>
      <c r="BG646" s="192"/>
      <c r="BH646" s="192"/>
      <c r="BI646" s="192"/>
      <c r="BJ646" s="192"/>
      <c r="BK646" s="192"/>
      <c r="BL646" s="192"/>
      <c r="BM646" s="192"/>
      <c r="BN646" s="192"/>
    </row>
    <row r="647" ht="29.25" customHeight="1">
      <c r="A647" s="189"/>
      <c r="B647" s="190"/>
      <c r="C647" s="157"/>
      <c r="D647" s="157"/>
      <c r="E647" s="158"/>
      <c r="F647" s="166"/>
      <c r="G647" s="161"/>
      <c r="H647" s="161"/>
      <c r="I647" s="162"/>
      <c r="J647" s="163"/>
      <c r="K647" s="163"/>
      <c r="L647" s="163"/>
      <c r="M647" s="160"/>
      <c r="N647" s="162"/>
      <c r="O647" s="164"/>
      <c r="P647" s="140"/>
      <c r="Q647" s="191"/>
      <c r="R647" s="165"/>
      <c r="S647" s="165"/>
      <c r="T647" s="166"/>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92"/>
      <c r="AR647" s="192"/>
      <c r="AS647" s="192"/>
      <c r="AT647" s="192"/>
      <c r="AU647" s="192"/>
      <c r="AV647" s="192"/>
      <c r="AW647" s="192"/>
      <c r="AX647" s="192"/>
      <c r="AY647" s="192"/>
      <c r="AZ647" s="192"/>
      <c r="BA647" s="192"/>
      <c r="BB647" s="192"/>
      <c r="BC647" s="192"/>
      <c r="BD647" s="192"/>
      <c r="BE647" s="192"/>
      <c r="BF647" s="192"/>
      <c r="BG647" s="192"/>
      <c r="BH647" s="192"/>
      <c r="BI647" s="192"/>
      <c r="BJ647" s="192"/>
      <c r="BK647" s="192"/>
      <c r="BL647" s="192"/>
      <c r="BM647" s="192"/>
      <c r="BN647" s="192"/>
    </row>
    <row r="648" ht="29.25" customHeight="1">
      <c r="A648" s="189"/>
      <c r="B648" s="190"/>
      <c r="C648" s="157"/>
      <c r="D648" s="157"/>
      <c r="E648" s="158"/>
      <c r="F648" s="166"/>
      <c r="G648" s="161"/>
      <c r="H648" s="161"/>
      <c r="I648" s="162"/>
      <c r="J648" s="163"/>
      <c r="K648" s="163"/>
      <c r="L648" s="163"/>
      <c r="M648" s="160"/>
      <c r="N648" s="162"/>
      <c r="O648" s="164"/>
      <c r="P648" s="140"/>
      <c r="Q648" s="191"/>
      <c r="R648" s="165"/>
      <c r="S648" s="165"/>
      <c r="T648" s="166"/>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92"/>
      <c r="AR648" s="192"/>
      <c r="AS648" s="192"/>
      <c r="AT648" s="192"/>
      <c r="AU648" s="192"/>
      <c r="AV648" s="192"/>
      <c r="AW648" s="192"/>
      <c r="AX648" s="192"/>
      <c r="AY648" s="192"/>
      <c r="AZ648" s="192"/>
      <c r="BA648" s="192"/>
      <c r="BB648" s="192"/>
      <c r="BC648" s="192"/>
      <c r="BD648" s="192"/>
      <c r="BE648" s="192"/>
      <c r="BF648" s="192"/>
      <c r="BG648" s="192"/>
      <c r="BH648" s="192"/>
      <c r="BI648" s="192"/>
      <c r="BJ648" s="192"/>
      <c r="BK648" s="192"/>
      <c r="BL648" s="192"/>
      <c r="BM648" s="192"/>
      <c r="BN648" s="192"/>
    </row>
    <row r="649" ht="29.25" customHeight="1">
      <c r="A649" s="189"/>
      <c r="B649" s="190"/>
      <c r="C649" s="157"/>
      <c r="D649" s="157"/>
      <c r="E649" s="158"/>
      <c r="F649" s="166"/>
      <c r="G649" s="161"/>
      <c r="H649" s="161"/>
      <c r="I649" s="162"/>
      <c r="J649" s="163"/>
      <c r="K649" s="163"/>
      <c r="L649" s="163"/>
      <c r="M649" s="160"/>
      <c r="N649" s="162"/>
      <c r="O649" s="164"/>
      <c r="P649" s="140"/>
      <c r="Q649" s="191"/>
      <c r="R649" s="165"/>
      <c r="S649" s="165"/>
      <c r="T649" s="166"/>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92"/>
      <c r="AR649" s="192"/>
      <c r="AS649" s="192"/>
      <c r="AT649" s="192"/>
      <c r="AU649" s="192"/>
      <c r="AV649" s="192"/>
      <c r="AW649" s="192"/>
      <c r="AX649" s="192"/>
      <c r="AY649" s="192"/>
      <c r="AZ649" s="192"/>
      <c r="BA649" s="192"/>
      <c r="BB649" s="192"/>
      <c r="BC649" s="192"/>
      <c r="BD649" s="192"/>
      <c r="BE649" s="192"/>
      <c r="BF649" s="192"/>
      <c r="BG649" s="192"/>
      <c r="BH649" s="192"/>
      <c r="BI649" s="192"/>
      <c r="BJ649" s="192"/>
      <c r="BK649" s="192"/>
      <c r="BL649" s="192"/>
      <c r="BM649" s="192"/>
      <c r="BN649" s="192"/>
    </row>
    <row r="650" ht="29.25" customHeight="1">
      <c r="A650" s="189"/>
      <c r="B650" s="190"/>
      <c r="C650" s="157"/>
      <c r="D650" s="157"/>
      <c r="E650" s="158"/>
      <c r="F650" s="166"/>
      <c r="G650" s="161"/>
      <c r="H650" s="161"/>
      <c r="I650" s="162"/>
      <c r="J650" s="163"/>
      <c r="K650" s="163"/>
      <c r="L650" s="163"/>
      <c r="M650" s="160"/>
      <c r="N650" s="162"/>
      <c r="O650" s="164"/>
      <c r="P650" s="140"/>
      <c r="Q650" s="191"/>
      <c r="R650" s="165"/>
      <c r="S650" s="165"/>
      <c r="T650" s="166"/>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92"/>
      <c r="AR650" s="192"/>
      <c r="AS650" s="192"/>
      <c r="AT650" s="192"/>
      <c r="AU650" s="192"/>
      <c r="AV650" s="192"/>
      <c r="AW650" s="192"/>
      <c r="AX650" s="192"/>
      <c r="AY650" s="192"/>
      <c r="AZ650" s="192"/>
      <c r="BA650" s="192"/>
      <c r="BB650" s="192"/>
      <c r="BC650" s="192"/>
      <c r="BD650" s="192"/>
      <c r="BE650" s="192"/>
      <c r="BF650" s="192"/>
      <c r="BG650" s="192"/>
      <c r="BH650" s="192"/>
      <c r="BI650" s="192"/>
      <c r="BJ650" s="192"/>
      <c r="BK650" s="192"/>
      <c r="BL650" s="192"/>
      <c r="BM650" s="192"/>
      <c r="BN650" s="192"/>
    </row>
    <row r="651" ht="29.25" customHeight="1">
      <c r="A651" s="189"/>
      <c r="B651" s="190"/>
      <c r="C651" s="157"/>
      <c r="D651" s="157"/>
      <c r="E651" s="158"/>
      <c r="F651" s="166"/>
      <c r="G651" s="161"/>
      <c r="H651" s="161"/>
      <c r="I651" s="162"/>
      <c r="J651" s="163"/>
      <c r="K651" s="163"/>
      <c r="L651" s="163"/>
      <c r="M651" s="160"/>
      <c r="N651" s="162"/>
      <c r="O651" s="164"/>
      <c r="P651" s="140"/>
      <c r="Q651" s="191"/>
      <c r="R651" s="165"/>
      <c r="S651" s="165"/>
      <c r="T651" s="166"/>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92"/>
      <c r="AR651" s="192"/>
      <c r="AS651" s="192"/>
      <c r="AT651" s="192"/>
      <c r="AU651" s="192"/>
      <c r="AV651" s="192"/>
      <c r="AW651" s="192"/>
      <c r="AX651" s="192"/>
      <c r="AY651" s="192"/>
      <c r="AZ651" s="192"/>
      <c r="BA651" s="192"/>
      <c r="BB651" s="192"/>
      <c r="BC651" s="192"/>
      <c r="BD651" s="192"/>
      <c r="BE651" s="192"/>
      <c r="BF651" s="192"/>
      <c r="BG651" s="192"/>
      <c r="BH651" s="192"/>
      <c r="BI651" s="192"/>
      <c r="BJ651" s="192"/>
      <c r="BK651" s="192"/>
      <c r="BL651" s="192"/>
      <c r="BM651" s="192"/>
      <c r="BN651" s="192"/>
    </row>
    <row r="652" ht="29.25" customHeight="1">
      <c r="A652" s="189"/>
      <c r="B652" s="190"/>
      <c r="C652" s="157"/>
      <c r="D652" s="157"/>
      <c r="E652" s="158"/>
      <c r="F652" s="166"/>
      <c r="G652" s="161"/>
      <c r="H652" s="161"/>
      <c r="I652" s="162"/>
      <c r="J652" s="163"/>
      <c r="K652" s="163"/>
      <c r="L652" s="163"/>
      <c r="M652" s="160"/>
      <c r="N652" s="162"/>
      <c r="O652" s="164"/>
      <c r="P652" s="140"/>
      <c r="Q652" s="191"/>
      <c r="R652" s="165"/>
      <c r="S652" s="165"/>
      <c r="T652" s="166"/>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92"/>
      <c r="AR652" s="192"/>
      <c r="AS652" s="192"/>
      <c r="AT652" s="192"/>
      <c r="AU652" s="192"/>
      <c r="AV652" s="192"/>
      <c r="AW652" s="192"/>
      <c r="AX652" s="192"/>
      <c r="AY652" s="192"/>
      <c r="AZ652" s="192"/>
      <c r="BA652" s="192"/>
      <c r="BB652" s="192"/>
      <c r="BC652" s="192"/>
      <c r="BD652" s="192"/>
      <c r="BE652" s="192"/>
      <c r="BF652" s="192"/>
      <c r="BG652" s="192"/>
      <c r="BH652" s="192"/>
      <c r="BI652" s="192"/>
      <c r="BJ652" s="192"/>
      <c r="BK652" s="192"/>
      <c r="BL652" s="192"/>
      <c r="BM652" s="192"/>
      <c r="BN652" s="192"/>
    </row>
    <row r="653" ht="29.25" customHeight="1">
      <c r="A653" s="189"/>
      <c r="B653" s="190"/>
      <c r="C653" s="157"/>
      <c r="D653" s="157"/>
      <c r="E653" s="158"/>
      <c r="F653" s="166"/>
      <c r="G653" s="161"/>
      <c r="H653" s="161"/>
      <c r="I653" s="162"/>
      <c r="J653" s="163"/>
      <c r="K653" s="163"/>
      <c r="L653" s="163"/>
      <c r="M653" s="160"/>
      <c r="N653" s="162"/>
      <c r="O653" s="164"/>
      <c r="P653" s="140"/>
      <c r="Q653" s="191"/>
      <c r="R653" s="165"/>
      <c r="S653" s="165"/>
      <c r="T653" s="166"/>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92"/>
      <c r="AR653" s="192"/>
      <c r="AS653" s="192"/>
      <c r="AT653" s="192"/>
      <c r="AU653" s="192"/>
      <c r="AV653" s="192"/>
      <c r="AW653" s="192"/>
      <c r="AX653" s="192"/>
      <c r="AY653" s="192"/>
      <c r="AZ653" s="192"/>
      <c r="BA653" s="192"/>
      <c r="BB653" s="192"/>
      <c r="BC653" s="192"/>
      <c r="BD653" s="192"/>
      <c r="BE653" s="192"/>
      <c r="BF653" s="192"/>
      <c r="BG653" s="192"/>
      <c r="BH653" s="192"/>
      <c r="BI653" s="192"/>
      <c r="BJ653" s="192"/>
      <c r="BK653" s="192"/>
      <c r="BL653" s="192"/>
      <c r="BM653" s="192"/>
      <c r="BN653" s="192"/>
    </row>
    <row r="654" ht="29.25" customHeight="1">
      <c r="A654" s="189"/>
      <c r="B654" s="190"/>
      <c r="C654" s="157"/>
      <c r="D654" s="157"/>
      <c r="E654" s="158"/>
      <c r="F654" s="166"/>
      <c r="G654" s="161"/>
      <c r="H654" s="161"/>
      <c r="I654" s="162"/>
      <c r="J654" s="163"/>
      <c r="K654" s="163"/>
      <c r="L654" s="163"/>
      <c r="M654" s="160"/>
      <c r="N654" s="162"/>
      <c r="O654" s="164"/>
      <c r="P654" s="140"/>
      <c r="Q654" s="191"/>
      <c r="R654" s="165"/>
      <c r="S654" s="165"/>
      <c r="T654" s="166"/>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92"/>
      <c r="AR654" s="192"/>
      <c r="AS654" s="192"/>
      <c r="AT654" s="192"/>
      <c r="AU654" s="192"/>
      <c r="AV654" s="192"/>
      <c r="AW654" s="192"/>
      <c r="AX654" s="192"/>
      <c r="AY654" s="192"/>
      <c r="AZ654" s="192"/>
      <c r="BA654" s="192"/>
      <c r="BB654" s="192"/>
      <c r="BC654" s="192"/>
      <c r="BD654" s="192"/>
      <c r="BE654" s="192"/>
      <c r="BF654" s="192"/>
      <c r="BG654" s="192"/>
      <c r="BH654" s="192"/>
      <c r="BI654" s="192"/>
      <c r="BJ654" s="192"/>
      <c r="BK654" s="192"/>
      <c r="BL654" s="192"/>
      <c r="BM654" s="192"/>
      <c r="BN654" s="192"/>
    </row>
    <row r="655" ht="29.25" customHeight="1">
      <c r="A655" s="189"/>
      <c r="B655" s="190"/>
      <c r="C655" s="157"/>
      <c r="D655" s="157"/>
      <c r="E655" s="158"/>
      <c r="F655" s="166"/>
      <c r="G655" s="161"/>
      <c r="H655" s="161"/>
      <c r="I655" s="162"/>
      <c r="J655" s="163"/>
      <c r="K655" s="163"/>
      <c r="L655" s="163"/>
      <c r="M655" s="160"/>
      <c r="N655" s="162"/>
      <c r="O655" s="164"/>
      <c r="P655" s="140"/>
      <c r="Q655" s="191"/>
      <c r="R655" s="165"/>
      <c r="S655" s="165"/>
      <c r="T655" s="166"/>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92"/>
      <c r="AR655" s="192"/>
      <c r="AS655" s="192"/>
      <c r="AT655" s="192"/>
      <c r="AU655" s="192"/>
      <c r="AV655" s="192"/>
      <c r="AW655" s="192"/>
      <c r="AX655" s="192"/>
      <c r="AY655" s="192"/>
      <c r="AZ655" s="192"/>
      <c r="BA655" s="192"/>
      <c r="BB655" s="192"/>
      <c r="BC655" s="192"/>
      <c r="BD655" s="192"/>
      <c r="BE655" s="192"/>
      <c r="BF655" s="192"/>
      <c r="BG655" s="192"/>
      <c r="BH655" s="192"/>
      <c r="BI655" s="192"/>
      <c r="BJ655" s="192"/>
      <c r="BK655" s="192"/>
      <c r="BL655" s="192"/>
      <c r="BM655" s="192"/>
      <c r="BN655" s="192"/>
    </row>
    <row r="656" ht="29.25" customHeight="1">
      <c r="A656" s="189"/>
      <c r="B656" s="190"/>
      <c r="C656" s="157"/>
      <c r="D656" s="157"/>
      <c r="E656" s="158"/>
      <c r="F656" s="166"/>
      <c r="G656" s="161"/>
      <c r="H656" s="161"/>
      <c r="I656" s="162"/>
      <c r="J656" s="163"/>
      <c r="K656" s="163"/>
      <c r="L656" s="163"/>
      <c r="M656" s="160"/>
      <c r="N656" s="162"/>
      <c r="O656" s="164"/>
      <c r="P656" s="140"/>
      <c r="Q656" s="191"/>
      <c r="R656" s="165"/>
      <c r="S656" s="165"/>
      <c r="T656" s="166"/>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92"/>
      <c r="AR656" s="192"/>
      <c r="AS656" s="192"/>
      <c r="AT656" s="192"/>
      <c r="AU656" s="192"/>
      <c r="AV656" s="192"/>
      <c r="AW656" s="192"/>
      <c r="AX656" s="192"/>
      <c r="AY656" s="192"/>
      <c r="AZ656" s="192"/>
      <c r="BA656" s="192"/>
      <c r="BB656" s="192"/>
      <c r="BC656" s="192"/>
      <c r="BD656" s="192"/>
      <c r="BE656" s="192"/>
      <c r="BF656" s="192"/>
      <c r="BG656" s="192"/>
      <c r="BH656" s="192"/>
      <c r="BI656" s="192"/>
      <c r="BJ656" s="192"/>
      <c r="BK656" s="192"/>
      <c r="BL656" s="192"/>
      <c r="BM656" s="192"/>
      <c r="BN656" s="192"/>
    </row>
    <row r="657" ht="29.25" customHeight="1">
      <c r="A657" s="189"/>
      <c r="B657" s="190"/>
      <c r="C657" s="157"/>
      <c r="D657" s="157"/>
      <c r="E657" s="158"/>
      <c r="F657" s="166"/>
      <c r="G657" s="161"/>
      <c r="H657" s="161"/>
      <c r="I657" s="162"/>
      <c r="J657" s="163"/>
      <c r="K657" s="163"/>
      <c r="L657" s="163"/>
      <c r="M657" s="160"/>
      <c r="N657" s="162"/>
      <c r="O657" s="164"/>
      <c r="P657" s="140"/>
      <c r="Q657" s="191"/>
      <c r="R657" s="165"/>
      <c r="S657" s="165"/>
      <c r="T657" s="166"/>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92"/>
      <c r="AR657" s="192"/>
      <c r="AS657" s="192"/>
      <c r="AT657" s="192"/>
      <c r="AU657" s="192"/>
      <c r="AV657" s="192"/>
      <c r="AW657" s="192"/>
      <c r="AX657" s="192"/>
      <c r="AY657" s="192"/>
      <c r="AZ657" s="192"/>
      <c r="BA657" s="192"/>
      <c r="BB657" s="192"/>
      <c r="BC657" s="192"/>
      <c r="BD657" s="192"/>
      <c r="BE657" s="192"/>
      <c r="BF657" s="192"/>
      <c r="BG657" s="192"/>
      <c r="BH657" s="192"/>
      <c r="BI657" s="192"/>
      <c r="BJ657" s="192"/>
      <c r="BK657" s="192"/>
      <c r="BL657" s="192"/>
      <c r="BM657" s="192"/>
      <c r="BN657" s="192"/>
    </row>
    <row r="658" ht="29.25" customHeight="1">
      <c r="A658" s="189"/>
      <c r="B658" s="190"/>
      <c r="C658" s="157"/>
      <c r="D658" s="157"/>
      <c r="E658" s="158"/>
      <c r="F658" s="166"/>
      <c r="G658" s="161"/>
      <c r="H658" s="161"/>
      <c r="I658" s="162"/>
      <c r="J658" s="163"/>
      <c r="K658" s="163"/>
      <c r="L658" s="163"/>
      <c r="M658" s="160"/>
      <c r="N658" s="162"/>
      <c r="O658" s="164"/>
      <c r="P658" s="140"/>
      <c r="Q658" s="191"/>
      <c r="R658" s="165"/>
      <c r="S658" s="165"/>
      <c r="T658" s="166"/>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92"/>
      <c r="AR658" s="192"/>
      <c r="AS658" s="192"/>
      <c r="AT658" s="192"/>
      <c r="AU658" s="192"/>
      <c r="AV658" s="192"/>
      <c r="AW658" s="192"/>
      <c r="AX658" s="192"/>
      <c r="AY658" s="192"/>
      <c r="AZ658" s="192"/>
      <c r="BA658" s="192"/>
      <c r="BB658" s="192"/>
      <c r="BC658" s="192"/>
      <c r="BD658" s="192"/>
      <c r="BE658" s="192"/>
      <c r="BF658" s="192"/>
      <c r="BG658" s="192"/>
      <c r="BH658" s="192"/>
      <c r="BI658" s="192"/>
      <c r="BJ658" s="192"/>
      <c r="BK658" s="192"/>
      <c r="BL658" s="192"/>
      <c r="BM658" s="192"/>
      <c r="BN658" s="192"/>
    </row>
    <row r="659" ht="29.25" customHeight="1">
      <c r="A659" s="189"/>
      <c r="B659" s="190"/>
      <c r="C659" s="157"/>
      <c r="D659" s="157"/>
      <c r="E659" s="158"/>
      <c r="F659" s="166"/>
      <c r="G659" s="161"/>
      <c r="H659" s="161"/>
      <c r="I659" s="162"/>
      <c r="J659" s="163"/>
      <c r="K659" s="163"/>
      <c r="L659" s="163"/>
      <c r="M659" s="160"/>
      <c r="N659" s="162"/>
      <c r="O659" s="164"/>
      <c r="P659" s="140"/>
      <c r="Q659" s="191"/>
      <c r="R659" s="165"/>
      <c r="S659" s="165"/>
      <c r="T659" s="166"/>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92"/>
      <c r="AR659" s="192"/>
      <c r="AS659" s="192"/>
      <c r="AT659" s="192"/>
      <c r="AU659" s="192"/>
      <c r="AV659" s="192"/>
      <c r="AW659" s="192"/>
      <c r="AX659" s="192"/>
      <c r="AY659" s="192"/>
      <c r="AZ659" s="192"/>
      <c r="BA659" s="192"/>
      <c r="BB659" s="192"/>
      <c r="BC659" s="192"/>
      <c r="BD659" s="192"/>
      <c r="BE659" s="192"/>
      <c r="BF659" s="192"/>
      <c r="BG659" s="192"/>
      <c r="BH659" s="192"/>
      <c r="BI659" s="192"/>
      <c r="BJ659" s="192"/>
      <c r="BK659" s="192"/>
      <c r="BL659" s="192"/>
      <c r="BM659" s="192"/>
      <c r="BN659" s="192"/>
    </row>
    <row r="660" ht="29.25" customHeight="1">
      <c r="A660" s="189"/>
      <c r="B660" s="190"/>
      <c r="C660" s="157"/>
      <c r="D660" s="157"/>
      <c r="E660" s="158"/>
      <c r="F660" s="166"/>
      <c r="G660" s="161"/>
      <c r="H660" s="161"/>
      <c r="I660" s="162"/>
      <c r="J660" s="163"/>
      <c r="K660" s="163"/>
      <c r="L660" s="163"/>
      <c r="M660" s="160"/>
      <c r="N660" s="162"/>
      <c r="O660" s="164"/>
      <c r="P660" s="140"/>
      <c r="Q660" s="191"/>
      <c r="R660" s="165"/>
      <c r="S660" s="165"/>
      <c r="T660" s="166"/>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92"/>
      <c r="AR660" s="192"/>
      <c r="AS660" s="192"/>
      <c r="AT660" s="192"/>
      <c r="AU660" s="192"/>
      <c r="AV660" s="192"/>
      <c r="AW660" s="192"/>
      <c r="AX660" s="192"/>
      <c r="AY660" s="192"/>
      <c r="AZ660" s="192"/>
      <c r="BA660" s="192"/>
      <c r="BB660" s="192"/>
      <c r="BC660" s="192"/>
      <c r="BD660" s="192"/>
      <c r="BE660" s="192"/>
      <c r="BF660" s="192"/>
      <c r="BG660" s="192"/>
      <c r="BH660" s="192"/>
      <c r="BI660" s="192"/>
      <c r="BJ660" s="192"/>
      <c r="BK660" s="192"/>
      <c r="BL660" s="192"/>
      <c r="BM660" s="192"/>
      <c r="BN660" s="192"/>
    </row>
    <row r="661" ht="29.25" customHeight="1">
      <c r="A661" s="189"/>
      <c r="B661" s="190"/>
      <c r="C661" s="157"/>
      <c r="D661" s="157"/>
      <c r="E661" s="158"/>
      <c r="F661" s="166"/>
      <c r="G661" s="161"/>
      <c r="H661" s="161"/>
      <c r="I661" s="162"/>
      <c r="J661" s="163"/>
      <c r="K661" s="163"/>
      <c r="L661" s="163"/>
      <c r="M661" s="160"/>
      <c r="N661" s="162"/>
      <c r="O661" s="164"/>
      <c r="P661" s="140"/>
      <c r="Q661" s="191"/>
      <c r="R661" s="165"/>
      <c r="S661" s="165"/>
      <c r="T661" s="166"/>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92"/>
      <c r="AR661" s="192"/>
      <c r="AS661" s="192"/>
      <c r="AT661" s="192"/>
      <c r="AU661" s="192"/>
      <c r="AV661" s="192"/>
      <c r="AW661" s="192"/>
      <c r="AX661" s="192"/>
      <c r="AY661" s="192"/>
      <c r="AZ661" s="192"/>
      <c r="BA661" s="192"/>
      <c r="BB661" s="192"/>
      <c r="BC661" s="192"/>
      <c r="BD661" s="192"/>
      <c r="BE661" s="192"/>
      <c r="BF661" s="192"/>
      <c r="BG661" s="192"/>
      <c r="BH661" s="192"/>
      <c r="BI661" s="192"/>
      <c r="BJ661" s="192"/>
      <c r="BK661" s="192"/>
      <c r="BL661" s="192"/>
      <c r="BM661" s="192"/>
      <c r="BN661" s="192"/>
    </row>
    <row r="662" ht="29.25" customHeight="1">
      <c r="A662" s="189"/>
      <c r="B662" s="190"/>
      <c r="C662" s="157"/>
      <c r="D662" s="157"/>
      <c r="E662" s="158"/>
      <c r="F662" s="166"/>
      <c r="G662" s="161"/>
      <c r="H662" s="161"/>
      <c r="I662" s="162"/>
      <c r="J662" s="163"/>
      <c r="K662" s="163"/>
      <c r="L662" s="163"/>
      <c r="M662" s="160"/>
      <c r="N662" s="162"/>
      <c r="O662" s="164"/>
      <c r="P662" s="140"/>
      <c r="Q662" s="191"/>
      <c r="R662" s="165"/>
      <c r="S662" s="165"/>
      <c r="T662" s="166"/>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92"/>
      <c r="AR662" s="192"/>
      <c r="AS662" s="192"/>
      <c r="AT662" s="192"/>
      <c r="AU662" s="192"/>
      <c r="AV662" s="192"/>
      <c r="AW662" s="192"/>
      <c r="AX662" s="192"/>
      <c r="AY662" s="192"/>
      <c r="AZ662" s="192"/>
      <c r="BA662" s="192"/>
      <c r="BB662" s="192"/>
      <c r="BC662" s="192"/>
      <c r="BD662" s="192"/>
      <c r="BE662" s="192"/>
      <c r="BF662" s="192"/>
      <c r="BG662" s="192"/>
      <c r="BH662" s="192"/>
      <c r="BI662" s="192"/>
      <c r="BJ662" s="192"/>
      <c r="BK662" s="192"/>
      <c r="BL662" s="192"/>
      <c r="BM662" s="192"/>
      <c r="BN662" s="192"/>
    </row>
    <row r="663" ht="29.25" customHeight="1">
      <c r="A663" s="189"/>
      <c r="B663" s="190"/>
      <c r="C663" s="157"/>
      <c r="D663" s="157"/>
      <c r="E663" s="158"/>
      <c r="F663" s="166"/>
      <c r="G663" s="161"/>
      <c r="H663" s="161"/>
      <c r="I663" s="162"/>
      <c r="J663" s="163"/>
      <c r="K663" s="163"/>
      <c r="L663" s="163"/>
      <c r="M663" s="160"/>
      <c r="N663" s="162"/>
      <c r="O663" s="164"/>
      <c r="P663" s="140"/>
      <c r="Q663" s="191"/>
      <c r="R663" s="165"/>
      <c r="S663" s="165"/>
      <c r="T663" s="166"/>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92"/>
      <c r="AR663" s="192"/>
      <c r="AS663" s="192"/>
      <c r="AT663" s="192"/>
      <c r="AU663" s="192"/>
      <c r="AV663" s="192"/>
      <c r="AW663" s="192"/>
      <c r="AX663" s="192"/>
      <c r="AY663" s="192"/>
      <c r="AZ663" s="192"/>
      <c r="BA663" s="192"/>
      <c r="BB663" s="192"/>
      <c r="BC663" s="192"/>
      <c r="BD663" s="192"/>
      <c r="BE663" s="192"/>
      <c r="BF663" s="192"/>
      <c r="BG663" s="192"/>
      <c r="BH663" s="192"/>
      <c r="BI663" s="192"/>
      <c r="BJ663" s="192"/>
      <c r="BK663" s="192"/>
      <c r="BL663" s="192"/>
      <c r="BM663" s="192"/>
      <c r="BN663" s="192"/>
    </row>
    <row r="664" ht="29.25" customHeight="1">
      <c r="A664" s="189"/>
      <c r="B664" s="190"/>
      <c r="C664" s="157"/>
      <c r="D664" s="157"/>
      <c r="E664" s="158"/>
      <c r="F664" s="166"/>
      <c r="G664" s="161"/>
      <c r="H664" s="161"/>
      <c r="I664" s="162"/>
      <c r="J664" s="163"/>
      <c r="K664" s="163"/>
      <c r="L664" s="163"/>
      <c r="M664" s="160"/>
      <c r="N664" s="162"/>
      <c r="O664" s="164"/>
      <c r="P664" s="140"/>
      <c r="Q664" s="191"/>
      <c r="R664" s="165"/>
      <c r="S664" s="165"/>
      <c r="T664" s="166"/>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92"/>
      <c r="AR664" s="192"/>
      <c r="AS664" s="192"/>
      <c r="AT664" s="192"/>
      <c r="AU664" s="192"/>
      <c r="AV664" s="192"/>
      <c r="AW664" s="192"/>
      <c r="AX664" s="192"/>
      <c r="AY664" s="192"/>
      <c r="AZ664" s="192"/>
      <c r="BA664" s="192"/>
      <c r="BB664" s="192"/>
      <c r="BC664" s="192"/>
      <c r="BD664" s="192"/>
      <c r="BE664" s="192"/>
      <c r="BF664" s="192"/>
      <c r="BG664" s="192"/>
      <c r="BH664" s="192"/>
      <c r="BI664" s="192"/>
      <c r="BJ664" s="192"/>
      <c r="BK664" s="192"/>
      <c r="BL664" s="192"/>
      <c r="BM664" s="192"/>
      <c r="BN664" s="192"/>
    </row>
    <row r="665" ht="29.25" customHeight="1">
      <c r="A665" s="189"/>
      <c r="B665" s="190"/>
      <c r="C665" s="157"/>
      <c r="D665" s="157"/>
      <c r="E665" s="158"/>
      <c r="F665" s="166"/>
      <c r="G665" s="161"/>
      <c r="H665" s="161"/>
      <c r="I665" s="162"/>
      <c r="J665" s="163"/>
      <c r="K665" s="163"/>
      <c r="L665" s="163"/>
      <c r="M665" s="160"/>
      <c r="N665" s="162"/>
      <c r="O665" s="164"/>
      <c r="P665" s="140"/>
      <c r="Q665" s="191"/>
      <c r="R665" s="165"/>
      <c r="S665" s="165"/>
      <c r="T665" s="166"/>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92"/>
      <c r="AR665" s="192"/>
      <c r="AS665" s="192"/>
      <c r="AT665" s="192"/>
      <c r="AU665" s="192"/>
      <c r="AV665" s="192"/>
      <c r="AW665" s="192"/>
      <c r="AX665" s="192"/>
      <c r="AY665" s="192"/>
      <c r="AZ665" s="192"/>
      <c r="BA665" s="192"/>
      <c r="BB665" s="192"/>
      <c r="BC665" s="192"/>
      <c r="BD665" s="192"/>
      <c r="BE665" s="192"/>
      <c r="BF665" s="192"/>
      <c r="BG665" s="192"/>
      <c r="BH665" s="192"/>
      <c r="BI665" s="192"/>
      <c r="BJ665" s="192"/>
      <c r="BK665" s="192"/>
      <c r="BL665" s="192"/>
      <c r="BM665" s="192"/>
      <c r="BN665" s="192"/>
    </row>
    <row r="666" ht="29.25" customHeight="1">
      <c r="A666" s="189"/>
      <c r="B666" s="190"/>
      <c r="C666" s="157"/>
      <c r="D666" s="157"/>
      <c r="E666" s="158"/>
      <c r="F666" s="166"/>
      <c r="G666" s="161"/>
      <c r="H666" s="161"/>
      <c r="I666" s="162"/>
      <c r="J666" s="163"/>
      <c r="K666" s="163"/>
      <c r="L666" s="163"/>
      <c r="M666" s="160"/>
      <c r="N666" s="162"/>
      <c r="O666" s="164"/>
      <c r="P666" s="140"/>
      <c r="Q666" s="191"/>
      <c r="R666" s="165"/>
      <c r="S666" s="165"/>
      <c r="T666" s="166"/>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92"/>
      <c r="AR666" s="192"/>
      <c r="AS666" s="192"/>
      <c r="AT666" s="192"/>
      <c r="AU666" s="192"/>
      <c r="AV666" s="192"/>
      <c r="AW666" s="192"/>
      <c r="AX666" s="192"/>
      <c r="AY666" s="192"/>
      <c r="AZ666" s="192"/>
      <c r="BA666" s="192"/>
      <c r="BB666" s="192"/>
      <c r="BC666" s="192"/>
      <c r="BD666" s="192"/>
      <c r="BE666" s="192"/>
      <c r="BF666" s="192"/>
      <c r="BG666" s="192"/>
      <c r="BH666" s="192"/>
      <c r="BI666" s="192"/>
      <c r="BJ666" s="192"/>
      <c r="BK666" s="192"/>
      <c r="BL666" s="192"/>
      <c r="BM666" s="192"/>
      <c r="BN666" s="192"/>
    </row>
    <row r="667" ht="29.25" customHeight="1">
      <c r="A667" s="189"/>
      <c r="B667" s="190"/>
      <c r="C667" s="157"/>
      <c r="D667" s="157"/>
      <c r="E667" s="158"/>
      <c r="F667" s="166"/>
      <c r="G667" s="161"/>
      <c r="H667" s="161"/>
      <c r="I667" s="162"/>
      <c r="J667" s="163"/>
      <c r="K667" s="163"/>
      <c r="L667" s="163"/>
      <c r="M667" s="160"/>
      <c r="N667" s="162"/>
      <c r="O667" s="164"/>
      <c r="P667" s="140"/>
      <c r="Q667" s="191"/>
      <c r="R667" s="165"/>
      <c r="S667" s="165"/>
      <c r="T667" s="166"/>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92"/>
      <c r="AR667" s="192"/>
      <c r="AS667" s="192"/>
      <c r="AT667" s="192"/>
      <c r="AU667" s="192"/>
      <c r="AV667" s="192"/>
      <c r="AW667" s="192"/>
      <c r="AX667" s="192"/>
      <c r="AY667" s="192"/>
      <c r="AZ667" s="192"/>
      <c r="BA667" s="192"/>
      <c r="BB667" s="192"/>
      <c r="BC667" s="192"/>
      <c r="BD667" s="192"/>
      <c r="BE667" s="192"/>
      <c r="BF667" s="192"/>
      <c r="BG667" s="192"/>
      <c r="BH667" s="192"/>
      <c r="BI667" s="192"/>
      <c r="BJ667" s="192"/>
      <c r="BK667" s="192"/>
      <c r="BL667" s="192"/>
      <c r="BM667" s="192"/>
      <c r="BN667" s="192"/>
    </row>
    <row r="668" ht="29.25" customHeight="1">
      <c r="A668" s="189"/>
      <c r="B668" s="190"/>
      <c r="C668" s="157"/>
      <c r="D668" s="157"/>
      <c r="E668" s="158"/>
      <c r="F668" s="166"/>
      <c r="G668" s="161"/>
      <c r="H668" s="161"/>
      <c r="I668" s="162"/>
      <c r="J668" s="163"/>
      <c r="K668" s="163"/>
      <c r="L668" s="163"/>
      <c r="M668" s="160"/>
      <c r="N668" s="162"/>
      <c r="O668" s="164"/>
      <c r="P668" s="140"/>
      <c r="Q668" s="191"/>
      <c r="R668" s="165"/>
      <c r="S668" s="165"/>
      <c r="T668" s="166"/>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92"/>
      <c r="AR668" s="192"/>
      <c r="AS668" s="192"/>
      <c r="AT668" s="192"/>
      <c r="AU668" s="192"/>
      <c r="AV668" s="192"/>
      <c r="AW668" s="192"/>
      <c r="AX668" s="192"/>
      <c r="AY668" s="192"/>
      <c r="AZ668" s="192"/>
      <c r="BA668" s="192"/>
      <c r="BB668" s="192"/>
      <c r="BC668" s="192"/>
      <c r="BD668" s="192"/>
      <c r="BE668" s="192"/>
      <c r="BF668" s="192"/>
      <c r="BG668" s="192"/>
      <c r="BH668" s="192"/>
      <c r="BI668" s="192"/>
      <c r="BJ668" s="192"/>
      <c r="BK668" s="192"/>
      <c r="BL668" s="192"/>
      <c r="BM668" s="192"/>
      <c r="BN668" s="192"/>
    </row>
    <row r="669" ht="29.25" customHeight="1">
      <c r="A669" s="189"/>
      <c r="B669" s="190"/>
      <c r="C669" s="157"/>
      <c r="D669" s="157"/>
      <c r="E669" s="158"/>
      <c r="F669" s="166"/>
      <c r="G669" s="161"/>
      <c r="H669" s="161"/>
      <c r="I669" s="162"/>
      <c r="J669" s="163"/>
      <c r="K669" s="163"/>
      <c r="L669" s="163"/>
      <c r="M669" s="160"/>
      <c r="N669" s="162"/>
      <c r="O669" s="164"/>
      <c r="P669" s="140"/>
      <c r="Q669" s="191"/>
      <c r="R669" s="165"/>
      <c r="S669" s="165"/>
      <c r="T669" s="166"/>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92"/>
      <c r="AR669" s="192"/>
      <c r="AS669" s="192"/>
      <c r="AT669" s="192"/>
      <c r="AU669" s="192"/>
      <c r="AV669" s="192"/>
      <c r="AW669" s="192"/>
      <c r="AX669" s="192"/>
      <c r="AY669" s="192"/>
      <c r="AZ669" s="192"/>
      <c r="BA669" s="192"/>
      <c r="BB669" s="192"/>
      <c r="BC669" s="192"/>
      <c r="BD669" s="192"/>
      <c r="BE669" s="192"/>
      <c r="BF669" s="192"/>
      <c r="BG669" s="192"/>
      <c r="BH669" s="192"/>
      <c r="BI669" s="192"/>
      <c r="BJ669" s="192"/>
      <c r="BK669" s="192"/>
      <c r="BL669" s="192"/>
      <c r="BM669" s="192"/>
      <c r="BN669" s="192"/>
    </row>
    <row r="670" ht="29.25" customHeight="1">
      <c r="A670" s="189"/>
      <c r="B670" s="190"/>
      <c r="C670" s="157"/>
      <c r="D670" s="157"/>
      <c r="E670" s="158"/>
      <c r="F670" s="166"/>
      <c r="G670" s="161"/>
      <c r="H670" s="161"/>
      <c r="I670" s="162"/>
      <c r="J670" s="163"/>
      <c r="K670" s="163"/>
      <c r="L670" s="163"/>
      <c r="M670" s="160"/>
      <c r="N670" s="162"/>
      <c r="O670" s="164"/>
      <c r="P670" s="140"/>
      <c r="Q670" s="191"/>
      <c r="R670" s="165"/>
      <c r="S670" s="165"/>
      <c r="T670" s="166"/>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92"/>
      <c r="AR670" s="192"/>
      <c r="AS670" s="192"/>
      <c r="AT670" s="192"/>
      <c r="AU670" s="192"/>
      <c r="AV670" s="192"/>
      <c r="AW670" s="192"/>
      <c r="AX670" s="192"/>
      <c r="AY670" s="192"/>
      <c r="AZ670" s="192"/>
      <c r="BA670" s="192"/>
      <c r="BB670" s="192"/>
      <c r="BC670" s="192"/>
      <c r="BD670" s="192"/>
      <c r="BE670" s="192"/>
      <c r="BF670" s="192"/>
      <c r="BG670" s="192"/>
      <c r="BH670" s="192"/>
      <c r="BI670" s="192"/>
      <c r="BJ670" s="192"/>
      <c r="BK670" s="192"/>
      <c r="BL670" s="192"/>
      <c r="BM670" s="192"/>
      <c r="BN670" s="192"/>
    </row>
    <row r="671" ht="29.25" customHeight="1">
      <c r="A671" s="189"/>
      <c r="B671" s="190"/>
      <c r="C671" s="157"/>
      <c r="D671" s="157"/>
      <c r="E671" s="158"/>
      <c r="F671" s="166"/>
      <c r="G671" s="161"/>
      <c r="H671" s="161"/>
      <c r="I671" s="162"/>
      <c r="J671" s="163"/>
      <c r="K671" s="163"/>
      <c r="L671" s="163"/>
      <c r="M671" s="160"/>
      <c r="N671" s="162"/>
      <c r="O671" s="164"/>
      <c r="P671" s="140"/>
      <c r="Q671" s="191"/>
      <c r="R671" s="165"/>
      <c r="S671" s="165"/>
      <c r="T671" s="166"/>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92"/>
      <c r="AR671" s="192"/>
      <c r="AS671" s="192"/>
      <c r="AT671" s="192"/>
      <c r="AU671" s="192"/>
      <c r="AV671" s="192"/>
      <c r="AW671" s="192"/>
      <c r="AX671" s="192"/>
      <c r="AY671" s="192"/>
      <c r="AZ671" s="192"/>
      <c r="BA671" s="192"/>
      <c r="BB671" s="192"/>
      <c r="BC671" s="192"/>
      <c r="BD671" s="192"/>
      <c r="BE671" s="192"/>
      <c r="BF671" s="192"/>
      <c r="BG671" s="192"/>
      <c r="BH671" s="192"/>
      <c r="BI671" s="192"/>
      <c r="BJ671" s="192"/>
      <c r="BK671" s="192"/>
      <c r="BL671" s="192"/>
      <c r="BM671" s="192"/>
      <c r="BN671" s="192"/>
    </row>
    <row r="672" ht="29.25" customHeight="1">
      <c r="A672" s="189"/>
      <c r="B672" s="190"/>
      <c r="C672" s="157"/>
      <c r="D672" s="157"/>
      <c r="E672" s="158"/>
      <c r="F672" s="166"/>
      <c r="G672" s="161"/>
      <c r="H672" s="161"/>
      <c r="I672" s="162"/>
      <c r="J672" s="163"/>
      <c r="K672" s="163"/>
      <c r="L672" s="163"/>
      <c r="M672" s="160"/>
      <c r="N672" s="162"/>
      <c r="O672" s="164"/>
      <c r="P672" s="140"/>
      <c r="Q672" s="191"/>
      <c r="R672" s="165"/>
      <c r="S672" s="165"/>
      <c r="T672" s="166"/>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92"/>
      <c r="AR672" s="192"/>
      <c r="AS672" s="192"/>
      <c r="AT672" s="192"/>
      <c r="AU672" s="192"/>
      <c r="AV672" s="192"/>
      <c r="AW672" s="192"/>
      <c r="AX672" s="192"/>
      <c r="AY672" s="192"/>
      <c r="AZ672" s="192"/>
      <c r="BA672" s="192"/>
      <c r="BB672" s="192"/>
      <c r="BC672" s="192"/>
      <c r="BD672" s="192"/>
      <c r="BE672" s="192"/>
      <c r="BF672" s="192"/>
      <c r="BG672" s="192"/>
      <c r="BH672" s="192"/>
      <c r="BI672" s="192"/>
      <c r="BJ672" s="192"/>
      <c r="BK672" s="192"/>
      <c r="BL672" s="192"/>
      <c r="BM672" s="192"/>
      <c r="BN672" s="192"/>
    </row>
    <row r="673" ht="29.25" customHeight="1">
      <c r="A673" s="189"/>
      <c r="B673" s="190"/>
      <c r="C673" s="157"/>
      <c r="D673" s="157"/>
      <c r="E673" s="158"/>
      <c r="F673" s="166"/>
      <c r="G673" s="161"/>
      <c r="H673" s="161"/>
      <c r="I673" s="162"/>
      <c r="J673" s="163"/>
      <c r="K673" s="163"/>
      <c r="L673" s="163"/>
      <c r="M673" s="160"/>
      <c r="N673" s="162"/>
      <c r="O673" s="164"/>
      <c r="P673" s="140"/>
      <c r="Q673" s="191"/>
      <c r="R673" s="165"/>
      <c r="S673" s="165"/>
      <c r="T673" s="166"/>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92"/>
      <c r="AR673" s="192"/>
      <c r="AS673" s="192"/>
      <c r="AT673" s="192"/>
      <c r="AU673" s="192"/>
      <c r="AV673" s="192"/>
      <c r="AW673" s="192"/>
      <c r="AX673" s="192"/>
      <c r="AY673" s="192"/>
      <c r="AZ673" s="192"/>
      <c r="BA673" s="192"/>
      <c r="BB673" s="192"/>
      <c r="BC673" s="192"/>
      <c r="BD673" s="192"/>
      <c r="BE673" s="192"/>
      <c r="BF673" s="192"/>
      <c r="BG673" s="192"/>
      <c r="BH673" s="192"/>
      <c r="BI673" s="192"/>
      <c r="BJ673" s="192"/>
      <c r="BK673" s="192"/>
      <c r="BL673" s="192"/>
      <c r="BM673" s="192"/>
      <c r="BN673" s="192"/>
    </row>
    <row r="674" ht="29.25" customHeight="1">
      <c r="A674" s="189"/>
      <c r="B674" s="190"/>
      <c r="C674" s="157"/>
      <c r="D674" s="157"/>
      <c r="E674" s="158"/>
      <c r="F674" s="166"/>
      <c r="G674" s="161"/>
      <c r="H674" s="161"/>
      <c r="I674" s="162"/>
      <c r="J674" s="163"/>
      <c r="K674" s="163"/>
      <c r="L674" s="163"/>
      <c r="M674" s="160"/>
      <c r="N674" s="162"/>
      <c r="O674" s="164"/>
      <c r="P674" s="140"/>
      <c r="Q674" s="191"/>
      <c r="R674" s="165"/>
      <c r="S674" s="165"/>
      <c r="T674" s="166"/>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92"/>
      <c r="AR674" s="192"/>
      <c r="AS674" s="192"/>
      <c r="AT674" s="192"/>
      <c r="AU674" s="192"/>
      <c r="AV674" s="192"/>
      <c r="AW674" s="192"/>
      <c r="AX674" s="192"/>
      <c r="AY674" s="192"/>
      <c r="AZ674" s="192"/>
      <c r="BA674" s="192"/>
      <c r="BB674" s="192"/>
      <c r="BC674" s="192"/>
      <c r="BD674" s="192"/>
      <c r="BE674" s="192"/>
      <c r="BF674" s="192"/>
      <c r="BG674" s="192"/>
      <c r="BH674" s="192"/>
      <c r="BI674" s="192"/>
      <c r="BJ674" s="192"/>
      <c r="BK674" s="192"/>
      <c r="BL674" s="192"/>
      <c r="BM674" s="192"/>
      <c r="BN674" s="192"/>
    </row>
    <row r="675" ht="29.25" customHeight="1">
      <c r="A675" s="189"/>
      <c r="B675" s="190"/>
      <c r="C675" s="157"/>
      <c r="D675" s="157"/>
      <c r="E675" s="158"/>
      <c r="F675" s="166"/>
      <c r="G675" s="161"/>
      <c r="H675" s="161"/>
      <c r="I675" s="162"/>
      <c r="J675" s="163"/>
      <c r="K675" s="163"/>
      <c r="L675" s="163"/>
      <c r="M675" s="160"/>
      <c r="N675" s="162"/>
      <c r="O675" s="164"/>
      <c r="P675" s="140"/>
      <c r="Q675" s="191"/>
      <c r="R675" s="165"/>
      <c r="S675" s="165"/>
      <c r="T675" s="166"/>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92"/>
      <c r="AR675" s="192"/>
      <c r="AS675" s="192"/>
      <c r="AT675" s="192"/>
      <c r="AU675" s="192"/>
      <c r="AV675" s="192"/>
      <c r="AW675" s="192"/>
      <c r="AX675" s="192"/>
      <c r="AY675" s="192"/>
      <c r="AZ675" s="192"/>
      <c r="BA675" s="192"/>
      <c r="BB675" s="192"/>
      <c r="BC675" s="192"/>
      <c r="BD675" s="192"/>
      <c r="BE675" s="192"/>
      <c r="BF675" s="192"/>
      <c r="BG675" s="192"/>
      <c r="BH675" s="192"/>
      <c r="BI675" s="192"/>
      <c r="BJ675" s="192"/>
      <c r="BK675" s="192"/>
      <c r="BL675" s="192"/>
      <c r="BM675" s="192"/>
      <c r="BN675" s="192"/>
    </row>
    <row r="676" ht="29.25" customHeight="1">
      <c r="A676" s="189"/>
      <c r="B676" s="190"/>
      <c r="C676" s="157"/>
      <c r="D676" s="157"/>
      <c r="E676" s="158"/>
      <c r="F676" s="166"/>
      <c r="G676" s="161"/>
      <c r="H676" s="161"/>
      <c r="I676" s="162"/>
      <c r="J676" s="163"/>
      <c r="K676" s="163"/>
      <c r="L676" s="163"/>
      <c r="M676" s="160"/>
      <c r="N676" s="162"/>
      <c r="O676" s="164"/>
      <c r="P676" s="140"/>
      <c r="Q676" s="191"/>
      <c r="R676" s="165"/>
      <c r="S676" s="165"/>
      <c r="T676" s="166"/>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92"/>
      <c r="AR676" s="192"/>
      <c r="AS676" s="192"/>
      <c r="AT676" s="192"/>
      <c r="AU676" s="192"/>
      <c r="AV676" s="192"/>
      <c r="AW676" s="192"/>
      <c r="AX676" s="192"/>
      <c r="AY676" s="192"/>
      <c r="AZ676" s="192"/>
      <c r="BA676" s="192"/>
      <c r="BB676" s="192"/>
      <c r="BC676" s="192"/>
      <c r="BD676" s="192"/>
      <c r="BE676" s="192"/>
      <c r="BF676" s="192"/>
      <c r="BG676" s="192"/>
      <c r="BH676" s="192"/>
      <c r="BI676" s="192"/>
      <c r="BJ676" s="192"/>
      <c r="BK676" s="192"/>
      <c r="BL676" s="192"/>
      <c r="BM676" s="192"/>
      <c r="BN676" s="192"/>
    </row>
    <row r="677" ht="29.25" customHeight="1">
      <c r="A677" s="189"/>
      <c r="B677" s="190"/>
      <c r="C677" s="157"/>
      <c r="D677" s="157"/>
      <c r="E677" s="158"/>
      <c r="F677" s="166"/>
      <c r="G677" s="161"/>
      <c r="H677" s="161"/>
      <c r="I677" s="162"/>
      <c r="J677" s="163"/>
      <c r="K677" s="163"/>
      <c r="L677" s="163"/>
      <c r="M677" s="160"/>
      <c r="N677" s="162"/>
      <c r="O677" s="164"/>
      <c r="P677" s="140"/>
      <c r="Q677" s="191"/>
      <c r="R677" s="165"/>
      <c r="S677" s="165"/>
      <c r="T677" s="166"/>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92"/>
      <c r="AR677" s="192"/>
      <c r="AS677" s="192"/>
      <c r="AT677" s="192"/>
      <c r="AU677" s="192"/>
      <c r="AV677" s="192"/>
      <c r="AW677" s="192"/>
      <c r="AX677" s="192"/>
      <c r="AY677" s="192"/>
      <c r="AZ677" s="192"/>
      <c r="BA677" s="192"/>
      <c r="BB677" s="192"/>
      <c r="BC677" s="192"/>
      <c r="BD677" s="192"/>
      <c r="BE677" s="192"/>
      <c r="BF677" s="192"/>
      <c r="BG677" s="192"/>
      <c r="BH677" s="192"/>
      <c r="BI677" s="192"/>
      <c r="BJ677" s="192"/>
      <c r="BK677" s="192"/>
      <c r="BL677" s="192"/>
      <c r="BM677" s="192"/>
      <c r="BN677" s="192"/>
    </row>
    <row r="678" ht="29.25" customHeight="1">
      <c r="A678" s="189"/>
      <c r="B678" s="190"/>
      <c r="C678" s="157"/>
      <c r="D678" s="157"/>
      <c r="E678" s="158"/>
      <c r="F678" s="166"/>
      <c r="G678" s="161"/>
      <c r="H678" s="161"/>
      <c r="I678" s="162"/>
      <c r="J678" s="163"/>
      <c r="K678" s="163"/>
      <c r="L678" s="163"/>
      <c r="M678" s="160"/>
      <c r="N678" s="162"/>
      <c r="O678" s="164"/>
      <c r="P678" s="140"/>
      <c r="Q678" s="191"/>
      <c r="R678" s="165"/>
      <c r="S678" s="165"/>
      <c r="T678" s="166"/>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92"/>
      <c r="AR678" s="192"/>
      <c r="AS678" s="192"/>
      <c r="AT678" s="192"/>
      <c r="AU678" s="192"/>
      <c r="AV678" s="192"/>
      <c r="AW678" s="192"/>
      <c r="AX678" s="192"/>
      <c r="AY678" s="192"/>
      <c r="AZ678" s="192"/>
      <c r="BA678" s="192"/>
      <c r="BB678" s="192"/>
      <c r="BC678" s="192"/>
      <c r="BD678" s="192"/>
      <c r="BE678" s="192"/>
      <c r="BF678" s="192"/>
      <c r="BG678" s="192"/>
      <c r="BH678" s="192"/>
      <c r="BI678" s="192"/>
      <c r="BJ678" s="192"/>
      <c r="BK678" s="192"/>
      <c r="BL678" s="192"/>
      <c r="BM678" s="192"/>
      <c r="BN678" s="192"/>
    </row>
    <row r="679" ht="29.25" customHeight="1">
      <c r="A679" s="189"/>
      <c r="B679" s="190"/>
      <c r="C679" s="157"/>
      <c r="D679" s="157"/>
      <c r="E679" s="158"/>
      <c r="F679" s="166"/>
      <c r="G679" s="161"/>
      <c r="H679" s="161"/>
      <c r="I679" s="162"/>
      <c r="J679" s="163"/>
      <c r="K679" s="163"/>
      <c r="L679" s="163"/>
      <c r="M679" s="160"/>
      <c r="N679" s="162"/>
      <c r="O679" s="164"/>
      <c r="P679" s="140"/>
      <c r="Q679" s="191"/>
      <c r="R679" s="165"/>
      <c r="S679" s="165"/>
      <c r="T679" s="166"/>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92"/>
      <c r="AR679" s="192"/>
      <c r="AS679" s="192"/>
      <c r="AT679" s="192"/>
      <c r="AU679" s="192"/>
      <c r="AV679" s="192"/>
      <c r="AW679" s="192"/>
      <c r="AX679" s="192"/>
      <c r="AY679" s="192"/>
      <c r="AZ679" s="192"/>
      <c r="BA679" s="192"/>
      <c r="BB679" s="192"/>
      <c r="BC679" s="192"/>
      <c r="BD679" s="192"/>
      <c r="BE679" s="192"/>
      <c r="BF679" s="192"/>
      <c r="BG679" s="192"/>
      <c r="BH679" s="192"/>
      <c r="BI679" s="192"/>
      <c r="BJ679" s="192"/>
      <c r="BK679" s="192"/>
      <c r="BL679" s="192"/>
      <c r="BM679" s="192"/>
      <c r="BN679" s="192"/>
    </row>
    <row r="680" ht="29.25" customHeight="1">
      <c r="A680" s="189"/>
      <c r="B680" s="190"/>
      <c r="C680" s="157"/>
      <c r="D680" s="157"/>
      <c r="E680" s="158"/>
      <c r="F680" s="166"/>
      <c r="G680" s="161"/>
      <c r="H680" s="161"/>
      <c r="I680" s="162"/>
      <c r="J680" s="163"/>
      <c r="K680" s="163"/>
      <c r="L680" s="163"/>
      <c r="M680" s="160"/>
      <c r="N680" s="162"/>
      <c r="O680" s="164"/>
      <c r="P680" s="140"/>
      <c r="Q680" s="191"/>
      <c r="R680" s="165"/>
      <c r="S680" s="165"/>
      <c r="T680" s="166"/>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92"/>
      <c r="AR680" s="192"/>
      <c r="AS680" s="192"/>
      <c r="AT680" s="192"/>
      <c r="AU680" s="192"/>
      <c r="AV680" s="192"/>
      <c r="AW680" s="192"/>
      <c r="AX680" s="192"/>
      <c r="AY680" s="192"/>
      <c r="AZ680" s="192"/>
      <c r="BA680" s="192"/>
      <c r="BB680" s="192"/>
      <c r="BC680" s="192"/>
      <c r="BD680" s="192"/>
      <c r="BE680" s="192"/>
      <c r="BF680" s="192"/>
      <c r="BG680" s="192"/>
      <c r="BH680" s="192"/>
      <c r="BI680" s="192"/>
      <c r="BJ680" s="192"/>
      <c r="BK680" s="192"/>
      <c r="BL680" s="192"/>
      <c r="BM680" s="192"/>
      <c r="BN680" s="192"/>
    </row>
    <row r="681" ht="29.25" customHeight="1">
      <c r="A681" s="189"/>
      <c r="B681" s="190"/>
      <c r="C681" s="157"/>
      <c r="D681" s="157"/>
      <c r="E681" s="158"/>
      <c r="F681" s="166"/>
      <c r="G681" s="161"/>
      <c r="H681" s="161"/>
      <c r="I681" s="162"/>
      <c r="J681" s="163"/>
      <c r="K681" s="163"/>
      <c r="L681" s="163"/>
      <c r="M681" s="160"/>
      <c r="N681" s="162"/>
      <c r="O681" s="164"/>
      <c r="P681" s="140"/>
      <c r="Q681" s="191"/>
      <c r="R681" s="165"/>
      <c r="S681" s="165"/>
      <c r="T681" s="166"/>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92"/>
      <c r="AR681" s="192"/>
      <c r="AS681" s="192"/>
      <c r="AT681" s="192"/>
      <c r="AU681" s="192"/>
      <c r="AV681" s="192"/>
      <c r="AW681" s="192"/>
      <c r="AX681" s="192"/>
      <c r="AY681" s="192"/>
      <c r="AZ681" s="192"/>
      <c r="BA681" s="192"/>
      <c r="BB681" s="192"/>
      <c r="BC681" s="192"/>
      <c r="BD681" s="192"/>
      <c r="BE681" s="192"/>
      <c r="BF681" s="192"/>
      <c r="BG681" s="192"/>
      <c r="BH681" s="192"/>
      <c r="BI681" s="192"/>
      <c r="BJ681" s="192"/>
      <c r="BK681" s="192"/>
      <c r="BL681" s="192"/>
      <c r="BM681" s="192"/>
      <c r="BN681" s="192"/>
    </row>
    <row r="682" ht="29.25" customHeight="1">
      <c r="A682" s="189"/>
      <c r="B682" s="190"/>
      <c r="C682" s="157"/>
      <c r="D682" s="157"/>
      <c r="E682" s="158"/>
      <c r="F682" s="166"/>
      <c r="G682" s="161"/>
      <c r="H682" s="161"/>
      <c r="I682" s="162"/>
      <c r="J682" s="163"/>
      <c r="K682" s="163"/>
      <c r="L682" s="163"/>
      <c r="M682" s="160"/>
      <c r="N682" s="162"/>
      <c r="O682" s="164"/>
      <c r="P682" s="140"/>
      <c r="Q682" s="191"/>
      <c r="R682" s="165"/>
      <c r="S682" s="165"/>
      <c r="T682" s="166"/>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92"/>
      <c r="AR682" s="192"/>
      <c r="AS682" s="192"/>
      <c r="AT682" s="192"/>
      <c r="AU682" s="192"/>
      <c r="AV682" s="192"/>
      <c r="AW682" s="192"/>
      <c r="AX682" s="192"/>
      <c r="AY682" s="192"/>
      <c r="AZ682" s="192"/>
      <c r="BA682" s="192"/>
      <c r="BB682" s="192"/>
      <c r="BC682" s="192"/>
      <c r="BD682" s="192"/>
      <c r="BE682" s="192"/>
      <c r="BF682" s="192"/>
      <c r="BG682" s="192"/>
      <c r="BH682" s="192"/>
      <c r="BI682" s="192"/>
      <c r="BJ682" s="192"/>
      <c r="BK682" s="192"/>
      <c r="BL682" s="192"/>
      <c r="BM682" s="192"/>
      <c r="BN682" s="192"/>
    </row>
    <row r="683" ht="29.25" customHeight="1">
      <c r="A683" s="189"/>
      <c r="B683" s="190"/>
      <c r="C683" s="157"/>
      <c r="D683" s="157"/>
      <c r="E683" s="158"/>
      <c r="F683" s="166"/>
      <c r="G683" s="161"/>
      <c r="H683" s="161"/>
      <c r="I683" s="162"/>
      <c r="J683" s="163"/>
      <c r="K683" s="163"/>
      <c r="L683" s="163"/>
      <c r="M683" s="160"/>
      <c r="N683" s="162"/>
      <c r="O683" s="164"/>
      <c r="P683" s="140"/>
      <c r="Q683" s="191"/>
      <c r="R683" s="165"/>
      <c r="S683" s="165"/>
      <c r="T683" s="166"/>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92"/>
      <c r="AR683" s="192"/>
      <c r="AS683" s="192"/>
      <c r="AT683" s="192"/>
      <c r="AU683" s="192"/>
      <c r="AV683" s="192"/>
      <c r="AW683" s="192"/>
      <c r="AX683" s="192"/>
      <c r="AY683" s="192"/>
      <c r="AZ683" s="192"/>
      <c r="BA683" s="192"/>
      <c r="BB683" s="192"/>
      <c r="BC683" s="192"/>
      <c r="BD683" s="192"/>
      <c r="BE683" s="192"/>
      <c r="BF683" s="192"/>
      <c r="BG683" s="192"/>
      <c r="BH683" s="192"/>
      <c r="BI683" s="192"/>
      <c r="BJ683" s="192"/>
      <c r="BK683" s="192"/>
      <c r="BL683" s="192"/>
      <c r="BM683" s="192"/>
      <c r="BN683" s="192"/>
    </row>
    <row r="684" ht="29.25" customHeight="1">
      <c r="A684" s="189"/>
      <c r="B684" s="190"/>
      <c r="C684" s="157"/>
      <c r="D684" s="157"/>
      <c r="E684" s="158"/>
      <c r="F684" s="166"/>
      <c r="G684" s="161"/>
      <c r="H684" s="161"/>
      <c r="I684" s="162"/>
      <c r="J684" s="163"/>
      <c r="K684" s="163"/>
      <c r="L684" s="163"/>
      <c r="M684" s="160"/>
      <c r="N684" s="162"/>
      <c r="O684" s="164"/>
      <c r="P684" s="140"/>
      <c r="Q684" s="191"/>
      <c r="R684" s="165"/>
      <c r="S684" s="165"/>
      <c r="T684" s="166"/>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92"/>
      <c r="AR684" s="192"/>
      <c r="AS684" s="192"/>
      <c r="AT684" s="192"/>
      <c r="AU684" s="192"/>
      <c r="AV684" s="192"/>
      <c r="AW684" s="192"/>
      <c r="AX684" s="192"/>
      <c r="AY684" s="192"/>
      <c r="AZ684" s="192"/>
      <c r="BA684" s="192"/>
      <c r="BB684" s="192"/>
      <c r="BC684" s="192"/>
      <c r="BD684" s="192"/>
      <c r="BE684" s="192"/>
      <c r="BF684" s="192"/>
      <c r="BG684" s="192"/>
      <c r="BH684" s="192"/>
      <c r="BI684" s="192"/>
      <c r="BJ684" s="192"/>
      <c r="BK684" s="192"/>
      <c r="BL684" s="192"/>
      <c r="BM684" s="192"/>
      <c r="BN684" s="192"/>
    </row>
    <row r="685" ht="29.25" customHeight="1">
      <c r="A685" s="189"/>
      <c r="B685" s="190"/>
      <c r="C685" s="157"/>
      <c r="D685" s="157"/>
      <c r="E685" s="158"/>
      <c r="F685" s="166"/>
      <c r="G685" s="161"/>
      <c r="H685" s="161"/>
      <c r="I685" s="162"/>
      <c r="J685" s="163"/>
      <c r="K685" s="163"/>
      <c r="L685" s="163"/>
      <c r="M685" s="160"/>
      <c r="N685" s="162"/>
      <c r="O685" s="164"/>
      <c r="P685" s="140"/>
      <c r="Q685" s="191"/>
      <c r="R685" s="165"/>
      <c r="S685" s="165"/>
      <c r="T685" s="166"/>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92"/>
      <c r="AR685" s="192"/>
      <c r="AS685" s="192"/>
      <c r="AT685" s="192"/>
      <c r="AU685" s="192"/>
      <c r="AV685" s="192"/>
      <c r="AW685" s="192"/>
      <c r="AX685" s="192"/>
      <c r="AY685" s="192"/>
      <c r="AZ685" s="192"/>
      <c r="BA685" s="192"/>
      <c r="BB685" s="192"/>
      <c r="BC685" s="192"/>
      <c r="BD685" s="192"/>
      <c r="BE685" s="192"/>
      <c r="BF685" s="192"/>
      <c r="BG685" s="192"/>
      <c r="BH685" s="192"/>
      <c r="BI685" s="192"/>
      <c r="BJ685" s="192"/>
      <c r="BK685" s="192"/>
      <c r="BL685" s="192"/>
      <c r="BM685" s="192"/>
      <c r="BN685" s="192"/>
    </row>
    <row r="686" ht="29.25" customHeight="1">
      <c r="A686" s="189"/>
      <c r="B686" s="190"/>
      <c r="C686" s="157"/>
      <c r="D686" s="157"/>
      <c r="E686" s="158"/>
      <c r="F686" s="166"/>
      <c r="G686" s="161"/>
      <c r="H686" s="161"/>
      <c r="I686" s="162"/>
      <c r="J686" s="163"/>
      <c r="K686" s="163"/>
      <c r="L686" s="163"/>
      <c r="M686" s="160"/>
      <c r="N686" s="162"/>
      <c r="O686" s="164"/>
      <c r="P686" s="140"/>
      <c r="Q686" s="191"/>
      <c r="R686" s="165"/>
      <c r="S686" s="165"/>
      <c r="T686" s="166"/>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92"/>
      <c r="AR686" s="192"/>
      <c r="AS686" s="192"/>
      <c r="AT686" s="192"/>
      <c r="AU686" s="192"/>
      <c r="AV686" s="192"/>
      <c r="AW686" s="192"/>
      <c r="AX686" s="192"/>
      <c r="AY686" s="192"/>
      <c r="AZ686" s="192"/>
      <c r="BA686" s="192"/>
      <c r="BB686" s="192"/>
      <c r="BC686" s="192"/>
      <c r="BD686" s="192"/>
      <c r="BE686" s="192"/>
      <c r="BF686" s="192"/>
      <c r="BG686" s="192"/>
      <c r="BH686" s="192"/>
      <c r="BI686" s="192"/>
      <c r="BJ686" s="192"/>
      <c r="BK686" s="192"/>
      <c r="BL686" s="192"/>
      <c r="BM686" s="192"/>
      <c r="BN686" s="192"/>
    </row>
    <row r="687" ht="29.25" customHeight="1">
      <c r="A687" s="189"/>
      <c r="B687" s="190"/>
      <c r="C687" s="157"/>
      <c r="D687" s="157"/>
      <c r="E687" s="158"/>
      <c r="F687" s="166"/>
      <c r="G687" s="161"/>
      <c r="H687" s="161"/>
      <c r="I687" s="162"/>
      <c r="J687" s="163"/>
      <c r="K687" s="163"/>
      <c r="L687" s="163"/>
      <c r="M687" s="160"/>
      <c r="N687" s="162"/>
      <c r="O687" s="164"/>
      <c r="P687" s="140"/>
      <c r="Q687" s="191"/>
      <c r="R687" s="165"/>
      <c r="S687" s="165"/>
      <c r="T687" s="166"/>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92"/>
      <c r="AR687" s="192"/>
      <c r="AS687" s="192"/>
      <c r="AT687" s="192"/>
      <c r="AU687" s="192"/>
      <c r="AV687" s="192"/>
      <c r="AW687" s="192"/>
      <c r="AX687" s="192"/>
      <c r="AY687" s="192"/>
      <c r="AZ687" s="192"/>
      <c r="BA687" s="192"/>
      <c r="BB687" s="192"/>
      <c r="BC687" s="192"/>
      <c r="BD687" s="192"/>
      <c r="BE687" s="192"/>
      <c r="BF687" s="192"/>
      <c r="BG687" s="192"/>
      <c r="BH687" s="192"/>
      <c r="BI687" s="192"/>
      <c r="BJ687" s="192"/>
      <c r="BK687" s="192"/>
      <c r="BL687" s="192"/>
      <c r="BM687" s="192"/>
      <c r="BN687" s="192"/>
    </row>
    <row r="688" ht="29.25" customHeight="1">
      <c r="A688" s="189"/>
      <c r="B688" s="190"/>
      <c r="C688" s="157"/>
      <c r="D688" s="157"/>
      <c r="E688" s="158"/>
      <c r="F688" s="166"/>
      <c r="G688" s="161"/>
      <c r="H688" s="161"/>
      <c r="I688" s="162"/>
      <c r="J688" s="163"/>
      <c r="K688" s="163"/>
      <c r="L688" s="163"/>
      <c r="M688" s="160"/>
      <c r="N688" s="162"/>
      <c r="O688" s="164"/>
      <c r="P688" s="140"/>
      <c r="Q688" s="191"/>
      <c r="R688" s="165"/>
      <c r="S688" s="165"/>
      <c r="T688" s="166"/>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92"/>
      <c r="AR688" s="192"/>
      <c r="AS688" s="192"/>
      <c r="AT688" s="192"/>
      <c r="AU688" s="192"/>
      <c r="AV688" s="192"/>
      <c r="AW688" s="192"/>
      <c r="AX688" s="192"/>
      <c r="AY688" s="192"/>
      <c r="AZ688" s="192"/>
      <c r="BA688" s="192"/>
      <c r="BB688" s="192"/>
      <c r="BC688" s="192"/>
      <c r="BD688" s="192"/>
      <c r="BE688" s="192"/>
      <c r="BF688" s="192"/>
      <c r="BG688" s="192"/>
      <c r="BH688" s="192"/>
      <c r="BI688" s="192"/>
      <c r="BJ688" s="192"/>
      <c r="BK688" s="192"/>
      <c r="BL688" s="192"/>
      <c r="BM688" s="192"/>
      <c r="BN688" s="192"/>
    </row>
    <row r="689" ht="29.25" customHeight="1">
      <c r="A689" s="189"/>
      <c r="B689" s="190"/>
      <c r="C689" s="157"/>
      <c r="D689" s="157"/>
      <c r="E689" s="158"/>
      <c r="F689" s="166"/>
      <c r="G689" s="161"/>
      <c r="H689" s="161"/>
      <c r="I689" s="162"/>
      <c r="J689" s="163"/>
      <c r="K689" s="163"/>
      <c r="L689" s="163"/>
      <c r="M689" s="160"/>
      <c r="N689" s="162"/>
      <c r="O689" s="164"/>
      <c r="P689" s="140"/>
      <c r="Q689" s="191"/>
      <c r="R689" s="165"/>
      <c r="S689" s="165"/>
      <c r="T689" s="166"/>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92"/>
      <c r="AR689" s="192"/>
      <c r="AS689" s="192"/>
      <c r="AT689" s="192"/>
      <c r="AU689" s="192"/>
      <c r="AV689" s="192"/>
      <c r="AW689" s="192"/>
      <c r="AX689" s="192"/>
      <c r="AY689" s="192"/>
      <c r="AZ689" s="192"/>
      <c r="BA689" s="192"/>
      <c r="BB689" s="192"/>
      <c r="BC689" s="192"/>
      <c r="BD689" s="192"/>
      <c r="BE689" s="192"/>
      <c r="BF689" s="192"/>
      <c r="BG689" s="192"/>
      <c r="BH689" s="192"/>
      <c r="BI689" s="192"/>
      <c r="BJ689" s="192"/>
      <c r="BK689" s="192"/>
      <c r="BL689" s="192"/>
      <c r="BM689" s="192"/>
      <c r="BN689" s="192"/>
    </row>
    <row r="690" ht="29.25" customHeight="1">
      <c r="A690" s="189"/>
      <c r="B690" s="190"/>
      <c r="C690" s="157"/>
      <c r="D690" s="157"/>
      <c r="E690" s="158"/>
      <c r="F690" s="166"/>
      <c r="G690" s="161"/>
      <c r="H690" s="161"/>
      <c r="I690" s="162"/>
      <c r="J690" s="163"/>
      <c r="K690" s="163"/>
      <c r="L690" s="163"/>
      <c r="M690" s="160"/>
      <c r="N690" s="162"/>
      <c r="O690" s="164"/>
      <c r="P690" s="140"/>
      <c r="Q690" s="191"/>
      <c r="R690" s="165"/>
      <c r="S690" s="165"/>
      <c r="T690" s="166"/>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92"/>
      <c r="AR690" s="192"/>
      <c r="AS690" s="192"/>
      <c r="AT690" s="192"/>
      <c r="AU690" s="192"/>
      <c r="AV690" s="192"/>
      <c r="AW690" s="192"/>
      <c r="AX690" s="192"/>
      <c r="AY690" s="192"/>
      <c r="AZ690" s="192"/>
      <c r="BA690" s="192"/>
      <c r="BB690" s="192"/>
      <c r="BC690" s="192"/>
      <c r="BD690" s="192"/>
      <c r="BE690" s="192"/>
      <c r="BF690" s="192"/>
      <c r="BG690" s="192"/>
      <c r="BH690" s="192"/>
      <c r="BI690" s="192"/>
      <c r="BJ690" s="192"/>
      <c r="BK690" s="192"/>
      <c r="BL690" s="192"/>
      <c r="BM690" s="192"/>
      <c r="BN690" s="192"/>
    </row>
    <row r="691" ht="29.25" customHeight="1">
      <c r="A691" s="189"/>
      <c r="B691" s="190"/>
      <c r="C691" s="157"/>
      <c r="D691" s="157"/>
      <c r="E691" s="158"/>
      <c r="F691" s="166"/>
      <c r="G691" s="161"/>
      <c r="H691" s="161"/>
      <c r="I691" s="162"/>
      <c r="J691" s="163"/>
      <c r="K691" s="163"/>
      <c r="L691" s="163"/>
      <c r="M691" s="160"/>
      <c r="N691" s="162"/>
      <c r="O691" s="164"/>
      <c r="P691" s="140"/>
      <c r="Q691" s="191"/>
      <c r="R691" s="165"/>
      <c r="S691" s="165"/>
      <c r="T691" s="166"/>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92"/>
      <c r="AR691" s="192"/>
      <c r="AS691" s="192"/>
      <c r="AT691" s="192"/>
      <c r="AU691" s="192"/>
      <c r="AV691" s="192"/>
      <c r="AW691" s="192"/>
      <c r="AX691" s="192"/>
      <c r="AY691" s="192"/>
      <c r="AZ691" s="192"/>
      <c r="BA691" s="192"/>
      <c r="BB691" s="192"/>
      <c r="BC691" s="192"/>
      <c r="BD691" s="192"/>
      <c r="BE691" s="192"/>
      <c r="BF691" s="192"/>
      <c r="BG691" s="192"/>
      <c r="BH691" s="192"/>
      <c r="BI691" s="192"/>
      <c r="BJ691" s="192"/>
      <c r="BK691" s="192"/>
      <c r="BL691" s="192"/>
      <c r="BM691" s="192"/>
      <c r="BN691" s="192"/>
    </row>
    <row r="692" ht="29.25" customHeight="1">
      <c r="A692" s="189"/>
      <c r="B692" s="190"/>
      <c r="C692" s="157"/>
      <c r="D692" s="157"/>
      <c r="E692" s="158"/>
      <c r="F692" s="166"/>
      <c r="G692" s="161"/>
      <c r="H692" s="161"/>
      <c r="I692" s="162"/>
      <c r="J692" s="163"/>
      <c r="K692" s="163"/>
      <c r="L692" s="163"/>
      <c r="M692" s="160"/>
      <c r="N692" s="162"/>
      <c r="O692" s="164"/>
      <c r="P692" s="140"/>
      <c r="Q692" s="191"/>
      <c r="R692" s="165"/>
      <c r="S692" s="165"/>
      <c r="T692" s="166"/>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92"/>
      <c r="AR692" s="192"/>
      <c r="AS692" s="192"/>
      <c r="AT692" s="192"/>
      <c r="AU692" s="192"/>
      <c r="AV692" s="192"/>
      <c r="AW692" s="192"/>
      <c r="AX692" s="192"/>
      <c r="AY692" s="192"/>
      <c r="AZ692" s="192"/>
      <c r="BA692" s="192"/>
      <c r="BB692" s="192"/>
      <c r="BC692" s="192"/>
      <c r="BD692" s="192"/>
      <c r="BE692" s="192"/>
      <c r="BF692" s="192"/>
      <c r="BG692" s="192"/>
      <c r="BH692" s="192"/>
      <c r="BI692" s="192"/>
      <c r="BJ692" s="192"/>
      <c r="BK692" s="192"/>
      <c r="BL692" s="192"/>
      <c r="BM692" s="192"/>
      <c r="BN692" s="192"/>
    </row>
    <row r="693" ht="29.25" customHeight="1">
      <c r="A693" s="189"/>
      <c r="B693" s="190"/>
      <c r="C693" s="157"/>
      <c r="D693" s="157"/>
      <c r="E693" s="158"/>
      <c r="F693" s="166"/>
      <c r="G693" s="161"/>
      <c r="H693" s="161"/>
      <c r="I693" s="162"/>
      <c r="J693" s="163"/>
      <c r="K693" s="163"/>
      <c r="L693" s="163"/>
      <c r="M693" s="160"/>
      <c r="N693" s="162"/>
      <c r="O693" s="164"/>
      <c r="P693" s="140"/>
      <c r="Q693" s="191"/>
      <c r="R693" s="165"/>
      <c r="S693" s="165"/>
      <c r="T693" s="166"/>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92"/>
      <c r="AR693" s="192"/>
      <c r="AS693" s="192"/>
      <c r="AT693" s="192"/>
      <c r="AU693" s="192"/>
      <c r="AV693" s="192"/>
      <c r="AW693" s="192"/>
      <c r="AX693" s="192"/>
      <c r="AY693" s="192"/>
      <c r="AZ693" s="192"/>
      <c r="BA693" s="192"/>
      <c r="BB693" s="192"/>
      <c r="BC693" s="192"/>
      <c r="BD693" s="192"/>
      <c r="BE693" s="192"/>
      <c r="BF693" s="192"/>
      <c r="BG693" s="192"/>
      <c r="BH693" s="192"/>
      <c r="BI693" s="192"/>
      <c r="BJ693" s="192"/>
      <c r="BK693" s="192"/>
      <c r="BL693" s="192"/>
      <c r="BM693" s="192"/>
      <c r="BN693" s="192"/>
    </row>
    <row r="694" ht="29.25" customHeight="1">
      <c r="A694" s="189"/>
      <c r="B694" s="190"/>
      <c r="C694" s="157"/>
      <c r="D694" s="157"/>
      <c r="E694" s="158"/>
      <c r="F694" s="166"/>
      <c r="G694" s="161"/>
      <c r="H694" s="161"/>
      <c r="I694" s="162"/>
      <c r="J694" s="163"/>
      <c r="K694" s="163"/>
      <c r="L694" s="163"/>
      <c r="M694" s="160"/>
      <c r="N694" s="162"/>
      <c r="O694" s="164"/>
      <c r="P694" s="140"/>
      <c r="Q694" s="191"/>
      <c r="R694" s="165"/>
      <c r="S694" s="165"/>
      <c r="T694" s="166"/>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92"/>
      <c r="AR694" s="192"/>
      <c r="AS694" s="192"/>
      <c r="AT694" s="192"/>
      <c r="AU694" s="192"/>
      <c r="AV694" s="192"/>
      <c r="AW694" s="192"/>
      <c r="AX694" s="192"/>
      <c r="AY694" s="192"/>
      <c r="AZ694" s="192"/>
      <c r="BA694" s="192"/>
      <c r="BB694" s="192"/>
      <c r="BC694" s="192"/>
      <c r="BD694" s="192"/>
      <c r="BE694" s="192"/>
      <c r="BF694" s="192"/>
      <c r="BG694" s="192"/>
      <c r="BH694" s="192"/>
      <c r="BI694" s="192"/>
      <c r="BJ694" s="192"/>
      <c r="BK694" s="192"/>
      <c r="BL694" s="192"/>
      <c r="BM694" s="192"/>
      <c r="BN694" s="192"/>
    </row>
    <row r="695" ht="29.25" customHeight="1">
      <c r="A695" s="189"/>
      <c r="B695" s="190"/>
      <c r="C695" s="157"/>
      <c r="D695" s="157"/>
      <c r="E695" s="158"/>
      <c r="F695" s="166"/>
      <c r="G695" s="161"/>
      <c r="H695" s="161"/>
      <c r="I695" s="162"/>
      <c r="J695" s="163"/>
      <c r="K695" s="163"/>
      <c r="L695" s="163"/>
      <c r="M695" s="160"/>
      <c r="N695" s="162"/>
      <c r="O695" s="164"/>
      <c r="P695" s="140"/>
      <c r="Q695" s="191"/>
      <c r="R695" s="165"/>
      <c r="S695" s="165"/>
      <c r="T695" s="166"/>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92"/>
      <c r="AR695" s="192"/>
      <c r="AS695" s="192"/>
      <c r="AT695" s="192"/>
      <c r="AU695" s="192"/>
      <c r="AV695" s="192"/>
      <c r="AW695" s="192"/>
      <c r="AX695" s="192"/>
      <c r="AY695" s="192"/>
      <c r="AZ695" s="192"/>
      <c r="BA695" s="192"/>
      <c r="BB695" s="192"/>
      <c r="BC695" s="192"/>
      <c r="BD695" s="192"/>
      <c r="BE695" s="192"/>
      <c r="BF695" s="192"/>
      <c r="BG695" s="192"/>
      <c r="BH695" s="192"/>
      <c r="BI695" s="192"/>
      <c r="BJ695" s="192"/>
      <c r="BK695" s="192"/>
      <c r="BL695" s="192"/>
      <c r="BM695" s="192"/>
      <c r="BN695" s="192"/>
    </row>
    <row r="696" ht="29.25" customHeight="1">
      <c r="A696" s="189"/>
      <c r="B696" s="190"/>
      <c r="C696" s="157"/>
      <c r="D696" s="157"/>
      <c r="E696" s="158"/>
      <c r="F696" s="166"/>
      <c r="G696" s="161"/>
      <c r="H696" s="161"/>
      <c r="I696" s="162"/>
      <c r="J696" s="163"/>
      <c r="K696" s="163"/>
      <c r="L696" s="163"/>
      <c r="M696" s="160"/>
      <c r="N696" s="162"/>
      <c r="O696" s="164"/>
      <c r="P696" s="140"/>
      <c r="Q696" s="191"/>
      <c r="R696" s="165"/>
      <c r="S696" s="165"/>
      <c r="T696" s="166"/>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92"/>
      <c r="AR696" s="192"/>
      <c r="AS696" s="192"/>
      <c r="AT696" s="192"/>
      <c r="AU696" s="192"/>
      <c r="AV696" s="192"/>
      <c r="AW696" s="192"/>
      <c r="AX696" s="192"/>
      <c r="AY696" s="192"/>
      <c r="AZ696" s="192"/>
      <c r="BA696" s="192"/>
      <c r="BB696" s="192"/>
      <c r="BC696" s="192"/>
      <c r="BD696" s="192"/>
      <c r="BE696" s="192"/>
      <c r="BF696" s="192"/>
      <c r="BG696" s="192"/>
      <c r="BH696" s="192"/>
      <c r="BI696" s="192"/>
      <c r="BJ696" s="192"/>
      <c r="BK696" s="192"/>
      <c r="BL696" s="192"/>
      <c r="BM696" s="192"/>
      <c r="BN696" s="192"/>
    </row>
    <row r="697" ht="29.25" customHeight="1">
      <c r="A697" s="189"/>
      <c r="B697" s="190"/>
      <c r="C697" s="157"/>
      <c r="D697" s="157"/>
      <c r="E697" s="158"/>
      <c r="F697" s="166"/>
      <c r="G697" s="161"/>
      <c r="H697" s="161"/>
      <c r="I697" s="162"/>
      <c r="J697" s="163"/>
      <c r="K697" s="163"/>
      <c r="L697" s="163"/>
      <c r="M697" s="160"/>
      <c r="N697" s="162"/>
      <c r="O697" s="164"/>
      <c r="P697" s="140"/>
      <c r="Q697" s="191"/>
      <c r="R697" s="165"/>
      <c r="S697" s="165"/>
      <c r="T697" s="166"/>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92"/>
      <c r="AR697" s="192"/>
      <c r="AS697" s="192"/>
      <c r="AT697" s="192"/>
      <c r="AU697" s="192"/>
      <c r="AV697" s="192"/>
      <c r="AW697" s="192"/>
      <c r="AX697" s="192"/>
      <c r="AY697" s="192"/>
      <c r="AZ697" s="192"/>
      <c r="BA697" s="192"/>
      <c r="BB697" s="192"/>
      <c r="BC697" s="192"/>
      <c r="BD697" s="192"/>
      <c r="BE697" s="192"/>
      <c r="BF697" s="192"/>
      <c r="BG697" s="192"/>
      <c r="BH697" s="192"/>
      <c r="BI697" s="192"/>
      <c r="BJ697" s="192"/>
      <c r="BK697" s="192"/>
      <c r="BL697" s="192"/>
      <c r="BM697" s="192"/>
      <c r="BN697" s="192"/>
    </row>
    <row r="698" ht="29.25" customHeight="1">
      <c r="A698" s="189"/>
      <c r="B698" s="190"/>
      <c r="C698" s="157"/>
      <c r="D698" s="157"/>
      <c r="E698" s="158"/>
      <c r="F698" s="166"/>
      <c r="G698" s="161"/>
      <c r="H698" s="161"/>
      <c r="I698" s="162"/>
      <c r="J698" s="163"/>
      <c r="K698" s="163"/>
      <c r="L698" s="163"/>
      <c r="M698" s="160"/>
      <c r="N698" s="162"/>
      <c r="O698" s="164"/>
      <c r="P698" s="140"/>
      <c r="Q698" s="191"/>
      <c r="R698" s="165"/>
      <c r="S698" s="165"/>
      <c r="T698" s="166"/>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92"/>
      <c r="AR698" s="192"/>
      <c r="AS698" s="192"/>
      <c r="AT698" s="192"/>
      <c r="AU698" s="192"/>
      <c r="AV698" s="192"/>
      <c r="AW698" s="192"/>
      <c r="AX698" s="192"/>
      <c r="AY698" s="192"/>
      <c r="AZ698" s="192"/>
      <c r="BA698" s="192"/>
      <c r="BB698" s="192"/>
      <c r="BC698" s="192"/>
      <c r="BD698" s="192"/>
      <c r="BE698" s="192"/>
      <c r="BF698" s="192"/>
      <c r="BG698" s="192"/>
      <c r="BH698" s="192"/>
      <c r="BI698" s="192"/>
      <c r="BJ698" s="192"/>
      <c r="BK698" s="192"/>
      <c r="BL698" s="192"/>
      <c r="BM698" s="192"/>
      <c r="BN698" s="192"/>
    </row>
    <row r="699" ht="29.25" customHeight="1">
      <c r="A699" s="189"/>
      <c r="B699" s="190"/>
      <c r="C699" s="157"/>
      <c r="D699" s="157"/>
      <c r="E699" s="158"/>
      <c r="F699" s="166"/>
      <c r="G699" s="161"/>
      <c r="H699" s="161"/>
      <c r="I699" s="162"/>
      <c r="J699" s="163"/>
      <c r="K699" s="163"/>
      <c r="L699" s="163"/>
      <c r="M699" s="160"/>
      <c r="N699" s="162"/>
      <c r="O699" s="164"/>
      <c r="P699" s="140"/>
      <c r="Q699" s="191"/>
      <c r="R699" s="165"/>
      <c r="S699" s="165"/>
      <c r="T699" s="166"/>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92"/>
      <c r="AR699" s="192"/>
      <c r="AS699" s="192"/>
      <c r="AT699" s="192"/>
      <c r="AU699" s="192"/>
      <c r="AV699" s="192"/>
      <c r="AW699" s="192"/>
      <c r="AX699" s="192"/>
      <c r="AY699" s="192"/>
      <c r="AZ699" s="192"/>
      <c r="BA699" s="192"/>
      <c r="BB699" s="192"/>
      <c r="BC699" s="192"/>
      <c r="BD699" s="192"/>
      <c r="BE699" s="192"/>
      <c r="BF699" s="192"/>
      <c r="BG699" s="192"/>
      <c r="BH699" s="192"/>
      <c r="BI699" s="192"/>
      <c r="BJ699" s="192"/>
      <c r="BK699" s="192"/>
      <c r="BL699" s="192"/>
      <c r="BM699" s="192"/>
      <c r="BN699" s="192"/>
    </row>
    <row r="700" ht="29.25" customHeight="1">
      <c r="A700" s="189"/>
      <c r="B700" s="190"/>
      <c r="C700" s="157"/>
      <c r="D700" s="157"/>
      <c r="E700" s="158"/>
      <c r="F700" s="166"/>
      <c r="G700" s="161"/>
      <c r="H700" s="161"/>
      <c r="I700" s="162"/>
      <c r="J700" s="163"/>
      <c r="K700" s="163"/>
      <c r="L700" s="163"/>
      <c r="M700" s="160"/>
      <c r="N700" s="162"/>
      <c r="O700" s="164"/>
      <c r="P700" s="140"/>
      <c r="Q700" s="191"/>
      <c r="R700" s="165"/>
      <c r="S700" s="165"/>
      <c r="T700" s="166"/>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92"/>
      <c r="AR700" s="192"/>
      <c r="AS700" s="192"/>
      <c r="AT700" s="192"/>
      <c r="AU700" s="192"/>
      <c r="AV700" s="192"/>
      <c r="AW700" s="192"/>
      <c r="AX700" s="192"/>
      <c r="AY700" s="192"/>
      <c r="AZ700" s="192"/>
      <c r="BA700" s="192"/>
      <c r="BB700" s="192"/>
      <c r="BC700" s="192"/>
      <c r="BD700" s="192"/>
      <c r="BE700" s="192"/>
      <c r="BF700" s="192"/>
      <c r="BG700" s="192"/>
      <c r="BH700" s="192"/>
      <c r="BI700" s="192"/>
      <c r="BJ700" s="192"/>
      <c r="BK700" s="192"/>
      <c r="BL700" s="192"/>
      <c r="BM700" s="192"/>
      <c r="BN700" s="192"/>
    </row>
    <row r="701" ht="29.25" customHeight="1">
      <c r="A701" s="189"/>
      <c r="B701" s="190"/>
      <c r="C701" s="157"/>
      <c r="D701" s="157"/>
      <c r="E701" s="158"/>
      <c r="F701" s="166"/>
      <c r="G701" s="161"/>
      <c r="H701" s="161"/>
      <c r="I701" s="162"/>
      <c r="J701" s="163"/>
      <c r="K701" s="163"/>
      <c r="L701" s="163"/>
      <c r="M701" s="160"/>
      <c r="N701" s="162"/>
      <c r="O701" s="164"/>
      <c r="P701" s="140"/>
      <c r="Q701" s="191"/>
      <c r="R701" s="165"/>
      <c r="S701" s="165"/>
      <c r="T701" s="166"/>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92"/>
      <c r="AR701" s="192"/>
      <c r="AS701" s="192"/>
      <c r="AT701" s="192"/>
      <c r="AU701" s="192"/>
      <c r="AV701" s="192"/>
      <c r="AW701" s="192"/>
      <c r="AX701" s="192"/>
      <c r="AY701" s="192"/>
      <c r="AZ701" s="192"/>
      <c r="BA701" s="192"/>
      <c r="BB701" s="192"/>
      <c r="BC701" s="192"/>
      <c r="BD701" s="192"/>
      <c r="BE701" s="192"/>
      <c r="BF701" s="192"/>
      <c r="BG701" s="192"/>
      <c r="BH701" s="192"/>
      <c r="BI701" s="192"/>
      <c r="BJ701" s="192"/>
      <c r="BK701" s="192"/>
      <c r="BL701" s="192"/>
      <c r="BM701" s="192"/>
      <c r="BN701" s="192"/>
    </row>
    <row r="702" ht="29.25" customHeight="1">
      <c r="A702" s="189"/>
      <c r="B702" s="190"/>
      <c r="C702" s="157"/>
      <c r="D702" s="157"/>
      <c r="E702" s="158"/>
      <c r="F702" s="166"/>
      <c r="G702" s="161"/>
      <c r="H702" s="161"/>
      <c r="I702" s="162"/>
      <c r="J702" s="163"/>
      <c r="K702" s="163"/>
      <c r="L702" s="163"/>
      <c r="M702" s="160"/>
      <c r="N702" s="162"/>
      <c r="O702" s="164"/>
      <c r="P702" s="140"/>
      <c r="Q702" s="191"/>
      <c r="R702" s="165"/>
      <c r="S702" s="165"/>
      <c r="T702" s="166"/>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92"/>
      <c r="AR702" s="192"/>
      <c r="AS702" s="192"/>
      <c r="AT702" s="192"/>
      <c r="AU702" s="192"/>
      <c r="AV702" s="192"/>
      <c r="AW702" s="192"/>
      <c r="AX702" s="192"/>
      <c r="AY702" s="192"/>
      <c r="AZ702" s="192"/>
      <c r="BA702" s="192"/>
      <c r="BB702" s="192"/>
      <c r="BC702" s="192"/>
      <c r="BD702" s="192"/>
      <c r="BE702" s="192"/>
      <c r="BF702" s="192"/>
      <c r="BG702" s="192"/>
      <c r="BH702" s="192"/>
      <c r="BI702" s="192"/>
      <c r="BJ702" s="192"/>
      <c r="BK702" s="192"/>
      <c r="BL702" s="192"/>
      <c r="BM702" s="192"/>
      <c r="BN702" s="192"/>
    </row>
    <row r="703" ht="29.25" customHeight="1">
      <c r="A703" s="189"/>
      <c r="B703" s="190"/>
      <c r="C703" s="157"/>
      <c r="D703" s="157"/>
      <c r="E703" s="158"/>
      <c r="F703" s="166"/>
      <c r="G703" s="161"/>
      <c r="H703" s="161"/>
      <c r="I703" s="162"/>
      <c r="J703" s="163"/>
      <c r="K703" s="163"/>
      <c r="L703" s="163"/>
      <c r="M703" s="160"/>
      <c r="N703" s="162"/>
      <c r="O703" s="164"/>
      <c r="P703" s="140"/>
      <c r="Q703" s="191"/>
      <c r="R703" s="165"/>
      <c r="S703" s="165"/>
      <c r="T703" s="166"/>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92"/>
      <c r="AR703" s="192"/>
      <c r="AS703" s="192"/>
      <c r="AT703" s="192"/>
      <c r="AU703" s="192"/>
      <c r="AV703" s="192"/>
      <c r="AW703" s="192"/>
      <c r="AX703" s="192"/>
      <c r="AY703" s="192"/>
      <c r="AZ703" s="192"/>
      <c r="BA703" s="192"/>
      <c r="BB703" s="192"/>
      <c r="BC703" s="192"/>
      <c r="BD703" s="192"/>
      <c r="BE703" s="192"/>
      <c r="BF703" s="192"/>
      <c r="BG703" s="192"/>
      <c r="BH703" s="192"/>
      <c r="BI703" s="192"/>
      <c r="BJ703" s="192"/>
      <c r="BK703" s="192"/>
      <c r="BL703" s="192"/>
      <c r="BM703" s="192"/>
      <c r="BN703" s="192"/>
    </row>
    <row r="704" ht="29.25" customHeight="1">
      <c r="A704" s="189"/>
      <c r="B704" s="190"/>
      <c r="C704" s="157"/>
      <c r="D704" s="157"/>
      <c r="E704" s="158"/>
      <c r="F704" s="166"/>
      <c r="G704" s="161"/>
      <c r="H704" s="161"/>
      <c r="I704" s="162"/>
      <c r="J704" s="163"/>
      <c r="K704" s="163"/>
      <c r="L704" s="163"/>
      <c r="M704" s="160"/>
      <c r="N704" s="162"/>
      <c r="O704" s="164"/>
      <c r="P704" s="140"/>
      <c r="Q704" s="191"/>
      <c r="R704" s="165"/>
      <c r="S704" s="165"/>
      <c r="T704" s="166"/>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92"/>
      <c r="AR704" s="192"/>
      <c r="AS704" s="192"/>
      <c r="AT704" s="192"/>
      <c r="AU704" s="192"/>
      <c r="AV704" s="192"/>
      <c r="AW704" s="192"/>
      <c r="AX704" s="192"/>
      <c r="AY704" s="192"/>
      <c r="AZ704" s="192"/>
      <c r="BA704" s="192"/>
      <c r="BB704" s="192"/>
      <c r="BC704" s="192"/>
      <c r="BD704" s="192"/>
      <c r="BE704" s="192"/>
      <c r="BF704" s="192"/>
      <c r="BG704" s="192"/>
      <c r="BH704" s="192"/>
      <c r="BI704" s="192"/>
      <c r="BJ704" s="192"/>
      <c r="BK704" s="192"/>
      <c r="BL704" s="192"/>
      <c r="BM704" s="192"/>
      <c r="BN704" s="192"/>
    </row>
    <row r="705" ht="29.25" customHeight="1">
      <c r="A705" s="189"/>
      <c r="B705" s="190"/>
      <c r="C705" s="157"/>
      <c r="D705" s="157"/>
      <c r="E705" s="158"/>
      <c r="F705" s="166"/>
      <c r="G705" s="161"/>
      <c r="H705" s="161"/>
      <c r="I705" s="162"/>
      <c r="J705" s="163"/>
      <c r="K705" s="163"/>
      <c r="L705" s="163"/>
      <c r="M705" s="160"/>
      <c r="N705" s="162"/>
      <c r="O705" s="164"/>
      <c r="P705" s="140"/>
      <c r="Q705" s="191"/>
      <c r="R705" s="165"/>
      <c r="S705" s="165"/>
      <c r="T705" s="166"/>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92"/>
      <c r="AR705" s="192"/>
      <c r="AS705" s="192"/>
      <c r="AT705" s="192"/>
      <c r="AU705" s="192"/>
      <c r="AV705" s="192"/>
      <c r="AW705" s="192"/>
      <c r="AX705" s="192"/>
      <c r="AY705" s="192"/>
      <c r="AZ705" s="192"/>
      <c r="BA705" s="192"/>
      <c r="BB705" s="192"/>
      <c r="BC705" s="192"/>
      <c r="BD705" s="192"/>
      <c r="BE705" s="192"/>
      <c r="BF705" s="192"/>
      <c r="BG705" s="192"/>
      <c r="BH705" s="192"/>
      <c r="BI705" s="192"/>
      <c r="BJ705" s="192"/>
      <c r="BK705" s="192"/>
      <c r="BL705" s="192"/>
      <c r="BM705" s="192"/>
      <c r="BN705" s="192"/>
    </row>
    <row r="706" ht="29.25" customHeight="1">
      <c r="A706" s="189"/>
      <c r="B706" s="190"/>
      <c r="C706" s="157"/>
      <c r="D706" s="157"/>
      <c r="E706" s="158"/>
      <c r="F706" s="166"/>
      <c r="G706" s="161"/>
      <c r="H706" s="161"/>
      <c r="I706" s="162"/>
      <c r="J706" s="163"/>
      <c r="K706" s="163"/>
      <c r="L706" s="163"/>
      <c r="M706" s="160"/>
      <c r="N706" s="162"/>
      <c r="O706" s="164"/>
      <c r="P706" s="140"/>
      <c r="Q706" s="191"/>
      <c r="R706" s="165"/>
      <c r="S706" s="165"/>
      <c r="T706" s="166"/>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92"/>
      <c r="AR706" s="192"/>
      <c r="AS706" s="192"/>
      <c r="AT706" s="192"/>
      <c r="AU706" s="192"/>
      <c r="AV706" s="192"/>
      <c r="AW706" s="192"/>
      <c r="AX706" s="192"/>
      <c r="AY706" s="192"/>
      <c r="AZ706" s="192"/>
      <c r="BA706" s="192"/>
      <c r="BB706" s="192"/>
      <c r="BC706" s="192"/>
      <c r="BD706" s="192"/>
      <c r="BE706" s="192"/>
      <c r="BF706" s="192"/>
      <c r="BG706" s="192"/>
      <c r="BH706" s="192"/>
      <c r="BI706" s="192"/>
      <c r="BJ706" s="192"/>
      <c r="BK706" s="192"/>
      <c r="BL706" s="192"/>
      <c r="BM706" s="192"/>
      <c r="BN706" s="192"/>
    </row>
    <row r="707" ht="29.25" customHeight="1">
      <c r="A707" s="189"/>
      <c r="B707" s="190"/>
      <c r="C707" s="157"/>
      <c r="D707" s="157"/>
      <c r="E707" s="158"/>
      <c r="F707" s="166"/>
      <c r="G707" s="161"/>
      <c r="H707" s="161"/>
      <c r="I707" s="162"/>
      <c r="J707" s="163"/>
      <c r="K707" s="163"/>
      <c r="L707" s="163"/>
      <c r="M707" s="160"/>
      <c r="N707" s="162"/>
      <c r="O707" s="164"/>
      <c r="P707" s="140"/>
      <c r="Q707" s="191"/>
      <c r="R707" s="165"/>
      <c r="S707" s="165"/>
      <c r="T707" s="166"/>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92"/>
      <c r="AR707" s="192"/>
      <c r="AS707" s="192"/>
      <c r="AT707" s="192"/>
      <c r="AU707" s="192"/>
      <c r="AV707" s="192"/>
      <c r="AW707" s="192"/>
      <c r="AX707" s="192"/>
      <c r="AY707" s="192"/>
      <c r="AZ707" s="192"/>
      <c r="BA707" s="192"/>
      <c r="BB707" s="192"/>
      <c r="BC707" s="192"/>
      <c r="BD707" s="192"/>
      <c r="BE707" s="192"/>
      <c r="BF707" s="192"/>
      <c r="BG707" s="192"/>
      <c r="BH707" s="192"/>
      <c r="BI707" s="192"/>
      <c r="BJ707" s="192"/>
      <c r="BK707" s="192"/>
      <c r="BL707" s="192"/>
      <c r="BM707" s="192"/>
      <c r="BN707" s="192"/>
    </row>
    <row r="708" ht="29.25" customHeight="1">
      <c r="A708" s="189"/>
      <c r="B708" s="190"/>
      <c r="C708" s="157"/>
      <c r="D708" s="157"/>
      <c r="E708" s="158"/>
      <c r="F708" s="166"/>
      <c r="G708" s="161"/>
      <c r="H708" s="161"/>
      <c r="I708" s="162"/>
      <c r="J708" s="163"/>
      <c r="K708" s="163"/>
      <c r="L708" s="163"/>
      <c r="M708" s="160"/>
      <c r="N708" s="162"/>
      <c r="O708" s="164"/>
      <c r="P708" s="140"/>
      <c r="Q708" s="191"/>
      <c r="R708" s="165"/>
      <c r="S708" s="165"/>
      <c r="T708" s="166"/>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92"/>
      <c r="AR708" s="192"/>
      <c r="AS708" s="192"/>
      <c r="AT708" s="192"/>
      <c r="AU708" s="192"/>
      <c r="AV708" s="192"/>
      <c r="AW708" s="192"/>
      <c r="AX708" s="192"/>
      <c r="AY708" s="192"/>
      <c r="AZ708" s="192"/>
      <c r="BA708" s="192"/>
      <c r="BB708" s="192"/>
      <c r="BC708" s="192"/>
      <c r="BD708" s="192"/>
      <c r="BE708" s="192"/>
      <c r="BF708" s="192"/>
      <c r="BG708" s="192"/>
      <c r="BH708" s="192"/>
      <c r="BI708" s="192"/>
      <c r="BJ708" s="192"/>
      <c r="BK708" s="192"/>
      <c r="BL708" s="192"/>
      <c r="BM708" s="192"/>
      <c r="BN708" s="192"/>
    </row>
    <row r="709" ht="29.25" customHeight="1">
      <c r="A709" s="189"/>
      <c r="B709" s="190"/>
      <c r="C709" s="157"/>
      <c r="D709" s="157"/>
      <c r="E709" s="158"/>
      <c r="F709" s="166"/>
      <c r="G709" s="161"/>
      <c r="H709" s="161"/>
      <c r="I709" s="162"/>
      <c r="J709" s="163"/>
      <c r="K709" s="163"/>
      <c r="L709" s="163"/>
      <c r="M709" s="160"/>
      <c r="N709" s="162"/>
      <c r="O709" s="164"/>
      <c r="P709" s="140"/>
      <c r="Q709" s="191"/>
      <c r="R709" s="165"/>
      <c r="S709" s="165"/>
      <c r="T709" s="166"/>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92"/>
      <c r="AR709" s="192"/>
      <c r="AS709" s="192"/>
      <c r="AT709" s="192"/>
      <c r="AU709" s="192"/>
      <c r="AV709" s="192"/>
      <c r="AW709" s="192"/>
      <c r="AX709" s="192"/>
      <c r="AY709" s="192"/>
      <c r="AZ709" s="192"/>
      <c r="BA709" s="192"/>
      <c r="BB709" s="192"/>
      <c r="BC709" s="192"/>
      <c r="BD709" s="192"/>
      <c r="BE709" s="192"/>
      <c r="BF709" s="192"/>
      <c r="BG709" s="192"/>
      <c r="BH709" s="192"/>
      <c r="BI709" s="192"/>
      <c r="BJ709" s="192"/>
      <c r="BK709" s="192"/>
      <c r="BL709" s="192"/>
      <c r="BM709" s="192"/>
      <c r="BN709" s="192"/>
    </row>
    <row r="710" ht="29.25" customHeight="1">
      <c r="A710" s="189"/>
      <c r="B710" s="190"/>
      <c r="C710" s="157"/>
      <c r="D710" s="157"/>
      <c r="E710" s="158"/>
      <c r="F710" s="166"/>
      <c r="G710" s="161"/>
      <c r="H710" s="161"/>
      <c r="I710" s="162"/>
      <c r="J710" s="163"/>
      <c r="K710" s="163"/>
      <c r="L710" s="163"/>
      <c r="M710" s="160"/>
      <c r="N710" s="162"/>
      <c r="O710" s="164"/>
      <c r="P710" s="140"/>
      <c r="Q710" s="191"/>
      <c r="R710" s="165"/>
      <c r="S710" s="165"/>
      <c r="T710" s="166"/>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92"/>
      <c r="AR710" s="192"/>
      <c r="AS710" s="192"/>
      <c r="AT710" s="192"/>
      <c r="AU710" s="192"/>
      <c r="AV710" s="192"/>
      <c r="AW710" s="192"/>
      <c r="AX710" s="192"/>
      <c r="AY710" s="192"/>
      <c r="AZ710" s="192"/>
      <c r="BA710" s="192"/>
      <c r="BB710" s="192"/>
      <c r="BC710" s="192"/>
      <c r="BD710" s="192"/>
      <c r="BE710" s="192"/>
      <c r="BF710" s="192"/>
      <c r="BG710" s="192"/>
      <c r="BH710" s="192"/>
      <c r="BI710" s="192"/>
      <c r="BJ710" s="192"/>
      <c r="BK710" s="192"/>
      <c r="BL710" s="192"/>
      <c r="BM710" s="192"/>
      <c r="BN710" s="192"/>
    </row>
    <row r="711" ht="29.25" customHeight="1">
      <c r="A711" s="189"/>
      <c r="B711" s="190"/>
      <c r="C711" s="157"/>
      <c r="D711" s="157"/>
      <c r="E711" s="158"/>
      <c r="F711" s="166"/>
      <c r="G711" s="161"/>
      <c r="H711" s="161"/>
      <c r="I711" s="162"/>
      <c r="J711" s="163"/>
      <c r="K711" s="163"/>
      <c r="L711" s="163"/>
      <c r="M711" s="160"/>
      <c r="N711" s="162"/>
      <c r="O711" s="164"/>
      <c r="P711" s="140"/>
      <c r="Q711" s="191"/>
      <c r="R711" s="165"/>
      <c r="S711" s="165"/>
      <c r="T711" s="166"/>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92"/>
      <c r="AR711" s="192"/>
      <c r="AS711" s="192"/>
      <c r="AT711" s="192"/>
      <c r="AU711" s="192"/>
      <c r="AV711" s="192"/>
      <c r="AW711" s="192"/>
      <c r="AX711" s="192"/>
      <c r="AY711" s="192"/>
      <c r="AZ711" s="192"/>
      <c r="BA711" s="192"/>
      <c r="BB711" s="192"/>
      <c r="BC711" s="192"/>
      <c r="BD711" s="192"/>
      <c r="BE711" s="192"/>
      <c r="BF711" s="192"/>
      <c r="BG711" s="192"/>
      <c r="BH711" s="192"/>
      <c r="BI711" s="192"/>
      <c r="BJ711" s="192"/>
      <c r="BK711" s="192"/>
      <c r="BL711" s="192"/>
      <c r="BM711" s="192"/>
      <c r="BN711" s="192"/>
    </row>
    <row r="712" ht="29.25" customHeight="1">
      <c r="A712" s="189"/>
      <c r="B712" s="190"/>
      <c r="C712" s="157"/>
      <c r="D712" s="157"/>
      <c r="E712" s="158"/>
      <c r="F712" s="166"/>
      <c r="G712" s="161"/>
      <c r="H712" s="161"/>
      <c r="I712" s="162"/>
      <c r="J712" s="163"/>
      <c r="K712" s="163"/>
      <c r="L712" s="163"/>
      <c r="M712" s="160"/>
      <c r="N712" s="162"/>
      <c r="O712" s="164"/>
      <c r="P712" s="140"/>
      <c r="Q712" s="191"/>
      <c r="R712" s="165"/>
      <c r="S712" s="165"/>
      <c r="T712" s="166"/>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92"/>
      <c r="AR712" s="192"/>
      <c r="AS712" s="192"/>
      <c r="AT712" s="192"/>
      <c r="AU712" s="192"/>
      <c r="AV712" s="192"/>
      <c r="AW712" s="192"/>
      <c r="AX712" s="192"/>
      <c r="AY712" s="192"/>
      <c r="AZ712" s="192"/>
      <c r="BA712" s="192"/>
      <c r="BB712" s="192"/>
      <c r="BC712" s="192"/>
      <c r="BD712" s="192"/>
      <c r="BE712" s="192"/>
      <c r="BF712" s="192"/>
      <c r="BG712" s="192"/>
      <c r="BH712" s="192"/>
      <c r="BI712" s="192"/>
      <c r="BJ712" s="192"/>
      <c r="BK712" s="192"/>
      <c r="BL712" s="192"/>
      <c r="BM712" s="192"/>
      <c r="BN712" s="192"/>
    </row>
    <row r="713" ht="29.25" customHeight="1">
      <c r="A713" s="189"/>
      <c r="B713" s="190"/>
      <c r="C713" s="157"/>
      <c r="D713" s="157"/>
      <c r="E713" s="158"/>
      <c r="F713" s="166"/>
      <c r="G713" s="161"/>
      <c r="H713" s="161"/>
      <c r="I713" s="162"/>
      <c r="J713" s="163"/>
      <c r="K713" s="163"/>
      <c r="L713" s="163"/>
      <c r="M713" s="160"/>
      <c r="N713" s="162"/>
      <c r="O713" s="164"/>
      <c r="P713" s="140"/>
      <c r="Q713" s="191"/>
      <c r="R713" s="165"/>
      <c r="S713" s="165"/>
      <c r="T713" s="166"/>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92"/>
      <c r="AR713" s="192"/>
      <c r="AS713" s="192"/>
      <c r="AT713" s="192"/>
      <c r="AU713" s="192"/>
      <c r="AV713" s="192"/>
      <c r="AW713" s="192"/>
      <c r="AX713" s="192"/>
      <c r="AY713" s="192"/>
      <c r="AZ713" s="192"/>
      <c r="BA713" s="192"/>
      <c r="BB713" s="192"/>
      <c r="BC713" s="192"/>
      <c r="BD713" s="192"/>
      <c r="BE713" s="192"/>
      <c r="BF713" s="192"/>
      <c r="BG713" s="192"/>
      <c r="BH713" s="192"/>
      <c r="BI713" s="192"/>
      <c r="BJ713" s="192"/>
      <c r="BK713" s="192"/>
      <c r="BL713" s="192"/>
      <c r="BM713" s="192"/>
      <c r="BN713" s="192"/>
    </row>
    <row r="714" ht="29.25" customHeight="1">
      <c r="A714" s="189"/>
      <c r="B714" s="190"/>
      <c r="C714" s="157"/>
      <c r="D714" s="157"/>
      <c r="E714" s="158"/>
      <c r="F714" s="166"/>
      <c r="G714" s="161"/>
      <c r="H714" s="161"/>
      <c r="I714" s="162"/>
      <c r="J714" s="163"/>
      <c r="K714" s="163"/>
      <c r="L714" s="163"/>
      <c r="M714" s="160"/>
      <c r="N714" s="162"/>
      <c r="O714" s="164"/>
      <c r="P714" s="140"/>
      <c r="Q714" s="191"/>
      <c r="R714" s="165"/>
      <c r="S714" s="165"/>
      <c r="T714" s="166"/>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92"/>
      <c r="AR714" s="192"/>
      <c r="AS714" s="192"/>
      <c r="AT714" s="192"/>
      <c r="AU714" s="192"/>
      <c r="AV714" s="192"/>
      <c r="AW714" s="192"/>
      <c r="AX714" s="192"/>
      <c r="AY714" s="192"/>
      <c r="AZ714" s="192"/>
      <c r="BA714" s="192"/>
      <c r="BB714" s="192"/>
      <c r="BC714" s="192"/>
      <c r="BD714" s="192"/>
      <c r="BE714" s="192"/>
      <c r="BF714" s="192"/>
      <c r="BG714" s="192"/>
      <c r="BH714" s="192"/>
      <c r="BI714" s="192"/>
      <c r="BJ714" s="192"/>
      <c r="BK714" s="192"/>
      <c r="BL714" s="192"/>
      <c r="BM714" s="192"/>
      <c r="BN714" s="192"/>
    </row>
    <row r="715" ht="29.25" customHeight="1">
      <c r="A715" s="189"/>
      <c r="B715" s="190"/>
      <c r="C715" s="157"/>
      <c r="D715" s="157"/>
      <c r="E715" s="158"/>
      <c r="F715" s="166"/>
      <c r="G715" s="161"/>
      <c r="H715" s="161"/>
      <c r="I715" s="162"/>
      <c r="J715" s="163"/>
      <c r="K715" s="163"/>
      <c r="L715" s="163"/>
      <c r="M715" s="160"/>
      <c r="N715" s="162"/>
      <c r="O715" s="164"/>
      <c r="P715" s="140"/>
      <c r="Q715" s="191"/>
      <c r="R715" s="165"/>
      <c r="S715" s="165"/>
      <c r="T715" s="166"/>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92"/>
      <c r="AR715" s="192"/>
      <c r="AS715" s="192"/>
      <c r="AT715" s="192"/>
      <c r="AU715" s="192"/>
      <c r="AV715" s="192"/>
      <c r="AW715" s="192"/>
      <c r="AX715" s="192"/>
      <c r="AY715" s="192"/>
      <c r="AZ715" s="192"/>
      <c r="BA715" s="192"/>
      <c r="BB715" s="192"/>
      <c r="BC715" s="192"/>
      <c r="BD715" s="192"/>
      <c r="BE715" s="192"/>
      <c r="BF715" s="192"/>
      <c r="BG715" s="192"/>
      <c r="BH715" s="192"/>
      <c r="BI715" s="192"/>
      <c r="BJ715" s="192"/>
      <c r="BK715" s="192"/>
      <c r="BL715" s="192"/>
      <c r="BM715" s="192"/>
      <c r="BN715" s="192"/>
    </row>
    <row r="716" ht="29.25" customHeight="1">
      <c r="A716" s="189"/>
      <c r="B716" s="190"/>
      <c r="C716" s="157"/>
      <c r="D716" s="157"/>
      <c r="E716" s="158"/>
      <c r="F716" s="166"/>
      <c r="G716" s="161"/>
      <c r="H716" s="161"/>
      <c r="I716" s="162"/>
      <c r="J716" s="163"/>
      <c r="K716" s="163"/>
      <c r="L716" s="163"/>
      <c r="M716" s="160"/>
      <c r="N716" s="162"/>
      <c r="O716" s="164"/>
      <c r="P716" s="140"/>
      <c r="Q716" s="191"/>
      <c r="R716" s="165"/>
      <c r="S716" s="165"/>
      <c r="T716" s="166"/>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92"/>
      <c r="AR716" s="192"/>
      <c r="AS716" s="192"/>
      <c r="AT716" s="192"/>
      <c r="AU716" s="192"/>
      <c r="AV716" s="192"/>
      <c r="AW716" s="192"/>
      <c r="AX716" s="192"/>
      <c r="AY716" s="192"/>
      <c r="AZ716" s="192"/>
      <c r="BA716" s="192"/>
      <c r="BB716" s="192"/>
      <c r="BC716" s="192"/>
      <c r="BD716" s="192"/>
      <c r="BE716" s="192"/>
      <c r="BF716" s="192"/>
      <c r="BG716" s="192"/>
      <c r="BH716" s="192"/>
      <c r="BI716" s="192"/>
      <c r="BJ716" s="192"/>
      <c r="BK716" s="192"/>
      <c r="BL716" s="192"/>
      <c r="BM716" s="192"/>
      <c r="BN716" s="192"/>
    </row>
    <row r="717" ht="29.25" customHeight="1">
      <c r="A717" s="189"/>
      <c r="B717" s="190"/>
      <c r="C717" s="157"/>
      <c r="D717" s="157"/>
      <c r="E717" s="158"/>
      <c r="F717" s="166"/>
      <c r="G717" s="161"/>
      <c r="H717" s="161"/>
      <c r="I717" s="162"/>
      <c r="J717" s="163"/>
      <c r="K717" s="163"/>
      <c r="L717" s="163"/>
      <c r="M717" s="160"/>
      <c r="N717" s="162"/>
      <c r="O717" s="164"/>
      <c r="P717" s="140"/>
      <c r="Q717" s="191"/>
      <c r="R717" s="165"/>
      <c r="S717" s="165"/>
      <c r="T717" s="166"/>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92"/>
      <c r="AR717" s="192"/>
      <c r="AS717" s="192"/>
      <c r="AT717" s="192"/>
      <c r="AU717" s="192"/>
      <c r="AV717" s="192"/>
      <c r="AW717" s="192"/>
      <c r="AX717" s="192"/>
      <c r="AY717" s="192"/>
      <c r="AZ717" s="192"/>
      <c r="BA717" s="192"/>
      <c r="BB717" s="192"/>
      <c r="BC717" s="192"/>
      <c r="BD717" s="192"/>
      <c r="BE717" s="192"/>
      <c r="BF717" s="192"/>
      <c r="BG717" s="192"/>
      <c r="BH717" s="192"/>
      <c r="BI717" s="192"/>
      <c r="BJ717" s="192"/>
      <c r="BK717" s="192"/>
      <c r="BL717" s="192"/>
      <c r="BM717" s="192"/>
      <c r="BN717" s="192"/>
    </row>
    <row r="718" ht="29.25" customHeight="1">
      <c r="A718" s="189"/>
      <c r="B718" s="190"/>
      <c r="C718" s="157"/>
      <c r="D718" s="157"/>
      <c r="E718" s="158"/>
      <c r="F718" s="166"/>
      <c r="G718" s="161"/>
      <c r="H718" s="161"/>
      <c r="I718" s="162"/>
      <c r="J718" s="163"/>
      <c r="K718" s="163"/>
      <c r="L718" s="163"/>
      <c r="M718" s="160"/>
      <c r="N718" s="162"/>
      <c r="O718" s="164"/>
      <c r="P718" s="140"/>
      <c r="Q718" s="191"/>
      <c r="R718" s="165"/>
      <c r="S718" s="165"/>
      <c r="T718" s="166"/>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92"/>
      <c r="AR718" s="192"/>
      <c r="AS718" s="192"/>
      <c r="AT718" s="192"/>
      <c r="AU718" s="192"/>
      <c r="AV718" s="192"/>
      <c r="AW718" s="192"/>
      <c r="AX718" s="192"/>
      <c r="AY718" s="192"/>
      <c r="AZ718" s="192"/>
      <c r="BA718" s="192"/>
      <c r="BB718" s="192"/>
      <c r="BC718" s="192"/>
      <c r="BD718" s="192"/>
      <c r="BE718" s="192"/>
      <c r="BF718" s="192"/>
      <c r="BG718" s="192"/>
      <c r="BH718" s="192"/>
      <c r="BI718" s="192"/>
      <c r="BJ718" s="192"/>
      <c r="BK718" s="192"/>
      <c r="BL718" s="192"/>
      <c r="BM718" s="192"/>
      <c r="BN718" s="192"/>
    </row>
    <row r="719" ht="29.25" customHeight="1">
      <c r="A719" s="189"/>
      <c r="B719" s="190"/>
      <c r="C719" s="157"/>
      <c r="D719" s="157"/>
      <c r="E719" s="158"/>
      <c r="F719" s="166"/>
      <c r="G719" s="161"/>
      <c r="H719" s="161"/>
      <c r="I719" s="162"/>
      <c r="J719" s="163"/>
      <c r="K719" s="163"/>
      <c r="L719" s="163"/>
      <c r="M719" s="160"/>
      <c r="N719" s="162"/>
      <c r="O719" s="164"/>
      <c r="P719" s="140"/>
      <c r="Q719" s="191"/>
      <c r="R719" s="165"/>
      <c r="S719" s="165"/>
      <c r="T719" s="166"/>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92"/>
      <c r="AR719" s="192"/>
      <c r="AS719" s="192"/>
      <c r="AT719" s="192"/>
      <c r="AU719" s="192"/>
      <c r="AV719" s="192"/>
      <c r="AW719" s="192"/>
      <c r="AX719" s="192"/>
      <c r="AY719" s="192"/>
      <c r="AZ719" s="192"/>
      <c r="BA719" s="192"/>
      <c r="BB719" s="192"/>
      <c r="BC719" s="192"/>
      <c r="BD719" s="192"/>
      <c r="BE719" s="192"/>
      <c r="BF719" s="192"/>
      <c r="BG719" s="192"/>
      <c r="BH719" s="192"/>
      <c r="BI719" s="192"/>
      <c r="BJ719" s="192"/>
      <c r="BK719" s="192"/>
      <c r="BL719" s="192"/>
      <c r="BM719" s="192"/>
      <c r="BN719" s="192"/>
    </row>
    <row r="720" ht="29.25" customHeight="1">
      <c r="A720" s="189"/>
      <c r="B720" s="190"/>
      <c r="C720" s="157"/>
      <c r="D720" s="157"/>
      <c r="E720" s="158"/>
      <c r="F720" s="166"/>
      <c r="G720" s="161"/>
      <c r="H720" s="161"/>
      <c r="I720" s="162"/>
      <c r="J720" s="163"/>
      <c r="K720" s="163"/>
      <c r="L720" s="163"/>
      <c r="M720" s="160"/>
      <c r="N720" s="162"/>
      <c r="O720" s="164"/>
      <c r="P720" s="140"/>
      <c r="Q720" s="191"/>
      <c r="R720" s="165"/>
      <c r="S720" s="165"/>
      <c r="T720" s="166"/>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92"/>
      <c r="AR720" s="192"/>
      <c r="AS720" s="192"/>
      <c r="AT720" s="192"/>
      <c r="AU720" s="192"/>
      <c r="AV720" s="192"/>
      <c r="AW720" s="192"/>
      <c r="AX720" s="192"/>
      <c r="AY720" s="192"/>
      <c r="AZ720" s="192"/>
      <c r="BA720" s="192"/>
      <c r="BB720" s="192"/>
      <c r="BC720" s="192"/>
      <c r="BD720" s="192"/>
      <c r="BE720" s="192"/>
      <c r="BF720" s="192"/>
      <c r="BG720" s="192"/>
      <c r="BH720" s="192"/>
      <c r="BI720" s="192"/>
      <c r="BJ720" s="192"/>
      <c r="BK720" s="192"/>
      <c r="BL720" s="192"/>
      <c r="BM720" s="192"/>
      <c r="BN720" s="192"/>
    </row>
    <row r="721" ht="29.25" customHeight="1">
      <c r="A721" s="189"/>
      <c r="B721" s="190"/>
      <c r="C721" s="157"/>
      <c r="D721" s="157"/>
      <c r="E721" s="158"/>
      <c r="F721" s="166"/>
      <c r="G721" s="161"/>
      <c r="H721" s="161"/>
      <c r="I721" s="162"/>
      <c r="J721" s="163"/>
      <c r="K721" s="163"/>
      <c r="L721" s="163"/>
      <c r="M721" s="160"/>
      <c r="N721" s="162"/>
      <c r="O721" s="164"/>
      <c r="P721" s="140"/>
      <c r="Q721" s="191"/>
      <c r="R721" s="165"/>
      <c r="S721" s="165"/>
      <c r="T721" s="166"/>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92"/>
      <c r="AR721" s="192"/>
      <c r="AS721" s="192"/>
      <c r="AT721" s="192"/>
      <c r="AU721" s="192"/>
      <c r="AV721" s="192"/>
      <c r="AW721" s="192"/>
      <c r="AX721" s="192"/>
      <c r="AY721" s="192"/>
      <c r="AZ721" s="192"/>
      <c r="BA721" s="192"/>
      <c r="BB721" s="192"/>
      <c r="BC721" s="192"/>
      <c r="BD721" s="192"/>
      <c r="BE721" s="192"/>
      <c r="BF721" s="192"/>
      <c r="BG721" s="192"/>
      <c r="BH721" s="192"/>
      <c r="BI721" s="192"/>
      <c r="BJ721" s="192"/>
      <c r="BK721" s="192"/>
      <c r="BL721" s="192"/>
      <c r="BM721" s="192"/>
      <c r="BN721" s="192"/>
    </row>
    <row r="722" ht="29.25" customHeight="1">
      <c r="A722" s="189"/>
      <c r="B722" s="190"/>
      <c r="C722" s="157"/>
      <c r="D722" s="157"/>
      <c r="E722" s="158"/>
      <c r="F722" s="166"/>
      <c r="G722" s="161"/>
      <c r="H722" s="161"/>
      <c r="I722" s="162"/>
      <c r="J722" s="163"/>
      <c r="K722" s="163"/>
      <c r="L722" s="163"/>
      <c r="M722" s="160"/>
      <c r="N722" s="162"/>
      <c r="O722" s="164"/>
      <c r="P722" s="140"/>
      <c r="Q722" s="191"/>
      <c r="R722" s="165"/>
      <c r="S722" s="165"/>
      <c r="T722" s="166"/>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92"/>
      <c r="AR722" s="192"/>
      <c r="AS722" s="192"/>
      <c r="AT722" s="192"/>
      <c r="AU722" s="192"/>
      <c r="AV722" s="192"/>
      <c r="AW722" s="192"/>
      <c r="AX722" s="192"/>
      <c r="AY722" s="192"/>
      <c r="AZ722" s="192"/>
      <c r="BA722" s="192"/>
      <c r="BB722" s="192"/>
      <c r="BC722" s="192"/>
      <c r="BD722" s="192"/>
      <c r="BE722" s="192"/>
      <c r="BF722" s="192"/>
      <c r="BG722" s="192"/>
      <c r="BH722" s="192"/>
      <c r="BI722" s="192"/>
      <c r="BJ722" s="192"/>
      <c r="BK722" s="192"/>
      <c r="BL722" s="192"/>
      <c r="BM722" s="192"/>
      <c r="BN722" s="192"/>
    </row>
    <row r="723" ht="29.25" customHeight="1">
      <c r="A723" s="189"/>
      <c r="B723" s="190"/>
      <c r="C723" s="157"/>
      <c r="D723" s="157"/>
      <c r="E723" s="158"/>
      <c r="F723" s="166"/>
      <c r="G723" s="161"/>
      <c r="H723" s="161"/>
      <c r="I723" s="162"/>
      <c r="J723" s="163"/>
      <c r="K723" s="163"/>
      <c r="L723" s="163"/>
      <c r="M723" s="160"/>
      <c r="N723" s="162"/>
      <c r="O723" s="164"/>
      <c r="P723" s="140"/>
      <c r="Q723" s="191"/>
      <c r="R723" s="165"/>
      <c r="S723" s="165"/>
      <c r="T723" s="166"/>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92"/>
      <c r="AR723" s="192"/>
      <c r="AS723" s="192"/>
      <c r="AT723" s="192"/>
      <c r="AU723" s="192"/>
      <c r="AV723" s="192"/>
      <c r="AW723" s="192"/>
      <c r="AX723" s="192"/>
      <c r="AY723" s="192"/>
      <c r="AZ723" s="192"/>
      <c r="BA723" s="192"/>
      <c r="BB723" s="192"/>
      <c r="BC723" s="192"/>
      <c r="BD723" s="192"/>
      <c r="BE723" s="192"/>
      <c r="BF723" s="192"/>
      <c r="BG723" s="192"/>
      <c r="BH723" s="192"/>
      <c r="BI723" s="192"/>
      <c r="BJ723" s="192"/>
      <c r="BK723" s="192"/>
      <c r="BL723" s="192"/>
      <c r="BM723" s="192"/>
      <c r="BN723" s="192"/>
    </row>
    <row r="724" ht="29.25" customHeight="1">
      <c r="A724" s="189"/>
      <c r="B724" s="190"/>
      <c r="C724" s="157"/>
      <c r="D724" s="157"/>
      <c r="E724" s="158"/>
      <c r="F724" s="166"/>
      <c r="G724" s="161"/>
      <c r="H724" s="161"/>
      <c r="I724" s="162"/>
      <c r="J724" s="163"/>
      <c r="K724" s="163"/>
      <c r="L724" s="163"/>
      <c r="M724" s="160"/>
      <c r="N724" s="162"/>
      <c r="O724" s="164"/>
      <c r="P724" s="140"/>
      <c r="Q724" s="191"/>
      <c r="R724" s="165"/>
      <c r="S724" s="165"/>
      <c r="T724" s="166"/>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92"/>
      <c r="AR724" s="192"/>
      <c r="AS724" s="192"/>
      <c r="AT724" s="192"/>
      <c r="AU724" s="192"/>
      <c r="AV724" s="192"/>
      <c r="AW724" s="192"/>
      <c r="AX724" s="192"/>
      <c r="AY724" s="192"/>
      <c r="AZ724" s="192"/>
      <c r="BA724" s="192"/>
      <c r="BB724" s="192"/>
      <c r="BC724" s="192"/>
      <c r="BD724" s="192"/>
      <c r="BE724" s="192"/>
      <c r="BF724" s="192"/>
      <c r="BG724" s="192"/>
      <c r="BH724" s="192"/>
      <c r="BI724" s="192"/>
      <c r="BJ724" s="192"/>
      <c r="BK724" s="192"/>
      <c r="BL724" s="192"/>
      <c r="BM724" s="192"/>
      <c r="BN724" s="192"/>
    </row>
    <row r="725" ht="29.25" customHeight="1">
      <c r="A725" s="189"/>
      <c r="B725" s="190"/>
      <c r="C725" s="157"/>
      <c r="D725" s="157"/>
      <c r="E725" s="158"/>
      <c r="F725" s="166"/>
      <c r="G725" s="161"/>
      <c r="H725" s="161"/>
      <c r="I725" s="162"/>
      <c r="J725" s="163"/>
      <c r="K725" s="163"/>
      <c r="L725" s="163"/>
      <c r="M725" s="160"/>
      <c r="N725" s="162"/>
      <c r="O725" s="164"/>
      <c r="P725" s="140"/>
      <c r="Q725" s="191"/>
      <c r="R725" s="165"/>
      <c r="S725" s="165"/>
      <c r="T725" s="166"/>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92"/>
      <c r="AR725" s="192"/>
      <c r="AS725" s="192"/>
      <c r="AT725" s="192"/>
      <c r="AU725" s="192"/>
      <c r="AV725" s="192"/>
      <c r="AW725" s="192"/>
      <c r="AX725" s="192"/>
      <c r="AY725" s="192"/>
      <c r="AZ725" s="192"/>
      <c r="BA725" s="192"/>
      <c r="BB725" s="192"/>
      <c r="BC725" s="192"/>
      <c r="BD725" s="192"/>
      <c r="BE725" s="192"/>
      <c r="BF725" s="192"/>
      <c r="BG725" s="192"/>
      <c r="BH725" s="192"/>
      <c r="BI725" s="192"/>
      <c r="BJ725" s="192"/>
      <c r="BK725" s="192"/>
      <c r="BL725" s="192"/>
      <c r="BM725" s="192"/>
      <c r="BN725" s="192"/>
    </row>
    <row r="726" ht="29.25" customHeight="1">
      <c r="A726" s="189"/>
      <c r="B726" s="190"/>
      <c r="C726" s="157"/>
      <c r="D726" s="157"/>
      <c r="E726" s="158"/>
      <c r="F726" s="166"/>
      <c r="G726" s="161"/>
      <c r="H726" s="161"/>
      <c r="I726" s="162"/>
      <c r="J726" s="163"/>
      <c r="K726" s="163"/>
      <c r="L726" s="163"/>
      <c r="M726" s="160"/>
      <c r="N726" s="162"/>
      <c r="O726" s="164"/>
      <c r="P726" s="140"/>
      <c r="Q726" s="191"/>
      <c r="R726" s="165"/>
      <c r="S726" s="165"/>
      <c r="T726" s="166"/>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92"/>
      <c r="AR726" s="192"/>
      <c r="AS726" s="192"/>
      <c r="AT726" s="192"/>
      <c r="AU726" s="192"/>
      <c r="AV726" s="192"/>
      <c r="AW726" s="192"/>
      <c r="AX726" s="192"/>
      <c r="AY726" s="192"/>
      <c r="AZ726" s="192"/>
      <c r="BA726" s="192"/>
      <c r="BB726" s="192"/>
      <c r="BC726" s="192"/>
      <c r="BD726" s="192"/>
      <c r="BE726" s="192"/>
      <c r="BF726" s="192"/>
      <c r="BG726" s="192"/>
      <c r="BH726" s="192"/>
      <c r="BI726" s="192"/>
      <c r="BJ726" s="192"/>
      <c r="BK726" s="192"/>
      <c r="BL726" s="192"/>
      <c r="BM726" s="192"/>
      <c r="BN726" s="192"/>
    </row>
    <row r="727" ht="29.25" customHeight="1">
      <c r="A727" s="189"/>
      <c r="B727" s="190"/>
      <c r="C727" s="157"/>
      <c r="D727" s="157"/>
      <c r="E727" s="158"/>
      <c r="F727" s="166"/>
      <c r="G727" s="161"/>
      <c r="H727" s="161"/>
      <c r="I727" s="162"/>
      <c r="J727" s="163"/>
      <c r="K727" s="163"/>
      <c r="L727" s="163"/>
      <c r="M727" s="160"/>
      <c r="N727" s="162"/>
      <c r="O727" s="164"/>
      <c r="P727" s="140"/>
      <c r="Q727" s="191"/>
      <c r="R727" s="165"/>
      <c r="S727" s="165"/>
      <c r="T727" s="166"/>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92"/>
      <c r="AR727" s="192"/>
      <c r="AS727" s="192"/>
      <c r="AT727" s="192"/>
      <c r="AU727" s="192"/>
      <c r="AV727" s="192"/>
      <c r="AW727" s="192"/>
      <c r="AX727" s="192"/>
      <c r="AY727" s="192"/>
      <c r="AZ727" s="192"/>
      <c r="BA727" s="192"/>
      <c r="BB727" s="192"/>
      <c r="BC727" s="192"/>
      <c r="BD727" s="192"/>
      <c r="BE727" s="192"/>
      <c r="BF727" s="192"/>
      <c r="BG727" s="192"/>
      <c r="BH727" s="192"/>
      <c r="BI727" s="192"/>
      <c r="BJ727" s="192"/>
      <c r="BK727" s="192"/>
      <c r="BL727" s="192"/>
      <c r="BM727" s="192"/>
      <c r="BN727" s="192"/>
    </row>
    <row r="728" ht="29.25" customHeight="1">
      <c r="A728" s="189"/>
      <c r="B728" s="190"/>
      <c r="C728" s="157"/>
      <c r="D728" s="157"/>
      <c r="E728" s="158"/>
      <c r="F728" s="166"/>
      <c r="G728" s="161"/>
      <c r="H728" s="161"/>
      <c r="I728" s="162"/>
      <c r="J728" s="163"/>
      <c r="K728" s="163"/>
      <c r="L728" s="163"/>
      <c r="M728" s="160"/>
      <c r="N728" s="162"/>
      <c r="O728" s="164"/>
      <c r="P728" s="140"/>
      <c r="Q728" s="191"/>
      <c r="R728" s="165"/>
      <c r="S728" s="165"/>
      <c r="T728" s="166"/>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92"/>
      <c r="AR728" s="192"/>
      <c r="AS728" s="192"/>
      <c r="AT728" s="192"/>
      <c r="AU728" s="192"/>
      <c r="AV728" s="192"/>
      <c r="AW728" s="192"/>
      <c r="AX728" s="192"/>
      <c r="AY728" s="192"/>
      <c r="AZ728" s="192"/>
      <c r="BA728" s="192"/>
      <c r="BB728" s="192"/>
      <c r="BC728" s="192"/>
      <c r="BD728" s="192"/>
      <c r="BE728" s="192"/>
      <c r="BF728" s="192"/>
      <c r="BG728" s="192"/>
      <c r="BH728" s="192"/>
      <c r="BI728" s="192"/>
      <c r="BJ728" s="192"/>
      <c r="BK728" s="192"/>
      <c r="BL728" s="192"/>
      <c r="BM728" s="192"/>
      <c r="BN728" s="192"/>
    </row>
    <row r="729" ht="29.25" customHeight="1">
      <c r="A729" s="189"/>
      <c r="B729" s="190"/>
      <c r="C729" s="157"/>
      <c r="D729" s="157"/>
      <c r="E729" s="158"/>
      <c r="F729" s="166"/>
      <c r="G729" s="161"/>
      <c r="H729" s="161"/>
      <c r="I729" s="162"/>
      <c r="J729" s="163"/>
      <c r="K729" s="163"/>
      <c r="L729" s="163"/>
      <c r="M729" s="160"/>
      <c r="N729" s="162"/>
      <c r="O729" s="164"/>
      <c r="P729" s="140"/>
      <c r="Q729" s="191"/>
      <c r="R729" s="165"/>
      <c r="S729" s="165"/>
      <c r="T729" s="166"/>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92"/>
      <c r="AR729" s="192"/>
      <c r="AS729" s="192"/>
      <c r="AT729" s="192"/>
      <c r="AU729" s="192"/>
      <c r="AV729" s="192"/>
      <c r="AW729" s="192"/>
      <c r="AX729" s="192"/>
      <c r="AY729" s="192"/>
      <c r="AZ729" s="192"/>
      <c r="BA729" s="192"/>
      <c r="BB729" s="192"/>
      <c r="BC729" s="192"/>
      <c r="BD729" s="192"/>
      <c r="BE729" s="192"/>
      <c r="BF729" s="192"/>
      <c r="BG729" s="192"/>
      <c r="BH729" s="192"/>
      <c r="BI729" s="192"/>
      <c r="BJ729" s="192"/>
      <c r="BK729" s="192"/>
      <c r="BL729" s="192"/>
      <c r="BM729" s="192"/>
      <c r="BN729" s="192"/>
    </row>
    <row r="730" ht="29.25" customHeight="1">
      <c r="A730" s="189"/>
      <c r="B730" s="190"/>
      <c r="C730" s="157"/>
      <c r="D730" s="157"/>
      <c r="E730" s="158"/>
      <c r="F730" s="166"/>
      <c r="G730" s="161"/>
      <c r="H730" s="161"/>
      <c r="I730" s="162"/>
      <c r="J730" s="163"/>
      <c r="K730" s="163"/>
      <c r="L730" s="163"/>
      <c r="M730" s="160"/>
      <c r="N730" s="162"/>
      <c r="O730" s="164"/>
      <c r="P730" s="140"/>
      <c r="Q730" s="191"/>
      <c r="R730" s="165"/>
      <c r="S730" s="165"/>
      <c r="T730" s="166"/>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92"/>
      <c r="AR730" s="192"/>
      <c r="AS730" s="192"/>
      <c r="AT730" s="192"/>
      <c r="AU730" s="192"/>
      <c r="AV730" s="192"/>
      <c r="AW730" s="192"/>
      <c r="AX730" s="192"/>
      <c r="AY730" s="192"/>
      <c r="AZ730" s="192"/>
      <c r="BA730" s="192"/>
      <c r="BB730" s="192"/>
      <c r="BC730" s="192"/>
      <c r="BD730" s="192"/>
      <c r="BE730" s="192"/>
      <c r="BF730" s="192"/>
      <c r="BG730" s="192"/>
      <c r="BH730" s="192"/>
      <c r="BI730" s="192"/>
      <c r="BJ730" s="192"/>
      <c r="BK730" s="192"/>
      <c r="BL730" s="192"/>
      <c r="BM730" s="192"/>
      <c r="BN730" s="192"/>
    </row>
    <row r="731" ht="29.25" customHeight="1">
      <c r="A731" s="189"/>
      <c r="B731" s="190"/>
      <c r="C731" s="157"/>
      <c r="D731" s="157"/>
      <c r="E731" s="158"/>
      <c r="F731" s="166"/>
      <c r="G731" s="161"/>
      <c r="H731" s="161"/>
      <c r="I731" s="162"/>
      <c r="J731" s="163"/>
      <c r="K731" s="163"/>
      <c r="L731" s="163"/>
      <c r="M731" s="160"/>
      <c r="N731" s="162"/>
      <c r="O731" s="164"/>
      <c r="P731" s="140"/>
      <c r="Q731" s="191"/>
      <c r="R731" s="165"/>
      <c r="S731" s="165"/>
      <c r="T731" s="166"/>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92"/>
      <c r="AR731" s="192"/>
      <c r="AS731" s="192"/>
      <c r="AT731" s="192"/>
      <c r="AU731" s="192"/>
      <c r="AV731" s="192"/>
      <c r="AW731" s="192"/>
      <c r="AX731" s="192"/>
      <c r="AY731" s="192"/>
      <c r="AZ731" s="192"/>
      <c r="BA731" s="192"/>
      <c r="BB731" s="192"/>
      <c r="BC731" s="192"/>
      <c r="BD731" s="192"/>
      <c r="BE731" s="192"/>
      <c r="BF731" s="192"/>
      <c r="BG731" s="192"/>
      <c r="BH731" s="192"/>
      <c r="BI731" s="192"/>
      <c r="BJ731" s="192"/>
      <c r="BK731" s="192"/>
      <c r="BL731" s="192"/>
      <c r="BM731" s="192"/>
      <c r="BN731" s="192"/>
    </row>
    <row r="732" ht="29.25" customHeight="1">
      <c r="A732" s="189"/>
      <c r="B732" s="190"/>
      <c r="C732" s="157"/>
      <c r="D732" s="157"/>
      <c r="E732" s="158"/>
      <c r="F732" s="166"/>
      <c r="G732" s="161"/>
      <c r="H732" s="161"/>
      <c r="I732" s="162"/>
      <c r="J732" s="163"/>
      <c r="K732" s="163"/>
      <c r="L732" s="163"/>
      <c r="M732" s="160"/>
      <c r="N732" s="162"/>
      <c r="O732" s="164"/>
      <c r="P732" s="140"/>
      <c r="Q732" s="191"/>
      <c r="R732" s="165"/>
      <c r="S732" s="165"/>
      <c r="T732" s="166"/>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92"/>
      <c r="AR732" s="192"/>
      <c r="AS732" s="192"/>
      <c r="AT732" s="192"/>
      <c r="AU732" s="192"/>
      <c r="AV732" s="192"/>
      <c r="AW732" s="192"/>
      <c r="AX732" s="192"/>
      <c r="AY732" s="192"/>
      <c r="AZ732" s="192"/>
      <c r="BA732" s="192"/>
      <c r="BB732" s="192"/>
      <c r="BC732" s="192"/>
      <c r="BD732" s="192"/>
      <c r="BE732" s="192"/>
      <c r="BF732" s="192"/>
      <c r="BG732" s="192"/>
      <c r="BH732" s="192"/>
      <c r="BI732" s="192"/>
      <c r="BJ732" s="192"/>
      <c r="BK732" s="192"/>
      <c r="BL732" s="192"/>
      <c r="BM732" s="192"/>
      <c r="BN732" s="192"/>
    </row>
    <row r="733" ht="29.25" customHeight="1">
      <c r="A733" s="189"/>
      <c r="B733" s="190"/>
      <c r="C733" s="157"/>
      <c r="D733" s="157"/>
      <c r="E733" s="158"/>
      <c r="F733" s="166"/>
      <c r="G733" s="161"/>
      <c r="H733" s="161"/>
      <c r="I733" s="162"/>
      <c r="J733" s="163"/>
      <c r="K733" s="163"/>
      <c r="L733" s="163"/>
      <c r="M733" s="160"/>
      <c r="N733" s="162"/>
      <c r="O733" s="164"/>
      <c r="P733" s="140"/>
      <c r="Q733" s="191"/>
      <c r="R733" s="165"/>
      <c r="S733" s="165"/>
      <c r="T733" s="166"/>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92"/>
      <c r="AR733" s="192"/>
      <c r="AS733" s="192"/>
      <c r="AT733" s="192"/>
      <c r="AU733" s="192"/>
      <c r="AV733" s="192"/>
      <c r="AW733" s="192"/>
      <c r="AX733" s="192"/>
      <c r="AY733" s="192"/>
      <c r="AZ733" s="192"/>
      <c r="BA733" s="192"/>
      <c r="BB733" s="192"/>
      <c r="BC733" s="192"/>
      <c r="BD733" s="192"/>
      <c r="BE733" s="192"/>
      <c r="BF733" s="192"/>
      <c r="BG733" s="192"/>
      <c r="BH733" s="192"/>
      <c r="BI733" s="192"/>
      <c r="BJ733" s="192"/>
      <c r="BK733" s="192"/>
      <c r="BL733" s="192"/>
      <c r="BM733" s="192"/>
      <c r="BN733" s="192"/>
    </row>
    <row r="734" ht="29.25" customHeight="1">
      <c r="A734" s="189"/>
      <c r="B734" s="190"/>
      <c r="C734" s="157"/>
      <c r="D734" s="157"/>
      <c r="E734" s="158"/>
      <c r="F734" s="166"/>
      <c r="G734" s="161"/>
      <c r="H734" s="161"/>
      <c r="I734" s="162"/>
      <c r="J734" s="163"/>
      <c r="K734" s="163"/>
      <c r="L734" s="163"/>
      <c r="M734" s="160"/>
      <c r="N734" s="162"/>
      <c r="O734" s="164"/>
      <c r="P734" s="140"/>
      <c r="Q734" s="191"/>
      <c r="R734" s="165"/>
      <c r="S734" s="165"/>
      <c r="T734" s="166"/>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92"/>
      <c r="AR734" s="192"/>
      <c r="AS734" s="192"/>
      <c r="AT734" s="192"/>
      <c r="AU734" s="192"/>
      <c r="AV734" s="192"/>
      <c r="AW734" s="192"/>
      <c r="AX734" s="192"/>
      <c r="AY734" s="192"/>
      <c r="AZ734" s="192"/>
      <c r="BA734" s="192"/>
      <c r="BB734" s="192"/>
      <c r="BC734" s="192"/>
      <c r="BD734" s="192"/>
      <c r="BE734" s="192"/>
      <c r="BF734" s="192"/>
      <c r="BG734" s="192"/>
      <c r="BH734" s="192"/>
      <c r="BI734" s="192"/>
      <c r="BJ734" s="192"/>
      <c r="BK734" s="192"/>
      <c r="BL734" s="192"/>
      <c r="BM734" s="192"/>
      <c r="BN734" s="192"/>
    </row>
    <row r="735" ht="29.25" customHeight="1">
      <c r="A735" s="189"/>
      <c r="B735" s="190"/>
      <c r="C735" s="157"/>
      <c r="D735" s="157"/>
      <c r="E735" s="158"/>
      <c r="F735" s="166"/>
      <c r="G735" s="161"/>
      <c r="H735" s="161"/>
      <c r="I735" s="162"/>
      <c r="J735" s="163"/>
      <c r="K735" s="163"/>
      <c r="L735" s="163"/>
      <c r="M735" s="160"/>
      <c r="N735" s="162"/>
      <c r="O735" s="164"/>
      <c r="P735" s="140"/>
      <c r="Q735" s="191"/>
      <c r="R735" s="165"/>
      <c r="S735" s="165"/>
      <c r="T735" s="166"/>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92"/>
      <c r="AR735" s="192"/>
      <c r="AS735" s="192"/>
      <c r="AT735" s="192"/>
      <c r="AU735" s="192"/>
      <c r="AV735" s="192"/>
      <c r="AW735" s="192"/>
      <c r="AX735" s="192"/>
      <c r="AY735" s="192"/>
      <c r="AZ735" s="192"/>
      <c r="BA735" s="192"/>
      <c r="BB735" s="192"/>
      <c r="BC735" s="192"/>
      <c r="BD735" s="192"/>
      <c r="BE735" s="192"/>
      <c r="BF735" s="192"/>
      <c r="BG735" s="192"/>
      <c r="BH735" s="192"/>
      <c r="BI735" s="192"/>
      <c r="BJ735" s="192"/>
      <c r="BK735" s="192"/>
      <c r="BL735" s="192"/>
      <c r="BM735" s="192"/>
      <c r="BN735" s="192"/>
    </row>
    <row r="736" ht="29.25" customHeight="1">
      <c r="A736" s="189"/>
      <c r="B736" s="190"/>
      <c r="C736" s="157"/>
      <c r="D736" s="157"/>
      <c r="E736" s="158"/>
      <c r="F736" s="166"/>
      <c r="G736" s="161"/>
      <c r="H736" s="161"/>
      <c r="I736" s="162"/>
      <c r="J736" s="163"/>
      <c r="K736" s="163"/>
      <c r="L736" s="163"/>
      <c r="M736" s="160"/>
      <c r="N736" s="162"/>
      <c r="O736" s="164"/>
      <c r="P736" s="140"/>
      <c r="Q736" s="191"/>
      <c r="R736" s="165"/>
      <c r="S736" s="165"/>
      <c r="T736" s="166"/>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92"/>
      <c r="AR736" s="192"/>
      <c r="AS736" s="192"/>
      <c r="AT736" s="192"/>
      <c r="AU736" s="192"/>
      <c r="AV736" s="192"/>
      <c r="AW736" s="192"/>
      <c r="AX736" s="192"/>
      <c r="AY736" s="192"/>
      <c r="AZ736" s="192"/>
      <c r="BA736" s="192"/>
      <c r="BB736" s="192"/>
      <c r="BC736" s="192"/>
      <c r="BD736" s="192"/>
      <c r="BE736" s="192"/>
      <c r="BF736" s="192"/>
      <c r="BG736" s="192"/>
      <c r="BH736" s="192"/>
      <c r="BI736" s="192"/>
      <c r="BJ736" s="192"/>
      <c r="BK736" s="192"/>
      <c r="BL736" s="192"/>
      <c r="BM736" s="192"/>
      <c r="BN736" s="192"/>
    </row>
    <row r="737" ht="29.25" customHeight="1">
      <c r="A737" s="189"/>
      <c r="B737" s="190"/>
      <c r="C737" s="157"/>
      <c r="D737" s="157"/>
      <c r="E737" s="158"/>
      <c r="F737" s="166"/>
      <c r="G737" s="161"/>
      <c r="H737" s="161"/>
      <c r="I737" s="162"/>
      <c r="J737" s="163"/>
      <c r="K737" s="163"/>
      <c r="L737" s="163"/>
      <c r="M737" s="160"/>
      <c r="N737" s="162"/>
      <c r="O737" s="164"/>
      <c r="P737" s="140"/>
      <c r="Q737" s="191"/>
      <c r="R737" s="165"/>
      <c r="S737" s="165"/>
      <c r="T737" s="166"/>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92"/>
      <c r="AR737" s="192"/>
      <c r="AS737" s="192"/>
      <c r="AT737" s="192"/>
      <c r="AU737" s="192"/>
      <c r="AV737" s="192"/>
      <c r="AW737" s="192"/>
      <c r="AX737" s="192"/>
      <c r="AY737" s="192"/>
      <c r="AZ737" s="192"/>
      <c r="BA737" s="192"/>
      <c r="BB737" s="192"/>
      <c r="BC737" s="192"/>
      <c r="BD737" s="192"/>
      <c r="BE737" s="192"/>
      <c r="BF737" s="192"/>
      <c r="BG737" s="192"/>
      <c r="BH737" s="192"/>
      <c r="BI737" s="192"/>
      <c r="BJ737" s="192"/>
      <c r="BK737" s="192"/>
      <c r="BL737" s="192"/>
      <c r="BM737" s="192"/>
      <c r="BN737" s="192"/>
    </row>
    <row r="738" ht="29.25" customHeight="1">
      <c r="A738" s="189"/>
      <c r="B738" s="190"/>
      <c r="C738" s="157"/>
      <c r="D738" s="157"/>
      <c r="E738" s="158"/>
      <c r="F738" s="166"/>
      <c r="G738" s="161"/>
      <c r="H738" s="161"/>
      <c r="I738" s="162"/>
      <c r="J738" s="163"/>
      <c r="K738" s="163"/>
      <c r="L738" s="163"/>
      <c r="M738" s="160"/>
      <c r="N738" s="162"/>
      <c r="O738" s="164"/>
      <c r="P738" s="140"/>
      <c r="Q738" s="191"/>
      <c r="R738" s="165"/>
      <c r="S738" s="165"/>
      <c r="T738" s="166"/>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92"/>
      <c r="AR738" s="192"/>
      <c r="AS738" s="192"/>
      <c r="AT738" s="192"/>
      <c r="AU738" s="192"/>
      <c r="AV738" s="192"/>
      <c r="AW738" s="192"/>
      <c r="AX738" s="192"/>
      <c r="AY738" s="192"/>
      <c r="AZ738" s="192"/>
      <c r="BA738" s="192"/>
      <c r="BB738" s="192"/>
      <c r="BC738" s="192"/>
      <c r="BD738" s="192"/>
      <c r="BE738" s="192"/>
      <c r="BF738" s="192"/>
      <c r="BG738" s="192"/>
      <c r="BH738" s="192"/>
      <c r="BI738" s="192"/>
      <c r="BJ738" s="192"/>
      <c r="BK738" s="192"/>
      <c r="BL738" s="192"/>
      <c r="BM738" s="192"/>
      <c r="BN738" s="192"/>
    </row>
    <row r="739" ht="29.25" customHeight="1">
      <c r="A739" s="189"/>
      <c r="B739" s="190"/>
      <c r="C739" s="157"/>
      <c r="D739" s="157"/>
      <c r="E739" s="158"/>
      <c r="F739" s="166"/>
      <c r="G739" s="161"/>
      <c r="H739" s="161"/>
      <c r="I739" s="162"/>
      <c r="J739" s="163"/>
      <c r="K739" s="163"/>
      <c r="L739" s="163"/>
      <c r="M739" s="160"/>
      <c r="N739" s="162"/>
      <c r="O739" s="164"/>
      <c r="P739" s="140"/>
      <c r="Q739" s="191"/>
      <c r="R739" s="165"/>
      <c r="S739" s="165"/>
      <c r="T739" s="166"/>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92"/>
      <c r="AR739" s="192"/>
      <c r="AS739" s="192"/>
      <c r="AT739" s="192"/>
      <c r="AU739" s="192"/>
      <c r="AV739" s="192"/>
      <c r="AW739" s="192"/>
      <c r="AX739" s="192"/>
      <c r="AY739" s="192"/>
      <c r="AZ739" s="192"/>
      <c r="BA739" s="192"/>
      <c r="BB739" s="192"/>
      <c r="BC739" s="192"/>
      <c r="BD739" s="192"/>
      <c r="BE739" s="192"/>
      <c r="BF739" s="192"/>
      <c r="BG739" s="192"/>
      <c r="BH739" s="192"/>
      <c r="BI739" s="192"/>
      <c r="BJ739" s="192"/>
      <c r="BK739" s="192"/>
      <c r="BL739" s="192"/>
      <c r="BM739" s="192"/>
      <c r="BN739" s="192"/>
    </row>
    <row r="740" ht="29.25" customHeight="1">
      <c r="A740" s="189"/>
      <c r="B740" s="190"/>
      <c r="C740" s="157"/>
      <c r="D740" s="157"/>
      <c r="E740" s="158"/>
      <c r="F740" s="166"/>
      <c r="G740" s="161"/>
      <c r="H740" s="161"/>
      <c r="I740" s="162"/>
      <c r="J740" s="163"/>
      <c r="K740" s="163"/>
      <c r="L740" s="163"/>
      <c r="M740" s="160"/>
      <c r="N740" s="162"/>
      <c r="O740" s="164"/>
      <c r="P740" s="140"/>
      <c r="Q740" s="191"/>
      <c r="R740" s="165"/>
      <c r="S740" s="165"/>
      <c r="T740" s="166"/>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92"/>
      <c r="AR740" s="192"/>
      <c r="AS740" s="192"/>
      <c r="AT740" s="192"/>
      <c r="AU740" s="192"/>
      <c r="AV740" s="192"/>
      <c r="AW740" s="192"/>
      <c r="AX740" s="192"/>
      <c r="AY740" s="192"/>
      <c r="AZ740" s="192"/>
      <c r="BA740" s="192"/>
      <c r="BB740" s="192"/>
      <c r="BC740" s="192"/>
      <c r="BD740" s="192"/>
      <c r="BE740" s="192"/>
      <c r="BF740" s="192"/>
      <c r="BG740" s="192"/>
      <c r="BH740" s="192"/>
      <c r="BI740" s="192"/>
      <c r="BJ740" s="192"/>
      <c r="BK740" s="192"/>
      <c r="BL740" s="192"/>
      <c r="BM740" s="192"/>
      <c r="BN740" s="192"/>
    </row>
    <row r="741" ht="29.25" customHeight="1">
      <c r="A741" s="189"/>
      <c r="B741" s="190"/>
      <c r="C741" s="157"/>
      <c r="D741" s="157"/>
      <c r="E741" s="158"/>
      <c r="F741" s="166"/>
      <c r="G741" s="161"/>
      <c r="H741" s="161"/>
      <c r="I741" s="162"/>
      <c r="J741" s="163"/>
      <c r="K741" s="163"/>
      <c r="L741" s="163"/>
      <c r="M741" s="160"/>
      <c r="N741" s="162"/>
      <c r="O741" s="164"/>
      <c r="P741" s="140"/>
      <c r="Q741" s="191"/>
      <c r="R741" s="165"/>
      <c r="S741" s="165"/>
      <c r="T741" s="166"/>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92"/>
      <c r="AR741" s="192"/>
      <c r="AS741" s="192"/>
      <c r="AT741" s="192"/>
      <c r="AU741" s="192"/>
      <c r="AV741" s="192"/>
      <c r="AW741" s="192"/>
      <c r="AX741" s="192"/>
      <c r="AY741" s="192"/>
      <c r="AZ741" s="192"/>
      <c r="BA741" s="192"/>
      <c r="BB741" s="192"/>
      <c r="BC741" s="192"/>
      <c r="BD741" s="192"/>
      <c r="BE741" s="192"/>
      <c r="BF741" s="192"/>
      <c r="BG741" s="192"/>
      <c r="BH741" s="192"/>
      <c r="BI741" s="192"/>
      <c r="BJ741" s="192"/>
      <c r="BK741" s="192"/>
      <c r="BL741" s="192"/>
      <c r="BM741" s="192"/>
      <c r="BN741" s="192"/>
    </row>
    <row r="742" ht="29.25" customHeight="1">
      <c r="A742" s="189"/>
      <c r="B742" s="190"/>
      <c r="C742" s="157"/>
      <c r="D742" s="157"/>
      <c r="E742" s="158"/>
      <c r="F742" s="166"/>
      <c r="G742" s="161"/>
      <c r="H742" s="161"/>
      <c r="I742" s="162"/>
      <c r="J742" s="163"/>
      <c r="K742" s="163"/>
      <c r="L742" s="163"/>
      <c r="M742" s="160"/>
      <c r="N742" s="162"/>
      <c r="O742" s="164"/>
      <c r="P742" s="140"/>
      <c r="Q742" s="191"/>
      <c r="R742" s="165"/>
      <c r="S742" s="165"/>
      <c r="T742" s="166"/>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92"/>
      <c r="AR742" s="192"/>
      <c r="AS742" s="192"/>
      <c r="AT742" s="192"/>
      <c r="AU742" s="192"/>
      <c r="AV742" s="192"/>
      <c r="AW742" s="192"/>
      <c r="AX742" s="192"/>
      <c r="AY742" s="192"/>
      <c r="AZ742" s="192"/>
      <c r="BA742" s="192"/>
      <c r="BB742" s="192"/>
      <c r="BC742" s="192"/>
      <c r="BD742" s="192"/>
      <c r="BE742" s="192"/>
      <c r="BF742" s="192"/>
      <c r="BG742" s="192"/>
      <c r="BH742" s="192"/>
      <c r="BI742" s="192"/>
      <c r="BJ742" s="192"/>
      <c r="BK742" s="192"/>
      <c r="BL742" s="192"/>
      <c r="BM742" s="192"/>
      <c r="BN742" s="192"/>
    </row>
    <row r="743" ht="29.25" customHeight="1">
      <c r="A743" s="189"/>
      <c r="B743" s="190"/>
      <c r="C743" s="157"/>
      <c r="D743" s="157"/>
      <c r="E743" s="158"/>
      <c r="F743" s="166"/>
      <c r="G743" s="161"/>
      <c r="H743" s="161"/>
      <c r="I743" s="162"/>
      <c r="J743" s="163"/>
      <c r="K743" s="163"/>
      <c r="L743" s="163"/>
      <c r="M743" s="160"/>
      <c r="N743" s="162"/>
      <c r="O743" s="164"/>
      <c r="P743" s="140"/>
      <c r="Q743" s="191"/>
      <c r="R743" s="165"/>
      <c r="S743" s="165"/>
      <c r="T743" s="166"/>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92"/>
      <c r="AR743" s="192"/>
      <c r="AS743" s="192"/>
      <c r="AT743" s="192"/>
      <c r="AU743" s="192"/>
      <c r="AV743" s="192"/>
      <c r="AW743" s="192"/>
      <c r="AX743" s="192"/>
      <c r="AY743" s="192"/>
      <c r="AZ743" s="192"/>
      <c r="BA743" s="192"/>
      <c r="BB743" s="192"/>
      <c r="BC743" s="192"/>
      <c r="BD743" s="192"/>
      <c r="BE743" s="192"/>
      <c r="BF743" s="192"/>
      <c r="BG743" s="192"/>
      <c r="BH743" s="192"/>
      <c r="BI743" s="192"/>
      <c r="BJ743" s="192"/>
      <c r="BK743" s="192"/>
      <c r="BL743" s="192"/>
      <c r="BM743" s="192"/>
      <c r="BN743" s="192"/>
    </row>
    <row r="744" ht="29.25" customHeight="1">
      <c r="A744" s="189"/>
      <c r="B744" s="190"/>
      <c r="C744" s="157"/>
      <c r="D744" s="157"/>
      <c r="E744" s="158"/>
      <c r="F744" s="166"/>
      <c r="G744" s="161"/>
      <c r="H744" s="161"/>
      <c r="I744" s="162"/>
      <c r="J744" s="163"/>
      <c r="K744" s="163"/>
      <c r="L744" s="163"/>
      <c r="M744" s="160"/>
      <c r="N744" s="162"/>
      <c r="O744" s="164"/>
      <c r="P744" s="140"/>
      <c r="Q744" s="191"/>
      <c r="R744" s="165"/>
      <c r="S744" s="165"/>
      <c r="T744" s="166"/>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92"/>
      <c r="AR744" s="192"/>
      <c r="AS744" s="192"/>
      <c r="AT744" s="192"/>
      <c r="AU744" s="192"/>
      <c r="AV744" s="192"/>
      <c r="AW744" s="192"/>
      <c r="AX744" s="192"/>
      <c r="AY744" s="192"/>
      <c r="AZ744" s="192"/>
      <c r="BA744" s="192"/>
      <c r="BB744" s="192"/>
      <c r="BC744" s="192"/>
      <c r="BD744" s="192"/>
      <c r="BE744" s="192"/>
      <c r="BF744" s="192"/>
      <c r="BG744" s="192"/>
      <c r="BH744" s="192"/>
      <c r="BI744" s="192"/>
      <c r="BJ744" s="192"/>
      <c r="BK744" s="192"/>
      <c r="BL744" s="192"/>
      <c r="BM744" s="192"/>
      <c r="BN744" s="192"/>
    </row>
    <row r="745" ht="29.25" customHeight="1">
      <c r="A745" s="189"/>
      <c r="B745" s="190"/>
      <c r="C745" s="157"/>
      <c r="D745" s="157"/>
      <c r="E745" s="158"/>
      <c r="F745" s="166"/>
      <c r="G745" s="161"/>
      <c r="H745" s="161"/>
      <c r="I745" s="162"/>
      <c r="J745" s="163"/>
      <c r="K745" s="163"/>
      <c r="L745" s="163"/>
      <c r="M745" s="160"/>
      <c r="N745" s="162"/>
      <c r="O745" s="164"/>
      <c r="P745" s="140"/>
      <c r="Q745" s="191"/>
      <c r="R745" s="165"/>
      <c r="S745" s="165"/>
      <c r="T745" s="166"/>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92"/>
      <c r="AR745" s="192"/>
      <c r="AS745" s="192"/>
      <c r="AT745" s="192"/>
      <c r="AU745" s="192"/>
      <c r="AV745" s="192"/>
      <c r="AW745" s="192"/>
      <c r="AX745" s="192"/>
      <c r="AY745" s="192"/>
      <c r="AZ745" s="192"/>
      <c r="BA745" s="192"/>
      <c r="BB745" s="192"/>
      <c r="BC745" s="192"/>
      <c r="BD745" s="192"/>
      <c r="BE745" s="192"/>
      <c r="BF745" s="192"/>
      <c r="BG745" s="192"/>
      <c r="BH745" s="192"/>
      <c r="BI745" s="192"/>
      <c r="BJ745" s="192"/>
      <c r="BK745" s="192"/>
      <c r="BL745" s="192"/>
      <c r="BM745" s="192"/>
      <c r="BN745" s="192"/>
    </row>
    <row r="746" ht="29.25" customHeight="1">
      <c r="A746" s="189"/>
      <c r="B746" s="190"/>
      <c r="C746" s="157"/>
      <c r="D746" s="157"/>
      <c r="E746" s="158"/>
      <c r="F746" s="166"/>
      <c r="G746" s="161"/>
      <c r="H746" s="161"/>
      <c r="I746" s="162"/>
      <c r="J746" s="163"/>
      <c r="K746" s="163"/>
      <c r="L746" s="163"/>
      <c r="M746" s="160"/>
      <c r="N746" s="162"/>
      <c r="O746" s="164"/>
      <c r="P746" s="140"/>
      <c r="Q746" s="191"/>
      <c r="R746" s="165"/>
      <c r="S746" s="165"/>
      <c r="T746" s="166"/>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92"/>
      <c r="AR746" s="192"/>
      <c r="AS746" s="192"/>
      <c r="AT746" s="192"/>
      <c r="AU746" s="192"/>
      <c r="AV746" s="192"/>
      <c r="AW746" s="192"/>
      <c r="AX746" s="192"/>
      <c r="AY746" s="192"/>
      <c r="AZ746" s="192"/>
      <c r="BA746" s="192"/>
      <c r="BB746" s="192"/>
      <c r="BC746" s="192"/>
      <c r="BD746" s="192"/>
      <c r="BE746" s="192"/>
      <c r="BF746" s="192"/>
      <c r="BG746" s="192"/>
      <c r="BH746" s="192"/>
      <c r="BI746" s="192"/>
      <c r="BJ746" s="192"/>
      <c r="BK746" s="192"/>
      <c r="BL746" s="192"/>
      <c r="BM746" s="192"/>
      <c r="BN746" s="192"/>
    </row>
    <row r="747" ht="29.25" customHeight="1">
      <c r="A747" s="189"/>
      <c r="B747" s="190"/>
      <c r="C747" s="157"/>
      <c r="D747" s="157"/>
      <c r="E747" s="158"/>
      <c r="F747" s="166"/>
      <c r="G747" s="161"/>
      <c r="H747" s="161"/>
      <c r="I747" s="162"/>
      <c r="J747" s="163"/>
      <c r="K747" s="163"/>
      <c r="L747" s="163"/>
      <c r="M747" s="160"/>
      <c r="N747" s="162"/>
      <c r="O747" s="164"/>
      <c r="P747" s="140"/>
      <c r="Q747" s="191"/>
      <c r="R747" s="165"/>
      <c r="S747" s="165"/>
      <c r="T747" s="166"/>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92"/>
      <c r="AR747" s="192"/>
      <c r="AS747" s="192"/>
      <c r="AT747" s="192"/>
      <c r="AU747" s="192"/>
      <c r="AV747" s="192"/>
      <c r="AW747" s="192"/>
      <c r="AX747" s="192"/>
      <c r="AY747" s="192"/>
      <c r="AZ747" s="192"/>
      <c r="BA747" s="192"/>
      <c r="BB747" s="192"/>
      <c r="BC747" s="192"/>
      <c r="BD747" s="192"/>
      <c r="BE747" s="192"/>
      <c r="BF747" s="192"/>
      <c r="BG747" s="192"/>
      <c r="BH747" s="192"/>
      <c r="BI747" s="192"/>
      <c r="BJ747" s="192"/>
      <c r="BK747" s="192"/>
      <c r="BL747" s="192"/>
      <c r="BM747" s="192"/>
      <c r="BN747" s="192"/>
    </row>
    <row r="748" ht="29.25" customHeight="1">
      <c r="A748" s="189"/>
      <c r="B748" s="190"/>
      <c r="C748" s="157"/>
      <c r="D748" s="157"/>
      <c r="E748" s="158"/>
      <c r="F748" s="166"/>
      <c r="G748" s="161"/>
      <c r="H748" s="161"/>
      <c r="I748" s="162"/>
      <c r="J748" s="163"/>
      <c r="K748" s="163"/>
      <c r="L748" s="163"/>
      <c r="M748" s="160"/>
      <c r="N748" s="162"/>
      <c r="O748" s="164"/>
      <c r="P748" s="140"/>
      <c r="Q748" s="191"/>
      <c r="R748" s="165"/>
      <c r="S748" s="165"/>
      <c r="T748" s="166"/>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92"/>
      <c r="AR748" s="192"/>
      <c r="AS748" s="192"/>
      <c r="AT748" s="192"/>
      <c r="AU748" s="192"/>
      <c r="AV748" s="192"/>
      <c r="AW748" s="192"/>
      <c r="AX748" s="192"/>
      <c r="AY748" s="192"/>
      <c r="AZ748" s="192"/>
      <c r="BA748" s="192"/>
      <c r="BB748" s="192"/>
      <c r="BC748" s="192"/>
      <c r="BD748" s="192"/>
      <c r="BE748" s="192"/>
      <c r="BF748" s="192"/>
      <c r="BG748" s="192"/>
      <c r="BH748" s="192"/>
      <c r="BI748" s="192"/>
      <c r="BJ748" s="192"/>
      <c r="BK748" s="192"/>
      <c r="BL748" s="192"/>
      <c r="BM748" s="192"/>
      <c r="BN748" s="192"/>
    </row>
    <row r="749" ht="29.25" customHeight="1">
      <c r="A749" s="189"/>
      <c r="B749" s="190"/>
      <c r="C749" s="157"/>
      <c r="D749" s="157"/>
      <c r="E749" s="158"/>
      <c r="F749" s="166"/>
      <c r="G749" s="161"/>
      <c r="H749" s="161"/>
      <c r="I749" s="162"/>
      <c r="J749" s="163"/>
      <c r="K749" s="163"/>
      <c r="L749" s="163"/>
      <c r="M749" s="160"/>
      <c r="N749" s="162"/>
      <c r="O749" s="164"/>
      <c r="P749" s="140"/>
      <c r="Q749" s="191"/>
      <c r="R749" s="165"/>
      <c r="S749" s="165"/>
      <c r="T749" s="166"/>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92"/>
      <c r="AR749" s="192"/>
      <c r="AS749" s="192"/>
      <c r="AT749" s="192"/>
      <c r="AU749" s="192"/>
      <c r="AV749" s="192"/>
      <c r="AW749" s="192"/>
      <c r="AX749" s="192"/>
      <c r="AY749" s="192"/>
      <c r="AZ749" s="192"/>
      <c r="BA749" s="192"/>
      <c r="BB749" s="192"/>
      <c r="BC749" s="192"/>
      <c r="BD749" s="192"/>
      <c r="BE749" s="192"/>
      <c r="BF749" s="192"/>
      <c r="BG749" s="192"/>
      <c r="BH749" s="192"/>
      <c r="BI749" s="192"/>
      <c r="BJ749" s="192"/>
      <c r="BK749" s="192"/>
      <c r="BL749" s="192"/>
      <c r="BM749" s="192"/>
      <c r="BN749" s="192"/>
    </row>
    <row r="750" ht="29.25" customHeight="1">
      <c r="A750" s="189"/>
      <c r="B750" s="190"/>
      <c r="C750" s="157"/>
      <c r="D750" s="157"/>
      <c r="E750" s="158"/>
      <c r="F750" s="166"/>
      <c r="G750" s="161"/>
      <c r="H750" s="161"/>
      <c r="I750" s="162"/>
      <c r="J750" s="163"/>
      <c r="K750" s="163"/>
      <c r="L750" s="163"/>
      <c r="M750" s="160"/>
      <c r="N750" s="162"/>
      <c r="O750" s="164"/>
      <c r="P750" s="140"/>
      <c r="Q750" s="191"/>
      <c r="R750" s="165"/>
      <c r="S750" s="165"/>
      <c r="T750" s="166"/>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92"/>
      <c r="AR750" s="192"/>
      <c r="AS750" s="192"/>
      <c r="AT750" s="192"/>
      <c r="AU750" s="192"/>
      <c r="AV750" s="192"/>
      <c r="AW750" s="192"/>
      <c r="AX750" s="192"/>
      <c r="AY750" s="192"/>
      <c r="AZ750" s="192"/>
      <c r="BA750" s="192"/>
      <c r="BB750" s="192"/>
      <c r="BC750" s="192"/>
      <c r="BD750" s="192"/>
      <c r="BE750" s="192"/>
      <c r="BF750" s="192"/>
      <c r="BG750" s="192"/>
      <c r="BH750" s="192"/>
      <c r="BI750" s="192"/>
      <c r="BJ750" s="192"/>
      <c r="BK750" s="192"/>
      <c r="BL750" s="192"/>
      <c r="BM750" s="192"/>
      <c r="BN750" s="192"/>
    </row>
    <row r="751" ht="29.25" customHeight="1">
      <c r="A751" s="189"/>
      <c r="B751" s="190"/>
      <c r="C751" s="157"/>
      <c r="D751" s="157"/>
      <c r="E751" s="158"/>
      <c r="F751" s="166"/>
      <c r="G751" s="161"/>
      <c r="H751" s="161"/>
      <c r="I751" s="162"/>
      <c r="J751" s="163"/>
      <c r="K751" s="163"/>
      <c r="L751" s="163"/>
      <c r="M751" s="160"/>
      <c r="N751" s="162"/>
      <c r="O751" s="164"/>
      <c r="P751" s="140"/>
      <c r="Q751" s="191"/>
      <c r="R751" s="165"/>
      <c r="S751" s="165"/>
      <c r="T751" s="166"/>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92"/>
      <c r="AR751" s="192"/>
      <c r="AS751" s="192"/>
      <c r="AT751" s="192"/>
      <c r="AU751" s="192"/>
      <c r="AV751" s="192"/>
      <c r="AW751" s="192"/>
      <c r="AX751" s="192"/>
      <c r="AY751" s="192"/>
      <c r="AZ751" s="192"/>
      <c r="BA751" s="192"/>
      <c r="BB751" s="192"/>
      <c r="BC751" s="192"/>
      <c r="BD751" s="192"/>
      <c r="BE751" s="192"/>
      <c r="BF751" s="192"/>
      <c r="BG751" s="192"/>
      <c r="BH751" s="192"/>
      <c r="BI751" s="192"/>
      <c r="BJ751" s="192"/>
      <c r="BK751" s="192"/>
      <c r="BL751" s="192"/>
      <c r="BM751" s="192"/>
      <c r="BN751" s="192"/>
    </row>
    <row r="752" ht="29.25" customHeight="1">
      <c r="A752" s="189"/>
      <c r="B752" s="190"/>
      <c r="C752" s="157"/>
      <c r="D752" s="157"/>
      <c r="E752" s="158"/>
      <c r="F752" s="166"/>
      <c r="G752" s="161"/>
      <c r="H752" s="161"/>
      <c r="I752" s="162"/>
      <c r="J752" s="163"/>
      <c r="K752" s="163"/>
      <c r="L752" s="163"/>
      <c r="M752" s="160"/>
      <c r="N752" s="162"/>
      <c r="O752" s="164"/>
      <c r="P752" s="140"/>
      <c r="Q752" s="191"/>
      <c r="R752" s="165"/>
      <c r="S752" s="165"/>
      <c r="T752" s="166"/>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92"/>
      <c r="AR752" s="192"/>
      <c r="AS752" s="192"/>
      <c r="AT752" s="192"/>
      <c r="AU752" s="192"/>
      <c r="AV752" s="192"/>
      <c r="AW752" s="192"/>
      <c r="AX752" s="192"/>
      <c r="AY752" s="192"/>
      <c r="AZ752" s="192"/>
      <c r="BA752" s="192"/>
      <c r="BB752" s="192"/>
      <c r="BC752" s="192"/>
      <c r="BD752" s="192"/>
      <c r="BE752" s="192"/>
      <c r="BF752" s="192"/>
      <c r="BG752" s="192"/>
      <c r="BH752" s="192"/>
      <c r="BI752" s="192"/>
      <c r="BJ752" s="192"/>
      <c r="BK752" s="192"/>
      <c r="BL752" s="192"/>
      <c r="BM752" s="192"/>
      <c r="BN752" s="192"/>
    </row>
    <row r="753" ht="29.25" customHeight="1">
      <c r="A753" s="189"/>
      <c r="B753" s="190"/>
      <c r="C753" s="157"/>
      <c r="D753" s="157"/>
      <c r="E753" s="158"/>
      <c r="F753" s="166"/>
      <c r="G753" s="161"/>
      <c r="H753" s="161"/>
      <c r="I753" s="162"/>
      <c r="J753" s="163"/>
      <c r="K753" s="163"/>
      <c r="L753" s="163"/>
      <c r="M753" s="160"/>
      <c r="N753" s="162"/>
      <c r="O753" s="164"/>
      <c r="P753" s="140"/>
      <c r="Q753" s="191"/>
      <c r="R753" s="165"/>
      <c r="S753" s="165"/>
      <c r="T753" s="166"/>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92"/>
      <c r="AR753" s="192"/>
      <c r="AS753" s="192"/>
      <c r="AT753" s="192"/>
      <c r="AU753" s="192"/>
      <c r="AV753" s="192"/>
      <c r="AW753" s="192"/>
      <c r="AX753" s="192"/>
      <c r="AY753" s="192"/>
      <c r="AZ753" s="192"/>
      <c r="BA753" s="192"/>
      <c r="BB753" s="192"/>
      <c r="BC753" s="192"/>
      <c r="BD753" s="192"/>
      <c r="BE753" s="192"/>
      <c r="BF753" s="192"/>
      <c r="BG753" s="192"/>
      <c r="BH753" s="192"/>
      <c r="BI753" s="192"/>
      <c r="BJ753" s="192"/>
      <c r="BK753" s="192"/>
      <c r="BL753" s="192"/>
      <c r="BM753" s="192"/>
      <c r="BN753" s="192"/>
    </row>
    <row r="754" ht="29.25" customHeight="1">
      <c r="A754" s="189"/>
      <c r="B754" s="190"/>
      <c r="C754" s="157"/>
      <c r="D754" s="157"/>
      <c r="E754" s="158"/>
      <c r="F754" s="166"/>
      <c r="G754" s="161"/>
      <c r="H754" s="161"/>
      <c r="I754" s="162"/>
      <c r="J754" s="163"/>
      <c r="K754" s="163"/>
      <c r="L754" s="163"/>
      <c r="M754" s="160"/>
      <c r="N754" s="162"/>
      <c r="O754" s="164"/>
      <c r="P754" s="140"/>
      <c r="Q754" s="191"/>
      <c r="R754" s="165"/>
      <c r="S754" s="165"/>
      <c r="T754" s="166"/>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92"/>
      <c r="AR754" s="192"/>
      <c r="AS754" s="192"/>
      <c r="AT754" s="192"/>
      <c r="AU754" s="192"/>
      <c r="AV754" s="192"/>
      <c r="AW754" s="192"/>
      <c r="AX754" s="192"/>
      <c r="AY754" s="192"/>
      <c r="AZ754" s="192"/>
      <c r="BA754" s="192"/>
      <c r="BB754" s="192"/>
      <c r="BC754" s="192"/>
      <c r="BD754" s="192"/>
      <c r="BE754" s="192"/>
      <c r="BF754" s="192"/>
      <c r="BG754" s="192"/>
      <c r="BH754" s="192"/>
      <c r="BI754" s="192"/>
      <c r="BJ754" s="192"/>
      <c r="BK754" s="192"/>
      <c r="BL754" s="192"/>
      <c r="BM754" s="192"/>
      <c r="BN754" s="192"/>
    </row>
    <row r="755" ht="29.25" customHeight="1">
      <c r="A755" s="189"/>
      <c r="B755" s="190"/>
      <c r="C755" s="157"/>
      <c r="D755" s="157"/>
      <c r="E755" s="158"/>
      <c r="F755" s="166"/>
      <c r="G755" s="161"/>
      <c r="H755" s="161"/>
      <c r="I755" s="162"/>
      <c r="J755" s="163"/>
      <c r="K755" s="163"/>
      <c r="L755" s="163"/>
      <c r="M755" s="160"/>
      <c r="N755" s="162"/>
      <c r="O755" s="164"/>
      <c r="P755" s="140"/>
      <c r="Q755" s="191"/>
      <c r="R755" s="165"/>
      <c r="S755" s="165"/>
      <c r="T755" s="166"/>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92"/>
      <c r="AR755" s="192"/>
      <c r="AS755" s="192"/>
      <c r="AT755" s="192"/>
      <c r="AU755" s="192"/>
      <c r="AV755" s="192"/>
      <c r="AW755" s="192"/>
      <c r="AX755" s="192"/>
      <c r="AY755" s="192"/>
      <c r="AZ755" s="192"/>
      <c r="BA755" s="192"/>
      <c r="BB755" s="192"/>
      <c r="BC755" s="192"/>
      <c r="BD755" s="192"/>
      <c r="BE755" s="192"/>
      <c r="BF755" s="192"/>
      <c r="BG755" s="192"/>
      <c r="BH755" s="192"/>
      <c r="BI755" s="192"/>
      <c r="BJ755" s="192"/>
      <c r="BK755" s="192"/>
      <c r="BL755" s="192"/>
      <c r="BM755" s="192"/>
      <c r="BN755" s="192"/>
    </row>
    <row r="756" ht="29.25" customHeight="1">
      <c r="A756" s="189"/>
      <c r="B756" s="190"/>
      <c r="C756" s="157"/>
      <c r="D756" s="157"/>
      <c r="E756" s="158"/>
      <c r="F756" s="166"/>
      <c r="G756" s="161"/>
      <c r="H756" s="161"/>
      <c r="I756" s="162"/>
      <c r="J756" s="163"/>
      <c r="K756" s="163"/>
      <c r="L756" s="163"/>
      <c r="M756" s="160"/>
      <c r="N756" s="162"/>
      <c r="O756" s="164"/>
      <c r="P756" s="140"/>
      <c r="Q756" s="191"/>
      <c r="R756" s="165"/>
      <c r="S756" s="165"/>
      <c r="T756" s="166"/>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92"/>
      <c r="AR756" s="192"/>
      <c r="AS756" s="192"/>
      <c r="AT756" s="192"/>
      <c r="AU756" s="192"/>
      <c r="AV756" s="192"/>
      <c r="AW756" s="192"/>
      <c r="AX756" s="192"/>
      <c r="AY756" s="192"/>
      <c r="AZ756" s="192"/>
      <c r="BA756" s="192"/>
      <c r="BB756" s="192"/>
      <c r="BC756" s="192"/>
      <c r="BD756" s="192"/>
      <c r="BE756" s="192"/>
      <c r="BF756" s="192"/>
      <c r="BG756" s="192"/>
      <c r="BH756" s="192"/>
      <c r="BI756" s="192"/>
      <c r="BJ756" s="192"/>
      <c r="BK756" s="192"/>
      <c r="BL756" s="192"/>
      <c r="BM756" s="192"/>
      <c r="BN756" s="192"/>
    </row>
    <row r="757" ht="29.25" customHeight="1">
      <c r="A757" s="189"/>
      <c r="B757" s="190"/>
      <c r="C757" s="157"/>
      <c r="D757" s="157"/>
      <c r="E757" s="158"/>
      <c r="F757" s="166"/>
      <c r="G757" s="161"/>
      <c r="H757" s="161"/>
      <c r="I757" s="162"/>
      <c r="J757" s="163"/>
      <c r="K757" s="163"/>
      <c r="L757" s="163"/>
      <c r="M757" s="160"/>
      <c r="N757" s="162"/>
      <c r="O757" s="164"/>
      <c r="P757" s="140"/>
      <c r="Q757" s="191"/>
      <c r="R757" s="165"/>
      <c r="S757" s="165"/>
      <c r="T757" s="166"/>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92"/>
      <c r="AR757" s="192"/>
      <c r="AS757" s="192"/>
      <c r="AT757" s="192"/>
      <c r="AU757" s="192"/>
      <c r="AV757" s="192"/>
      <c r="AW757" s="192"/>
      <c r="AX757" s="192"/>
      <c r="AY757" s="192"/>
      <c r="AZ757" s="192"/>
      <c r="BA757" s="192"/>
      <c r="BB757" s="192"/>
      <c r="BC757" s="192"/>
      <c r="BD757" s="192"/>
      <c r="BE757" s="192"/>
      <c r="BF757" s="192"/>
      <c r="BG757" s="192"/>
      <c r="BH757" s="192"/>
      <c r="BI757" s="192"/>
      <c r="BJ757" s="192"/>
      <c r="BK757" s="192"/>
      <c r="BL757" s="192"/>
      <c r="BM757" s="192"/>
      <c r="BN757" s="192"/>
    </row>
    <row r="758" ht="29.25" customHeight="1">
      <c r="A758" s="189"/>
      <c r="B758" s="190"/>
      <c r="C758" s="157"/>
      <c r="D758" s="157"/>
      <c r="E758" s="158"/>
      <c r="F758" s="166"/>
      <c r="G758" s="161"/>
      <c r="H758" s="161"/>
      <c r="I758" s="162"/>
      <c r="J758" s="163"/>
      <c r="K758" s="163"/>
      <c r="L758" s="163"/>
      <c r="M758" s="160"/>
      <c r="N758" s="162"/>
      <c r="O758" s="164"/>
      <c r="P758" s="140"/>
      <c r="Q758" s="191"/>
      <c r="R758" s="165"/>
      <c r="S758" s="165"/>
      <c r="T758" s="166"/>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92"/>
      <c r="AR758" s="192"/>
      <c r="AS758" s="192"/>
      <c r="AT758" s="192"/>
      <c r="AU758" s="192"/>
      <c r="AV758" s="192"/>
      <c r="AW758" s="192"/>
      <c r="AX758" s="192"/>
      <c r="AY758" s="192"/>
      <c r="AZ758" s="192"/>
      <c r="BA758" s="192"/>
      <c r="BB758" s="192"/>
      <c r="BC758" s="192"/>
      <c r="BD758" s="192"/>
      <c r="BE758" s="192"/>
      <c r="BF758" s="192"/>
      <c r="BG758" s="192"/>
      <c r="BH758" s="192"/>
      <c r="BI758" s="192"/>
      <c r="BJ758" s="192"/>
      <c r="BK758" s="192"/>
      <c r="BL758" s="192"/>
      <c r="BM758" s="192"/>
      <c r="BN758" s="192"/>
    </row>
    <row r="759" ht="29.25" customHeight="1">
      <c r="A759" s="189"/>
      <c r="B759" s="190"/>
      <c r="C759" s="157"/>
      <c r="D759" s="157"/>
      <c r="E759" s="158"/>
      <c r="F759" s="166"/>
      <c r="G759" s="161"/>
      <c r="H759" s="161"/>
      <c r="I759" s="162"/>
      <c r="J759" s="163"/>
      <c r="K759" s="163"/>
      <c r="L759" s="163"/>
      <c r="M759" s="160"/>
      <c r="N759" s="162"/>
      <c r="O759" s="164"/>
      <c r="P759" s="140"/>
      <c r="Q759" s="191"/>
      <c r="R759" s="165"/>
      <c r="S759" s="165"/>
      <c r="T759" s="166"/>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92"/>
      <c r="AR759" s="192"/>
      <c r="AS759" s="192"/>
      <c r="AT759" s="192"/>
      <c r="AU759" s="192"/>
      <c r="AV759" s="192"/>
      <c r="AW759" s="192"/>
      <c r="AX759" s="192"/>
      <c r="AY759" s="192"/>
      <c r="AZ759" s="192"/>
      <c r="BA759" s="192"/>
      <c r="BB759" s="192"/>
      <c r="BC759" s="192"/>
      <c r="BD759" s="192"/>
      <c r="BE759" s="192"/>
      <c r="BF759" s="192"/>
      <c r="BG759" s="192"/>
      <c r="BH759" s="192"/>
      <c r="BI759" s="192"/>
      <c r="BJ759" s="192"/>
      <c r="BK759" s="192"/>
      <c r="BL759" s="192"/>
      <c r="BM759" s="192"/>
      <c r="BN759" s="192"/>
    </row>
    <row r="760" ht="29.25" customHeight="1">
      <c r="A760" s="189"/>
      <c r="B760" s="190"/>
      <c r="C760" s="157"/>
      <c r="D760" s="157"/>
      <c r="E760" s="158"/>
      <c r="F760" s="166"/>
      <c r="G760" s="161"/>
      <c r="H760" s="161"/>
      <c r="I760" s="162"/>
      <c r="J760" s="163"/>
      <c r="K760" s="163"/>
      <c r="L760" s="163"/>
      <c r="M760" s="160"/>
      <c r="N760" s="162"/>
      <c r="O760" s="164"/>
      <c r="P760" s="140"/>
      <c r="Q760" s="191"/>
      <c r="R760" s="165"/>
      <c r="S760" s="165"/>
      <c r="T760" s="166"/>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92"/>
      <c r="AR760" s="192"/>
      <c r="AS760" s="192"/>
      <c r="AT760" s="192"/>
      <c r="AU760" s="192"/>
      <c r="AV760" s="192"/>
      <c r="AW760" s="192"/>
      <c r="AX760" s="192"/>
      <c r="AY760" s="192"/>
      <c r="AZ760" s="192"/>
      <c r="BA760" s="192"/>
      <c r="BB760" s="192"/>
      <c r="BC760" s="192"/>
      <c r="BD760" s="192"/>
      <c r="BE760" s="192"/>
      <c r="BF760" s="192"/>
      <c r="BG760" s="192"/>
      <c r="BH760" s="192"/>
      <c r="BI760" s="192"/>
      <c r="BJ760" s="192"/>
      <c r="BK760" s="192"/>
      <c r="BL760" s="192"/>
      <c r="BM760" s="192"/>
      <c r="BN760" s="192"/>
    </row>
    <row r="761" ht="29.25" customHeight="1">
      <c r="A761" s="189"/>
      <c r="B761" s="190"/>
      <c r="C761" s="157"/>
      <c r="D761" s="157"/>
      <c r="E761" s="158"/>
      <c r="F761" s="166"/>
      <c r="G761" s="161"/>
      <c r="H761" s="161"/>
      <c r="I761" s="162"/>
      <c r="J761" s="163"/>
      <c r="K761" s="163"/>
      <c r="L761" s="163"/>
      <c r="M761" s="160"/>
      <c r="N761" s="162"/>
      <c r="O761" s="164"/>
      <c r="P761" s="140"/>
      <c r="Q761" s="191"/>
      <c r="R761" s="165"/>
      <c r="S761" s="165"/>
      <c r="T761" s="166"/>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92"/>
      <c r="AR761" s="192"/>
      <c r="AS761" s="192"/>
      <c r="AT761" s="192"/>
      <c r="AU761" s="192"/>
      <c r="AV761" s="192"/>
      <c r="AW761" s="192"/>
      <c r="AX761" s="192"/>
      <c r="AY761" s="192"/>
      <c r="AZ761" s="192"/>
      <c r="BA761" s="192"/>
      <c r="BB761" s="192"/>
      <c r="BC761" s="192"/>
      <c r="BD761" s="192"/>
      <c r="BE761" s="192"/>
      <c r="BF761" s="192"/>
      <c r="BG761" s="192"/>
      <c r="BH761" s="192"/>
      <c r="BI761" s="192"/>
      <c r="BJ761" s="192"/>
      <c r="BK761" s="192"/>
      <c r="BL761" s="192"/>
      <c r="BM761" s="192"/>
      <c r="BN761" s="192"/>
    </row>
    <row r="762" ht="29.25" customHeight="1">
      <c r="A762" s="189"/>
      <c r="B762" s="190"/>
      <c r="C762" s="157"/>
      <c r="D762" s="157"/>
      <c r="E762" s="158"/>
      <c r="F762" s="166"/>
      <c r="G762" s="161"/>
      <c r="H762" s="161"/>
      <c r="I762" s="162"/>
      <c r="J762" s="163"/>
      <c r="K762" s="163"/>
      <c r="L762" s="163"/>
      <c r="M762" s="160"/>
      <c r="N762" s="162"/>
      <c r="O762" s="164"/>
      <c r="P762" s="140"/>
      <c r="Q762" s="191"/>
      <c r="R762" s="165"/>
      <c r="S762" s="165"/>
      <c r="T762" s="166"/>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92"/>
      <c r="AR762" s="192"/>
      <c r="AS762" s="192"/>
      <c r="AT762" s="192"/>
      <c r="AU762" s="192"/>
      <c r="AV762" s="192"/>
      <c r="AW762" s="192"/>
      <c r="AX762" s="192"/>
      <c r="AY762" s="192"/>
      <c r="AZ762" s="192"/>
      <c r="BA762" s="192"/>
      <c r="BB762" s="192"/>
      <c r="BC762" s="192"/>
      <c r="BD762" s="192"/>
      <c r="BE762" s="192"/>
      <c r="BF762" s="192"/>
      <c r="BG762" s="192"/>
      <c r="BH762" s="192"/>
      <c r="BI762" s="192"/>
      <c r="BJ762" s="192"/>
      <c r="BK762" s="192"/>
      <c r="BL762" s="192"/>
      <c r="BM762" s="192"/>
      <c r="BN762" s="192"/>
    </row>
    <row r="763" ht="29.25" customHeight="1">
      <c r="A763" s="189"/>
      <c r="B763" s="190"/>
      <c r="C763" s="157"/>
      <c r="D763" s="157"/>
      <c r="E763" s="158"/>
      <c r="F763" s="166"/>
      <c r="G763" s="161"/>
      <c r="H763" s="161"/>
      <c r="I763" s="162"/>
      <c r="J763" s="163"/>
      <c r="K763" s="163"/>
      <c r="L763" s="163"/>
      <c r="M763" s="160"/>
      <c r="N763" s="162"/>
      <c r="O763" s="164"/>
      <c r="P763" s="140"/>
      <c r="Q763" s="191"/>
      <c r="R763" s="165"/>
      <c r="S763" s="165"/>
      <c r="T763" s="166"/>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92"/>
      <c r="AR763" s="192"/>
      <c r="AS763" s="192"/>
      <c r="AT763" s="192"/>
      <c r="AU763" s="192"/>
      <c r="AV763" s="192"/>
      <c r="AW763" s="192"/>
      <c r="AX763" s="192"/>
      <c r="AY763" s="192"/>
      <c r="AZ763" s="192"/>
      <c r="BA763" s="192"/>
      <c r="BB763" s="192"/>
      <c r="BC763" s="192"/>
      <c r="BD763" s="192"/>
      <c r="BE763" s="192"/>
      <c r="BF763" s="192"/>
      <c r="BG763" s="192"/>
      <c r="BH763" s="192"/>
      <c r="BI763" s="192"/>
      <c r="BJ763" s="192"/>
      <c r="BK763" s="192"/>
      <c r="BL763" s="192"/>
      <c r="BM763" s="192"/>
      <c r="BN763" s="192"/>
    </row>
    <row r="764" ht="29.25" customHeight="1">
      <c r="A764" s="189"/>
      <c r="B764" s="190"/>
      <c r="C764" s="157"/>
      <c r="D764" s="157"/>
      <c r="E764" s="158"/>
      <c r="F764" s="166"/>
      <c r="G764" s="161"/>
      <c r="H764" s="161"/>
      <c r="I764" s="162"/>
      <c r="J764" s="163"/>
      <c r="K764" s="163"/>
      <c r="L764" s="163"/>
      <c r="M764" s="160"/>
      <c r="N764" s="162"/>
      <c r="O764" s="164"/>
      <c r="P764" s="140"/>
      <c r="Q764" s="191"/>
      <c r="R764" s="165"/>
      <c r="S764" s="165"/>
      <c r="T764" s="166"/>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92"/>
      <c r="AR764" s="192"/>
      <c r="AS764" s="192"/>
      <c r="AT764" s="192"/>
      <c r="AU764" s="192"/>
      <c r="AV764" s="192"/>
      <c r="AW764" s="192"/>
      <c r="AX764" s="192"/>
      <c r="AY764" s="192"/>
      <c r="AZ764" s="192"/>
      <c r="BA764" s="192"/>
      <c r="BB764" s="192"/>
      <c r="BC764" s="192"/>
      <c r="BD764" s="192"/>
      <c r="BE764" s="192"/>
      <c r="BF764" s="192"/>
      <c r="BG764" s="192"/>
      <c r="BH764" s="192"/>
      <c r="BI764" s="192"/>
      <c r="BJ764" s="192"/>
      <c r="BK764" s="192"/>
      <c r="BL764" s="192"/>
      <c r="BM764" s="192"/>
      <c r="BN764" s="192"/>
    </row>
    <row r="765" ht="29.25" customHeight="1">
      <c r="A765" s="189"/>
      <c r="B765" s="190"/>
      <c r="C765" s="157"/>
      <c r="D765" s="157"/>
      <c r="E765" s="158"/>
      <c r="F765" s="166"/>
      <c r="G765" s="161"/>
      <c r="H765" s="161"/>
      <c r="I765" s="162"/>
      <c r="J765" s="163"/>
      <c r="K765" s="163"/>
      <c r="L765" s="163"/>
      <c r="M765" s="160"/>
      <c r="N765" s="162"/>
      <c r="O765" s="164"/>
      <c r="P765" s="140"/>
      <c r="Q765" s="191"/>
      <c r="R765" s="165"/>
      <c r="S765" s="165"/>
      <c r="T765" s="166"/>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92"/>
      <c r="AR765" s="192"/>
      <c r="AS765" s="192"/>
      <c r="AT765" s="192"/>
      <c r="AU765" s="192"/>
      <c r="AV765" s="192"/>
      <c r="AW765" s="192"/>
      <c r="AX765" s="192"/>
      <c r="AY765" s="192"/>
      <c r="AZ765" s="192"/>
      <c r="BA765" s="192"/>
      <c r="BB765" s="192"/>
      <c r="BC765" s="192"/>
      <c r="BD765" s="192"/>
      <c r="BE765" s="192"/>
      <c r="BF765" s="192"/>
      <c r="BG765" s="192"/>
      <c r="BH765" s="192"/>
      <c r="BI765" s="192"/>
      <c r="BJ765" s="192"/>
      <c r="BK765" s="192"/>
      <c r="BL765" s="192"/>
      <c r="BM765" s="192"/>
      <c r="BN765" s="192"/>
    </row>
    <row r="766" ht="29.25" customHeight="1">
      <c r="A766" s="189"/>
      <c r="B766" s="190"/>
      <c r="C766" s="157"/>
      <c r="D766" s="157"/>
      <c r="E766" s="158"/>
      <c r="F766" s="166"/>
      <c r="G766" s="161"/>
      <c r="H766" s="161"/>
      <c r="I766" s="162"/>
      <c r="J766" s="163"/>
      <c r="K766" s="163"/>
      <c r="L766" s="163"/>
      <c r="M766" s="160"/>
      <c r="N766" s="162"/>
      <c r="O766" s="164"/>
      <c r="P766" s="140"/>
      <c r="Q766" s="191"/>
      <c r="R766" s="165"/>
      <c r="S766" s="165"/>
      <c r="T766" s="166"/>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92"/>
      <c r="AR766" s="192"/>
      <c r="AS766" s="192"/>
      <c r="AT766" s="192"/>
      <c r="AU766" s="192"/>
      <c r="AV766" s="192"/>
      <c r="AW766" s="192"/>
      <c r="AX766" s="192"/>
      <c r="AY766" s="192"/>
      <c r="AZ766" s="192"/>
      <c r="BA766" s="192"/>
      <c r="BB766" s="192"/>
      <c r="BC766" s="192"/>
      <c r="BD766" s="192"/>
      <c r="BE766" s="192"/>
      <c r="BF766" s="192"/>
      <c r="BG766" s="192"/>
      <c r="BH766" s="192"/>
      <c r="BI766" s="192"/>
      <c r="BJ766" s="192"/>
      <c r="BK766" s="192"/>
      <c r="BL766" s="192"/>
      <c r="BM766" s="192"/>
      <c r="BN766" s="192"/>
    </row>
    <row r="767" ht="29.25" customHeight="1">
      <c r="A767" s="189"/>
      <c r="B767" s="190"/>
      <c r="C767" s="157"/>
      <c r="D767" s="157"/>
      <c r="E767" s="158"/>
      <c r="F767" s="166"/>
      <c r="G767" s="161"/>
      <c r="H767" s="161"/>
      <c r="I767" s="162"/>
      <c r="J767" s="163"/>
      <c r="K767" s="163"/>
      <c r="L767" s="163"/>
      <c r="M767" s="160"/>
      <c r="N767" s="162"/>
      <c r="O767" s="164"/>
      <c r="P767" s="140"/>
      <c r="Q767" s="191"/>
      <c r="R767" s="165"/>
      <c r="S767" s="165"/>
      <c r="T767" s="166"/>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92"/>
      <c r="AR767" s="192"/>
      <c r="AS767" s="192"/>
      <c r="AT767" s="192"/>
      <c r="AU767" s="192"/>
      <c r="AV767" s="192"/>
      <c r="AW767" s="192"/>
      <c r="AX767" s="192"/>
      <c r="AY767" s="192"/>
      <c r="AZ767" s="192"/>
      <c r="BA767" s="192"/>
      <c r="BB767" s="192"/>
      <c r="BC767" s="192"/>
      <c r="BD767" s="192"/>
      <c r="BE767" s="192"/>
      <c r="BF767" s="192"/>
      <c r="BG767" s="192"/>
      <c r="BH767" s="192"/>
      <c r="BI767" s="192"/>
      <c r="BJ767" s="192"/>
      <c r="BK767" s="192"/>
      <c r="BL767" s="192"/>
      <c r="BM767" s="192"/>
      <c r="BN767" s="192"/>
    </row>
    <row r="768" ht="29.25" customHeight="1">
      <c r="A768" s="189"/>
      <c r="B768" s="190"/>
      <c r="C768" s="157"/>
      <c r="D768" s="157"/>
      <c r="E768" s="158"/>
      <c r="F768" s="166"/>
      <c r="G768" s="161"/>
      <c r="H768" s="161"/>
      <c r="I768" s="162"/>
      <c r="J768" s="163"/>
      <c r="K768" s="163"/>
      <c r="L768" s="163"/>
      <c r="M768" s="160"/>
      <c r="N768" s="162"/>
      <c r="O768" s="164"/>
      <c r="P768" s="140"/>
      <c r="Q768" s="191"/>
      <c r="R768" s="165"/>
      <c r="S768" s="165"/>
      <c r="T768" s="166"/>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92"/>
      <c r="AR768" s="192"/>
      <c r="AS768" s="192"/>
      <c r="AT768" s="192"/>
      <c r="AU768" s="192"/>
      <c r="AV768" s="192"/>
      <c r="AW768" s="192"/>
      <c r="AX768" s="192"/>
      <c r="AY768" s="192"/>
      <c r="AZ768" s="192"/>
      <c r="BA768" s="192"/>
      <c r="BB768" s="192"/>
      <c r="BC768" s="192"/>
      <c r="BD768" s="192"/>
      <c r="BE768" s="192"/>
      <c r="BF768" s="192"/>
      <c r="BG768" s="192"/>
      <c r="BH768" s="192"/>
      <c r="BI768" s="192"/>
      <c r="BJ768" s="192"/>
      <c r="BK768" s="192"/>
      <c r="BL768" s="192"/>
      <c r="BM768" s="192"/>
      <c r="BN768" s="192"/>
    </row>
    <row r="769" ht="29.25" customHeight="1">
      <c r="A769" s="189"/>
      <c r="B769" s="190"/>
      <c r="C769" s="157"/>
      <c r="D769" s="157"/>
      <c r="E769" s="158"/>
      <c r="F769" s="166"/>
      <c r="G769" s="161"/>
      <c r="H769" s="161"/>
      <c r="I769" s="162"/>
      <c r="J769" s="163"/>
      <c r="K769" s="163"/>
      <c r="L769" s="163"/>
      <c r="M769" s="160"/>
      <c r="N769" s="162"/>
      <c r="O769" s="164"/>
      <c r="P769" s="140"/>
      <c r="Q769" s="191"/>
      <c r="R769" s="165"/>
      <c r="S769" s="165"/>
      <c r="T769" s="166"/>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92"/>
      <c r="AR769" s="192"/>
      <c r="AS769" s="192"/>
      <c r="AT769" s="192"/>
      <c r="AU769" s="192"/>
      <c r="AV769" s="192"/>
      <c r="AW769" s="192"/>
      <c r="AX769" s="192"/>
      <c r="AY769" s="192"/>
      <c r="AZ769" s="192"/>
      <c r="BA769" s="192"/>
      <c r="BB769" s="192"/>
      <c r="BC769" s="192"/>
      <c r="BD769" s="192"/>
      <c r="BE769" s="192"/>
      <c r="BF769" s="192"/>
      <c r="BG769" s="192"/>
      <c r="BH769" s="192"/>
      <c r="BI769" s="192"/>
      <c r="BJ769" s="192"/>
      <c r="BK769" s="192"/>
      <c r="BL769" s="192"/>
      <c r="BM769" s="192"/>
      <c r="BN769" s="192"/>
    </row>
    <row r="770" ht="29.25" customHeight="1">
      <c r="A770" s="189"/>
      <c r="B770" s="190"/>
      <c r="C770" s="157"/>
      <c r="D770" s="157"/>
      <c r="E770" s="158"/>
      <c r="F770" s="166"/>
      <c r="G770" s="161"/>
      <c r="H770" s="161"/>
      <c r="I770" s="162"/>
      <c r="J770" s="163"/>
      <c r="K770" s="163"/>
      <c r="L770" s="163"/>
      <c r="M770" s="160"/>
      <c r="N770" s="162"/>
      <c r="O770" s="164"/>
      <c r="P770" s="140"/>
      <c r="Q770" s="191"/>
      <c r="R770" s="165"/>
      <c r="S770" s="165"/>
      <c r="T770" s="166"/>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92"/>
      <c r="AR770" s="192"/>
      <c r="AS770" s="192"/>
      <c r="AT770" s="192"/>
      <c r="AU770" s="192"/>
      <c r="AV770" s="192"/>
      <c r="AW770" s="192"/>
      <c r="AX770" s="192"/>
      <c r="AY770" s="192"/>
      <c r="AZ770" s="192"/>
      <c r="BA770" s="192"/>
      <c r="BB770" s="192"/>
      <c r="BC770" s="192"/>
      <c r="BD770" s="192"/>
      <c r="BE770" s="192"/>
      <c r="BF770" s="192"/>
      <c r="BG770" s="192"/>
      <c r="BH770" s="192"/>
      <c r="BI770" s="192"/>
      <c r="BJ770" s="192"/>
      <c r="BK770" s="192"/>
      <c r="BL770" s="192"/>
      <c r="BM770" s="192"/>
      <c r="BN770" s="192"/>
    </row>
    <row r="771" ht="29.25" customHeight="1">
      <c r="A771" s="189"/>
      <c r="B771" s="190"/>
      <c r="C771" s="157"/>
      <c r="D771" s="157"/>
      <c r="E771" s="158"/>
      <c r="F771" s="166"/>
      <c r="G771" s="161"/>
      <c r="H771" s="161"/>
      <c r="I771" s="162"/>
      <c r="J771" s="163"/>
      <c r="K771" s="163"/>
      <c r="L771" s="163"/>
      <c r="M771" s="160"/>
      <c r="N771" s="162"/>
      <c r="O771" s="164"/>
      <c r="P771" s="140"/>
      <c r="Q771" s="191"/>
      <c r="R771" s="165"/>
      <c r="S771" s="165"/>
      <c r="T771" s="166"/>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92"/>
      <c r="AR771" s="192"/>
      <c r="AS771" s="192"/>
      <c r="AT771" s="192"/>
      <c r="AU771" s="192"/>
      <c r="AV771" s="192"/>
      <c r="AW771" s="192"/>
      <c r="AX771" s="192"/>
      <c r="AY771" s="192"/>
      <c r="AZ771" s="192"/>
      <c r="BA771" s="192"/>
      <c r="BB771" s="192"/>
      <c r="BC771" s="192"/>
      <c r="BD771" s="192"/>
      <c r="BE771" s="192"/>
      <c r="BF771" s="192"/>
      <c r="BG771" s="192"/>
      <c r="BH771" s="192"/>
      <c r="BI771" s="192"/>
      <c r="BJ771" s="192"/>
      <c r="BK771" s="192"/>
      <c r="BL771" s="192"/>
      <c r="BM771" s="192"/>
      <c r="BN771" s="192"/>
    </row>
    <row r="772" ht="29.25" customHeight="1">
      <c r="A772" s="189"/>
      <c r="B772" s="190"/>
      <c r="C772" s="157"/>
      <c r="D772" s="157"/>
      <c r="E772" s="158"/>
      <c r="F772" s="166"/>
      <c r="G772" s="161"/>
      <c r="H772" s="161"/>
      <c r="I772" s="162"/>
      <c r="J772" s="163"/>
      <c r="K772" s="163"/>
      <c r="L772" s="163"/>
      <c r="M772" s="160"/>
      <c r="N772" s="162"/>
      <c r="O772" s="164"/>
      <c r="P772" s="140"/>
      <c r="Q772" s="191"/>
      <c r="R772" s="165"/>
      <c r="S772" s="165"/>
      <c r="T772" s="166"/>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92"/>
      <c r="AR772" s="192"/>
      <c r="AS772" s="192"/>
      <c r="AT772" s="192"/>
      <c r="AU772" s="192"/>
      <c r="AV772" s="192"/>
      <c r="AW772" s="192"/>
      <c r="AX772" s="192"/>
      <c r="AY772" s="192"/>
      <c r="AZ772" s="192"/>
      <c r="BA772" s="192"/>
      <c r="BB772" s="192"/>
      <c r="BC772" s="192"/>
      <c r="BD772" s="192"/>
      <c r="BE772" s="192"/>
      <c r="BF772" s="192"/>
      <c r="BG772" s="192"/>
      <c r="BH772" s="192"/>
      <c r="BI772" s="192"/>
      <c r="BJ772" s="192"/>
      <c r="BK772" s="192"/>
      <c r="BL772" s="192"/>
      <c r="BM772" s="192"/>
      <c r="BN772" s="192"/>
    </row>
    <row r="773" ht="29.25" customHeight="1">
      <c r="A773" s="189"/>
      <c r="B773" s="190"/>
      <c r="C773" s="157"/>
      <c r="D773" s="157"/>
      <c r="E773" s="158"/>
      <c r="F773" s="166"/>
      <c r="G773" s="161"/>
      <c r="H773" s="161"/>
      <c r="I773" s="162"/>
      <c r="J773" s="163"/>
      <c r="K773" s="163"/>
      <c r="L773" s="163"/>
      <c r="M773" s="160"/>
      <c r="N773" s="162"/>
      <c r="O773" s="164"/>
      <c r="P773" s="140"/>
      <c r="Q773" s="191"/>
      <c r="R773" s="165"/>
      <c r="S773" s="165"/>
      <c r="T773" s="166"/>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92"/>
      <c r="AR773" s="192"/>
      <c r="AS773" s="192"/>
      <c r="AT773" s="192"/>
      <c r="AU773" s="192"/>
      <c r="AV773" s="192"/>
      <c r="AW773" s="192"/>
      <c r="AX773" s="192"/>
      <c r="AY773" s="192"/>
      <c r="AZ773" s="192"/>
      <c r="BA773" s="192"/>
      <c r="BB773" s="192"/>
      <c r="BC773" s="192"/>
      <c r="BD773" s="192"/>
      <c r="BE773" s="192"/>
      <c r="BF773" s="192"/>
      <c r="BG773" s="192"/>
      <c r="BH773" s="192"/>
      <c r="BI773" s="192"/>
      <c r="BJ773" s="192"/>
      <c r="BK773" s="192"/>
      <c r="BL773" s="192"/>
      <c r="BM773" s="192"/>
      <c r="BN773" s="192"/>
    </row>
    <row r="774" ht="29.25" customHeight="1">
      <c r="A774" s="189"/>
      <c r="B774" s="190"/>
      <c r="C774" s="157"/>
      <c r="D774" s="157"/>
      <c r="E774" s="158"/>
      <c r="F774" s="166"/>
      <c r="G774" s="161"/>
      <c r="H774" s="161"/>
      <c r="I774" s="162"/>
      <c r="J774" s="163"/>
      <c r="K774" s="163"/>
      <c r="L774" s="163"/>
      <c r="M774" s="160"/>
      <c r="N774" s="162"/>
      <c r="O774" s="164"/>
      <c r="P774" s="140"/>
      <c r="Q774" s="191"/>
      <c r="R774" s="165"/>
      <c r="S774" s="165"/>
      <c r="T774" s="166"/>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92"/>
      <c r="AR774" s="192"/>
      <c r="AS774" s="192"/>
      <c r="AT774" s="192"/>
      <c r="AU774" s="192"/>
      <c r="AV774" s="192"/>
      <c r="AW774" s="192"/>
      <c r="AX774" s="192"/>
      <c r="AY774" s="192"/>
      <c r="AZ774" s="192"/>
      <c r="BA774" s="192"/>
      <c r="BB774" s="192"/>
      <c r="BC774" s="192"/>
      <c r="BD774" s="192"/>
      <c r="BE774" s="192"/>
      <c r="BF774" s="192"/>
      <c r="BG774" s="192"/>
      <c r="BH774" s="192"/>
      <c r="BI774" s="192"/>
      <c r="BJ774" s="192"/>
      <c r="BK774" s="192"/>
      <c r="BL774" s="192"/>
      <c r="BM774" s="192"/>
      <c r="BN774" s="192"/>
    </row>
    <row r="775" ht="29.25" customHeight="1">
      <c r="A775" s="189"/>
      <c r="B775" s="190"/>
      <c r="C775" s="157"/>
      <c r="D775" s="157"/>
      <c r="E775" s="158"/>
      <c r="F775" s="166"/>
      <c r="G775" s="161"/>
      <c r="H775" s="161"/>
      <c r="I775" s="162"/>
      <c r="J775" s="163"/>
      <c r="K775" s="163"/>
      <c r="L775" s="163"/>
      <c r="M775" s="160"/>
      <c r="N775" s="162"/>
      <c r="O775" s="164"/>
      <c r="P775" s="140"/>
      <c r="Q775" s="191"/>
      <c r="R775" s="165"/>
      <c r="S775" s="165"/>
      <c r="T775" s="166"/>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92"/>
      <c r="AR775" s="192"/>
      <c r="AS775" s="192"/>
      <c r="AT775" s="192"/>
      <c r="AU775" s="192"/>
      <c r="AV775" s="192"/>
      <c r="AW775" s="192"/>
      <c r="AX775" s="192"/>
      <c r="AY775" s="192"/>
      <c r="AZ775" s="192"/>
      <c r="BA775" s="192"/>
      <c r="BB775" s="192"/>
      <c r="BC775" s="192"/>
      <c r="BD775" s="192"/>
      <c r="BE775" s="192"/>
      <c r="BF775" s="192"/>
      <c r="BG775" s="192"/>
      <c r="BH775" s="192"/>
      <c r="BI775" s="192"/>
      <c r="BJ775" s="192"/>
      <c r="BK775" s="192"/>
      <c r="BL775" s="192"/>
      <c r="BM775" s="192"/>
      <c r="BN775" s="192"/>
    </row>
    <row r="776" ht="29.25" customHeight="1">
      <c r="A776" s="189"/>
      <c r="B776" s="190"/>
      <c r="C776" s="157"/>
      <c r="D776" s="157"/>
      <c r="E776" s="158"/>
      <c r="F776" s="166"/>
      <c r="G776" s="161"/>
      <c r="H776" s="161"/>
      <c r="I776" s="162"/>
      <c r="J776" s="163"/>
      <c r="K776" s="163"/>
      <c r="L776" s="163"/>
      <c r="M776" s="160"/>
      <c r="N776" s="162"/>
      <c r="O776" s="164"/>
      <c r="P776" s="140"/>
      <c r="Q776" s="191"/>
      <c r="R776" s="165"/>
      <c r="S776" s="165"/>
      <c r="T776" s="166"/>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92"/>
      <c r="AR776" s="192"/>
      <c r="AS776" s="192"/>
      <c r="AT776" s="192"/>
      <c r="AU776" s="192"/>
      <c r="AV776" s="192"/>
      <c r="AW776" s="192"/>
      <c r="AX776" s="192"/>
      <c r="AY776" s="192"/>
      <c r="AZ776" s="192"/>
      <c r="BA776" s="192"/>
      <c r="BB776" s="192"/>
      <c r="BC776" s="192"/>
      <c r="BD776" s="192"/>
      <c r="BE776" s="192"/>
      <c r="BF776" s="192"/>
      <c r="BG776" s="192"/>
      <c r="BH776" s="192"/>
      <c r="BI776" s="192"/>
      <c r="BJ776" s="192"/>
      <c r="BK776" s="192"/>
      <c r="BL776" s="192"/>
      <c r="BM776" s="192"/>
      <c r="BN776" s="192"/>
    </row>
    <row r="777" ht="29.25" customHeight="1">
      <c r="A777" s="189"/>
      <c r="B777" s="190"/>
      <c r="C777" s="157"/>
      <c r="D777" s="157"/>
      <c r="E777" s="158"/>
      <c r="F777" s="166"/>
      <c r="G777" s="161"/>
      <c r="H777" s="161"/>
      <c r="I777" s="162"/>
      <c r="J777" s="163"/>
      <c r="K777" s="163"/>
      <c r="L777" s="163"/>
      <c r="M777" s="160"/>
      <c r="N777" s="162"/>
      <c r="O777" s="164"/>
      <c r="P777" s="140"/>
      <c r="Q777" s="191"/>
      <c r="R777" s="165"/>
      <c r="S777" s="165"/>
      <c r="T777" s="166"/>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92"/>
      <c r="AR777" s="192"/>
      <c r="AS777" s="192"/>
      <c r="AT777" s="192"/>
      <c r="AU777" s="192"/>
      <c r="AV777" s="192"/>
      <c r="AW777" s="192"/>
      <c r="AX777" s="192"/>
      <c r="AY777" s="192"/>
      <c r="AZ777" s="192"/>
      <c r="BA777" s="192"/>
      <c r="BB777" s="192"/>
      <c r="BC777" s="192"/>
      <c r="BD777" s="192"/>
      <c r="BE777" s="192"/>
      <c r="BF777" s="192"/>
      <c r="BG777" s="192"/>
      <c r="BH777" s="192"/>
      <c r="BI777" s="192"/>
      <c r="BJ777" s="192"/>
      <c r="BK777" s="192"/>
      <c r="BL777" s="192"/>
      <c r="BM777" s="192"/>
      <c r="BN777" s="192"/>
    </row>
    <row r="778" ht="29.25" customHeight="1">
      <c r="A778" s="189"/>
      <c r="B778" s="190"/>
      <c r="C778" s="157"/>
      <c r="D778" s="157"/>
      <c r="E778" s="158"/>
      <c r="F778" s="166"/>
      <c r="G778" s="161"/>
      <c r="H778" s="161"/>
      <c r="I778" s="162"/>
      <c r="J778" s="163"/>
      <c r="K778" s="163"/>
      <c r="L778" s="163"/>
      <c r="M778" s="160"/>
      <c r="N778" s="162"/>
      <c r="O778" s="164"/>
      <c r="P778" s="140"/>
      <c r="Q778" s="191"/>
      <c r="R778" s="165"/>
      <c r="S778" s="165"/>
      <c r="T778" s="166"/>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92"/>
      <c r="AR778" s="192"/>
      <c r="AS778" s="192"/>
      <c r="AT778" s="192"/>
      <c r="AU778" s="192"/>
      <c r="AV778" s="192"/>
      <c r="AW778" s="192"/>
      <c r="AX778" s="192"/>
      <c r="AY778" s="192"/>
      <c r="AZ778" s="192"/>
      <c r="BA778" s="192"/>
      <c r="BB778" s="192"/>
      <c r="BC778" s="192"/>
      <c r="BD778" s="192"/>
      <c r="BE778" s="192"/>
      <c r="BF778" s="192"/>
      <c r="BG778" s="192"/>
      <c r="BH778" s="192"/>
      <c r="BI778" s="192"/>
      <c r="BJ778" s="192"/>
      <c r="BK778" s="192"/>
      <c r="BL778" s="192"/>
      <c r="BM778" s="192"/>
      <c r="BN778" s="192"/>
    </row>
    <row r="779" ht="29.25" customHeight="1">
      <c r="A779" s="189"/>
      <c r="B779" s="190"/>
      <c r="C779" s="157"/>
      <c r="D779" s="157"/>
      <c r="E779" s="158"/>
      <c r="F779" s="166"/>
      <c r="G779" s="161"/>
      <c r="H779" s="161"/>
      <c r="I779" s="162"/>
      <c r="J779" s="163"/>
      <c r="K779" s="163"/>
      <c r="L779" s="163"/>
      <c r="M779" s="160"/>
      <c r="N779" s="162"/>
      <c r="O779" s="164"/>
      <c r="P779" s="140"/>
      <c r="Q779" s="191"/>
      <c r="R779" s="165"/>
      <c r="S779" s="165"/>
      <c r="T779" s="166"/>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92"/>
      <c r="AR779" s="192"/>
      <c r="AS779" s="192"/>
      <c r="AT779" s="192"/>
      <c r="AU779" s="192"/>
      <c r="AV779" s="192"/>
      <c r="AW779" s="192"/>
      <c r="AX779" s="192"/>
      <c r="AY779" s="192"/>
      <c r="AZ779" s="192"/>
      <c r="BA779" s="192"/>
      <c r="BB779" s="192"/>
      <c r="BC779" s="192"/>
      <c r="BD779" s="192"/>
      <c r="BE779" s="192"/>
      <c r="BF779" s="192"/>
      <c r="BG779" s="192"/>
      <c r="BH779" s="192"/>
      <c r="BI779" s="192"/>
      <c r="BJ779" s="192"/>
      <c r="BK779" s="192"/>
      <c r="BL779" s="192"/>
      <c r="BM779" s="192"/>
      <c r="BN779" s="192"/>
    </row>
    <row r="780" ht="29.25" customHeight="1">
      <c r="A780" s="189"/>
      <c r="B780" s="190"/>
      <c r="C780" s="157"/>
      <c r="D780" s="157"/>
      <c r="E780" s="158"/>
      <c r="F780" s="166"/>
      <c r="G780" s="161"/>
      <c r="H780" s="161"/>
      <c r="I780" s="162"/>
      <c r="J780" s="163"/>
      <c r="K780" s="163"/>
      <c r="L780" s="163"/>
      <c r="M780" s="160"/>
      <c r="N780" s="162"/>
      <c r="O780" s="164"/>
      <c r="P780" s="140"/>
      <c r="Q780" s="191"/>
      <c r="R780" s="165"/>
      <c r="S780" s="165"/>
      <c r="T780" s="166"/>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92"/>
      <c r="AR780" s="192"/>
      <c r="AS780" s="192"/>
      <c r="AT780" s="192"/>
      <c r="AU780" s="192"/>
      <c r="AV780" s="192"/>
      <c r="AW780" s="192"/>
      <c r="AX780" s="192"/>
      <c r="AY780" s="192"/>
      <c r="AZ780" s="192"/>
      <c r="BA780" s="192"/>
      <c r="BB780" s="192"/>
      <c r="BC780" s="192"/>
      <c r="BD780" s="192"/>
      <c r="BE780" s="192"/>
      <c r="BF780" s="192"/>
      <c r="BG780" s="192"/>
      <c r="BH780" s="192"/>
      <c r="BI780" s="192"/>
      <c r="BJ780" s="192"/>
      <c r="BK780" s="192"/>
      <c r="BL780" s="192"/>
      <c r="BM780" s="192"/>
      <c r="BN780" s="192"/>
    </row>
    <row r="781" ht="29.25" customHeight="1">
      <c r="A781" s="189"/>
      <c r="B781" s="190"/>
      <c r="C781" s="157"/>
      <c r="D781" s="157"/>
      <c r="E781" s="158"/>
      <c r="F781" s="166"/>
      <c r="G781" s="161"/>
      <c r="H781" s="161"/>
      <c r="I781" s="162"/>
      <c r="J781" s="163"/>
      <c r="K781" s="163"/>
      <c r="L781" s="163"/>
      <c r="M781" s="160"/>
      <c r="N781" s="162"/>
      <c r="O781" s="164"/>
      <c r="P781" s="140"/>
      <c r="Q781" s="191"/>
      <c r="R781" s="165"/>
      <c r="S781" s="165"/>
      <c r="T781" s="166"/>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92"/>
      <c r="AR781" s="192"/>
      <c r="AS781" s="192"/>
      <c r="AT781" s="192"/>
      <c r="AU781" s="192"/>
      <c r="AV781" s="192"/>
      <c r="AW781" s="192"/>
      <c r="AX781" s="192"/>
      <c r="AY781" s="192"/>
      <c r="AZ781" s="192"/>
      <c r="BA781" s="192"/>
      <c r="BB781" s="192"/>
      <c r="BC781" s="192"/>
      <c r="BD781" s="192"/>
      <c r="BE781" s="192"/>
      <c r="BF781" s="192"/>
      <c r="BG781" s="192"/>
      <c r="BH781" s="192"/>
      <c r="BI781" s="192"/>
      <c r="BJ781" s="192"/>
      <c r="BK781" s="192"/>
      <c r="BL781" s="192"/>
      <c r="BM781" s="192"/>
      <c r="BN781" s="192"/>
    </row>
    <row r="782" ht="29.25" customHeight="1">
      <c r="A782" s="189"/>
      <c r="B782" s="190"/>
      <c r="C782" s="157"/>
      <c r="D782" s="157"/>
      <c r="E782" s="158"/>
      <c r="F782" s="166"/>
      <c r="G782" s="161"/>
      <c r="H782" s="161"/>
      <c r="I782" s="162"/>
      <c r="J782" s="163"/>
      <c r="K782" s="163"/>
      <c r="L782" s="163"/>
      <c r="M782" s="160"/>
      <c r="N782" s="162"/>
      <c r="O782" s="164"/>
      <c r="P782" s="140"/>
      <c r="Q782" s="191"/>
      <c r="R782" s="165"/>
      <c r="S782" s="165"/>
      <c r="T782" s="166"/>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92"/>
      <c r="AR782" s="192"/>
      <c r="AS782" s="192"/>
      <c r="AT782" s="192"/>
      <c r="AU782" s="192"/>
      <c r="AV782" s="192"/>
      <c r="AW782" s="192"/>
      <c r="AX782" s="192"/>
      <c r="AY782" s="192"/>
      <c r="AZ782" s="192"/>
      <c r="BA782" s="192"/>
      <c r="BB782" s="192"/>
      <c r="BC782" s="192"/>
      <c r="BD782" s="192"/>
      <c r="BE782" s="192"/>
      <c r="BF782" s="192"/>
      <c r="BG782" s="192"/>
      <c r="BH782" s="192"/>
      <c r="BI782" s="192"/>
      <c r="BJ782" s="192"/>
      <c r="BK782" s="192"/>
      <c r="BL782" s="192"/>
      <c r="BM782" s="192"/>
      <c r="BN782" s="192"/>
    </row>
    <row r="783" ht="29.25" customHeight="1">
      <c r="A783" s="189"/>
      <c r="B783" s="190"/>
      <c r="C783" s="157"/>
      <c r="D783" s="157"/>
      <c r="E783" s="158"/>
      <c r="F783" s="166"/>
      <c r="G783" s="161"/>
      <c r="H783" s="161"/>
      <c r="I783" s="162"/>
      <c r="J783" s="163"/>
      <c r="K783" s="163"/>
      <c r="L783" s="163"/>
      <c r="M783" s="160"/>
      <c r="N783" s="162"/>
      <c r="O783" s="164"/>
      <c r="P783" s="140"/>
      <c r="Q783" s="191"/>
      <c r="R783" s="165"/>
      <c r="S783" s="165"/>
      <c r="T783" s="166"/>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92"/>
      <c r="AR783" s="192"/>
      <c r="AS783" s="192"/>
      <c r="AT783" s="192"/>
      <c r="AU783" s="192"/>
      <c r="AV783" s="192"/>
      <c r="AW783" s="192"/>
      <c r="AX783" s="192"/>
      <c r="AY783" s="192"/>
      <c r="AZ783" s="192"/>
      <c r="BA783" s="192"/>
      <c r="BB783" s="192"/>
      <c r="BC783" s="192"/>
      <c r="BD783" s="192"/>
      <c r="BE783" s="192"/>
      <c r="BF783" s="192"/>
      <c r="BG783" s="192"/>
      <c r="BH783" s="192"/>
      <c r="BI783" s="192"/>
      <c r="BJ783" s="192"/>
      <c r="BK783" s="192"/>
      <c r="BL783" s="192"/>
      <c r="BM783" s="192"/>
      <c r="BN783" s="192"/>
    </row>
    <row r="784" ht="29.25" customHeight="1">
      <c r="A784" s="189"/>
      <c r="B784" s="190"/>
      <c r="C784" s="157"/>
      <c r="D784" s="157"/>
      <c r="E784" s="158"/>
      <c r="F784" s="166"/>
      <c r="G784" s="161"/>
      <c r="H784" s="161"/>
      <c r="I784" s="162"/>
      <c r="J784" s="163"/>
      <c r="K784" s="163"/>
      <c r="L784" s="163"/>
      <c r="M784" s="160"/>
      <c r="N784" s="162"/>
      <c r="O784" s="164"/>
      <c r="P784" s="140"/>
      <c r="Q784" s="191"/>
      <c r="R784" s="165"/>
      <c r="S784" s="165"/>
      <c r="T784" s="166"/>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92"/>
      <c r="AR784" s="192"/>
      <c r="AS784" s="192"/>
      <c r="AT784" s="192"/>
      <c r="AU784" s="192"/>
      <c r="AV784" s="192"/>
      <c r="AW784" s="192"/>
      <c r="AX784" s="192"/>
      <c r="AY784" s="192"/>
      <c r="AZ784" s="192"/>
      <c r="BA784" s="192"/>
      <c r="BB784" s="192"/>
      <c r="BC784" s="192"/>
      <c r="BD784" s="192"/>
      <c r="BE784" s="192"/>
      <c r="BF784" s="192"/>
      <c r="BG784" s="192"/>
      <c r="BH784" s="192"/>
      <c r="BI784" s="192"/>
      <c r="BJ784" s="192"/>
      <c r="BK784" s="192"/>
      <c r="BL784" s="192"/>
      <c r="BM784" s="192"/>
      <c r="BN784" s="192"/>
    </row>
    <row r="785" ht="29.25" customHeight="1">
      <c r="A785" s="189"/>
      <c r="B785" s="190"/>
      <c r="C785" s="157"/>
      <c r="D785" s="157"/>
      <c r="E785" s="158"/>
      <c r="F785" s="166"/>
      <c r="G785" s="161"/>
      <c r="H785" s="161"/>
      <c r="I785" s="162"/>
      <c r="J785" s="163"/>
      <c r="K785" s="163"/>
      <c r="L785" s="163"/>
      <c r="M785" s="160"/>
      <c r="N785" s="162"/>
      <c r="O785" s="164"/>
      <c r="P785" s="140"/>
      <c r="Q785" s="191"/>
      <c r="R785" s="165"/>
      <c r="S785" s="165"/>
      <c r="T785" s="166"/>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92"/>
      <c r="AR785" s="192"/>
      <c r="AS785" s="192"/>
      <c r="AT785" s="192"/>
      <c r="AU785" s="192"/>
      <c r="AV785" s="192"/>
      <c r="AW785" s="192"/>
      <c r="AX785" s="192"/>
      <c r="AY785" s="192"/>
      <c r="AZ785" s="192"/>
      <c r="BA785" s="192"/>
      <c r="BB785" s="192"/>
      <c r="BC785" s="192"/>
      <c r="BD785" s="192"/>
      <c r="BE785" s="192"/>
      <c r="BF785" s="192"/>
      <c r="BG785" s="192"/>
      <c r="BH785" s="192"/>
      <c r="BI785" s="192"/>
      <c r="BJ785" s="192"/>
      <c r="BK785" s="192"/>
      <c r="BL785" s="192"/>
      <c r="BM785" s="192"/>
      <c r="BN785" s="192"/>
    </row>
    <row r="786" ht="29.25" customHeight="1">
      <c r="A786" s="189"/>
      <c r="B786" s="190"/>
      <c r="C786" s="157"/>
      <c r="D786" s="157"/>
      <c r="E786" s="158"/>
      <c r="F786" s="166"/>
      <c r="G786" s="161"/>
      <c r="H786" s="161"/>
      <c r="I786" s="162"/>
      <c r="J786" s="163"/>
      <c r="K786" s="163"/>
      <c r="L786" s="163"/>
      <c r="M786" s="160"/>
      <c r="N786" s="162"/>
      <c r="O786" s="164"/>
      <c r="P786" s="140"/>
      <c r="Q786" s="191"/>
      <c r="R786" s="165"/>
      <c r="S786" s="165"/>
      <c r="T786" s="166"/>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92"/>
      <c r="AR786" s="192"/>
      <c r="AS786" s="192"/>
      <c r="AT786" s="192"/>
      <c r="AU786" s="192"/>
      <c r="AV786" s="192"/>
      <c r="AW786" s="192"/>
      <c r="AX786" s="192"/>
      <c r="AY786" s="192"/>
      <c r="AZ786" s="192"/>
      <c r="BA786" s="192"/>
      <c r="BB786" s="192"/>
      <c r="BC786" s="192"/>
      <c r="BD786" s="192"/>
      <c r="BE786" s="192"/>
      <c r="BF786" s="192"/>
      <c r="BG786" s="192"/>
      <c r="BH786" s="192"/>
      <c r="BI786" s="192"/>
      <c r="BJ786" s="192"/>
      <c r="BK786" s="192"/>
      <c r="BL786" s="192"/>
      <c r="BM786" s="192"/>
      <c r="BN786" s="192"/>
    </row>
    <row r="787" ht="29.25" customHeight="1">
      <c r="A787" s="189"/>
      <c r="B787" s="190"/>
      <c r="C787" s="157"/>
      <c r="D787" s="157"/>
      <c r="E787" s="158"/>
      <c r="F787" s="166"/>
      <c r="G787" s="161"/>
      <c r="H787" s="161"/>
      <c r="I787" s="162"/>
      <c r="J787" s="163"/>
      <c r="K787" s="163"/>
      <c r="L787" s="163"/>
      <c r="M787" s="160"/>
      <c r="N787" s="162"/>
      <c r="O787" s="164"/>
      <c r="P787" s="140"/>
      <c r="Q787" s="191"/>
      <c r="R787" s="165"/>
      <c r="S787" s="165"/>
      <c r="T787" s="166"/>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92"/>
      <c r="AR787" s="192"/>
      <c r="AS787" s="192"/>
      <c r="AT787" s="192"/>
      <c r="AU787" s="192"/>
      <c r="AV787" s="192"/>
      <c r="AW787" s="192"/>
      <c r="AX787" s="192"/>
      <c r="AY787" s="192"/>
      <c r="AZ787" s="192"/>
      <c r="BA787" s="192"/>
      <c r="BB787" s="192"/>
      <c r="BC787" s="192"/>
      <c r="BD787" s="192"/>
      <c r="BE787" s="192"/>
      <c r="BF787" s="192"/>
      <c r="BG787" s="192"/>
      <c r="BH787" s="192"/>
      <c r="BI787" s="192"/>
      <c r="BJ787" s="192"/>
      <c r="BK787" s="192"/>
      <c r="BL787" s="192"/>
      <c r="BM787" s="192"/>
      <c r="BN787" s="192"/>
    </row>
    <row r="788" ht="29.25" customHeight="1">
      <c r="A788" s="189"/>
      <c r="B788" s="190"/>
      <c r="C788" s="157"/>
      <c r="D788" s="157"/>
      <c r="E788" s="158"/>
      <c r="F788" s="166"/>
      <c r="G788" s="161"/>
      <c r="H788" s="161"/>
      <c r="I788" s="162"/>
      <c r="J788" s="163"/>
      <c r="K788" s="163"/>
      <c r="L788" s="163"/>
      <c r="M788" s="160"/>
      <c r="N788" s="162"/>
      <c r="O788" s="164"/>
      <c r="P788" s="140"/>
      <c r="Q788" s="191"/>
      <c r="R788" s="165"/>
      <c r="S788" s="165"/>
      <c r="T788" s="166"/>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92"/>
      <c r="AR788" s="192"/>
      <c r="AS788" s="192"/>
      <c r="AT788" s="192"/>
      <c r="AU788" s="192"/>
      <c r="AV788" s="192"/>
      <c r="AW788" s="192"/>
      <c r="AX788" s="192"/>
      <c r="AY788" s="192"/>
      <c r="AZ788" s="192"/>
      <c r="BA788" s="192"/>
      <c r="BB788" s="192"/>
      <c r="BC788" s="192"/>
      <c r="BD788" s="192"/>
      <c r="BE788" s="192"/>
      <c r="BF788" s="192"/>
      <c r="BG788" s="192"/>
      <c r="BH788" s="192"/>
      <c r="BI788" s="192"/>
      <c r="BJ788" s="192"/>
      <c r="BK788" s="192"/>
      <c r="BL788" s="192"/>
      <c r="BM788" s="192"/>
      <c r="BN788" s="192"/>
    </row>
    <row r="789" ht="29.25" customHeight="1">
      <c r="A789" s="189"/>
      <c r="B789" s="190"/>
      <c r="C789" s="157"/>
      <c r="D789" s="157"/>
      <c r="E789" s="158"/>
      <c r="F789" s="166"/>
      <c r="G789" s="161"/>
      <c r="H789" s="161"/>
      <c r="I789" s="162"/>
      <c r="J789" s="163"/>
      <c r="K789" s="163"/>
      <c r="L789" s="163"/>
      <c r="M789" s="160"/>
      <c r="N789" s="162"/>
      <c r="O789" s="164"/>
      <c r="P789" s="140"/>
      <c r="Q789" s="191"/>
      <c r="R789" s="165"/>
      <c r="S789" s="165"/>
      <c r="T789" s="166"/>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92"/>
      <c r="AR789" s="192"/>
      <c r="AS789" s="192"/>
      <c r="AT789" s="192"/>
      <c r="AU789" s="192"/>
      <c r="AV789" s="192"/>
      <c r="AW789" s="192"/>
      <c r="AX789" s="192"/>
      <c r="AY789" s="192"/>
      <c r="AZ789" s="192"/>
      <c r="BA789" s="192"/>
      <c r="BB789" s="192"/>
      <c r="BC789" s="192"/>
      <c r="BD789" s="192"/>
      <c r="BE789" s="192"/>
      <c r="BF789" s="192"/>
      <c r="BG789" s="192"/>
      <c r="BH789" s="192"/>
      <c r="BI789" s="192"/>
      <c r="BJ789" s="192"/>
      <c r="BK789" s="192"/>
      <c r="BL789" s="192"/>
      <c r="BM789" s="192"/>
      <c r="BN789" s="192"/>
    </row>
    <row r="790" ht="29.25" customHeight="1">
      <c r="A790" s="189"/>
      <c r="B790" s="190"/>
      <c r="C790" s="157"/>
      <c r="D790" s="157"/>
      <c r="E790" s="158"/>
      <c r="F790" s="166"/>
      <c r="G790" s="161"/>
      <c r="H790" s="161"/>
      <c r="I790" s="162"/>
      <c r="J790" s="163"/>
      <c r="K790" s="163"/>
      <c r="L790" s="163"/>
      <c r="M790" s="160"/>
      <c r="N790" s="162"/>
      <c r="O790" s="164"/>
      <c r="P790" s="140"/>
      <c r="Q790" s="191"/>
      <c r="R790" s="165"/>
      <c r="S790" s="165"/>
      <c r="T790" s="166"/>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92"/>
      <c r="AR790" s="192"/>
      <c r="AS790" s="192"/>
      <c r="AT790" s="192"/>
      <c r="AU790" s="192"/>
      <c r="AV790" s="192"/>
      <c r="AW790" s="192"/>
      <c r="AX790" s="192"/>
      <c r="AY790" s="192"/>
      <c r="AZ790" s="192"/>
      <c r="BA790" s="192"/>
      <c r="BB790" s="192"/>
      <c r="BC790" s="192"/>
      <c r="BD790" s="192"/>
      <c r="BE790" s="192"/>
      <c r="BF790" s="192"/>
      <c r="BG790" s="192"/>
      <c r="BH790" s="192"/>
      <c r="BI790" s="192"/>
      <c r="BJ790" s="192"/>
      <c r="BK790" s="192"/>
      <c r="BL790" s="192"/>
      <c r="BM790" s="192"/>
      <c r="BN790" s="192"/>
    </row>
    <row r="791" ht="29.25" customHeight="1">
      <c r="A791" s="189"/>
      <c r="B791" s="190"/>
      <c r="C791" s="157"/>
      <c r="D791" s="157"/>
      <c r="E791" s="158"/>
      <c r="F791" s="166"/>
      <c r="G791" s="161"/>
      <c r="H791" s="161"/>
      <c r="I791" s="162"/>
      <c r="J791" s="163"/>
      <c r="K791" s="163"/>
      <c r="L791" s="163"/>
      <c r="M791" s="160"/>
      <c r="N791" s="162"/>
      <c r="O791" s="164"/>
      <c r="P791" s="140"/>
      <c r="Q791" s="191"/>
      <c r="R791" s="165"/>
      <c r="S791" s="165"/>
      <c r="T791" s="166"/>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92"/>
      <c r="AR791" s="192"/>
      <c r="AS791" s="192"/>
      <c r="AT791" s="192"/>
      <c r="AU791" s="192"/>
      <c r="AV791" s="192"/>
      <c r="AW791" s="192"/>
      <c r="AX791" s="192"/>
      <c r="AY791" s="192"/>
      <c r="AZ791" s="192"/>
      <c r="BA791" s="192"/>
      <c r="BB791" s="192"/>
      <c r="BC791" s="192"/>
      <c r="BD791" s="192"/>
      <c r="BE791" s="192"/>
      <c r="BF791" s="192"/>
      <c r="BG791" s="192"/>
      <c r="BH791" s="192"/>
      <c r="BI791" s="192"/>
      <c r="BJ791" s="192"/>
      <c r="BK791" s="192"/>
      <c r="BL791" s="192"/>
      <c r="BM791" s="192"/>
      <c r="BN791" s="192"/>
    </row>
    <row r="792" ht="29.25" customHeight="1">
      <c r="A792" s="189"/>
      <c r="B792" s="190"/>
      <c r="C792" s="157"/>
      <c r="D792" s="157"/>
      <c r="E792" s="158"/>
      <c r="F792" s="166"/>
      <c r="G792" s="161"/>
      <c r="H792" s="161"/>
      <c r="I792" s="162"/>
      <c r="J792" s="163"/>
      <c r="K792" s="163"/>
      <c r="L792" s="163"/>
      <c r="M792" s="160"/>
      <c r="N792" s="162"/>
      <c r="O792" s="164"/>
      <c r="P792" s="140"/>
      <c r="Q792" s="191"/>
      <c r="R792" s="165"/>
      <c r="S792" s="165"/>
      <c r="T792" s="166"/>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92"/>
      <c r="AR792" s="192"/>
      <c r="AS792" s="192"/>
      <c r="AT792" s="192"/>
      <c r="AU792" s="192"/>
      <c r="AV792" s="192"/>
      <c r="AW792" s="192"/>
      <c r="AX792" s="192"/>
      <c r="AY792" s="192"/>
      <c r="AZ792" s="192"/>
      <c r="BA792" s="192"/>
      <c r="BB792" s="192"/>
      <c r="BC792" s="192"/>
      <c r="BD792" s="192"/>
      <c r="BE792" s="192"/>
      <c r="BF792" s="192"/>
      <c r="BG792" s="192"/>
      <c r="BH792" s="192"/>
      <c r="BI792" s="192"/>
      <c r="BJ792" s="192"/>
      <c r="BK792" s="192"/>
      <c r="BL792" s="192"/>
      <c r="BM792" s="192"/>
      <c r="BN792" s="192"/>
    </row>
    <row r="793" ht="29.25" customHeight="1">
      <c r="A793" s="189"/>
      <c r="B793" s="190"/>
      <c r="C793" s="157"/>
      <c r="D793" s="157"/>
      <c r="E793" s="158"/>
      <c r="F793" s="166"/>
      <c r="G793" s="161"/>
      <c r="H793" s="161"/>
      <c r="I793" s="162"/>
      <c r="J793" s="163"/>
      <c r="K793" s="163"/>
      <c r="L793" s="163"/>
      <c r="M793" s="160"/>
      <c r="N793" s="162"/>
      <c r="O793" s="164"/>
      <c r="P793" s="140"/>
      <c r="Q793" s="191"/>
      <c r="R793" s="165"/>
      <c r="S793" s="165"/>
      <c r="T793" s="166"/>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92"/>
      <c r="AR793" s="192"/>
      <c r="AS793" s="192"/>
      <c r="AT793" s="192"/>
      <c r="AU793" s="192"/>
      <c r="AV793" s="192"/>
      <c r="AW793" s="192"/>
      <c r="AX793" s="192"/>
      <c r="AY793" s="192"/>
      <c r="AZ793" s="192"/>
      <c r="BA793" s="192"/>
      <c r="BB793" s="192"/>
      <c r="BC793" s="192"/>
      <c r="BD793" s="192"/>
      <c r="BE793" s="192"/>
      <c r="BF793" s="192"/>
      <c r="BG793" s="192"/>
      <c r="BH793" s="192"/>
      <c r="BI793" s="192"/>
      <c r="BJ793" s="192"/>
      <c r="BK793" s="192"/>
      <c r="BL793" s="192"/>
      <c r="BM793" s="192"/>
      <c r="BN793" s="192"/>
    </row>
    <row r="794" ht="29.25" customHeight="1">
      <c r="A794" s="189"/>
      <c r="B794" s="190"/>
      <c r="C794" s="157"/>
      <c r="D794" s="157"/>
      <c r="E794" s="158"/>
      <c r="F794" s="166"/>
      <c r="G794" s="161"/>
      <c r="H794" s="161"/>
      <c r="I794" s="162"/>
      <c r="J794" s="163"/>
      <c r="K794" s="163"/>
      <c r="L794" s="163"/>
      <c r="M794" s="160"/>
      <c r="N794" s="162"/>
      <c r="O794" s="164"/>
      <c r="P794" s="140"/>
      <c r="Q794" s="191"/>
      <c r="R794" s="165"/>
      <c r="S794" s="165"/>
      <c r="T794" s="166"/>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92"/>
      <c r="AR794" s="192"/>
      <c r="AS794" s="192"/>
      <c r="AT794" s="192"/>
      <c r="AU794" s="192"/>
      <c r="AV794" s="192"/>
      <c r="AW794" s="192"/>
      <c r="AX794" s="192"/>
      <c r="AY794" s="192"/>
      <c r="AZ794" s="192"/>
      <c r="BA794" s="192"/>
      <c r="BB794" s="192"/>
      <c r="BC794" s="192"/>
      <c r="BD794" s="192"/>
      <c r="BE794" s="192"/>
      <c r="BF794" s="192"/>
      <c r="BG794" s="192"/>
      <c r="BH794" s="192"/>
      <c r="BI794" s="192"/>
      <c r="BJ794" s="192"/>
      <c r="BK794" s="192"/>
      <c r="BL794" s="192"/>
      <c r="BM794" s="192"/>
      <c r="BN794" s="192"/>
    </row>
    <row r="795" ht="29.25" customHeight="1">
      <c r="A795" s="189"/>
      <c r="B795" s="190"/>
      <c r="C795" s="157"/>
      <c r="D795" s="157"/>
      <c r="E795" s="158"/>
      <c r="F795" s="166"/>
      <c r="G795" s="161"/>
      <c r="H795" s="161"/>
      <c r="I795" s="162"/>
      <c r="J795" s="163"/>
      <c r="K795" s="163"/>
      <c r="L795" s="163"/>
      <c r="M795" s="160"/>
      <c r="N795" s="162"/>
      <c r="O795" s="164"/>
      <c r="P795" s="140"/>
      <c r="Q795" s="191"/>
      <c r="R795" s="165"/>
      <c r="S795" s="165"/>
      <c r="T795" s="166"/>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92"/>
      <c r="AR795" s="192"/>
      <c r="AS795" s="192"/>
      <c r="AT795" s="192"/>
      <c r="AU795" s="192"/>
      <c r="AV795" s="192"/>
      <c r="AW795" s="192"/>
      <c r="AX795" s="192"/>
      <c r="AY795" s="192"/>
      <c r="AZ795" s="192"/>
      <c r="BA795" s="192"/>
      <c r="BB795" s="192"/>
      <c r="BC795" s="192"/>
      <c r="BD795" s="192"/>
      <c r="BE795" s="192"/>
      <c r="BF795" s="192"/>
      <c r="BG795" s="192"/>
      <c r="BH795" s="192"/>
      <c r="BI795" s="192"/>
      <c r="BJ795" s="192"/>
      <c r="BK795" s="192"/>
      <c r="BL795" s="192"/>
      <c r="BM795" s="192"/>
      <c r="BN795" s="192"/>
    </row>
    <row r="796" ht="29.25" customHeight="1">
      <c r="A796" s="189"/>
      <c r="B796" s="190"/>
      <c r="C796" s="157"/>
      <c r="D796" s="157"/>
      <c r="E796" s="158"/>
      <c r="F796" s="166"/>
      <c r="G796" s="161"/>
      <c r="H796" s="161"/>
      <c r="I796" s="162"/>
      <c r="J796" s="163"/>
      <c r="K796" s="163"/>
      <c r="L796" s="163"/>
      <c r="M796" s="160"/>
      <c r="N796" s="162"/>
      <c r="O796" s="164"/>
      <c r="P796" s="140"/>
      <c r="Q796" s="191"/>
      <c r="R796" s="165"/>
      <c r="S796" s="165"/>
      <c r="T796" s="166"/>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92"/>
      <c r="AR796" s="192"/>
      <c r="AS796" s="192"/>
      <c r="AT796" s="192"/>
      <c r="AU796" s="192"/>
      <c r="AV796" s="192"/>
      <c r="AW796" s="192"/>
      <c r="AX796" s="192"/>
      <c r="AY796" s="192"/>
      <c r="AZ796" s="192"/>
      <c r="BA796" s="192"/>
      <c r="BB796" s="192"/>
      <c r="BC796" s="192"/>
      <c r="BD796" s="192"/>
      <c r="BE796" s="192"/>
      <c r="BF796" s="192"/>
      <c r="BG796" s="192"/>
      <c r="BH796" s="192"/>
      <c r="BI796" s="192"/>
      <c r="BJ796" s="192"/>
      <c r="BK796" s="192"/>
      <c r="BL796" s="192"/>
      <c r="BM796" s="192"/>
      <c r="BN796" s="192"/>
    </row>
    <row r="797" ht="29.25" customHeight="1">
      <c r="A797" s="189"/>
      <c r="B797" s="190"/>
      <c r="C797" s="157"/>
      <c r="D797" s="157"/>
      <c r="E797" s="158"/>
      <c r="F797" s="166"/>
      <c r="G797" s="161"/>
      <c r="H797" s="161"/>
      <c r="I797" s="162"/>
      <c r="J797" s="163"/>
      <c r="K797" s="163"/>
      <c r="L797" s="163"/>
      <c r="M797" s="160"/>
      <c r="N797" s="162"/>
      <c r="O797" s="164"/>
      <c r="P797" s="140"/>
      <c r="Q797" s="191"/>
      <c r="R797" s="165"/>
      <c r="S797" s="165"/>
      <c r="T797" s="166"/>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92"/>
      <c r="AR797" s="192"/>
      <c r="AS797" s="192"/>
      <c r="AT797" s="192"/>
      <c r="AU797" s="192"/>
      <c r="AV797" s="192"/>
      <c r="AW797" s="192"/>
      <c r="AX797" s="192"/>
      <c r="AY797" s="192"/>
      <c r="AZ797" s="192"/>
      <c r="BA797" s="192"/>
      <c r="BB797" s="192"/>
      <c r="BC797" s="192"/>
      <c r="BD797" s="192"/>
      <c r="BE797" s="192"/>
      <c r="BF797" s="192"/>
      <c r="BG797" s="192"/>
      <c r="BH797" s="192"/>
      <c r="BI797" s="192"/>
      <c r="BJ797" s="192"/>
      <c r="BK797" s="192"/>
      <c r="BL797" s="192"/>
      <c r="BM797" s="192"/>
      <c r="BN797" s="192"/>
    </row>
    <row r="798" ht="29.25" customHeight="1">
      <c r="A798" s="189"/>
      <c r="B798" s="190"/>
      <c r="C798" s="157"/>
      <c r="D798" s="157"/>
      <c r="E798" s="158"/>
      <c r="F798" s="166"/>
      <c r="G798" s="161"/>
      <c r="H798" s="161"/>
      <c r="I798" s="162"/>
      <c r="J798" s="163"/>
      <c r="K798" s="163"/>
      <c r="L798" s="163"/>
      <c r="M798" s="160"/>
      <c r="N798" s="162"/>
      <c r="O798" s="164"/>
      <c r="P798" s="140"/>
      <c r="Q798" s="191"/>
      <c r="R798" s="165"/>
      <c r="S798" s="165"/>
      <c r="T798" s="166"/>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92"/>
      <c r="AR798" s="192"/>
      <c r="AS798" s="192"/>
      <c r="AT798" s="192"/>
      <c r="AU798" s="192"/>
      <c r="AV798" s="192"/>
      <c r="AW798" s="192"/>
      <c r="AX798" s="192"/>
      <c r="AY798" s="192"/>
      <c r="AZ798" s="192"/>
      <c r="BA798" s="192"/>
      <c r="BB798" s="192"/>
      <c r="BC798" s="192"/>
      <c r="BD798" s="192"/>
      <c r="BE798" s="192"/>
      <c r="BF798" s="192"/>
      <c r="BG798" s="192"/>
      <c r="BH798" s="192"/>
      <c r="BI798" s="192"/>
      <c r="BJ798" s="192"/>
      <c r="BK798" s="192"/>
      <c r="BL798" s="192"/>
      <c r="BM798" s="192"/>
      <c r="BN798" s="192"/>
    </row>
    <row r="799" ht="29.25" customHeight="1">
      <c r="A799" s="189"/>
      <c r="B799" s="190"/>
      <c r="C799" s="157"/>
      <c r="D799" s="157"/>
      <c r="E799" s="158"/>
      <c r="F799" s="166"/>
      <c r="G799" s="161"/>
      <c r="H799" s="161"/>
      <c r="I799" s="162"/>
      <c r="J799" s="163"/>
      <c r="K799" s="163"/>
      <c r="L799" s="163"/>
      <c r="M799" s="160"/>
      <c r="N799" s="162"/>
      <c r="O799" s="164"/>
      <c r="P799" s="140"/>
      <c r="Q799" s="191"/>
      <c r="R799" s="165"/>
      <c r="S799" s="165"/>
      <c r="T799" s="166"/>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92"/>
      <c r="AR799" s="192"/>
      <c r="AS799" s="192"/>
      <c r="AT799" s="192"/>
      <c r="AU799" s="192"/>
      <c r="AV799" s="192"/>
      <c r="AW799" s="192"/>
      <c r="AX799" s="192"/>
      <c r="AY799" s="192"/>
      <c r="AZ799" s="192"/>
      <c r="BA799" s="192"/>
      <c r="BB799" s="192"/>
      <c r="BC799" s="192"/>
      <c r="BD799" s="192"/>
      <c r="BE799" s="192"/>
      <c r="BF799" s="192"/>
      <c r="BG799" s="192"/>
      <c r="BH799" s="192"/>
      <c r="BI799" s="192"/>
      <c r="BJ799" s="192"/>
      <c r="BK799" s="192"/>
      <c r="BL799" s="192"/>
      <c r="BM799" s="192"/>
      <c r="BN799" s="192"/>
    </row>
    <row r="800" ht="29.25" customHeight="1">
      <c r="A800" s="189"/>
      <c r="B800" s="190"/>
      <c r="C800" s="157"/>
      <c r="D800" s="157"/>
      <c r="E800" s="158"/>
      <c r="F800" s="166"/>
      <c r="G800" s="161"/>
      <c r="H800" s="161"/>
      <c r="I800" s="162"/>
      <c r="J800" s="163"/>
      <c r="K800" s="163"/>
      <c r="L800" s="163"/>
      <c r="M800" s="160"/>
      <c r="N800" s="162"/>
      <c r="O800" s="164"/>
      <c r="P800" s="140"/>
      <c r="Q800" s="191"/>
      <c r="R800" s="165"/>
      <c r="S800" s="165"/>
      <c r="T800" s="166"/>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92"/>
      <c r="AR800" s="192"/>
      <c r="AS800" s="192"/>
      <c r="AT800" s="192"/>
      <c r="AU800" s="192"/>
      <c r="AV800" s="192"/>
      <c r="AW800" s="192"/>
      <c r="AX800" s="192"/>
      <c r="AY800" s="192"/>
      <c r="AZ800" s="192"/>
      <c r="BA800" s="192"/>
      <c r="BB800" s="192"/>
      <c r="BC800" s="192"/>
      <c r="BD800" s="192"/>
      <c r="BE800" s="192"/>
      <c r="BF800" s="192"/>
      <c r="BG800" s="192"/>
      <c r="BH800" s="192"/>
      <c r="BI800" s="192"/>
      <c r="BJ800" s="192"/>
      <c r="BK800" s="192"/>
      <c r="BL800" s="192"/>
      <c r="BM800" s="192"/>
      <c r="BN800" s="192"/>
    </row>
    <row r="801" ht="29.25" customHeight="1">
      <c r="A801" s="189"/>
      <c r="B801" s="190"/>
      <c r="C801" s="157"/>
      <c r="D801" s="157"/>
      <c r="E801" s="158"/>
      <c r="F801" s="166"/>
      <c r="G801" s="161"/>
      <c r="H801" s="161"/>
      <c r="I801" s="162"/>
      <c r="J801" s="163"/>
      <c r="K801" s="163"/>
      <c r="L801" s="163"/>
      <c r="M801" s="160"/>
      <c r="N801" s="162"/>
      <c r="O801" s="164"/>
      <c r="P801" s="140"/>
      <c r="Q801" s="191"/>
      <c r="R801" s="165"/>
      <c r="S801" s="165"/>
      <c r="T801" s="166"/>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92"/>
      <c r="AR801" s="192"/>
      <c r="AS801" s="192"/>
      <c r="AT801" s="192"/>
      <c r="AU801" s="192"/>
      <c r="AV801" s="192"/>
      <c r="AW801" s="192"/>
      <c r="AX801" s="192"/>
      <c r="AY801" s="192"/>
      <c r="AZ801" s="192"/>
      <c r="BA801" s="192"/>
      <c r="BB801" s="192"/>
      <c r="BC801" s="192"/>
      <c r="BD801" s="192"/>
      <c r="BE801" s="192"/>
      <c r="BF801" s="192"/>
      <c r="BG801" s="192"/>
      <c r="BH801" s="192"/>
      <c r="BI801" s="192"/>
      <c r="BJ801" s="192"/>
      <c r="BK801" s="192"/>
      <c r="BL801" s="192"/>
      <c r="BM801" s="192"/>
      <c r="BN801" s="192"/>
    </row>
    <row r="802" ht="29.25" customHeight="1">
      <c r="A802" s="189"/>
      <c r="B802" s="190"/>
      <c r="C802" s="157"/>
      <c r="D802" s="157"/>
      <c r="E802" s="158"/>
      <c r="F802" s="166"/>
      <c r="G802" s="161"/>
      <c r="H802" s="161"/>
      <c r="I802" s="162"/>
      <c r="J802" s="163"/>
      <c r="K802" s="163"/>
      <c r="L802" s="163"/>
      <c r="M802" s="160"/>
      <c r="N802" s="162"/>
      <c r="O802" s="164"/>
      <c r="P802" s="140"/>
      <c r="Q802" s="191"/>
      <c r="R802" s="165"/>
      <c r="S802" s="165"/>
      <c r="T802" s="166"/>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92"/>
      <c r="AR802" s="192"/>
      <c r="AS802" s="192"/>
      <c r="AT802" s="192"/>
      <c r="AU802" s="192"/>
      <c r="AV802" s="192"/>
      <c r="AW802" s="192"/>
      <c r="AX802" s="192"/>
      <c r="AY802" s="192"/>
      <c r="AZ802" s="192"/>
      <c r="BA802" s="192"/>
      <c r="BB802" s="192"/>
      <c r="BC802" s="192"/>
      <c r="BD802" s="192"/>
      <c r="BE802" s="192"/>
      <c r="BF802" s="192"/>
      <c r="BG802" s="192"/>
      <c r="BH802" s="192"/>
      <c r="BI802" s="192"/>
      <c r="BJ802" s="192"/>
      <c r="BK802" s="192"/>
      <c r="BL802" s="192"/>
      <c r="BM802" s="192"/>
      <c r="BN802" s="192"/>
    </row>
    <row r="803" ht="29.25" customHeight="1">
      <c r="A803" s="189"/>
      <c r="B803" s="190"/>
      <c r="C803" s="157"/>
      <c r="D803" s="157"/>
      <c r="E803" s="158"/>
      <c r="F803" s="166"/>
      <c r="G803" s="161"/>
      <c r="H803" s="161"/>
      <c r="I803" s="162"/>
      <c r="J803" s="163"/>
      <c r="K803" s="163"/>
      <c r="L803" s="163"/>
      <c r="M803" s="160"/>
      <c r="N803" s="162"/>
      <c r="O803" s="164"/>
      <c r="P803" s="140"/>
      <c r="Q803" s="191"/>
      <c r="R803" s="165"/>
      <c r="S803" s="165"/>
      <c r="T803" s="166"/>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92"/>
      <c r="AR803" s="192"/>
      <c r="AS803" s="192"/>
      <c r="AT803" s="192"/>
      <c r="AU803" s="192"/>
      <c r="AV803" s="192"/>
      <c r="AW803" s="192"/>
      <c r="AX803" s="192"/>
      <c r="AY803" s="192"/>
      <c r="AZ803" s="192"/>
      <c r="BA803" s="192"/>
      <c r="BB803" s="192"/>
      <c r="BC803" s="192"/>
      <c r="BD803" s="192"/>
      <c r="BE803" s="192"/>
      <c r="BF803" s="192"/>
      <c r="BG803" s="192"/>
      <c r="BH803" s="192"/>
      <c r="BI803" s="192"/>
      <c r="BJ803" s="192"/>
      <c r="BK803" s="192"/>
      <c r="BL803" s="192"/>
      <c r="BM803" s="192"/>
      <c r="BN803" s="192"/>
    </row>
    <row r="804" ht="29.25" customHeight="1">
      <c r="A804" s="189"/>
      <c r="B804" s="190"/>
      <c r="C804" s="157"/>
      <c r="D804" s="157"/>
      <c r="E804" s="158"/>
      <c r="F804" s="166"/>
      <c r="G804" s="161"/>
      <c r="H804" s="161"/>
      <c r="I804" s="162"/>
      <c r="J804" s="163"/>
      <c r="K804" s="163"/>
      <c r="L804" s="163"/>
      <c r="M804" s="160"/>
      <c r="N804" s="162"/>
      <c r="O804" s="164"/>
      <c r="P804" s="140"/>
      <c r="Q804" s="191"/>
      <c r="R804" s="165"/>
      <c r="S804" s="165"/>
      <c r="T804" s="166"/>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92"/>
      <c r="AR804" s="192"/>
      <c r="AS804" s="192"/>
      <c r="AT804" s="192"/>
      <c r="AU804" s="192"/>
      <c r="AV804" s="192"/>
      <c r="AW804" s="192"/>
      <c r="AX804" s="192"/>
      <c r="AY804" s="192"/>
      <c r="AZ804" s="192"/>
      <c r="BA804" s="192"/>
      <c r="BB804" s="192"/>
      <c r="BC804" s="192"/>
      <c r="BD804" s="192"/>
      <c r="BE804" s="192"/>
      <c r="BF804" s="192"/>
      <c r="BG804" s="192"/>
      <c r="BH804" s="192"/>
      <c r="BI804" s="192"/>
      <c r="BJ804" s="192"/>
      <c r="BK804" s="192"/>
      <c r="BL804" s="192"/>
      <c r="BM804" s="192"/>
      <c r="BN804" s="192"/>
    </row>
    <row r="805" ht="29.25" customHeight="1">
      <c r="A805" s="189"/>
      <c r="B805" s="190"/>
      <c r="C805" s="157"/>
      <c r="D805" s="157"/>
      <c r="E805" s="158"/>
      <c r="F805" s="166"/>
      <c r="G805" s="161"/>
      <c r="H805" s="161"/>
      <c r="I805" s="162"/>
      <c r="J805" s="163"/>
      <c r="K805" s="163"/>
      <c r="L805" s="163"/>
      <c r="M805" s="160"/>
      <c r="N805" s="162"/>
      <c r="O805" s="164"/>
      <c r="P805" s="140"/>
      <c r="Q805" s="191"/>
      <c r="R805" s="165"/>
      <c r="S805" s="165"/>
      <c r="T805" s="166"/>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92"/>
      <c r="AR805" s="192"/>
      <c r="AS805" s="192"/>
      <c r="AT805" s="192"/>
      <c r="AU805" s="192"/>
      <c r="AV805" s="192"/>
      <c r="AW805" s="192"/>
      <c r="AX805" s="192"/>
      <c r="AY805" s="192"/>
      <c r="AZ805" s="192"/>
      <c r="BA805" s="192"/>
      <c r="BB805" s="192"/>
      <c r="BC805" s="192"/>
      <c r="BD805" s="192"/>
      <c r="BE805" s="192"/>
      <c r="BF805" s="192"/>
      <c r="BG805" s="192"/>
      <c r="BH805" s="192"/>
      <c r="BI805" s="192"/>
      <c r="BJ805" s="192"/>
      <c r="BK805" s="192"/>
      <c r="BL805" s="192"/>
      <c r="BM805" s="192"/>
      <c r="BN805" s="192"/>
    </row>
    <row r="806" ht="29.25" customHeight="1">
      <c r="A806" s="189"/>
      <c r="B806" s="190"/>
      <c r="C806" s="157"/>
      <c r="D806" s="157"/>
      <c r="E806" s="158"/>
      <c r="F806" s="166"/>
      <c r="G806" s="161"/>
      <c r="H806" s="161"/>
      <c r="I806" s="162"/>
      <c r="J806" s="163"/>
      <c r="K806" s="163"/>
      <c r="L806" s="163"/>
      <c r="M806" s="160"/>
      <c r="N806" s="162"/>
      <c r="O806" s="164"/>
      <c r="P806" s="140"/>
      <c r="Q806" s="191"/>
      <c r="R806" s="165"/>
      <c r="S806" s="165"/>
      <c r="T806" s="166"/>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92"/>
      <c r="AR806" s="192"/>
      <c r="AS806" s="192"/>
      <c r="AT806" s="192"/>
      <c r="AU806" s="192"/>
      <c r="AV806" s="192"/>
      <c r="AW806" s="192"/>
      <c r="AX806" s="192"/>
      <c r="AY806" s="192"/>
      <c r="AZ806" s="192"/>
      <c r="BA806" s="192"/>
      <c r="BB806" s="192"/>
      <c r="BC806" s="192"/>
      <c r="BD806" s="192"/>
      <c r="BE806" s="192"/>
      <c r="BF806" s="192"/>
      <c r="BG806" s="192"/>
      <c r="BH806" s="192"/>
      <c r="BI806" s="192"/>
      <c r="BJ806" s="192"/>
      <c r="BK806" s="192"/>
      <c r="BL806" s="192"/>
      <c r="BM806" s="192"/>
      <c r="BN806" s="192"/>
    </row>
    <row r="807" ht="29.25" customHeight="1">
      <c r="A807" s="189"/>
      <c r="B807" s="190"/>
      <c r="C807" s="157"/>
      <c r="D807" s="157"/>
      <c r="E807" s="158"/>
      <c r="F807" s="166"/>
      <c r="G807" s="161"/>
      <c r="H807" s="161"/>
      <c r="I807" s="162"/>
      <c r="J807" s="163"/>
      <c r="K807" s="163"/>
      <c r="L807" s="163"/>
      <c r="M807" s="160"/>
      <c r="N807" s="162"/>
      <c r="O807" s="164"/>
      <c r="P807" s="140"/>
      <c r="Q807" s="191"/>
      <c r="R807" s="165"/>
      <c r="S807" s="165"/>
      <c r="T807" s="166"/>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92"/>
      <c r="AR807" s="192"/>
      <c r="AS807" s="192"/>
      <c r="AT807" s="192"/>
      <c r="AU807" s="192"/>
      <c r="AV807" s="192"/>
      <c r="AW807" s="192"/>
      <c r="AX807" s="192"/>
      <c r="AY807" s="192"/>
      <c r="AZ807" s="192"/>
      <c r="BA807" s="192"/>
      <c r="BB807" s="192"/>
      <c r="BC807" s="192"/>
      <c r="BD807" s="192"/>
      <c r="BE807" s="192"/>
      <c r="BF807" s="192"/>
      <c r="BG807" s="192"/>
      <c r="BH807" s="192"/>
      <c r="BI807" s="192"/>
      <c r="BJ807" s="192"/>
      <c r="BK807" s="192"/>
      <c r="BL807" s="192"/>
      <c r="BM807" s="192"/>
      <c r="BN807" s="192"/>
    </row>
    <row r="808" ht="29.25" customHeight="1">
      <c r="A808" s="189"/>
      <c r="B808" s="190"/>
      <c r="C808" s="157"/>
      <c r="D808" s="157"/>
      <c r="E808" s="158"/>
      <c r="F808" s="166"/>
      <c r="G808" s="161"/>
      <c r="H808" s="161"/>
      <c r="I808" s="162"/>
      <c r="J808" s="163"/>
      <c r="K808" s="163"/>
      <c r="L808" s="163"/>
      <c r="M808" s="160"/>
      <c r="N808" s="162"/>
      <c r="O808" s="164"/>
      <c r="P808" s="140"/>
      <c r="Q808" s="191"/>
      <c r="R808" s="165"/>
      <c r="S808" s="165"/>
      <c r="T808" s="166"/>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92"/>
      <c r="AR808" s="192"/>
      <c r="AS808" s="192"/>
      <c r="AT808" s="192"/>
      <c r="AU808" s="192"/>
      <c r="AV808" s="192"/>
      <c r="AW808" s="192"/>
      <c r="AX808" s="192"/>
      <c r="AY808" s="192"/>
      <c r="AZ808" s="192"/>
      <c r="BA808" s="192"/>
      <c r="BB808" s="192"/>
      <c r="BC808" s="192"/>
      <c r="BD808" s="192"/>
      <c r="BE808" s="192"/>
      <c r="BF808" s="192"/>
      <c r="BG808" s="192"/>
      <c r="BH808" s="192"/>
      <c r="BI808" s="192"/>
      <c r="BJ808" s="192"/>
      <c r="BK808" s="192"/>
      <c r="BL808" s="192"/>
      <c r="BM808" s="192"/>
      <c r="BN808" s="192"/>
    </row>
    <row r="809" ht="29.25" customHeight="1">
      <c r="A809" s="189"/>
      <c r="B809" s="190"/>
      <c r="C809" s="157"/>
      <c r="D809" s="157"/>
      <c r="E809" s="158"/>
      <c r="F809" s="166"/>
      <c r="G809" s="161"/>
      <c r="H809" s="161"/>
      <c r="I809" s="162"/>
      <c r="J809" s="163"/>
      <c r="K809" s="163"/>
      <c r="L809" s="163"/>
      <c r="M809" s="160"/>
      <c r="N809" s="162"/>
      <c r="O809" s="164"/>
      <c r="P809" s="140"/>
      <c r="Q809" s="191"/>
      <c r="R809" s="165"/>
      <c r="S809" s="165"/>
      <c r="T809" s="166"/>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92"/>
      <c r="AR809" s="192"/>
      <c r="AS809" s="192"/>
      <c r="AT809" s="192"/>
      <c r="AU809" s="192"/>
      <c r="AV809" s="192"/>
      <c r="AW809" s="192"/>
      <c r="AX809" s="192"/>
      <c r="AY809" s="192"/>
      <c r="AZ809" s="192"/>
      <c r="BA809" s="192"/>
      <c r="BB809" s="192"/>
      <c r="BC809" s="192"/>
      <c r="BD809" s="192"/>
      <c r="BE809" s="192"/>
      <c r="BF809" s="192"/>
      <c r="BG809" s="192"/>
      <c r="BH809" s="192"/>
      <c r="BI809" s="192"/>
      <c r="BJ809" s="192"/>
      <c r="BK809" s="192"/>
      <c r="BL809" s="192"/>
      <c r="BM809" s="192"/>
      <c r="BN809" s="192"/>
    </row>
    <row r="810" ht="29.25" customHeight="1">
      <c r="A810" s="189"/>
      <c r="B810" s="190"/>
      <c r="C810" s="157"/>
      <c r="D810" s="157"/>
      <c r="E810" s="158"/>
      <c r="F810" s="166"/>
      <c r="G810" s="161"/>
      <c r="H810" s="161"/>
      <c r="I810" s="162"/>
      <c r="J810" s="163"/>
      <c r="K810" s="163"/>
      <c r="L810" s="163"/>
      <c r="M810" s="160"/>
      <c r="N810" s="162"/>
      <c r="O810" s="164"/>
      <c r="P810" s="140"/>
      <c r="Q810" s="191"/>
      <c r="R810" s="165"/>
      <c r="S810" s="165"/>
      <c r="T810" s="166"/>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92"/>
      <c r="AR810" s="192"/>
      <c r="AS810" s="192"/>
      <c r="AT810" s="192"/>
      <c r="AU810" s="192"/>
      <c r="AV810" s="192"/>
      <c r="AW810" s="192"/>
      <c r="AX810" s="192"/>
      <c r="AY810" s="192"/>
      <c r="AZ810" s="192"/>
      <c r="BA810" s="192"/>
      <c r="BB810" s="192"/>
      <c r="BC810" s="192"/>
      <c r="BD810" s="192"/>
      <c r="BE810" s="192"/>
      <c r="BF810" s="192"/>
      <c r="BG810" s="192"/>
      <c r="BH810" s="192"/>
      <c r="BI810" s="192"/>
      <c r="BJ810" s="192"/>
      <c r="BK810" s="192"/>
      <c r="BL810" s="192"/>
      <c r="BM810" s="192"/>
      <c r="BN810" s="192"/>
    </row>
    <row r="811" ht="29.25" customHeight="1">
      <c r="A811" s="189"/>
      <c r="B811" s="190"/>
      <c r="C811" s="157"/>
      <c r="D811" s="157"/>
      <c r="E811" s="158"/>
      <c r="F811" s="166"/>
      <c r="G811" s="161"/>
      <c r="H811" s="161"/>
      <c r="I811" s="162"/>
      <c r="J811" s="163"/>
      <c r="K811" s="163"/>
      <c r="L811" s="163"/>
      <c r="M811" s="160"/>
      <c r="N811" s="162"/>
      <c r="O811" s="164"/>
      <c r="P811" s="140"/>
      <c r="Q811" s="191"/>
      <c r="R811" s="165"/>
      <c r="S811" s="165"/>
      <c r="T811" s="166"/>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92"/>
      <c r="AR811" s="192"/>
      <c r="AS811" s="192"/>
      <c r="AT811" s="192"/>
      <c r="AU811" s="192"/>
      <c r="AV811" s="192"/>
      <c r="AW811" s="192"/>
      <c r="AX811" s="192"/>
      <c r="AY811" s="192"/>
      <c r="AZ811" s="192"/>
      <c r="BA811" s="192"/>
      <c r="BB811" s="192"/>
      <c r="BC811" s="192"/>
      <c r="BD811" s="192"/>
      <c r="BE811" s="192"/>
      <c r="BF811" s="192"/>
      <c r="BG811" s="192"/>
      <c r="BH811" s="192"/>
      <c r="BI811" s="192"/>
      <c r="BJ811" s="192"/>
      <c r="BK811" s="192"/>
      <c r="BL811" s="192"/>
      <c r="BM811" s="192"/>
      <c r="BN811" s="192"/>
    </row>
    <row r="812" ht="29.25" customHeight="1">
      <c r="A812" s="189"/>
      <c r="B812" s="190"/>
      <c r="C812" s="157"/>
      <c r="D812" s="157"/>
      <c r="E812" s="158"/>
      <c r="F812" s="166"/>
      <c r="G812" s="161"/>
      <c r="H812" s="161"/>
      <c r="I812" s="162"/>
      <c r="J812" s="163"/>
      <c r="K812" s="163"/>
      <c r="L812" s="163"/>
      <c r="M812" s="160"/>
      <c r="N812" s="162"/>
      <c r="O812" s="164"/>
      <c r="P812" s="140"/>
      <c r="Q812" s="191"/>
      <c r="R812" s="165"/>
      <c r="S812" s="165"/>
      <c r="T812" s="166"/>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92"/>
      <c r="AR812" s="192"/>
      <c r="AS812" s="192"/>
      <c r="AT812" s="192"/>
      <c r="AU812" s="192"/>
      <c r="AV812" s="192"/>
      <c r="AW812" s="192"/>
      <c r="AX812" s="192"/>
      <c r="AY812" s="192"/>
      <c r="AZ812" s="192"/>
      <c r="BA812" s="192"/>
      <c r="BB812" s="192"/>
      <c r="BC812" s="192"/>
      <c r="BD812" s="192"/>
      <c r="BE812" s="192"/>
      <c r="BF812" s="192"/>
      <c r="BG812" s="192"/>
      <c r="BH812" s="192"/>
      <c r="BI812" s="192"/>
      <c r="BJ812" s="192"/>
      <c r="BK812" s="192"/>
      <c r="BL812" s="192"/>
      <c r="BM812" s="192"/>
      <c r="BN812" s="192"/>
    </row>
    <row r="813" ht="29.25" customHeight="1">
      <c r="A813" s="189"/>
      <c r="B813" s="190"/>
      <c r="C813" s="157"/>
      <c r="D813" s="157"/>
      <c r="E813" s="158"/>
      <c r="F813" s="166"/>
      <c r="G813" s="161"/>
      <c r="H813" s="161"/>
      <c r="I813" s="162"/>
      <c r="J813" s="163"/>
      <c r="K813" s="163"/>
      <c r="L813" s="163"/>
      <c r="M813" s="160"/>
      <c r="N813" s="162"/>
      <c r="O813" s="164"/>
      <c r="P813" s="140"/>
      <c r="Q813" s="191"/>
      <c r="R813" s="165"/>
      <c r="S813" s="165"/>
      <c r="T813" s="166"/>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92"/>
      <c r="AR813" s="192"/>
      <c r="AS813" s="192"/>
      <c r="AT813" s="192"/>
      <c r="AU813" s="192"/>
      <c r="AV813" s="192"/>
      <c r="AW813" s="192"/>
      <c r="AX813" s="192"/>
      <c r="AY813" s="192"/>
      <c r="AZ813" s="192"/>
      <c r="BA813" s="192"/>
      <c r="BB813" s="192"/>
      <c r="BC813" s="192"/>
      <c r="BD813" s="192"/>
      <c r="BE813" s="192"/>
      <c r="BF813" s="192"/>
      <c r="BG813" s="192"/>
      <c r="BH813" s="192"/>
      <c r="BI813" s="192"/>
      <c r="BJ813" s="192"/>
      <c r="BK813" s="192"/>
      <c r="BL813" s="192"/>
      <c r="BM813" s="192"/>
      <c r="BN813" s="192"/>
    </row>
    <row r="814" ht="29.25" customHeight="1">
      <c r="A814" s="189"/>
      <c r="B814" s="190"/>
      <c r="C814" s="157"/>
      <c r="D814" s="157"/>
      <c r="E814" s="158"/>
      <c r="F814" s="166"/>
      <c r="G814" s="161"/>
      <c r="H814" s="161"/>
      <c r="I814" s="162"/>
      <c r="J814" s="163"/>
      <c r="K814" s="163"/>
      <c r="L814" s="163"/>
      <c r="M814" s="160"/>
      <c r="N814" s="162"/>
      <c r="O814" s="164"/>
      <c r="P814" s="140"/>
      <c r="Q814" s="191"/>
      <c r="R814" s="165"/>
      <c r="S814" s="165"/>
      <c r="T814" s="166"/>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92"/>
      <c r="AR814" s="192"/>
      <c r="AS814" s="192"/>
      <c r="AT814" s="192"/>
      <c r="AU814" s="192"/>
      <c r="AV814" s="192"/>
      <c r="AW814" s="192"/>
      <c r="AX814" s="192"/>
      <c r="AY814" s="192"/>
      <c r="AZ814" s="192"/>
      <c r="BA814" s="192"/>
      <c r="BB814" s="192"/>
      <c r="BC814" s="192"/>
      <c r="BD814" s="192"/>
      <c r="BE814" s="192"/>
      <c r="BF814" s="192"/>
      <c r="BG814" s="192"/>
      <c r="BH814" s="192"/>
      <c r="BI814" s="192"/>
      <c r="BJ814" s="192"/>
      <c r="BK814" s="192"/>
      <c r="BL814" s="192"/>
      <c r="BM814" s="192"/>
      <c r="BN814" s="192"/>
    </row>
    <row r="815" ht="29.25" customHeight="1">
      <c r="A815" s="189"/>
      <c r="B815" s="190"/>
      <c r="C815" s="157"/>
      <c r="D815" s="157"/>
      <c r="E815" s="158"/>
      <c r="F815" s="166"/>
      <c r="G815" s="161"/>
      <c r="H815" s="161"/>
      <c r="I815" s="162"/>
      <c r="J815" s="163"/>
      <c r="K815" s="163"/>
      <c r="L815" s="163"/>
      <c r="M815" s="160"/>
      <c r="N815" s="162"/>
      <c r="O815" s="164"/>
      <c r="P815" s="140"/>
      <c r="Q815" s="191"/>
      <c r="R815" s="165"/>
      <c r="S815" s="165"/>
      <c r="T815" s="166"/>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92"/>
      <c r="AR815" s="192"/>
      <c r="AS815" s="192"/>
      <c r="AT815" s="192"/>
      <c r="AU815" s="192"/>
      <c r="AV815" s="192"/>
      <c r="AW815" s="192"/>
      <c r="AX815" s="192"/>
      <c r="AY815" s="192"/>
      <c r="AZ815" s="192"/>
      <c r="BA815" s="192"/>
      <c r="BB815" s="192"/>
      <c r="BC815" s="192"/>
      <c r="BD815" s="192"/>
      <c r="BE815" s="192"/>
      <c r="BF815" s="192"/>
      <c r="BG815" s="192"/>
      <c r="BH815" s="192"/>
      <c r="BI815" s="192"/>
      <c r="BJ815" s="192"/>
      <c r="BK815" s="192"/>
      <c r="BL815" s="192"/>
      <c r="BM815" s="192"/>
      <c r="BN815" s="192"/>
    </row>
    <row r="816" ht="29.25" customHeight="1">
      <c r="A816" s="189"/>
      <c r="B816" s="190"/>
      <c r="C816" s="157"/>
      <c r="D816" s="157"/>
      <c r="E816" s="158"/>
      <c r="F816" s="166"/>
      <c r="G816" s="161"/>
      <c r="H816" s="161"/>
      <c r="I816" s="162"/>
      <c r="J816" s="163"/>
      <c r="K816" s="163"/>
      <c r="L816" s="163"/>
      <c r="M816" s="160"/>
      <c r="N816" s="162"/>
      <c r="O816" s="164"/>
      <c r="P816" s="140"/>
      <c r="Q816" s="191"/>
      <c r="R816" s="165"/>
      <c r="S816" s="165"/>
      <c r="T816" s="166"/>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92"/>
      <c r="AR816" s="192"/>
      <c r="AS816" s="192"/>
      <c r="AT816" s="192"/>
      <c r="AU816" s="192"/>
      <c r="AV816" s="192"/>
      <c r="AW816" s="192"/>
      <c r="AX816" s="192"/>
      <c r="AY816" s="192"/>
      <c r="AZ816" s="192"/>
      <c r="BA816" s="192"/>
      <c r="BB816" s="192"/>
      <c r="BC816" s="192"/>
      <c r="BD816" s="192"/>
      <c r="BE816" s="192"/>
      <c r="BF816" s="192"/>
      <c r="BG816" s="192"/>
      <c r="BH816" s="192"/>
      <c r="BI816" s="192"/>
      <c r="BJ816" s="192"/>
      <c r="BK816" s="192"/>
      <c r="BL816" s="192"/>
      <c r="BM816" s="192"/>
      <c r="BN816" s="192"/>
    </row>
    <row r="817" ht="29.25" customHeight="1">
      <c r="A817" s="189"/>
      <c r="B817" s="190"/>
      <c r="C817" s="157"/>
      <c r="D817" s="157"/>
      <c r="E817" s="158"/>
      <c r="F817" s="166"/>
      <c r="G817" s="161"/>
      <c r="H817" s="161"/>
      <c r="I817" s="162"/>
      <c r="J817" s="163"/>
      <c r="K817" s="163"/>
      <c r="L817" s="163"/>
      <c r="M817" s="160"/>
      <c r="N817" s="162"/>
      <c r="O817" s="164"/>
      <c r="P817" s="140"/>
      <c r="Q817" s="191"/>
      <c r="R817" s="165"/>
      <c r="S817" s="165"/>
      <c r="T817" s="166"/>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92"/>
      <c r="AR817" s="192"/>
      <c r="AS817" s="192"/>
      <c r="AT817" s="192"/>
      <c r="AU817" s="192"/>
      <c r="AV817" s="192"/>
      <c r="AW817" s="192"/>
      <c r="AX817" s="192"/>
      <c r="AY817" s="192"/>
      <c r="AZ817" s="192"/>
      <c r="BA817" s="192"/>
      <c r="BB817" s="192"/>
      <c r="BC817" s="192"/>
      <c r="BD817" s="192"/>
      <c r="BE817" s="192"/>
      <c r="BF817" s="192"/>
      <c r="BG817" s="192"/>
      <c r="BH817" s="192"/>
      <c r="BI817" s="192"/>
      <c r="BJ817" s="192"/>
      <c r="BK817" s="192"/>
      <c r="BL817" s="192"/>
      <c r="BM817" s="192"/>
      <c r="BN817" s="192"/>
    </row>
    <row r="818" ht="29.25" customHeight="1">
      <c r="A818" s="189"/>
      <c r="B818" s="190"/>
      <c r="C818" s="157"/>
      <c r="D818" s="157"/>
      <c r="E818" s="158"/>
      <c r="F818" s="166"/>
      <c r="G818" s="161"/>
      <c r="H818" s="161"/>
      <c r="I818" s="162"/>
      <c r="J818" s="163"/>
      <c r="K818" s="163"/>
      <c r="L818" s="163"/>
      <c r="M818" s="160"/>
      <c r="N818" s="162"/>
      <c r="O818" s="164"/>
      <c r="P818" s="140"/>
      <c r="Q818" s="191"/>
      <c r="R818" s="165"/>
      <c r="S818" s="165"/>
      <c r="T818" s="166"/>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92"/>
      <c r="AR818" s="192"/>
      <c r="AS818" s="192"/>
      <c r="AT818" s="192"/>
      <c r="AU818" s="192"/>
      <c r="AV818" s="192"/>
      <c r="AW818" s="192"/>
      <c r="AX818" s="192"/>
      <c r="AY818" s="192"/>
      <c r="AZ818" s="192"/>
      <c r="BA818" s="192"/>
      <c r="BB818" s="192"/>
      <c r="BC818" s="192"/>
      <c r="BD818" s="192"/>
      <c r="BE818" s="192"/>
      <c r="BF818" s="192"/>
      <c r="BG818" s="192"/>
      <c r="BH818" s="192"/>
      <c r="BI818" s="192"/>
      <c r="BJ818" s="192"/>
      <c r="BK818" s="192"/>
      <c r="BL818" s="192"/>
      <c r="BM818" s="192"/>
      <c r="BN818" s="192"/>
    </row>
    <row r="819" ht="29.25" customHeight="1">
      <c r="A819" s="189"/>
      <c r="B819" s="190"/>
      <c r="C819" s="157"/>
      <c r="D819" s="157"/>
      <c r="E819" s="158"/>
      <c r="F819" s="166"/>
      <c r="G819" s="161"/>
      <c r="H819" s="161"/>
      <c r="I819" s="162"/>
      <c r="J819" s="163"/>
      <c r="K819" s="163"/>
      <c r="L819" s="163"/>
      <c r="M819" s="160"/>
      <c r="N819" s="162"/>
      <c r="O819" s="164"/>
      <c r="P819" s="140"/>
      <c r="Q819" s="191"/>
      <c r="R819" s="165"/>
      <c r="S819" s="165"/>
      <c r="T819" s="166"/>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92"/>
      <c r="AR819" s="192"/>
      <c r="AS819" s="192"/>
      <c r="AT819" s="192"/>
      <c r="AU819" s="192"/>
      <c r="AV819" s="192"/>
      <c r="AW819" s="192"/>
      <c r="AX819" s="192"/>
      <c r="AY819" s="192"/>
      <c r="AZ819" s="192"/>
      <c r="BA819" s="192"/>
      <c r="BB819" s="192"/>
      <c r="BC819" s="192"/>
      <c r="BD819" s="192"/>
      <c r="BE819" s="192"/>
      <c r="BF819" s="192"/>
      <c r="BG819" s="192"/>
      <c r="BH819" s="192"/>
      <c r="BI819" s="192"/>
      <c r="BJ819" s="192"/>
      <c r="BK819" s="192"/>
      <c r="BL819" s="192"/>
      <c r="BM819" s="192"/>
      <c r="BN819" s="192"/>
    </row>
    <row r="820" ht="29.25" customHeight="1">
      <c r="A820" s="189"/>
      <c r="B820" s="190"/>
      <c r="C820" s="157"/>
      <c r="D820" s="157"/>
      <c r="E820" s="158"/>
      <c r="F820" s="166"/>
      <c r="G820" s="161"/>
      <c r="H820" s="161"/>
      <c r="I820" s="162"/>
      <c r="J820" s="163"/>
      <c r="K820" s="163"/>
      <c r="L820" s="163"/>
      <c r="M820" s="160"/>
      <c r="N820" s="162"/>
      <c r="O820" s="164"/>
      <c r="P820" s="140"/>
      <c r="Q820" s="191"/>
      <c r="R820" s="165"/>
      <c r="S820" s="165"/>
      <c r="T820" s="166"/>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92"/>
      <c r="AR820" s="192"/>
      <c r="AS820" s="192"/>
      <c r="AT820" s="192"/>
      <c r="AU820" s="192"/>
      <c r="AV820" s="192"/>
      <c r="AW820" s="192"/>
      <c r="AX820" s="192"/>
      <c r="AY820" s="192"/>
      <c r="AZ820" s="192"/>
      <c r="BA820" s="192"/>
      <c r="BB820" s="192"/>
      <c r="BC820" s="192"/>
      <c r="BD820" s="192"/>
      <c r="BE820" s="192"/>
      <c r="BF820" s="192"/>
      <c r="BG820" s="192"/>
      <c r="BH820" s="192"/>
      <c r="BI820" s="192"/>
      <c r="BJ820" s="192"/>
      <c r="BK820" s="192"/>
      <c r="BL820" s="192"/>
      <c r="BM820" s="192"/>
      <c r="BN820" s="192"/>
    </row>
    <row r="821" ht="29.25" customHeight="1">
      <c r="A821" s="189"/>
      <c r="B821" s="190"/>
      <c r="C821" s="157"/>
      <c r="D821" s="157"/>
      <c r="E821" s="158"/>
      <c r="F821" s="166"/>
      <c r="G821" s="161"/>
      <c r="H821" s="161"/>
      <c r="I821" s="162"/>
      <c r="J821" s="163"/>
      <c r="K821" s="163"/>
      <c r="L821" s="163"/>
      <c r="M821" s="160"/>
      <c r="N821" s="162"/>
      <c r="O821" s="164"/>
      <c r="P821" s="140"/>
      <c r="Q821" s="191"/>
      <c r="R821" s="165"/>
      <c r="S821" s="165"/>
      <c r="T821" s="166"/>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92"/>
      <c r="AR821" s="192"/>
      <c r="AS821" s="192"/>
      <c r="AT821" s="192"/>
      <c r="AU821" s="192"/>
      <c r="AV821" s="192"/>
      <c r="AW821" s="192"/>
      <c r="AX821" s="192"/>
      <c r="AY821" s="192"/>
      <c r="AZ821" s="192"/>
      <c r="BA821" s="192"/>
      <c r="BB821" s="192"/>
      <c r="BC821" s="192"/>
      <c r="BD821" s="192"/>
      <c r="BE821" s="192"/>
      <c r="BF821" s="192"/>
      <c r="BG821" s="192"/>
      <c r="BH821" s="192"/>
      <c r="BI821" s="192"/>
      <c r="BJ821" s="192"/>
      <c r="BK821" s="192"/>
      <c r="BL821" s="192"/>
      <c r="BM821" s="192"/>
      <c r="BN821" s="192"/>
    </row>
    <row r="822" ht="29.25" customHeight="1">
      <c r="A822" s="189"/>
      <c r="B822" s="190"/>
      <c r="C822" s="157"/>
      <c r="D822" s="157"/>
      <c r="E822" s="158"/>
      <c r="F822" s="166"/>
      <c r="G822" s="161"/>
      <c r="H822" s="161"/>
      <c r="I822" s="162"/>
      <c r="J822" s="163"/>
      <c r="K822" s="163"/>
      <c r="L822" s="163"/>
      <c r="M822" s="160"/>
      <c r="N822" s="162"/>
      <c r="O822" s="164"/>
      <c r="P822" s="140"/>
      <c r="Q822" s="191"/>
      <c r="R822" s="165"/>
      <c r="S822" s="165"/>
      <c r="T822" s="166"/>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92"/>
      <c r="AR822" s="192"/>
      <c r="AS822" s="192"/>
      <c r="AT822" s="192"/>
      <c r="AU822" s="192"/>
      <c r="AV822" s="192"/>
      <c r="AW822" s="192"/>
      <c r="AX822" s="192"/>
      <c r="AY822" s="192"/>
      <c r="AZ822" s="192"/>
      <c r="BA822" s="192"/>
      <c r="BB822" s="192"/>
      <c r="BC822" s="192"/>
      <c r="BD822" s="192"/>
      <c r="BE822" s="192"/>
      <c r="BF822" s="192"/>
      <c r="BG822" s="192"/>
      <c r="BH822" s="192"/>
      <c r="BI822" s="192"/>
      <c r="BJ822" s="192"/>
      <c r="BK822" s="192"/>
      <c r="BL822" s="192"/>
      <c r="BM822" s="192"/>
      <c r="BN822" s="192"/>
    </row>
    <row r="823" ht="29.25" customHeight="1">
      <c r="A823" s="189"/>
      <c r="B823" s="190"/>
      <c r="C823" s="157"/>
      <c r="D823" s="157"/>
      <c r="E823" s="158"/>
      <c r="F823" s="166"/>
      <c r="G823" s="161"/>
      <c r="H823" s="161"/>
      <c r="I823" s="162"/>
      <c r="J823" s="163"/>
      <c r="K823" s="163"/>
      <c r="L823" s="163"/>
      <c r="M823" s="160"/>
      <c r="N823" s="162"/>
      <c r="O823" s="164"/>
      <c r="P823" s="140"/>
      <c r="Q823" s="191"/>
      <c r="R823" s="165"/>
      <c r="S823" s="165"/>
      <c r="T823" s="166"/>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92"/>
      <c r="AR823" s="192"/>
      <c r="AS823" s="192"/>
      <c r="AT823" s="192"/>
      <c r="AU823" s="192"/>
      <c r="AV823" s="192"/>
      <c r="AW823" s="192"/>
      <c r="AX823" s="192"/>
      <c r="AY823" s="192"/>
      <c r="AZ823" s="192"/>
      <c r="BA823" s="192"/>
      <c r="BB823" s="192"/>
      <c r="BC823" s="192"/>
      <c r="BD823" s="192"/>
      <c r="BE823" s="192"/>
      <c r="BF823" s="192"/>
      <c r="BG823" s="192"/>
      <c r="BH823" s="192"/>
      <c r="BI823" s="192"/>
      <c r="BJ823" s="192"/>
      <c r="BK823" s="192"/>
      <c r="BL823" s="192"/>
      <c r="BM823" s="192"/>
      <c r="BN823" s="192"/>
    </row>
    <row r="824" ht="29.25" customHeight="1">
      <c r="A824" s="189"/>
      <c r="B824" s="190"/>
      <c r="C824" s="157"/>
      <c r="D824" s="157"/>
      <c r="E824" s="158"/>
      <c r="F824" s="166"/>
      <c r="G824" s="161"/>
      <c r="H824" s="161"/>
      <c r="I824" s="162"/>
      <c r="J824" s="163"/>
      <c r="K824" s="163"/>
      <c r="L824" s="163"/>
      <c r="M824" s="160"/>
      <c r="N824" s="162"/>
      <c r="O824" s="164"/>
      <c r="P824" s="140"/>
      <c r="Q824" s="191"/>
      <c r="R824" s="165"/>
      <c r="S824" s="165"/>
      <c r="T824" s="166"/>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92"/>
      <c r="AR824" s="192"/>
      <c r="AS824" s="192"/>
      <c r="AT824" s="192"/>
      <c r="AU824" s="192"/>
      <c r="AV824" s="192"/>
      <c r="AW824" s="192"/>
      <c r="AX824" s="192"/>
      <c r="AY824" s="192"/>
      <c r="AZ824" s="192"/>
      <c r="BA824" s="192"/>
      <c r="BB824" s="192"/>
      <c r="BC824" s="192"/>
      <c r="BD824" s="192"/>
      <c r="BE824" s="192"/>
      <c r="BF824" s="192"/>
      <c r="BG824" s="192"/>
      <c r="BH824" s="192"/>
      <c r="BI824" s="192"/>
      <c r="BJ824" s="192"/>
      <c r="BK824" s="192"/>
      <c r="BL824" s="192"/>
      <c r="BM824" s="192"/>
      <c r="BN824" s="192"/>
    </row>
    <row r="825" ht="29.25" customHeight="1">
      <c r="A825" s="189"/>
      <c r="B825" s="190"/>
      <c r="C825" s="157"/>
      <c r="D825" s="157"/>
      <c r="E825" s="158"/>
      <c r="F825" s="166"/>
      <c r="G825" s="161"/>
      <c r="H825" s="161"/>
      <c r="I825" s="162"/>
      <c r="J825" s="163"/>
      <c r="K825" s="163"/>
      <c r="L825" s="163"/>
      <c r="M825" s="160"/>
      <c r="N825" s="162"/>
      <c r="O825" s="164"/>
      <c r="P825" s="140"/>
      <c r="Q825" s="191"/>
      <c r="R825" s="165"/>
      <c r="S825" s="165"/>
      <c r="T825" s="166"/>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92"/>
      <c r="AR825" s="192"/>
      <c r="AS825" s="192"/>
      <c r="AT825" s="192"/>
      <c r="AU825" s="192"/>
      <c r="AV825" s="192"/>
      <c r="AW825" s="192"/>
      <c r="AX825" s="192"/>
      <c r="AY825" s="192"/>
      <c r="AZ825" s="192"/>
      <c r="BA825" s="192"/>
      <c r="BB825" s="192"/>
      <c r="BC825" s="192"/>
      <c r="BD825" s="192"/>
      <c r="BE825" s="192"/>
      <c r="BF825" s="192"/>
      <c r="BG825" s="192"/>
      <c r="BH825" s="192"/>
      <c r="BI825" s="192"/>
      <c r="BJ825" s="192"/>
      <c r="BK825" s="192"/>
      <c r="BL825" s="192"/>
      <c r="BM825" s="192"/>
      <c r="BN825" s="192"/>
    </row>
    <row r="826" ht="29.25" customHeight="1">
      <c r="A826" s="189"/>
      <c r="B826" s="190"/>
      <c r="C826" s="157"/>
      <c r="D826" s="157"/>
      <c r="E826" s="158"/>
      <c r="F826" s="166"/>
      <c r="G826" s="161"/>
      <c r="H826" s="161"/>
      <c r="I826" s="162"/>
      <c r="J826" s="163"/>
      <c r="K826" s="163"/>
      <c r="L826" s="163"/>
      <c r="M826" s="160"/>
      <c r="N826" s="162"/>
      <c r="O826" s="164"/>
      <c r="P826" s="140"/>
      <c r="Q826" s="191"/>
      <c r="R826" s="165"/>
      <c r="S826" s="165"/>
      <c r="T826" s="166"/>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92"/>
      <c r="AR826" s="192"/>
      <c r="AS826" s="192"/>
      <c r="AT826" s="192"/>
      <c r="AU826" s="192"/>
      <c r="AV826" s="192"/>
      <c r="AW826" s="192"/>
      <c r="AX826" s="192"/>
      <c r="AY826" s="192"/>
      <c r="AZ826" s="192"/>
      <c r="BA826" s="192"/>
      <c r="BB826" s="192"/>
      <c r="BC826" s="192"/>
      <c r="BD826" s="192"/>
      <c r="BE826" s="192"/>
      <c r="BF826" s="192"/>
      <c r="BG826" s="192"/>
      <c r="BH826" s="192"/>
      <c r="BI826" s="192"/>
      <c r="BJ826" s="192"/>
      <c r="BK826" s="192"/>
      <c r="BL826" s="192"/>
      <c r="BM826" s="192"/>
      <c r="BN826" s="192"/>
    </row>
    <row r="827" ht="29.25" customHeight="1">
      <c r="A827" s="189"/>
      <c r="B827" s="190"/>
      <c r="C827" s="157"/>
      <c r="D827" s="157"/>
      <c r="E827" s="158"/>
      <c r="F827" s="166"/>
      <c r="G827" s="161"/>
      <c r="H827" s="161"/>
      <c r="I827" s="162"/>
      <c r="J827" s="163"/>
      <c r="K827" s="163"/>
      <c r="L827" s="163"/>
      <c r="M827" s="160"/>
      <c r="N827" s="162"/>
      <c r="O827" s="164"/>
      <c r="P827" s="140"/>
      <c r="Q827" s="191"/>
      <c r="R827" s="165"/>
      <c r="S827" s="165"/>
      <c r="T827" s="166"/>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92"/>
      <c r="AR827" s="192"/>
      <c r="AS827" s="192"/>
      <c r="AT827" s="192"/>
      <c r="AU827" s="192"/>
      <c r="AV827" s="192"/>
      <c r="AW827" s="192"/>
      <c r="AX827" s="192"/>
      <c r="AY827" s="192"/>
      <c r="AZ827" s="192"/>
      <c r="BA827" s="192"/>
      <c r="BB827" s="192"/>
      <c r="BC827" s="192"/>
      <c r="BD827" s="192"/>
      <c r="BE827" s="192"/>
      <c r="BF827" s="192"/>
      <c r="BG827" s="192"/>
      <c r="BH827" s="192"/>
      <c r="BI827" s="192"/>
      <c r="BJ827" s="192"/>
      <c r="BK827" s="192"/>
      <c r="BL827" s="192"/>
      <c r="BM827" s="192"/>
      <c r="BN827" s="192"/>
    </row>
    <row r="828" ht="29.25" customHeight="1">
      <c r="A828" s="189"/>
      <c r="B828" s="190"/>
      <c r="C828" s="157"/>
      <c r="D828" s="157"/>
      <c r="E828" s="158"/>
      <c r="F828" s="166"/>
      <c r="G828" s="161"/>
      <c r="H828" s="161"/>
      <c r="I828" s="162"/>
      <c r="J828" s="163"/>
      <c r="K828" s="163"/>
      <c r="L828" s="163"/>
      <c r="M828" s="160"/>
      <c r="N828" s="162"/>
      <c r="O828" s="164"/>
      <c r="P828" s="140"/>
      <c r="Q828" s="191"/>
      <c r="R828" s="165"/>
      <c r="S828" s="165"/>
      <c r="T828" s="166"/>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92"/>
      <c r="AR828" s="192"/>
      <c r="AS828" s="192"/>
      <c r="AT828" s="192"/>
      <c r="AU828" s="192"/>
      <c r="AV828" s="192"/>
      <c r="AW828" s="192"/>
      <c r="AX828" s="192"/>
      <c r="AY828" s="192"/>
      <c r="AZ828" s="192"/>
      <c r="BA828" s="192"/>
      <c r="BB828" s="192"/>
      <c r="BC828" s="192"/>
      <c r="BD828" s="192"/>
      <c r="BE828" s="192"/>
      <c r="BF828" s="192"/>
      <c r="BG828" s="192"/>
      <c r="BH828" s="192"/>
      <c r="BI828" s="192"/>
      <c r="BJ828" s="192"/>
      <c r="BK828" s="192"/>
      <c r="BL828" s="192"/>
      <c r="BM828" s="192"/>
      <c r="BN828" s="192"/>
    </row>
    <row r="829" ht="29.25" customHeight="1">
      <c r="A829" s="189"/>
      <c r="B829" s="190"/>
      <c r="C829" s="157"/>
      <c r="D829" s="157"/>
      <c r="E829" s="158"/>
      <c r="F829" s="166"/>
      <c r="G829" s="161"/>
      <c r="H829" s="161"/>
      <c r="I829" s="162"/>
      <c r="J829" s="163"/>
      <c r="K829" s="163"/>
      <c r="L829" s="163"/>
      <c r="M829" s="160"/>
      <c r="N829" s="162"/>
      <c r="O829" s="164"/>
      <c r="P829" s="140"/>
      <c r="Q829" s="191"/>
      <c r="R829" s="165"/>
      <c r="S829" s="165"/>
      <c r="T829" s="166"/>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92"/>
      <c r="AR829" s="192"/>
      <c r="AS829" s="192"/>
      <c r="AT829" s="192"/>
      <c r="AU829" s="192"/>
      <c r="AV829" s="192"/>
      <c r="AW829" s="192"/>
      <c r="AX829" s="192"/>
      <c r="AY829" s="192"/>
      <c r="AZ829" s="192"/>
      <c r="BA829" s="192"/>
      <c r="BB829" s="192"/>
      <c r="BC829" s="192"/>
      <c r="BD829" s="192"/>
      <c r="BE829" s="192"/>
      <c r="BF829" s="192"/>
      <c r="BG829" s="192"/>
      <c r="BH829" s="192"/>
      <c r="BI829" s="192"/>
      <c r="BJ829" s="192"/>
      <c r="BK829" s="192"/>
      <c r="BL829" s="192"/>
      <c r="BM829" s="192"/>
      <c r="BN829" s="192"/>
    </row>
    <row r="830" ht="29.25" customHeight="1">
      <c r="A830" s="189"/>
      <c r="B830" s="190"/>
      <c r="C830" s="157"/>
      <c r="D830" s="157"/>
      <c r="E830" s="158"/>
      <c r="F830" s="166"/>
      <c r="G830" s="161"/>
      <c r="H830" s="161"/>
      <c r="I830" s="162"/>
      <c r="J830" s="163"/>
      <c r="K830" s="163"/>
      <c r="L830" s="163"/>
      <c r="M830" s="160"/>
      <c r="N830" s="162"/>
      <c r="O830" s="164"/>
      <c r="P830" s="140"/>
      <c r="Q830" s="191"/>
      <c r="R830" s="165"/>
      <c r="S830" s="165"/>
      <c r="T830" s="166"/>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92"/>
      <c r="AR830" s="192"/>
      <c r="AS830" s="192"/>
      <c r="AT830" s="192"/>
      <c r="AU830" s="192"/>
      <c r="AV830" s="192"/>
      <c r="AW830" s="192"/>
      <c r="AX830" s="192"/>
      <c r="AY830" s="192"/>
      <c r="AZ830" s="192"/>
      <c r="BA830" s="192"/>
      <c r="BB830" s="192"/>
      <c r="BC830" s="192"/>
      <c r="BD830" s="192"/>
      <c r="BE830" s="192"/>
      <c r="BF830" s="192"/>
      <c r="BG830" s="192"/>
      <c r="BH830" s="192"/>
      <c r="BI830" s="192"/>
      <c r="BJ830" s="192"/>
      <c r="BK830" s="192"/>
      <c r="BL830" s="192"/>
      <c r="BM830" s="192"/>
      <c r="BN830" s="192"/>
    </row>
    <row r="831" ht="29.25" customHeight="1">
      <c r="A831" s="189"/>
      <c r="B831" s="190"/>
      <c r="C831" s="157"/>
      <c r="D831" s="157"/>
      <c r="E831" s="158"/>
      <c r="F831" s="166"/>
      <c r="G831" s="161"/>
      <c r="H831" s="161"/>
      <c r="I831" s="162"/>
      <c r="J831" s="163"/>
      <c r="K831" s="163"/>
      <c r="L831" s="163"/>
      <c r="M831" s="160"/>
      <c r="N831" s="162"/>
      <c r="O831" s="164"/>
      <c r="P831" s="140"/>
      <c r="Q831" s="191"/>
      <c r="R831" s="165"/>
      <c r="S831" s="165"/>
      <c r="T831" s="166"/>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92"/>
      <c r="AR831" s="192"/>
      <c r="AS831" s="192"/>
      <c r="AT831" s="192"/>
      <c r="AU831" s="192"/>
      <c r="AV831" s="192"/>
      <c r="AW831" s="192"/>
      <c r="AX831" s="192"/>
      <c r="AY831" s="192"/>
      <c r="AZ831" s="192"/>
      <c r="BA831" s="192"/>
      <c r="BB831" s="192"/>
      <c r="BC831" s="192"/>
      <c r="BD831" s="192"/>
      <c r="BE831" s="192"/>
      <c r="BF831" s="192"/>
      <c r="BG831" s="192"/>
      <c r="BH831" s="192"/>
      <c r="BI831" s="192"/>
      <c r="BJ831" s="192"/>
      <c r="BK831" s="192"/>
      <c r="BL831" s="192"/>
      <c r="BM831" s="192"/>
      <c r="BN831" s="192"/>
    </row>
    <row r="832" ht="29.25" customHeight="1">
      <c r="A832" s="189"/>
      <c r="B832" s="190"/>
      <c r="C832" s="157"/>
      <c r="D832" s="157"/>
      <c r="E832" s="158"/>
      <c r="F832" s="166"/>
      <c r="G832" s="161"/>
      <c r="H832" s="161"/>
      <c r="I832" s="162"/>
      <c r="J832" s="163"/>
      <c r="K832" s="163"/>
      <c r="L832" s="163"/>
      <c r="M832" s="160"/>
      <c r="N832" s="162"/>
      <c r="O832" s="164"/>
      <c r="P832" s="140"/>
      <c r="Q832" s="191"/>
      <c r="R832" s="165"/>
      <c r="S832" s="165"/>
      <c r="T832" s="166"/>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92"/>
      <c r="AR832" s="192"/>
      <c r="AS832" s="192"/>
      <c r="AT832" s="192"/>
      <c r="AU832" s="192"/>
      <c r="AV832" s="192"/>
      <c r="AW832" s="192"/>
      <c r="AX832" s="192"/>
      <c r="AY832" s="192"/>
      <c r="AZ832" s="192"/>
      <c r="BA832" s="192"/>
      <c r="BB832" s="192"/>
      <c r="BC832" s="192"/>
      <c r="BD832" s="192"/>
      <c r="BE832" s="192"/>
      <c r="BF832" s="192"/>
      <c r="BG832" s="192"/>
      <c r="BH832" s="192"/>
      <c r="BI832" s="192"/>
      <c r="BJ832" s="192"/>
      <c r="BK832" s="192"/>
      <c r="BL832" s="192"/>
      <c r="BM832" s="192"/>
      <c r="BN832" s="192"/>
    </row>
    <row r="833" ht="29.25" customHeight="1">
      <c r="A833" s="189"/>
      <c r="B833" s="190"/>
      <c r="C833" s="157"/>
      <c r="D833" s="157"/>
      <c r="E833" s="158"/>
      <c r="F833" s="166"/>
      <c r="G833" s="161"/>
      <c r="H833" s="161"/>
      <c r="I833" s="162"/>
      <c r="J833" s="163"/>
      <c r="K833" s="163"/>
      <c r="L833" s="163"/>
      <c r="M833" s="160"/>
      <c r="N833" s="162"/>
      <c r="O833" s="164"/>
      <c r="P833" s="140"/>
      <c r="Q833" s="191"/>
      <c r="R833" s="165"/>
      <c r="S833" s="165"/>
      <c r="T833" s="166"/>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92"/>
      <c r="AR833" s="192"/>
      <c r="AS833" s="192"/>
      <c r="AT833" s="192"/>
      <c r="AU833" s="192"/>
      <c r="AV833" s="192"/>
      <c r="AW833" s="192"/>
      <c r="AX833" s="192"/>
      <c r="AY833" s="192"/>
      <c r="AZ833" s="192"/>
      <c r="BA833" s="192"/>
      <c r="BB833" s="192"/>
      <c r="BC833" s="192"/>
      <c r="BD833" s="192"/>
      <c r="BE833" s="192"/>
      <c r="BF833" s="192"/>
      <c r="BG833" s="192"/>
      <c r="BH833" s="192"/>
      <c r="BI833" s="192"/>
      <c r="BJ833" s="192"/>
      <c r="BK833" s="192"/>
      <c r="BL833" s="192"/>
      <c r="BM833" s="192"/>
      <c r="BN833" s="192"/>
    </row>
    <row r="834" ht="29.25" customHeight="1">
      <c r="A834" s="189"/>
      <c r="B834" s="190"/>
      <c r="C834" s="157"/>
      <c r="D834" s="157"/>
      <c r="E834" s="158"/>
      <c r="F834" s="166"/>
      <c r="G834" s="161"/>
      <c r="H834" s="161"/>
      <c r="I834" s="162"/>
      <c r="J834" s="163"/>
      <c r="K834" s="163"/>
      <c r="L834" s="163"/>
      <c r="M834" s="160"/>
      <c r="N834" s="162"/>
      <c r="O834" s="164"/>
      <c r="P834" s="140"/>
      <c r="Q834" s="191"/>
      <c r="R834" s="165"/>
      <c r="S834" s="165"/>
      <c r="T834" s="166"/>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92"/>
      <c r="AR834" s="192"/>
      <c r="AS834" s="192"/>
      <c r="AT834" s="192"/>
      <c r="AU834" s="192"/>
      <c r="AV834" s="192"/>
      <c r="AW834" s="192"/>
      <c r="AX834" s="192"/>
      <c r="AY834" s="192"/>
      <c r="AZ834" s="192"/>
      <c r="BA834" s="192"/>
      <c r="BB834" s="192"/>
      <c r="BC834" s="192"/>
      <c r="BD834" s="192"/>
      <c r="BE834" s="192"/>
      <c r="BF834" s="192"/>
      <c r="BG834" s="192"/>
      <c r="BH834" s="192"/>
      <c r="BI834" s="192"/>
      <c r="BJ834" s="192"/>
      <c r="BK834" s="192"/>
      <c r="BL834" s="192"/>
      <c r="BM834" s="192"/>
      <c r="BN834" s="192"/>
    </row>
    <row r="835" ht="29.25" customHeight="1">
      <c r="A835" s="189"/>
      <c r="B835" s="190"/>
      <c r="C835" s="157"/>
      <c r="D835" s="157"/>
      <c r="E835" s="158"/>
      <c r="F835" s="166"/>
      <c r="G835" s="161"/>
      <c r="H835" s="161"/>
      <c r="I835" s="162"/>
      <c r="J835" s="163"/>
      <c r="K835" s="163"/>
      <c r="L835" s="163"/>
      <c r="M835" s="160"/>
      <c r="N835" s="162"/>
      <c r="O835" s="164"/>
      <c r="P835" s="140"/>
      <c r="Q835" s="191"/>
      <c r="R835" s="165"/>
      <c r="S835" s="165"/>
      <c r="T835" s="166"/>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92"/>
      <c r="AR835" s="192"/>
      <c r="AS835" s="192"/>
      <c r="AT835" s="192"/>
      <c r="AU835" s="192"/>
      <c r="AV835" s="192"/>
      <c r="AW835" s="192"/>
      <c r="AX835" s="192"/>
      <c r="AY835" s="192"/>
      <c r="AZ835" s="192"/>
      <c r="BA835" s="192"/>
      <c r="BB835" s="192"/>
      <c r="BC835" s="192"/>
      <c r="BD835" s="192"/>
      <c r="BE835" s="192"/>
      <c r="BF835" s="192"/>
      <c r="BG835" s="192"/>
      <c r="BH835" s="192"/>
      <c r="BI835" s="192"/>
      <c r="BJ835" s="192"/>
      <c r="BK835" s="192"/>
      <c r="BL835" s="192"/>
      <c r="BM835" s="192"/>
      <c r="BN835" s="192"/>
    </row>
    <row r="836" ht="29.25" customHeight="1">
      <c r="A836" s="189"/>
      <c r="B836" s="190"/>
      <c r="C836" s="157"/>
      <c r="D836" s="157"/>
      <c r="E836" s="158"/>
      <c r="F836" s="166"/>
      <c r="G836" s="161"/>
      <c r="H836" s="161"/>
      <c r="I836" s="162"/>
      <c r="J836" s="163"/>
      <c r="K836" s="163"/>
      <c r="L836" s="163"/>
      <c r="M836" s="160"/>
      <c r="N836" s="162"/>
      <c r="O836" s="164"/>
      <c r="P836" s="140"/>
      <c r="Q836" s="191"/>
      <c r="R836" s="165"/>
      <c r="S836" s="165"/>
      <c r="T836" s="166"/>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92"/>
      <c r="AR836" s="192"/>
      <c r="AS836" s="192"/>
      <c r="AT836" s="192"/>
      <c r="AU836" s="192"/>
      <c r="AV836" s="192"/>
      <c r="AW836" s="192"/>
      <c r="AX836" s="192"/>
      <c r="AY836" s="192"/>
      <c r="AZ836" s="192"/>
      <c r="BA836" s="192"/>
      <c r="BB836" s="192"/>
      <c r="BC836" s="192"/>
      <c r="BD836" s="192"/>
      <c r="BE836" s="192"/>
      <c r="BF836" s="192"/>
      <c r="BG836" s="192"/>
      <c r="BH836" s="192"/>
      <c r="BI836" s="192"/>
      <c r="BJ836" s="192"/>
      <c r="BK836" s="192"/>
      <c r="BL836" s="192"/>
      <c r="BM836" s="192"/>
      <c r="BN836" s="192"/>
    </row>
    <row r="837" ht="29.25" customHeight="1">
      <c r="A837" s="189"/>
      <c r="B837" s="190"/>
      <c r="C837" s="157"/>
      <c r="D837" s="157"/>
      <c r="E837" s="158"/>
      <c r="F837" s="166"/>
      <c r="G837" s="161"/>
      <c r="H837" s="161"/>
      <c r="I837" s="162"/>
      <c r="J837" s="163"/>
      <c r="K837" s="163"/>
      <c r="L837" s="163"/>
      <c r="M837" s="160"/>
      <c r="N837" s="162"/>
      <c r="O837" s="164"/>
      <c r="P837" s="140"/>
      <c r="Q837" s="191"/>
      <c r="R837" s="165"/>
      <c r="S837" s="165"/>
      <c r="T837" s="166"/>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92"/>
      <c r="AR837" s="192"/>
      <c r="AS837" s="192"/>
      <c r="AT837" s="192"/>
      <c r="AU837" s="192"/>
      <c r="AV837" s="192"/>
      <c r="AW837" s="192"/>
      <c r="AX837" s="192"/>
      <c r="AY837" s="192"/>
      <c r="AZ837" s="192"/>
      <c r="BA837" s="192"/>
      <c r="BB837" s="192"/>
      <c r="BC837" s="192"/>
      <c r="BD837" s="192"/>
      <c r="BE837" s="192"/>
      <c r="BF837" s="192"/>
      <c r="BG837" s="192"/>
      <c r="BH837" s="192"/>
      <c r="BI837" s="192"/>
      <c r="BJ837" s="192"/>
      <c r="BK837" s="192"/>
      <c r="BL837" s="192"/>
      <c r="BM837" s="192"/>
      <c r="BN837" s="192"/>
    </row>
    <row r="838" ht="29.25" customHeight="1">
      <c r="A838" s="189"/>
      <c r="B838" s="190"/>
      <c r="C838" s="157"/>
      <c r="D838" s="157"/>
      <c r="E838" s="158"/>
      <c r="F838" s="166"/>
      <c r="G838" s="161"/>
      <c r="H838" s="161"/>
      <c r="I838" s="162"/>
      <c r="J838" s="163"/>
      <c r="K838" s="163"/>
      <c r="L838" s="163"/>
      <c r="M838" s="160"/>
      <c r="N838" s="162"/>
      <c r="O838" s="164"/>
      <c r="P838" s="140"/>
      <c r="Q838" s="191"/>
      <c r="R838" s="165"/>
      <c r="S838" s="165"/>
      <c r="T838" s="166"/>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92"/>
      <c r="AR838" s="192"/>
      <c r="AS838" s="192"/>
      <c r="AT838" s="192"/>
      <c r="AU838" s="192"/>
      <c r="AV838" s="192"/>
      <c r="AW838" s="192"/>
      <c r="AX838" s="192"/>
      <c r="AY838" s="192"/>
      <c r="AZ838" s="192"/>
      <c r="BA838" s="192"/>
      <c r="BB838" s="192"/>
      <c r="BC838" s="192"/>
      <c r="BD838" s="192"/>
      <c r="BE838" s="192"/>
      <c r="BF838" s="192"/>
      <c r="BG838" s="192"/>
      <c r="BH838" s="192"/>
      <c r="BI838" s="192"/>
      <c r="BJ838" s="192"/>
      <c r="BK838" s="192"/>
      <c r="BL838" s="192"/>
      <c r="BM838" s="192"/>
      <c r="BN838" s="192"/>
    </row>
    <row r="839" ht="29.25" customHeight="1">
      <c r="A839" s="189"/>
      <c r="B839" s="190"/>
      <c r="C839" s="157"/>
      <c r="D839" s="157"/>
      <c r="E839" s="158"/>
      <c r="F839" s="166"/>
      <c r="G839" s="161"/>
      <c r="H839" s="161"/>
      <c r="I839" s="162"/>
      <c r="J839" s="163"/>
      <c r="K839" s="163"/>
      <c r="L839" s="163"/>
      <c r="M839" s="160"/>
      <c r="N839" s="162"/>
      <c r="O839" s="164"/>
      <c r="P839" s="140"/>
      <c r="Q839" s="191"/>
      <c r="R839" s="165"/>
      <c r="S839" s="165"/>
      <c r="T839" s="166"/>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92"/>
      <c r="AR839" s="192"/>
      <c r="AS839" s="192"/>
      <c r="AT839" s="192"/>
      <c r="AU839" s="192"/>
      <c r="AV839" s="192"/>
      <c r="AW839" s="192"/>
      <c r="AX839" s="192"/>
      <c r="AY839" s="192"/>
      <c r="AZ839" s="192"/>
      <c r="BA839" s="192"/>
      <c r="BB839" s="192"/>
      <c r="BC839" s="192"/>
      <c r="BD839" s="192"/>
      <c r="BE839" s="192"/>
      <c r="BF839" s="192"/>
      <c r="BG839" s="192"/>
      <c r="BH839" s="192"/>
      <c r="BI839" s="192"/>
      <c r="BJ839" s="192"/>
      <c r="BK839" s="192"/>
      <c r="BL839" s="192"/>
      <c r="BM839" s="192"/>
      <c r="BN839" s="192"/>
    </row>
    <row r="840" ht="29.25" customHeight="1">
      <c r="A840" s="189"/>
      <c r="B840" s="190"/>
      <c r="C840" s="157"/>
      <c r="D840" s="157"/>
      <c r="E840" s="158"/>
      <c r="F840" s="166"/>
      <c r="G840" s="161"/>
      <c r="H840" s="161"/>
      <c r="I840" s="162"/>
      <c r="J840" s="163"/>
      <c r="K840" s="163"/>
      <c r="L840" s="163"/>
      <c r="M840" s="160"/>
      <c r="N840" s="162"/>
      <c r="O840" s="164"/>
      <c r="P840" s="140"/>
      <c r="Q840" s="191"/>
      <c r="R840" s="165"/>
      <c r="S840" s="165"/>
      <c r="T840" s="166"/>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92"/>
      <c r="AR840" s="192"/>
      <c r="AS840" s="192"/>
      <c r="AT840" s="192"/>
      <c r="AU840" s="192"/>
      <c r="AV840" s="192"/>
      <c r="AW840" s="192"/>
      <c r="AX840" s="192"/>
      <c r="AY840" s="192"/>
      <c r="AZ840" s="192"/>
      <c r="BA840" s="192"/>
      <c r="BB840" s="192"/>
      <c r="BC840" s="192"/>
      <c r="BD840" s="192"/>
      <c r="BE840" s="192"/>
      <c r="BF840" s="192"/>
      <c r="BG840" s="192"/>
      <c r="BH840" s="192"/>
      <c r="BI840" s="192"/>
      <c r="BJ840" s="192"/>
      <c r="BK840" s="192"/>
      <c r="BL840" s="192"/>
      <c r="BM840" s="192"/>
      <c r="BN840" s="192"/>
    </row>
    <row r="841" ht="29.25" customHeight="1">
      <c r="A841" s="189"/>
      <c r="B841" s="190"/>
      <c r="C841" s="157"/>
      <c r="D841" s="157"/>
      <c r="E841" s="158"/>
      <c r="F841" s="166"/>
      <c r="G841" s="161"/>
      <c r="H841" s="161"/>
      <c r="I841" s="162"/>
      <c r="J841" s="163"/>
      <c r="K841" s="163"/>
      <c r="L841" s="163"/>
      <c r="M841" s="160"/>
      <c r="N841" s="162"/>
      <c r="O841" s="164"/>
      <c r="P841" s="140"/>
      <c r="Q841" s="191"/>
      <c r="R841" s="165"/>
      <c r="S841" s="165"/>
      <c r="T841" s="166"/>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92"/>
      <c r="AR841" s="192"/>
      <c r="AS841" s="192"/>
      <c r="AT841" s="192"/>
      <c r="AU841" s="192"/>
      <c r="AV841" s="192"/>
      <c r="AW841" s="192"/>
      <c r="AX841" s="192"/>
      <c r="AY841" s="192"/>
      <c r="AZ841" s="192"/>
      <c r="BA841" s="192"/>
      <c r="BB841" s="192"/>
      <c r="BC841" s="192"/>
      <c r="BD841" s="192"/>
      <c r="BE841" s="192"/>
      <c r="BF841" s="192"/>
      <c r="BG841" s="192"/>
      <c r="BH841" s="192"/>
      <c r="BI841" s="192"/>
      <c r="BJ841" s="192"/>
      <c r="BK841" s="192"/>
      <c r="BL841" s="192"/>
      <c r="BM841" s="192"/>
      <c r="BN841" s="192"/>
    </row>
    <row r="842" ht="29.25" customHeight="1">
      <c r="A842" s="189"/>
      <c r="B842" s="190"/>
      <c r="C842" s="157"/>
      <c r="D842" s="157"/>
      <c r="E842" s="158"/>
      <c r="F842" s="166"/>
      <c r="G842" s="161"/>
      <c r="H842" s="161"/>
      <c r="I842" s="162"/>
      <c r="J842" s="163"/>
      <c r="K842" s="163"/>
      <c r="L842" s="163"/>
      <c r="M842" s="160"/>
      <c r="N842" s="162"/>
      <c r="O842" s="164"/>
      <c r="P842" s="140"/>
      <c r="Q842" s="191"/>
      <c r="R842" s="165"/>
      <c r="S842" s="165"/>
      <c r="T842" s="166"/>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92"/>
      <c r="AR842" s="192"/>
      <c r="AS842" s="192"/>
      <c r="AT842" s="192"/>
      <c r="AU842" s="192"/>
      <c r="AV842" s="192"/>
      <c r="AW842" s="192"/>
      <c r="AX842" s="192"/>
      <c r="AY842" s="192"/>
      <c r="AZ842" s="192"/>
      <c r="BA842" s="192"/>
      <c r="BB842" s="192"/>
      <c r="BC842" s="192"/>
      <c r="BD842" s="192"/>
      <c r="BE842" s="192"/>
      <c r="BF842" s="192"/>
      <c r="BG842" s="192"/>
      <c r="BH842" s="192"/>
      <c r="BI842" s="192"/>
      <c r="BJ842" s="192"/>
      <c r="BK842" s="192"/>
      <c r="BL842" s="192"/>
      <c r="BM842" s="192"/>
      <c r="BN842" s="192"/>
    </row>
    <row r="843" ht="29.25" customHeight="1">
      <c r="A843" s="189"/>
      <c r="B843" s="190"/>
      <c r="C843" s="157"/>
      <c r="D843" s="157"/>
      <c r="E843" s="158"/>
      <c r="F843" s="166"/>
      <c r="G843" s="161"/>
      <c r="H843" s="161"/>
      <c r="I843" s="162"/>
      <c r="J843" s="163"/>
      <c r="K843" s="163"/>
      <c r="L843" s="163"/>
      <c r="M843" s="160"/>
      <c r="N843" s="162"/>
      <c r="O843" s="164"/>
      <c r="P843" s="140"/>
      <c r="Q843" s="191"/>
      <c r="R843" s="165"/>
      <c r="S843" s="165"/>
      <c r="T843" s="166"/>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92"/>
      <c r="AR843" s="192"/>
      <c r="AS843" s="192"/>
      <c r="AT843" s="192"/>
      <c r="AU843" s="192"/>
      <c r="AV843" s="192"/>
      <c r="AW843" s="192"/>
      <c r="AX843" s="192"/>
      <c r="AY843" s="192"/>
      <c r="AZ843" s="192"/>
      <c r="BA843" s="192"/>
      <c r="BB843" s="192"/>
      <c r="BC843" s="192"/>
      <c r="BD843" s="192"/>
      <c r="BE843" s="192"/>
      <c r="BF843" s="192"/>
      <c r="BG843" s="192"/>
      <c r="BH843" s="192"/>
      <c r="BI843" s="192"/>
      <c r="BJ843" s="192"/>
      <c r="BK843" s="192"/>
      <c r="BL843" s="192"/>
      <c r="BM843" s="192"/>
      <c r="BN843" s="192"/>
    </row>
    <row r="844" ht="29.25" customHeight="1">
      <c r="A844" s="189"/>
      <c r="B844" s="190"/>
      <c r="C844" s="157"/>
      <c r="D844" s="157"/>
      <c r="E844" s="158"/>
      <c r="F844" s="166"/>
      <c r="G844" s="161"/>
      <c r="H844" s="161"/>
      <c r="I844" s="162"/>
      <c r="J844" s="163"/>
      <c r="K844" s="163"/>
      <c r="L844" s="163"/>
      <c r="M844" s="160"/>
      <c r="N844" s="162"/>
      <c r="O844" s="164"/>
      <c r="P844" s="140"/>
      <c r="Q844" s="191"/>
      <c r="R844" s="165"/>
      <c r="S844" s="165"/>
      <c r="T844" s="166"/>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92"/>
      <c r="AR844" s="192"/>
      <c r="AS844" s="192"/>
      <c r="AT844" s="192"/>
      <c r="AU844" s="192"/>
      <c r="AV844" s="192"/>
      <c r="AW844" s="192"/>
      <c r="AX844" s="192"/>
      <c r="AY844" s="192"/>
      <c r="AZ844" s="192"/>
      <c r="BA844" s="192"/>
      <c r="BB844" s="192"/>
      <c r="BC844" s="192"/>
      <c r="BD844" s="192"/>
      <c r="BE844" s="192"/>
      <c r="BF844" s="192"/>
      <c r="BG844" s="192"/>
      <c r="BH844" s="192"/>
      <c r="BI844" s="192"/>
      <c r="BJ844" s="192"/>
      <c r="BK844" s="192"/>
      <c r="BL844" s="192"/>
      <c r="BM844" s="192"/>
      <c r="BN844" s="192"/>
    </row>
    <row r="845" ht="29.25" customHeight="1">
      <c r="A845" s="189"/>
      <c r="B845" s="190"/>
      <c r="C845" s="157"/>
      <c r="D845" s="157"/>
      <c r="E845" s="158"/>
      <c r="F845" s="166"/>
      <c r="G845" s="161"/>
      <c r="H845" s="161"/>
      <c r="I845" s="162"/>
      <c r="J845" s="163"/>
      <c r="K845" s="163"/>
      <c r="L845" s="163"/>
      <c r="M845" s="160"/>
      <c r="N845" s="162"/>
      <c r="O845" s="164"/>
      <c r="P845" s="140"/>
      <c r="Q845" s="191"/>
      <c r="R845" s="165"/>
      <c r="S845" s="165"/>
      <c r="T845" s="166"/>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92"/>
      <c r="AR845" s="192"/>
      <c r="AS845" s="192"/>
      <c r="AT845" s="192"/>
      <c r="AU845" s="192"/>
      <c r="AV845" s="192"/>
      <c r="AW845" s="192"/>
      <c r="AX845" s="192"/>
      <c r="AY845" s="192"/>
      <c r="AZ845" s="192"/>
      <c r="BA845" s="192"/>
      <c r="BB845" s="192"/>
      <c r="BC845" s="192"/>
      <c r="BD845" s="192"/>
      <c r="BE845" s="192"/>
      <c r="BF845" s="192"/>
      <c r="BG845" s="192"/>
      <c r="BH845" s="192"/>
      <c r="BI845" s="192"/>
      <c r="BJ845" s="192"/>
      <c r="BK845" s="192"/>
      <c r="BL845" s="192"/>
      <c r="BM845" s="192"/>
      <c r="BN845" s="192"/>
    </row>
    <row r="846" ht="29.25" customHeight="1">
      <c r="A846" s="189"/>
      <c r="B846" s="190"/>
      <c r="C846" s="157"/>
      <c r="D846" s="157"/>
      <c r="E846" s="158"/>
      <c r="F846" s="166"/>
      <c r="G846" s="161"/>
      <c r="H846" s="161"/>
      <c r="I846" s="162"/>
      <c r="J846" s="163"/>
      <c r="K846" s="163"/>
      <c r="L846" s="163"/>
      <c r="M846" s="160"/>
      <c r="N846" s="162"/>
      <c r="O846" s="164"/>
      <c r="P846" s="140"/>
      <c r="Q846" s="191"/>
      <c r="R846" s="165"/>
      <c r="S846" s="165"/>
      <c r="T846" s="166"/>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92"/>
      <c r="AR846" s="192"/>
      <c r="AS846" s="192"/>
      <c r="AT846" s="192"/>
      <c r="AU846" s="192"/>
      <c r="AV846" s="192"/>
      <c r="AW846" s="192"/>
      <c r="AX846" s="192"/>
      <c r="AY846" s="192"/>
      <c r="AZ846" s="192"/>
      <c r="BA846" s="192"/>
      <c r="BB846" s="192"/>
      <c r="BC846" s="192"/>
      <c r="BD846" s="192"/>
      <c r="BE846" s="192"/>
      <c r="BF846" s="192"/>
      <c r="BG846" s="192"/>
      <c r="BH846" s="192"/>
      <c r="BI846" s="192"/>
      <c r="BJ846" s="192"/>
      <c r="BK846" s="192"/>
      <c r="BL846" s="192"/>
      <c r="BM846" s="192"/>
      <c r="BN846" s="192"/>
    </row>
    <row r="847" ht="29.25" customHeight="1">
      <c r="A847" s="189"/>
      <c r="B847" s="190"/>
      <c r="C847" s="157"/>
      <c r="D847" s="157"/>
      <c r="E847" s="158"/>
      <c r="F847" s="166"/>
      <c r="G847" s="161"/>
      <c r="H847" s="161"/>
      <c r="I847" s="162"/>
      <c r="J847" s="163"/>
      <c r="K847" s="163"/>
      <c r="L847" s="163"/>
      <c r="M847" s="160"/>
      <c r="N847" s="162"/>
      <c r="O847" s="164"/>
      <c r="P847" s="140"/>
      <c r="Q847" s="191"/>
      <c r="R847" s="165"/>
      <c r="S847" s="165"/>
      <c r="T847" s="166"/>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92"/>
      <c r="AR847" s="192"/>
      <c r="AS847" s="192"/>
      <c r="AT847" s="192"/>
      <c r="AU847" s="192"/>
      <c r="AV847" s="192"/>
      <c r="AW847" s="192"/>
      <c r="AX847" s="192"/>
      <c r="AY847" s="192"/>
      <c r="AZ847" s="192"/>
      <c r="BA847" s="192"/>
      <c r="BB847" s="192"/>
      <c r="BC847" s="192"/>
      <c r="BD847" s="192"/>
      <c r="BE847" s="192"/>
      <c r="BF847" s="192"/>
      <c r="BG847" s="192"/>
      <c r="BH847" s="192"/>
      <c r="BI847" s="192"/>
      <c r="BJ847" s="192"/>
      <c r="BK847" s="192"/>
      <c r="BL847" s="192"/>
      <c r="BM847" s="192"/>
      <c r="BN847" s="192"/>
    </row>
    <row r="848" ht="29.25" customHeight="1">
      <c r="A848" s="189"/>
      <c r="B848" s="190"/>
      <c r="C848" s="157"/>
      <c r="D848" s="157"/>
      <c r="E848" s="158"/>
      <c r="F848" s="166"/>
      <c r="G848" s="161"/>
      <c r="H848" s="161"/>
      <c r="I848" s="162"/>
      <c r="J848" s="163"/>
      <c r="K848" s="163"/>
      <c r="L848" s="163"/>
      <c r="M848" s="160"/>
      <c r="N848" s="162"/>
      <c r="O848" s="164"/>
      <c r="P848" s="140"/>
      <c r="Q848" s="191"/>
      <c r="R848" s="165"/>
      <c r="S848" s="165"/>
      <c r="T848" s="166"/>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92"/>
      <c r="AR848" s="192"/>
      <c r="AS848" s="192"/>
      <c r="AT848" s="192"/>
      <c r="AU848" s="192"/>
      <c r="AV848" s="192"/>
      <c r="AW848" s="192"/>
      <c r="AX848" s="192"/>
      <c r="AY848" s="192"/>
      <c r="AZ848" s="192"/>
      <c r="BA848" s="192"/>
      <c r="BB848" s="192"/>
      <c r="BC848" s="192"/>
      <c r="BD848" s="192"/>
      <c r="BE848" s="192"/>
      <c r="BF848" s="192"/>
      <c r="BG848" s="192"/>
      <c r="BH848" s="192"/>
      <c r="BI848" s="192"/>
      <c r="BJ848" s="192"/>
      <c r="BK848" s="192"/>
      <c r="BL848" s="192"/>
      <c r="BM848" s="192"/>
      <c r="BN848" s="192"/>
    </row>
    <row r="849" ht="29.25" customHeight="1">
      <c r="A849" s="189"/>
      <c r="B849" s="190"/>
      <c r="C849" s="157"/>
      <c r="D849" s="157"/>
      <c r="E849" s="158"/>
      <c r="F849" s="166"/>
      <c r="G849" s="161"/>
      <c r="H849" s="161"/>
      <c r="I849" s="162"/>
      <c r="J849" s="163"/>
      <c r="K849" s="163"/>
      <c r="L849" s="163"/>
      <c r="M849" s="160"/>
      <c r="N849" s="162"/>
      <c r="O849" s="164"/>
      <c r="P849" s="140"/>
      <c r="Q849" s="191"/>
      <c r="R849" s="165"/>
      <c r="S849" s="165"/>
      <c r="T849" s="166"/>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92"/>
      <c r="AR849" s="192"/>
      <c r="AS849" s="192"/>
      <c r="AT849" s="192"/>
      <c r="AU849" s="192"/>
      <c r="AV849" s="192"/>
      <c r="AW849" s="192"/>
      <c r="AX849" s="192"/>
      <c r="AY849" s="192"/>
      <c r="AZ849" s="192"/>
      <c r="BA849" s="192"/>
      <c r="BB849" s="192"/>
      <c r="BC849" s="192"/>
      <c r="BD849" s="192"/>
      <c r="BE849" s="192"/>
      <c r="BF849" s="192"/>
      <c r="BG849" s="192"/>
      <c r="BH849" s="192"/>
      <c r="BI849" s="192"/>
      <c r="BJ849" s="192"/>
      <c r="BK849" s="192"/>
      <c r="BL849" s="192"/>
      <c r="BM849" s="192"/>
      <c r="BN849" s="192"/>
    </row>
    <row r="850" ht="29.25" customHeight="1">
      <c r="A850" s="189"/>
      <c r="B850" s="190"/>
      <c r="C850" s="157"/>
      <c r="D850" s="157"/>
      <c r="E850" s="158"/>
      <c r="F850" s="166"/>
      <c r="G850" s="161"/>
      <c r="H850" s="161"/>
      <c r="I850" s="162"/>
      <c r="J850" s="163"/>
      <c r="K850" s="163"/>
      <c r="L850" s="163"/>
      <c r="M850" s="160"/>
      <c r="N850" s="162"/>
      <c r="O850" s="164"/>
      <c r="P850" s="140"/>
      <c r="Q850" s="191"/>
      <c r="R850" s="165"/>
      <c r="S850" s="165"/>
      <c r="T850" s="166"/>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92"/>
      <c r="AR850" s="192"/>
      <c r="AS850" s="192"/>
      <c r="AT850" s="192"/>
      <c r="AU850" s="192"/>
      <c r="AV850" s="192"/>
      <c r="AW850" s="192"/>
      <c r="AX850" s="192"/>
      <c r="AY850" s="192"/>
      <c r="AZ850" s="192"/>
      <c r="BA850" s="192"/>
      <c r="BB850" s="192"/>
      <c r="BC850" s="192"/>
      <c r="BD850" s="192"/>
      <c r="BE850" s="192"/>
      <c r="BF850" s="192"/>
      <c r="BG850" s="192"/>
      <c r="BH850" s="192"/>
      <c r="BI850" s="192"/>
      <c r="BJ850" s="192"/>
      <c r="BK850" s="192"/>
      <c r="BL850" s="192"/>
      <c r="BM850" s="192"/>
      <c r="BN850" s="192"/>
    </row>
    <row r="851" ht="29.25" customHeight="1">
      <c r="A851" s="189"/>
      <c r="B851" s="190"/>
      <c r="C851" s="157"/>
      <c r="D851" s="157"/>
      <c r="E851" s="158"/>
      <c r="F851" s="166"/>
      <c r="G851" s="161"/>
      <c r="H851" s="161"/>
      <c r="I851" s="162"/>
      <c r="J851" s="163"/>
      <c r="K851" s="163"/>
      <c r="L851" s="163"/>
      <c r="M851" s="160"/>
      <c r="N851" s="162"/>
      <c r="O851" s="164"/>
      <c r="P851" s="140"/>
      <c r="Q851" s="191"/>
      <c r="R851" s="165"/>
      <c r="S851" s="165"/>
      <c r="T851" s="166"/>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92"/>
      <c r="AR851" s="192"/>
      <c r="AS851" s="192"/>
      <c r="AT851" s="192"/>
      <c r="AU851" s="192"/>
      <c r="AV851" s="192"/>
      <c r="AW851" s="192"/>
      <c r="AX851" s="192"/>
      <c r="AY851" s="192"/>
      <c r="AZ851" s="192"/>
      <c r="BA851" s="192"/>
      <c r="BB851" s="192"/>
      <c r="BC851" s="192"/>
      <c r="BD851" s="192"/>
      <c r="BE851" s="192"/>
      <c r="BF851" s="192"/>
      <c r="BG851" s="192"/>
      <c r="BH851" s="192"/>
      <c r="BI851" s="192"/>
      <c r="BJ851" s="192"/>
      <c r="BK851" s="192"/>
      <c r="BL851" s="192"/>
      <c r="BM851" s="192"/>
      <c r="BN851" s="192"/>
    </row>
    <row r="852" ht="29.25" customHeight="1">
      <c r="A852" s="189"/>
      <c r="B852" s="190"/>
      <c r="C852" s="157"/>
      <c r="D852" s="157"/>
      <c r="E852" s="158"/>
      <c r="F852" s="166"/>
      <c r="G852" s="161"/>
      <c r="H852" s="161"/>
      <c r="I852" s="162"/>
      <c r="J852" s="163"/>
      <c r="K852" s="163"/>
      <c r="L852" s="163"/>
      <c r="M852" s="160"/>
      <c r="N852" s="162"/>
      <c r="O852" s="164"/>
      <c r="P852" s="140"/>
      <c r="Q852" s="191"/>
      <c r="R852" s="165"/>
      <c r="S852" s="165"/>
      <c r="T852" s="166"/>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92"/>
      <c r="AR852" s="192"/>
      <c r="AS852" s="192"/>
      <c r="AT852" s="192"/>
      <c r="AU852" s="192"/>
      <c r="AV852" s="192"/>
      <c r="AW852" s="192"/>
      <c r="AX852" s="192"/>
      <c r="AY852" s="192"/>
      <c r="AZ852" s="192"/>
      <c r="BA852" s="192"/>
      <c r="BB852" s="192"/>
      <c r="BC852" s="192"/>
      <c r="BD852" s="192"/>
      <c r="BE852" s="192"/>
      <c r="BF852" s="192"/>
      <c r="BG852" s="192"/>
      <c r="BH852" s="192"/>
      <c r="BI852" s="192"/>
      <c r="BJ852" s="192"/>
      <c r="BK852" s="192"/>
      <c r="BL852" s="192"/>
      <c r="BM852" s="192"/>
      <c r="BN852" s="192"/>
    </row>
    <row r="853" ht="29.25" customHeight="1">
      <c r="A853" s="189"/>
      <c r="B853" s="190"/>
      <c r="C853" s="157"/>
      <c r="D853" s="157"/>
      <c r="E853" s="158"/>
      <c r="F853" s="166"/>
      <c r="G853" s="161"/>
      <c r="H853" s="161"/>
      <c r="I853" s="162"/>
      <c r="J853" s="163"/>
      <c r="K853" s="163"/>
      <c r="L853" s="163"/>
      <c r="M853" s="160"/>
      <c r="N853" s="162"/>
      <c r="O853" s="164"/>
      <c r="P853" s="140"/>
      <c r="Q853" s="191"/>
      <c r="R853" s="165"/>
      <c r="S853" s="165"/>
      <c r="T853" s="166"/>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92"/>
      <c r="AR853" s="192"/>
      <c r="AS853" s="192"/>
      <c r="AT853" s="192"/>
      <c r="AU853" s="192"/>
      <c r="AV853" s="192"/>
      <c r="AW853" s="192"/>
      <c r="AX853" s="192"/>
      <c r="AY853" s="192"/>
      <c r="AZ853" s="192"/>
      <c r="BA853" s="192"/>
      <c r="BB853" s="192"/>
      <c r="BC853" s="192"/>
      <c r="BD853" s="192"/>
      <c r="BE853" s="192"/>
      <c r="BF853" s="192"/>
      <c r="BG853" s="192"/>
      <c r="BH853" s="192"/>
      <c r="BI853" s="192"/>
      <c r="BJ853" s="192"/>
      <c r="BK853" s="192"/>
      <c r="BL853" s="192"/>
      <c r="BM853" s="192"/>
      <c r="BN853" s="192"/>
    </row>
    <row r="854" ht="29.25" customHeight="1">
      <c r="A854" s="189"/>
      <c r="B854" s="190"/>
      <c r="C854" s="157"/>
      <c r="D854" s="157"/>
      <c r="E854" s="158"/>
      <c r="F854" s="166"/>
      <c r="G854" s="161"/>
      <c r="H854" s="161"/>
      <c r="I854" s="162"/>
      <c r="J854" s="163"/>
      <c r="K854" s="163"/>
      <c r="L854" s="163"/>
      <c r="M854" s="160"/>
      <c r="N854" s="162"/>
      <c r="O854" s="164"/>
      <c r="P854" s="140"/>
      <c r="Q854" s="191"/>
      <c r="R854" s="165"/>
      <c r="S854" s="165"/>
      <c r="T854" s="166"/>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92"/>
      <c r="AR854" s="192"/>
      <c r="AS854" s="192"/>
      <c r="AT854" s="192"/>
      <c r="AU854" s="192"/>
      <c r="AV854" s="192"/>
      <c r="AW854" s="192"/>
      <c r="AX854" s="192"/>
      <c r="AY854" s="192"/>
      <c r="AZ854" s="192"/>
      <c r="BA854" s="192"/>
      <c r="BB854" s="192"/>
      <c r="BC854" s="192"/>
      <c r="BD854" s="192"/>
      <c r="BE854" s="192"/>
      <c r="BF854" s="192"/>
      <c r="BG854" s="192"/>
      <c r="BH854" s="192"/>
      <c r="BI854" s="192"/>
      <c r="BJ854" s="192"/>
      <c r="BK854" s="192"/>
      <c r="BL854" s="192"/>
      <c r="BM854" s="192"/>
      <c r="BN854" s="192"/>
    </row>
    <row r="855" ht="29.25" customHeight="1">
      <c r="A855" s="189"/>
      <c r="B855" s="190"/>
      <c r="C855" s="157"/>
      <c r="D855" s="157"/>
      <c r="E855" s="158"/>
      <c r="F855" s="166"/>
      <c r="G855" s="161"/>
      <c r="H855" s="161"/>
      <c r="I855" s="162"/>
      <c r="J855" s="163"/>
      <c r="K855" s="163"/>
      <c r="L855" s="163"/>
      <c r="M855" s="160"/>
      <c r="N855" s="162"/>
      <c r="O855" s="164"/>
      <c r="P855" s="140"/>
      <c r="Q855" s="191"/>
      <c r="R855" s="165"/>
      <c r="S855" s="165"/>
      <c r="T855" s="166"/>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92"/>
      <c r="AR855" s="192"/>
      <c r="AS855" s="192"/>
      <c r="AT855" s="192"/>
      <c r="AU855" s="192"/>
      <c r="AV855" s="192"/>
      <c r="AW855" s="192"/>
      <c r="AX855" s="192"/>
      <c r="AY855" s="192"/>
      <c r="AZ855" s="192"/>
      <c r="BA855" s="192"/>
      <c r="BB855" s="192"/>
      <c r="BC855" s="192"/>
      <c r="BD855" s="192"/>
      <c r="BE855" s="192"/>
      <c r="BF855" s="192"/>
      <c r="BG855" s="192"/>
      <c r="BH855" s="192"/>
      <c r="BI855" s="192"/>
      <c r="BJ855" s="192"/>
      <c r="BK855" s="192"/>
      <c r="BL855" s="192"/>
      <c r="BM855" s="192"/>
      <c r="BN855" s="192"/>
    </row>
    <row r="856" ht="29.25" customHeight="1">
      <c r="A856" s="189"/>
      <c r="B856" s="190"/>
      <c r="C856" s="157"/>
      <c r="D856" s="157"/>
      <c r="E856" s="158"/>
      <c r="F856" s="166"/>
      <c r="G856" s="161"/>
      <c r="H856" s="161"/>
      <c r="I856" s="162"/>
      <c r="J856" s="163"/>
      <c r="K856" s="163"/>
      <c r="L856" s="163"/>
      <c r="M856" s="160"/>
      <c r="N856" s="162"/>
      <c r="O856" s="164"/>
      <c r="P856" s="140"/>
      <c r="Q856" s="191"/>
      <c r="R856" s="165"/>
      <c r="S856" s="165"/>
      <c r="T856" s="166"/>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92"/>
      <c r="AR856" s="192"/>
      <c r="AS856" s="192"/>
      <c r="AT856" s="192"/>
      <c r="AU856" s="192"/>
      <c r="AV856" s="192"/>
      <c r="AW856" s="192"/>
      <c r="AX856" s="192"/>
      <c r="AY856" s="192"/>
      <c r="AZ856" s="192"/>
      <c r="BA856" s="192"/>
      <c r="BB856" s="192"/>
      <c r="BC856" s="192"/>
      <c r="BD856" s="192"/>
      <c r="BE856" s="192"/>
      <c r="BF856" s="192"/>
      <c r="BG856" s="192"/>
      <c r="BH856" s="192"/>
      <c r="BI856" s="192"/>
      <c r="BJ856" s="192"/>
      <c r="BK856" s="192"/>
      <c r="BL856" s="192"/>
      <c r="BM856" s="192"/>
      <c r="BN856" s="192"/>
    </row>
    <row r="857" ht="29.25" customHeight="1">
      <c r="A857" s="189"/>
      <c r="B857" s="190"/>
      <c r="C857" s="157"/>
      <c r="D857" s="157"/>
      <c r="E857" s="158"/>
      <c r="F857" s="166"/>
      <c r="G857" s="161"/>
      <c r="H857" s="161"/>
      <c r="I857" s="162"/>
      <c r="J857" s="163"/>
      <c r="K857" s="163"/>
      <c r="L857" s="163"/>
      <c r="M857" s="160"/>
      <c r="N857" s="162"/>
      <c r="O857" s="164"/>
      <c r="P857" s="140"/>
      <c r="Q857" s="191"/>
      <c r="R857" s="165"/>
      <c r="S857" s="165"/>
      <c r="T857" s="166"/>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92"/>
      <c r="AR857" s="192"/>
      <c r="AS857" s="192"/>
      <c r="AT857" s="192"/>
      <c r="AU857" s="192"/>
      <c r="AV857" s="192"/>
      <c r="AW857" s="192"/>
      <c r="AX857" s="192"/>
      <c r="AY857" s="192"/>
      <c r="AZ857" s="192"/>
      <c r="BA857" s="192"/>
      <c r="BB857" s="192"/>
      <c r="BC857" s="192"/>
      <c r="BD857" s="192"/>
      <c r="BE857" s="192"/>
      <c r="BF857" s="192"/>
      <c r="BG857" s="192"/>
      <c r="BH857" s="192"/>
      <c r="BI857" s="192"/>
      <c r="BJ857" s="192"/>
      <c r="BK857" s="192"/>
      <c r="BL857" s="192"/>
      <c r="BM857" s="192"/>
      <c r="BN857" s="192"/>
    </row>
    <row r="858" ht="29.25" customHeight="1">
      <c r="A858" s="189"/>
      <c r="B858" s="190"/>
      <c r="C858" s="157"/>
      <c r="D858" s="157"/>
      <c r="E858" s="158"/>
      <c r="F858" s="166"/>
      <c r="G858" s="161"/>
      <c r="H858" s="161"/>
      <c r="I858" s="162"/>
      <c r="J858" s="163"/>
      <c r="K858" s="163"/>
      <c r="L858" s="163"/>
      <c r="M858" s="160"/>
      <c r="N858" s="162"/>
      <c r="O858" s="164"/>
      <c r="P858" s="140"/>
      <c r="Q858" s="191"/>
      <c r="R858" s="165"/>
      <c r="S858" s="165"/>
      <c r="T858" s="166"/>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92"/>
      <c r="AR858" s="192"/>
      <c r="AS858" s="192"/>
      <c r="AT858" s="192"/>
      <c r="AU858" s="192"/>
      <c r="AV858" s="192"/>
      <c r="AW858" s="192"/>
      <c r="AX858" s="192"/>
      <c r="AY858" s="192"/>
      <c r="AZ858" s="192"/>
      <c r="BA858" s="192"/>
      <c r="BB858" s="192"/>
      <c r="BC858" s="192"/>
      <c r="BD858" s="192"/>
      <c r="BE858" s="192"/>
      <c r="BF858" s="192"/>
      <c r="BG858" s="192"/>
      <c r="BH858" s="192"/>
      <c r="BI858" s="192"/>
      <c r="BJ858" s="192"/>
      <c r="BK858" s="192"/>
      <c r="BL858" s="192"/>
      <c r="BM858" s="192"/>
      <c r="BN858" s="192"/>
    </row>
    <row r="859" ht="29.25" customHeight="1">
      <c r="A859" s="189"/>
      <c r="B859" s="190"/>
      <c r="C859" s="157"/>
      <c r="D859" s="157"/>
      <c r="E859" s="158"/>
      <c r="F859" s="166"/>
      <c r="G859" s="161"/>
      <c r="H859" s="161"/>
      <c r="I859" s="162"/>
      <c r="J859" s="163"/>
      <c r="K859" s="163"/>
      <c r="L859" s="163"/>
      <c r="M859" s="160"/>
      <c r="N859" s="162"/>
      <c r="O859" s="164"/>
      <c r="P859" s="140"/>
      <c r="Q859" s="191"/>
      <c r="R859" s="165"/>
      <c r="S859" s="165"/>
      <c r="T859" s="166"/>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92"/>
      <c r="AR859" s="192"/>
      <c r="AS859" s="192"/>
      <c r="AT859" s="192"/>
      <c r="AU859" s="192"/>
      <c r="AV859" s="192"/>
      <c r="AW859" s="192"/>
      <c r="AX859" s="192"/>
      <c r="AY859" s="192"/>
      <c r="AZ859" s="192"/>
      <c r="BA859" s="192"/>
      <c r="BB859" s="192"/>
      <c r="BC859" s="192"/>
      <c r="BD859" s="192"/>
      <c r="BE859" s="192"/>
      <c r="BF859" s="192"/>
      <c r="BG859" s="192"/>
      <c r="BH859" s="192"/>
      <c r="BI859" s="192"/>
      <c r="BJ859" s="192"/>
      <c r="BK859" s="192"/>
      <c r="BL859" s="192"/>
      <c r="BM859" s="192"/>
      <c r="BN859" s="192"/>
    </row>
    <row r="860" ht="29.25" customHeight="1">
      <c r="A860" s="189"/>
      <c r="B860" s="190"/>
      <c r="C860" s="157"/>
      <c r="D860" s="157"/>
      <c r="E860" s="158"/>
      <c r="F860" s="166"/>
      <c r="G860" s="161"/>
      <c r="H860" s="161"/>
      <c r="I860" s="162"/>
      <c r="J860" s="163"/>
      <c r="K860" s="163"/>
      <c r="L860" s="163"/>
      <c r="M860" s="160"/>
      <c r="N860" s="162"/>
      <c r="O860" s="164"/>
      <c r="P860" s="140"/>
      <c r="Q860" s="191"/>
      <c r="R860" s="165"/>
      <c r="S860" s="165"/>
      <c r="T860" s="166"/>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92"/>
      <c r="AR860" s="192"/>
      <c r="AS860" s="192"/>
      <c r="AT860" s="192"/>
      <c r="AU860" s="192"/>
      <c r="AV860" s="192"/>
      <c r="AW860" s="192"/>
      <c r="AX860" s="192"/>
      <c r="AY860" s="192"/>
      <c r="AZ860" s="192"/>
      <c r="BA860" s="192"/>
      <c r="BB860" s="192"/>
      <c r="BC860" s="192"/>
      <c r="BD860" s="192"/>
      <c r="BE860" s="192"/>
      <c r="BF860" s="192"/>
      <c r="BG860" s="192"/>
      <c r="BH860" s="192"/>
      <c r="BI860" s="192"/>
      <c r="BJ860" s="192"/>
      <c r="BK860" s="192"/>
      <c r="BL860" s="192"/>
      <c r="BM860" s="192"/>
      <c r="BN860" s="192"/>
    </row>
    <row r="861" ht="29.25" customHeight="1">
      <c r="A861" s="189"/>
      <c r="B861" s="190"/>
      <c r="C861" s="157"/>
      <c r="D861" s="157"/>
      <c r="E861" s="158"/>
      <c r="F861" s="166"/>
      <c r="G861" s="161"/>
      <c r="H861" s="161"/>
      <c r="I861" s="162"/>
      <c r="J861" s="163"/>
      <c r="K861" s="163"/>
      <c r="L861" s="163"/>
      <c r="M861" s="160"/>
      <c r="N861" s="162"/>
      <c r="O861" s="164"/>
      <c r="P861" s="140"/>
      <c r="Q861" s="191"/>
      <c r="R861" s="165"/>
      <c r="S861" s="165"/>
      <c r="T861" s="166"/>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92"/>
      <c r="AR861" s="192"/>
      <c r="AS861" s="192"/>
      <c r="AT861" s="192"/>
      <c r="AU861" s="192"/>
      <c r="AV861" s="192"/>
      <c r="AW861" s="192"/>
      <c r="AX861" s="192"/>
      <c r="AY861" s="192"/>
      <c r="AZ861" s="192"/>
      <c r="BA861" s="192"/>
      <c r="BB861" s="192"/>
      <c r="BC861" s="192"/>
      <c r="BD861" s="192"/>
      <c r="BE861" s="192"/>
      <c r="BF861" s="192"/>
      <c r="BG861" s="192"/>
      <c r="BH861" s="192"/>
      <c r="BI861" s="192"/>
      <c r="BJ861" s="192"/>
      <c r="BK861" s="192"/>
      <c r="BL861" s="192"/>
      <c r="BM861" s="192"/>
      <c r="BN861" s="192"/>
    </row>
    <row r="862" ht="29.25" customHeight="1">
      <c r="A862" s="189"/>
      <c r="B862" s="190"/>
      <c r="C862" s="157"/>
      <c r="D862" s="157"/>
      <c r="E862" s="158"/>
      <c r="F862" s="166"/>
      <c r="G862" s="161"/>
      <c r="H862" s="161"/>
      <c r="I862" s="162"/>
      <c r="J862" s="163"/>
      <c r="K862" s="163"/>
      <c r="L862" s="163"/>
      <c r="M862" s="160"/>
      <c r="N862" s="162"/>
      <c r="O862" s="164"/>
      <c r="P862" s="140"/>
      <c r="Q862" s="191"/>
      <c r="R862" s="165"/>
      <c r="S862" s="165"/>
      <c r="T862" s="166"/>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92"/>
      <c r="AR862" s="192"/>
      <c r="AS862" s="192"/>
      <c r="AT862" s="192"/>
      <c r="AU862" s="192"/>
      <c r="AV862" s="192"/>
      <c r="AW862" s="192"/>
      <c r="AX862" s="192"/>
      <c r="AY862" s="192"/>
      <c r="AZ862" s="192"/>
      <c r="BA862" s="192"/>
      <c r="BB862" s="192"/>
      <c r="BC862" s="192"/>
      <c r="BD862" s="192"/>
      <c r="BE862" s="192"/>
      <c r="BF862" s="192"/>
      <c r="BG862" s="192"/>
      <c r="BH862" s="192"/>
      <c r="BI862" s="192"/>
      <c r="BJ862" s="192"/>
      <c r="BK862" s="192"/>
      <c r="BL862" s="192"/>
      <c r="BM862" s="192"/>
      <c r="BN862" s="192"/>
    </row>
    <row r="863" ht="29.25" customHeight="1">
      <c r="A863" s="189"/>
      <c r="B863" s="190"/>
      <c r="C863" s="157"/>
      <c r="D863" s="157"/>
      <c r="E863" s="158"/>
      <c r="F863" s="166"/>
      <c r="G863" s="161"/>
      <c r="H863" s="161"/>
      <c r="I863" s="162"/>
      <c r="J863" s="163"/>
      <c r="K863" s="163"/>
      <c r="L863" s="163"/>
      <c r="M863" s="160"/>
      <c r="N863" s="162"/>
      <c r="O863" s="164"/>
      <c r="P863" s="140"/>
      <c r="Q863" s="191"/>
      <c r="R863" s="165"/>
      <c r="S863" s="165"/>
      <c r="T863" s="166"/>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92"/>
      <c r="AR863" s="192"/>
      <c r="AS863" s="192"/>
      <c r="AT863" s="192"/>
      <c r="AU863" s="192"/>
      <c r="AV863" s="192"/>
      <c r="AW863" s="192"/>
      <c r="AX863" s="192"/>
      <c r="AY863" s="192"/>
      <c r="AZ863" s="192"/>
      <c r="BA863" s="192"/>
      <c r="BB863" s="192"/>
      <c r="BC863" s="192"/>
      <c r="BD863" s="192"/>
      <c r="BE863" s="192"/>
      <c r="BF863" s="192"/>
      <c r="BG863" s="192"/>
      <c r="BH863" s="192"/>
      <c r="BI863" s="192"/>
      <c r="BJ863" s="192"/>
      <c r="BK863" s="192"/>
      <c r="BL863" s="192"/>
      <c r="BM863" s="192"/>
      <c r="BN863" s="192"/>
    </row>
    <row r="864" ht="29.25" customHeight="1">
      <c r="A864" s="189"/>
      <c r="B864" s="190"/>
      <c r="C864" s="157"/>
      <c r="D864" s="157"/>
      <c r="E864" s="158"/>
      <c r="F864" s="166"/>
      <c r="G864" s="161"/>
      <c r="H864" s="161"/>
      <c r="I864" s="162"/>
      <c r="J864" s="163"/>
      <c r="K864" s="163"/>
      <c r="L864" s="163"/>
      <c r="M864" s="160"/>
      <c r="N864" s="162"/>
      <c r="O864" s="164"/>
      <c r="P864" s="140"/>
      <c r="Q864" s="191"/>
      <c r="R864" s="165"/>
      <c r="S864" s="165"/>
      <c r="T864" s="166"/>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92"/>
      <c r="AR864" s="192"/>
      <c r="AS864" s="192"/>
      <c r="AT864" s="192"/>
      <c r="AU864" s="192"/>
      <c r="AV864" s="192"/>
      <c r="AW864" s="192"/>
      <c r="AX864" s="192"/>
      <c r="AY864" s="192"/>
      <c r="AZ864" s="192"/>
      <c r="BA864" s="192"/>
      <c r="BB864" s="192"/>
      <c r="BC864" s="192"/>
      <c r="BD864" s="192"/>
      <c r="BE864" s="192"/>
      <c r="BF864" s="192"/>
      <c r="BG864" s="192"/>
      <c r="BH864" s="192"/>
      <c r="BI864" s="192"/>
      <c r="BJ864" s="192"/>
      <c r="BK864" s="192"/>
      <c r="BL864" s="192"/>
      <c r="BM864" s="192"/>
      <c r="BN864" s="192"/>
    </row>
    <row r="865" ht="29.25" customHeight="1">
      <c r="A865" s="189"/>
      <c r="B865" s="190"/>
      <c r="C865" s="157"/>
      <c r="D865" s="157"/>
      <c r="E865" s="158"/>
      <c r="F865" s="166"/>
      <c r="G865" s="161"/>
      <c r="H865" s="161"/>
      <c r="I865" s="162"/>
      <c r="J865" s="163"/>
      <c r="K865" s="163"/>
      <c r="L865" s="163"/>
      <c r="M865" s="160"/>
      <c r="N865" s="162"/>
      <c r="O865" s="164"/>
      <c r="P865" s="140"/>
      <c r="Q865" s="191"/>
      <c r="R865" s="165"/>
      <c r="S865" s="165"/>
      <c r="T865" s="166"/>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92"/>
      <c r="AR865" s="192"/>
      <c r="AS865" s="192"/>
      <c r="AT865" s="192"/>
      <c r="AU865" s="192"/>
      <c r="AV865" s="192"/>
      <c r="AW865" s="192"/>
      <c r="AX865" s="192"/>
      <c r="AY865" s="192"/>
      <c r="AZ865" s="192"/>
      <c r="BA865" s="192"/>
      <c r="BB865" s="192"/>
      <c r="BC865" s="192"/>
      <c r="BD865" s="192"/>
      <c r="BE865" s="192"/>
      <c r="BF865" s="192"/>
      <c r="BG865" s="192"/>
      <c r="BH865" s="192"/>
      <c r="BI865" s="192"/>
      <c r="BJ865" s="192"/>
      <c r="BK865" s="192"/>
      <c r="BL865" s="192"/>
      <c r="BM865" s="192"/>
      <c r="BN865" s="192"/>
    </row>
    <row r="866" ht="29.25" customHeight="1">
      <c r="A866" s="189"/>
      <c r="B866" s="190"/>
      <c r="C866" s="157"/>
      <c r="D866" s="157"/>
      <c r="E866" s="158"/>
      <c r="F866" s="166"/>
      <c r="G866" s="161"/>
      <c r="H866" s="161"/>
      <c r="I866" s="162"/>
      <c r="J866" s="163"/>
      <c r="K866" s="163"/>
      <c r="L866" s="163"/>
      <c r="M866" s="160"/>
      <c r="N866" s="162"/>
      <c r="O866" s="164"/>
      <c r="P866" s="140"/>
      <c r="Q866" s="191"/>
      <c r="R866" s="165"/>
      <c r="S866" s="165"/>
      <c r="T866" s="166"/>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92"/>
      <c r="AR866" s="192"/>
      <c r="AS866" s="192"/>
      <c r="AT866" s="192"/>
      <c r="AU866" s="192"/>
      <c r="AV866" s="192"/>
      <c r="AW866" s="192"/>
      <c r="AX866" s="192"/>
      <c r="AY866" s="192"/>
      <c r="AZ866" s="192"/>
      <c r="BA866" s="192"/>
      <c r="BB866" s="192"/>
      <c r="BC866" s="192"/>
      <c r="BD866" s="192"/>
      <c r="BE866" s="192"/>
      <c r="BF866" s="192"/>
      <c r="BG866" s="192"/>
      <c r="BH866" s="192"/>
      <c r="BI866" s="192"/>
      <c r="BJ866" s="192"/>
      <c r="BK866" s="192"/>
      <c r="BL866" s="192"/>
      <c r="BM866" s="192"/>
      <c r="BN866" s="192"/>
    </row>
    <row r="867" ht="29.25" customHeight="1">
      <c r="A867" s="189"/>
      <c r="B867" s="190"/>
      <c r="C867" s="157"/>
      <c r="D867" s="157"/>
      <c r="E867" s="158"/>
      <c r="F867" s="166"/>
      <c r="G867" s="161"/>
      <c r="H867" s="161"/>
      <c r="I867" s="162"/>
      <c r="J867" s="163"/>
      <c r="K867" s="163"/>
      <c r="L867" s="163"/>
      <c r="M867" s="160"/>
      <c r="N867" s="162"/>
      <c r="O867" s="164"/>
      <c r="P867" s="140"/>
      <c r="Q867" s="191"/>
      <c r="R867" s="165"/>
      <c r="S867" s="165"/>
      <c r="T867" s="166"/>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92"/>
      <c r="AR867" s="192"/>
      <c r="AS867" s="192"/>
      <c r="AT867" s="192"/>
      <c r="AU867" s="192"/>
      <c r="AV867" s="192"/>
      <c r="AW867" s="192"/>
      <c r="AX867" s="192"/>
      <c r="AY867" s="192"/>
      <c r="AZ867" s="192"/>
      <c r="BA867" s="192"/>
      <c r="BB867" s="192"/>
      <c r="BC867" s="192"/>
      <c r="BD867" s="192"/>
      <c r="BE867" s="192"/>
      <c r="BF867" s="192"/>
      <c r="BG867" s="192"/>
      <c r="BH867" s="192"/>
      <c r="BI867" s="192"/>
      <c r="BJ867" s="192"/>
      <c r="BK867" s="192"/>
      <c r="BL867" s="192"/>
      <c r="BM867" s="192"/>
      <c r="BN867" s="192"/>
    </row>
    <row r="868" ht="29.25" customHeight="1">
      <c r="A868" s="189"/>
      <c r="B868" s="190"/>
      <c r="C868" s="157"/>
      <c r="D868" s="157"/>
      <c r="E868" s="158"/>
      <c r="F868" s="166"/>
      <c r="G868" s="161"/>
      <c r="H868" s="161"/>
      <c r="I868" s="162"/>
      <c r="J868" s="163"/>
      <c r="K868" s="163"/>
      <c r="L868" s="163"/>
      <c r="M868" s="160"/>
      <c r="N868" s="162"/>
      <c r="O868" s="164"/>
      <c r="P868" s="140"/>
      <c r="Q868" s="191"/>
      <c r="R868" s="165"/>
      <c r="S868" s="165"/>
      <c r="T868" s="166"/>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92"/>
      <c r="AR868" s="192"/>
      <c r="AS868" s="192"/>
      <c r="AT868" s="192"/>
      <c r="AU868" s="192"/>
      <c r="AV868" s="192"/>
      <c r="AW868" s="192"/>
      <c r="AX868" s="192"/>
      <c r="AY868" s="192"/>
      <c r="AZ868" s="192"/>
      <c r="BA868" s="192"/>
      <c r="BB868" s="192"/>
      <c r="BC868" s="192"/>
      <c r="BD868" s="192"/>
      <c r="BE868" s="192"/>
      <c r="BF868" s="192"/>
      <c r="BG868" s="192"/>
      <c r="BH868" s="192"/>
      <c r="BI868" s="192"/>
      <c r="BJ868" s="192"/>
      <c r="BK868" s="192"/>
      <c r="BL868" s="192"/>
      <c r="BM868" s="192"/>
      <c r="BN868" s="192"/>
    </row>
    <row r="869" ht="29.25" customHeight="1">
      <c r="A869" s="189"/>
      <c r="B869" s="190"/>
      <c r="C869" s="157"/>
      <c r="D869" s="157"/>
      <c r="E869" s="158"/>
      <c r="F869" s="166"/>
      <c r="G869" s="161"/>
      <c r="H869" s="161"/>
      <c r="I869" s="162"/>
      <c r="J869" s="163"/>
      <c r="K869" s="163"/>
      <c r="L869" s="163"/>
      <c r="M869" s="160"/>
      <c r="N869" s="162"/>
      <c r="O869" s="164"/>
      <c r="P869" s="140"/>
      <c r="Q869" s="191"/>
      <c r="R869" s="165"/>
      <c r="S869" s="165"/>
      <c r="T869" s="166"/>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92"/>
      <c r="AR869" s="192"/>
      <c r="AS869" s="192"/>
      <c r="AT869" s="192"/>
      <c r="AU869" s="192"/>
      <c r="AV869" s="192"/>
      <c r="AW869" s="192"/>
      <c r="AX869" s="192"/>
      <c r="AY869" s="192"/>
      <c r="AZ869" s="192"/>
      <c r="BA869" s="192"/>
      <c r="BB869" s="192"/>
      <c r="BC869" s="192"/>
      <c r="BD869" s="192"/>
      <c r="BE869" s="192"/>
      <c r="BF869" s="192"/>
      <c r="BG869" s="192"/>
      <c r="BH869" s="192"/>
      <c r="BI869" s="192"/>
      <c r="BJ869" s="192"/>
      <c r="BK869" s="192"/>
      <c r="BL869" s="192"/>
      <c r="BM869" s="192"/>
      <c r="BN869" s="192"/>
    </row>
    <row r="870" ht="29.25" customHeight="1">
      <c r="A870" s="189"/>
      <c r="B870" s="190"/>
      <c r="C870" s="157"/>
      <c r="D870" s="157"/>
      <c r="E870" s="158"/>
      <c r="F870" s="166"/>
      <c r="G870" s="161"/>
      <c r="H870" s="161"/>
      <c r="I870" s="162"/>
      <c r="J870" s="163"/>
      <c r="K870" s="163"/>
      <c r="L870" s="163"/>
      <c r="M870" s="160"/>
      <c r="N870" s="162"/>
      <c r="O870" s="164"/>
      <c r="P870" s="140"/>
      <c r="Q870" s="191"/>
      <c r="R870" s="165"/>
      <c r="S870" s="165"/>
      <c r="T870" s="166"/>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92"/>
      <c r="AR870" s="192"/>
      <c r="AS870" s="192"/>
      <c r="AT870" s="192"/>
      <c r="AU870" s="192"/>
      <c r="AV870" s="192"/>
      <c r="AW870" s="192"/>
      <c r="AX870" s="192"/>
      <c r="AY870" s="192"/>
      <c r="AZ870" s="192"/>
      <c r="BA870" s="192"/>
      <c r="BB870" s="192"/>
      <c r="BC870" s="192"/>
      <c r="BD870" s="192"/>
      <c r="BE870" s="192"/>
      <c r="BF870" s="192"/>
      <c r="BG870" s="192"/>
      <c r="BH870" s="192"/>
      <c r="BI870" s="192"/>
      <c r="BJ870" s="192"/>
      <c r="BK870" s="192"/>
      <c r="BL870" s="192"/>
      <c r="BM870" s="192"/>
      <c r="BN870" s="192"/>
    </row>
    <row r="871" ht="29.25" customHeight="1">
      <c r="A871" s="189"/>
      <c r="B871" s="190"/>
      <c r="C871" s="157"/>
      <c r="D871" s="157"/>
      <c r="E871" s="158"/>
      <c r="F871" s="166"/>
      <c r="G871" s="161"/>
      <c r="H871" s="161"/>
      <c r="I871" s="162"/>
      <c r="J871" s="163"/>
      <c r="K871" s="163"/>
      <c r="L871" s="163"/>
      <c r="M871" s="160"/>
      <c r="N871" s="162"/>
      <c r="O871" s="164"/>
      <c r="P871" s="140"/>
      <c r="Q871" s="191"/>
      <c r="R871" s="165"/>
      <c r="S871" s="165"/>
      <c r="T871" s="166"/>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92"/>
      <c r="AR871" s="192"/>
      <c r="AS871" s="192"/>
      <c r="AT871" s="192"/>
      <c r="AU871" s="192"/>
      <c r="AV871" s="192"/>
      <c r="AW871" s="192"/>
      <c r="AX871" s="192"/>
      <c r="AY871" s="192"/>
      <c r="AZ871" s="192"/>
      <c r="BA871" s="192"/>
      <c r="BB871" s="192"/>
      <c r="BC871" s="192"/>
      <c r="BD871" s="192"/>
      <c r="BE871" s="192"/>
      <c r="BF871" s="192"/>
      <c r="BG871" s="192"/>
      <c r="BH871" s="192"/>
      <c r="BI871" s="192"/>
      <c r="BJ871" s="192"/>
      <c r="BK871" s="192"/>
      <c r="BL871" s="192"/>
      <c r="BM871" s="192"/>
      <c r="BN871" s="192"/>
    </row>
    <row r="872" ht="29.25" customHeight="1">
      <c r="A872" s="189"/>
      <c r="B872" s="190"/>
      <c r="C872" s="157"/>
      <c r="D872" s="157"/>
      <c r="E872" s="158"/>
      <c r="F872" s="166"/>
      <c r="G872" s="161"/>
      <c r="H872" s="161"/>
      <c r="I872" s="162"/>
      <c r="J872" s="163"/>
      <c r="K872" s="163"/>
      <c r="L872" s="163"/>
      <c r="M872" s="160"/>
      <c r="N872" s="162"/>
      <c r="O872" s="164"/>
      <c r="P872" s="140"/>
      <c r="Q872" s="191"/>
      <c r="R872" s="165"/>
      <c r="S872" s="165"/>
      <c r="T872" s="166"/>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92"/>
      <c r="AR872" s="192"/>
      <c r="AS872" s="192"/>
      <c r="AT872" s="192"/>
      <c r="AU872" s="192"/>
      <c r="AV872" s="192"/>
      <c r="AW872" s="192"/>
      <c r="AX872" s="192"/>
      <c r="AY872" s="192"/>
      <c r="AZ872" s="192"/>
      <c r="BA872" s="192"/>
      <c r="BB872" s="192"/>
      <c r="BC872" s="192"/>
      <c r="BD872" s="192"/>
      <c r="BE872" s="192"/>
      <c r="BF872" s="192"/>
      <c r="BG872" s="192"/>
      <c r="BH872" s="192"/>
      <c r="BI872" s="192"/>
      <c r="BJ872" s="192"/>
      <c r="BK872" s="192"/>
      <c r="BL872" s="192"/>
      <c r="BM872" s="192"/>
      <c r="BN872" s="192"/>
    </row>
    <row r="873" ht="29.25" customHeight="1">
      <c r="A873" s="189"/>
      <c r="B873" s="190"/>
      <c r="C873" s="157"/>
      <c r="D873" s="157"/>
      <c r="E873" s="158"/>
      <c r="F873" s="166"/>
      <c r="G873" s="161"/>
      <c r="H873" s="161"/>
      <c r="I873" s="162"/>
      <c r="J873" s="163"/>
      <c r="K873" s="163"/>
      <c r="L873" s="163"/>
      <c r="M873" s="160"/>
      <c r="N873" s="162"/>
      <c r="O873" s="164"/>
      <c r="P873" s="140"/>
      <c r="Q873" s="191"/>
      <c r="R873" s="165"/>
      <c r="S873" s="165"/>
      <c r="T873" s="166"/>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92"/>
      <c r="AR873" s="192"/>
      <c r="AS873" s="192"/>
      <c r="AT873" s="192"/>
      <c r="AU873" s="192"/>
      <c r="AV873" s="192"/>
      <c r="AW873" s="192"/>
      <c r="AX873" s="192"/>
      <c r="AY873" s="192"/>
      <c r="AZ873" s="192"/>
      <c r="BA873" s="192"/>
      <c r="BB873" s="192"/>
      <c r="BC873" s="192"/>
      <c r="BD873" s="192"/>
      <c r="BE873" s="192"/>
      <c r="BF873" s="192"/>
      <c r="BG873" s="192"/>
      <c r="BH873" s="192"/>
      <c r="BI873" s="192"/>
      <c r="BJ873" s="192"/>
      <c r="BK873" s="192"/>
      <c r="BL873" s="192"/>
      <c r="BM873" s="192"/>
      <c r="BN873" s="192"/>
    </row>
    <row r="874" ht="29.25" customHeight="1">
      <c r="A874" s="189"/>
      <c r="B874" s="190"/>
      <c r="C874" s="157"/>
      <c r="D874" s="157"/>
      <c r="E874" s="158"/>
      <c r="F874" s="166"/>
      <c r="G874" s="161"/>
      <c r="H874" s="161"/>
      <c r="I874" s="162"/>
      <c r="J874" s="163"/>
      <c r="K874" s="163"/>
      <c r="L874" s="163"/>
      <c r="M874" s="160"/>
      <c r="N874" s="162"/>
      <c r="O874" s="164"/>
      <c r="P874" s="140"/>
      <c r="Q874" s="191"/>
      <c r="R874" s="165"/>
      <c r="S874" s="165"/>
      <c r="T874" s="166"/>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92"/>
      <c r="AR874" s="192"/>
      <c r="AS874" s="192"/>
      <c r="AT874" s="192"/>
      <c r="AU874" s="192"/>
      <c r="AV874" s="192"/>
      <c r="AW874" s="192"/>
      <c r="AX874" s="192"/>
      <c r="AY874" s="192"/>
      <c r="AZ874" s="192"/>
      <c r="BA874" s="192"/>
      <c r="BB874" s="192"/>
      <c r="BC874" s="192"/>
      <c r="BD874" s="192"/>
      <c r="BE874" s="192"/>
      <c r="BF874" s="192"/>
      <c r="BG874" s="192"/>
      <c r="BH874" s="192"/>
      <c r="BI874" s="192"/>
      <c r="BJ874" s="192"/>
      <c r="BK874" s="192"/>
      <c r="BL874" s="192"/>
      <c r="BM874" s="192"/>
      <c r="BN874" s="192"/>
    </row>
    <row r="875" ht="29.25" customHeight="1">
      <c r="A875" s="189"/>
      <c r="B875" s="190"/>
      <c r="C875" s="157"/>
      <c r="D875" s="157"/>
      <c r="E875" s="158"/>
      <c r="F875" s="166"/>
      <c r="G875" s="161"/>
      <c r="H875" s="161"/>
      <c r="I875" s="162"/>
      <c r="J875" s="163"/>
      <c r="K875" s="163"/>
      <c r="L875" s="163"/>
      <c r="M875" s="160"/>
      <c r="N875" s="162"/>
      <c r="O875" s="164"/>
      <c r="P875" s="140"/>
      <c r="Q875" s="191"/>
      <c r="R875" s="165"/>
      <c r="S875" s="165"/>
      <c r="T875" s="166"/>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92"/>
      <c r="AR875" s="192"/>
      <c r="AS875" s="192"/>
      <c r="AT875" s="192"/>
      <c r="AU875" s="192"/>
      <c r="AV875" s="192"/>
      <c r="AW875" s="192"/>
      <c r="AX875" s="192"/>
      <c r="AY875" s="192"/>
      <c r="AZ875" s="192"/>
      <c r="BA875" s="192"/>
      <c r="BB875" s="192"/>
      <c r="BC875" s="192"/>
      <c r="BD875" s="192"/>
      <c r="BE875" s="192"/>
      <c r="BF875" s="192"/>
      <c r="BG875" s="192"/>
      <c r="BH875" s="192"/>
      <c r="BI875" s="192"/>
      <c r="BJ875" s="192"/>
      <c r="BK875" s="192"/>
      <c r="BL875" s="192"/>
      <c r="BM875" s="192"/>
      <c r="BN875" s="192"/>
    </row>
    <row r="876" ht="29.25" customHeight="1">
      <c r="A876" s="189"/>
      <c r="B876" s="190"/>
      <c r="C876" s="157"/>
      <c r="D876" s="157"/>
      <c r="E876" s="158"/>
      <c r="F876" s="166"/>
      <c r="G876" s="161"/>
      <c r="H876" s="161"/>
      <c r="I876" s="162"/>
      <c r="J876" s="163"/>
      <c r="K876" s="163"/>
      <c r="L876" s="163"/>
      <c r="M876" s="160"/>
      <c r="N876" s="162"/>
      <c r="O876" s="164"/>
      <c r="P876" s="140"/>
      <c r="Q876" s="191"/>
      <c r="R876" s="165"/>
      <c r="S876" s="165"/>
      <c r="T876" s="166"/>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92"/>
      <c r="AR876" s="192"/>
      <c r="AS876" s="192"/>
      <c r="AT876" s="192"/>
      <c r="AU876" s="192"/>
      <c r="AV876" s="192"/>
      <c r="AW876" s="192"/>
      <c r="AX876" s="192"/>
      <c r="AY876" s="192"/>
      <c r="AZ876" s="192"/>
      <c r="BA876" s="192"/>
      <c r="BB876" s="192"/>
      <c r="BC876" s="192"/>
      <c r="BD876" s="192"/>
      <c r="BE876" s="192"/>
      <c r="BF876" s="192"/>
      <c r="BG876" s="192"/>
      <c r="BH876" s="192"/>
      <c r="BI876" s="192"/>
      <c r="BJ876" s="192"/>
      <c r="BK876" s="192"/>
      <c r="BL876" s="192"/>
      <c r="BM876" s="192"/>
      <c r="BN876" s="192"/>
    </row>
    <row r="877" ht="29.25" customHeight="1">
      <c r="A877" s="189"/>
      <c r="B877" s="190"/>
      <c r="C877" s="157"/>
      <c r="D877" s="157"/>
      <c r="E877" s="158"/>
      <c r="F877" s="166"/>
      <c r="G877" s="161"/>
      <c r="H877" s="161"/>
      <c r="I877" s="162"/>
      <c r="J877" s="163"/>
      <c r="K877" s="163"/>
      <c r="L877" s="163"/>
      <c r="M877" s="160"/>
      <c r="N877" s="162"/>
      <c r="O877" s="164"/>
      <c r="P877" s="140"/>
      <c r="Q877" s="191"/>
      <c r="R877" s="165"/>
      <c r="S877" s="165"/>
      <c r="T877" s="166"/>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92"/>
      <c r="AR877" s="192"/>
      <c r="AS877" s="192"/>
      <c r="AT877" s="192"/>
      <c r="AU877" s="192"/>
      <c r="AV877" s="192"/>
      <c r="AW877" s="192"/>
      <c r="AX877" s="192"/>
      <c r="AY877" s="192"/>
      <c r="AZ877" s="192"/>
      <c r="BA877" s="192"/>
      <c r="BB877" s="192"/>
      <c r="BC877" s="192"/>
      <c r="BD877" s="192"/>
      <c r="BE877" s="192"/>
      <c r="BF877" s="192"/>
      <c r="BG877" s="192"/>
      <c r="BH877" s="192"/>
      <c r="BI877" s="192"/>
      <c r="BJ877" s="192"/>
      <c r="BK877" s="192"/>
      <c r="BL877" s="192"/>
      <c r="BM877" s="192"/>
      <c r="BN877" s="192"/>
    </row>
    <row r="878" ht="29.25" customHeight="1">
      <c r="A878" s="189"/>
      <c r="B878" s="190"/>
      <c r="C878" s="157"/>
      <c r="D878" s="157"/>
      <c r="E878" s="158"/>
      <c r="F878" s="166"/>
      <c r="G878" s="161"/>
      <c r="H878" s="161"/>
      <c r="I878" s="162"/>
      <c r="J878" s="163"/>
      <c r="K878" s="163"/>
      <c r="L878" s="163"/>
      <c r="M878" s="160"/>
      <c r="N878" s="162"/>
      <c r="O878" s="164"/>
      <c r="P878" s="140"/>
      <c r="Q878" s="191"/>
      <c r="R878" s="165"/>
      <c r="S878" s="165"/>
      <c r="T878" s="166"/>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92"/>
      <c r="AR878" s="192"/>
      <c r="AS878" s="192"/>
      <c r="AT878" s="192"/>
      <c r="AU878" s="192"/>
      <c r="AV878" s="192"/>
      <c r="AW878" s="192"/>
      <c r="AX878" s="192"/>
      <c r="AY878" s="192"/>
      <c r="AZ878" s="192"/>
      <c r="BA878" s="192"/>
      <c r="BB878" s="192"/>
      <c r="BC878" s="192"/>
      <c r="BD878" s="192"/>
      <c r="BE878" s="192"/>
      <c r="BF878" s="192"/>
      <c r="BG878" s="192"/>
      <c r="BH878" s="192"/>
      <c r="BI878" s="192"/>
      <c r="BJ878" s="192"/>
      <c r="BK878" s="192"/>
      <c r="BL878" s="192"/>
      <c r="BM878" s="192"/>
      <c r="BN878" s="192"/>
    </row>
    <row r="879" ht="29.25" customHeight="1">
      <c r="A879" s="189"/>
      <c r="B879" s="190"/>
      <c r="C879" s="157"/>
      <c r="D879" s="157"/>
      <c r="E879" s="158"/>
      <c r="F879" s="166"/>
      <c r="G879" s="161"/>
      <c r="H879" s="161"/>
      <c r="I879" s="162"/>
      <c r="J879" s="163"/>
      <c r="K879" s="163"/>
      <c r="L879" s="163"/>
      <c r="M879" s="160"/>
      <c r="N879" s="162"/>
      <c r="O879" s="164"/>
      <c r="P879" s="140"/>
      <c r="Q879" s="191"/>
      <c r="R879" s="165"/>
      <c r="S879" s="165"/>
      <c r="T879" s="166"/>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92"/>
      <c r="AR879" s="192"/>
      <c r="AS879" s="192"/>
      <c r="AT879" s="192"/>
      <c r="AU879" s="192"/>
      <c r="AV879" s="192"/>
      <c r="AW879" s="192"/>
      <c r="AX879" s="192"/>
      <c r="AY879" s="192"/>
      <c r="AZ879" s="192"/>
      <c r="BA879" s="192"/>
      <c r="BB879" s="192"/>
      <c r="BC879" s="192"/>
      <c r="BD879" s="192"/>
      <c r="BE879" s="192"/>
      <c r="BF879" s="192"/>
      <c r="BG879" s="192"/>
      <c r="BH879" s="192"/>
      <c r="BI879" s="192"/>
      <c r="BJ879" s="192"/>
      <c r="BK879" s="192"/>
      <c r="BL879" s="192"/>
      <c r="BM879" s="192"/>
      <c r="BN879" s="192"/>
    </row>
    <row r="880" ht="29.25" customHeight="1">
      <c r="A880" s="189"/>
      <c r="B880" s="190"/>
      <c r="C880" s="157"/>
      <c r="D880" s="157"/>
      <c r="E880" s="158"/>
      <c r="F880" s="166"/>
      <c r="G880" s="161"/>
      <c r="H880" s="161"/>
      <c r="I880" s="162"/>
      <c r="J880" s="163"/>
      <c r="K880" s="163"/>
      <c r="L880" s="163"/>
      <c r="M880" s="160"/>
      <c r="N880" s="162"/>
      <c r="O880" s="164"/>
      <c r="P880" s="140"/>
      <c r="Q880" s="191"/>
      <c r="R880" s="165"/>
      <c r="S880" s="165"/>
      <c r="T880" s="166"/>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92"/>
      <c r="AR880" s="192"/>
      <c r="AS880" s="192"/>
      <c r="AT880" s="192"/>
      <c r="AU880" s="192"/>
      <c r="AV880" s="192"/>
      <c r="AW880" s="192"/>
      <c r="AX880" s="192"/>
      <c r="AY880" s="192"/>
      <c r="AZ880" s="192"/>
      <c r="BA880" s="192"/>
      <c r="BB880" s="192"/>
      <c r="BC880" s="192"/>
      <c r="BD880" s="192"/>
      <c r="BE880" s="192"/>
      <c r="BF880" s="192"/>
      <c r="BG880" s="192"/>
      <c r="BH880" s="192"/>
      <c r="BI880" s="192"/>
      <c r="BJ880" s="192"/>
      <c r="BK880" s="192"/>
      <c r="BL880" s="192"/>
      <c r="BM880" s="192"/>
      <c r="BN880" s="192"/>
    </row>
    <row r="881" ht="29.25" customHeight="1">
      <c r="A881" s="189"/>
      <c r="B881" s="190"/>
      <c r="C881" s="157"/>
      <c r="D881" s="157"/>
      <c r="E881" s="158"/>
      <c r="F881" s="166"/>
      <c r="G881" s="161"/>
      <c r="H881" s="161"/>
      <c r="I881" s="162"/>
      <c r="J881" s="163"/>
      <c r="K881" s="163"/>
      <c r="L881" s="163"/>
      <c r="M881" s="160"/>
      <c r="N881" s="162"/>
      <c r="O881" s="164"/>
      <c r="P881" s="140"/>
      <c r="Q881" s="191"/>
      <c r="R881" s="165"/>
      <c r="S881" s="165"/>
      <c r="T881" s="166"/>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92"/>
      <c r="AR881" s="192"/>
      <c r="AS881" s="192"/>
      <c r="AT881" s="192"/>
      <c r="AU881" s="192"/>
      <c r="AV881" s="192"/>
      <c r="AW881" s="192"/>
      <c r="AX881" s="192"/>
      <c r="AY881" s="192"/>
      <c r="AZ881" s="192"/>
      <c r="BA881" s="192"/>
      <c r="BB881" s="192"/>
      <c r="BC881" s="192"/>
      <c r="BD881" s="192"/>
      <c r="BE881" s="192"/>
      <c r="BF881" s="192"/>
      <c r="BG881" s="192"/>
      <c r="BH881" s="192"/>
      <c r="BI881" s="192"/>
      <c r="BJ881" s="192"/>
      <c r="BK881" s="192"/>
      <c r="BL881" s="192"/>
      <c r="BM881" s="192"/>
      <c r="BN881" s="192"/>
    </row>
    <row r="882" ht="29.25" customHeight="1">
      <c r="A882" s="189"/>
      <c r="B882" s="190"/>
      <c r="C882" s="157"/>
      <c r="D882" s="157"/>
      <c r="E882" s="158"/>
      <c r="F882" s="166"/>
      <c r="G882" s="161"/>
      <c r="H882" s="161"/>
      <c r="I882" s="162"/>
      <c r="J882" s="163"/>
      <c r="K882" s="163"/>
      <c r="L882" s="163"/>
      <c r="M882" s="160"/>
      <c r="N882" s="162"/>
      <c r="O882" s="164"/>
      <c r="P882" s="140"/>
      <c r="Q882" s="191"/>
      <c r="R882" s="165"/>
      <c r="S882" s="165"/>
      <c r="T882" s="166"/>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92"/>
      <c r="AR882" s="192"/>
      <c r="AS882" s="192"/>
      <c r="AT882" s="192"/>
      <c r="AU882" s="192"/>
      <c r="AV882" s="192"/>
      <c r="AW882" s="192"/>
      <c r="AX882" s="192"/>
      <c r="AY882" s="192"/>
      <c r="AZ882" s="192"/>
      <c r="BA882" s="192"/>
      <c r="BB882" s="192"/>
      <c r="BC882" s="192"/>
      <c r="BD882" s="192"/>
      <c r="BE882" s="192"/>
      <c r="BF882" s="192"/>
      <c r="BG882" s="192"/>
      <c r="BH882" s="192"/>
      <c r="BI882" s="192"/>
      <c r="BJ882" s="192"/>
      <c r="BK882" s="192"/>
      <c r="BL882" s="192"/>
      <c r="BM882" s="192"/>
      <c r="BN882" s="192"/>
    </row>
    <row r="883" ht="29.25" customHeight="1">
      <c r="A883" s="189"/>
      <c r="B883" s="190"/>
      <c r="C883" s="157"/>
      <c r="D883" s="157"/>
      <c r="E883" s="158"/>
      <c r="F883" s="166"/>
      <c r="G883" s="161"/>
      <c r="H883" s="161"/>
      <c r="I883" s="162"/>
      <c r="J883" s="163"/>
      <c r="K883" s="163"/>
      <c r="L883" s="163"/>
      <c r="M883" s="160"/>
      <c r="N883" s="162"/>
      <c r="O883" s="164"/>
      <c r="P883" s="140"/>
      <c r="Q883" s="191"/>
      <c r="R883" s="165"/>
      <c r="S883" s="165"/>
      <c r="T883" s="166"/>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92"/>
      <c r="AR883" s="192"/>
      <c r="AS883" s="192"/>
      <c r="AT883" s="192"/>
      <c r="AU883" s="192"/>
      <c r="AV883" s="192"/>
      <c r="AW883" s="192"/>
      <c r="AX883" s="192"/>
      <c r="AY883" s="192"/>
      <c r="AZ883" s="192"/>
      <c r="BA883" s="192"/>
      <c r="BB883" s="192"/>
      <c r="BC883" s="192"/>
      <c r="BD883" s="192"/>
      <c r="BE883" s="192"/>
      <c r="BF883" s="192"/>
      <c r="BG883" s="192"/>
      <c r="BH883" s="192"/>
      <c r="BI883" s="192"/>
      <c r="BJ883" s="192"/>
      <c r="BK883" s="192"/>
      <c r="BL883" s="192"/>
      <c r="BM883" s="192"/>
      <c r="BN883" s="192"/>
    </row>
    <row r="884" ht="29.25" customHeight="1">
      <c r="A884" s="189"/>
      <c r="B884" s="190"/>
      <c r="C884" s="157"/>
      <c r="D884" s="157"/>
      <c r="E884" s="158"/>
      <c r="F884" s="166"/>
      <c r="G884" s="161"/>
      <c r="H884" s="161"/>
      <c r="I884" s="162"/>
      <c r="J884" s="163"/>
      <c r="K884" s="163"/>
      <c r="L884" s="163"/>
      <c r="M884" s="160"/>
      <c r="N884" s="162"/>
      <c r="O884" s="164"/>
      <c r="P884" s="140"/>
      <c r="Q884" s="191"/>
      <c r="R884" s="165"/>
      <c r="S884" s="165"/>
      <c r="T884" s="166"/>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92"/>
      <c r="AR884" s="192"/>
      <c r="AS884" s="192"/>
      <c r="AT884" s="192"/>
      <c r="AU884" s="192"/>
      <c r="AV884" s="192"/>
      <c r="AW884" s="192"/>
      <c r="AX884" s="192"/>
      <c r="AY884" s="192"/>
      <c r="AZ884" s="192"/>
      <c r="BA884" s="192"/>
      <c r="BB884" s="192"/>
      <c r="BC884" s="192"/>
      <c r="BD884" s="192"/>
      <c r="BE884" s="192"/>
      <c r="BF884" s="192"/>
      <c r="BG884" s="192"/>
      <c r="BH884" s="192"/>
      <c r="BI884" s="192"/>
      <c r="BJ884" s="192"/>
      <c r="BK884" s="192"/>
      <c r="BL884" s="192"/>
      <c r="BM884" s="192"/>
      <c r="BN884" s="192"/>
    </row>
    <row r="885" ht="29.25" customHeight="1">
      <c r="A885" s="189"/>
      <c r="B885" s="190"/>
      <c r="C885" s="157"/>
      <c r="D885" s="157"/>
      <c r="E885" s="158"/>
      <c r="F885" s="166"/>
      <c r="G885" s="161"/>
      <c r="H885" s="161"/>
      <c r="I885" s="162"/>
      <c r="J885" s="163"/>
      <c r="K885" s="163"/>
      <c r="L885" s="163"/>
      <c r="M885" s="160"/>
      <c r="N885" s="162"/>
      <c r="O885" s="164"/>
      <c r="P885" s="140"/>
      <c r="Q885" s="191"/>
      <c r="R885" s="165"/>
      <c r="S885" s="165"/>
      <c r="T885" s="166"/>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92"/>
      <c r="AR885" s="192"/>
      <c r="AS885" s="192"/>
      <c r="AT885" s="192"/>
      <c r="AU885" s="192"/>
      <c r="AV885" s="192"/>
      <c r="AW885" s="192"/>
      <c r="AX885" s="192"/>
      <c r="AY885" s="192"/>
      <c r="AZ885" s="192"/>
      <c r="BA885" s="192"/>
      <c r="BB885" s="192"/>
      <c r="BC885" s="192"/>
      <c r="BD885" s="192"/>
      <c r="BE885" s="192"/>
      <c r="BF885" s="192"/>
      <c r="BG885" s="192"/>
      <c r="BH885" s="192"/>
      <c r="BI885" s="192"/>
      <c r="BJ885" s="192"/>
      <c r="BK885" s="192"/>
      <c r="BL885" s="192"/>
      <c r="BM885" s="192"/>
      <c r="BN885" s="192"/>
    </row>
    <row r="886" ht="29.25" customHeight="1">
      <c r="A886" s="189"/>
      <c r="B886" s="190"/>
      <c r="C886" s="157"/>
      <c r="D886" s="157"/>
      <c r="E886" s="158"/>
      <c r="F886" s="166"/>
      <c r="G886" s="161"/>
      <c r="H886" s="161"/>
      <c r="I886" s="162"/>
      <c r="J886" s="163"/>
      <c r="K886" s="163"/>
      <c r="L886" s="163"/>
      <c r="M886" s="160"/>
      <c r="N886" s="162"/>
      <c r="O886" s="164"/>
      <c r="P886" s="140"/>
      <c r="Q886" s="191"/>
      <c r="R886" s="165"/>
      <c r="S886" s="165"/>
      <c r="T886" s="166"/>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92"/>
      <c r="AR886" s="192"/>
      <c r="AS886" s="192"/>
      <c r="AT886" s="192"/>
      <c r="AU886" s="192"/>
      <c r="AV886" s="192"/>
      <c r="AW886" s="192"/>
      <c r="AX886" s="192"/>
      <c r="AY886" s="192"/>
      <c r="AZ886" s="192"/>
      <c r="BA886" s="192"/>
      <c r="BB886" s="192"/>
      <c r="BC886" s="192"/>
      <c r="BD886" s="192"/>
      <c r="BE886" s="192"/>
      <c r="BF886" s="192"/>
      <c r="BG886" s="192"/>
      <c r="BH886" s="192"/>
      <c r="BI886" s="192"/>
      <c r="BJ886" s="192"/>
      <c r="BK886" s="192"/>
      <c r="BL886" s="192"/>
      <c r="BM886" s="192"/>
      <c r="BN886" s="192"/>
    </row>
    <row r="887" ht="29.25" customHeight="1">
      <c r="A887" s="189"/>
      <c r="B887" s="190"/>
      <c r="C887" s="157"/>
      <c r="D887" s="157"/>
      <c r="E887" s="158"/>
      <c r="F887" s="166"/>
      <c r="G887" s="161"/>
      <c r="H887" s="161"/>
      <c r="I887" s="162"/>
      <c r="J887" s="163"/>
      <c r="K887" s="163"/>
      <c r="L887" s="163"/>
      <c r="M887" s="160"/>
      <c r="N887" s="162"/>
      <c r="O887" s="164"/>
      <c r="P887" s="140"/>
      <c r="Q887" s="191"/>
      <c r="R887" s="165"/>
      <c r="S887" s="165"/>
      <c r="T887" s="166"/>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92"/>
      <c r="AR887" s="192"/>
      <c r="AS887" s="192"/>
      <c r="AT887" s="192"/>
      <c r="AU887" s="192"/>
      <c r="AV887" s="192"/>
      <c r="AW887" s="192"/>
      <c r="AX887" s="192"/>
      <c r="AY887" s="192"/>
      <c r="AZ887" s="192"/>
      <c r="BA887" s="192"/>
      <c r="BB887" s="192"/>
      <c r="BC887" s="192"/>
      <c r="BD887" s="192"/>
      <c r="BE887" s="192"/>
      <c r="BF887" s="192"/>
      <c r="BG887" s="192"/>
      <c r="BH887" s="192"/>
      <c r="BI887" s="192"/>
      <c r="BJ887" s="192"/>
      <c r="BK887" s="192"/>
      <c r="BL887" s="192"/>
      <c r="BM887" s="192"/>
      <c r="BN887" s="192"/>
    </row>
    <row r="888" ht="29.25" customHeight="1">
      <c r="A888" s="189"/>
      <c r="B888" s="190"/>
      <c r="C888" s="157"/>
      <c r="D888" s="157"/>
      <c r="E888" s="158"/>
      <c r="F888" s="166"/>
      <c r="G888" s="161"/>
      <c r="H888" s="161"/>
      <c r="I888" s="162"/>
      <c r="J888" s="163"/>
      <c r="K888" s="163"/>
      <c r="L888" s="163"/>
      <c r="M888" s="160"/>
      <c r="N888" s="162"/>
      <c r="O888" s="164"/>
      <c r="P888" s="140"/>
      <c r="Q888" s="191"/>
      <c r="R888" s="165"/>
      <c r="S888" s="165"/>
      <c r="T888" s="166"/>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92"/>
      <c r="AR888" s="192"/>
      <c r="AS888" s="192"/>
      <c r="AT888" s="192"/>
      <c r="AU888" s="192"/>
      <c r="AV888" s="192"/>
      <c r="AW888" s="192"/>
      <c r="AX888" s="192"/>
      <c r="AY888" s="192"/>
      <c r="AZ888" s="192"/>
      <c r="BA888" s="192"/>
      <c r="BB888" s="192"/>
      <c r="BC888" s="192"/>
      <c r="BD888" s="192"/>
      <c r="BE888" s="192"/>
      <c r="BF888" s="192"/>
      <c r="BG888" s="192"/>
      <c r="BH888" s="192"/>
      <c r="BI888" s="192"/>
      <c r="BJ888" s="192"/>
      <c r="BK888" s="192"/>
      <c r="BL888" s="192"/>
      <c r="BM888" s="192"/>
      <c r="BN888" s="192"/>
    </row>
    <row r="889" ht="29.25" customHeight="1">
      <c r="A889" s="189"/>
      <c r="B889" s="190"/>
      <c r="C889" s="157"/>
      <c r="D889" s="157"/>
      <c r="E889" s="158"/>
      <c r="F889" s="166"/>
      <c r="G889" s="161"/>
      <c r="H889" s="161"/>
      <c r="I889" s="162"/>
      <c r="J889" s="163"/>
      <c r="K889" s="163"/>
      <c r="L889" s="163"/>
      <c r="M889" s="160"/>
      <c r="N889" s="162"/>
      <c r="O889" s="164"/>
      <c r="P889" s="140"/>
      <c r="Q889" s="191"/>
      <c r="R889" s="165"/>
      <c r="S889" s="165"/>
      <c r="T889" s="166"/>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92"/>
      <c r="AR889" s="192"/>
      <c r="AS889" s="192"/>
      <c r="AT889" s="192"/>
      <c r="AU889" s="192"/>
      <c r="AV889" s="192"/>
      <c r="AW889" s="192"/>
      <c r="AX889" s="192"/>
      <c r="AY889" s="192"/>
      <c r="AZ889" s="192"/>
      <c r="BA889" s="192"/>
      <c r="BB889" s="192"/>
      <c r="BC889" s="192"/>
      <c r="BD889" s="192"/>
      <c r="BE889" s="192"/>
      <c r="BF889" s="192"/>
      <c r="BG889" s="192"/>
      <c r="BH889" s="192"/>
      <c r="BI889" s="192"/>
      <c r="BJ889" s="192"/>
      <c r="BK889" s="192"/>
      <c r="BL889" s="192"/>
      <c r="BM889" s="192"/>
      <c r="BN889" s="192"/>
    </row>
    <row r="890" ht="29.25" customHeight="1">
      <c r="A890" s="189"/>
      <c r="B890" s="190"/>
      <c r="C890" s="157"/>
      <c r="D890" s="157"/>
      <c r="E890" s="158"/>
      <c r="F890" s="166"/>
      <c r="G890" s="161"/>
      <c r="H890" s="161"/>
      <c r="I890" s="162"/>
      <c r="J890" s="163"/>
      <c r="K890" s="163"/>
      <c r="L890" s="163"/>
      <c r="M890" s="160"/>
      <c r="N890" s="162"/>
      <c r="O890" s="164"/>
      <c r="P890" s="140"/>
      <c r="Q890" s="191"/>
      <c r="R890" s="165"/>
      <c r="S890" s="165"/>
      <c r="T890" s="166"/>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92"/>
      <c r="AR890" s="192"/>
      <c r="AS890" s="192"/>
      <c r="AT890" s="192"/>
      <c r="AU890" s="192"/>
      <c r="AV890" s="192"/>
      <c r="AW890" s="192"/>
      <c r="AX890" s="192"/>
      <c r="AY890" s="192"/>
      <c r="AZ890" s="192"/>
      <c r="BA890" s="192"/>
      <c r="BB890" s="192"/>
      <c r="BC890" s="192"/>
      <c r="BD890" s="192"/>
      <c r="BE890" s="192"/>
      <c r="BF890" s="192"/>
      <c r="BG890" s="192"/>
      <c r="BH890" s="192"/>
      <c r="BI890" s="192"/>
      <c r="BJ890" s="192"/>
      <c r="BK890" s="192"/>
      <c r="BL890" s="192"/>
      <c r="BM890" s="192"/>
      <c r="BN890" s="192"/>
    </row>
    <row r="891" ht="29.25" customHeight="1">
      <c r="A891" s="189"/>
      <c r="B891" s="190"/>
      <c r="C891" s="157"/>
      <c r="D891" s="157"/>
      <c r="E891" s="158"/>
      <c r="F891" s="166"/>
      <c r="G891" s="161"/>
      <c r="H891" s="161"/>
      <c r="I891" s="162"/>
      <c r="J891" s="163"/>
      <c r="K891" s="163"/>
      <c r="L891" s="163"/>
      <c r="M891" s="160"/>
      <c r="N891" s="162"/>
      <c r="O891" s="164"/>
      <c r="P891" s="140"/>
      <c r="Q891" s="191"/>
      <c r="R891" s="165"/>
      <c r="S891" s="165"/>
      <c r="T891" s="166"/>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92"/>
      <c r="AR891" s="192"/>
      <c r="AS891" s="192"/>
      <c r="AT891" s="192"/>
      <c r="AU891" s="192"/>
      <c r="AV891" s="192"/>
      <c r="AW891" s="192"/>
      <c r="AX891" s="192"/>
      <c r="AY891" s="192"/>
      <c r="AZ891" s="192"/>
      <c r="BA891" s="192"/>
      <c r="BB891" s="192"/>
      <c r="BC891" s="192"/>
      <c r="BD891" s="192"/>
      <c r="BE891" s="192"/>
      <c r="BF891" s="192"/>
      <c r="BG891" s="192"/>
      <c r="BH891" s="192"/>
      <c r="BI891" s="192"/>
      <c r="BJ891" s="192"/>
      <c r="BK891" s="192"/>
      <c r="BL891" s="192"/>
      <c r="BM891" s="192"/>
      <c r="BN891" s="192"/>
    </row>
    <row r="892" ht="29.25" customHeight="1">
      <c r="A892" s="189"/>
      <c r="B892" s="190"/>
      <c r="C892" s="157"/>
      <c r="D892" s="157"/>
      <c r="E892" s="158"/>
      <c r="F892" s="166"/>
      <c r="G892" s="161"/>
      <c r="H892" s="161"/>
      <c r="I892" s="162"/>
      <c r="J892" s="163"/>
      <c r="K892" s="163"/>
      <c r="L892" s="163"/>
      <c r="M892" s="160"/>
      <c r="N892" s="162"/>
      <c r="O892" s="164"/>
      <c r="P892" s="140"/>
      <c r="Q892" s="191"/>
      <c r="R892" s="165"/>
      <c r="S892" s="165"/>
      <c r="T892" s="166"/>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92"/>
      <c r="AR892" s="192"/>
      <c r="AS892" s="192"/>
      <c r="AT892" s="192"/>
      <c r="AU892" s="192"/>
      <c r="AV892" s="192"/>
      <c r="AW892" s="192"/>
      <c r="AX892" s="192"/>
      <c r="AY892" s="192"/>
      <c r="AZ892" s="192"/>
      <c r="BA892" s="192"/>
      <c r="BB892" s="192"/>
      <c r="BC892" s="192"/>
      <c r="BD892" s="192"/>
      <c r="BE892" s="192"/>
      <c r="BF892" s="192"/>
      <c r="BG892" s="192"/>
      <c r="BH892" s="192"/>
      <c r="BI892" s="192"/>
      <c r="BJ892" s="192"/>
      <c r="BK892" s="192"/>
      <c r="BL892" s="192"/>
      <c r="BM892" s="192"/>
      <c r="BN892" s="192"/>
    </row>
    <row r="893" ht="29.25" customHeight="1">
      <c r="A893" s="189"/>
      <c r="B893" s="190"/>
      <c r="C893" s="157"/>
      <c r="D893" s="157"/>
      <c r="E893" s="158"/>
      <c r="F893" s="166"/>
      <c r="G893" s="161"/>
      <c r="H893" s="161"/>
      <c r="I893" s="162"/>
      <c r="J893" s="163"/>
      <c r="K893" s="163"/>
      <c r="L893" s="163"/>
      <c r="M893" s="160"/>
      <c r="N893" s="162"/>
      <c r="O893" s="164"/>
      <c r="P893" s="140"/>
      <c r="Q893" s="191"/>
      <c r="R893" s="165"/>
      <c r="S893" s="165"/>
      <c r="T893" s="166"/>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92"/>
      <c r="AR893" s="192"/>
      <c r="AS893" s="192"/>
      <c r="AT893" s="192"/>
      <c r="AU893" s="192"/>
      <c r="AV893" s="192"/>
      <c r="AW893" s="192"/>
      <c r="AX893" s="192"/>
      <c r="AY893" s="192"/>
      <c r="AZ893" s="192"/>
      <c r="BA893" s="192"/>
      <c r="BB893" s="192"/>
      <c r="BC893" s="192"/>
      <c r="BD893" s="192"/>
      <c r="BE893" s="192"/>
      <c r="BF893" s="192"/>
      <c r="BG893" s="192"/>
      <c r="BH893" s="192"/>
      <c r="BI893" s="192"/>
      <c r="BJ893" s="192"/>
      <c r="BK893" s="192"/>
      <c r="BL893" s="192"/>
      <c r="BM893" s="192"/>
      <c r="BN893" s="192"/>
    </row>
    <row r="894" ht="29.25" customHeight="1">
      <c r="A894" s="189"/>
      <c r="B894" s="190"/>
      <c r="C894" s="157"/>
      <c r="D894" s="157"/>
      <c r="E894" s="158"/>
      <c r="F894" s="166"/>
      <c r="G894" s="161"/>
      <c r="H894" s="161"/>
      <c r="I894" s="162"/>
      <c r="J894" s="163"/>
      <c r="K894" s="163"/>
      <c r="L894" s="163"/>
      <c r="M894" s="160"/>
      <c r="N894" s="162"/>
      <c r="O894" s="164"/>
      <c r="P894" s="140"/>
      <c r="Q894" s="191"/>
      <c r="R894" s="165"/>
      <c r="S894" s="165"/>
      <c r="T894" s="166"/>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92"/>
      <c r="AR894" s="192"/>
      <c r="AS894" s="192"/>
      <c r="AT894" s="192"/>
      <c r="AU894" s="192"/>
      <c r="AV894" s="192"/>
      <c r="AW894" s="192"/>
      <c r="AX894" s="192"/>
      <c r="AY894" s="192"/>
      <c r="AZ894" s="192"/>
      <c r="BA894" s="192"/>
      <c r="BB894" s="192"/>
      <c r="BC894" s="192"/>
      <c r="BD894" s="192"/>
      <c r="BE894" s="192"/>
      <c r="BF894" s="192"/>
      <c r="BG894" s="192"/>
      <c r="BH894" s="192"/>
      <c r="BI894" s="192"/>
      <c r="BJ894" s="192"/>
      <c r="BK894" s="192"/>
      <c r="BL894" s="192"/>
      <c r="BM894" s="192"/>
      <c r="BN894" s="192"/>
    </row>
    <row r="895" ht="29.25" customHeight="1">
      <c r="A895" s="189"/>
      <c r="B895" s="190"/>
      <c r="C895" s="157"/>
      <c r="D895" s="157"/>
      <c r="E895" s="158"/>
      <c r="F895" s="166"/>
      <c r="G895" s="161"/>
      <c r="H895" s="161"/>
      <c r="I895" s="162"/>
      <c r="J895" s="163"/>
      <c r="K895" s="163"/>
      <c r="L895" s="163"/>
      <c r="M895" s="160"/>
      <c r="N895" s="162"/>
      <c r="O895" s="164"/>
      <c r="P895" s="140"/>
      <c r="Q895" s="191"/>
      <c r="R895" s="165"/>
      <c r="S895" s="165"/>
      <c r="T895" s="166"/>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92"/>
      <c r="AR895" s="192"/>
      <c r="AS895" s="192"/>
      <c r="AT895" s="192"/>
      <c r="AU895" s="192"/>
      <c r="AV895" s="192"/>
      <c r="AW895" s="192"/>
      <c r="AX895" s="192"/>
      <c r="AY895" s="192"/>
      <c r="AZ895" s="192"/>
      <c r="BA895" s="192"/>
      <c r="BB895" s="192"/>
      <c r="BC895" s="192"/>
      <c r="BD895" s="192"/>
      <c r="BE895" s="192"/>
      <c r="BF895" s="192"/>
      <c r="BG895" s="192"/>
      <c r="BH895" s="192"/>
      <c r="BI895" s="192"/>
      <c r="BJ895" s="192"/>
      <c r="BK895" s="192"/>
      <c r="BL895" s="192"/>
      <c r="BM895" s="192"/>
      <c r="BN895" s="192"/>
    </row>
    <row r="896" ht="29.25" customHeight="1">
      <c r="A896" s="189"/>
      <c r="B896" s="190"/>
      <c r="C896" s="157"/>
      <c r="D896" s="157"/>
      <c r="E896" s="158"/>
      <c r="F896" s="166"/>
      <c r="G896" s="161"/>
      <c r="H896" s="161"/>
      <c r="I896" s="162"/>
      <c r="J896" s="163"/>
      <c r="K896" s="163"/>
      <c r="L896" s="163"/>
      <c r="M896" s="160"/>
      <c r="N896" s="162"/>
      <c r="O896" s="164"/>
      <c r="P896" s="140"/>
      <c r="Q896" s="191"/>
      <c r="R896" s="165"/>
      <c r="S896" s="165"/>
      <c r="T896" s="166"/>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92"/>
      <c r="AR896" s="192"/>
      <c r="AS896" s="192"/>
      <c r="AT896" s="192"/>
      <c r="AU896" s="192"/>
      <c r="AV896" s="192"/>
      <c r="AW896" s="192"/>
      <c r="AX896" s="192"/>
      <c r="AY896" s="192"/>
      <c r="AZ896" s="192"/>
      <c r="BA896" s="192"/>
      <c r="BB896" s="192"/>
      <c r="BC896" s="192"/>
      <c r="BD896" s="192"/>
      <c r="BE896" s="192"/>
      <c r="BF896" s="192"/>
      <c r="BG896" s="192"/>
      <c r="BH896" s="192"/>
      <c r="BI896" s="192"/>
      <c r="BJ896" s="192"/>
      <c r="BK896" s="192"/>
      <c r="BL896" s="192"/>
      <c r="BM896" s="192"/>
      <c r="BN896" s="192"/>
    </row>
    <row r="897" ht="29.25" customHeight="1">
      <c r="A897" s="189"/>
      <c r="B897" s="190"/>
      <c r="C897" s="157"/>
      <c r="D897" s="157"/>
      <c r="E897" s="158"/>
      <c r="F897" s="166"/>
      <c r="G897" s="161"/>
      <c r="H897" s="161"/>
      <c r="I897" s="162"/>
      <c r="J897" s="163"/>
      <c r="K897" s="163"/>
      <c r="L897" s="163"/>
      <c r="M897" s="160"/>
      <c r="N897" s="162"/>
      <c r="O897" s="164"/>
      <c r="P897" s="140"/>
      <c r="Q897" s="191"/>
      <c r="R897" s="165"/>
      <c r="S897" s="165"/>
      <c r="T897" s="166"/>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92"/>
      <c r="AR897" s="192"/>
      <c r="AS897" s="192"/>
      <c r="AT897" s="192"/>
      <c r="AU897" s="192"/>
      <c r="AV897" s="192"/>
      <c r="AW897" s="192"/>
      <c r="AX897" s="192"/>
      <c r="AY897" s="192"/>
      <c r="AZ897" s="192"/>
      <c r="BA897" s="192"/>
      <c r="BB897" s="192"/>
      <c r="BC897" s="192"/>
      <c r="BD897" s="192"/>
      <c r="BE897" s="192"/>
      <c r="BF897" s="192"/>
      <c r="BG897" s="192"/>
      <c r="BH897" s="192"/>
      <c r="BI897" s="192"/>
      <c r="BJ897" s="192"/>
      <c r="BK897" s="192"/>
      <c r="BL897" s="192"/>
      <c r="BM897" s="192"/>
      <c r="BN897" s="192"/>
    </row>
    <row r="898" ht="29.25" customHeight="1">
      <c r="A898" s="189"/>
      <c r="B898" s="190"/>
      <c r="C898" s="157"/>
      <c r="D898" s="157"/>
      <c r="E898" s="158"/>
      <c r="F898" s="166"/>
      <c r="G898" s="161"/>
      <c r="H898" s="161"/>
      <c r="I898" s="162"/>
      <c r="J898" s="163"/>
      <c r="K898" s="163"/>
      <c r="L898" s="163"/>
      <c r="M898" s="160"/>
      <c r="N898" s="162"/>
      <c r="O898" s="164"/>
      <c r="P898" s="140"/>
      <c r="Q898" s="191"/>
      <c r="R898" s="165"/>
      <c r="S898" s="165"/>
      <c r="T898" s="166"/>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92"/>
      <c r="AR898" s="192"/>
      <c r="AS898" s="192"/>
      <c r="AT898" s="192"/>
      <c r="AU898" s="192"/>
      <c r="AV898" s="192"/>
      <c r="AW898" s="192"/>
      <c r="AX898" s="192"/>
      <c r="AY898" s="192"/>
      <c r="AZ898" s="192"/>
      <c r="BA898" s="192"/>
      <c r="BB898" s="192"/>
      <c r="BC898" s="192"/>
      <c r="BD898" s="192"/>
      <c r="BE898" s="192"/>
      <c r="BF898" s="192"/>
      <c r="BG898" s="192"/>
      <c r="BH898" s="192"/>
      <c r="BI898" s="192"/>
      <c r="BJ898" s="192"/>
      <c r="BK898" s="192"/>
      <c r="BL898" s="192"/>
      <c r="BM898" s="192"/>
      <c r="BN898" s="192"/>
    </row>
    <row r="899" ht="29.25" customHeight="1">
      <c r="A899" s="189"/>
      <c r="B899" s="190"/>
      <c r="C899" s="157"/>
      <c r="D899" s="157"/>
      <c r="E899" s="158"/>
      <c r="F899" s="166"/>
      <c r="G899" s="161"/>
      <c r="H899" s="161"/>
      <c r="I899" s="162"/>
      <c r="J899" s="163"/>
      <c r="K899" s="163"/>
      <c r="L899" s="163"/>
      <c r="M899" s="160"/>
      <c r="N899" s="162"/>
      <c r="O899" s="164"/>
      <c r="P899" s="140"/>
      <c r="Q899" s="191"/>
      <c r="R899" s="165"/>
      <c r="S899" s="165"/>
      <c r="T899" s="166"/>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92"/>
      <c r="AR899" s="192"/>
      <c r="AS899" s="192"/>
      <c r="AT899" s="192"/>
      <c r="AU899" s="192"/>
      <c r="AV899" s="192"/>
      <c r="AW899" s="192"/>
      <c r="AX899" s="192"/>
      <c r="AY899" s="192"/>
      <c r="AZ899" s="192"/>
      <c r="BA899" s="192"/>
      <c r="BB899" s="192"/>
      <c r="BC899" s="192"/>
      <c r="BD899" s="192"/>
      <c r="BE899" s="192"/>
      <c r="BF899" s="192"/>
      <c r="BG899" s="192"/>
      <c r="BH899" s="192"/>
      <c r="BI899" s="192"/>
      <c r="BJ899" s="192"/>
      <c r="BK899" s="192"/>
      <c r="BL899" s="192"/>
      <c r="BM899" s="192"/>
      <c r="BN899" s="192"/>
    </row>
    <row r="900" ht="29.25" customHeight="1">
      <c r="A900" s="189"/>
      <c r="B900" s="190"/>
      <c r="C900" s="157"/>
      <c r="D900" s="157"/>
      <c r="E900" s="158"/>
      <c r="F900" s="166"/>
      <c r="G900" s="161"/>
      <c r="H900" s="161"/>
      <c r="I900" s="162"/>
      <c r="J900" s="163"/>
      <c r="K900" s="163"/>
      <c r="L900" s="163"/>
      <c r="M900" s="160"/>
      <c r="N900" s="162"/>
      <c r="O900" s="164"/>
      <c r="P900" s="140"/>
      <c r="Q900" s="191"/>
      <c r="R900" s="165"/>
      <c r="S900" s="165"/>
      <c r="T900" s="166"/>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92"/>
      <c r="AR900" s="192"/>
      <c r="AS900" s="192"/>
      <c r="AT900" s="192"/>
      <c r="AU900" s="192"/>
      <c r="AV900" s="192"/>
      <c r="AW900" s="192"/>
      <c r="AX900" s="192"/>
      <c r="AY900" s="192"/>
      <c r="AZ900" s="192"/>
      <c r="BA900" s="192"/>
      <c r="BB900" s="192"/>
      <c r="BC900" s="192"/>
      <c r="BD900" s="192"/>
      <c r="BE900" s="192"/>
      <c r="BF900" s="192"/>
      <c r="BG900" s="192"/>
      <c r="BH900" s="192"/>
      <c r="BI900" s="192"/>
      <c r="BJ900" s="192"/>
      <c r="BK900" s="192"/>
      <c r="BL900" s="192"/>
      <c r="BM900" s="192"/>
      <c r="BN900" s="192"/>
    </row>
    <row r="901" ht="29.25" customHeight="1">
      <c r="A901" s="189"/>
      <c r="B901" s="190"/>
      <c r="C901" s="157"/>
      <c r="D901" s="157"/>
      <c r="E901" s="158"/>
      <c r="F901" s="166"/>
      <c r="G901" s="161"/>
      <c r="H901" s="161"/>
      <c r="I901" s="162"/>
      <c r="J901" s="163"/>
      <c r="K901" s="163"/>
      <c r="L901" s="163"/>
      <c r="M901" s="160"/>
      <c r="N901" s="162"/>
      <c r="O901" s="164"/>
      <c r="P901" s="140"/>
      <c r="Q901" s="191"/>
      <c r="R901" s="165"/>
      <c r="S901" s="165"/>
      <c r="T901" s="166"/>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92"/>
      <c r="AR901" s="192"/>
      <c r="AS901" s="192"/>
      <c r="AT901" s="192"/>
      <c r="AU901" s="192"/>
      <c r="AV901" s="192"/>
      <c r="AW901" s="192"/>
      <c r="AX901" s="192"/>
      <c r="AY901" s="192"/>
      <c r="AZ901" s="192"/>
      <c r="BA901" s="192"/>
      <c r="BB901" s="192"/>
      <c r="BC901" s="192"/>
      <c r="BD901" s="192"/>
      <c r="BE901" s="192"/>
      <c r="BF901" s="192"/>
      <c r="BG901" s="192"/>
      <c r="BH901" s="192"/>
      <c r="BI901" s="192"/>
      <c r="BJ901" s="192"/>
      <c r="BK901" s="192"/>
      <c r="BL901" s="192"/>
      <c r="BM901" s="192"/>
      <c r="BN901" s="192"/>
    </row>
    <row r="902" ht="29.25" customHeight="1">
      <c r="A902" s="189"/>
      <c r="B902" s="190"/>
      <c r="C902" s="157"/>
      <c r="D902" s="157"/>
      <c r="E902" s="158"/>
      <c r="F902" s="166"/>
      <c r="G902" s="161"/>
      <c r="H902" s="161"/>
      <c r="I902" s="162"/>
      <c r="J902" s="163"/>
      <c r="K902" s="163"/>
      <c r="L902" s="163"/>
      <c r="M902" s="160"/>
      <c r="N902" s="162"/>
      <c r="O902" s="164"/>
      <c r="P902" s="140"/>
      <c r="Q902" s="191"/>
      <c r="R902" s="165"/>
      <c r="S902" s="165"/>
      <c r="T902" s="166"/>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92"/>
      <c r="AR902" s="192"/>
      <c r="AS902" s="192"/>
      <c r="AT902" s="192"/>
      <c r="AU902" s="192"/>
      <c r="AV902" s="192"/>
      <c r="AW902" s="192"/>
      <c r="AX902" s="192"/>
      <c r="AY902" s="192"/>
      <c r="AZ902" s="192"/>
      <c r="BA902" s="192"/>
      <c r="BB902" s="192"/>
      <c r="BC902" s="192"/>
      <c r="BD902" s="192"/>
      <c r="BE902" s="192"/>
      <c r="BF902" s="192"/>
      <c r="BG902" s="192"/>
      <c r="BH902" s="192"/>
      <c r="BI902" s="192"/>
      <c r="BJ902" s="192"/>
      <c r="BK902" s="192"/>
      <c r="BL902" s="192"/>
      <c r="BM902" s="192"/>
      <c r="BN902" s="192"/>
    </row>
    <row r="903" ht="29.25" customHeight="1">
      <c r="A903" s="189"/>
      <c r="B903" s="190"/>
      <c r="C903" s="157"/>
      <c r="D903" s="157"/>
      <c r="E903" s="158"/>
      <c r="F903" s="166"/>
      <c r="G903" s="161"/>
      <c r="H903" s="161"/>
      <c r="I903" s="162"/>
      <c r="J903" s="163"/>
      <c r="K903" s="163"/>
      <c r="L903" s="163"/>
      <c r="M903" s="160"/>
      <c r="N903" s="162"/>
      <c r="O903" s="164"/>
      <c r="P903" s="140"/>
      <c r="Q903" s="191"/>
      <c r="R903" s="165"/>
      <c r="S903" s="165"/>
      <c r="T903" s="166"/>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92"/>
      <c r="AR903" s="192"/>
      <c r="AS903" s="192"/>
      <c r="AT903" s="192"/>
      <c r="AU903" s="192"/>
      <c r="AV903" s="192"/>
      <c r="AW903" s="192"/>
      <c r="AX903" s="192"/>
      <c r="AY903" s="192"/>
      <c r="AZ903" s="192"/>
      <c r="BA903" s="192"/>
      <c r="BB903" s="192"/>
      <c r="BC903" s="192"/>
      <c r="BD903" s="192"/>
      <c r="BE903" s="192"/>
      <c r="BF903" s="192"/>
      <c r="BG903" s="192"/>
      <c r="BH903" s="192"/>
      <c r="BI903" s="192"/>
      <c r="BJ903" s="192"/>
      <c r="BK903" s="192"/>
      <c r="BL903" s="192"/>
      <c r="BM903" s="192"/>
      <c r="BN903" s="192"/>
    </row>
    <row r="904" ht="29.25" customHeight="1">
      <c r="A904" s="189"/>
      <c r="B904" s="190"/>
      <c r="C904" s="157"/>
      <c r="D904" s="157"/>
      <c r="E904" s="158"/>
      <c r="F904" s="166"/>
      <c r="G904" s="161"/>
      <c r="H904" s="161"/>
      <c r="I904" s="162"/>
      <c r="J904" s="163"/>
      <c r="K904" s="163"/>
      <c r="L904" s="163"/>
      <c r="M904" s="160"/>
      <c r="N904" s="162"/>
      <c r="O904" s="164"/>
      <c r="P904" s="140"/>
      <c r="Q904" s="191"/>
      <c r="R904" s="165"/>
      <c r="S904" s="165"/>
      <c r="T904" s="166"/>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92"/>
      <c r="AR904" s="192"/>
      <c r="AS904" s="192"/>
      <c r="AT904" s="192"/>
      <c r="AU904" s="192"/>
      <c r="AV904" s="192"/>
      <c r="AW904" s="192"/>
      <c r="AX904" s="192"/>
      <c r="AY904" s="192"/>
      <c r="AZ904" s="192"/>
      <c r="BA904" s="192"/>
      <c r="BB904" s="192"/>
      <c r="BC904" s="192"/>
      <c r="BD904" s="192"/>
      <c r="BE904" s="192"/>
      <c r="BF904" s="192"/>
      <c r="BG904" s="192"/>
      <c r="BH904" s="192"/>
      <c r="BI904" s="192"/>
      <c r="BJ904" s="192"/>
      <c r="BK904" s="192"/>
      <c r="BL904" s="192"/>
      <c r="BM904" s="192"/>
      <c r="BN904" s="192"/>
    </row>
    <row r="905" ht="29.25" customHeight="1">
      <c r="A905" s="189"/>
      <c r="B905" s="190"/>
      <c r="C905" s="157"/>
      <c r="D905" s="157"/>
      <c r="E905" s="158"/>
      <c r="F905" s="166"/>
      <c r="G905" s="161"/>
      <c r="H905" s="161"/>
      <c r="I905" s="162"/>
      <c r="J905" s="163"/>
      <c r="K905" s="163"/>
      <c r="L905" s="163"/>
      <c r="M905" s="160"/>
      <c r="N905" s="162"/>
      <c r="O905" s="164"/>
      <c r="P905" s="140"/>
      <c r="Q905" s="191"/>
      <c r="R905" s="165"/>
      <c r="S905" s="165"/>
      <c r="T905" s="166"/>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92"/>
      <c r="AR905" s="192"/>
      <c r="AS905" s="192"/>
      <c r="AT905" s="192"/>
      <c r="AU905" s="192"/>
      <c r="AV905" s="192"/>
      <c r="AW905" s="192"/>
      <c r="AX905" s="192"/>
      <c r="AY905" s="192"/>
      <c r="AZ905" s="192"/>
      <c r="BA905" s="192"/>
      <c r="BB905" s="192"/>
      <c r="BC905" s="192"/>
      <c r="BD905" s="192"/>
      <c r="BE905" s="192"/>
      <c r="BF905" s="192"/>
      <c r="BG905" s="192"/>
      <c r="BH905" s="192"/>
      <c r="BI905" s="192"/>
      <c r="BJ905" s="192"/>
      <c r="BK905" s="192"/>
      <c r="BL905" s="192"/>
      <c r="BM905" s="192"/>
      <c r="BN905" s="192"/>
    </row>
    <row r="906" ht="29.25" customHeight="1">
      <c r="A906" s="189"/>
      <c r="B906" s="190"/>
      <c r="C906" s="157"/>
      <c r="D906" s="157"/>
      <c r="E906" s="158"/>
      <c r="F906" s="166"/>
      <c r="G906" s="161"/>
      <c r="H906" s="161"/>
      <c r="I906" s="162"/>
      <c r="J906" s="163"/>
      <c r="K906" s="163"/>
      <c r="L906" s="163"/>
      <c r="M906" s="160"/>
      <c r="N906" s="162"/>
      <c r="O906" s="164"/>
      <c r="P906" s="140"/>
      <c r="Q906" s="191"/>
      <c r="R906" s="165"/>
      <c r="S906" s="165"/>
      <c r="T906" s="166"/>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92"/>
      <c r="AR906" s="192"/>
      <c r="AS906" s="192"/>
      <c r="AT906" s="192"/>
      <c r="AU906" s="192"/>
      <c r="AV906" s="192"/>
      <c r="AW906" s="192"/>
      <c r="AX906" s="192"/>
      <c r="AY906" s="192"/>
      <c r="AZ906" s="192"/>
      <c r="BA906" s="192"/>
      <c r="BB906" s="192"/>
      <c r="BC906" s="192"/>
      <c r="BD906" s="192"/>
      <c r="BE906" s="192"/>
      <c r="BF906" s="192"/>
      <c r="BG906" s="192"/>
      <c r="BH906" s="192"/>
      <c r="BI906" s="192"/>
      <c r="BJ906" s="192"/>
      <c r="BK906" s="192"/>
      <c r="BL906" s="192"/>
      <c r="BM906" s="192"/>
      <c r="BN906" s="192"/>
    </row>
    <row r="907" ht="29.25" customHeight="1">
      <c r="A907" s="189"/>
      <c r="B907" s="190"/>
      <c r="C907" s="157"/>
      <c r="D907" s="157"/>
      <c r="E907" s="158"/>
      <c r="F907" s="166"/>
      <c r="G907" s="161"/>
      <c r="H907" s="161"/>
      <c r="I907" s="162"/>
      <c r="J907" s="163"/>
      <c r="K907" s="163"/>
      <c r="L907" s="163"/>
      <c r="M907" s="160"/>
      <c r="N907" s="162"/>
      <c r="O907" s="164"/>
      <c r="P907" s="140"/>
      <c r="Q907" s="191"/>
      <c r="R907" s="165"/>
      <c r="S907" s="165"/>
      <c r="T907" s="166"/>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92"/>
      <c r="AR907" s="192"/>
      <c r="AS907" s="192"/>
      <c r="AT907" s="192"/>
      <c r="AU907" s="192"/>
      <c r="AV907" s="192"/>
      <c r="AW907" s="192"/>
      <c r="AX907" s="192"/>
      <c r="AY907" s="192"/>
      <c r="AZ907" s="192"/>
      <c r="BA907" s="192"/>
      <c r="BB907" s="192"/>
      <c r="BC907" s="192"/>
      <c r="BD907" s="192"/>
      <c r="BE907" s="192"/>
      <c r="BF907" s="192"/>
      <c r="BG907" s="192"/>
      <c r="BH907" s="192"/>
      <c r="BI907" s="192"/>
      <c r="BJ907" s="192"/>
      <c r="BK907" s="192"/>
      <c r="BL907" s="192"/>
      <c r="BM907" s="192"/>
      <c r="BN907" s="192"/>
    </row>
    <row r="908" ht="29.25" customHeight="1">
      <c r="A908" s="189"/>
      <c r="B908" s="190"/>
      <c r="C908" s="157"/>
      <c r="D908" s="157"/>
      <c r="E908" s="158"/>
      <c r="F908" s="166"/>
      <c r="G908" s="161"/>
      <c r="H908" s="161"/>
      <c r="I908" s="162"/>
      <c r="J908" s="163"/>
      <c r="K908" s="163"/>
      <c r="L908" s="163"/>
      <c r="M908" s="160"/>
      <c r="N908" s="162"/>
      <c r="O908" s="164"/>
      <c r="P908" s="140"/>
      <c r="Q908" s="191"/>
      <c r="R908" s="165"/>
      <c r="S908" s="165"/>
      <c r="T908" s="166"/>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92"/>
      <c r="AR908" s="192"/>
      <c r="AS908" s="192"/>
      <c r="AT908" s="192"/>
      <c r="AU908" s="192"/>
      <c r="AV908" s="192"/>
      <c r="AW908" s="192"/>
      <c r="AX908" s="192"/>
      <c r="AY908" s="192"/>
      <c r="AZ908" s="192"/>
      <c r="BA908" s="192"/>
      <c r="BB908" s="192"/>
      <c r="BC908" s="192"/>
      <c r="BD908" s="192"/>
      <c r="BE908" s="192"/>
      <c r="BF908" s="192"/>
      <c r="BG908" s="192"/>
      <c r="BH908" s="192"/>
      <c r="BI908" s="192"/>
      <c r="BJ908" s="192"/>
      <c r="BK908" s="192"/>
      <c r="BL908" s="192"/>
      <c r="BM908" s="192"/>
      <c r="BN908" s="192"/>
    </row>
    <row r="909" ht="29.25" customHeight="1">
      <c r="A909" s="189"/>
      <c r="B909" s="190"/>
      <c r="C909" s="157"/>
      <c r="D909" s="157"/>
      <c r="E909" s="158"/>
      <c r="F909" s="166"/>
      <c r="G909" s="161"/>
      <c r="H909" s="161"/>
      <c r="I909" s="162"/>
      <c r="J909" s="163"/>
      <c r="K909" s="163"/>
      <c r="L909" s="163"/>
      <c r="M909" s="160"/>
      <c r="N909" s="162"/>
      <c r="O909" s="164"/>
      <c r="P909" s="140"/>
      <c r="Q909" s="191"/>
      <c r="R909" s="165"/>
      <c r="S909" s="165"/>
      <c r="T909" s="166"/>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92"/>
      <c r="AR909" s="192"/>
      <c r="AS909" s="192"/>
      <c r="AT909" s="192"/>
      <c r="AU909" s="192"/>
      <c r="AV909" s="192"/>
      <c r="AW909" s="192"/>
      <c r="AX909" s="192"/>
      <c r="AY909" s="192"/>
      <c r="AZ909" s="192"/>
      <c r="BA909" s="192"/>
      <c r="BB909" s="192"/>
      <c r="BC909" s="192"/>
      <c r="BD909" s="192"/>
      <c r="BE909" s="192"/>
      <c r="BF909" s="192"/>
      <c r="BG909" s="192"/>
      <c r="BH909" s="192"/>
      <c r="BI909" s="192"/>
      <c r="BJ909" s="192"/>
      <c r="BK909" s="192"/>
      <c r="BL909" s="192"/>
      <c r="BM909" s="192"/>
      <c r="BN909" s="192"/>
    </row>
    <row r="910" ht="29.25" customHeight="1">
      <c r="A910" s="189"/>
      <c r="B910" s="190"/>
      <c r="C910" s="157"/>
      <c r="D910" s="157"/>
      <c r="E910" s="158"/>
      <c r="F910" s="166"/>
      <c r="G910" s="161"/>
      <c r="H910" s="161"/>
      <c r="I910" s="162"/>
      <c r="J910" s="163"/>
      <c r="K910" s="163"/>
      <c r="L910" s="163"/>
      <c r="M910" s="160"/>
      <c r="N910" s="162"/>
      <c r="O910" s="164"/>
      <c r="P910" s="140"/>
      <c r="Q910" s="191"/>
      <c r="R910" s="165"/>
      <c r="S910" s="165"/>
      <c r="T910" s="166"/>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92"/>
      <c r="AR910" s="192"/>
      <c r="AS910" s="192"/>
      <c r="AT910" s="192"/>
      <c r="AU910" s="192"/>
      <c r="AV910" s="192"/>
      <c r="AW910" s="192"/>
      <c r="AX910" s="192"/>
      <c r="AY910" s="192"/>
      <c r="AZ910" s="192"/>
      <c r="BA910" s="192"/>
      <c r="BB910" s="192"/>
      <c r="BC910" s="192"/>
      <c r="BD910" s="192"/>
      <c r="BE910" s="192"/>
      <c r="BF910" s="192"/>
      <c r="BG910" s="192"/>
      <c r="BH910" s="192"/>
      <c r="BI910" s="192"/>
      <c r="BJ910" s="192"/>
      <c r="BK910" s="192"/>
      <c r="BL910" s="192"/>
      <c r="BM910" s="192"/>
      <c r="BN910" s="192"/>
    </row>
    <row r="911" ht="29.25" customHeight="1">
      <c r="A911" s="189"/>
      <c r="B911" s="190"/>
      <c r="C911" s="157"/>
      <c r="D911" s="157"/>
      <c r="E911" s="158"/>
      <c r="F911" s="166"/>
      <c r="G911" s="161"/>
      <c r="H911" s="161"/>
      <c r="I911" s="162"/>
      <c r="J911" s="163"/>
      <c r="K911" s="163"/>
      <c r="L911" s="163"/>
      <c r="M911" s="160"/>
      <c r="N911" s="162"/>
      <c r="O911" s="164"/>
      <c r="P911" s="140"/>
      <c r="Q911" s="191"/>
      <c r="R911" s="165"/>
      <c r="S911" s="165"/>
      <c r="T911" s="166"/>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92"/>
      <c r="AR911" s="192"/>
      <c r="AS911" s="192"/>
      <c r="AT911" s="192"/>
      <c r="AU911" s="192"/>
      <c r="AV911" s="192"/>
      <c r="AW911" s="192"/>
      <c r="AX911" s="192"/>
      <c r="AY911" s="192"/>
      <c r="AZ911" s="192"/>
      <c r="BA911" s="192"/>
      <c r="BB911" s="192"/>
      <c r="BC911" s="192"/>
      <c r="BD911" s="192"/>
      <c r="BE911" s="192"/>
      <c r="BF911" s="192"/>
      <c r="BG911" s="192"/>
      <c r="BH911" s="192"/>
      <c r="BI911" s="192"/>
      <c r="BJ911" s="192"/>
      <c r="BK911" s="192"/>
      <c r="BL911" s="192"/>
      <c r="BM911" s="192"/>
      <c r="BN911" s="192"/>
    </row>
    <row r="912" ht="29.25" customHeight="1">
      <c r="A912" s="189"/>
      <c r="B912" s="190"/>
      <c r="C912" s="157"/>
      <c r="D912" s="157"/>
      <c r="E912" s="158"/>
      <c r="F912" s="166"/>
      <c r="G912" s="161"/>
      <c r="H912" s="161"/>
      <c r="I912" s="162"/>
      <c r="J912" s="163"/>
      <c r="K912" s="163"/>
      <c r="L912" s="163"/>
      <c r="M912" s="160"/>
      <c r="N912" s="162"/>
      <c r="O912" s="164"/>
      <c r="P912" s="140"/>
      <c r="Q912" s="191"/>
      <c r="R912" s="165"/>
      <c r="S912" s="165"/>
      <c r="T912" s="166"/>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92"/>
      <c r="AR912" s="192"/>
      <c r="AS912" s="192"/>
      <c r="AT912" s="192"/>
      <c r="AU912" s="192"/>
      <c r="AV912" s="192"/>
      <c r="AW912" s="192"/>
      <c r="AX912" s="192"/>
      <c r="AY912" s="192"/>
      <c r="AZ912" s="192"/>
      <c r="BA912" s="192"/>
      <c r="BB912" s="192"/>
      <c r="BC912" s="192"/>
      <c r="BD912" s="192"/>
      <c r="BE912" s="192"/>
      <c r="BF912" s="192"/>
      <c r="BG912" s="192"/>
      <c r="BH912" s="192"/>
      <c r="BI912" s="192"/>
      <c r="BJ912" s="192"/>
      <c r="BK912" s="192"/>
      <c r="BL912" s="192"/>
      <c r="BM912" s="192"/>
      <c r="BN912" s="192"/>
    </row>
    <row r="913" ht="29.25" customHeight="1">
      <c r="A913" s="189"/>
      <c r="B913" s="190"/>
      <c r="C913" s="157"/>
      <c r="D913" s="157"/>
      <c r="E913" s="158"/>
      <c r="F913" s="166"/>
      <c r="G913" s="161"/>
      <c r="H913" s="161"/>
      <c r="I913" s="162"/>
      <c r="J913" s="163"/>
      <c r="K913" s="163"/>
      <c r="L913" s="163"/>
      <c r="M913" s="160"/>
      <c r="N913" s="162"/>
      <c r="O913" s="164"/>
      <c r="P913" s="140"/>
      <c r="Q913" s="191"/>
      <c r="R913" s="165"/>
      <c r="S913" s="165"/>
      <c r="T913" s="166"/>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92"/>
      <c r="AR913" s="192"/>
      <c r="AS913" s="192"/>
      <c r="AT913" s="192"/>
      <c r="AU913" s="192"/>
      <c r="AV913" s="192"/>
      <c r="AW913" s="192"/>
      <c r="AX913" s="192"/>
      <c r="AY913" s="192"/>
      <c r="AZ913" s="192"/>
      <c r="BA913" s="192"/>
      <c r="BB913" s="192"/>
      <c r="BC913" s="192"/>
      <c r="BD913" s="192"/>
      <c r="BE913" s="192"/>
      <c r="BF913" s="192"/>
      <c r="BG913" s="192"/>
      <c r="BH913" s="192"/>
      <c r="BI913" s="192"/>
      <c r="BJ913" s="192"/>
      <c r="BK913" s="192"/>
      <c r="BL913" s="192"/>
      <c r="BM913" s="192"/>
      <c r="BN913" s="192"/>
    </row>
    <row r="914" ht="29.25" customHeight="1">
      <c r="A914" s="189"/>
      <c r="B914" s="190"/>
      <c r="C914" s="157"/>
      <c r="D914" s="157"/>
      <c r="E914" s="158"/>
      <c r="F914" s="166"/>
      <c r="G914" s="161"/>
      <c r="H914" s="161"/>
      <c r="I914" s="162"/>
      <c r="J914" s="163"/>
      <c r="K914" s="163"/>
      <c r="L914" s="163"/>
      <c r="M914" s="160"/>
      <c r="N914" s="162"/>
      <c r="O914" s="164"/>
      <c r="P914" s="140"/>
      <c r="Q914" s="191"/>
      <c r="R914" s="165"/>
      <c r="S914" s="165"/>
      <c r="T914" s="166"/>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92"/>
      <c r="AR914" s="192"/>
      <c r="AS914" s="192"/>
      <c r="AT914" s="192"/>
      <c r="AU914" s="192"/>
      <c r="AV914" s="192"/>
      <c r="AW914" s="192"/>
      <c r="AX914" s="192"/>
      <c r="AY914" s="192"/>
      <c r="AZ914" s="192"/>
      <c r="BA914" s="192"/>
      <c r="BB914" s="192"/>
      <c r="BC914" s="192"/>
      <c r="BD914" s="192"/>
      <c r="BE914" s="192"/>
      <c r="BF914" s="192"/>
      <c r="BG914" s="192"/>
      <c r="BH914" s="192"/>
      <c r="BI914" s="192"/>
      <c r="BJ914" s="192"/>
      <c r="BK914" s="192"/>
      <c r="BL914" s="192"/>
      <c r="BM914" s="192"/>
      <c r="BN914" s="192"/>
    </row>
    <row r="915" ht="29.25" customHeight="1">
      <c r="A915" s="189"/>
      <c r="B915" s="190"/>
      <c r="C915" s="157"/>
      <c r="D915" s="157"/>
      <c r="E915" s="158"/>
      <c r="F915" s="166"/>
      <c r="G915" s="161"/>
      <c r="H915" s="161"/>
      <c r="I915" s="162"/>
      <c r="J915" s="163"/>
      <c r="K915" s="163"/>
      <c r="L915" s="163"/>
      <c r="M915" s="160"/>
      <c r="N915" s="162"/>
      <c r="O915" s="164"/>
      <c r="P915" s="140"/>
      <c r="Q915" s="191"/>
      <c r="R915" s="165"/>
      <c r="S915" s="165"/>
      <c r="T915" s="166"/>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92"/>
      <c r="AR915" s="192"/>
      <c r="AS915" s="192"/>
      <c r="AT915" s="192"/>
      <c r="AU915" s="192"/>
      <c r="AV915" s="192"/>
      <c r="AW915" s="192"/>
      <c r="AX915" s="192"/>
      <c r="AY915" s="192"/>
      <c r="AZ915" s="192"/>
      <c r="BA915" s="192"/>
      <c r="BB915" s="192"/>
      <c r="BC915" s="192"/>
      <c r="BD915" s="192"/>
      <c r="BE915" s="192"/>
      <c r="BF915" s="192"/>
      <c r="BG915" s="192"/>
      <c r="BH915" s="192"/>
      <c r="BI915" s="192"/>
      <c r="BJ915" s="192"/>
      <c r="BK915" s="192"/>
      <c r="BL915" s="192"/>
      <c r="BM915" s="192"/>
      <c r="BN915" s="192"/>
    </row>
    <row r="916" ht="29.25" customHeight="1">
      <c r="A916" s="189"/>
      <c r="B916" s="190"/>
      <c r="C916" s="157"/>
      <c r="D916" s="157"/>
      <c r="E916" s="158"/>
      <c r="F916" s="166"/>
      <c r="G916" s="161"/>
      <c r="H916" s="161"/>
      <c r="I916" s="162"/>
      <c r="J916" s="163"/>
      <c r="K916" s="163"/>
      <c r="L916" s="163"/>
      <c r="M916" s="160"/>
      <c r="N916" s="162"/>
      <c r="O916" s="164"/>
      <c r="P916" s="140"/>
      <c r="Q916" s="191"/>
      <c r="R916" s="165"/>
      <c r="S916" s="165"/>
      <c r="T916" s="166"/>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92"/>
      <c r="AR916" s="192"/>
      <c r="AS916" s="192"/>
      <c r="AT916" s="192"/>
      <c r="AU916" s="192"/>
      <c r="AV916" s="192"/>
      <c r="AW916" s="192"/>
      <c r="AX916" s="192"/>
      <c r="AY916" s="192"/>
      <c r="AZ916" s="192"/>
      <c r="BA916" s="192"/>
      <c r="BB916" s="192"/>
      <c r="BC916" s="192"/>
      <c r="BD916" s="192"/>
      <c r="BE916" s="192"/>
      <c r="BF916" s="192"/>
      <c r="BG916" s="192"/>
      <c r="BH916" s="192"/>
      <c r="BI916" s="192"/>
      <c r="BJ916" s="192"/>
      <c r="BK916" s="192"/>
      <c r="BL916" s="192"/>
      <c r="BM916" s="192"/>
      <c r="BN916" s="192"/>
    </row>
    <row r="917" ht="29.25" customHeight="1">
      <c r="A917" s="189"/>
      <c r="B917" s="190"/>
      <c r="C917" s="157"/>
      <c r="D917" s="157"/>
      <c r="E917" s="158"/>
      <c r="F917" s="166"/>
      <c r="G917" s="161"/>
      <c r="H917" s="161"/>
      <c r="I917" s="162"/>
      <c r="J917" s="163"/>
      <c r="K917" s="163"/>
      <c r="L917" s="163"/>
      <c r="M917" s="160"/>
      <c r="N917" s="162"/>
      <c r="O917" s="164"/>
      <c r="P917" s="140"/>
      <c r="Q917" s="191"/>
      <c r="R917" s="165"/>
      <c r="S917" s="165"/>
      <c r="T917" s="166"/>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92"/>
      <c r="AR917" s="192"/>
      <c r="AS917" s="192"/>
      <c r="AT917" s="192"/>
      <c r="AU917" s="192"/>
      <c r="AV917" s="192"/>
      <c r="AW917" s="192"/>
      <c r="AX917" s="192"/>
      <c r="AY917" s="192"/>
      <c r="AZ917" s="192"/>
      <c r="BA917" s="192"/>
      <c r="BB917" s="192"/>
      <c r="BC917" s="192"/>
      <c r="BD917" s="192"/>
      <c r="BE917" s="192"/>
      <c r="BF917" s="192"/>
      <c r="BG917" s="192"/>
      <c r="BH917" s="192"/>
      <c r="BI917" s="192"/>
      <c r="BJ917" s="192"/>
      <c r="BK917" s="192"/>
      <c r="BL917" s="192"/>
      <c r="BM917" s="192"/>
      <c r="BN917" s="192"/>
    </row>
    <row r="918" ht="29.25" customHeight="1">
      <c r="A918" s="189"/>
      <c r="B918" s="190"/>
      <c r="C918" s="157"/>
      <c r="D918" s="157"/>
      <c r="E918" s="158"/>
      <c r="F918" s="166"/>
      <c r="G918" s="161"/>
      <c r="H918" s="161"/>
      <c r="I918" s="162"/>
      <c r="J918" s="163"/>
      <c r="K918" s="163"/>
      <c r="L918" s="163"/>
      <c r="M918" s="160"/>
      <c r="N918" s="162"/>
      <c r="O918" s="164"/>
      <c r="P918" s="140"/>
      <c r="Q918" s="191"/>
      <c r="R918" s="165"/>
      <c r="S918" s="165"/>
      <c r="T918" s="166"/>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92"/>
      <c r="AR918" s="192"/>
      <c r="AS918" s="192"/>
      <c r="AT918" s="192"/>
      <c r="AU918" s="192"/>
      <c r="AV918" s="192"/>
      <c r="AW918" s="192"/>
      <c r="AX918" s="192"/>
      <c r="AY918" s="192"/>
      <c r="AZ918" s="192"/>
      <c r="BA918" s="192"/>
      <c r="BB918" s="192"/>
      <c r="BC918" s="192"/>
      <c r="BD918" s="192"/>
      <c r="BE918" s="192"/>
      <c r="BF918" s="192"/>
      <c r="BG918" s="192"/>
      <c r="BH918" s="192"/>
      <c r="BI918" s="192"/>
      <c r="BJ918" s="192"/>
      <c r="BK918" s="192"/>
      <c r="BL918" s="192"/>
      <c r="BM918" s="192"/>
      <c r="BN918" s="192"/>
    </row>
    <row r="919" ht="29.25" customHeight="1">
      <c r="A919" s="189"/>
      <c r="B919" s="190"/>
      <c r="C919" s="157"/>
      <c r="D919" s="157"/>
      <c r="E919" s="158"/>
      <c r="F919" s="166"/>
      <c r="G919" s="161"/>
      <c r="H919" s="161"/>
      <c r="I919" s="162"/>
      <c r="J919" s="163"/>
      <c r="K919" s="163"/>
      <c r="L919" s="163"/>
      <c r="M919" s="160"/>
      <c r="N919" s="162"/>
      <c r="O919" s="164"/>
      <c r="P919" s="140"/>
      <c r="Q919" s="191"/>
      <c r="R919" s="165"/>
      <c r="S919" s="165"/>
      <c r="T919" s="166"/>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92"/>
      <c r="AR919" s="192"/>
      <c r="AS919" s="192"/>
      <c r="AT919" s="192"/>
      <c r="AU919" s="192"/>
      <c r="AV919" s="192"/>
      <c r="AW919" s="192"/>
      <c r="AX919" s="192"/>
      <c r="AY919" s="192"/>
      <c r="AZ919" s="192"/>
      <c r="BA919" s="192"/>
      <c r="BB919" s="192"/>
      <c r="BC919" s="192"/>
      <c r="BD919" s="192"/>
      <c r="BE919" s="192"/>
      <c r="BF919" s="192"/>
      <c r="BG919" s="192"/>
      <c r="BH919" s="192"/>
      <c r="BI919" s="192"/>
      <c r="BJ919" s="192"/>
      <c r="BK919" s="192"/>
      <c r="BL919" s="192"/>
      <c r="BM919" s="192"/>
      <c r="BN919" s="192"/>
    </row>
    <row r="920" ht="29.25" customHeight="1">
      <c r="A920" s="189"/>
      <c r="B920" s="190"/>
      <c r="C920" s="157"/>
      <c r="D920" s="157"/>
      <c r="E920" s="158"/>
      <c r="F920" s="166"/>
      <c r="G920" s="161"/>
      <c r="H920" s="161"/>
      <c r="I920" s="162"/>
      <c r="J920" s="163"/>
      <c r="K920" s="163"/>
      <c r="L920" s="163"/>
      <c r="M920" s="160"/>
      <c r="N920" s="162"/>
      <c r="O920" s="164"/>
      <c r="P920" s="140"/>
      <c r="Q920" s="191"/>
      <c r="R920" s="165"/>
      <c r="S920" s="165"/>
      <c r="T920" s="166"/>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92"/>
      <c r="AR920" s="192"/>
      <c r="AS920" s="192"/>
      <c r="AT920" s="192"/>
      <c r="AU920" s="192"/>
      <c r="AV920" s="192"/>
      <c r="AW920" s="192"/>
      <c r="AX920" s="192"/>
      <c r="AY920" s="192"/>
      <c r="AZ920" s="192"/>
      <c r="BA920" s="192"/>
      <c r="BB920" s="192"/>
      <c r="BC920" s="192"/>
      <c r="BD920" s="192"/>
      <c r="BE920" s="192"/>
      <c r="BF920" s="192"/>
      <c r="BG920" s="192"/>
      <c r="BH920" s="192"/>
      <c r="BI920" s="192"/>
      <c r="BJ920" s="192"/>
      <c r="BK920" s="192"/>
      <c r="BL920" s="192"/>
      <c r="BM920" s="192"/>
      <c r="BN920" s="192"/>
    </row>
    <row r="921" ht="29.25" customHeight="1">
      <c r="A921" s="189"/>
      <c r="B921" s="190"/>
      <c r="C921" s="157"/>
      <c r="D921" s="157"/>
      <c r="E921" s="158"/>
      <c r="F921" s="166"/>
      <c r="G921" s="161"/>
      <c r="H921" s="161"/>
      <c r="I921" s="162"/>
      <c r="J921" s="163"/>
      <c r="K921" s="163"/>
      <c r="L921" s="163"/>
      <c r="M921" s="160"/>
      <c r="N921" s="162"/>
      <c r="O921" s="164"/>
      <c r="P921" s="140"/>
      <c r="Q921" s="191"/>
      <c r="R921" s="165"/>
      <c r="S921" s="165"/>
      <c r="T921" s="166"/>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92"/>
      <c r="AR921" s="192"/>
      <c r="AS921" s="192"/>
      <c r="AT921" s="192"/>
      <c r="AU921" s="192"/>
      <c r="AV921" s="192"/>
      <c r="AW921" s="192"/>
      <c r="AX921" s="192"/>
      <c r="AY921" s="192"/>
      <c r="AZ921" s="192"/>
      <c r="BA921" s="192"/>
      <c r="BB921" s="192"/>
      <c r="BC921" s="192"/>
      <c r="BD921" s="192"/>
      <c r="BE921" s="192"/>
      <c r="BF921" s="192"/>
      <c r="BG921" s="192"/>
      <c r="BH921" s="192"/>
      <c r="BI921" s="192"/>
      <c r="BJ921" s="192"/>
      <c r="BK921" s="192"/>
      <c r="BL921" s="192"/>
      <c r="BM921" s="192"/>
      <c r="BN921" s="192"/>
    </row>
    <row r="922" ht="29.25" customHeight="1">
      <c r="A922" s="189"/>
      <c r="B922" s="190"/>
      <c r="C922" s="157"/>
      <c r="D922" s="157"/>
      <c r="E922" s="158"/>
      <c r="F922" s="166"/>
      <c r="G922" s="161"/>
      <c r="H922" s="161"/>
      <c r="I922" s="162"/>
      <c r="J922" s="163"/>
      <c r="K922" s="163"/>
      <c r="L922" s="163"/>
      <c r="M922" s="160"/>
      <c r="N922" s="162"/>
      <c r="O922" s="164"/>
      <c r="P922" s="140"/>
      <c r="Q922" s="191"/>
      <c r="R922" s="165"/>
      <c r="S922" s="165"/>
      <c r="T922" s="166"/>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92"/>
      <c r="AR922" s="192"/>
      <c r="AS922" s="192"/>
      <c r="AT922" s="192"/>
      <c r="AU922" s="192"/>
      <c r="AV922" s="192"/>
      <c r="AW922" s="192"/>
      <c r="AX922" s="192"/>
      <c r="AY922" s="192"/>
      <c r="AZ922" s="192"/>
      <c r="BA922" s="192"/>
      <c r="BB922" s="192"/>
      <c r="BC922" s="192"/>
      <c r="BD922" s="192"/>
      <c r="BE922" s="192"/>
      <c r="BF922" s="192"/>
      <c r="BG922" s="192"/>
      <c r="BH922" s="192"/>
      <c r="BI922" s="192"/>
      <c r="BJ922" s="192"/>
      <c r="BK922" s="192"/>
      <c r="BL922" s="192"/>
      <c r="BM922" s="192"/>
      <c r="BN922" s="192"/>
    </row>
    <row r="923" ht="29.25" customHeight="1">
      <c r="A923" s="189"/>
      <c r="B923" s="190"/>
      <c r="C923" s="157"/>
      <c r="D923" s="157"/>
      <c r="E923" s="158"/>
      <c r="F923" s="166"/>
      <c r="G923" s="161"/>
      <c r="H923" s="161"/>
      <c r="I923" s="162"/>
      <c r="J923" s="163"/>
      <c r="K923" s="163"/>
      <c r="L923" s="163"/>
      <c r="M923" s="160"/>
      <c r="N923" s="162"/>
      <c r="O923" s="164"/>
      <c r="P923" s="140"/>
      <c r="Q923" s="191"/>
      <c r="R923" s="165"/>
      <c r="S923" s="165"/>
      <c r="T923" s="166"/>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92"/>
      <c r="AR923" s="192"/>
      <c r="AS923" s="192"/>
      <c r="AT923" s="192"/>
      <c r="AU923" s="192"/>
      <c r="AV923" s="192"/>
      <c r="AW923" s="192"/>
      <c r="AX923" s="192"/>
      <c r="AY923" s="192"/>
      <c r="AZ923" s="192"/>
      <c r="BA923" s="192"/>
      <c r="BB923" s="192"/>
      <c r="BC923" s="192"/>
      <c r="BD923" s="192"/>
      <c r="BE923" s="192"/>
      <c r="BF923" s="192"/>
      <c r="BG923" s="192"/>
      <c r="BH923" s="192"/>
      <c r="BI923" s="192"/>
      <c r="BJ923" s="192"/>
      <c r="BK923" s="192"/>
      <c r="BL923" s="192"/>
      <c r="BM923" s="192"/>
      <c r="BN923" s="192"/>
    </row>
    <row r="924" ht="29.25" customHeight="1">
      <c r="A924" s="189"/>
      <c r="B924" s="190"/>
      <c r="C924" s="157"/>
      <c r="D924" s="157"/>
      <c r="E924" s="158"/>
      <c r="F924" s="166"/>
      <c r="G924" s="161"/>
      <c r="H924" s="161"/>
      <c r="I924" s="162"/>
      <c r="J924" s="163"/>
      <c r="K924" s="163"/>
      <c r="L924" s="163"/>
      <c r="M924" s="160"/>
      <c r="N924" s="162"/>
      <c r="O924" s="164"/>
      <c r="P924" s="140"/>
      <c r="Q924" s="191"/>
      <c r="R924" s="165"/>
      <c r="S924" s="165"/>
      <c r="T924" s="166"/>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92"/>
      <c r="AR924" s="192"/>
      <c r="AS924" s="192"/>
      <c r="AT924" s="192"/>
      <c r="AU924" s="192"/>
      <c r="AV924" s="192"/>
      <c r="AW924" s="192"/>
      <c r="AX924" s="192"/>
      <c r="AY924" s="192"/>
      <c r="AZ924" s="192"/>
      <c r="BA924" s="192"/>
      <c r="BB924" s="192"/>
      <c r="BC924" s="192"/>
      <c r="BD924" s="192"/>
      <c r="BE924" s="192"/>
      <c r="BF924" s="192"/>
      <c r="BG924" s="192"/>
      <c r="BH924" s="192"/>
      <c r="BI924" s="192"/>
      <c r="BJ924" s="192"/>
      <c r="BK924" s="192"/>
      <c r="BL924" s="192"/>
      <c r="BM924" s="192"/>
      <c r="BN924" s="192"/>
    </row>
    <row r="925" ht="29.25" customHeight="1">
      <c r="A925" s="189"/>
      <c r="B925" s="190"/>
      <c r="C925" s="157"/>
      <c r="D925" s="157"/>
      <c r="E925" s="158"/>
      <c r="F925" s="166"/>
      <c r="G925" s="161"/>
      <c r="H925" s="161"/>
      <c r="I925" s="162"/>
      <c r="J925" s="163"/>
      <c r="K925" s="163"/>
      <c r="L925" s="163"/>
      <c r="M925" s="160"/>
      <c r="N925" s="162"/>
      <c r="O925" s="164"/>
      <c r="P925" s="140"/>
      <c r="Q925" s="191"/>
      <c r="R925" s="165"/>
      <c r="S925" s="165"/>
      <c r="T925" s="166"/>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92"/>
      <c r="AR925" s="192"/>
      <c r="AS925" s="192"/>
      <c r="AT925" s="192"/>
      <c r="AU925" s="192"/>
      <c r="AV925" s="192"/>
      <c r="AW925" s="192"/>
      <c r="AX925" s="192"/>
      <c r="AY925" s="192"/>
      <c r="AZ925" s="192"/>
      <c r="BA925" s="192"/>
      <c r="BB925" s="192"/>
      <c r="BC925" s="192"/>
      <c r="BD925" s="192"/>
      <c r="BE925" s="192"/>
      <c r="BF925" s="192"/>
      <c r="BG925" s="192"/>
      <c r="BH925" s="192"/>
      <c r="BI925" s="192"/>
      <c r="BJ925" s="192"/>
      <c r="BK925" s="192"/>
      <c r="BL925" s="192"/>
      <c r="BM925" s="192"/>
      <c r="BN925" s="192"/>
    </row>
    <row r="926" ht="29.25" customHeight="1">
      <c r="A926" s="189"/>
      <c r="B926" s="190"/>
      <c r="C926" s="157"/>
      <c r="D926" s="157"/>
      <c r="E926" s="158"/>
      <c r="F926" s="166"/>
      <c r="G926" s="161"/>
      <c r="H926" s="161"/>
      <c r="I926" s="162"/>
      <c r="J926" s="163"/>
      <c r="K926" s="163"/>
      <c r="L926" s="163"/>
      <c r="M926" s="160"/>
      <c r="N926" s="162"/>
      <c r="O926" s="164"/>
      <c r="P926" s="140"/>
      <c r="Q926" s="191"/>
      <c r="R926" s="165"/>
      <c r="S926" s="165"/>
      <c r="T926" s="166"/>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92"/>
      <c r="AR926" s="192"/>
      <c r="AS926" s="192"/>
      <c r="AT926" s="192"/>
      <c r="AU926" s="192"/>
      <c r="AV926" s="192"/>
      <c r="AW926" s="192"/>
      <c r="AX926" s="192"/>
      <c r="AY926" s="192"/>
      <c r="AZ926" s="192"/>
      <c r="BA926" s="192"/>
      <c r="BB926" s="192"/>
      <c r="BC926" s="192"/>
      <c r="BD926" s="192"/>
      <c r="BE926" s="192"/>
      <c r="BF926" s="192"/>
      <c r="BG926" s="192"/>
      <c r="BH926" s="192"/>
      <c r="BI926" s="192"/>
      <c r="BJ926" s="192"/>
      <c r="BK926" s="192"/>
      <c r="BL926" s="192"/>
      <c r="BM926" s="192"/>
      <c r="BN926" s="192"/>
    </row>
    <row r="927" ht="29.25" customHeight="1">
      <c r="A927" s="189"/>
      <c r="B927" s="190"/>
      <c r="C927" s="157"/>
      <c r="D927" s="157"/>
      <c r="E927" s="158"/>
      <c r="F927" s="166"/>
      <c r="G927" s="161"/>
      <c r="H927" s="161"/>
      <c r="I927" s="162"/>
      <c r="J927" s="163"/>
      <c r="K927" s="163"/>
      <c r="L927" s="163"/>
      <c r="M927" s="160"/>
      <c r="N927" s="162"/>
      <c r="O927" s="164"/>
      <c r="P927" s="140"/>
      <c r="Q927" s="191"/>
      <c r="R927" s="165"/>
      <c r="S927" s="165"/>
      <c r="T927" s="166"/>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92"/>
      <c r="AR927" s="192"/>
      <c r="AS927" s="192"/>
      <c r="AT927" s="192"/>
      <c r="AU927" s="192"/>
      <c r="AV927" s="192"/>
      <c r="AW927" s="192"/>
      <c r="AX927" s="192"/>
      <c r="AY927" s="192"/>
      <c r="AZ927" s="192"/>
      <c r="BA927" s="192"/>
      <c r="BB927" s="192"/>
      <c r="BC927" s="192"/>
      <c r="BD927" s="192"/>
      <c r="BE927" s="192"/>
      <c r="BF927" s="192"/>
      <c r="BG927" s="192"/>
      <c r="BH927" s="192"/>
      <c r="BI927" s="192"/>
      <c r="BJ927" s="192"/>
      <c r="BK927" s="192"/>
      <c r="BL927" s="192"/>
      <c r="BM927" s="192"/>
      <c r="BN927" s="192"/>
    </row>
    <row r="928" ht="29.25" customHeight="1">
      <c r="A928" s="189"/>
      <c r="B928" s="190"/>
      <c r="C928" s="157"/>
      <c r="D928" s="157"/>
      <c r="E928" s="158"/>
      <c r="F928" s="166"/>
      <c r="G928" s="161"/>
      <c r="H928" s="161"/>
      <c r="I928" s="162"/>
      <c r="J928" s="163"/>
      <c r="K928" s="163"/>
      <c r="L928" s="163"/>
      <c r="M928" s="160"/>
      <c r="N928" s="162"/>
      <c r="O928" s="164"/>
      <c r="P928" s="140"/>
      <c r="Q928" s="191"/>
      <c r="R928" s="165"/>
      <c r="S928" s="165"/>
      <c r="T928" s="166"/>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92"/>
      <c r="AR928" s="192"/>
      <c r="AS928" s="192"/>
      <c r="AT928" s="192"/>
      <c r="AU928" s="192"/>
      <c r="AV928" s="192"/>
      <c r="AW928" s="192"/>
      <c r="AX928" s="192"/>
      <c r="AY928" s="192"/>
      <c r="AZ928" s="192"/>
      <c r="BA928" s="192"/>
      <c r="BB928" s="192"/>
      <c r="BC928" s="192"/>
      <c r="BD928" s="192"/>
      <c r="BE928" s="192"/>
      <c r="BF928" s="192"/>
      <c r="BG928" s="192"/>
      <c r="BH928" s="192"/>
      <c r="BI928" s="192"/>
      <c r="BJ928" s="192"/>
      <c r="BK928" s="192"/>
      <c r="BL928" s="192"/>
      <c r="BM928" s="192"/>
      <c r="BN928" s="192"/>
    </row>
    <row r="929" ht="29.25" customHeight="1">
      <c r="A929" s="189"/>
      <c r="B929" s="190"/>
      <c r="C929" s="157"/>
      <c r="D929" s="157"/>
      <c r="E929" s="158"/>
      <c r="F929" s="166"/>
      <c r="G929" s="161"/>
      <c r="H929" s="161"/>
      <c r="I929" s="162"/>
      <c r="J929" s="163"/>
      <c r="K929" s="163"/>
      <c r="L929" s="163"/>
      <c r="M929" s="160"/>
      <c r="N929" s="162"/>
      <c r="O929" s="164"/>
      <c r="P929" s="140"/>
      <c r="Q929" s="191"/>
      <c r="R929" s="165"/>
      <c r="S929" s="165"/>
      <c r="T929" s="166"/>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92"/>
      <c r="AR929" s="192"/>
      <c r="AS929" s="192"/>
      <c r="AT929" s="192"/>
      <c r="AU929" s="192"/>
      <c r="AV929" s="192"/>
      <c r="AW929" s="192"/>
      <c r="AX929" s="192"/>
      <c r="AY929" s="192"/>
      <c r="AZ929" s="192"/>
      <c r="BA929" s="192"/>
      <c r="BB929" s="192"/>
      <c r="BC929" s="192"/>
      <c r="BD929" s="192"/>
      <c r="BE929" s="192"/>
      <c r="BF929" s="192"/>
      <c r="BG929" s="192"/>
      <c r="BH929" s="192"/>
      <c r="BI929" s="192"/>
      <c r="BJ929" s="192"/>
      <c r="BK929" s="192"/>
      <c r="BL929" s="192"/>
      <c r="BM929" s="192"/>
      <c r="BN929" s="192"/>
    </row>
    <row r="930" ht="29.25" customHeight="1">
      <c r="A930" s="189"/>
      <c r="B930" s="190"/>
      <c r="C930" s="157"/>
      <c r="D930" s="157"/>
      <c r="E930" s="158"/>
      <c r="F930" s="166"/>
      <c r="G930" s="161"/>
      <c r="H930" s="161"/>
      <c r="I930" s="162"/>
      <c r="J930" s="163"/>
      <c r="K930" s="163"/>
      <c r="L930" s="163"/>
      <c r="M930" s="160"/>
      <c r="N930" s="162"/>
      <c r="O930" s="164"/>
      <c r="P930" s="140"/>
      <c r="Q930" s="191"/>
      <c r="R930" s="165"/>
      <c r="S930" s="165"/>
      <c r="T930" s="166"/>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92"/>
      <c r="AR930" s="192"/>
      <c r="AS930" s="192"/>
      <c r="AT930" s="192"/>
      <c r="AU930" s="192"/>
      <c r="AV930" s="192"/>
      <c r="AW930" s="192"/>
      <c r="AX930" s="192"/>
      <c r="AY930" s="192"/>
      <c r="AZ930" s="192"/>
      <c r="BA930" s="192"/>
      <c r="BB930" s="192"/>
      <c r="BC930" s="192"/>
      <c r="BD930" s="192"/>
      <c r="BE930" s="192"/>
      <c r="BF930" s="192"/>
      <c r="BG930" s="192"/>
      <c r="BH930" s="192"/>
      <c r="BI930" s="192"/>
      <c r="BJ930" s="192"/>
      <c r="BK930" s="192"/>
      <c r="BL930" s="192"/>
      <c r="BM930" s="192"/>
      <c r="BN930" s="192"/>
    </row>
    <row r="931" ht="29.25" customHeight="1">
      <c r="A931" s="189"/>
      <c r="B931" s="190"/>
      <c r="C931" s="157"/>
      <c r="D931" s="157"/>
      <c r="E931" s="158"/>
      <c r="F931" s="166"/>
      <c r="G931" s="161"/>
      <c r="H931" s="161"/>
      <c r="I931" s="162"/>
      <c r="J931" s="163"/>
      <c r="K931" s="163"/>
      <c r="L931" s="163"/>
      <c r="M931" s="160"/>
      <c r="N931" s="162"/>
      <c r="O931" s="164"/>
      <c r="P931" s="140"/>
      <c r="Q931" s="191"/>
      <c r="R931" s="165"/>
      <c r="S931" s="165"/>
      <c r="T931" s="166"/>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92"/>
      <c r="AR931" s="192"/>
      <c r="AS931" s="192"/>
      <c r="AT931" s="192"/>
      <c r="AU931" s="192"/>
      <c r="AV931" s="192"/>
      <c r="AW931" s="192"/>
      <c r="AX931" s="192"/>
      <c r="AY931" s="192"/>
      <c r="AZ931" s="192"/>
      <c r="BA931" s="192"/>
      <c r="BB931" s="192"/>
      <c r="BC931" s="192"/>
      <c r="BD931" s="192"/>
      <c r="BE931" s="192"/>
      <c r="BF931" s="192"/>
      <c r="BG931" s="192"/>
      <c r="BH931" s="192"/>
      <c r="BI931" s="192"/>
      <c r="BJ931" s="192"/>
      <c r="BK931" s="192"/>
      <c r="BL931" s="192"/>
      <c r="BM931" s="192"/>
      <c r="BN931" s="192"/>
    </row>
    <row r="932" ht="29.25" customHeight="1">
      <c r="A932" s="189"/>
      <c r="B932" s="190"/>
      <c r="C932" s="157"/>
      <c r="D932" s="157"/>
      <c r="E932" s="158"/>
      <c r="F932" s="166"/>
      <c r="G932" s="161"/>
      <c r="H932" s="161"/>
      <c r="I932" s="162"/>
      <c r="J932" s="163"/>
      <c r="K932" s="163"/>
      <c r="L932" s="163"/>
      <c r="M932" s="160"/>
      <c r="N932" s="162"/>
      <c r="O932" s="164"/>
      <c r="P932" s="140"/>
      <c r="Q932" s="191"/>
      <c r="R932" s="165"/>
      <c r="S932" s="165"/>
      <c r="T932" s="166"/>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92"/>
      <c r="AR932" s="192"/>
      <c r="AS932" s="192"/>
      <c r="AT932" s="192"/>
      <c r="AU932" s="192"/>
      <c r="AV932" s="192"/>
      <c r="AW932" s="192"/>
      <c r="AX932" s="192"/>
      <c r="AY932" s="192"/>
      <c r="AZ932" s="192"/>
      <c r="BA932" s="192"/>
      <c r="BB932" s="192"/>
      <c r="BC932" s="192"/>
      <c r="BD932" s="192"/>
      <c r="BE932" s="192"/>
      <c r="BF932" s="192"/>
      <c r="BG932" s="192"/>
      <c r="BH932" s="192"/>
      <c r="BI932" s="192"/>
      <c r="BJ932" s="192"/>
      <c r="BK932" s="192"/>
      <c r="BL932" s="192"/>
      <c r="BM932" s="192"/>
      <c r="BN932" s="192"/>
    </row>
    <row r="933" ht="29.25" customHeight="1">
      <c r="A933" s="189"/>
      <c r="B933" s="190"/>
      <c r="C933" s="157"/>
      <c r="D933" s="157"/>
      <c r="E933" s="158"/>
      <c r="F933" s="166"/>
      <c r="G933" s="161"/>
      <c r="H933" s="161"/>
      <c r="I933" s="162"/>
      <c r="J933" s="163"/>
      <c r="K933" s="163"/>
      <c r="L933" s="163"/>
      <c r="M933" s="160"/>
      <c r="N933" s="162"/>
      <c r="O933" s="164"/>
      <c r="P933" s="140"/>
      <c r="Q933" s="191"/>
      <c r="R933" s="165"/>
      <c r="S933" s="165"/>
      <c r="T933" s="166"/>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92"/>
      <c r="AR933" s="192"/>
      <c r="AS933" s="192"/>
      <c r="AT933" s="192"/>
      <c r="AU933" s="192"/>
      <c r="AV933" s="192"/>
      <c r="AW933" s="192"/>
      <c r="AX933" s="192"/>
      <c r="AY933" s="192"/>
      <c r="AZ933" s="192"/>
      <c r="BA933" s="192"/>
      <c r="BB933" s="192"/>
      <c r="BC933" s="192"/>
      <c r="BD933" s="192"/>
      <c r="BE933" s="192"/>
      <c r="BF933" s="192"/>
      <c r="BG933" s="192"/>
      <c r="BH933" s="192"/>
      <c r="BI933" s="192"/>
      <c r="BJ933" s="192"/>
      <c r="BK933" s="192"/>
      <c r="BL933" s="192"/>
      <c r="BM933" s="192"/>
      <c r="BN933" s="192"/>
    </row>
    <row r="934" ht="29.25" customHeight="1">
      <c r="A934" s="189"/>
      <c r="B934" s="190"/>
      <c r="C934" s="157"/>
      <c r="D934" s="157"/>
      <c r="E934" s="158"/>
      <c r="F934" s="166"/>
      <c r="G934" s="161"/>
      <c r="H934" s="161"/>
      <c r="I934" s="162"/>
      <c r="J934" s="163"/>
      <c r="K934" s="163"/>
      <c r="L934" s="163"/>
      <c r="M934" s="160"/>
      <c r="N934" s="162"/>
      <c r="O934" s="164"/>
      <c r="P934" s="140"/>
      <c r="Q934" s="191"/>
      <c r="R934" s="165"/>
      <c r="S934" s="165"/>
      <c r="T934" s="166"/>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92"/>
      <c r="AR934" s="192"/>
      <c r="AS934" s="192"/>
      <c r="AT934" s="192"/>
      <c r="AU934" s="192"/>
      <c r="AV934" s="192"/>
      <c r="AW934" s="192"/>
      <c r="AX934" s="192"/>
      <c r="AY934" s="192"/>
      <c r="AZ934" s="192"/>
      <c r="BA934" s="192"/>
      <c r="BB934" s="192"/>
      <c r="BC934" s="192"/>
      <c r="BD934" s="192"/>
      <c r="BE934" s="192"/>
      <c r="BF934" s="192"/>
      <c r="BG934" s="192"/>
      <c r="BH934" s="192"/>
      <c r="BI934" s="192"/>
      <c r="BJ934" s="192"/>
      <c r="BK934" s="192"/>
      <c r="BL934" s="192"/>
      <c r="BM934" s="192"/>
      <c r="BN934" s="192"/>
    </row>
    <row r="935" ht="29.25" customHeight="1">
      <c r="A935" s="189"/>
      <c r="B935" s="190"/>
      <c r="C935" s="157"/>
      <c r="D935" s="157"/>
      <c r="E935" s="158"/>
      <c r="F935" s="166"/>
      <c r="G935" s="161"/>
      <c r="H935" s="161"/>
      <c r="I935" s="162"/>
      <c r="J935" s="163"/>
      <c r="K935" s="163"/>
      <c r="L935" s="163"/>
      <c r="M935" s="160"/>
      <c r="N935" s="162"/>
      <c r="O935" s="164"/>
      <c r="P935" s="140"/>
      <c r="Q935" s="191"/>
      <c r="R935" s="165"/>
      <c r="S935" s="165"/>
      <c r="T935" s="166"/>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92"/>
      <c r="AR935" s="192"/>
      <c r="AS935" s="192"/>
      <c r="AT935" s="192"/>
      <c r="AU935" s="192"/>
      <c r="AV935" s="192"/>
      <c r="AW935" s="192"/>
      <c r="AX935" s="192"/>
      <c r="AY935" s="192"/>
      <c r="AZ935" s="192"/>
      <c r="BA935" s="192"/>
      <c r="BB935" s="192"/>
      <c r="BC935" s="192"/>
      <c r="BD935" s="192"/>
      <c r="BE935" s="192"/>
      <c r="BF935" s="192"/>
      <c r="BG935" s="192"/>
      <c r="BH935" s="192"/>
      <c r="BI935" s="192"/>
      <c r="BJ935" s="192"/>
      <c r="BK935" s="192"/>
      <c r="BL935" s="192"/>
      <c r="BM935" s="192"/>
      <c r="BN935" s="192"/>
    </row>
    <row r="936" ht="29.25" customHeight="1">
      <c r="A936" s="189"/>
      <c r="B936" s="190"/>
      <c r="C936" s="157"/>
      <c r="D936" s="157"/>
      <c r="E936" s="158"/>
      <c r="F936" s="166"/>
      <c r="G936" s="161"/>
      <c r="H936" s="161"/>
      <c r="I936" s="162"/>
      <c r="J936" s="163"/>
      <c r="K936" s="163"/>
      <c r="L936" s="163"/>
      <c r="M936" s="160"/>
      <c r="N936" s="162"/>
      <c r="O936" s="164"/>
      <c r="P936" s="140"/>
      <c r="Q936" s="191"/>
      <c r="R936" s="165"/>
      <c r="S936" s="165"/>
      <c r="T936" s="166"/>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92"/>
      <c r="AR936" s="192"/>
      <c r="AS936" s="192"/>
      <c r="AT936" s="192"/>
      <c r="AU936" s="192"/>
      <c r="AV936" s="192"/>
      <c r="AW936" s="192"/>
      <c r="AX936" s="192"/>
      <c r="AY936" s="192"/>
      <c r="AZ936" s="192"/>
      <c r="BA936" s="192"/>
      <c r="BB936" s="192"/>
      <c r="BC936" s="192"/>
      <c r="BD936" s="192"/>
      <c r="BE936" s="192"/>
      <c r="BF936" s="192"/>
      <c r="BG936" s="192"/>
      <c r="BH936" s="192"/>
      <c r="BI936" s="192"/>
      <c r="BJ936" s="192"/>
      <c r="BK936" s="192"/>
      <c r="BL936" s="192"/>
      <c r="BM936" s="192"/>
      <c r="BN936" s="192"/>
    </row>
    <row r="937" ht="29.25" customHeight="1">
      <c r="A937" s="189"/>
      <c r="B937" s="190"/>
      <c r="C937" s="157"/>
      <c r="D937" s="157"/>
      <c r="E937" s="158"/>
      <c r="F937" s="166"/>
      <c r="G937" s="161"/>
      <c r="H937" s="161"/>
      <c r="I937" s="162"/>
      <c r="J937" s="163"/>
      <c r="K937" s="163"/>
      <c r="L937" s="163"/>
      <c r="M937" s="160"/>
      <c r="N937" s="162"/>
      <c r="O937" s="164"/>
      <c r="P937" s="140"/>
      <c r="Q937" s="191"/>
      <c r="R937" s="165"/>
      <c r="S937" s="165"/>
      <c r="T937" s="166"/>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92"/>
      <c r="AR937" s="192"/>
      <c r="AS937" s="192"/>
      <c r="AT937" s="192"/>
      <c r="AU937" s="192"/>
      <c r="AV937" s="192"/>
      <c r="AW937" s="192"/>
      <c r="AX937" s="192"/>
      <c r="AY937" s="192"/>
      <c r="AZ937" s="192"/>
      <c r="BA937" s="192"/>
      <c r="BB937" s="192"/>
      <c r="BC937" s="192"/>
      <c r="BD937" s="192"/>
      <c r="BE937" s="192"/>
      <c r="BF937" s="192"/>
      <c r="BG937" s="192"/>
      <c r="BH937" s="192"/>
      <c r="BI937" s="192"/>
      <c r="BJ937" s="192"/>
      <c r="BK937" s="192"/>
      <c r="BL937" s="192"/>
      <c r="BM937" s="192"/>
      <c r="BN937" s="192"/>
    </row>
    <row r="938" ht="29.25" customHeight="1">
      <c r="A938" s="189"/>
      <c r="B938" s="190"/>
      <c r="C938" s="157"/>
      <c r="D938" s="157"/>
      <c r="E938" s="158"/>
      <c r="F938" s="166"/>
      <c r="G938" s="161"/>
      <c r="H938" s="161"/>
      <c r="I938" s="162"/>
      <c r="J938" s="163"/>
      <c r="K938" s="163"/>
      <c r="L938" s="163"/>
      <c r="M938" s="160"/>
      <c r="N938" s="162"/>
      <c r="O938" s="164"/>
      <c r="P938" s="140"/>
      <c r="Q938" s="191"/>
      <c r="R938" s="165"/>
      <c r="S938" s="165"/>
      <c r="T938" s="166"/>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92"/>
      <c r="AR938" s="192"/>
      <c r="AS938" s="192"/>
      <c r="AT938" s="192"/>
      <c r="AU938" s="192"/>
      <c r="AV938" s="192"/>
      <c r="AW938" s="192"/>
      <c r="AX938" s="192"/>
      <c r="AY938" s="192"/>
      <c r="AZ938" s="192"/>
      <c r="BA938" s="192"/>
      <c r="BB938" s="192"/>
      <c r="BC938" s="192"/>
      <c r="BD938" s="192"/>
      <c r="BE938" s="192"/>
      <c r="BF938" s="192"/>
      <c r="BG938" s="192"/>
      <c r="BH938" s="192"/>
      <c r="BI938" s="192"/>
      <c r="BJ938" s="192"/>
      <c r="BK938" s="192"/>
      <c r="BL938" s="192"/>
      <c r="BM938" s="192"/>
      <c r="BN938" s="192"/>
    </row>
    <row r="939" ht="29.25" customHeight="1">
      <c r="A939" s="189"/>
      <c r="B939" s="190"/>
      <c r="C939" s="157"/>
      <c r="D939" s="157"/>
      <c r="E939" s="158"/>
      <c r="F939" s="166"/>
      <c r="G939" s="161"/>
      <c r="H939" s="161"/>
      <c r="I939" s="162"/>
      <c r="J939" s="163"/>
      <c r="K939" s="163"/>
      <c r="L939" s="163"/>
      <c r="M939" s="160"/>
      <c r="N939" s="162"/>
      <c r="O939" s="164"/>
      <c r="P939" s="140"/>
      <c r="Q939" s="191"/>
      <c r="R939" s="165"/>
      <c r="S939" s="165"/>
      <c r="T939" s="166"/>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92"/>
      <c r="AR939" s="192"/>
      <c r="AS939" s="192"/>
      <c r="AT939" s="192"/>
      <c r="AU939" s="192"/>
      <c r="AV939" s="192"/>
      <c r="AW939" s="192"/>
      <c r="AX939" s="192"/>
      <c r="AY939" s="192"/>
      <c r="AZ939" s="192"/>
      <c r="BA939" s="192"/>
      <c r="BB939" s="192"/>
      <c r="BC939" s="192"/>
      <c r="BD939" s="192"/>
      <c r="BE939" s="192"/>
      <c r="BF939" s="192"/>
      <c r="BG939" s="192"/>
      <c r="BH939" s="192"/>
      <c r="BI939" s="192"/>
      <c r="BJ939" s="192"/>
      <c r="BK939" s="192"/>
      <c r="BL939" s="192"/>
      <c r="BM939" s="192"/>
      <c r="BN939" s="192"/>
    </row>
    <row r="940" ht="29.25" customHeight="1">
      <c r="A940" s="189"/>
      <c r="B940" s="190"/>
      <c r="C940" s="157"/>
      <c r="D940" s="157"/>
      <c r="E940" s="158"/>
      <c r="F940" s="166"/>
      <c r="G940" s="161"/>
      <c r="H940" s="161"/>
      <c r="I940" s="162"/>
      <c r="J940" s="163"/>
      <c r="K940" s="163"/>
      <c r="L940" s="163"/>
      <c r="M940" s="160"/>
      <c r="N940" s="162"/>
      <c r="O940" s="164"/>
      <c r="P940" s="140"/>
      <c r="Q940" s="191"/>
      <c r="R940" s="165"/>
      <c r="S940" s="165"/>
      <c r="T940" s="166"/>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92"/>
      <c r="AR940" s="192"/>
      <c r="AS940" s="192"/>
      <c r="AT940" s="192"/>
      <c r="AU940" s="192"/>
      <c r="AV940" s="192"/>
      <c r="AW940" s="192"/>
      <c r="AX940" s="192"/>
      <c r="AY940" s="192"/>
      <c r="AZ940" s="192"/>
      <c r="BA940" s="192"/>
      <c r="BB940" s="192"/>
      <c r="BC940" s="192"/>
      <c r="BD940" s="192"/>
      <c r="BE940" s="192"/>
      <c r="BF940" s="192"/>
      <c r="BG940" s="192"/>
      <c r="BH940" s="192"/>
      <c r="BI940" s="192"/>
      <c r="BJ940" s="192"/>
      <c r="BK940" s="192"/>
      <c r="BL940" s="192"/>
      <c r="BM940" s="192"/>
      <c r="BN940" s="192"/>
    </row>
    <row r="941" ht="29.25" customHeight="1">
      <c r="A941" s="189"/>
      <c r="B941" s="190"/>
      <c r="C941" s="157"/>
      <c r="D941" s="157"/>
      <c r="E941" s="158"/>
      <c r="F941" s="166"/>
      <c r="G941" s="161"/>
      <c r="H941" s="161"/>
      <c r="I941" s="162"/>
      <c r="J941" s="163"/>
      <c r="K941" s="163"/>
      <c r="L941" s="163"/>
      <c r="M941" s="160"/>
      <c r="N941" s="162"/>
      <c r="O941" s="164"/>
      <c r="P941" s="140"/>
      <c r="Q941" s="191"/>
      <c r="R941" s="165"/>
      <c r="S941" s="165"/>
      <c r="T941" s="166"/>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92"/>
      <c r="AR941" s="192"/>
      <c r="AS941" s="192"/>
      <c r="AT941" s="192"/>
      <c r="AU941" s="192"/>
      <c r="AV941" s="192"/>
      <c r="AW941" s="192"/>
      <c r="AX941" s="192"/>
      <c r="AY941" s="192"/>
      <c r="AZ941" s="192"/>
      <c r="BA941" s="192"/>
      <c r="BB941" s="192"/>
      <c r="BC941" s="192"/>
      <c r="BD941" s="192"/>
      <c r="BE941" s="192"/>
      <c r="BF941" s="192"/>
      <c r="BG941" s="192"/>
      <c r="BH941" s="192"/>
      <c r="BI941" s="192"/>
      <c r="BJ941" s="192"/>
      <c r="BK941" s="192"/>
      <c r="BL941" s="192"/>
      <c r="BM941" s="192"/>
      <c r="BN941" s="192"/>
    </row>
    <row r="942" ht="29.25" customHeight="1">
      <c r="A942" s="189"/>
      <c r="B942" s="190"/>
      <c r="C942" s="157"/>
      <c r="D942" s="157"/>
      <c r="E942" s="158"/>
      <c r="F942" s="166"/>
      <c r="G942" s="161"/>
      <c r="H942" s="161"/>
      <c r="I942" s="162"/>
      <c r="J942" s="163"/>
      <c r="K942" s="163"/>
      <c r="L942" s="163"/>
      <c r="M942" s="160"/>
      <c r="N942" s="162"/>
      <c r="O942" s="164"/>
      <c r="P942" s="140"/>
      <c r="Q942" s="191"/>
      <c r="R942" s="165"/>
      <c r="S942" s="165"/>
      <c r="T942" s="166"/>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92"/>
      <c r="AR942" s="192"/>
      <c r="AS942" s="192"/>
      <c r="AT942" s="192"/>
      <c r="AU942" s="192"/>
      <c r="AV942" s="192"/>
      <c r="AW942" s="192"/>
      <c r="AX942" s="192"/>
      <c r="AY942" s="192"/>
      <c r="AZ942" s="192"/>
      <c r="BA942" s="192"/>
      <c r="BB942" s="192"/>
      <c r="BC942" s="192"/>
      <c r="BD942" s="192"/>
      <c r="BE942" s="192"/>
      <c r="BF942" s="192"/>
      <c r="BG942" s="192"/>
      <c r="BH942" s="192"/>
      <c r="BI942" s="192"/>
      <c r="BJ942" s="192"/>
      <c r="BK942" s="192"/>
      <c r="BL942" s="192"/>
      <c r="BM942" s="192"/>
      <c r="BN942" s="192"/>
    </row>
    <row r="943" ht="29.25" customHeight="1">
      <c r="A943" s="189"/>
      <c r="B943" s="190"/>
      <c r="C943" s="157"/>
      <c r="D943" s="157"/>
      <c r="E943" s="158"/>
      <c r="F943" s="166"/>
      <c r="G943" s="161"/>
      <c r="H943" s="161"/>
      <c r="I943" s="162"/>
      <c r="J943" s="163"/>
      <c r="K943" s="163"/>
      <c r="L943" s="163"/>
      <c r="M943" s="160"/>
      <c r="N943" s="162"/>
      <c r="O943" s="164"/>
      <c r="P943" s="140"/>
      <c r="Q943" s="191"/>
      <c r="R943" s="165"/>
      <c r="S943" s="165"/>
      <c r="T943" s="166"/>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92"/>
      <c r="AR943" s="192"/>
      <c r="AS943" s="192"/>
      <c r="AT943" s="192"/>
      <c r="AU943" s="192"/>
      <c r="AV943" s="192"/>
      <c r="AW943" s="192"/>
      <c r="AX943" s="192"/>
      <c r="AY943" s="192"/>
      <c r="AZ943" s="192"/>
      <c r="BA943" s="192"/>
      <c r="BB943" s="192"/>
      <c r="BC943" s="192"/>
      <c r="BD943" s="192"/>
      <c r="BE943" s="192"/>
      <c r="BF943" s="192"/>
      <c r="BG943" s="192"/>
      <c r="BH943" s="192"/>
      <c r="BI943" s="192"/>
      <c r="BJ943" s="192"/>
      <c r="BK943" s="192"/>
      <c r="BL943" s="192"/>
      <c r="BM943" s="192"/>
      <c r="BN943" s="192"/>
    </row>
    <row r="944" ht="29.25" customHeight="1">
      <c r="A944" s="189"/>
      <c r="B944" s="190"/>
      <c r="C944" s="157"/>
      <c r="D944" s="157"/>
      <c r="E944" s="158"/>
      <c r="F944" s="166"/>
      <c r="G944" s="161"/>
      <c r="H944" s="161"/>
      <c r="I944" s="162"/>
      <c r="J944" s="163"/>
      <c r="K944" s="163"/>
      <c r="L944" s="163"/>
      <c r="M944" s="160"/>
      <c r="N944" s="162"/>
      <c r="O944" s="164"/>
      <c r="P944" s="140"/>
      <c r="Q944" s="191"/>
      <c r="R944" s="165"/>
      <c r="S944" s="165"/>
      <c r="T944" s="166"/>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92"/>
      <c r="AR944" s="192"/>
      <c r="AS944" s="192"/>
      <c r="AT944" s="192"/>
      <c r="AU944" s="192"/>
      <c r="AV944" s="192"/>
      <c r="AW944" s="192"/>
      <c r="AX944" s="192"/>
      <c r="AY944" s="192"/>
      <c r="AZ944" s="192"/>
      <c r="BA944" s="192"/>
      <c r="BB944" s="192"/>
      <c r="BC944" s="192"/>
      <c r="BD944" s="192"/>
      <c r="BE944" s="192"/>
      <c r="BF944" s="192"/>
      <c r="BG944" s="192"/>
      <c r="BH944" s="192"/>
      <c r="BI944" s="192"/>
      <c r="BJ944" s="192"/>
      <c r="BK944" s="192"/>
      <c r="BL944" s="192"/>
      <c r="BM944" s="192"/>
      <c r="BN944" s="192"/>
    </row>
    <row r="945" ht="29.25" customHeight="1">
      <c r="A945" s="189"/>
      <c r="B945" s="190"/>
      <c r="C945" s="157"/>
      <c r="D945" s="157"/>
      <c r="E945" s="158"/>
      <c r="F945" s="166"/>
      <c r="G945" s="161"/>
      <c r="H945" s="161"/>
      <c r="I945" s="162"/>
      <c r="J945" s="163"/>
      <c r="K945" s="163"/>
      <c r="L945" s="163"/>
      <c r="M945" s="160"/>
      <c r="N945" s="162"/>
      <c r="O945" s="164"/>
      <c r="P945" s="140"/>
      <c r="Q945" s="191"/>
      <c r="R945" s="165"/>
      <c r="S945" s="165"/>
      <c r="T945" s="166"/>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92"/>
      <c r="AR945" s="192"/>
      <c r="AS945" s="192"/>
      <c r="AT945" s="192"/>
      <c r="AU945" s="192"/>
      <c r="AV945" s="192"/>
      <c r="AW945" s="192"/>
      <c r="AX945" s="192"/>
      <c r="AY945" s="192"/>
      <c r="AZ945" s="192"/>
      <c r="BA945" s="192"/>
      <c r="BB945" s="192"/>
      <c r="BC945" s="192"/>
      <c r="BD945" s="192"/>
      <c r="BE945" s="192"/>
      <c r="BF945" s="192"/>
      <c r="BG945" s="192"/>
      <c r="BH945" s="192"/>
      <c r="BI945" s="192"/>
      <c r="BJ945" s="192"/>
      <c r="BK945" s="192"/>
      <c r="BL945" s="192"/>
      <c r="BM945" s="192"/>
      <c r="BN945" s="192"/>
    </row>
    <row r="946" ht="29.25" customHeight="1">
      <c r="A946" s="189"/>
      <c r="B946" s="190"/>
      <c r="C946" s="157"/>
      <c r="D946" s="157"/>
      <c r="E946" s="158"/>
      <c r="F946" s="166"/>
      <c r="G946" s="161"/>
      <c r="H946" s="161"/>
      <c r="I946" s="162"/>
      <c r="J946" s="163"/>
      <c r="K946" s="163"/>
      <c r="L946" s="163"/>
      <c r="M946" s="160"/>
      <c r="N946" s="162"/>
      <c r="O946" s="164"/>
      <c r="P946" s="140"/>
      <c r="Q946" s="191"/>
      <c r="R946" s="165"/>
      <c r="S946" s="165"/>
      <c r="T946" s="166"/>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92"/>
      <c r="AR946" s="192"/>
      <c r="AS946" s="192"/>
      <c r="AT946" s="192"/>
      <c r="AU946" s="192"/>
      <c r="AV946" s="192"/>
      <c r="AW946" s="192"/>
      <c r="AX946" s="192"/>
      <c r="AY946" s="192"/>
      <c r="AZ946" s="192"/>
      <c r="BA946" s="192"/>
      <c r="BB946" s="192"/>
      <c r="BC946" s="192"/>
      <c r="BD946" s="192"/>
      <c r="BE946" s="192"/>
      <c r="BF946" s="192"/>
      <c r="BG946" s="192"/>
      <c r="BH946" s="192"/>
      <c r="BI946" s="192"/>
      <c r="BJ946" s="192"/>
      <c r="BK946" s="192"/>
      <c r="BL946" s="192"/>
      <c r="BM946" s="192"/>
      <c r="BN946" s="192"/>
    </row>
    <row r="947" ht="29.25" customHeight="1">
      <c r="A947" s="189"/>
      <c r="B947" s="190"/>
      <c r="C947" s="157"/>
      <c r="D947" s="157"/>
      <c r="E947" s="158"/>
      <c r="F947" s="166"/>
      <c r="G947" s="161"/>
      <c r="H947" s="161"/>
      <c r="I947" s="162"/>
      <c r="J947" s="163"/>
      <c r="K947" s="163"/>
      <c r="L947" s="163"/>
      <c r="M947" s="160"/>
      <c r="N947" s="162"/>
      <c r="O947" s="164"/>
      <c r="P947" s="140"/>
      <c r="Q947" s="191"/>
      <c r="R947" s="165"/>
      <c r="S947" s="165"/>
      <c r="T947" s="166"/>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92"/>
      <c r="AR947" s="192"/>
      <c r="AS947" s="192"/>
      <c r="AT947" s="192"/>
      <c r="AU947" s="192"/>
      <c r="AV947" s="192"/>
      <c r="AW947" s="192"/>
      <c r="AX947" s="192"/>
      <c r="AY947" s="192"/>
      <c r="AZ947" s="192"/>
      <c r="BA947" s="192"/>
      <c r="BB947" s="192"/>
      <c r="BC947" s="192"/>
      <c r="BD947" s="192"/>
      <c r="BE947" s="192"/>
      <c r="BF947" s="192"/>
      <c r="BG947" s="192"/>
      <c r="BH947" s="192"/>
      <c r="BI947" s="192"/>
      <c r="BJ947" s="192"/>
      <c r="BK947" s="192"/>
      <c r="BL947" s="192"/>
      <c r="BM947" s="192"/>
      <c r="BN947" s="192"/>
    </row>
    <row r="948" ht="29.25" customHeight="1">
      <c r="A948" s="189"/>
      <c r="B948" s="190"/>
      <c r="C948" s="157"/>
      <c r="D948" s="157"/>
      <c r="E948" s="158"/>
      <c r="F948" s="166"/>
      <c r="G948" s="161"/>
      <c r="H948" s="161"/>
      <c r="I948" s="162"/>
      <c r="J948" s="163"/>
      <c r="K948" s="163"/>
      <c r="L948" s="163"/>
      <c r="M948" s="160"/>
      <c r="N948" s="162"/>
      <c r="O948" s="164"/>
      <c r="P948" s="140"/>
      <c r="Q948" s="191"/>
      <c r="R948" s="165"/>
      <c r="S948" s="165"/>
      <c r="T948" s="166"/>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92"/>
      <c r="AR948" s="192"/>
      <c r="AS948" s="192"/>
      <c r="AT948" s="192"/>
      <c r="AU948" s="192"/>
      <c r="AV948" s="192"/>
      <c r="AW948" s="192"/>
      <c r="AX948" s="192"/>
      <c r="AY948" s="192"/>
      <c r="AZ948" s="192"/>
      <c r="BA948" s="192"/>
      <c r="BB948" s="192"/>
      <c r="BC948" s="192"/>
      <c r="BD948" s="192"/>
      <c r="BE948" s="192"/>
      <c r="BF948" s="192"/>
      <c r="BG948" s="192"/>
      <c r="BH948" s="192"/>
      <c r="BI948" s="192"/>
      <c r="BJ948" s="192"/>
      <c r="BK948" s="192"/>
      <c r="BL948" s="192"/>
      <c r="BM948" s="192"/>
      <c r="BN948" s="192"/>
    </row>
    <row r="949" ht="29.25" customHeight="1">
      <c r="A949" s="189"/>
      <c r="B949" s="190"/>
      <c r="C949" s="157"/>
      <c r="D949" s="157"/>
      <c r="E949" s="158"/>
      <c r="F949" s="166"/>
      <c r="G949" s="161"/>
      <c r="H949" s="161"/>
      <c r="I949" s="162"/>
      <c r="J949" s="163"/>
      <c r="K949" s="163"/>
      <c r="L949" s="163"/>
      <c r="M949" s="160"/>
      <c r="N949" s="162"/>
      <c r="O949" s="164"/>
      <c r="P949" s="140"/>
      <c r="Q949" s="191"/>
      <c r="R949" s="165"/>
      <c r="S949" s="165"/>
      <c r="T949" s="166"/>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92"/>
      <c r="AR949" s="192"/>
      <c r="AS949" s="192"/>
      <c r="AT949" s="192"/>
      <c r="AU949" s="192"/>
      <c r="AV949" s="192"/>
      <c r="AW949" s="192"/>
      <c r="AX949" s="192"/>
      <c r="AY949" s="192"/>
      <c r="AZ949" s="192"/>
      <c r="BA949" s="192"/>
      <c r="BB949" s="192"/>
      <c r="BC949" s="192"/>
      <c r="BD949" s="192"/>
      <c r="BE949" s="192"/>
      <c r="BF949" s="192"/>
      <c r="BG949" s="192"/>
      <c r="BH949" s="192"/>
      <c r="BI949" s="192"/>
      <c r="BJ949" s="192"/>
      <c r="BK949" s="192"/>
      <c r="BL949" s="192"/>
      <c r="BM949" s="192"/>
      <c r="BN949" s="192"/>
    </row>
    <row r="950" ht="29.25" customHeight="1">
      <c r="A950" s="189"/>
      <c r="B950" s="190"/>
      <c r="C950" s="157"/>
      <c r="D950" s="157"/>
      <c r="E950" s="158"/>
      <c r="F950" s="166"/>
      <c r="G950" s="161"/>
      <c r="H950" s="161"/>
      <c r="I950" s="162"/>
      <c r="J950" s="163"/>
      <c r="K950" s="163"/>
      <c r="L950" s="163"/>
      <c r="M950" s="160"/>
      <c r="N950" s="162"/>
      <c r="O950" s="164"/>
      <c r="P950" s="140"/>
      <c r="Q950" s="191"/>
      <c r="R950" s="165"/>
      <c r="S950" s="165"/>
      <c r="T950" s="166"/>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92"/>
      <c r="AR950" s="192"/>
      <c r="AS950" s="192"/>
      <c r="AT950" s="192"/>
      <c r="AU950" s="192"/>
      <c r="AV950" s="192"/>
      <c r="AW950" s="192"/>
      <c r="AX950" s="192"/>
      <c r="AY950" s="192"/>
      <c r="AZ950" s="192"/>
      <c r="BA950" s="192"/>
      <c r="BB950" s="192"/>
      <c r="BC950" s="192"/>
      <c r="BD950" s="192"/>
      <c r="BE950" s="192"/>
      <c r="BF950" s="192"/>
      <c r="BG950" s="192"/>
      <c r="BH950" s="192"/>
      <c r="BI950" s="192"/>
      <c r="BJ950" s="192"/>
      <c r="BK950" s="192"/>
      <c r="BL950" s="192"/>
      <c r="BM950" s="192"/>
      <c r="BN950" s="192"/>
    </row>
    <row r="951" ht="29.25" customHeight="1">
      <c r="A951" s="189"/>
      <c r="B951" s="190"/>
      <c r="C951" s="157"/>
      <c r="D951" s="157"/>
      <c r="E951" s="158"/>
      <c r="F951" s="166"/>
      <c r="G951" s="161"/>
      <c r="H951" s="161"/>
      <c r="I951" s="162"/>
      <c r="J951" s="163"/>
      <c r="K951" s="163"/>
      <c r="L951" s="163"/>
      <c r="M951" s="160"/>
      <c r="N951" s="162"/>
      <c r="O951" s="164"/>
      <c r="P951" s="140"/>
      <c r="Q951" s="191"/>
      <c r="R951" s="165"/>
      <c r="S951" s="165"/>
      <c r="T951" s="166"/>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92"/>
      <c r="AR951" s="192"/>
      <c r="AS951" s="192"/>
      <c r="AT951" s="192"/>
      <c r="AU951" s="192"/>
      <c r="AV951" s="192"/>
      <c r="AW951" s="192"/>
      <c r="AX951" s="192"/>
      <c r="AY951" s="192"/>
      <c r="AZ951" s="192"/>
      <c r="BA951" s="192"/>
      <c r="BB951" s="192"/>
      <c r="BC951" s="192"/>
      <c r="BD951" s="192"/>
      <c r="BE951" s="192"/>
      <c r="BF951" s="192"/>
      <c r="BG951" s="192"/>
      <c r="BH951" s="192"/>
      <c r="BI951" s="192"/>
      <c r="BJ951" s="192"/>
      <c r="BK951" s="192"/>
      <c r="BL951" s="192"/>
      <c r="BM951" s="192"/>
      <c r="BN951" s="192"/>
    </row>
    <row r="952" ht="29.25" customHeight="1">
      <c r="A952" s="189"/>
      <c r="B952" s="190"/>
      <c r="C952" s="157"/>
      <c r="D952" s="157"/>
      <c r="E952" s="158"/>
      <c r="F952" s="166"/>
      <c r="G952" s="161"/>
      <c r="H952" s="161"/>
      <c r="I952" s="162"/>
      <c r="J952" s="163"/>
      <c r="K952" s="163"/>
      <c r="L952" s="163"/>
      <c r="M952" s="160"/>
      <c r="N952" s="162"/>
      <c r="O952" s="164"/>
      <c r="P952" s="140"/>
      <c r="Q952" s="191"/>
      <c r="R952" s="165"/>
      <c r="S952" s="165"/>
      <c r="T952" s="166"/>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92"/>
      <c r="AR952" s="192"/>
      <c r="AS952" s="192"/>
      <c r="AT952" s="192"/>
      <c r="AU952" s="192"/>
      <c r="AV952" s="192"/>
      <c r="AW952" s="192"/>
      <c r="AX952" s="192"/>
      <c r="AY952" s="192"/>
      <c r="AZ952" s="192"/>
      <c r="BA952" s="192"/>
      <c r="BB952" s="192"/>
      <c r="BC952" s="192"/>
      <c r="BD952" s="192"/>
      <c r="BE952" s="192"/>
      <c r="BF952" s="192"/>
      <c r="BG952" s="192"/>
      <c r="BH952" s="192"/>
      <c r="BI952" s="192"/>
      <c r="BJ952" s="192"/>
      <c r="BK952" s="192"/>
      <c r="BL952" s="192"/>
      <c r="BM952" s="192"/>
      <c r="BN952" s="192"/>
    </row>
    <row r="953" ht="29.25" customHeight="1">
      <c r="A953" s="189"/>
      <c r="B953" s="190"/>
      <c r="C953" s="157"/>
      <c r="D953" s="157"/>
      <c r="E953" s="158"/>
      <c r="F953" s="166"/>
      <c r="G953" s="161"/>
      <c r="H953" s="161"/>
      <c r="I953" s="162"/>
      <c r="J953" s="163"/>
      <c r="K953" s="163"/>
      <c r="L953" s="163"/>
      <c r="M953" s="160"/>
      <c r="N953" s="162"/>
      <c r="O953" s="164"/>
      <c r="P953" s="140"/>
      <c r="Q953" s="191"/>
      <c r="R953" s="165"/>
      <c r="S953" s="165"/>
      <c r="T953" s="166"/>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92"/>
      <c r="AR953" s="192"/>
      <c r="AS953" s="192"/>
      <c r="AT953" s="192"/>
      <c r="AU953" s="192"/>
      <c r="AV953" s="192"/>
      <c r="AW953" s="192"/>
      <c r="AX953" s="192"/>
      <c r="AY953" s="192"/>
      <c r="AZ953" s="192"/>
      <c r="BA953" s="192"/>
      <c r="BB953" s="192"/>
      <c r="BC953" s="192"/>
      <c r="BD953" s="192"/>
      <c r="BE953" s="192"/>
      <c r="BF953" s="192"/>
      <c r="BG953" s="192"/>
      <c r="BH953" s="192"/>
      <c r="BI953" s="192"/>
      <c r="BJ953" s="192"/>
      <c r="BK953" s="192"/>
      <c r="BL953" s="192"/>
      <c r="BM953" s="192"/>
      <c r="BN953" s="192"/>
    </row>
    <row r="954" ht="29.25" customHeight="1">
      <c r="A954" s="189"/>
      <c r="B954" s="190"/>
      <c r="C954" s="157"/>
      <c r="D954" s="157"/>
      <c r="E954" s="158"/>
      <c r="F954" s="166"/>
      <c r="G954" s="161"/>
      <c r="H954" s="161"/>
      <c r="I954" s="162"/>
      <c r="J954" s="163"/>
      <c r="K954" s="163"/>
      <c r="L954" s="163"/>
      <c r="M954" s="160"/>
      <c r="N954" s="162"/>
      <c r="O954" s="164"/>
      <c r="P954" s="140"/>
      <c r="Q954" s="191"/>
      <c r="R954" s="165"/>
      <c r="S954" s="165"/>
      <c r="T954" s="166"/>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92"/>
      <c r="AR954" s="192"/>
      <c r="AS954" s="192"/>
      <c r="AT954" s="192"/>
      <c r="AU954" s="192"/>
      <c r="AV954" s="192"/>
      <c r="AW954" s="192"/>
      <c r="AX954" s="192"/>
      <c r="AY954" s="192"/>
      <c r="AZ954" s="192"/>
      <c r="BA954" s="192"/>
      <c r="BB954" s="192"/>
      <c r="BC954" s="192"/>
      <c r="BD954" s="192"/>
      <c r="BE954" s="192"/>
      <c r="BF954" s="192"/>
      <c r="BG954" s="192"/>
      <c r="BH954" s="192"/>
      <c r="BI954" s="192"/>
      <c r="BJ954" s="192"/>
      <c r="BK954" s="192"/>
      <c r="BL954" s="192"/>
      <c r="BM954" s="192"/>
      <c r="BN954" s="192"/>
    </row>
    <row r="955" ht="29.25" customHeight="1">
      <c r="A955" s="189"/>
      <c r="B955" s="190"/>
      <c r="C955" s="157"/>
      <c r="D955" s="157"/>
      <c r="E955" s="158"/>
      <c r="F955" s="166"/>
      <c r="G955" s="161"/>
      <c r="H955" s="161"/>
      <c r="I955" s="162"/>
      <c r="J955" s="163"/>
      <c r="K955" s="163"/>
      <c r="L955" s="163"/>
      <c r="M955" s="160"/>
      <c r="N955" s="162"/>
      <c r="O955" s="164"/>
      <c r="P955" s="140"/>
      <c r="Q955" s="191"/>
      <c r="R955" s="165"/>
      <c r="S955" s="165"/>
      <c r="T955" s="166"/>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92"/>
      <c r="AR955" s="192"/>
      <c r="AS955" s="192"/>
      <c r="AT955" s="192"/>
      <c r="AU955" s="192"/>
      <c r="AV955" s="192"/>
      <c r="AW955" s="192"/>
      <c r="AX955" s="192"/>
      <c r="AY955" s="192"/>
      <c r="AZ955" s="192"/>
      <c r="BA955" s="192"/>
      <c r="BB955" s="192"/>
      <c r="BC955" s="192"/>
      <c r="BD955" s="192"/>
      <c r="BE955" s="192"/>
      <c r="BF955" s="192"/>
      <c r="BG955" s="192"/>
      <c r="BH955" s="192"/>
      <c r="BI955" s="192"/>
      <c r="BJ955" s="192"/>
      <c r="BK955" s="192"/>
      <c r="BL955" s="192"/>
      <c r="BM955" s="192"/>
      <c r="BN955" s="192"/>
    </row>
    <row r="956" ht="29.25" customHeight="1">
      <c r="A956" s="189"/>
      <c r="B956" s="190"/>
      <c r="C956" s="157"/>
      <c r="D956" s="157"/>
      <c r="E956" s="158"/>
      <c r="F956" s="166"/>
      <c r="G956" s="161"/>
      <c r="H956" s="161"/>
      <c r="I956" s="162"/>
      <c r="J956" s="163"/>
      <c r="K956" s="163"/>
      <c r="L956" s="163"/>
      <c r="M956" s="160"/>
      <c r="N956" s="162"/>
      <c r="O956" s="164"/>
      <c r="P956" s="140"/>
      <c r="Q956" s="191"/>
      <c r="R956" s="165"/>
      <c r="S956" s="165"/>
      <c r="T956" s="166"/>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92"/>
      <c r="AR956" s="192"/>
      <c r="AS956" s="192"/>
      <c r="AT956" s="192"/>
      <c r="AU956" s="192"/>
      <c r="AV956" s="192"/>
      <c r="AW956" s="192"/>
      <c r="AX956" s="192"/>
      <c r="AY956" s="192"/>
      <c r="AZ956" s="192"/>
      <c r="BA956" s="192"/>
      <c r="BB956" s="192"/>
      <c r="BC956" s="192"/>
      <c r="BD956" s="192"/>
      <c r="BE956" s="192"/>
      <c r="BF956" s="192"/>
      <c r="BG956" s="192"/>
      <c r="BH956" s="192"/>
      <c r="BI956" s="192"/>
      <c r="BJ956" s="192"/>
      <c r="BK956" s="192"/>
      <c r="BL956" s="192"/>
      <c r="BM956" s="192"/>
      <c r="BN956" s="192"/>
    </row>
    <row r="957" ht="29.25" customHeight="1">
      <c r="A957" s="189"/>
      <c r="B957" s="190"/>
      <c r="C957" s="157"/>
      <c r="D957" s="157"/>
      <c r="E957" s="158"/>
      <c r="F957" s="166"/>
      <c r="G957" s="161"/>
      <c r="H957" s="161"/>
      <c r="I957" s="162"/>
      <c r="J957" s="163"/>
      <c r="K957" s="163"/>
      <c r="L957" s="163"/>
      <c r="M957" s="160"/>
      <c r="N957" s="162"/>
      <c r="O957" s="164"/>
      <c r="P957" s="140"/>
      <c r="Q957" s="191"/>
      <c r="R957" s="165"/>
      <c r="S957" s="165"/>
      <c r="T957" s="166"/>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92"/>
      <c r="AR957" s="192"/>
      <c r="AS957" s="192"/>
      <c r="AT957" s="192"/>
      <c r="AU957" s="192"/>
      <c r="AV957" s="192"/>
      <c r="AW957" s="192"/>
      <c r="AX957" s="192"/>
      <c r="AY957" s="192"/>
      <c r="AZ957" s="192"/>
      <c r="BA957" s="192"/>
      <c r="BB957" s="192"/>
      <c r="BC957" s="192"/>
      <c r="BD957" s="192"/>
      <c r="BE957" s="192"/>
      <c r="BF957" s="192"/>
      <c r="BG957" s="192"/>
      <c r="BH957" s="192"/>
      <c r="BI957" s="192"/>
      <c r="BJ957" s="192"/>
      <c r="BK957" s="192"/>
      <c r="BL957" s="192"/>
      <c r="BM957" s="192"/>
      <c r="BN957" s="192"/>
    </row>
    <row r="958" ht="29.25" customHeight="1">
      <c r="A958" s="189"/>
      <c r="B958" s="190"/>
      <c r="C958" s="157"/>
      <c r="D958" s="157"/>
      <c r="E958" s="158"/>
      <c r="F958" s="166"/>
      <c r="G958" s="161"/>
      <c r="H958" s="161"/>
      <c r="I958" s="162"/>
      <c r="J958" s="163"/>
      <c r="K958" s="163"/>
      <c r="L958" s="163"/>
      <c r="M958" s="160"/>
      <c r="N958" s="162"/>
      <c r="O958" s="164"/>
      <c r="P958" s="140"/>
      <c r="Q958" s="191"/>
      <c r="R958" s="165"/>
      <c r="S958" s="165"/>
      <c r="T958" s="166"/>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92"/>
      <c r="AR958" s="192"/>
      <c r="AS958" s="192"/>
      <c r="AT958" s="192"/>
      <c r="AU958" s="192"/>
      <c r="AV958" s="192"/>
      <c r="AW958" s="192"/>
      <c r="AX958" s="192"/>
      <c r="AY958" s="192"/>
      <c r="AZ958" s="192"/>
      <c r="BA958" s="192"/>
      <c r="BB958" s="192"/>
      <c r="BC958" s="192"/>
      <c r="BD958" s="192"/>
      <c r="BE958" s="192"/>
      <c r="BF958" s="192"/>
      <c r="BG958" s="192"/>
      <c r="BH958" s="192"/>
      <c r="BI958" s="192"/>
      <c r="BJ958" s="192"/>
      <c r="BK958" s="192"/>
      <c r="BL958" s="192"/>
      <c r="BM958" s="192"/>
      <c r="BN958" s="192"/>
    </row>
    <row r="959" ht="29.25" customHeight="1">
      <c r="A959" s="189"/>
      <c r="B959" s="190"/>
      <c r="C959" s="157"/>
      <c r="D959" s="157"/>
      <c r="E959" s="158"/>
      <c r="F959" s="166"/>
      <c r="G959" s="161"/>
      <c r="H959" s="161"/>
      <c r="I959" s="162"/>
      <c r="J959" s="163"/>
      <c r="K959" s="163"/>
      <c r="L959" s="163"/>
      <c r="M959" s="160"/>
      <c r="N959" s="162"/>
      <c r="O959" s="164"/>
      <c r="P959" s="140"/>
      <c r="Q959" s="191"/>
      <c r="R959" s="165"/>
      <c r="S959" s="165"/>
      <c r="T959" s="166"/>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92"/>
      <c r="AR959" s="192"/>
      <c r="AS959" s="192"/>
      <c r="AT959" s="192"/>
      <c r="AU959" s="192"/>
      <c r="AV959" s="192"/>
      <c r="AW959" s="192"/>
      <c r="AX959" s="192"/>
      <c r="AY959" s="192"/>
      <c r="AZ959" s="192"/>
      <c r="BA959" s="192"/>
      <c r="BB959" s="192"/>
      <c r="BC959" s="192"/>
      <c r="BD959" s="192"/>
      <c r="BE959" s="192"/>
      <c r="BF959" s="192"/>
      <c r="BG959" s="192"/>
      <c r="BH959" s="192"/>
      <c r="BI959" s="192"/>
      <c r="BJ959" s="192"/>
      <c r="BK959" s="192"/>
      <c r="BL959" s="192"/>
      <c r="BM959" s="192"/>
      <c r="BN959" s="192"/>
    </row>
    <row r="960" ht="29.25" customHeight="1">
      <c r="A960" s="189"/>
      <c r="B960" s="190"/>
      <c r="C960" s="157"/>
      <c r="D960" s="157"/>
      <c r="E960" s="158"/>
      <c r="F960" s="166"/>
      <c r="G960" s="161"/>
      <c r="H960" s="161"/>
      <c r="I960" s="162"/>
      <c r="J960" s="163"/>
      <c r="K960" s="163"/>
      <c r="L960" s="163"/>
      <c r="M960" s="160"/>
      <c r="N960" s="162"/>
      <c r="O960" s="164"/>
      <c r="P960" s="140"/>
      <c r="Q960" s="191"/>
      <c r="R960" s="165"/>
      <c r="S960" s="165"/>
      <c r="T960" s="166"/>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92"/>
      <c r="AR960" s="192"/>
      <c r="AS960" s="192"/>
      <c r="AT960" s="192"/>
      <c r="AU960" s="192"/>
      <c r="AV960" s="192"/>
      <c r="AW960" s="192"/>
      <c r="AX960" s="192"/>
      <c r="AY960" s="192"/>
      <c r="AZ960" s="192"/>
      <c r="BA960" s="192"/>
      <c r="BB960" s="192"/>
      <c r="BC960" s="192"/>
      <c r="BD960" s="192"/>
      <c r="BE960" s="192"/>
      <c r="BF960" s="192"/>
      <c r="BG960" s="192"/>
      <c r="BH960" s="192"/>
      <c r="BI960" s="192"/>
      <c r="BJ960" s="192"/>
      <c r="BK960" s="192"/>
      <c r="BL960" s="192"/>
      <c r="BM960" s="192"/>
      <c r="BN960" s="192"/>
    </row>
    <row r="961" ht="29.25" customHeight="1">
      <c r="A961" s="189"/>
      <c r="B961" s="190"/>
      <c r="C961" s="157"/>
      <c r="D961" s="157"/>
      <c r="E961" s="158"/>
      <c r="F961" s="166"/>
      <c r="G961" s="161"/>
      <c r="H961" s="161"/>
      <c r="I961" s="162"/>
      <c r="J961" s="163"/>
      <c r="K961" s="163"/>
      <c r="L961" s="163"/>
      <c r="M961" s="160"/>
      <c r="N961" s="162"/>
      <c r="O961" s="164"/>
      <c r="P961" s="140"/>
      <c r="Q961" s="191"/>
      <c r="R961" s="165"/>
      <c r="S961" s="165"/>
      <c r="T961" s="166"/>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92"/>
      <c r="AR961" s="192"/>
      <c r="AS961" s="192"/>
      <c r="AT961" s="192"/>
      <c r="AU961" s="192"/>
      <c r="AV961" s="192"/>
      <c r="AW961" s="192"/>
      <c r="AX961" s="192"/>
      <c r="AY961" s="192"/>
      <c r="AZ961" s="192"/>
      <c r="BA961" s="192"/>
      <c r="BB961" s="192"/>
      <c r="BC961" s="192"/>
      <c r="BD961" s="192"/>
      <c r="BE961" s="192"/>
      <c r="BF961" s="192"/>
      <c r="BG961" s="192"/>
      <c r="BH961" s="192"/>
      <c r="BI961" s="192"/>
      <c r="BJ961" s="192"/>
      <c r="BK961" s="192"/>
      <c r="BL961" s="192"/>
      <c r="BM961" s="192"/>
      <c r="BN961" s="192"/>
    </row>
    <row r="962" ht="29.25" customHeight="1">
      <c r="A962" s="189"/>
      <c r="B962" s="190"/>
      <c r="C962" s="157"/>
      <c r="D962" s="157"/>
      <c r="E962" s="158"/>
      <c r="F962" s="166"/>
      <c r="G962" s="161"/>
      <c r="H962" s="161"/>
      <c r="I962" s="162"/>
      <c r="J962" s="163"/>
      <c r="K962" s="163"/>
      <c r="L962" s="163"/>
      <c r="M962" s="160"/>
      <c r="N962" s="162"/>
      <c r="O962" s="164"/>
      <c r="P962" s="140"/>
      <c r="Q962" s="191"/>
      <c r="R962" s="165"/>
      <c r="S962" s="165"/>
      <c r="T962" s="166"/>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92"/>
      <c r="AR962" s="192"/>
      <c r="AS962" s="192"/>
      <c r="AT962" s="192"/>
      <c r="AU962" s="192"/>
      <c r="AV962" s="192"/>
      <c r="AW962" s="192"/>
      <c r="AX962" s="192"/>
      <c r="AY962" s="192"/>
      <c r="AZ962" s="192"/>
      <c r="BA962" s="192"/>
      <c r="BB962" s="192"/>
      <c r="BC962" s="192"/>
      <c r="BD962" s="192"/>
      <c r="BE962" s="192"/>
      <c r="BF962" s="192"/>
      <c r="BG962" s="192"/>
      <c r="BH962" s="192"/>
      <c r="BI962" s="192"/>
      <c r="BJ962" s="192"/>
      <c r="BK962" s="192"/>
      <c r="BL962" s="192"/>
      <c r="BM962" s="192"/>
      <c r="BN962" s="192"/>
    </row>
    <row r="963" ht="29.25" customHeight="1">
      <c r="A963" s="189"/>
      <c r="B963" s="190"/>
      <c r="C963" s="157"/>
      <c r="D963" s="157"/>
      <c r="E963" s="158"/>
      <c r="F963" s="166"/>
      <c r="G963" s="161"/>
      <c r="H963" s="161"/>
      <c r="I963" s="162"/>
      <c r="J963" s="163"/>
      <c r="K963" s="163"/>
      <c r="L963" s="163"/>
      <c r="M963" s="160"/>
      <c r="N963" s="162"/>
      <c r="O963" s="164"/>
      <c r="P963" s="140"/>
      <c r="Q963" s="191"/>
      <c r="R963" s="165"/>
      <c r="S963" s="165"/>
      <c r="T963" s="166"/>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92"/>
      <c r="AR963" s="192"/>
      <c r="AS963" s="192"/>
      <c r="AT963" s="192"/>
      <c r="AU963" s="192"/>
      <c r="AV963" s="192"/>
      <c r="AW963" s="192"/>
      <c r="AX963" s="192"/>
      <c r="AY963" s="192"/>
      <c r="AZ963" s="192"/>
      <c r="BA963" s="192"/>
      <c r="BB963" s="192"/>
      <c r="BC963" s="192"/>
      <c r="BD963" s="192"/>
      <c r="BE963" s="192"/>
      <c r="BF963" s="192"/>
      <c r="BG963" s="192"/>
      <c r="BH963" s="192"/>
      <c r="BI963" s="192"/>
      <c r="BJ963" s="192"/>
      <c r="BK963" s="192"/>
      <c r="BL963" s="192"/>
      <c r="BM963" s="192"/>
      <c r="BN963" s="192"/>
    </row>
    <row r="964" ht="29.25" customHeight="1">
      <c r="A964" s="189"/>
      <c r="B964" s="190"/>
      <c r="C964" s="157"/>
      <c r="D964" s="157"/>
      <c r="E964" s="158"/>
      <c r="F964" s="166"/>
      <c r="G964" s="161"/>
      <c r="H964" s="161"/>
      <c r="I964" s="162"/>
      <c r="J964" s="163"/>
      <c r="K964" s="163"/>
      <c r="L964" s="163"/>
      <c r="M964" s="160"/>
      <c r="N964" s="162"/>
      <c r="O964" s="164"/>
      <c r="P964" s="140"/>
      <c r="Q964" s="191"/>
      <c r="R964" s="165"/>
      <c r="S964" s="165"/>
      <c r="T964" s="166"/>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92"/>
      <c r="AR964" s="192"/>
      <c r="AS964" s="192"/>
      <c r="AT964" s="192"/>
      <c r="AU964" s="192"/>
      <c r="AV964" s="192"/>
      <c r="AW964" s="192"/>
      <c r="AX964" s="192"/>
      <c r="AY964" s="192"/>
      <c r="AZ964" s="192"/>
      <c r="BA964" s="192"/>
      <c r="BB964" s="192"/>
      <c r="BC964" s="192"/>
      <c r="BD964" s="192"/>
      <c r="BE964" s="192"/>
      <c r="BF964" s="192"/>
      <c r="BG964" s="192"/>
      <c r="BH964" s="192"/>
      <c r="BI964" s="192"/>
      <c r="BJ964" s="192"/>
      <c r="BK964" s="192"/>
      <c r="BL964" s="192"/>
      <c r="BM964" s="192"/>
      <c r="BN964" s="192"/>
    </row>
    <row r="965" ht="29.25" customHeight="1">
      <c r="A965" s="189"/>
      <c r="B965" s="190"/>
      <c r="C965" s="157"/>
      <c r="D965" s="157"/>
      <c r="E965" s="158"/>
      <c r="F965" s="166"/>
      <c r="G965" s="161"/>
      <c r="H965" s="161"/>
      <c r="I965" s="162"/>
      <c r="J965" s="163"/>
      <c r="K965" s="163"/>
      <c r="L965" s="163"/>
      <c r="M965" s="160"/>
      <c r="N965" s="162"/>
      <c r="O965" s="164"/>
      <c r="P965" s="140"/>
      <c r="Q965" s="191"/>
      <c r="R965" s="165"/>
      <c r="S965" s="165"/>
      <c r="T965" s="166"/>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92"/>
      <c r="AR965" s="192"/>
      <c r="AS965" s="192"/>
      <c r="AT965" s="192"/>
      <c r="AU965" s="192"/>
      <c r="AV965" s="192"/>
      <c r="AW965" s="192"/>
      <c r="AX965" s="192"/>
      <c r="AY965" s="192"/>
      <c r="AZ965" s="192"/>
      <c r="BA965" s="192"/>
      <c r="BB965" s="192"/>
      <c r="BC965" s="192"/>
      <c r="BD965" s="192"/>
      <c r="BE965" s="192"/>
      <c r="BF965" s="192"/>
      <c r="BG965" s="192"/>
      <c r="BH965" s="192"/>
      <c r="BI965" s="192"/>
      <c r="BJ965" s="192"/>
      <c r="BK965" s="192"/>
      <c r="BL965" s="192"/>
      <c r="BM965" s="192"/>
      <c r="BN965" s="192"/>
    </row>
    <row r="966" ht="29.25" customHeight="1">
      <c r="A966" s="189"/>
      <c r="B966" s="190"/>
      <c r="C966" s="157"/>
      <c r="D966" s="157"/>
      <c r="E966" s="158"/>
      <c r="F966" s="166"/>
      <c r="G966" s="161"/>
      <c r="H966" s="161"/>
      <c r="I966" s="162"/>
      <c r="J966" s="163"/>
      <c r="K966" s="163"/>
      <c r="L966" s="163"/>
      <c r="M966" s="160"/>
      <c r="N966" s="162"/>
      <c r="O966" s="164"/>
      <c r="P966" s="140"/>
      <c r="Q966" s="191"/>
      <c r="R966" s="165"/>
      <c r="S966" s="165"/>
      <c r="T966" s="166"/>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92"/>
      <c r="AR966" s="192"/>
      <c r="AS966" s="192"/>
      <c r="AT966" s="192"/>
      <c r="AU966" s="192"/>
      <c r="AV966" s="192"/>
      <c r="AW966" s="192"/>
      <c r="AX966" s="192"/>
      <c r="AY966" s="192"/>
      <c r="AZ966" s="192"/>
      <c r="BA966" s="192"/>
      <c r="BB966" s="192"/>
      <c r="BC966" s="192"/>
      <c r="BD966" s="192"/>
      <c r="BE966" s="192"/>
      <c r="BF966" s="192"/>
      <c r="BG966" s="192"/>
      <c r="BH966" s="192"/>
      <c r="BI966" s="192"/>
      <c r="BJ966" s="192"/>
      <c r="BK966" s="192"/>
      <c r="BL966" s="192"/>
      <c r="BM966" s="192"/>
      <c r="BN966" s="192"/>
    </row>
    <row r="967" ht="29.25" customHeight="1">
      <c r="A967" s="189"/>
      <c r="B967" s="190"/>
      <c r="C967" s="157"/>
      <c r="D967" s="157"/>
      <c r="E967" s="158"/>
      <c r="F967" s="166"/>
      <c r="G967" s="161"/>
      <c r="H967" s="161"/>
      <c r="I967" s="162"/>
      <c r="J967" s="163"/>
      <c r="K967" s="163"/>
      <c r="L967" s="163"/>
      <c r="M967" s="160"/>
      <c r="N967" s="162"/>
      <c r="O967" s="164"/>
      <c r="P967" s="140"/>
      <c r="Q967" s="191"/>
      <c r="R967" s="165"/>
      <c r="S967" s="165"/>
      <c r="T967" s="166"/>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92"/>
      <c r="AR967" s="192"/>
      <c r="AS967" s="192"/>
      <c r="AT967" s="192"/>
      <c r="AU967" s="192"/>
      <c r="AV967" s="192"/>
      <c r="AW967" s="192"/>
      <c r="AX967" s="192"/>
      <c r="AY967" s="192"/>
      <c r="AZ967" s="192"/>
      <c r="BA967" s="192"/>
      <c r="BB967" s="192"/>
      <c r="BC967" s="192"/>
      <c r="BD967" s="192"/>
      <c r="BE967" s="192"/>
      <c r="BF967" s="192"/>
      <c r="BG967" s="192"/>
      <c r="BH967" s="192"/>
      <c r="BI967" s="192"/>
      <c r="BJ967" s="192"/>
      <c r="BK967" s="192"/>
      <c r="BL967" s="192"/>
      <c r="BM967" s="192"/>
      <c r="BN967" s="192"/>
    </row>
    <row r="968" ht="29.25" customHeight="1">
      <c r="A968" s="189"/>
      <c r="B968" s="190"/>
      <c r="C968" s="157"/>
      <c r="D968" s="157"/>
      <c r="E968" s="158"/>
      <c r="F968" s="166"/>
      <c r="G968" s="161"/>
      <c r="H968" s="161"/>
      <c r="I968" s="162"/>
      <c r="J968" s="163"/>
      <c r="K968" s="163"/>
      <c r="L968" s="163"/>
      <c r="M968" s="160"/>
      <c r="N968" s="162"/>
      <c r="O968" s="164"/>
      <c r="P968" s="140"/>
      <c r="Q968" s="191"/>
      <c r="R968" s="165"/>
      <c r="S968" s="165"/>
      <c r="T968" s="166"/>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92"/>
      <c r="AR968" s="192"/>
      <c r="AS968" s="192"/>
      <c r="AT968" s="192"/>
      <c r="AU968" s="192"/>
      <c r="AV968" s="192"/>
      <c r="AW968" s="192"/>
      <c r="AX968" s="192"/>
      <c r="AY968" s="192"/>
      <c r="AZ968" s="192"/>
      <c r="BA968" s="192"/>
      <c r="BB968" s="192"/>
      <c r="BC968" s="192"/>
      <c r="BD968" s="192"/>
      <c r="BE968" s="192"/>
      <c r="BF968" s="192"/>
      <c r="BG968" s="192"/>
      <c r="BH968" s="192"/>
      <c r="BI968" s="192"/>
      <c r="BJ968" s="192"/>
      <c r="BK968" s="192"/>
      <c r="BL968" s="192"/>
      <c r="BM968" s="192"/>
      <c r="BN968" s="192"/>
    </row>
    <row r="969" ht="29.25" customHeight="1">
      <c r="A969" s="189"/>
      <c r="B969" s="190"/>
      <c r="C969" s="157"/>
      <c r="D969" s="157"/>
      <c r="E969" s="158"/>
      <c r="F969" s="166"/>
      <c r="G969" s="161"/>
      <c r="H969" s="161"/>
      <c r="I969" s="162"/>
      <c r="J969" s="163"/>
      <c r="K969" s="163"/>
      <c r="L969" s="163"/>
      <c r="M969" s="160"/>
      <c r="N969" s="162"/>
      <c r="O969" s="164"/>
      <c r="P969" s="140"/>
      <c r="Q969" s="191"/>
      <c r="R969" s="165"/>
      <c r="S969" s="165"/>
      <c r="T969" s="166"/>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92"/>
      <c r="AR969" s="192"/>
      <c r="AS969" s="192"/>
      <c r="AT969" s="192"/>
      <c r="AU969" s="192"/>
      <c r="AV969" s="192"/>
      <c r="AW969" s="192"/>
      <c r="AX969" s="192"/>
      <c r="AY969" s="192"/>
      <c r="AZ969" s="192"/>
      <c r="BA969" s="192"/>
      <c r="BB969" s="192"/>
      <c r="BC969" s="192"/>
      <c r="BD969" s="192"/>
      <c r="BE969" s="192"/>
      <c r="BF969" s="192"/>
      <c r="BG969" s="192"/>
      <c r="BH969" s="192"/>
      <c r="BI969" s="192"/>
      <c r="BJ969" s="192"/>
      <c r="BK969" s="192"/>
      <c r="BL969" s="192"/>
      <c r="BM969" s="192"/>
      <c r="BN969" s="192"/>
    </row>
    <row r="970" ht="29.25" customHeight="1">
      <c r="A970" s="189"/>
      <c r="B970" s="190"/>
      <c r="C970" s="157"/>
      <c r="D970" s="157"/>
      <c r="E970" s="158"/>
      <c r="F970" s="166"/>
      <c r="G970" s="161"/>
      <c r="H970" s="161"/>
      <c r="I970" s="162"/>
      <c r="J970" s="163"/>
      <c r="K970" s="163"/>
      <c r="L970" s="163"/>
      <c r="M970" s="160"/>
      <c r="N970" s="162"/>
      <c r="O970" s="164"/>
      <c r="P970" s="140"/>
      <c r="Q970" s="191"/>
      <c r="R970" s="165"/>
      <c r="S970" s="165"/>
      <c r="T970" s="166"/>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92"/>
      <c r="AR970" s="192"/>
      <c r="AS970" s="192"/>
      <c r="AT970" s="192"/>
      <c r="AU970" s="192"/>
      <c r="AV970" s="192"/>
      <c r="AW970" s="192"/>
      <c r="AX970" s="192"/>
      <c r="AY970" s="192"/>
      <c r="AZ970" s="192"/>
      <c r="BA970" s="192"/>
      <c r="BB970" s="192"/>
      <c r="BC970" s="192"/>
      <c r="BD970" s="192"/>
      <c r="BE970" s="192"/>
      <c r="BF970" s="192"/>
      <c r="BG970" s="192"/>
      <c r="BH970" s="192"/>
      <c r="BI970" s="192"/>
      <c r="BJ970" s="192"/>
      <c r="BK970" s="192"/>
      <c r="BL970" s="192"/>
      <c r="BM970" s="192"/>
      <c r="BN970" s="192"/>
    </row>
    <row r="971" ht="29.25" customHeight="1">
      <c r="A971" s="189"/>
      <c r="B971" s="190"/>
      <c r="C971" s="157"/>
      <c r="D971" s="157"/>
      <c r="E971" s="158"/>
      <c r="F971" s="166"/>
      <c r="G971" s="161"/>
      <c r="H971" s="161"/>
      <c r="I971" s="162"/>
      <c r="J971" s="163"/>
      <c r="K971" s="163"/>
      <c r="L971" s="163"/>
      <c r="M971" s="160"/>
      <c r="N971" s="162"/>
      <c r="O971" s="164"/>
      <c r="P971" s="140"/>
      <c r="Q971" s="191"/>
      <c r="R971" s="165"/>
      <c r="S971" s="165"/>
      <c r="T971" s="166"/>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92"/>
      <c r="AR971" s="192"/>
      <c r="AS971" s="192"/>
      <c r="AT971" s="192"/>
      <c r="AU971" s="192"/>
      <c r="AV971" s="192"/>
      <c r="AW971" s="192"/>
      <c r="AX971" s="192"/>
      <c r="AY971" s="192"/>
      <c r="AZ971" s="192"/>
      <c r="BA971" s="192"/>
      <c r="BB971" s="192"/>
      <c r="BC971" s="192"/>
      <c r="BD971" s="192"/>
      <c r="BE971" s="192"/>
      <c r="BF971" s="192"/>
      <c r="BG971" s="192"/>
      <c r="BH971" s="192"/>
      <c r="BI971" s="192"/>
      <c r="BJ971" s="192"/>
      <c r="BK971" s="192"/>
      <c r="BL971" s="192"/>
      <c r="BM971" s="192"/>
      <c r="BN971" s="192"/>
    </row>
    <row r="972" ht="29.25" customHeight="1">
      <c r="A972" s="189"/>
      <c r="B972" s="190"/>
      <c r="C972" s="157"/>
      <c r="D972" s="157"/>
      <c r="E972" s="158"/>
      <c r="F972" s="166"/>
      <c r="G972" s="161"/>
      <c r="H972" s="161"/>
      <c r="I972" s="162"/>
      <c r="J972" s="163"/>
      <c r="K972" s="163"/>
      <c r="L972" s="163"/>
      <c r="M972" s="160"/>
      <c r="N972" s="162"/>
      <c r="O972" s="164"/>
      <c r="P972" s="140"/>
      <c r="Q972" s="191"/>
      <c r="R972" s="165"/>
      <c r="S972" s="165"/>
      <c r="T972" s="166"/>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92"/>
      <c r="AR972" s="192"/>
      <c r="AS972" s="192"/>
      <c r="AT972" s="192"/>
      <c r="AU972" s="192"/>
      <c r="AV972" s="192"/>
      <c r="AW972" s="192"/>
      <c r="AX972" s="192"/>
      <c r="AY972" s="192"/>
      <c r="AZ972" s="192"/>
      <c r="BA972" s="192"/>
      <c r="BB972" s="192"/>
      <c r="BC972" s="192"/>
      <c r="BD972" s="192"/>
      <c r="BE972" s="192"/>
      <c r="BF972" s="192"/>
      <c r="BG972" s="192"/>
      <c r="BH972" s="192"/>
      <c r="BI972" s="192"/>
      <c r="BJ972" s="192"/>
      <c r="BK972" s="192"/>
      <c r="BL972" s="192"/>
      <c r="BM972" s="192"/>
      <c r="BN972" s="192"/>
    </row>
    <row r="973" ht="29.25" customHeight="1">
      <c r="A973" s="189"/>
      <c r="B973" s="190"/>
      <c r="C973" s="157"/>
      <c r="D973" s="157"/>
      <c r="E973" s="158"/>
      <c r="F973" s="166"/>
      <c r="G973" s="161"/>
      <c r="H973" s="161"/>
      <c r="I973" s="162"/>
      <c r="J973" s="163"/>
      <c r="K973" s="163"/>
      <c r="L973" s="163"/>
      <c r="M973" s="160"/>
      <c r="N973" s="162"/>
      <c r="O973" s="164"/>
      <c r="P973" s="140"/>
      <c r="Q973" s="191"/>
      <c r="R973" s="165"/>
      <c r="S973" s="165"/>
      <c r="T973" s="166"/>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92"/>
      <c r="AR973" s="192"/>
      <c r="AS973" s="192"/>
      <c r="AT973" s="192"/>
      <c r="AU973" s="192"/>
      <c r="AV973" s="192"/>
      <c r="AW973" s="192"/>
      <c r="AX973" s="192"/>
      <c r="AY973" s="192"/>
      <c r="AZ973" s="192"/>
      <c r="BA973" s="192"/>
      <c r="BB973" s="192"/>
      <c r="BC973" s="192"/>
      <c r="BD973" s="192"/>
      <c r="BE973" s="192"/>
      <c r="BF973" s="192"/>
      <c r="BG973" s="192"/>
      <c r="BH973" s="192"/>
      <c r="BI973" s="192"/>
      <c r="BJ973" s="192"/>
      <c r="BK973" s="192"/>
      <c r="BL973" s="192"/>
      <c r="BM973" s="192"/>
      <c r="BN973" s="192"/>
    </row>
    <row r="974" ht="29.25" customHeight="1">
      <c r="A974" s="189"/>
      <c r="B974" s="190"/>
      <c r="C974" s="157"/>
      <c r="D974" s="157"/>
      <c r="E974" s="158"/>
      <c r="F974" s="166"/>
      <c r="G974" s="161"/>
      <c r="H974" s="161"/>
      <c r="I974" s="162"/>
      <c r="J974" s="163"/>
      <c r="K974" s="163"/>
      <c r="L974" s="163"/>
      <c r="M974" s="160"/>
      <c r="N974" s="162"/>
      <c r="O974" s="164"/>
      <c r="P974" s="140"/>
      <c r="Q974" s="191"/>
      <c r="R974" s="165"/>
      <c r="S974" s="165"/>
      <c r="T974" s="166"/>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92"/>
      <c r="AR974" s="192"/>
      <c r="AS974" s="192"/>
      <c r="AT974" s="192"/>
      <c r="AU974" s="192"/>
      <c r="AV974" s="192"/>
      <c r="AW974" s="192"/>
      <c r="AX974" s="192"/>
      <c r="AY974" s="192"/>
      <c r="AZ974" s="192"/>
      <c r="BA974" s="192"/>
      <c r="BB974" s="192"/>
      <c r="BC974" s="192"/>
      <c r="BD974" s="192"/>
      <c r="BE974" s="192"/>
      <c r="BF974" s="192"/>
      <c r="BG974" s="192"/>
      <c r="BH974" s="192"/>
      <c r="BI974" s="192"/>
      <c r="BJ974" s="192"/>
      <c r="BK974" s="192"/>
      <c r="BL974" s="192"/>
      <c r="BM974" s="192"/>
      <c r="BN974" s="192"/>
    </row>
    <row r="975" ht="29.25" customHeight="1">
      <c r="A975" s="189"/>
      <c r="B975" s="190"/>
      <c r="C975" s="157"/>
      <c r="D975" s="157"/>
      <c r="E975" s="158"/>
      <c r="F975" s="166"/>
      <c r="G975" s="161"/>
      <c r="H975" s="161"/>
      <c r="I975" s="162"/>
      <c r="J975" s="163"/>
      <c r="K975" s="163"/>
      <c r="L975" s="163"/>
      <c r="M975" s="160"/>
      <c r="N975" s="162"/>
      <c r="O975" s="164"/>
      <c r="P975" s="140"/>
      <c r="Q975" s="191"/>
      <c r="R975" s="165"/>
      <c r="S975" s="165"/>
      <c r="T975" s="166"/>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92"/>
      <c r="AR975" s="192"/>
      <c r="AS975" s="192"/>
      <c r="AT975" s="192"/>
      <c r="AU975" s="192"/>
      <c r="AV975" s="192"/>
      <c r="AW975" s="192"/>
      <c r="AX975" s="192"/>
      <c r="AY975" s="192"/>
      <c r="AZ975" s="192"/>
      <c r="BA975" s="192"/>
      <c r="BB975" s="192"/>
      <c r="BC975" s="192"/>
      <c r="BD975" s="192"/>
      <c r="BE975" s="192"/>
      <c r="BF975" s="192"/>
      <c r="BG975" s="192"/>
      <c r="BH975" s="192"/>
      <c r="BI975" s="192"/>
      <c r="BJ975" s="192"/>
      <c r="BK975" s="192"/>
      <c r="BL975" s="192"/>
      <c r="BM975" s="192"/>
      <c r="BN975" s="192"/>
    </row>
    <row r="976" ht="29.25" customHeight="1">
      <c r="A976" s="189"/>
      <c r="B976" s="190"/>
      <c r="C976" s="157"/>
      <c r="D976" s="157"/>
      <c r="E976" s="158"/>
      <c r="F976" s="166"/>
      <c r="G976" s="161"/>
      <c r="H976" s="161"/>
      <c r="I976" s="162"/>
      <c r="J976" s="163"/>
      <c r="K976" s="163"/>
      <c r="L976" s="163"/>
      <c r="M976" s="160"/>
      <c r="N976" s="162"/>
      <c r="O976" s="164"/>
      <c r="P976" s="140"/>
      <c r="Q976" s="191"/>
      <c r="R976" s="165"/>
      <c r="S976" s="165"/>
      <c r="T976" s="166"/>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92"/>
      <c r="AR976" s="192"/>
      <c r="AS976" s="192"/>
      <c r="AT976" s="192"/>
      <c r="AU976" s="192"/>
      <c r="AV976" s="192"/>
      <c r="AW976" s="192"/>
      <c r="AX976" s="192"/>
      <c r="AY976" s="192"/>
      <c r="AZ976" s="192"/>
      <c r="BA976" s="192"/>
      <c r="BB976" s="192"/>
      <c r="BC976" s="192"/>
      <c r="BD976" s="192"/>
      <c r="BE976" s="192"/>
      <c r="BF976" s="192"/>
      <c r="BG976" s="192"/>
      <c r="BH976" s="192"/>
      <c r="BI976" s="192"/>
      <c r="BJ976" s="192"/>
      <c r="BK976" s="192"/>
      <c r="BL976" s="192"/>
      <c r="BM976" s="192"/>
      <c r="BN976" s="192"/>
    </row>
    <row r="977" ht="29.25" customHeight="1">
      <c r="A977" s="189"/>
      <c r="B977" s="190"/>
      <c r="C977" s="157"/>
      <c r="D977" s="157"/>
      <c r="E977" s="158"/>
      <c r="F977" s="166"/>
      <c r="G977" s="161"/>
      <c r="H977" s="161"/>
      <c r="I977" s="162"/>
      <c r="J977" s="163"/>
      <c r="K977" s="163"/>
      <c r="L977" s="163"/>
      <c r="M977" s="160"/>
      <c r="N977" s="162"/>
      <c r="O977" s="164"/>
      <c r="P977" s="140"/>
      <c r="Q977" s="191"/>
      <c r="R977" s="165"/>
      <c r="S977" s="165"/>
      <c r="T977" s="166"/>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92"/>
      <c r="AR977" s="192"/>
      <c r="AS977" s="192"/>
      <c r="AT977" s="192"/>
      <c r="AU977" s="192"/>
      <c r="AV977" s="192"/>
      <c r="AW977" s="192"/>
      <c r="AX977" s="192"/>
      <c r="AY977" s="192"/>
      <c r="AZ977" s="192"/>
      <c r="BA977" s="192"/>
      <c r="BB977" s="192"/>
      <c r="BC977" s="192"/>
      <c r="BD977" s="192"/>
      <c r="BE977" s="192"/>
      <c r="BF977" s="192"/>
      <c r="BG977" s="192"/>
      <c r="BH977" s="192"/>
      <c r="BI977" s="192"/>
      <c r="BJ977" s="192"/>
      <c r="BK977" s="192"/>
      <c r="BL977" s="192"/>
      <c r="BM977" s="192"/>
      <c r="BN977" s="192"/>
    </row>
    <row r="978" ht="29.25" customHeight="1">
      <c r="A978" s="189"/>
      <c r="B978" s="190"/>
      <c r="C978" s="157"/>
      <c r="D978" s="157"/>
      <c r="E978" s="158"/>
      <c r="F978" s="166"/>
      <c r="G978" s="161"/>
      <c r="H978" s="161"/>
      <c r="I978" s="162"/>
      <c r="J978" s="163"/>
      <c r="K978" s="163"/>
      <c r="L978" s="163"/>
      <c r="M978" s="160"/>
      <c r="N978" s="162"/>
      <c r="O978" s="164"/>
      <c r="P978" s="140"/>
      <c r="Q978" s="191"/>
      <c r="R978" s="165"/>
      <c r="S978" s="165"/>
      <c r="T978" s="166"/>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92"/>
      <c r="AR978" s="192"/>
      <c r="AS978" s="192"/>
      <c r="AT978" s="192"/>
      <c r="AU978" s="192"/>
      <c r="AV978" s="192"/>
      <c r="AW978" s="192"/>
      <c r="AX978" s="192"/>
      <c r="AY978" s="192"/>
      <c r="AZ978" s="192"/>
      <c r="BA978" s="192"/>
      <c r="BB978" s="192"/>
      <c r="BC978" s="192"/>
      <c r="BD978" s="192"/>
      <c r="BE978" s="192"/>
      <c r="BF978" s="192"/>
      <c r="BG978" s="192"/>
      <c r="BH978" s="192"/>
      <c r="BI978" s="192"/>
      <c r="BJ978" s="192"/>
      <c r="BK978" s="192"/>
      <c r="BL978" s="192"/>
      <c r="BM978" s="192"/>
      <c r="BN978" s="192"/>
    </row>
    <row r="979" ht="29.25" customHeight="1">
      <c r="A979" s="189"/>
      <c r="B979" s="190"/>
      <c r="C979" s="157"/>
      <c r="D979" s="157"/>
      <c r="E979" s="158"/>
      <c r="F979" s="166"/>
      <c r="G979" s="161"/>
      <c r="H979" s="161"/>
      <c r="I979" s="162"/>
      <c r="J979" s="163"/>
      <c r="K979" s="163"/>
      <c r="L979" s="163"/>
      <c r="M979" s="160"/>
      <c r="N979" s="162"/>
      <c r="O979" s="164"/>
      <c r="P979" s="140"/>
      <c r="Q979" s="191"/>
      <c r="R979" s="165"/>
      <c r="S979" s="165"/>
      <c r="T979" s="166"/>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92"/>
      <c r="AR979" s="192"/>
      <c r="AS979" s="192"/>
      <c r="AT979" s="192"/>
      <c r="AU979" s="192"/>
      <c r="AV979" s="192"/>
      <c r="AW979" s="192"/>
      <c r="AX979" s="192"/>
      <c r="AY979" s="192"/>
      <c r="AZ979" s="192"/>
      <c r="BA979" s="192"/>
      <c r="BB979" s="192"/>
      <c r="BC979" s="192"/>
      <c r="BD979" s="192"/>
      <c r="BE979" s="192"/>
      <c r="BF979" s="192"/>
      <c r="BG979" s="192"/>
      <c r="BH979" s="192"/>
      <c r="BI979" s="192"/>
      <c r="BJ979" s="192"/>
      <c r="BK979" s="192"/>
      <c r="BL979" s="192"/>
      <c r="BM979" s="192"/>
      <c r="BN979" s="192"/>
    </row>
    <row r="980" ht="29.25" customHeight="1">
      <c r="A980" s="189"/>
      <c r="B980" s="190"/>
      <c r="C980" s="157"/>
      <c r="D980" s="157"/>
      <c r="E980" s="158"/>
      <c r="F980" s="166"/>
      <c r="G980" s="161"/>
      <c r="H980" s="161"/>
      <c r="I980" s="162"/>
      <c r="J980" s="163"/>
      <c r="K980" s="163"/>
      <c r="L980" s="163"/>
      <c r="M980" s="160"/>
      <c r="N980" s="162"/>
      <c r="O980" s="164"/>
      <c r="P980" s="140"/>
      <c r="Q980" s="191"/>
      <c r="R980" s="165"/>
      <c r="S980" s="165"/>
      <c r="T980" s="166"/>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92"/>
      <c r="AR980" s="192"/>
      <c r="AS980" s="192"/>
      <c r="AT980" s="192"/>
      <c r="AU980" s="192"/>
      <c r="AV980" s="192"/>
      <c r="AW980" s="192"/>
      <c r="AX980" s="192"/>
      <c r="AY980" s="192"/>
      <c r="AZ980" s="192"/>
      <c r="BA980" s="192"/>
      <c r="BB980" s="192"/>
      <c r="BC980" s="192"/>
      <c r="BD980" s="192"/>
      <c r="BE980" s="192"/>
      <c r="BF980" s="192"/>
      <c r="BG980" s="192"/>
      <c r="BH980" s="192"/>
      <c r="BI980" s="192"/>
      <c r="BJ980" s="192"/>
      <c r="BK980" s="192"/>
      <c r="BL980" s="192"/>
      <c r="BM980" s="192"/>
      <c r="BN980" s="192"/>
    </row>
    <row r="981" ht="29.25" customHeight="1">
      <c r="A981" s="189"/>
      <c r="B981" s="190"/>
      <c r="C981" s="157"/>
      <c r="D981" s="157"/>
      <c r="E981" s="158"/>
      <c r="F981" s="166"/>
      <c r="G981" s="161"/>
      <c r="H981" s="161"/>
      <c r="I981" s="162"/>
      <c r="J981" s="163"/>
      <c r="K981" s="163"/>
      <c r="L981" s="163"/>
      <c r="M981" s="160"/>
      <c r="N981" s="162"/>
      <c r="O981" s="164"/>
      <c r="P981" s="140"/>
      <c r="Q981" s="191"/>
      <c r="R981" s="165"/>
      <c r="S981" s="165"/>
      <c r="T981" s="166"/>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92"/>
      <c r="AR981" s="192"/>
      <c r="AS981" s="192"/>
      <c r="AT981" s="192"/>
      <c r="AU981" s="192"/>
      <c r="AV981" s="192"/>
      <c r="AW981" s="192"/>
      <c r="AX981" s="192"/>
      <c r="AY981" s="192"/>
      <c r="AZ981" s="192"/>
      <c r="BA981" s="192"/>
      <c r="BB981" s="192"/>
      <c r="BC981" s="192"/>
      <c r="BD981" s="192"/>
      <c r="BE981" s="192"/>
      <c r="BF981" s="192"/>
      <c r="BG981" s="192"/>
      <c r="BH981" s="192"/>
      <c r="BI981" s="192"/>
      <c r="BJ981" s="192"/>
      <c r="BK981" s="192"/>
      <c r="BL981" s="192"/>
      <c r="BM981" s="192"/>
      <c r="BN981" s="192"/>
    </row>
    <row r="982" ht="29.25" customHeight="1">
      <c r="A982" s="189"/>
      <c r="B982" s="190"/>
      <c r="C982" s="157"/>
      <c r="D982" s="157"/>
      <c r="E982" s="158"/>
      <c r="F982" s="166"/>
      <c r="G982" s="161"/>
      <c r="H982" s="161"/>
      <c r="I982" s="162"/>
      <c r="J982" s="163"/>
      <c r="K982" s="163"/>
      <c r="L982" s="163"/>
      <c r="M982" s="160"/>
      <c r="N982" s="162"/>
      <c r="O982" s="164"/>
      <c r="P982" s="140"/>
      <c r="Q982" s="191"/>
      <c r="R982" s="165"/>
      <c r="S982" s="165"/>
      <c r="T982" s="166"/>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92"/>
      <c r="AR982" s="192"/>
      <c r="AS982" s="192"/>
      <c r="AT982" s="192"/>
      <c r="AU982" s="192"/>
      <c r="AV982" s="192"/>
      <c r="AW982" s="192"/>
      <c r="AX982" s="192"/>
      <c r="AY982" s="192"/>
      <c r="AZ982" s="192"/>
      <c r="BA982" s="192"/>
      <c r="BB982" s="192"/>
      <c r="BC982" s="192"/>
      <c r="BD982" s="192"/>
      <c r="BE982" s="192"/>
      <c r="BF982" s="192"/>
      <c r="BG982" s="192"/>
      <c r="BH982" s="192"/>
      <c r="BI982" s="192"/>
      <c r="BJ982" s="192"/>
      <c r="BK982" s="192"/>
      <c r="BL982" s="192"/>
      <c r="BM982" s="192"/>
      <c r="BN982" s="192"/>
    </row>
    <row r="983" ht="29.25" customHeight="1">
      <c r="A983" s="189"/>
      <c r="B983" s="190"/>
      <c r="C983" s="157"/>
      <c r="D983" s="157"/>
      <c r="E983" s="158"/>
      <c r="F983" s="166"/>
      <c r="G983" s="161"/>
      <c r="H983" s="161"/>
      <c r="I983" s="162"/>
      <c r="J983" s="163"/>
      <c r="K983" s="163"/>
      <c r="L983" s="163"/>
      <c r="M983" s="160"/>
      <c r="N983" s="162"/>
      <c r="O983" s="164"/>
      <c r="P983" s="140"/>
      <c r="Q983" s="191"/>
      <c r="R983" s="165"/>
      <c r="S983" s="165"/>
      <c r="T983" s="166"/>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92"/>
      <c r="AR983" s="192"/>
      <c r="AS983" s="192"/>
      <c r="AT983" s="192"/>
      <c r="AU983" s="192"/>
      <c r="AV983" s="192"/>
      <c r="AW983" s="192"/>
      <c r="AX983" s="192"/>
      <c r="AY983" s="192"/>
      <c r="AZ983" s="192"/>
      <c r="BA983" s="192"/>
      <c r="BB983" s="192"/>
      <c r="BC983" s="192"/>
      <c r="BD983" s="192"/>
      <c r="BE983" s="192"/>
      <c r="BF983" s="192"/>
      <c r="BG983" s="192"/>
      <c r="BH983" s="192"/>
      <c r="BI983" s="192"/>
      <c r="BJ983" s="192"/>
      <c r="BK983" s="192"/>
      <c r="BL983" s="192"/>
      <c r="BM983" s="192"/>
      <c r="BN983" s="192"/>
    </row>
    <row r="984" ht="29.25" customHeight="1">
      <c r="A984" s="189"/>
      <c r="B984" s="190"/>
      <c r="C984" s="157"/>
      <c r="D984" s="157"/>
      <c r="E984" s="158"/>
      <c r="F984" s="166"/>
      <c r="G984" s="161"/>
      <c r="H984" s="161"/>
      <c r="I984" s="162"/>
      <c r="J984" s="163"/>
      <c r="K984" s="163"/>
      <c r="L984" s="163"/>
      <c r="M984" s="160"/>
      <c r="N984" s="162"/>
      <c r="O984" s="164"/>
      <c r="P984" s="140"/>
      <c r="Q984" s="191"/>
      <c r="R984" s="165"/>
      <c r="S984" s="165"/>
      <c r="T984" s="166"/>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92"/>
      <c r="AR984" s="192"/>
      <c r="AS984" s="192"/>
      <c r="AT984" s="192"/>
      <c r="AU984" s="192"/>
      <c r="AV984" s="192"/>
      <c r="AW984" s="192"/>
      <c r="AX984" s="192"/>
      <c r="AY984" s="192"/>
      <c r="AZ984" s="192"/>
      <c r="BA984" s="192"/>
      <c r="BB984" s="192"/>
      <c r="BC984" s="192"/>
      <c r="BD984" s="192"/>
      <c r="BE984" s="192"/>
      <c r="BF984" s="192"/>
      <c r="BG984" s="192"/>
      <c r="BH984" s="192"/>
      <c r="BI984" s="192"/>
      <c r="BJ984" s="192"/>
      <c r="BK984" s="192"/>
      <c r="BL984" s="192"/>
      <c r="BM984" s="192"/>
      <c r="BN984" s="192"/>
    </row>
    <row r="985" ht="29.25" customHeight="1">
      <c r="A985" s="189"/>
      <c r="B985" s="190"/>
      <c r="C985" s="157"/>
      <c r="D985" s="157"/>
      <c r="E985" s="158"/>
      <c r="F985" s="166"/>
      <c r="G985" s="161"/>
      <c r="H985" s="161"/>
      <c r="I985" s="162"/>
      <c r="J985" s="163"/>
      <c r="K985" s="163"/>
      <c r="L985" s="163"/>
      <c r="M985" s="160"/>
      <c r="N985" s="162"/>
      <c r="O985" s="164"/>
      <c r="P985" s="140"/>
      <c r="Q985" s="191"/>
      <c r="R985" s="165"/>
      <c r="S985" s="165"/>
      <c r="T985" s="166"/>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92"/>
      <c r="AR985" s="192"/>
      <c r="AS985" s="192"/>
      <c r="AT985" s="192"/>
      <c r="AU985" s="192"/>
      <c r="AV985" s="192"/>
      <c r="AW985" s="192"/>
      <c r="AX985" s="192"/>
      <c r="AY985" s="192"/>
      <c r="AZ985" s="192"/>
      <c r="BA985" s="192"/>
      <c r="BB985" s="192"/>
      <c r="BC985" s="192"/>
      <c r="BD985" s="192"/>
      <c r="BE985" s="192"/>
      <c r="BF985" s="192"/>
      <c r="BG985" s="192"/>
      <c r="BH985" s="192"/>
      <c r="BI985" s="192"/>
      <c r="BJ985" s="192"/>
      <c r="BK985" s="192"/>
      <c r="BL985" s="192"/>
      <c r="BM985" s="192"/>
      <c r="BN985" s="192"/>
    </row>
    <row r="986" ht="29.25" customHeight="1">
      <c r="A986" s="189"/>
      <c r="B986" s="190"/>
      <c r="C986" s="157"/>
      <c r="D986" s="157"/>
      <c r="E986" s="158"/>
      <c r="F986" s="166"/>
      <c r="G986" s="161"/>
      <c r="H986" s="161"/>
      <c r="I986" s="162"/>
      <c r="J986" s="163"/>
      <c r="K986" s="163"/>
      <c r="L986" s="163"/>
      <c r="M986" s="160"/>
      <c r="N986" s="162"/>
      <c r="O986" s="164"/>
      <c r="P986" s="140"/>
      <c r="Q986" s="191"/>
      <c r="R986" s="165"/>
      <c r="S986" s="165"/>
      <c r="T986" s="166"/>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92"/>
      <c r="AR986" s="192"/>
      <c r="AS986" s="192"/>
      <c r="AT986" s="192"/>
      <c r="AU986" s="192"/>
      <c r="AV986" s="192"/>
      <c r="AW986" s="192"/>
      <c r="AX986" s="192"/>
      <c r="AY986" s="192"/>
      <c r="AZ986" s="192"/>
      <c r="BA986" s="192"/>
      <c r="BB986" s="192"/>
      <c r="BC986" s="192"/>
      <c r="BD986" s="192"/>
      <c r="BE986" s="192"/>
      <c r="BF986" s="192"/>
      <c r="BG986" s="192"/>
      <c r="BH986" s="192"/>
      <c r="BI986" s="192"/>
      <c r="BJ986" s="192"/>
      <c r="BK986" s="192"/>
      <c r="BL986" s="192"/>
      <c r="BM986" s="192"/>
      <c r="BN986" s="192"/>
    </row>
    <row r="987" ht="29.25" customHeight="1">
      <c r="A987" s="189"/>
      <c r="B987" s="190"/>
      <c r="C987" s="157"/>
      <c r="D987" s="157"/>
      <c r="E987" s="158"/>
      <c r="F987" s="166"/>
      <c r="G987" s="161"/>
      <c r="H987" s="161"/>
      <c r="I987" s="162"/>
      <c r="J987" s="163"/>
      <c r="K987" s="163"/>
      <c r="L987" s="163"/>
      <c r="M987" s="160"/>
      <c r="N987" s="162"/>
      <c r="O987" s="164"/>
      <c r="P987" s="140"/>
      <c r="Q987" s="191"/>
      <c r="R987" s="165"/>
      <c r="S987" s="165"/>
      <c r="T987" s="166"/>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92"/>
      <c r="AR987" s="192"/>
      <c r="AS987" s="192"/>
      <c r="AT987" s="192"/>
      <c r="AU987" s="192"/>
      <c r="AV987" s="192"/>
      <c r="AW987" s="192"/>
      <c r="AX987" s="192"/>
      <c r="AY987" s="192"/>
      <c r="AZ987" s="192"/>
      <c r="BA987" s="192"/>
      <c r="BB987" s="192"/>
      <c r="BC987" s="192"/>
      <c r="BD987" s="192"/>
      <c r="BE987" s="192"/>
      <c r="BF987" s="192"/>
      <c r="BG987" s="192"/>
      <c r="BH987" s="192"/>
      <c r="BI987" s="192"/>
      <c r="BJ987" s="192"/>
      <c r="BK987" s="192"/>
      <c r="BL987" s="192"/>
      <c r="BM987" s="192"/>
      <c r="BN987" s="192"/>
    </row>
    <row r="988" ht="29.25" customHeight="1">
      <c r="A988" s="189"/>
      <c r="B988" s="190"/>
      <c r="C988" s="157"/>
      <c r="D988" s="157"/>
      <c r="E988" s="158"/>
      <c r="F988" s="166"/>
      <c r="G988" s="161"/>
      <c r="H988" s="161"/>
      <c r="I988" s="162"/>
      <c r="J988" s="163"/>
      <c r="K988" s="163"/>
      <c r="L988" s="163"/>
      <c r="M988" s="160"/>
      <c r="N988" s="162"/>
      <c r="O988" s="164"/>
      <c r="P988" s="140"/>
      <c r="Q988" s="191"/>
      <c r="R988" s="165"/>
      <c r="S988" s="165"/>
      <c r="T988" s="166"/>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92"/>
      <c r="AR988" s="192"/>
      <c r="AS988" s="192"/>
      <c r="AT988" s="192"/>
      <c r="AU988" s="192"/>
      <c r="AV988" s="192"/>
      <c r="AW988" s="192"/>
      <c r="AX988" s="192"/>
      <c r="AY988" s="192"/>
      <c r="AZ988" s="192"/>
      <c r="BA988" s="192"/>
      <c r="BB988" s="192"/>
      <c r="BC988" s="192"/>
      <c r="BD988" s="192"/>
      <c r="BE988" s="192"/>
      <c r="BF988" s="192"/>
      <c r="BG988" s="192"/>
      <c r="BH988" s="192"/>
      <c r="BI988" s="192"/>
      <c r="BJ988" s="192"/>
      <c r="BK988" s="192"/>
      <c r="BL988" s="192"/>
      <c r="BM988" s="192"/>
      <c r="BN988" s="192"/>
    </row>
    <row r="989" ht="29.25" customHeight="1">
      <c r="A989" s="189"/>
      <c r="B989" s="190"/>
      <c r="C989" s="157"/>
      <c r="D989" s="157"/>
      <c r="E989" s="158"/>
      <c r="F989" s="166"/>
      <c r="G989" s="161"/>
      <c r="H989" s="161"/>
      <c r="I989" s="162"/>
      <c r="J989" s="163"/>
      <c r="K989" s="163"/>
      <c r="L989" s="163"/>
      <c r="M989" s="160"/>
      <c r="N989" s="162"/>
      <c r="O989" s="164"/>
      <c r="P989" s="140"/>
      <c r="Q989" s="191"/>
      <c r="R989" s="165"/>
      <c r="S989" s="165"/>
      <c r="T989" s="166"/>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92"/>
      <c r="AR989" s="192"/>
      <c r="AS989" s="192"/>
      <c r="AT989" s="192"/>
      <c r="AU989" s="192"/>
      <c r="AV989" s="192"/>
      <c r="AW989" s="192"/>
      <c r="AX989" s="192"/>
      <c r="AY989" s="192"/>
      <c r="AZ989" s="192"/>
      <c r="BA989" s="192"/>
      <c r="BB989" s="192"/>
      <c r="BC989" s="192"/>
      <c r="BD989" s="192"/>
      <c r="BE989" s="192"/>
      <c r="BF989" s="192"/>
      <c r="BG989" s="192"/>
      <c r="BH989" s="192"/>
      <c r="BI989" s="192"/>
      <c r="BJ989" s="192"/>
      <c r="BK989" s="192"/>
      <c r="BL989" s="192"/>
      <c r="BM989" s="192"/>
      <c r="BN989" s="192"/>
    </row>
    <row r="990" ht="29.25" customHeight="1">
      <c r="A990" s="189"/>
      <c r="B990" s="190"/>
      <c r="C990" s="157"/>
      <c r="D990" s="157"/>
      <c r="E990" s="158"/>
      <c r="F990" s="166"/>
      <c r="G990" s="161"/>
      <c r="H990" s="161"/>
      <c r="I990" s="162"/>
      <c r="J990" s="163"/>
      <c r="K990" s="163"/>
      <c r="L990" s="163"/>
      <c r="M990" s="160"/>
      <c r="N990" s="162"/>
      <c r="O990" s="164"/>
      <c r="P990" s="140"/>
      <c r="Q990" s="191"/>
      <c r="R990" s="165"/>
      <c r="S990" s="165"/>
      <c r="T990" s="166"/>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92"/>
      <c r="AR990" s="192"/>
      <c r="AS990" s="192"/>
      <c r="AT990" s="192"/>
      <c r="AU990" s="192"/>
      <c r="AV990" s="192"/>
      <c r="AW990" s="192"/>
      <c r="AX990" s="192"/>
      <c r="AY990" s="192"/>
      <c r="AZ990" s="192"/>
      <c r="BA990" s="192"/>
      <c r="BB990" s="192"/>
      <c r="BC990" s="192"/>
      <c r="BD990" s="192"/>
      <c r="BE990" s="192"/>
      <c r="BF990" s="192"/>
      <c r="BG990" s="192"/>
      <c r="BH990" s="192"/>
      <c r="BI990" s="192"/>
      <c r="BJ990" s="192"/>
      <c r="BK990" s="192"/>
      <c r="BL990" s="192"/>
      <c r="BM990" s="192"/>
      <c r="BN990" s="192"/>
    </row>
    <row r="991" ht="29.25" customHeight="1">
      <c r="A991" s="189"/>
      <c r="B991" s="190"/>
      <c r="C991" s="157"/>
      <c r="D991" s="157"/>
      <c r="E991" s="158"/>
      <c r="F991" s="166"/>
      <c r="G991" s="161"/>
      <c r="H991" s="161"/>
      <c r="I991" s="162"/>
      <c r="J991" s="163"/>
      <c r="K991" s="163"/>
      <c r="L991" s="163"/>
      <c r="M991" s="160"/>
      <c r="N991" s="162"/>
      <c r="O991" s="164"/>
      <c r="P991" s="140"/>
      <c r="Q991" s="191"/>
      <c r="R991" s="165"/>
      <c r="S991" s="165"/>
      <c r="T991" s="166"/>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92"/>
      <c r="AR991" s="192"/>
      <c r="AS991" s="192"/>
      <c r="AT991" s="192"/>
      <c r="AU991" s="192"/>
      <c r="AV991" s="192"/>
      <c r="AW991" s="192"/>
      <c r="AX991" s="192"/>
      <c r="AY991" s="192"/>
      <c r="AZ991" s="192"/>
      <c r="BA991" s="192"/>
      <c r="BB991" s="192"/>
      <c r="BC991" s="192"/>
      <c r="BD991" s="192"/>
      <c r="BE991" s="192"/>
      <c r="BF991" s="192"/>
      <c r="BG991" s="192"/>
      <c r="BH991" s="192"/>
      <c r="BI991" s="192"/>
      <c r="BJ991" s="192"/>
      <c r="BK991" s="192"/>
      <c r="BL991" s="192"/>
      <c r="BM991" s="192"/>
      <c r="BN991" s="192"/>
    </row>
    <row r="992" ht="29.25" customHeight="1">
      <c r="A992" s="189"/>
      <c r="B992" s="190"/>
      <c r="C992" s="157"/>
      <c r="D992" s="157"/>
      <c r="E992" s="158"/>
      <c r="F992" s="166"/>
      <c r="G992" s="161"/>
      <c r="H992" s="161"/>
      <c r="I992" s="162"/>
      <c r="J992" s="163"/>
      <c r="K992" s="163"/>
      <c r="L992" s="163"/>
      <c r="M992" s="160"/>
      <c r="N992" s="162"/>
      <c r="O992" s="164"/>
      <c r="P992" s="140"/>
      <c r="Q992" s="191"/>
      <c r="R992" s="165"/>
      <c r="S992" s="165"/>
      <c r="T992" s="166"/>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92"/>
      <c r="AR992" s="192"/>
      <c r="AS992" s="192"/>
      <c r="AT992" s="192"/>
      <c r="AU992" s="192"/>
      <c r="AV992" s="192"/>
      <c r="AW992" s="192"/>
      <c r="AX992" s="192"/>
      <c r="AY992" s="192"/>
      <c r="AZ992" s="192"/>
      <c r="BA992" s="192"/>
      <c r="BB992" s="192"/>
      <c r="BC992" s="192"/>
      <c r="BD992" s="192"/>
      <c r="BE992" s="192"/>
      <c r="BF992" s="192"/>
      <c r="BG992" s="192"/>
      <c r="BH992" s="192"/>
      <c r="BI992" s="192"/>
      <c r="BJ992" s="192"/>
      <c r="BK992" s="192"/>
      <c r="BL992" s="192"/>
      <c r="BM992" s="192"/>
      <c r="BN992" s="192"/>
    </row>
    <row r="993" ht="29.25" customHeight="1">
      <c r="A993" s="189"/>
      <c r="B993" s="190"/>
      <c r="C993" s="157"/>
      <c r="D993" s="157"/>
      <c r="E993" s="158"/>
      <c r="F993" s="166"/>
      <c r="G993" s="161"/>
      <c r="H993" s="161"/>
      <c r="I993" s="162"/>
      <c r="J993" s="163"/>
      <c r="K993" s="163"/>
      <c r="L993" s="163"/>
      <c r="M993" s="160"/>
      <c r="N993" s="162"/>
      <c r="O993" s="164"/>
      <c r="P993" s="140"/>
      <c r="Q993" s="191"/>
      <c r="R993" s="165"/>
      <c r="S993" s="165"/>
      <c r="T993" s="166"/>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92"/>
      <c r="AR993" s="192"/>
      <c r="AS993" s="192"/>
      <c r="AT993" s="192"/>
      <c r="AU993" s="192"/>
      <c r="AV993" s="192"/>
      <c r="AW993" s="192"/>
      <c r="AX993" s="192"/>
      <c r="AY993" s="192"/>
      <c r="AZ993" s="192"/>
      <c r="BA993" s="192"/>
      <c r="BB993" s="192"/>
      <c r="BC993" s="192"/>
      <c r="BD993" s="192"/>
      <c r="BE993" s="192"/>
      <c r="BF993" s="192"/>
      <c r="BG993" s="192"/>
      <c r="BH993" s="192"/>
      <c r="BI993" s="192"/>
      <c r="BJ993" s="192"/>
      <c r="BK993" s="192"/>
      <c r="BL993" s="192"/>
      <c r="BM993" s="192"/>
      <c r="BN993" s="192"/>
    </row>
    <row r="994" ht="29.25" customHeight="1">
      <c r="A994" s="189"/>
      <c r="B994" s="190"/>
      <c r="C994" s="157"/>
      <c r="D994" s="157"/>
      <c r="E994" s="158"/>
      <c r="F994" s="166"/>
      <c r="G994" s="161"/>
      <c r="H994" s="161"/>
      <c r="I994" s="162"/>
      <c r="J994" s="163"/>
      <c r="K994" s="163"/>
      <c r="L994" s="163"/>
      <c r="M994" s="160"/>
      <c r="N994" s="162"/>
      <c r="O994" s="164"/>
      <c r="P994" s="140"/>
      <c r="Q994" s="191"/>
      <c r="R994" s="165"/>
      <c r="S994" s="165"/>
      <c r="T994" s="166"/>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92"/>
      <c r="AR994" s="192"/>
      <c r="AS994" s="192"/>
      <c r="AT994" s="192"/>
      <c r="AU994" s="192"/>
      <c r="AV994" s="192"/>
      <c r="AW994" s="192"/>
      <c r="AX994" s="192"/>
      <c r="AY994" s="192"/>
      <c r="AZ994" s="192"/>
      <c r="BA994" s="192"/>
      <c r="BB994" s="192"/>
      <c r="BC994" s="192"/>
      <c r="BD994" s="192"/>
      <c r="BE994" s="192"/>
      <c r="BF994" s="192"/>
      <c r="BG994" s="192"/>
      <c r="BH994" s="192"/>
      <c r="BI994" s="192"/>
      <c r="BJ994" s="192"/>
      <c r="BK994" s="192"/>
      <c r="BL994" s="192"/>
      <c r="BM994" s="192"/>
      <c r="BN994" s="192"/>
    </row>
    <row r="995" ht="29.25" customHeight="1">
      <c r="A995" s="189"/>
      <c r="B995" s="190"/>
      <c r="C995" s="157"/>
      <c r="D995" s="157"/>
      <c r="E995" s="158"/>
      <c r="F995" s="166"/>
      <c r="G995" s="161"/>
      <c r="H995" s="161"/>
      <c r="I995" s="162"/>
      <c r="J995" s="163"/>
      <c r="K995" s="163"/>
      <c r="L995" s="163"/>
      <c r="M995" s="160"/>
      <c r="N995" s="162"/>
      <c r="O995" s="164"/>
      <c r="P995" s="140"/>
      <c r="Q995" s="191"/>
      <c r="R995" s="165"/>
      <c r="S995" s="165"/>
      <c r="T995" s="166"/>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92"/>
      <c r="AR995" s="192"/>
      <c r="AS995" s="192"/>
      <c r="AT995" s="192"/>
      <c r="AU995" s="192"/>
      <c r="AV995" s="192"/>
      <c r="AW995" s="192"/>
      <c r="AX995" s="192"/>
      <c r="AY995" s="192"/>
      <c r="AZ995" s="192"/>
      <c r="BA995" s="192"/>
      <c r="BB995" s="192"/>
      <c r="BC995" s="192"/>
      <c r="BD995" s="192"/>
      <c r="BE995" s="192"/>
      <c r="BF995" s="192"/>
      <c r="BG995" s="192"/>
      <c r="BH995" s="192"/>
      <c r="BI995" s="192"/>
      <c r="BJ995" s="192"/>
      <c r="BK995" s="192"/>
      <c r="BL995" s="192"/>
      <c r="BM995" s="192"/>
      <c r="BN995" s="192"/>
    </row>
    <row r="996" ht="29.25" customHeight="1">
      <c r="A996" s="189"/>
      <c r="B996" s="190"/>
      <c r="C996" s="157"/>
      <c r="D996" s="157"/>
      <c r="E996" s="158"/>
      <c r="F996" s="166"/>
      <c r="G996" s="161"/>
      <c r="H996" s="161"/>
      <c r="I996" s="162"/>
      <c r="J996" s="163"/>
      <c r="K996" s="163"/>
      <c r="L996" s="163"/>
      <c r="M996" s="160"/>
      <c r="N996" s="162"/>
      <c r="O996" s="164"/>
      <c r="P996" s="140"/>
      <c r="Q996" s="191"/>
      <c r="R996" s="165"/>
      <c r="S996" s="165"/>
      <c r="T996" s="166"/>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92"/>
      <c r="AR996" s="192"/>
      <c r="AS996" s="192"/>
      <c r="AT996" s="192"/>
      <c r="AU996" s="192"/>
      <c r="AV996" s="192"/>
      <c r="AW996" s="192"/>
      <c r="AX996" s="192"/>
      <c r="AY996" s="192"/>
      <c r="AZ996" s="192"/>
      <c r="BA996" s="192"/>
      <c r="BB996" s="192"/>
      <c r="BC996" s="192"/>
      <c r="BD996" s="192"/>
      <c r="BE996" s="192"/>
      <c r="BF996" s="192"/>
      <c r="BG996" s="192"/>
      <c r="BH996" s="192"/>
      <c r="BI996" s="192"/>
      <c r="BJ996" s="192"/>
      <c r="BK996" s="192"/>
      <c r="BL996" s="192"/>
      <c r="BM996" s="192"/>
      <c r="BN996" s="192"/>
    </row>
    <row r="997" ht="29.25" customHeight="1">
      <c r="A997" s="189"/>
      <c r="B997" s="190"/>
      <c r="C997" s="157"/>
      <c r="D997" s="157"/>
      <c r="E997" s="158"/>
      <c r="F997" s="166"/>
      <c r="G997" s="161"/>
      <c r="H997" s="161"/>
      <c r="I997" s="162"/>
      <c r="J997" s="163"/>
      <c r="K997" s="163"/>
      <c r="L997" s="163"/>
      <c r="M997" s="160"/>
      <c r="N997" s="162"/>
      <c r="O997" s="164"/>
      <c r="P997" s="140"/>
      <c r="Q997" s="191"/>
      <c r="R997" s="165"/>
      <c r="S997" s="165"/>
      <c r="T997" s="166"/>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92"/>
      <c r="AR997" s="192"/>
      <c r="AS997" s="192"/>
      <c r="AT997" s="192"/>
      <c r="AU997" s="192"/>
      <c r="AV997" s="192"/>
      <c r="AW997" s="192"/>
      <c r="AX997" s="192"/>
      <c r="AY997" s="192"/>
      <c r="AZ997" s="192"/>
      <c r="BA997" s="192"/>
      <c r="BB997" s="192"/>
      <c r="BC997" s="192"/>
      <c r="BD997" s="192"/>
      <c r="BE997" s="192"/>
      <c r="BF997" s="192"/>
      <c r="BG997" s="192"/>
      <c r="BH997" s="192"/>
      <c r="BI997" s="192"/>
      <c r="BJ997" s="192"/>
      <c r="BK997" s="192"/>
      <c r="BL997" s="192"/>
      <c r="BM997" s="192"/>
      <c r="BN997" s="192"/>
    </row>
    <row r="998" ht="29.25" customHeight="1">
      <c r="A998" s="189"/>
      <c r="B998" s="190"/>
      <c r="C998" s="157"/>
      <c r="D998" s="157"/>
      <c r="E998" s="158"/>
      <c r="F998" s="166"/>
      <c r="G998" s="161"/>
      <c r="H998" s="161"/>
      <c r="I998" s="162"/>
      <c r="J998" s="163"/>
      <c r="K998" s="163"/>
      <c r="L998" s="163"/>
      <c r="M998" s="160"/>
      <c r="N998" s="162"/>
      <c r="O998" s="164"/>
      <c r="P998" s="140"/>
      <c r="Q998" s="191"/>
      <c r="R998" s="165"/>
      <c r="S998" s="165"/>
      <c r="T998" s="166"/>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92"/>
      <c r="AR998" s="192"/>
      <c r="AS998" s="192"/>
      <c r="AT998" s="192"/>
      <c r="AU998" s="192"/>
      <c r="AV998" s="192"/>
      <c r="AW998" s="192"/>
      <c r="AX998" s="192"/>
      <c r="AY998" s="192"/>
      <c r="AZ998" s="192"/>
      <c r="BA998" s="192"/>
      <c r="BB998" s="192"/>
      <c r="BC998" s="192"/>
      <c r="BD998" s="192"/>
      <c r="BE998" s="192"/>
      <c r="BF998" s="192"/>
      <c r="BG998" s="192"/>
      <c r="BH998" s="192"/>
      <c r="BI998" s="192"/>
      <c r="BJ998" s="192"/>
      <c r="BK998" s="192"/>
      <c r="BL998" s="192"/>
      <c r="BM998" s="192"/>
      <c r="BN998" s="192"/>
    </row>
    <row r="999" ht="29.25" customHeight="1">
      <c r="A999" s="189"/>
      <c r="B999" s="190"/>
      <c r="C999" s="157"/>
      <c r="D999" s="157"/>
      <c r="E999" s="158"/>
      <c r="F999" s="166"/>
      <c r="G999" s="161"/>
      <c r="H999" s="161"/>
      <c r="I999" s="162"/>
      <c r="J999" s="163"/>
      <c r="K999" s="163"/>
      <c r="L999" s="163"/>
      <c r="M999" s="160"/>
      <c r="N999" s="162"/>
      <c r="O999" s="164"/>
      <c r="P999" s="140"/>
      <c r="Q999" s="191"/>
      <c r="R999" s="165"/>
      <c r="S999" s="165"/>
      <c r="T999" s="166"/>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92"/>
      <c r="AR999" s="192"/>
      <c r="AS999" s="192"/>
      <c r="AT999" s="192"/>
      <c r="AU999" s="192"/>
      <c r="AV999" s="192"/>
      <c r="AW999" s="192"/>
      <c r="AX999" s="192"/>
      <c r="AY999" s="192"/>
      <c r="AZ999" s="192"/>
      <c r="BA999" s="192"/>
      <c r="BB999" s="192"/>
      <c r="BC999" s="192"/>
      <c r="BD999" s="192"/>
      <c r="BE999" s="192"/>
      <c r="BF999" s="192"/>
      <c r="BG999" s="192"/>
      <c r="BH999" s="192"/>
      <c r="BI999" s="192"/>
      <c r="BJ999" s="192"/>
      <c r="BK999" s="192"/>
      <c r="BL999" s="192"/>
      <c r="BM999" s="192"/>
      <c r="BN999" s="192"/>
    </row>
    <row r="1000" ht="29.25" customHeight="1">
      <c r="A1000" s="189"/>
      <c r="B1000" s="190"/>
      <c r="C1000" s="157"/>
      <c r="D1000" s="157"/>
      <c r="E1000" s="158"/>
      <c r="F1000" s="166"/>
      <c r="G1000" s="161"/>
      <c r="H1000" s="161"/>
      <c r="I1000" s="162"/>
      <c r="J1000" s="163"/>
      <c r="K1000" s="163"/>
      <c r="L1000" s="163"/>
      <c r="M1000" s="160"/>
      <c r="N1000" s="162"/>
      <c r="O1000" s="164"/>
      <c r="P1000" s="140"/>
      <c r="Q1000" s="191"/>
      <c r="R1000" s="165"/>
      <c r="S1000" s="165"/>
      <c r="T1000" s="166"/>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92"/>
      <c r="AR1000" s="192"/>
      <c r="AS1000" s="192"/>
      <c r="AT1000" s="192"/>
      <c r="AU1000" s="192"/>
      <c r="AV1000" s="192"/>
      <c r="AW1000" s="192"/>
      <c r="AX1000" s="192"/>
      <c r="AY1000" s="192"/>
      <c r="AZ1000" s="192"/>
      <c r="BA1000" s="192"/>
      <c r="BB1000" s="192"/>
      <c r="BC1000" s="192"/>
      <c r="BD1000" s="192"/>
      <c r="BE1000" s="192"/>
      <c r="BF1000" s="192"/>
      <c r="BG1000" s="192"/>
      <c r="BH1000" s="192"/>
      <c r="BI1000" s="192"/>
      <c r="BJ1000" s="192"/>
      <c r="BK1000" s="192"/>
      <c r="BL1000" s="192"/>
      <c r="BM1000" s="192"/>
      <c r="BN1000" s="192"/>
    </row>
    <row r="1001" ht="29.25" customHeight="1">
      <c r="A1001" s="189"/>
      <c r="B1001" s="190"/>
      <c r="C1001" s="157"/>
      <c r="D1001" s="157"/>
      <c r="E1001" s="158"/>
      <c r="F1001" s="166"/>
      <c r="G1001" s="161"/>
      <c r="H1001" s="161"/>
      <c r="I1001" s="162"/>
      <c r="J1001" s="163"/>
      <c r="K1001" s="163"/>
      <c r="L1001" s="163"/>
      <c r="M1001" s="160"/>
      <c r="N1001" s="162"/>
      <c r="O1001" s="164"/>
      <c r="P1001" s="140"/>
      <c r="Q1001" s="191"/>
      <c r="R1001" s="165"/>
      <c r="S1001" s="165"/>
      <c r="T1001" s="166"/>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92"/>
      <c r="AR1001" s="192"/>
      <c r="AS1001" s="192"/>
      <c r="AT1001" s="192"/>
      <c r="AU1001" s="192"/>
      <c r="AV1001" s="192"/>
      <c r="AW1001" s="192"/>
      <c r="AX1001" s="192"/>
      <c r="AY1001" s="192"/>
      <c r="AZ1001" s="192"/>
      <c r="BA1001" s="192"/>
      <c r="BB1001" s="192"/>
      <c r="BC1001" s="192"/>
      <c r="BD1001" s="192"/>
      <c r="BE1001" s="192"/>
      <c r="BF1001" s="192"/>
      <c r="BG1001" s="192"/>
      <c r="BH1001" s="192"/>
      <c r="BI1001" s="192"/>
      <c r="BJ1001" s="192"/>
      <c r="BK1001" s="192"/>
      <c r="BL1001" s="192"/>
      <c r="BM1001" s="192"/>
      <c r="BN1001" s="192"/>
    </row>
    <row r="1002" ht="29.25" customHeight="1">
      <c r="A1002" s="189"/>
      <c r="B1002" s="190"/>
      <c r="C1002" s="157"/>
      <c r="D1002" s="157"/>
      <c r="E1002" s="158"/>
      <c r="F1002" s="166"/>
      <c r="G1002" s="161"/>
      <c r="H1002" s="161"/>
      <c r="I1002" s="162"/>
      <c r="J1002" s="163"/>
      <c r="K1002" s="163"/>
      <c r="L1002" s="163"/>
      <c r="M1002" s="160"/>
      <c r="N1002" s="162"/>
      <c r="O1002" s="164"/>
      <c r="P1002" s="140"/>
      <c r="Q1002" s="191"/>
      <c r="R1002" s="165"/>
      <c r="S1002" s="165"/>
      <c r="T1002" s="166"/>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92"/>
      <c r="AR1002" s="192"/>
      <c r="AS1002" s="192"/>
      <c r="AT1002" s="192"/>
      <c r="AU1002" s="192"/>
      <c r="AV1002" s="192"/>
      <c r="AW1002" s="192"/>
      <c r="AX1002" s="192"/>
      <c r="AY1002" s="192"/>
      <c r="AZ1002" s="192"/>
      <c r="BA1002" s="192"/>
      <c r="BB1002" s="192"/>
      <c r="BC1002" s="192"/>
      <c r="BD1002" s="192"/>
      <c r="BE1002" s="192"/>
      <c r="BF1002" s="192"/>
      <c r="BG1002" s="192"/>
      <c r="BH1002" s="192"/>
      <c r="BI1002" s="192"/>
      <c r="BJ1002" s="192"/>
      <c r="BK1002" s="192"/>
      <c r="BL1002" s="192"/>
      <c r="BM1002" s="192"/>
      <c r="BN1002" s="192"/>
    </row>
    <row r="1003" ht="29.25" customHeight="1">
      <c r="A1003" s="189"/>
      <c r="B1003" s="190"/>
      <c r="C1003" s="157"/>
      <c r="D1003" s="157"/>
      <c r="E1003" s="158"/>
      <c r="F1003" s="166"/>
      <c r="G1003" s="161"/>
      <c r="H1003" s="161"/>
      <c r="I1003" s="162"/>
      <c r="J1003" s="163"/>
      <c r="K1003" s="163"/>
      <c r="L1003" s="163"/>
      <c r="M1003" s="160"/>
      <c r="N1003" s="162"/>
      <c r="O1003" s="164"/>
      <c r="P1003" s="140"/>
      <c r="Q1003" s="191"/>
      <c r="R1003" s="165"/>
      <c r="S1003" s="165"/>
      <c r="T1003" s="166"/>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92"/>
      <c r="AR1003" s="192"/>
      <c r="AS1003" s="192"/>
      <c r="AT1003" s="192"/>
      <c r="AU1003" s="192"/>
      <c r="AV1003" s="192"/>
      <c r="AW1003" s="192"/>
      <c r="AX1003" s="192"/>
      <c r="AY1003" s="192"/>
      <c r="AZ1003" s="192"/>
      <c r="BA1003" s="192"/>
      <c r="BB1003" s="192"/>
      <c r="BC1003" s="192"/>
      <c r="BD1003" s="192"/>
      <c r="BE1003" s="192"/>
      <c r="BF1003" s="192"/>
      <c r="BG1003" s="192"/>
      <c r="BH1003" s="192"/>
      <c r="BI1003" s="192"/>
      <c r="BJ1003" s="192"/>
      <c r="BK1003" s="192"/>
      <c r="BL1003" s="192"/>
      <c r="BM1003" s="192"/>
      <c r="BN1003" s="192"/>
    </row>
    <row r="1004" ht="29.25" customHeight="1">
      <c r="A1004" s="189"/>
      <c r="B1004" s="190"/>
      <c r="C1004" s="157"/>
      <c r="D1004" s="157"/>
      <c r="E1004" s="158"/>
      <c r="F1004" s="166"/>
      <c r="G1004" s="161"/>
      <c r="H1004" s="161"/>
      <c r="I1004" s="162"/>
      <c r="J1004" s="163"/>
      <c r="K1004" s="163"/>
      <c r="L1004" s="163"/>
      <c r="M1004" s="160"/>
      <c r="N1004" s="162"/>
      <c r="O1004" s="164"/>
      <c r="P1004" s="140"/>
      <c r="Q1004" s="191"/>
      <c r="R1004" s="165"/>
      <c r="S1004" s="165"/>
      <c r="T1004" s="166"/>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92"/>
      <c r="AR1004" s="192"/>
      <c r="AS1004" s="192"/>
      <c r="AT1004" s="192"/>
      <c r="AU1004" s="192"/>
      <c r="AV1004" s="192"/>
      <c r="AW1004" s="192"/>
      <c r="AX1004" s="192"/>
      <c r="AY1004" s="192"/>
      <c r="AZ1004" s="192"/>
      <c r="BA1004" s="192"/>
      <c r="BB1004" s="192"/>
      <c r="BC1004" s="192"/>
      <c r="BD1004" s="192"/>
      <c r="BE1004" s="192"/>
      <c r="BF1004" s="192"/>
      <c r="BG1004" s="192"/>
      <c r="BH1004" s="192"/>
      <c r="BI1004" s="192"/>
      <c r="BJ1004" s="192"/>
      <c r="BK1004" s="192"/>
      <c r="BL1004" s="192"/>
      <c r="BM1004" s="192"/>
      <c r="BN1004" s="192"/>
    </row>
    <row r="1005" ht="29.25" customHeight="1">
      <c r="A1005" s="189"/>
      <c r="B1005" s="190"/>
      <c r="C1005" s="157"/>
      <c r="D1005" s="157"/>
      <c r="E1005" s="158"/>
      <c r="F1005" s="166"/>
      <c r="G1005" s="161"/>
      <c r="H1005" s="161"/>
      <c r="I1005" s="162"/>
      <c r="J1005" s="163"/>
      <c r="K1005" s="163"/>
      <c r="L1005" s="163"/>
      <c r="M1005" s="160"/>
      <c r="N1005" s="162"/>
      <c r="O1005" s="164"/>
      <c r="P1005" s="140"/>
      <c r="Q1005" s="191"/>
      <c r="R1005" s="165"/>
      <c r="S1005" s="165"/>
      <c r="T1005" s="166"/>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92"/>
      <c r="AR1005" s="192"/>
      <c r="AS1005" s="192"/>
      <c r="AT1005" s="192"/>
      <c r="AU1005" s="192"/>
      <c r="AV1005" s="192"/>
      <c r="AW1005" s="192"/>
      <c r="AX1005" s="192"/>
      <c r="AY1005" s="192"/>
      <c r="AZ1005" s="192"/>
      <c r="BA1005" s="192"/>
      <c r="BB1005" s="192"/>
      <c r="BC1005" s="192"/>
      <c r="BD1005" s="192"/>
      <c r="BE1005" s="192"/>
      <c r="BF1005" s="192"/>
      <c r="BG1005" s="192"/>
      <c r="BH1005" s="192"/>
      <c r="BI1005" s="192"/>
      <c r="BJ1005" s="192"/>
      <c r="BK1005" s="192"/>
      <c r="BL1005" s="192"/>
      <c r="BM1005" s="192"/>
      <c r="BN1005" s="192"/>
    </row>
    <row r="1006" ht="29.25" customHeight="1">
      <c r="A1006" s="189"/>
      <c r="B1006" s="190"/>
      <c r="C1006" s="157"/>
      <c r="D1006" s="157"/>
      <c r="E1006" s="158"/>
      <c r="F1006" s="166"/>
      <c r="G1006" s="161"/>
      <c r="H1006" s="161"/>
      <c r="I1006" s="162"/>
      <c r="J1006" s="163"/>
      <c r="K1006" s="163"/>
      <c r="L1006" s="163"/>
      <c r="M1006" s="160"/>
      <c r="N1006" s="162"/>
      <c r="O1006" s="164"/>
      <c r="P1006" s="140"/>
      <c r="Q1006" s="191"/>
      <c r="R1006" s="165"/>
      <c r="S1006" s="165"/>
      <c r="T1006" s="166"/>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92"/>
      <c r="AR1006" s="192"/>
      <c r="AS1006" s="192"/>
      <c r="AT1006" s="192"/>
      <c r="AU1006" s="192"/>
      <c r="AV1006" s="192"/>
      <c r="AW1006" s="192"/>
      <c r="AX1006" s="192"/>
      <c r="AY1006" s="192"/>
      <c r="AZ1006" s="192"/>
      <c r="BA1006" s="192"/>
      <c r="BB1006" s="192"/>
      <c r="BC1006" s="192"/>
      <c r="BD1006" s="192"/>
      <c r="BE1006" s="192"/>
      <c r="BF1006" s="192"/>
      <c r="BG1006" s="192"/>
      <c r="BH1006" s="192"/>
      <c r="BI1006" s="192"/>
      <c r="BJ1006" s="192"/>
      <c r="BK1006" s="192"/>
      <c r="BL1006" s="192"/>
      <c r="BM1006" s="192"/>
      <c r="BN1006" s="192"/>
    </row>
    <row r="1007" ht="29.25" customHeight="1">
      <c r="A1007" s="189"/>
      <c r="B1007" s="190"/>
      <c r="C1007" s="157"/>
      <c r="D1007" s="157"/>
      <c r="E1007" s="158"/>
      <c r="F1007" s="166"/>
      <c r="G1007" s="161"/>
      <c r="H1007" s="161"/>
      <c r="I1007" s="162"/>
      <c r="J1007" s="163"/>
      <c r="K1007" s="163"/>
      <c r="L1007" s="163"/>
      <c r="M1007" s="160"/>
      <c r="N1007" s="162"/>
      <c r="O1007" s="164"/>
      <c r="P1007" s="140"/>
      <c r="Q1007" s="191"/>
      <c r="R1007" s="165"/>
      <c r="S1007" s="165"/>
      <c r="T1007" s="166"/>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92"/>
      <c r="AR1007" s="192"/>
      <c r="AS1007" s="192"/>
      <c r="AT1007" s="192"/>
      <c r="AU1007" s="192"/>
      <c r="AV1007" s="192"/>
      <c r="AW1007" s="192"/>
      <c r="AX1007" s="192"/>
      <c r="AY1007" s="192"/>
      <c r="AZ1007" s="192"/>
      <c r="BA1007" s="192"/>
      <c r="BB1007" s="192"/>
      <c r="BC1007" s="192"/>
      <c r="BD1007" s="192"/>
      <c r="BE1007" s="192"/>
      <c r="BF1007" s="192"/>
      <c r="BG1007" s="192"/>
      <c r="BH1007" s="192"/>
      <c r="BI1007" s="192"/>
      <c r="BJ1007" s="192"/>
      <c r="BK1007" s="192"/>
      <c r="BL1007" s="192"/>
      <c r="BM1007" s="192"/>
      <c r="BN1007" s="192"/>
    </row>
    <row r="1008" ht="29.25" customHeight="1">
      <c r="A1008" s="189"/>
      <c r="B1008" s="190"/>
      <c r="C1008" s="157"/>
      <c r="D1008" s="157"/>
      <c r="E1008" s="158"/>
      <c r="F1008" s="166"/>
      <c r="G1008" s="161"/>
      <c r="H1008" s="161"/>
      <c r="I1008" s="162"/>
      <c r="J1008" s="163"/>
      <c r="K1008" s="163"/>
      <c r="L1008" s="163"/>
      <c r="M1008" s="160"/>
      <c r="N1008" s="162"/>
      <c r="O1008" s="164"/>
      <c r="P1008" s="140"/>
      <c r="Q1008" s="191"/>
      <c r="R1008" s="165"/>
      <c r="S1008" s="165"/>
      <c r="T1008" s="166"/>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92"/>
      <c r="AR1008" s="192"/>
      <c r="AS1008" s="192"/>
      <c r="AT1008" s="192"/>
      <c r="AU1008" s="192"/>
      <c r="AV1008" s="192"/>
      <c r="AW1008" s="192"/>
      <c r="AX1008" s="192"/>
      <c r="AY1008" s="192"/>
      <c r="AZ1008" s="192"/>
      <c r="BA1008" s="192"/>
      <c r="BB1008" s="192"/>
      <c r="BC1008" s="192"/>
      <c r="BD1008" s="192"/>
      <c r="BE1008" s="192"/>
      <c r="BF1008" s="192"/>
      <c r="BG1008" s="192"/>
      <c r="BH1008" s="192"/>
      <c r="BI1008" s="192"/>
      <c r="BJ1008" s="192"/>
      <c r="BK1008" s="192"/>
      <c r="BL1008" s="192"/>
      <c r="BM1008" s="192"/>
      <c r="BN1008" s="192"/>
    </row>
    <row r="1009" ht="29.25" customHeight="1">
      <c r="A1009" s="189"/>
      <c r="B1009" s="190"/>
      <c r="C1009" s="157"/>
      <c r="D1009" s="157"/>
      <c r="E1009" s="158"/>
      <c r="F1009" s="166"/>
      <c r="G1009" s="161"/>
      <c r="H1009" s="161"/>
      <c r="I1009" s="162"/>
      <c r="J1009" s="163"/>
      <c r="K1009" s="163"/>
      <c r="L1009" s="163"/>
      <c r="M1009" s="160"/>
      <c r="N1009" s="162"/>
      <c r="O1009" s="164"/>
      <c r="P1009" s="140"/>
      <c r="Q1009" s="191"/>
      <c r="R1009" s="165"/>
      <c r="S1009" s="165"/>
      <c r="T1009" s="166"/>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92"/>
      <c r="AR1009" s="192"/>
      <c r="AS1009" s="192"/>
      <c r="AT1009" s="192"/>
      <c r="AU1009" s="192"/>
      <c r="AV1009" s="192"/>
      <c r="AW1009" s="192"/>
      <c r="AX1009" s="192"/>
      <c r="AY1009" s="192"/>
      <c r="AZ1009" s="192"/>
      <c r="BA1009" s="192"/>
      <c r="BB1009" s="192"/>
      <c r="BC1009" s="192"/>
      <c r="BD1009" s="192"/>
      <c r="BE1009" s="192"/>
      <c r="BF1009" s="192"/>
      <c r="BG1009" s="192"/>
      <c r="BH1009" s="192"/>
      <c r="BI1009" s="192"/>
      <c r="BJ1009" s="192"/>
      <c r="BK1009" s="192"/>
      <c r="BL1009" s="192"/>
      <c r="BM1009" s="192"/>
      <c r="BN1009" s="192"/>
    </row>
    <row r="1010" ht="29.25" customHeight="1">
      <c r="A1010" s="189"/>
      <c r="B1010" s="190"/>
      <c r="C1010" s="157"/>
      <c r="D1010" s="157"/>
      <c r="E1010" s="158"/>
      <c r="F1010" s="166"/>
      <c r="G1010" s="161"/>
      <c r="H1010" s="161"/>
      <c r="I1010" s="162"/>
      <c r="J1010" s="163"/>
      <c r="K1010" s="163"/>
      <c r="L1010" s="163"/>
      <c r="M1010" s="160"/>
      <c r="N1010" s="162"/>
      <c r="O1010" s="164"/>
      <c r="P1010" s="140"/>
      <c r="Q1010" s="191"/>
      <c r="R1010" s="165"/>
      <c r="S1010" s="165"/>
      <c r="T1010" s="166"/>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92"/>
      <c r="AR1010" s="192"/>
      <c r="AS1010" s="192"/>
      <c r="AT1010" s="192"/>
      <c r="AU1010" s="192"/>
      <c r="AV1010" s="192"/>
      <c r="AW1010" s="192"/>
      <c r="AX1010" s="192"/>
      <c r="AY1010" s="192"/>
      <c r="AZ1010" s="192"/>
      <c r="BA1010" s="192"/>
      <c r="BB1010" s="192"/>
      <c r="BC1010" s="192"/>
      <c r="BD1010" s="192"/>
      <c r="BE1010" s="192"/>
      <c r="BF1010" s="192"/>
      <c r="BG1010" s="192"/>
      <c r="BH1010" s="192"/>
      <c r="BI1010" s="192"/>
      <c r="BJ1010" s="192"/>
      <c r="BK1010" s="192"/>
      <c r="BL1010" s="192"/>
      <c r="BM1010" s="192"/>
      <c r="BN1010" s="192"/>
    </row>
    <row r="1011" ht="29.25" customHeight="1">
      <c r="A1011" s="189"/>
      <c r="B1011" s="190"/>
      <c r="C1011" s="157"/>
      <c r="D1011" s="157"/>
      <c r="E1011" s="158"/>
      <c r="F1011" s="166"/>
      <c r="G1011" s="161"/>
      <c r="H1011" s="161"/>
      <c r="I1011" s="162"/>
      <c r="J1011" s="163"/>
      <c r="K1011" s="163"/>
      <c r="L1011" s="163"/>
      <c r="M1011" s="160"/>
      <c r="N1011" s="162"/>
      <c r="O1011" s="164"/>
      <c r="P1011" s="140"/>
      <c r="Q1011" s="191"/>
      <c r="R1011" s="165"/>
      <c r="S1011" s="165"/>
      <c r="T1011" s="166"/>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92"/>
      <c r="AR1011" s="192"/>
      <c r="AS1011" s="192"/>
      <c r="AT1011" s="192"/>
      <c r="AU1011" s="192"/>
      <c r="AV1011" s="192"/>
      <c r="AW1011" s="192"/>
      <c r="AX1011" s="192"/>
      <c r="AY1011" s="192"/>
      <c r="AZ1011" s="192"/>
      <c r="BA1011" s="192"/>
      <c r="BB1011" s="192"/>
      <c r="BC1011" s="192"/>
      <c r="BD1011" s="192"/>
      <c r="BE1011" s="192"/>
      <c r="BF1011" s="192"/>
      <c r="BG1011" s="192"/>
      <c r="BH1011" s="192"/>
      <c r="BI1011" s="192"/>
      <c r="BJ1011" s="192"/>
      <c r="BK1011" s="192"/>
      <c r="BL1011" s="192"/>
      <c r="BM1011" s="192"/>
      <c r="BN1011" s="192"/>
    </row>
    <row r="1012" ht="29.25" customHeight="1">
      <c r="A1012" s="189"/>
      <c r="B1012" s="190"/>
      <c r="C1012" s="157"/>
      <c r="D1012" s="157"/>
      <c r="E1012" s="158"/>
      <c r="F1012" s="166"/>
      <c r="G1012" s="161"/>
      <c r="H1012" s="161"/>
      <c r="I1012" s="162"/>
      <c r="J1012" s="163"/>
      <c r="K1012" s="163"/>
      <c r="L1012" s="163"/>
      <c r="M1012" s="160"/>
      <c r="N1012" s="162"/>
      <c r="O1012" s="164"/>
      <c r="P1012" s="140"/>
      <c r="Q1012" s="191"/>
      <c r="R1012" s="165"/>
      <c r="S1012" s="165"/>
      <c r="T1012" s="166"/>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92"/>
      <c r="AR1012" s="192"/>
      <c r="AS1012" s="192"/>
      <c r="AT1012" s="192"/>
      <c r="AU1012" s="192"/>
      <c r="AV1012" s="192"/>
      <c r="AW1012" s="192"/>
      <c r="AX1012" s="192"/>
      <c r="AY1012" s="192"/>
      <c r="AZ1012" s="192"/>
      <c r="BA1012" s="192"/>
      <c r="BB1012" s="192"/>
      <c r="BC1012" s="192"/>
      <c r="BD1012" s="192"/>
      <c r="BE1012" s="192"/>
      <c r="BF1012" s="192"/>
      <c r="BG1012" s="192"/>
      <c r="BH1012" s="192"/>
      <c r="BI1012" s="192"/>
      <c r="BJ1012" s="192"/>
      <c r="BK1012" s="192"/>
      <c r="BL1012" s="192"/>
      <c r="BM1012" s="192"/>
      <c r="BN1012" s="192"/>
    </row>
    <row r="1013" ht="29.25" customHeight="1">
      <c r="A1013" s="189"/>
      <c r="B1013" s="190"/>
      <c r="C1013" s="157"/>
      <c r="D1013" s="157"/>
      <c r="E1013" s="158"/>
      <c r="F1013" s="166"/>
      <c r="G1013" s="161"/>
      <c r="H1013" s="161"/>
      <c r="I1013" s="162"/>
      <c r="J1013" s="163"/>
      <c r="K1013" s="163"/>
      <c r="L1013" s="163"/>
      <c r="M1013" s="160"/>
      <c r="N1013" s="162"/>
      <c r="O1013" s="164"/>
      <c r="P1013" s="140"/>
      <c r="Q1013" s="191"/>
      <c r="R1013" s="165"/>
      <c r="S1013" s="165"/>
      <c r="T1013" s="166"/>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92"/>
      <c r="AR1013" s="192"/>
      <c r="AS1013" s="192"/>
      <c r="AT1013" s="192"/>
      <c r="AU1013" s="192"/>
      <c r="AV1013" s="192"/>
      <c r="AW1013" s="192"/>
      <c r="AX1013" s="192"/>
      <c r="AY1013" s="192"/>
      <c r="AZ1013" s="192"/>
      <c r="BA1013" s="192"/>
      <c r="BB1013" s="192"/>
      <c r="BC1013" s="192"/>
      <c r="BD1013" s="192"/>
      <c r="BE1013" s="192"/>
      <c r="BF1013" s="192"/>
      <c r="BG1013" s="192"/>
      <c r="BH1013" s="192"/>
      <c r="BI1013" s="192"/>
      <c r="BJ1013" s="192"/>
      <c r="BK1013" s="192"/>
      <c r="BL1013" s="192"/>
      <c r="BM1013" s="192"/>
      <c r="BN1013" s="192"/>
    </row>
    <row r="1014" ht="29.25" customHeight="1">
      <c r="A1014" s="189"/>
      <c r="B1014" s="190"/>
      <c r="C1014" s="157"/>
      <c r="D1014" s="157"/>
      <c r="E1014" s="158"/>
      <c r="F1014" s="166"/>
      <c r="G1014" s="161"/>
      <c r="H1014" s="161"/>
      <c r="I1014" s="162"/>
      <c r="J1014" s="163"/>
      <c r="K1014" s="163"/>
      <c r="L1014" s="163"/>
      <c r="M1014" s="160"/>
      <c r="N1014" s="162"/>
      <c r="O1014" s="164"/>
      <c r="P1014" s="140"/>
      <c r="Q1014" s="191"/>
      <c r="R1014" s="165"/>
      <c r="S1014" s="165"/>
      <c r="T1014" s="166"/>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92"/>
      <c r="AR1014" s="192"/>
      <c r="AS1014" s="192"/>
      <c r="AT1014" s="192"/>
      <c r="AU1014" s="192"/>
      <c r="AV1014" s="192"/>
      <c r="AW1014" s="192"/>
      <c r="AX1014" s="192"/>
      <c r="AY1014" s="192"/>
      <c r="AZ1014" s="192"/>
      <c r="BA1014" s="192"/>
      <c r="BB1014" s="192"/>
      <c r="BC1014" s="192"/>
      <c r="BD1014" s="192"/>
      <c r="BE1014" s="192"/>
      <c r="BF1014" s="192"/>
      <c r="BG1014" s="192"/>
      <c r="BH1014" s="192"/>
      <c r="BI1014" s="192"/>
      <c r="BJ1014" s="192"/>
      <c r="BK1014" s="192"/>
      <c r="BL1014" s="192"/>
      <c r="BM1014" s="192"/>
      <c r="BN1014" s="192"/>
    </row>
    <row r="1015" ht="29.25" customHeight="1">
      <c r="A1015" s="189"/>
      <c r="B1015" s="190"/>
      <c r="C1015" s="157"/>
      <c r="D1015" s="157"/>
      <c r="E1015" s="158"/>
      <c r="F1015" s="166"/>
      <c r="G1015" s="161"/>
      <c r="H1015" s="161"/>
      <c r="I1015" s="162"/>
      <c r="J1015" s="163"/>
      <c r="K1015" s="163"/>
      <c r="L1015" s="163"/>
      <c r="M1015" s="160"/>
      <c r="N1015" s="162"/>
      <c r="O1015" s="164"/>
      <c r="P1015" s="140"/>
      <c r="Q1015" s="191"/>
      <c r="R1015" s="165"/>
      <c r="S1015" s="165"/>
      <c r="T1015" s="166"/>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92"/>
      <c r="AR1015" s="192"/>
      <c r="AS1015" s="192"/>
      <c r="AT1015" s="192"/>
      <c r="AU1015" s="192"/>
      <c r="AV1015" s="192"/>
      <c r="AW1015" s="192"/>
      <c r="AX1015" s="192"/>
      <c r="AY1015" s="192"/>
      <c r="AZ1015" s="192"/>
      <c r="BA1015" s="192"/>
      <c r="BB1015" s="192"/>
      <c r="BC1015" s="192"/>
      <c r="BD1015" s="192"/>
      <c r="BE1015" s="192"/>
      <c r="BF1015" s="192"/>
      <c r="BG1015" s="192"/>
      <c r="BH1015" s="192"/>
      <c r="BI1015" s="192"/>
      <c r="BJ1015" s="192"/>
      <c r="BK1015" s="192"/>
      <c r="BL1015" s="192"/>
      <c r="BM1015" s="192"/>
      <c r="BN1015" s="192"/>
    </row>
    <row r="1016" ht="29.25" customHeight="1">
      <c r="A1016" s="189"/>
      <c r="B1016" s="190"/>
      <c r="C1016" s="157"/>
      <c r="D1016" s="157"/>
      <c r="E1016" s="158"/>
      <c r="F1016" s="166"/>
      <c r="G1016" s="161"/>
      <c r="H1016" s="161"/>
      <c r="I1016" s="162"/>
      <c r="J1016" s="163"/>
      <c r="K1016" s="163"/>
      <c r="L1016" s="163"/>
      <c r="M1016" s="160"/>
      <c r="N1016" s="162"/>
      <c r="O1016" s="164"/>
      <c r="P1016" s="140"/>
      <c r="Q1016" s="191"/>
      <c r="R1016" s="165"/>
      <c r="S1016" s="165"/>
      <c r="T1016" s="166"/>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92"/>
      <c r="AR1016" s="192"/>
      <c r="AS1016" s="192"/>
      <c r="AT1016" s="192"/>
      <c r="AU1016" s="192"/>
      <c r="AV1016" s="192"/>
      <c r="AW1016" s="192"/>
      <c r="AX1016" s="192"/>
      <c r="AY1016" s="192"/>
      <c r="AZ1016" s="192"/>
      <c r="BA1016" s="192"/>
      <c r="BB1016" s="192"/>
      <c r="BC1016" s="192"/>
      <c r="BD1016" s="192"/>
      <c r="BE1016" s="192"/>
      <c r="BF1016" s="192"/>
      <c r="BG1016" s="192"/>
      <c r="BH1016" s="192"/>
      <c r="BI1016" s="192"/>
      <c r="BJ1016" s="192"/>
      <c r="BK1016" s="192"/>
      <c r="BL1016" s="192"/>
      <c r="BM1016" s="192"/>
      <c r="BN1016" s="192"/>
    </row>
    <row r="1017" ht="29.25" customHeight="1">
      <c r="A1017" s="189"/>
      <c r="B1017" s="190"/>
      <c r="C1017" s="157"/>
      <c r="D1017" s="157"/>
      <c r="E1017" s="158"/>
      <c r="F1017" s="166"/>
      <c r="G1017" s="161"/>
      <c r="H1017" s="161"/>
      <c r="I1017" s="162"/>
      <c r="J1017" s="163"/>
      <c r="K1017" s="163"/>
      <c r="L1017" s="163"/>
      <c r="M1017" s="160"/>
      <c r="N1017" s="162"/>
      <c r="O1017" s="164"/>
      <c r="P1017" s="140"/>
      <c r="Q1017" s="191"/>
      <c r="R1017" s="165"/>
      <c r="S1017" s="165"/>
      <c r="T1017" s="166"/>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92"/>
      <c r="AR1017" s="192"/>
      <c r="AS1017" s="192"/>
      <c r="AT1017" s="192"/>
      <c r="AU1017" s="192"/>
      <c r="AV1017" s="192"/>
      <c r="AW1017" s="192"/>
      <c r="AX1017" s="192"/>
      <c r="AY1017" s="192"/>
      <c r="AZ1017" s="192"/>
      <c r="BA1017" s="192"/>
      <c r="BB1017" s="192"/>
      <c r="BC1017" s="192"/>
      <c r="BD1017" s="192"/>
      <c r="BE1017" s="192"/>
      <c r="BF1017" s="192"/>
      <c r="BG1017" s="192"/>
      <c r="BH1017" s="192"/>
      <c r="BI1017" s="192"/>
      <c r="BJ1017" s="192"/>
      <c r="BK1017" s="192"/>
      <c r="BL1017" s="192"/>
      <c r="BM1017" s="192"/>
      <c r="BN1017" s="192"/>
    </row>
    <row r="1018" ht="29.25" customHeight="1">
      <c r="A1018" s="189"/>
      <c r="B1018" s="190"/>
      <c r="C1018" s="157"/>
      <c r="D1018" s="157"/>
      <c r="E1018" s="158"/>
      <c r="F1018" s="166"/>
      <c r="G1018" s="161"/>
      <c r="H1018" s="161"/>
      <c r="I1018" s="162"/>
      <c r="J1018" s="163"/>
      <c r="K1018" s="163"/>
      <c r="L1018" s="163"/>
      <c r="M1018" s="160"/>
      <c r="N1018" s="162"/>
      <c r="O1018" s="164"/>
      <c r="P1018" s="140"/>
      <c r="Q1018" s="191"/>
      <c r="R1018" s="165"/>
      <c r="S1018" s="165"/>
      <c r="T1018" s="166"/>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92"/>
      <c r="AR1018" s="192"/>
      <c r="AS1018" s="192"/>
      <c r="AT1018" s="192"/>
      <c r="AU1018" s="192"/>
      <c r="AV1018" s="192"/>
      <c r="AW1018" s="192"/>
      <c r="AX1018" s="192"/>
      <c r="AY1018" s="192"/>
      <c r="AZ1018" s="192"/>
      <c r="BA1018" s="192"/>
      <c r="BB1018" s="192"/>
      <c r="BC1018" s="192"/>
      <c r="BD1018" s="192"/>
      <c r="BE1018" s="192"/>
      <c r="BF1018" s="192"/>
      <c r="BG1018" s="192"/>
      <c r="BH1018" s="192"/>
      <c r="BI1018" s="192"/>
      <c r="BJ1018" s="192"/>
      <c r="BK1018" s="192"/>
      <c r="BL1018" s="192"/>
      <c r="BM1018" s="192"/>
      <c r="BN1018" s="192"/>
    </row>
    <row r="1019" ht="29.25" customHeight="1">
      <c r="A1019" s="189"/>
      <c r="B1019" s="190"/>
      <c r="C1019" s="157"/>
      <c r="D1019" s="157"/>
      <c r="E1019" s="158"/>
      <c r="F1019" s="166"/>
      <c r="G1019" s="161"/>
      <c r="H1019" s="161"/>
      <c r="I1019" s="162"/>
      <c r="J1019" s="163"/>
      <c r="K1019" s="163"/>
      <c r="L1019" s="163"/>
      <c r="M1019" s="160"/>
      <c r="N1019" s="162"/>
      <c r="O1019" s="164"/>
      <c r="P1019" s="140"/>
      <c r="Q1019" s="191"/>
      <c r="R1019" s="165"/>
      <c r="S1019" s="165"/>
      <c r="T1019" s="166"/>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92"/>
      <c r="AR1019" s="192"/>
      <c r="AS1019" s="192"/>
      <c r="AT1019" s="192"/>
      <c r="AU1019" s="192"/>
      <c r="AV1019" s="192"/>
      <c r="AW1019" s="192"/>
      <c r="AX1019" s="192"/>
      <c r="AY1019" s="192"/>
      <c r="AZ1019" s="192"/>
      <c r="BA1019" s="192"/>
      <c r="BB1019" s="192"/>
      <c r="BC1019" s="192"/>
      <c r="BD1019" s="192"/>
      <c r="BE1019" s="192"/>
      <c r="BF1019" s="192"/>
      <c r="BG1019" s="192"/>
      <c r="BH1019" s="192"/>
      <c r="BI1019" s="192"/>
      <c r="BJ1019" s="192"/>
      <c r="BK1019" s="192"/>
      <c r="BL1019" s="192"/>
      <c r="BM1019" s="192"/>
      <c r="BN1019" s="192"/>
    </row>
    <row r="1020" ht="29.25" customHeight="1">
      <c r="A1020" s="189"/>
      <c r="B1020" s="190"/>
      <c r="C1020" s="157"/>
      <c r="D1020" s="157"/>
      <c r="E1020" s="158"/>
      <c r="F1020" s="166"/>
      <c r="G1020" s="161"/>
      <c r="H1020" s="161"/>
      <c r="I1020" s="162"/>
      <c r="J1020" s="163"/>
      <c r="K1020" s="163"/>
      <c r="L1020" s="163"/>
      <c r="M1020" s="160"/>
      <c r="N1020" s="162"/>
      <c r="O1020" s="164"/>
      <c r="P1020" s="140"/>
      <c r="Q1020" s="191"/>
      <c r="R1020" s="165"/>
      <c r="S1020" s="165"/>
      <c r="T1020" s="166"/>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92"/>
      <c r="AR1020" s="192"/>
      <c r="AS1020" s="192"/>
      <c r="AT1020" s="192"/>
      <c r="AU1020" s="192"/>
      <c r="AV1020" s="192"/>
      <c r="AW1020" s="192"/>
      <c r="AX1020" s="192"/>
      <c r="AY1020" s="192"/>
      <c r="AZ1020" s="192"/>
      <c r="BA1020" s="192"/>
      <c r="BB1020" s="192"/>
      <c r="BC1020" s="192"/>
      <c r="BD1020" s="192"/>
      <c r="BE1020" s="192"/>
      <c r="BF1020" s="192"/>
      <c r="BG1020" s="192"/>
      <c r="BH1020" s="192"/>
      <c r="BI1020" s="192"/>
      <c r="BJ1020" s="192"/>
      <c r="BK1020" s="192"/>
      <c r="BL1020" s="192"/>
      <c r="BM1020" s="192"/>
      <c r="BN1020" s="192"/>
    </row>
    <row r="1021" ht="29.25" customHeight="1">
      <c r="A1021" s="189"/>
      <c r="B1021" s="190"/>
      <c r="C1021" s="157"/>
      <c r="D1021" s="157"/>
      <c r="E1021" s="158"/>
      <c r="F1021" s="166"/>
      <c r="G1021" s="161"/>
      <c r="H1021" s="161"/>
      <c r="I1021" s="162"/>
      <c r="J1021" s="163"/>
      <c r="K1021" s="163"/>
      <c r="L1021" s="163"/>
      <c r="M1021" s="160"/>
      <c r="N1021" s="162"/>
      <c r="O1021" s="164"/>
      <c r="P1021" s="140"/>
      <c r="Q1021" s="191"/>
      <c r="R1021" s="165"/>
      <c r="S1021" s="165"/>
      <c r="T1021" s="166"/>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92"/>
      <c r="AR1021" s="192"/>
      <c r="AS1021" s="192"/>
      <c r="AT1021" s="192"/>
      <c r="AU1021" s="192"/>
      <c r="AV1021" s="192"/>
      <c r="AW1021" s="192"/>
      <c r="AX1021" s="192"/>
      <c r="AY1021" s="192"/>
      <c r="AZ1021" s="192"/>
      <c r="BA1021" s="192"/>
      <c r="BB1021" s="192"/>
      <c r="BC1021" s="192"/>
      <c r="BD1021" s="192"/>
      <c r="BE1021" s="192"/>
      <c r="BF1021" s="192"/>
      <c r="BG1021" s="192"/>
      <c r="BH1021" s="192"/>
      <c r="BI1021" s="192"/>
      <c r="BJ1021" s="192"/>
      <c r="BK1021" s="192"/>
      <c r="BL1021" s="192"/>
      <c r="BM1021" s="192"/>
      <c r="BN1021" s="192"/>
    </row>
    <row r="1022" ht="29.25" customHeight="1">
      <c r="A1022" s="189"/>
      <c r="B1022" s="190"/>
      <c r="C1022" s="157"/>
      <c r="D1022" s="157"/>
      <c r="E1022" s="158"/>
      <c r="F1022" s="166"/>
      <c r="G1022" s="161"/>
      <c r="H1022" s="161"/>
      <c r="I1022" s="162"/>
      <c r="J1022" s="163"/>
      <c r="K1022" s="163"/>
      <c r="L1022" s="163"/>
      <c r="M1022" s="160"/>
      <c r="N1022" s="162"/>
      <c r="O1022" s="164"/>
      <c r="P1022" s="140"/>
      <c r="Q1022" s="191"/>
      <c r="R1022" s="165"/>
      <c r="S1022" s="165"/>
      <c r="T1022" s="166"/>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92"/>
      <c r="AR1022" s="192"/>
      <c r="AS1022" s="192"/>
      <c r="AT1022" s="192"/>
      <c r="AU1022" s="192"/>
      <c r="AV1022" s="192"/>
      <c r="AW1022" s="192"/>
      <c r="AX1022" s="192"/>
      <c r="AY1022" s="192"/>
      <c r="AZ1022" s="192"/>
      <c r="BA1022" s="192"/>
      <c r="BB1022" s="192"/>
      <c r="BC1022" s="192"/>
      <c r="BD1022" s="192"/>
      <c r="BE1022" s="192"/>
      <c r="BF1022" s="192"/>
      <c r="BG1022" s="192"/>
      <c r="BH1022" s="192"/>
      <c r="BI1022" s="192"/>
      <c r="BJ1022" s="192"/>
      <c r="BK1022" s="192"/>
      <c r="BL1022" s="192"/>
      <c r="BM1022" s="192"/>
      <c r="BN1022" s="192"/>
    </row>
    <row r="1023" ht="29.25" customHeight="1">
      <c r="A1023" s="189"/>
      <c r="B1023" s="190"/>
      <c r="C1023" s="157"/>
      <c r="D1023" s="157"/>
      <c r="E1023" s="158"/>
      <c r="F1023" s="166"/>
      <c r="G1023" s="161"/>
      <c r="H1023" s="161"/>
      <c r="I1023" s="162"/>
      <c r="J1023" s="163"/>
      <c r="K1023" s="163"/>
      <c r="L1023" s="163"/>
      <c r="M1023" s="160"/>
      <c r="N1023" s="162"/>
      <c r="O1023" s="164"/>
      <c r="P1023" s="140"/>
      <c r="Q1023" s="191"/>
      <c r="R1023" s="165"/>
      <c r="S1023" s="165"/>
      <c r="T1023" s="166"/>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92"/>
      <c r="AR1023" s="192"/>
      <c r="AS1023" s="192"/>
      <c r="AT1023" s="192"/>
      <c r="AU1023" s="192"/>
      <c r="AV1023" s="192"/>
      <c r="AW1023" s="192"/>
      <c r="AX1023" s="192"/>
      <c r="AY1023" s="192"/>
      <c r="AZ1023" s="192"/>
      <c r="BA1023" s="192"/>
      <c r="BB1023" s="192"/>
      <c r="BC1023" s="192"/>
      <c r="BD1023" s="192"/>
      <c r="BE1023" s="192"/>
      <c r="BF1023" s="192"/>
      <c r="BG1023" s="192"/>
      <c r="BH1023" s="192"/>
      <c r="BI1023" s="192"/>
      <c r="BJ1023" s="192"/>
      <c r="BK1023" s="192"/>
      <c r="BL1023" s="192"/>
      <c r="BM1023" s="192"/>
      <c r="BN1023" s="192"/>
    </row>
    <row r="1024" ht="29.25" customHeight="1">
      <c r="A1024" s="189"/>
      <c r="B1024" s="190"/>
      <c r="C1024" s="157"/>
      <c r="D1024" s="157"/>
      <c r="E1024" s="158"/>
      <c r="F1024" s="166"/>
      <c r="G1024" s="161"/>
      <c r="H1024" s="161"/>
      <c r="I1024" s="162"/>
      <c r="J1024" s="163"/>
      <c r="K1024" s="163"/>
      <c r="L1024" s="163"/>
      <c r="M1024" s="160"/>
      <c r="N1024" s="162"/>
      <c r="O1024" s="164"/>
      <c r="P1024" s="140"/>
      <c r="Q1024" s="191"/>
      <c r="R1024" s="165"/>
      <c r="S1024" s="165"/>
      <c r="T1024" s="166"/>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92"/>
      <c r="AR1024" s="192"/>
      <c r="AS1024" s="192"/>
      <c r="AT1024" s="192"/>
      <c r="AU1024" s="192"/>
      <c r="AV1024" s="192"/>
      <c r="AW1024" s="192"/>
      <c r="AX1024" s="192"/>
      <c r="AY1024" s="192"/>
      <c r="AZ1024" s="192"/>
      <c r="BA1024" s="192"/>
      <c r="BB1024" s="192"/>
      <c r="BC1024" s="192"/>
      <c r="BD1024" s="192"/>
      <c r="BE1024" s="192"/>
      <c r="BF1024" s="192"/>
      <c r="BG1024" s="192"/>
      <c r="BH1024" s="192"/>
      <c r="BI1024" s="192"/>
      <c r="BJ1024" s="192"/>
      <c r="BK1024" s="192"/>
      <c r="BL1024" s="192"/>
      <c r="BM1024" s="192"/>
      <c r="BN1024" s="192"/>
    </row>
    <row r="1025" ht="29.25" customHeight="1">
      <c r="A1025" s="189"/>
      <c r="B1025" s="190"/>
      <c r="C1025" s="157"/>
      <c r="D1025" s="157"/>
      <c r="E1025" s="158"/>
      <c r="F1025" s="166"/>
      <c r="G1025" s="161"/>
      <c r="H1025" s="161"/>
      <c r="I1025" s="162"/>
      <c r="J1025" s="163"/>
      <c r="K1025" s="163"/>
      <c r="L1025" s="163"/>
      <c r="M1025" s="160"/>
      <c r="N1025" s="162"/>
      <c r="O1025" s="164"/>
      <c r="P1025" s="140"/>
      <c r="Q1025" s="191"/>
      <c r="R1025" s="165"/>
      <c r="S1025" s="165"/>
      <c r="T1025" s="166"/>
      <c r="U1025" s="192"/>
      <c r="V1025" s="192"/>
      <c r="W1025" s="192"/>
      <c r="X1025" s="192"/>
      <c r="Y1025" s="192"/>
      <c r="Z1025" s="192"/>
      <c r="AA1025" s="192"/>
      <c r="AB1025" s="192"/>
      <c r="AC1025" s="192"/>
      <c r="AD1025" s="192"/>
      <c r="AE1025" s="192"/>
      <c r="AF1025" s="192"/>
      <c r="AG1025" s="192"/>
      <c r="AH1025" s="192"/>
      <c r="AI1025" s="192"/>
      <c r="AJ1025" s="192"/>
      <c r="AK1025" s="192"/>
      <c r="AL1025" s="192"/>
      <c r="AM1025" s="192"/>
      <c r="AN1025" s="192"/>
      <c r="AO1025" s="192"/>
      <c r="AP1025" s="192"/>
      <c r="AQ1025" s="192"/>
      <c r="AR1025" s="192"/>
      <c r="AS1025" s="192"/>
      <c r="AT1025" s="192"/>
      <c r="AU1025" s="192"/>
      <c r="AV1025" s="192"/>
      <c r="AW1025" s="192"/>
      <c r="AX1025" s="192"/>
      <c r="AY1025" s="192"/>
      <c r="AZ1025" s="192"/>
      <c r="BA1025" s="192"/>
      <c r="BB1025" s="192"/>
      <c r="BC1025" s="192"/>
      <c r="BD1025" s="192"/>
      <c r="BE1025" s="192"/>
      <c r="BF1025" s="192"/>
      <c r="BG1025" s="192"/>
      <c r="BH1025" s="192"/>
      <c r="BI1025" s="192"/>
      <c r="BJ1025" s="192"/>
      <c r="BK1025" s="192"/>
      <c r="BL1025" s="192"/>
      <c r="BM1025" s="192"/>
      <c r="BN1025" s="192"/>
    </row>
    <row r="1026" ht="29.25" customHeight="1">
      <c r="A1026" s="189"/>
      <c r="B1026" s="190"/>
      <c r="C1026" s="157"/>
      <c r="D1026" s="157"/>
      <c r="E1026" s="158"/>
      <c r="F1026" s="166"/>
      <c r="G1026" s="161"/>
      <c r="H1026" s="161"/>
      <c r="I1026" s="162"/>
      <c r="J1026" s="163"/>
      <c r="K1026" s="163"/>
      <c r="L1026" s="163"/>
      <c r="M1026" s="160"/>
      <c r="N1026" s="162"/>
      <c r="O1026" s="164"/>
      <c r="P1026" s="140"/>
      <c r="Q1026" s="191"/>
      <c r="R1026" s="165"/>
      <c r="S1026" s="165"/>
      <c r="T1026" s="166"/>
      <c r="U1026" s="192"/>
      <c r="V1026" s="192"/>
      <c r="W1026" s="192"/>
      <c r="X1026" s="192"/>
      <c r="Y1026" s="192"/>
      <c r="Z1026" s="192"/>
      <c r="AA1026" s="192"/>
      <c r="AB1026" s="192"/>
      <c r="AC1026" s="192"/>
      <c r="AD1026" s="192"/>
      <c r="AE1026" s="192"/>
      <c r="AF1026" s="192"/>
      <c r="AG1026" s="192"/>
      <c r="AH1026" s="192"/>
      <c r="AI1026" s="192"/>
      <c r="AJ1026" s="192"/>
      <c r="AK1026" s="192"/>
      <c r="AL1026" s="192"/>
      <c r="AM1026" s="192"/>
      <c r="AN1026" s="192"/>
      <c r="AO1026" s="192"/>
      <c r="AP1026" s="192"/>
      <c r="AQ1026" s="192"/>
      <c r="AR1026" s="192"/>
      <c r="AS1026" s="192"/>
      <c r="AT1026" s="192"/>
      <c r="AU1026" s="192"/>
      <c r="AV1026" s="192"/>
      <c r="AW1026" s="192"/>
      <c r="AX1026" s="192"/>
      <c r="AY1026" s="192"/>
      <c r="AZ1026" s="192"/>
      <c r="BA1026" s="192"/>
      <c r="BB1026" s="192"/>
      <c r="BC1026" s="192"/>
      <c r="BD1026" s="192"/>
      <c r="BE1026" s="192"/>
      <c r="BF1026" s="192"/>
      <c r="BG1026" s="192"/>
      <c r="BH1026" s="192"/>
      <c r="BI1026" s="192"/>
      <c r="BJ1026" s="192"/>
      <c r="BK1026" s="192"/>
      <c r="BL1026" s="192"/>
      <c r="BM1026" s="192"/>
      <c r="BN1026" s="192"/>
    </row>
    <row r="1027" ht="29.25" customHeight="1">
      <c r="A1027" s="189"/>
      <c r="B1027" s="190"/>
      <c r="C1027" s="157"/>
      <c r="D1027" s="157"/>
      <c r="E1027" s="158"/>
      <c r="F1027" s="166"/>
      <c r="G1027" s="161"/>
      <c r="H1027" s="161"/>
      <c r="I1027" s="162"/>
      <c r="J1027" s="163"/>
      <c r="K1027" s="163"/>
      <c r="L1027" s="163"/>
      <c r="M1027" s="160"/>
      <c r="N1027" s="162"/>
      <c r="O1027" s="164"/>
      <c r="P1027" s="140"/>
      <c r="Q1027" s="191"/>
      <c r="R1027" s="165"/>
      <c r="S1027" s="165"/>
      <c r="T1027" s="166"/>
      <c r="U1027" s="192"/>
      <c r="V1027" s="192"/>
      <c r="W1027" s="192"/>
      <c r="X1027" s="192"/>
      <c r="Y1027" s="192"/>
      <c r="Z1027" s="192"/>
      <c r="AA1027" s="192"/>
      <c r="AB1027" s="192"/>
      <c r="AC1027" s="192"/>
      <c r="AD1027" s="192"/>
      <c r="AE1027" s="192"/>
      <c r="AF1027" s="192"/>
      <c r="AG1027" s="192"/>
      <c r="AH1027" s="192"/>
      <c r="AI1027" s="192"/>
      <c r="AJ1027" s="192"/>
      <c r="AK1027" s="192"/>
      <c r="AL1027" s="192"/>
      <c r="AM1027" s="192"/>
      <c r="AN1027" s="192"/>
      <c r="AO1027" s="192"/>
      <c r="AP1027" s="192"/>
      <c r="AQ1027" s="192"/>
      <c r="AR1027" s="192"/>
      <c r="AS1027" s="192"/>
      <c r="AT1027" s="192"/>
      <c r="AU1027" s="192"/>
      <c r="AV1027" s="192"/>
      <c r="AW1027" s="192"/>
      <c r="AX1027" s="192"/>
      <c r="AY1027" s="192"/>
      <c r="AZ1027" s="192"/>
      <c r="BA1027" s="192"/>
      <c r="BB1027" s="192"/>
      <c r="BC1027" s="192"/>
      <c r="BD1027" s="192"/>
      <c r="BE1027" s="192"/>
      <c r="BF1027" s="192"/>
      <c r="BG1027" s="192"/>
      <c r="BH1027" s="192"/>
      <c r="BI1027" s="192"/>
      <c r="BJ1027" s="192"/>
      <c r="BK1027" s="192"/>
      <c r="BL1027" s="192"/>
      <c r="BM1027" s="192"/>
      <c r="BN1027" s="192"/>
    </row>
    <row r="1028" ht="29.25" customHeight="1">
      <c r="A1028" s="189"/>
      <c r="B1028" s="190"/>
      <c r="C1028" s="157"/>
      <c r="D1028" s="157"/>
      <c r="E1028" s="158"/>
      <c r="F1028" s="166"/>
      <c r="G1028" s="161"/>
      <c r="H1028" s="161"/>
      <c r="I1028" s="162"/>
      <c r="J1028" s="163"/>
      <c r="K1028" s="163"/>
      <c r="L1028" s="163"/>
      <c r="M1028" s="160"/>
      <c r="N1028" s="162"/>
      <c r="O1028" s="164"/>
      <c r="P1028" s="140"/>
      <c r="Q1028" s="191"/>
      <c r="R1028" s="165"/>
      <c r="S1028" s="165"/>
      <c r="T1028" s="166"/>
      <c r="U1028" s="192"/>
      <c r="V1028" s="192"/>
      <c r="W1028" s="192"/>
      <c r="X1028" s="192"/>
      <c r="Y1028" s="192"/>
      <c r="Z1028" s="192"/>
      <c r="AA1028" s="192"/>
      <c r="AB1028" s="192"/>
      <c r="AC1028" s="192"/>
      <c r="AD1028" s="192"/>
      <c r="AE1028" s="192"/>
      <c r="AF1028" s="192"/>
      <c r="AG1028" s="192"/>
      <c r="AH1028" s="192"/>
      <c r="AI1028" s="192"/>
      <c r="AJ1028" s="192"/>
      <c r="AK1028" s="192"/>
      <c r="AL1028" s="192"/>
      <c r="AM1028" s="192"/>
      <c r="AN1028" s="192"/>
      <c r="AO1028" s="192"/>
      <c r="AP1028" s="192"/>
      <c r="AQ1028" s="192"/>
      <c r="AR1028" s="192"/>
      <c r="AS1028" s="192"/>
      <c r="AT1028" s="192"/>
      <c r="AU1028" s="192"/>
      <c r="AV1028" s="192"/>
      <c r="AW1028" s="192"/>
      <c r="AX1028" s="192"/>
      <c r="AY1028" s="192"/>
      <c r="AZ1028" s="192"/>
      <c r="BA1028" s="192"/>
      <c r="BB1028" s="192"/>
      <c r="BC1028" s="192"/>
      <c r="BD1028" s="192"/>
      <c r="BE1028" s="192"/>
      <c r="BF1028" s="192"/>
      <c r="BG1028" s="192"/>
      <c r="BH1028" s="192"/>
      <c r="BI1028" s="192"/>
      <c r="BJ1028" s="192"/>
      <c r="BK1028" s="192"/>
      <c r="BL1028" s="192"/>
      <c r="BM1028" s="192"/>
      <c r="BN1028" s="192"/>
    </row>
    <row r="1029" ht="29.25" customHeight="1">
      <c r="A1029" s="189"/>
      <c r="B1029" s="190"/>
      <c r="C1029" s="157"/>
      <c r="D1029" s="157"/>
      <c r="E1029" s="158"/>
      <c r="F1029" s="166"/>
      <c r="G1029" s="161"/>
      <c r="H1029" s="161"/>
      <c r="I1029" s="162"/>
      <c r="J1029" s="163"/>
      <c r="K1029" s="163"/>
      <c r="L1029" s="163"/>
      <c r="M1029" s="160"/>
      <c r="N1029" s="162"/>
      <c r="O1029" s="164"/>
      <c r="P1029" s="140"/>
      <c r="Q1029" s="191"/>
      <c r="R1029" s="165"/>
      <c r="S1029" s="165"/>
      <c r="T1029" s="166"/>
      <c r="U1029" s="192"/>
      <c r="V1029" s="192"/>
      <c r="W1029" s="192"/>
      <c r="X1029" s="192"/>
      <c r="Y1029" s="192"/>
      <c r="Z1029" s="192"/>
      <c r="AA1029" s="192"/>
      <c r="AB1029" s="192"/>
      <c r="AC1029" s="192"/>
      <c r="AD1029" s="192"/>
      <c r="AE1029" s="192"/>
      <c r="AF1029" s="192"/>
      <c r="AG1029" s="192"/>
      <c r="AH1029" s="192"/>
      <c r="AI1029" s="192"/>
      <c r="AJ1029" s="192"/>
      <c r="AK1029" s="192"/>
      <c r="AL1029" s="192"/>
      <c r="AM1029" s="192"/>
      <c r="AN1029" s="192"/>
      <c r="AO1029" s="192"/>
      <c r="AP1029" s="192"/>
      <c r="AQ1029" s="192"/>
      <c r="AR1029" s="192"/>
      <c r="AS1029" s="192"/>
      <c r="AT1029" s="192"/>
      <c r="AU1029" s="192"/>
      <c r="AV1029" s="192"/>
      <c r="AW1029" s="192"/>
      <c r="AX1029" s="192"/>
      <c r="AY1029" s="192"/>
      <c r="AZ1029" s="192"/>
      <c r="BA1029" s="192"/>
      <c r="BB1029" s="192"/>
      <c r="BC1029" s="192"/>
      <c r="BD1029" s="192"/>
      <c r="BE1029" s="192"/>
      <c r="BF1029" s="192"/>
      <c r="BG1029" s="192"/>
      <c r="BH1029" s="192"/>
      <c r="BI1029" s="192"/>
      <c r="BJ1029" s="192"/>
      <c r="BK1029" s="192"/>
      <c r="BL1029" s="192"/>
      <c r="BM1029" s="192"/>
      <c r="BN1029" s="192"/>
    </row>
    <row r="1030" ht="29.25" customHeight="1">
      <c r="A1030" s="189"/>
      <c r="B1030" s="190"/>
      <c r="C1030" s="157"/>
      <c r="D1030" s="157"/>
      <c r="E1030" s="158"/>
      <c r="F1030" s="166"/>
      <c r="G1030" s="161"/>
      <c r="H1030" s="161"/>
      <c r="I1030" s="162"/>
      <c r="J1030" s="163"/>
      <c r="K1030" s="163"/>
      <c r="L1030" s="163"/>
      <c r="M1030" s="160"/>
      <c r="N1030" s="162"/>
      <c r="O1030" s="164"/>
      <c r="P1030" s="140"/>
      <c r="Q1030" s="191"/>
      <c r="R1030" s="165"/>
      <c r="S1030" s="165"/>
      <c r="T1030" s="166"/>
      <c r="U1030" s="192"/>
      <c r="V1030" s="192"/>
      <c r="W1030" s="192"/>
      <c r="X1030" s="192"/>
      <c r="Y1030" s="192"/>
      <c r="Z1030" s="192"/>
      <c r="AA1030" s="192"/>
      <c r="AB1030" s="192"/>
      <c r="AC1030" s="192"/>
      <c r="AD1030" s="192"/>
      <c r="AE1030" s="192"/>
      <c r="AF1030" s="192"/>
      <c r="AG1030" s="192"/>
      <c r="AH1030" s="192"/>
      <c r="AI1030" s="192"/>
      <c r="AJ1030" s="192"/>
      <c r="AK1030" s="192"/>
      <c r="AL1030" s="192"/>
      <c r="AM1030" s="192"/>
      <c r="AN1030" s="192"/>
      <c r="AO1030" s="192"/>
      <c r="AP1030" s="192"/>
      <c r="AQ1030" s="192"/>
      <c r="AR1030" s="192"/>
      <c r="AS1030" s="192"/>
      <c r="AT1030" s="192"/>
      <c r="AU1030" s="192"/>
      <c r="AV1030" s="192"/>
      <c r="AW1030" s="192"/>
      <c r="AX1030" s="192"/>
      <c r="AY1030" s="192"/>
      <c r="AZ1030" s="192"/>
      <c r="BA1030" s="192"/>
      <c r="BB1030" s="192"/>
      <c r="BC1030" s="192"/>
      <c r="BD1030" s="192"/>
      <c r="BE1030" s="192"/>
      <c r="BF1030" s="192"/>
      <c r="BG1030" s="192"/>
      <c r="BH1030" s="192"/>
      <c r="BI1030" s="192"/>
      <c r="BJ1030" s="192"/>
      <c r="BK1030" s="192"/>
      <c r="BL1030" s="192"/>
      <c r="BM1030" s="192"/>
      <c r="BN1030" s="192"/>
    </row>
    <row r="1031" ht="29.25" customHeight="1">
      <c r="A1031" s="189"/>
      <c r="B1031" s="190"/>
      <c r="C1031" s="157"/>
      <c r="D1031" s="157"/>
      <c r="E1031" s="158"/>
      <c r="F1031" s="166"/>
      <c r="G1031" s="161"/>
      <c r="H1031" s="161"/>
      <c r="I1031" s="162"/>
      <c r="J1031" s="163"/>
      <c r="K1031" s="163"/>
      <c r="L1031" s="163"/>
      <c r="M1031" s="160"/>
      <c r="N1031" s="162"/>
      <c r="O1031" s="164"/>
      <c r="P1031" s="140"/>
      <c r="Q1031" s="191"/>
      <c r="R1031" s="165"/>
      <c r="S1031" s="165"/>
      <c r="T1031" s="166"/>
      <c r="U1031" s="192"/>
      <c r="V1031" s="192"/>
      <c r="W1031" s="192"/>
      <c r="X1031" s="192"/>
      <c r="Y1031" s="192"/>
      <c r="Z1031" s="192"/>
      <c r="AA1031" s="192"/>
      <c r="AB1031" s="192"/>
      <c r="AC1031" s="192"/>
      <c r="AD1031" s="192"/>
      <c r="AE1031" s="192"/>
      <c r="AF1031" s="192"/>
      <c r="AG1031" s="192"/>
      <c r="AH1031" s="192"/>
      <c r="AI1031" s="192"/>
      <c r="AJ1031" s="192"/>
      <c r="AK1031" s="192"/>
      <c r="AL1031" s="192"/>
      <c r="AM1031" s="192"/>
      <c r="AN1031" s="192"/>
      <c r="AO1031" s="192"/>
      <c r="AP1031" s="192"/>
      <c r="AQ1031" s="192"/>
      <c r="AR1031" s="192"/>
      <c r="AS1031" s="192"/>
      <c r="AT1031" s="192"/>
      <c r="AU1031" s="192"/>
      <c r="AV1031" s="192"/>
      <c r="AW1031" s="192"/>
      <c r="AX1031" s="192"/>
      <c r="AY1031" s="192"/>
      <c r="AZ1031" s="192"/>
      <c r="BA1031" s="192"/>
      <c r="BB1031" s="192"/>
      <c r="BC1031" s="192"/>
      <c r="BD1031" s="192"/>
      <c r="BE1031" s="192"/>
      <c r="BF1031" s="192"/>
      <c r="BG1031" s="192"/>
      <c r="BH1031" s="192"/>
      <c r="BI1031" s="192"/>
      <c r="BJ1031" s="192"/>
      <c r="BK1031" s="192"/>
      <c r="BL1031" s="192"/>
      <c r="BM1031" s="192"/>
      <c r="BN1031" s="192"/>
    </row>
    <row r="1032" ht="29.25" customHeight="1">
      <c r="A1032" s="189"/>
      <c r="B1032" s="190"/>
      <c r="C1032" s="157"/>
      <c r="D1032" s="157"/>
      <c r="E1032" s="158"/>
      <c r="F1032" s="166"/>
      <c r="G1032" s="161"/>
      <c r="H1032" s="161"/>
      <c r="I1032" s="162"/>
      <c r="J1032" s="163"/>
      <c r="K1032" s="163"/>
      <c r="L1032" s="163"/>
      <c r="M1032" s="160"/>
      <c r="N1032" s="162"/>
      <c r="O1032" s="164"/>
      <c r="P1032" s="140"/>
      <c r="Q1032" s="191"/>
      <c r="R1032" s="165"/>
      <c r="S1032" s="165"/>
      <c r="T1032" s="166"/>
      <c r="U1032" s="192"/>
      <c r="V1032" s="192"/>
      <c r="W1032" s="192"/>
      <c r="X1032" s="192"/>
      <c r="Y1032" s="192"/>
      <c r="Z1032" s="192"/>
      <c r="AA1032" s="192"/>
      <c r="AB1032" s="192"/>
      <c r="AC1032" s="192"/>
      <c r="AD1032" s="192"/>
      <c r="AE1032" s="192"/>
      <c r="AF1032" s="192"/>
      <c r="AG1032" s="192"/>
      <c r="AH1032" s="192"/>
      <c r="AI1032" s="192"/>
      <c r="AJ1032" s="192"/>
      <c r="AK1032" s="192"/>
      <c r="AL1032" s="192"/>
      <c r="AM1032" s="192"/>
      <c r="AN1032" s="192"/>
      <c r="AO1032" s="192"/>
      <c r="AP1032" s="192"/>
      <c r="AQ1032" s="192"/>
      <c r="AR1032" s="192"/>
      <c r="AS1032" s="192"/>
      <c r="AT1032" s="192"/>
      <c r="AU1032" s="192"/>
      <c r="AV1032" s="192"/>
      <c r="AW1032" s="192"/>
      <c r="AX1032" s="192"/>
      <c r="AY1032" s="192"/>
      <c r="AZ1032" s="192"/>
      <c r="BA1032" s="192"/>
      <c r="BB1032" s="192"/>
      <c r="BC1032" s="192"/>
      <c r="BD1032" s="192"/>
      <c r="BE1032" s="192"/>
      <c r="BF1032" s="192"/>
      <c r="BG1032" s="192"/>
      <c r="BH1032" s="192"/>
      <c r="BI1032" s="192"/>
      <c r="BJ1032" s="192"/>
      <c r="BK1032" s="192"/>
      <c r="BL1032" s="192"/>
      <c r="BM1032" s="192"/>
      <c r="BN1032" s="192"/>
    </row>
    <row r="1033" ht="29.25" customHeight="1">
      <c r="A1033" s="189"/>
      <c r="B1033" s="190"/>
      <c r="C1033" s="157"/>
      <c r="D1033" s="157"/>
      <c r="E1033" s="158"/>
      <c r="F1033" s="166"/>
      <c r="G1033" s="161"/>
      <c r="H1033" s="161"/>
      <c r="I1033" s="162"/>
      <c r="J1033" s="163"/>
      <c r="K1033" s="163"/>
      <c r="L1033" s="163"/>
      <c r="M1033" s="160"/>
      <c r="N1033" s="162"/>
      <c r="O1033" s="164"/>
      <c r="P1033" s="140"/>
      <c r="Q1033" s="191"/>
      <c r="R1033" s="165"/>
      <c r="S1033" s="165"/>
      <c r="T1033" s="166"/>
      <c r="U1033" s="192"/>
      <c r="V1033" s="192"/>
      <c r="W1033" s="192"/>
      <c r="X1033" s="192"/>
      <c r="Y1033" s="192"/>
      <c r="Z1033" s="192"/>
      <c r="AA1033" s="192"/>
      <c r="AB1033" s="192"/>
      <c r="AC1033" s="192"/>
      <c r="AD1033" s="192"/>
      <c r="AE1033" s="192"/>
      <c r="AF1033" s="192"/>
      <c r="AG1033" s="192"/>
      <c r="AH1033" s="192"/>
      <c r="AI1033" s="192"/>
      <c r="AJ1033" s="192"/>
      <c r="AK1033" s="192"/>
      <c r="AL1033" s="192"/>
      <c r="AM1033" s="192"/>
      <c r="AN1033" s="192"/>
      <c r="AO1033" s="192"/>
      <c r="AP1033" s="192"/>
      <c r="AQ1033" s="192"/>
      <c r="AR1033" s="192"/>
      <c r="AS1033" s="192"/>
      <c r="AT1033" s="192"/>
      <c r="AU1033" s="192"/>
      <c r="AV1033" s="192"/>
      <c r="AW1033" s="192"/>
      <c r="AX1033" s="192"/>
      <c r="AY1033" s="192"/>
      <c r="AZ1033" s="192"/>
      <c r="BA1033" s="192"/>
      <c r="BB1033" s="192"/>
      <c r="BC1033" s="192"/>
      <c r="BD1033" s="192"/>
      <c r="BE1033" s="192"/>
      <c r="BF1033" s="192"/>
      <c r="BG1033" s="192"/>
      <c r="BH1033" s="192"/>
      <c r="BI1033" s="192"/>
      <c r="BJ1033" s="192"/>
      <c r="BK1033" s="192"/>
      <c r="BL1033" s="192"/>
      <c r="BM1033" s="192"/>
      <c r="BN1033" s="192"/>
    </row>
    <row r="1034" ht="29.25" customHeight="1">
      <c r="A1034" s="189"/>
      <c r="B1034" s="190"/>
      <c r="C1034" s="157"/>
      <c r="D1034" s="157"/>
      <c r="E1034" s="158"/>
      <c r="F1034" s="166"/>
      <c r="G1034" s="161"/>
      <c r="H1034" s="161"/>
      <c r="I1034" s="162"/>
      <c r="J1034" s="163"/>
      <c r="K1034" s="163"/>
      <c r="L1034" s="163"/>
      <c r="M1034" s="160"/>
      <c r="N1034" s="162"/>
      <c r="O1034" s="164"/>
      <c r="P1034" s="140"/>
      <c r="Q1034" s="191"/>
      <c r="R1034" s="165"/>
      <c r="S1034" s="165"/>
      <c r="T1034" s="166"/>
      <c r="U1034" s="192"/>
      <c r="V1034" s="192"/>
      <c r="W1034" s="192"/>
      <c r="X1034" s="192"/>
      <c r="Y1034" s="192"/>
      <c r="Z1034" s="192"/>
      <c r="AA1034" s="192"/>
      <c r="AB1034" s="192"/>
      <c r="AC1034" s="192"/>
      <c r="AD1034" s="192"/>
      <c r="AE1034" s="192"/>
      <c r="AF1034" s="192"/>
      <c r="AG1034" s="192"/>
      <c r="AH1034" s="192"/>
      <c r="AI1034" s="192"/>
      <c r="AJ1034" s="192"/>
      <c r="AK1034" s="192"/>
      <c r="AL1034" s="192"/>
      <c r="AM1034" s="192"/>
      <c r="AN1034" s="192"/>
      <c r="AO1034" s="192"/>
      <c r="AP1034" s="192"/>
      <c r="AQ1034" s="192"/>
      <c r="AR1034" s="192"/>
      <c r="AS1034" s="192"/>
      <c r="AT1034" s="192"/>
      <c r="AU1034" s="192"/>
      <c r="AV1034" s="192"/>
      <c r="AW1034" s="192"/>
      <c r="AX1034" s="192"/>
      <c r="AY1034" s="192"/>
      <c r="AZ1034" s="192"/>
      <c r="BA1034" s="192"/>
      <c r="BB1034" s="192"/>
      <c r="BC1034" s="192"/>
      <c r="BD1034" s="192"/>
      <c r="BE1034" s="192"/>
      <c r="BF1034" s="192"/>
      <c r="BG1034" s="192"/>
      <c r="BH1034" s="192"/>
      <c r="BI1034" s="192"/>
      <c r="BJ1034" s="192"/>
      <c r="BK1034" s="192"/>
      <c r="BL1034" s="192"/>
      <c r="BM1034" s="192"/>
      <c r="BN1034" s="192"/>
    </row>
    <row r="1035" ht="29.25" customHeight="1">
      <c r="A1035" s="189"/>
      <c r="B1035" s="190"/>
      <c r="C1035" s="157"/>
      <c r="D1035" s="157"/>
      <c r="E1035" s="158"/>
      <c r="F1035" s="166"/>
      <c r="G1035" s="161"/>
      <c r="H1035" s="161"/>
      <c r="I1035" s="162"/>
      <c r="J1035" s="163"/>
      <c r="K1035" s="163"/>
      <c r="L1035" s="163"/>
      <c r="M1035" s="160"/>
      <c r="N1035" s="162"/>
      <c r="O1035" s="164"/>
      <c r="P1035" s="140"/>
      <c r="Q1035" s="191"/>
      <c r="R1035" s="165"/>
      <c r="S1035" s="165"/>
      <c r="T1035" s="166"/>
      <c r="U1035" s="192"/>
      <c r="V1035" s="192"/>
      <c r="W1035" s="192"/>
      <c r="X1035" s="192"/>
      <c r="Y1035" s="192"/>
      <c r="Z1035" s="192"/>
      <c r="AA1035" s="192"/>
      <c r="AB1035" s="192"/>
      <c r="AC1035" s="192"/>
      <c r="AD1035" s="192"/>
      <c r="AE1035" s="192"/>
      <c r="AF1035" s="192"/>
      <c r="AG1035" s="192"/>
      <c r="AH1035" s="192"/>
      <c r="AI1035" s="192"/>
      <c r="AJ1035" s="192"/>
      <c r="AK1035" s="192"/>
      <c r="AL1035" s="192"/>
      <c r="AM1035" s="192"/>
      <c r="AN1035" s="192"/>
      <c r="AO1035" s="192"/>
      <c r="AP1035" s="192"/>
      <c r="AQ1035" s="192"/>
      <c r="AR1035" s="192"/>
      <c r="AS1035" s="192"/>
      <c r="AT1035" s="192"/>
      <c r="AU1035" s="192"/>
      <c r="AV1035" s="192"/>
      <c r="AW1035" s="192"/>
      <c r="AX1035" s="192"/>
      <c r="AY1035" s="192"/>
      <c r="AZ1035" s="192"/>
      <c r="BA1035" s="192"/>
      <c r="BB1035" s="192"/>
      <c r="BC1035" s="192"/>
      <c r="BD1035" s="192"/>
      <c r="BE1035" s="192"/>
      <c r="BF1035" s="192"/>
      <c r="BG1035" s="192"/>
      <c r="BH1035" s="192"/>
      <c r="BI1035" s="192"/>
      <c r="BJ1035" s="192"/>
      <c r="BK1035" s="192"/>
      <c r="BL1035" s="192"/>
      <c r="BM1035" s="192"/>
      <c r="BN1035" s="192"/>
    </row>
    <row r="1036" ht="29.25" customHeight="1">
      <c r="A1036" s="189"/>
      <c r="B1036" s="190"/>
      <c r="C1036" s="157"/>
      <c r="D1036" s="157"/>
      <c r="E1036" s="158"/>
      <c r="F1036" s="166"/>
      <c r="G1036" s="161"/>
      <c r="H1036" s="161"/>
      <c r="I1036" s="162"/>
      <c r="J1036" s="163"/>
      <c r="K1036" s="163"/>
      <c r="L1036" s="163"/>
      <c r="M1036" s="160"/>
      <c r="N1036" s="162"/>
      <c r="O1036" s="164"/>
      <c r="P1036" s="140"/>
      <c r="Q1036" s="191"/>
      <c r="R1036" s="165"/>
      <c r="S1036" s="165"/>
      <c r="T1036" s="166"/>
      <c r="U1036" s="192"/>
      <c r="V1036" s="192"/>
      <c r="W1036" s="192"/>
      <c r="X1036" s="192"/>
      <c r="Y1036" s="192"/>
      <c r="Z1036" s="192"/>
      <c r="AA1036" s="192"/>
      <c r="AB1036" s="192"/>
      <c r="AC1036" s="192"/>
      <c r="AD1036" s="192"/>
      <c r="AE1036" s="192"/>
      <c r="AF1036" s="192"/>
      <c r="AG1036" s="192"/>
      <c r="AH1036" s="192"/>
      <c r="AI1036" s="192"/>
      <c r="AJ1036" s="192"/>
      <c r="AK1036" s="192"/>
      <c r="AL1036" s="192"/>
      <c r="AM1036" s="192"/>
      <c r="AN1036" s="192"/>
      <c r="AO1036" s="192"/>
      <c r="AP1036" s="192"/>
      <c r="AQ1036" s="192"/>
      <c r="AR1036" s="192"/>
      <c r="AS1036" s="192"/>
      <c r="AT1036" s="192"/>
      <c r="AU1036" s="192"/>
      <c r="AV1036" s="192"/>
      <c r="AW1036" s="192"/>
      <c r="AX1036" s="192"/>
      <c r="AY1036" s="192"/>
      <c r="AZ1036" s="192"/>
      <c r="BA1036" s="192"/>
      <c r="BB1036" s="192"/>
      <c r="BC1036" s="192"/>
      <c r="BD1036" s="192"/>
      <c r="BE1036" s="192"/>
      <c r="BF1036" s="192"/>
      <c r="BG1036" s="192"/>
      <c r="BH1036" s="192"/>
      <c r="BI1036" s="192"/>
      <c r="BJ1036" s="192"/>
      <c r="BK1036" s="192"/>
      <c r="BL1036" s="192"/>
      <c r="BM1036" s="192"/>
      <c r="BN1036" s="192"/>
    </row>
    <row r="1037" ht="29.25" customHeight="1">
      <c r="A1037" s="189"/>
      <c r="B1037" s="190"/>
      <c r="C1037" s="157"/>
      <c r="D1037" s="157"/>
      <c r="E1037" s="158"/>
      <c r="F1037" s="166"/>
      <c r="G1037" s="161"/>
      <c r="H1037" s="161"/>
      <c r="I1037" s="162"/>
      <c r="J1037" s="163"/>
      <c r="K1037" s="163"/>
      <c r="L1037" s="163"/>
      <c r="M1037" s="160"/>
      <c r="N1037" s="162"/>
      <c r="O1037" s="164"/>
      <c r="P1037" s="140"/>
      <c r="Q1037" s="191"/>
      <c r="R1037" s="165"/>
      <c r="S1037" s="165"/>
      <c r="T1037" s="166"/>
      <c r="U1037" s="192"/>
      <c r="V1037" s="192"/>
      <c r="W1037" s="192"/>
      <c r="X1037" s="192"/>
      <c r="Y1037" s="192"/>
      <c r="Z1037" s="192"/>
      <c r="AA1037" s="192"/>
      <c r="AB1037" s="192"/>
      <c r="AC1037" s="192"/>
      <c r="AD1037" s="192"/>
      <c r="AE1037" s="192"/>
      <c r="AF1037" s="192"/>
      <c r="AG1037" s="192"/>
      <c r="AH1037" s="192"/>
      <c r="AI1037" s="192"/>
      <c r="AJ1037" s="192"/>
      <c r="AK1037" s="192"/>
      <c r="AL1037" s="192"/>
      <c r="AM1037" s="192"/>
      <c r="AN1037" s="192"/>
      <c r="AO1037" s="192"/>
      <c r="AP1037" s="192"/>
      <c r="AQ1037" s="192"/>
      <c r="AR1037" s="192"/>
      <c r="AS1037" s="192"/>
      <c r="AT1037" s="192"/>
      <c r="AU1037" s="192"/>
      <c r="AV1037" s="192"/>
      <c r="AW1037" s="192"/>
      <c r="AX1037" s="192"/>
      <c r="AY1037" s="192"/>
      <c r="AZ1037" s="192"/>
      <c r="BA1037" s="192"/>
      <c r="BB1037" s="192"/>
      <c r="BC1037" s="192"/>
      <c r="BD1037" s="192"/>
      <c r="BE1037" s="192"/>
      <c r="BF1037" s="192"/>
      <c r="BG1037" s="192"/>
      <c r="BH1037" s="192"/>
      <c r="BI1037" s="192"/>
      <c r="BJ1037" s="192"/>
      <c r="BK1037" s="192"/>
      <c r="BL1037" s="192"/>
      <c r="BM1037" s="192"/>
      <c r="BN1037" s="192"/>
    </row>
    <row r="1038" ht="29.25" customHeight="1">
      <c r="A1038" s="189"/>
      <c r="B1038" s="190"/>
      <c r="C1038" s="157"/>
      <c r="D1038" s="193"/>
      <c r="E1038" s="158"/>
      <c r="F1038" s="166"/>
      <c r="G1038" s="161"/>
      <c r="H1038" s="161"/>
      <c r="I1038" s="162"/>
      <c r="J1038" s="163"/>
      <c r="K1038" s="163"/>
      <c r="L1038" s="163"/>
      <c r="M1038" s="160"/>
      <c r="N1038" s="162"/>
      <c r="O1038" s="164"/>
      <c r="P1038" s="140"/>
      <c r="Q1038" s="191"/>
      <c r="R1038" s="165"/>
      <c r="S1038" s="165"/>
      <c r="T1038" s="166"/>
      <c r="U1038" s="192"/>
      <c r="V1038" s="192"/>
      <c r="W1038" s="192"/>
      <c r="X1038" s="192"/>
      <c r="Y1038" s="192"/>
      <c r="Z1038" s="192"/>
      <c r="AA1038" s="192"/>
      <c r="AB1038" s="192"/>
      <c r="AC1038" s="192"/>
      <c r="AD1038" s="192"/>
      <c r="AE1038" s="192"/>
      <c r="AF1038" s="192"/>
      <c r="AG1038" s="192"/>
      <c r="AH1038" s="192"/>
      <c r="AI1038" s="192"/>
      <c r="AJ1038" s="192"/>
      <c r="AK1038" s="192"/>
      <c r="AL1038" s="192"/>
      <c r="AM1038" s="192"/>
      <c r="AN1038" s="192"/>
      <c r="AO1038" s="192"/>
      <c r="AP1038" s="192"/>
      <c r="AQ1038" s="192"/>
      <c r="AR1038" s="192"/>
      <c r="AS1038" s="192"/>
      <c r="AT1038" s="192"/>
      <c r="AU1038" s="192"/>
      <c r="AV1038" s="192"/>
      <c r="AW1038" s="192"/>
      <c r="AX1038" s="192"/>
      <c r="AY1038" s="192"/>
      <c r="AZ1038" s="192"/>
      <c r="BA1038" s="192"/>
      <c r="BB1038" s="192"/>
      <c r="BC1038" s="192"/>
      <c r="BD1038" s="192"/>
      <c r="BE1038" s="192"/>
      <c r="BF1038" s="192"/>
      <c r="BG1038" s="192"/>
      <c r="BH1038" s="192"/>
      <c r="BI1038" s="192"/>
      <c r="BJ1038" s="192"/>
      <c r="BK1038" s="192"/>
      <c r="BL1038" s="192"/>
      <c r="BM1038" s="192"/>
      <c r="BN1038" s="192"/>
    </row>
    <row r="1039" ht="29.25" customHeight="1">
      <c r="A1039" s="189"/>
      <c r="B1039" s="190"/>
      <c r="C1039" s="157"/>
      <c r="D1039" s="194"/>
      <c r="E1039" s="158"/>
      <c r="F1039" s="166"/>
      <c r="G1039" s="161"/>
      <c r="H1039" s="161"/>
      <c r="I1039" s="162"/>
      <c r="J1039" s="163"/>
      <c r="K1039" s="163"/>
      <c r="L1039" s="163"/>
      <c r="M1039" s="160"/>
      <c r="N1039" s="162"/>
      <c r="O1039" s="164"/>
      <c r="P1039" s="140"/>
      <c r="Q1039" s="191"/>
      <c r="R1039" s="165"/>
      <c r="S1039" s="165"/>
      <c r="T1039" s="166"/>
      <c r="U1039" s="192"/>
      <c r="V1039" s="192"/>
      <c r="W1039" s="192"/>
      <c r="X1039" s="192"/>
      <c r="Y1039" s="192"/>
      <c r="Z1039" s="192"/>
      <c r="AA1039" s="192"/>
      <c r="AB1039" s="192"/>
      <c r="AC1039" s="192"/>
      <c r="AD1039" s="192"/>
      <c r="AE1039" s="192"/>
      <c r="AF1039" s="192"/>
      <c r="AG1039" s="192"/>
      <c r="AH1039" s="192"/>
      <c r="AI1039" s="192"/>
      <c r="AJ1039" s="192"/>
      <c r="AK1039" s="192"/>
      <c r="AL1039" s="192"/>
      <c r="AM1039" s="192"/>
      <c r="AN1039" s="192"/>
      <c r="AO1039" s="192"/>
      <c r="AP1039" s="192"/>
      <c r="AQ1039" s="192"/>
      <c r="AR1039" s="192"/>
      <c r="AS1039" s="192"/>
      <c r="AT1039" s="192"/>
      <c r="AU1039" s="192"/>
      <c r="AV1039" s="192"/>
      <c r="AW1039" s="192"/>
      <c r="AX1039" s="192"/>
      <c r="AY1039" s="192"/>
      <c r="AZ1039" s="192"/>
      <c r="BA1039" s="192"/>
      <c r="BB1039" s="192"/>
      <c r="BC1039" s="192"/>
      <c r="BD1039" s="192"/>
      <c r="BE1039" s="192"/>
      <c r="BF1039" s="192"/>
      <c r="BG1039" s="192"/>
      <c r="BH1039" s="192"/>
      <c r="BI1039" s="192"/>
      <c r="BJ1039" s="192"/>
      <c r="BK1039" s="192"/>
      <c r="BL1039" s="192"/>
      <c r="BM1039" s="192"/>
      <c r="BN1039" s="192"/>
    </row>
  </sheetData>
  <conditionalFormatting sqref="B2:B1039 C172:C199">
    <cfRule type="expression" dxfId="0" priority="1">
      <formula>COUNTIF($B$2:$B$1037,B2)&gt;1</formula>
    </cfRule>
  </conditionalFormatting>
  <dataValidations>
    <dataValidation type="list" allowBlank="1" sqref="F2:F1039">
      <formula1>"ENTRENAMIENTO,DETENIDO CLIENTE,FINALIZADO,EN PROCESO,PAUSADO,EN TEST,CONTROL DE CAMBIOS PRODUCCION,PENDIENTE,PRUEBAS CLIENTE,PENDIENTE CLIENTE,PRUEBAS IMAGINE,paso a produccion,CONTROL CAMBIOS TEST,ESTIMAR"</formula1>
    </dataValidation>
    <dataValidation type="custom" allowBlank="1" showDropDown="1" sqref="I2:L1039 N2:O1039">
      <formula1>OR(NOT(ISERROR(DATEVALUE(I2))), AND(ISNUMBER(I2), LEFT(CELL("format", I2))="D"))</formula1>
    </dataValidation>
    <dataValidation type="list" allowBlank="1" sqref="T2:T1039">
      <formula1>"Opción 1,Opción 2"</formula1>
    </dataValidation>
    <dataValidation allowBlank="1" showDropDown="1" sqref="Q2:Q1039"/>
    <dataValidation type="list" allowBlank="1" showDropDown="1" sqref="B2:B1039">
      <formula1>"iNTERNO"</formula1>
    </dataValidation>
    <dataValidation type="list" allowBlank="1" showDropDown="1" sqref="C172:C199">
      <formula1>"iNTERNO"</formula1>
    </dataValidation>
  </dataValidations>
  <hyperlinks>
    <hyperlink r:id="rId2" ref="B21"/>
    <hyperlink r:id="rId3" ref="D206"/>
  </hyperlinks>
  <printOptions/>
  <pageMargins bottom="0.75" footer="0.0" header="0.0" left="0.7" right="0.7" top="0.75"/>
  <pageSetup orientation="portrait"/>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1106</v>
      </c>
      <c r="C1" s="3" t="s">
        <v>2</v>
      </c>
      <c r="D1" s="195" t="s">
        <v>1107</v>
      </c>
      <c r="E1" s="196" t="s">
        <v>1108</v>
      </c>
      <c r="F1" s="6" t="s">
        <v>5</v>
      </c>
      <c r="G1" s="7" t="s">
        <v>6</v>
      </c>
      <c r="H1" s="8" t="s">
        <v>7</v>
      </c>
      <c r="I1" s="9" t="s">
        <v>8</v>
      </c>
      <c r="J1" s="9" t="s">
        <v>9</v>
      </c>
      <c r="K1" s="10" t="s">
        <v>1109</v>
      </c>
      <c r="L1" s="10" t="s">
        <v>11</v>
      </c>
      <c r="M1" s="9" t="s">
        <v>12</v>
      </c>
      <c r="N1" s="9" t="s">
        <v>13</v>
      </c>
      <c r="O1" s="9" t="s">
        <v>14</v>
      </c>
      <c r="P1" s="11" t="s">
        <v>15</v>
      </c>
      <c r="Q1" s="196" t="s">
        <v>1110</v>
      </c>
      <c r="R1" s="197" t="s">
        <v>1111</v>
      </c>
    </row>
    <row r="2" ht="75.75" customHeight="1">
      <c r="A2" s="15" t="s">
        <v>1112</v>
      </c>
      <c r="B2" s="198" t="s">
        <v>1113</v>
      </c>
      <c r="C2" s="17" t="s">
        <v>1114</v>
      </c>
      <c r="D2" s="199"/>
      <c r="E2" s="200" t="s">
        <v>1115</v>
      </c>
      <c r="F2" s="19" t="s">
        <v>73</v>
      </c>
      <c r="G2" s="20">
        <v>100.0</v>
      </c>
      <c r="H2" s="201">
        <v>3.0</v>
      </c>
      <c r="I2" s="202"/>
      <c r="J2" s="35">
        <v>45691.0</v>
      </c>
      <c r="K2" s="24">
        <v>45821.0</v>
      </c>
      <c r="L2" s="35">
        <v>45824.0</v>
      </c>
      <c r="M2" s="25">
        <f>IF(ISBLANK(L2), NETWORKDAYS(J2, TODAY(),Hoja2!$A$1:$A$18), NETWORKDAYS(J2, L2, Hoja2!$A$1:$A$18))</f>
        <v>96</v>
      </c>
      <c r="N2" s="22"/>
      <c r="O2" s="203">
        <v>45843.0</v>
      </c>
      <c r="P2" s="204" t="s">
        <v>1116</v>
      </c>
      <c r="Q2" s="205" t="s">
        <v>69</v>
      </c>
      <c r="R2" s="31"/>
    </row>
    <row r="3" ht="75.75" customHeight="1">
      <c r="A3" s="15" t="s">
        <v>1112</v>
      </c>
      <c r="B3" s="198" t="s">
        <v>1117</v>
      </c>
      <c r="C3" s="17" t="s">
        <v>1118</v>
      </c>
      <c r="D3" s="199"/>
      <c r="E3" s="200" t="s">
        <v>1115</v>
      </c>
      <c r="F3" s="19" t="s">
        <v>73</v>
      </c>
      <c r="G3" s="20">
        <v>100.0</v>
      </c>
      <c r="H3" s="201">
        <v>3.0</v>
      </c>
      <c r="I3" s="206">
        <v>45824.0</v>
      </c>
      <c r="J3" s="35">
        <v>45824.0</v>
      </c>
      <c r="K3" s="24">
        <v>45826.0</v>
      </c>
      <c r="L3" s="35">
        <v>45827.0</v>
      </c>
      <c r="M3" s="25">
        <f>IF(ISBLANK(L3), NETWORKDAYS(J3, TODAY(),Hoja2!$A$1:$A$18), NETWORKDAYS(J3, L3, Hoja2!$A$1:$A$18))</f>
        <v>4</v>
      </c>
      <c r="N3" s="22"/>
      <c r="O3" s="203">
        <v>45843.0</v>
      </c>
      <c r="P3" s="88" t="s">
        <v>1119</v>
      </c>
      <c r="Q3" s="205" t="s">
        <v>69</v>
      </c>
      <c r="R3" s="31"/>
    </row>
    <row r="4" ht="154.5" customHeight="1">
      <c r="A4" s="15" t="s">
        <v>1112</v>
      </c>
      <c r="B4" s="198" t="s">
        <v>1120</v>
      </c>
      <c r="C4" s="128" t="s">
        <v>1121</v>
      </c>
      <c r="D4" s="199"/>
      <c r="E4" s="200" t="s">
        <v>1115</v>
      </c>
      <c r="F4" s="207" t="s">
        <v>73</v>
      </c>
      <c r="G4" s="20">
        <v>100.0</v>
      </c>
      <c r="H4" s="201">
        <v>2.0</v>
      </c>
      <c r="I4" s="22"/>
      <c r="J4" s="35">
        <v>45827.0</v>
      </c>
      <c r="K4" s="24">
        <v>45833.0</v>
      </c>
      <c r="L4" s="35">
        <v>45841.0</v>
      </c>
      <c r="M4" s="25">
        <f>IF(ISBLANK(L4), NETWORKDAYS(J4, TODAY(),Hoja2!$A$1:$A$18), NETWORKDAYS(J4, L4, Hoja2!$A$1:$A$18))</f>
        <v>11</v>
      </c>
      <c r="N4" s="22"/>
      <c r="O4" s="203">
        <v>45843.0</v>
      </c>
      <c r="P4" s="44" t="s">
        <v>1122</v>
      </c>
      <c r="Q4" s="205" t="s">
        <v>69</v>
      </c>
      <c r="R4" s="38" t="s">
        <v>1123</v>
      </c>
    </row>
    <row r="5" ht="29.25" customHeight="1">
      <c r="A5" s="15" t="s">
        <v>1112</v>
      </c>
      <c r="B5" s="198" t="s">
        <v>1124</v>
      </c>
      <c r="C5" s="128" t="s">
        <v>1125</v>
      </c>
      <c r="D5" s="199"/>
      <c r="E5" s="200" t="s">
        <v>1115</v>
      </c>
      <c r="F5" s="19" t="s">
        <v>73</v>
      </c>
      <c r="G5" s="20">
        <v>100.0</v>
      </c>
      <c r="H5" s="201">
        <v>2.0</v>
      </c>
      <c r="I5" s="43">
        <v>45817.0</v>
      </c>
      <c r="J5" s="35">
        <v>45817.0</v>
      </c>
      <c r="K5" s="24">
        <v>45819.0</v>
      </c>
      <c r="L5" s="42">
        <v>45820.0</v>
      </c>
      <c r="M5" s="25">
        <f>IF(ISBLANK(L5), NETWORKDAYS(J5, TODAY(),Hoja2!$A$1:$A$18), NETWORKDAYS(J5, L5, Hoja2!$A$1:$A$18))</f>
        <v>4</v>
      </c>
      <c r="N5" s="22"/>
      <c r="O5" s="203">
        <v>45843.0</v>
      </c>
      <c r="P5" s="44" t="s">
        <v>1126</v>
      </c>
      <c r="Q5" s="205" t="s">
        <v>69</v>
      </c>
      <c r="R5" s="38" t="s">
        <v>1123</v>
      </c>
    </row>
    <row r="6" ht="29.25" customHeight="1">
      <c r="A6" s="15" t="s">
        <v>1112</v>
      </c>
      <c r="B6" s="198" t="s">
        <v>1127</v>
      </c>
      <c r="C6" s="128" t="s">
        <v>1128</v>
      </c>
      <c r="D6" s="199"/>
      <c r="E6" s="200" t="s">
        <v>1115</v>
      </c>
      <c r="F6" s="19" t="s">
        <v>73</v>
      </c>
      <c r="G6" s="20">
        <v>100.0</v>
      </c>
      <c r="H6" s="201">
        <v>1.0</v>
      </c>
      <c r="I6" s="43">
        <v>45817.0</v>
      </c>
      <c r="J6" s="35">
        <v>45841.0</v>
      </c>
      <c r="K6" s="24">
        <v>45842.0</v>
      </c>
      <c r="L6" s="35">
        <v>45842.0</v>
      </c>
      <c r="M6" s="25">
        <f>IF(ISBLANK(L6), NETWORKDAYS(J6, TODAY(),Hoja2!$A$1:$A$18), NETWORKDAYS(J6, L6, Hoja2!$A$1:$A$18))</f>
        <v>2</v>
      </c>
      <c r="N6" s="22"/>
      <c r="O6" s="203">
        <v>45852.0</v>
      </c>
      <c r="P6" s="27" t="s">
        <v>1129</v>
      </c>
      <c r="Q6" s="205" t="s">
        <v>69</v>
      </c>
      <c r="R6" s="31" t="s">
        <v>1130</v>
      </c>
    </row>
    <row r="7" ht="29.25" customHeight="1">
      <c r="A7" s="15" t="s">
        <v>1112</v>
      </c>
      <c r="B7" s="208" t="s">
        <v>1131</v>
      </c>
      <c r="C7" s="209" t="s">
        <v>1132</v>
      </c>
      <c r="D7" s="199"/>
      <c r="E7" s="200" t="s">
        <v>1133</v>
      </c>
      <c r="F7" s="19" t="s">
        <v>73</v>
      </c>
      <c r="G7" s="20">
        <v>100.0</v>
      </c>
      <c r="H7" s="201">
        <v>1.0</v>
      </c>
      <c r="I7" s="43">
        <v>45817.0</v>
      </c>
      <c r="J7" s="210">
        <v>45845.0</v>
      </c>
      <c r="K7" s="24"/>
      <c r="L7" s="35">
        <v>45847.0</v>
      </c>
      <c r="M7" s="25">
        <f>IF(ISBLANK(L7), NETWORKDAYS(J7, TODAY(),Hoja2!$A$1:$A$18), NETWORKDAYS(J7, L7, Hoja2!$A$1:$A$18))</f>
        <v>3</v>
      </c>
      <c r="N7" s="22"/>
      <c r="O7" s="203">
        <v>45852.0</v>
      </c>
      <c r="P7" s="27" t="s">
        <v>1134</v>
      </c>
      <c r="Q7" s="205" t="s">
        <v>69</v>
      </c>
      <c r="R7" s="38" t="s">
        <v>1135</v>
      </c>
    </row>
    <row r="8" ht="29.25" customHeight="1">
      <c r="A8" s="15" t="s">
        <v>1112</v>
      </c>
      <c r="B8" s="211" t="s">
        <v>1136</v>
      </c>
      <c r="C8" s="212" t="s">
        <v>1137</v>
      </c>
      <c r="D8" s="199"/>
      <c r="E8" s="213" t="s">
        <v>1133</v>
      </c>
      <c r="F8" s="19" t="s">
        <v>73</v>
      </c>
      <c r="G8" s="57">
        <v>100.0</v>
      </c>
      <c r="H8" s="57">
        <v>1.0</v>
      </c>
      <c r="I8" s="83">
        <v>45834.0</v>
      </c>
      <c r="J8" s="24">
        <v>45848.0</v>
      </c>
      <c r="K8" s="214"/>
      <c r="L8" s="24">
        <v>45822.0</v>
      </c>
      <c r="M8" s="25">
        <f>IF(ISBLANK(L8), NETWORKDAYS(J8, TODAY(),Hoja2!$A$1:$A$18), NETWORKDAYS(J8, L8, Hoja2!$A$1:$A$18))</f>
        <v>-19</v>
      </c>
      <c r="N8" s="215"/>
      <c r="O8" s="203">
        <v>45852.0</v>
      </c>
      <c r="P8" s="216" t="s">
        <v>1138</v>
      </c>
      <c r="Q8" s="205" t="s">
        <v>69</v>
      </c>
      <c r="R8" s="47" t="s">
        <v>1139</v>
      </c>
    </row>
    <row r="9" ht="29.25" customHeight="1">
      <c r="A9" s="15" t="s">
        <v>1112</v>
      </c>
      <c r="B9" s="211" t="s">
        <v>1140</v>
      </c>
      <c r="C9" s="212" t="s">
        <v>1141</v>
      </c>
      <c r="D9" s="199"/>
      <c r="E9" s="213" t="s">
        <v>1133</v>
      </c>
      <c r="F9" s="19" t="s">
        <v>73</v>
      </c>
      <c r="G9" s="57">
        <v>100.0</v>
      </c>
      <c r="H9" s="201">
        <v>1.0</v>
      </c>
      <c r="I9" s="83">
        <v>45834.0</v>
      </c>
      <c r="J9" s="24">
        <v>45848.0</v>
      </c>
      <c r="K9" s="51"/>
      <c r="L9" s="24">
        <v>45848.0</v>
      </c>
      <c r="M9" s="25">
        <f>IF(ISBLANK(L9), NETWORKDAYS(J9, TODAY(),Hoja2!$A$1:$A$18), NETWORKDAYS(J9, L9, Hoja2!$A$1:$A$18))</f>
        <v>1</v>
      </c>
      <c r="N9" s="215"/>
      <c r="O9" s="26"/>
      <c r="P9" s="216" t="s">
        <v>1142</v>
      </c>
      <c r="Q9" s="205" t="s">
        <v>69</v>
      </c>
      <c r="R9" s="47" t="s">
        <v>1143</v>
      </c>
    </row>
    <row r="10" ht="29.25" customHeight="1">
      <c r="A10" s="15" t="s">
        <v>1112</v>
      </c>
      <c r="B10" s="211" t="s">
        <v>1144</v>
      </c>
      <c r="C10" s="217" t="s">
        <v>1145</v>
      </c>
      <c r="D10" s="199"/>
      <c r="E10" s="213" t="s">
        <v>1133</v>
      </c>
      <c r="F10" s="19" t="s">
        <v>73</v>
      </c>
      <c r="G10" s="57">
        <v>100.0</v>
      </c>
      <c r="H10" s="57">
        <v>1.0</v>
      </c>
      <c r="I10" s="83">
        <v>45834.0</v>
      </c>
      <c r="J10" s="24">
        <v>45854.0</v>
      </c>
      <c r="K10" s="69"/>
      <c r="L10" s="24">
        <v>45855.0</v>
      </c>
      <c r="M10" s="25">
        <f>IF(ISBLANK(L10), NETWORKDAYS(J10, TODAY(),Hoja2!$A$1:$A$18), NETWORKDAYS(J10, L10, Hoja2!$A$1:$A$18))</f>
        <v>2</v>
      </c>
      <c r="N10" s="215"/>
      <c r="O10" s="203">
        <v>45855.0</v>
      </c>
      <c r="P10" s="216" t="s">
        <v>1146</v>
      </c>
      <c r="Q10" s="205" t="s">
        <v>69</v>
      </c>
      <c r="R10" s="47" t="s">
        <v>1147</v>
      </c>
    </row>
    <row r="11" ht="29.25" customHeight="1">
      <c r="A11" s="15" t="s">
        <v>1112</v>
      </c>
      <c r="B11" s="211" t="s">
        <v>1148</v>
      </c>
      <c r="C11" s="217" t="s">
        <v>1149</v>
      </c>
      <c r="D11" s="199"/>
      <c r="E11" s="213" t="s">
        <v>1133</v>
      </c>
      <c r="F11" s="19" t="s">
        <v>73</v>
      </c>
      <c r="G11" s="57">
        <v>100.0</v>
      </c>
      <c r="H11" s="57">
        <v>1.0</v>
      </c>
      <c r="I11" s="83">
        <v>45834.0</v>
      </c>
      <c r="J11" s="24">
        <v>45848.0</v>
      </c>
      <c r="K11" s="69"/>
      <c r="L11" s="24">
        <v>45818.0</v>
      </c>
      <c r="M11" s="25">
        <f>IF(ISBLANK(L11), NETWORKDAYS(J11, TODAY(),Hoja2!$A$1:$A$18), NETWORKDAYS(J11, L11, Hoja2!$A$1:$A$18))</f>
        <v>-23</v>
      </c>
      <c r="N11" s="215"/>
      <c r="O11" s="203">
        <v>45852.0</v>
      </c>
      <c r="P11" s="216" t="s">
        <v>1150</v>
      </c>
      <c r="Q11" s="205" t="s">
        <v>69</v>
      </c>
      <c r="R11" s="47" t="s">
        <v>1151</v>
      </c>
    </row>
    <row r="12" ht="29.25" customHeight="1">
      <c r="A12" s="15" t="s">
        <v>1112</v>
      </c>
      <c r="B12" s="211" t="s">
        <v>1152</v>
      </c>
      <c r="C12" s="218" t="s">
        <v>1153</v>
      </c>
      <c r="D12" s="219"/>
      <c r="E12" s="220" t="s">
        <v>1133</v>
      </c>
      <c r="F12" s="98" t="s">
        <v>73</v>
      </c>
      <c r="G12" s="57">
        <v>100.0</v>
      </c>
      <c r="H12" s="72"/>
      <c r="I12" s="83">
        <v>45853.0</v>
      </c>
      <c r="J12" s="24">
        <v>45853.0</v>
      </c>
      <c r="K12" s="69"/>
      <c r="L12" s="24">
        <v>45854.0</v>
      </c>
      <c r="M12" s="25">
        <f>IF(ISBLANK(L12), NETWORKDAYS(J12, TODAY(),Hoja2!$A$1:$A$18), NETWORKDAYS(J12, L12, Hoja2!$A$1:$A$18))</f>
        <v>2</v>
      </c>
      <c r="N12" s="215"/>
      <c r="O12" s="26"/>
      <c r="P12" s="216" t="s">
        <v>1154</v>
      </c>
      <c r="Q12" s="205" t="s">
        <v>69</v>
      </c>
      <c r="R12" s="221"/>
    </row>
    <row r="13" ht="39.0" customHeight="1">
      <c r="A13" s="15" t="s">
        <v>1112</v>
      </c>
      <c r="B13" s="198" t="s">
        <v>1155</v>
      </c>
      <c r="C13" s="127" t="s">
        <v>1156</v>
      </c>
      <c r="D13" s="222"/>
      <c r="E13" s="200" t="s">
        <v>1115</v>
      </c>
      <c r="F13" s="19" t="s">
        <v>73</v>
      </c>
      <c r="G13" s="57">
        <v>100.0</v>
      </c>
      <c r="H13" s="57">
        <v>2.0</v>
      </c>
      <c r="I13" s="83">
        <v>45855.0</v>
      </c>
      <c r="J13" s="60">
        <v>45855.0</v>
      </c>
      <c r="K13" s="60">
        <v>45857.0</v>
      </c>
      <c r="L13" s="60">
        <v>45862.0</v>
      </c>
      <c r="M13" s="25">
        <f>IF(ISBLANK(L13), NETWORKDAYS(J13, TODAY(),Hoja2!$A$1:$A$18), NETWORKDAYS(J13, L13, Hoja2!$A$1:$A$18))</f>
        <v>6</v>
      </c>
      <c r="N13" s="59"/>
      <c r="O13" s="70"/>
      <c r="P13" s="62" t="s">
        <v>1157</v>
      </c>
      <c r="Q13" s="205" t="s">
        <v>69</v>
      </c>
      <c r="R13" s="64" t="s">
        <v>1158</v>
      </c>
    </row>
    <row r="14" ht="29.25" customHeight="1">
      <c r="A14" s="15" t="s">
        <v>1159</v>
      </c>
      <c r="B14" s="198" t="s">
        <v>1160</v>
      </c>
      <c r="C14" s="128" t="s">
        <v>1161</v>
      </c>
      <c r="D14" s="199"/>
      <c r="E14" s="200" t="s">
        <v>1115</v>
      </c>
      <c r="F14" s="19" t="s">
        <v>73</v>
      </c>
      <c r="G14" s="57">
        <v>100.0</v>
      </c>
      <c r="H14" s="20">
        <v>4.0</v>
      </c>
      <c r="I14" s="59"/>
      <c r="J14" s="60">
        <v>45859.0</v>
      </c>
      <c r="K14" s="35">
        <v>45896.0</v>
      </c>
      <c r="L14" s="35">
        <v>45944.0</v>
      </c>
      <c r="M14" s="25">
        <f>IF(ISBLANK(L14), NETWORKDAYS(J14, TODAY(),Hoja2!$A$1:$A$18), NETWORKDAYS(J14, L14, Hoja2!$A$1:$A$18))</f>
        <v>62</v>
      </c>
      <c r="N14" s="59"/>
      <c r="O14" s="70"/>
      <c r="P14" s="223" t="s">
        <v>1162</v>
      </c>
      <c r="Q14" s="205" t="s">
        <v>69</v>
      </c>
      <c r="R14" s="224" t="s">
        <v>1163</v>
      </c>
    </row>
    <row r="15" ht="29.25" customHeight="1">
      <c r="A15" s="15" t="s">
        <v>1112</v>
      </c>
      <c r="B15" s="198" t="s">
        <v>1164</v>
      </c>
      <c r="C15" s="128" t="s">
        <v>1165</v>
      </c>
      <c r="D15" s="199"/>
      <c r="E15" s="200" t="s">
        <v>1115</v>
      </c>
      <c r="F15" s="19" t="s">
        <v>73</v>
      </c>
      <c r="G15" s="57">
        <v>100.0</v>
      </c>
      <c r="H15" s="20"/>
      <c r="I15" s="83">
        <v>45940.0</v>
      </c>
      <c r="J15" s="60">
        <v>45940.0</v>
      </c>
      <c r="K15" s="35">
        <v>45946.0</v>
      </c>
      <c r="L15" s="35">
        <v>45951.0</v>
      </c>
      <c r="M15" s="25">
        <f>IF(ISBLANK(L15), NETWORKDAYS(J15, TODAY(),Hoja2!$A$1:$A$18), NETWORKDAYS(J15, L15, Hoja2!$A$1:$A$18))</f>
        <v>8</v>
      </c>
      <c r="N15" s="59"/>
      <c r="O15" s="70"/>
      <c r="P15" s="223" t="s">
        <v>1166</v>
      </c>
      <c r="Q15" s="205" t="s">
        <v>120</v>
      </c>
      <c r="R15" s="224"/>
    </row>
    <row r="16" ht="29.25" customHeight="1">
      <c r="A16" s="15" t="s">
        <v>1112</v>
      </c>
      <c r="B16" s="198" t="s">
        <v>1167</v>
      </c>
      <c r="C16" s="127" t="s">
        <v>1168</v>
      </c>
      <c r="D16" s="199"/>
      <c r="E16" s="225" t="s">
        <v>1115</v>
      </c>
      <c r="F16" s="19" t="s">
        <v>73</v>
      </c>
      <c r="G16" s="57">
        <v>100.0</v>
      </c>
      <c r="H16" s="29"/>
      <c r="I16" s="83">
        <v>45855.0</v>
      </c>
      <c r="J16" s="60">
        <v>45855.0</v>
      </c>
      <c r="K16" s="23"/>
      <c r="L16" s="35">
        <v>45860.0</v>
      </c>
      <c r="M16" s="78">
        <f>IF(ISBLANK(L16), NETWORKDAYS(J16, TODAY(),Hoja2!$A$1:$A$18), NETWORKDAYS(J16, L16, Hoja2!$A$1:$A$18))</f>
        <v>4</v>
      </c>
      <c r="N16" s="59"/>
      <c r="O16" s="61">
        <v>45885.0</v>
      </c>
      <c r="P16" s="79" t="s">
        <v>1169</v>
      </c>
      <c r="Q16" s="205" t="s">
        <v>69</v>
      </c>
      <c r="R16" s="226"/>
    </row>
    <row r="17" ht="29.25" customHeight="1">
      <c r="A17" s="227" t="s">
        <v>1170</v>
      </c>
      <c r="B17" s="198" t="s">
        <v>1171</v>
      </c>
      <c r="C17" s="127" t="s">
        <v>1172</v>
      </c>
      <c r="D17" s="199"/>
      <c r="E17" s="228" t="s">
        <v>1115</v>
      </c>
      <c r="F17" s="19" t="s">
        <v>73</v>
      </c>
      <c r="G17" s="57">
        <v>100.0</v>
      </c>
      <c r="H17" s="29"/>
      <c r="I17" s="83">
        <v>45863.0</v>
      </c>
      <c r="J17" s="60">
        <v>45863.0</v>
      </c>
      <c r="K17" s="35">
        <v>45863.0</v>
      </c>
      <c r="L17" s="60">
        <v>45885.0</v>
      </c>
      <c r="M17" s="78">
        <f>IF(ISBLANK(L17), NETWORKDAYS(J17, TODAY(),Hoja2!$A$1:$A$18), NETWORKDAYS(J17, L17, Hoja2!$A$1:$A$18))</f>
        <v>16</v>
      </c>
      <c r="N17" s="83"/>
      <c r="O17" s="70"/>
      <c r="P17" s="79" t="s">
        <v>1173</v>
      </c>
      <c r="Q17" s="205" t="s">
        <v>69</v>
      </c>
      <c r="R17" s="80"/>
    </row>
    <row r="18" ht="29.25" customHeight="1">
      <c r="A18" s="15" t="s">
        <v>1112</v>
      </c>
      <c r="B18" s="198" t="s">
        <v>1174</v>
      </c>
      <c r="C18" s="127" t="s">
        <v>1175</v>
      </c>
      <c r="D18" s="229"/>
      <c r="E18" s="228" t="s">
        <v>1115</v>
      </c>
      <c r="F18" s="87" t="s">
        <v>73</v>
      </c>
      <c r="G18" s="57">
        <v>100.0</v>
      </c>
      <c r="H18" s="57"/>
      <c r="I18" s="83">
        <v>45863.0</v>
      </c>
      <c r="J18" s="60">
        <v>45866.0</v>
      </c>
      <c r="K18" s="60">
        <v>45867.0</v>
      </c>
      <c r="L18" s="60">
        <v>45870.0</v>
      </c>
      <c r="M18" s="78">
        <f>IF(ISBLANK(L18), NETWORKDAYS(J18, TODAY(),Hoja2!$A$1:$A$18), NETWORKDAYS(J18, L18, Hoja2!$A$1:$A$18))</f>
        <v>5</v>
      </c>
      <c r="N18" s="83"/>
      <c r="O18" s="61">
        <v>45885.0</v>
      </c>
      <c r="P18" s="88" t="s">
        <v>1176</v>
      </c>
      <c r="Q18" s="205" t="s">
        <v>69</v>
      </c>
      <c r="R18" s="89"/>
    </row>
    <row r="19" ht="29.25" customHeight="1">
      <c r="A19" s="15" t="s">
        <v>1112</v>
      </c>
      <c r="B19" s="198" t="s">
        <v>1177</v>
      </c>
      <c r="C19" s="127" t="s">
        <v>1178</v>
      </c>
      <c r="D19" s="219"/>
      <c r="E19" s="228" t="s">
        <v>1179</v>
      </c>
      <c r="F19" s="98" t="s">
        <v>73</v>
      </c>
      <c r="G19" s="57">
        <v>100.0</v>
      </c>
      <c r="H19" s="99"/>
      <c r="I19" s="83">
        <v>45870.0</v>
      </c>
      <c r="J19" s="60">
        <v>45870.0</v>
      </c>
      <c r="K19" s="60">
        <v>45870.0</v>
      </c>
      <c r="L19" s="60">
        <v>45877.0</v>
      </c>
      <c r="M19" s="25">
        <f>IF(ISBLANK(L19), NETWORKDAYS(J19, TODAY(),Hoja2!$A$1:$A$18), NETWORKDAYS(J19, L19, Hoja2!$A$1:$A$18))</f>
        <v>6</v>
      </c>
      <c r="N19" s="59"/>
      <c r="O19" s="70"/>
      <c r="P19" s="62" t="s">
        <v>1180</v>
      </c>
      <c r="Q19" s="205" t="s">
        <v>69</v>
      </c>
      <c r="R19" s="101"/>
    </row>
    <row r="20" ht="29.25" customHeight="1">
      <c r="A20" s="15" t="s">
        <v>1112</v>
      </c>
      <c r="B20" s="198" t="s">
        <v>1181</v>
      </c>
      <c r="C20" s="127" t="s">
        <v>1182</v>
      </c>
      <c r="D20" s="199"/>
      <c r="E20" s="200" t="s">
        <v>1115</v>
      </c>
      <c r="F20" s="19" t="s">
        <v>73</v>
      </c>
      <c r="G20" s="57">
        <v>100.0</v>
      </c>
      <c r="H20" s="99"/>
      <c r="I20" s="83">
        <v>45874.0</v>
      </c>
      <c r="J20" s="60">
        <v>45874.0</v>
      </c>
      <c r="K20" s="69"/>
      <c r="L20" s="60">
        <v>45882.0</v>
      </c>
      <c r="M20" s="25">
        <f>IF(ISBLANK(L20), NETWORKDAYS(J20, TODAY(),Hoja2!$A$1:$A$18), NETWORKDAYS(J20, L20, Hoja2!$A$1:$A$18))</f>
        <v>7</v>
      </c>
      <c r="N20" s="59"/>
      <c r="O20" s="61">
        <v>45885.0</v>
      </c>
      <c r="P20" s="27" t="s">
        <v>1183</v>
      </c>
      <c r="Q20" s="205" t="s">
        <v>69</v>
      </c>
      <c r="R20" s="31"/>
    </row>
    <row r="21" ht="29.25" customHeight="1">
      <c r="A21" s="15" t="s">
        <v>1112</v>
      </c>
      <c r="B21" s="198" t="s">
        <v>1184</v>
      </c>
      <c r="C21" s="230" t="s">
        <v>1185</v>
      </c>
      <c r="D21" s="231"/>
      <c r="E21" s="200" t="s">
        <v>1115</v>
      </c>
      <c r="F21" s="115" t="s">
        <v>73</v>
      </c>
      <c r="G21" s="116">
        <v>100.0</v>
      </c>
      <c r="H21" s="108"/>
      <c r="I21" s="117">
        <v>45883.0</v>
      </c>
      <c r="J21" s="60">
        <v>45883.0</v>
      </c>
      <c r="K21" s="60"/>
      <c r="L21" s="60">
        <v>45883.0</v>
      </c>
      <c r="M21" s="25">
        <f>IF(ISBLANK(L21), NETWORKDAYS(J21, TODAY(),Hoja2!$A$1:$A$18), NETWORKDAYS(J21, L21, Hoja2!$A$1:$A$18))</f>
        <v>1</v>
      </c>
      <c r="N21" s="83"/>
      <c r="O21" s="61">
        <v>45885.0</v>
      </c>
      <c r="P21" s="27" t="s">
        <v>1186</v>
      </c>
      <c r="Q21" s="205" t="s">
        <v>69</v>
      </c>
      <c r="R21" s="31"/>
    </row>
    <row r="22" ht="29.25" customHeight="1">
      <c r="A22" s="15" t="s">
        <v>1112</v>
      </c>
      <c r="B22" s="198" t="s">
        <v>1187</v>
      </c>
      <c r="C22" s="230" t="s">
        <v>1188</v>
      </c>
      <c r="D22" s="232" t="s">
        <v>1189</v>
      </c>
      <c r="E22" s="200" t="s">
        <v>1115</v>
      </c>
      <c r="F22" s="115" t="s">
        <v>73</v>
      </c>
      <c r="G22" s="116">
        <v>100.0</v>
      </c>
      <c r="H22" s="108"/>
      <c r="I22" s="117"/>
      <c r="J22" s="60">
        <v>45895.0</v>
      </c>
      <c r="K22" s="60"/>
      <c r="L22" s="60">
        <v>45895.0</v>
      </c>
      <c r="M22" s="25">
        <f>IF(ISBLANK(L22), NETWORKDAYS(J22, TODAY(),Hoja2!$A$1:$A$18), NETWORKDAYS(J22, L22, Hoja2!$A$1:$A$18))</f>
        <v>1</v>
      </c>
      <c r="N22" s="83"/>
      <c r="O22" s="61"/>
      <c r="P22" s="27" t="s">
        <v>1190</v>
      </c>
      <c r="Q22" s="205" t="s">
        <v>69</v>
      </c>
      <c r="R22" s="31"/>
    </row>
    <row r="23" ht="29.25" customHeight="1">
      <c r="A23" s="15" t="s">
        <v>1112</v>
      </c>
      <c r="B23" s="198" t="s">
        <v>1191</v>
      </c>
      <c r="C23" s="127" t="s">
        <v>1178</v>
      </c>
      <c r="D23" s="233" t="s">
        <v>1192</v>
      </c>
      <c r="E23" s="200" t="s">
        <v>1179</v>
      </c>
      <c r="F23" s="87" t="s">
        <v>73</v>
      </c>
      <c r="G23" s="57">
        <v>100.0</v>
      </c>
      <c r="H23" s="57"/>
      <c r="I23" s="83">
        <v>45884.0</v>
      </c>
      <c r="J23" s="60">
        <v>45884.0</v>
      </c>
      <c r="K23" s="60">
        <v>45891.0</v>
      </c>
      <c r="L23" s="60">
        <v>45947.0</v>
      </c>
      <c r="M23" s="78">
        <f>IF(ISBLANK(L23), NETWORKDAYS(J23, TODAY(),Hoja2!$A$1:$A$18), NETWORKDAYS(J23, L23, Hoja2!$A$1:$A$18))</f>
        <v>46</v>
      </c>
      <c r="N23" s="83"/>
      <c r="O23" s="61"/>
      <c r="P23" s="31" t="s">
        <v>1193</v>
      </c>
      <c r="Q23" s="205" t="s">
        <v>69</v>
      </c>
      <c r="R23" s="31"/>
    </row>
    <row r="24" ht="29.25" customHeight="1">
      <c r="A24" s="15" t="s">
        <v>1112</v>
      </c>
      <c r="B24" s="198" t="s">
        <v>1194</v>
      </c>
      <c r="C24" s="127" t="s">
        <v>1195</v>
      </c>
      <c r="D24" s="233"/>
      <c r="E24" s="200" t="s">
        <v>1196</v>
      </c>
      <c r="F24" s="234" t="s">
        <v>73</v>
      </c>
      <c r="G24" s="57">
        <v>100.0</v>
      </c>
      <c r="H24" s="57"/>
      <c r="I24" s="83">
        <v>45894.0</v>
      </c>
      <c r="J24" s="60">
        <v>45894.0</v>
      </c>
      <c r="K24" s="60">
        <v>45898.0</v>
      </c>
      <c r="L24" s="60">
        <v>45897.0</v>
      </c>
      <c r="M24" s="78">
        <f>IF(ISBLANK(L24), NETWORKDAYS(J24, TODAY(),Hoja2!$A$1:$A$18), NETWORKDAYS(J24, L24, Hoja2!$A$1:$A$18))</f>
        <v>4</v>
      </c>
      <c r="N24" s="83"/>
      <c r="O24" s="61"/>
      <c r="P24" s="31" t="s">
        <v>1197</v>
      </c>
      <c r="Q24" s="205" t="s">
        <v>69</v>
      </c>
      <c r="R24" s="31"/>
    </row>
    <row r="25" ht="29.25" customHeight="1">
      <c r="A25" s="15" t="s">
        <v>1112</v>
      </c>
      <c r="B25" s="198" t="s">
        <v>1198</v>
      </c>
      <c r="C25" s="127" t="s">
        <v>1195</v>
      </c>
      <c r="D25" s="233"/>
      <c r="E25" s="200" t="s">
        <v>1196</v>
      </c>
      <c r="F25" s="234" t="s">
        <v>73</v>
      </c>
      <c r="G25" s="57">
        <v>100.0</v>
      </c>
      <c r="H25" s="57"/>
      <c r="I25" s="83">
        <v>45894.0</v>
      </c>
      <c r="J25" s="60">
        <v>45894.0</v>
      </c>
      <c r="K25" s="60">
        <v>45898.0</v>
      </c>
      <c r="L25" s="60">
        <v>45897.0</v>
      </c>
      <c r="M25" s="78">
        <f>IF(ISBLANK(L25), NETWORKDAYS(J25, TODAY(),Hoja2!$A$1:$A$18), NETWORKDAYS(J25, L25, Hoja2!$A$1:$A$18))</f>
        <v>4</v>
      </c>
      <c r="N25" s="83"/>
      <c r="O25" s="61"/>
      <c r="P25" s="31" t="s">
        <v>1199</v>
      </c>
      <c r="Q25" s="205" t="s">
        <v>69</v>
      </c>
      <c r="R25" s="31"/>
    </row>
    <row r="26" ht="29.25" customHeight="1">
      <c r="A26" s="15" t="s">
        <v>1112</v>
      </c>
      <c r="B26" s="198" t="s">
        <v>1200</v>
      </c>
      <c r="C26" s="127" t="s">
        <v>1195</v>
      </c>
      <c r="D26" s="233"/>
      <c r="E26" s="200" t="s">
        <v>1196</v>
      </c>
      <c r="F26" s="234" t="s">
        <v>73</v>
      </c>
      <c r="G26" s="57">
        <v>100.0</v>
      </c>
      <c r="H26" s="57"/>
      <c r="I26" s="83">
        <v>45894.0</v>
      </c>
      <c r="J26" s="60">
        <v>45894.0</v>
      </c>
      <c r="K26" s="60">
        <v>45898.0</v>
      </c>
      <c r="L26" s="60">
        <v>45897.0</v>
      </c>
      <c r="M26" s="78">
        <f>IF(ISBLANK(L26), NETWORKDAYS(J26, TODAY(),Hoja2!$A$1:$A$18), NETWORKDAYS(J26, L26, Hoja2!$A$1:$A$18))</f>
        <v>4</v>
      </c>
      <c r="N26" s="83"/>
      <c r="O26" s="61"/>
      <c r="P26" s="31" t="s">
        <v>1201</v>
      </c>
      <c r="Q26" s="205" t="s">
        <v>69</v>
      </c>
      <c r="R26" s="31"/>
    </row>
    <row r="27" ht="29.25" customHeight="1">
      <c r="A27" s="15" t="s">
        <v>1112</v>
      </c>
      <c r="B27" s="198" t="s">
        <v>1202</v>
      </c>
      <c r="C27" s="127" t="s">
        <v>1195</v>
      </c>
      <c r="D27" s="235"/>
      <c r="E27" s="200" t="s">
        <v>1196</v>
      </c>
      <c r="F27" s="234" t="s">
        <v>73</v>
      </c>
      <c r="G27" s="57">
        <v>100.0</v>
      </c>
      <c r="H27" s="57"/>
      <c r="I27" s="83">
        <v>45894.0</v>
      </c>
      <c r="J27" s="60">
        <v>45894.0</v>
      </c>
      <c r="K27" s="60">
        <v>45898.0</v>
      </c>
      <c r="L27" s="60">
        <v>45897.0</v>
      </c>
      <c r="M27" s="78">
        <f>IF(ISBLANK(L27), NETWORKDAYS(J27, TODAY(),Hoja2!$A$1:$A$18), NETWORKDAYS(J27, L27, Hoja2!$A$1:$A$18))</f>
        <v>4</v>
      </c>
      <c r="N27" s="83"/>
      <c r="O27" s="61"/>
      <c r="P27" s="31" t="s">
        <v>1203</v>
      </c>
      <c r="Q27" s="205" t="s">
        <v>69</v>
      </c>
      <c r="R27" s="31"/>
    </row>
    <row r="28" ht="29.25" customHeight="1">
      <c r="A28" s="15" t="s">
        <v>1112</v>
      </c>
      <c r="B28" s="198" t="s">
        <v>1204</v>
      </c>
      <c r="C28" s="127" t="s">
        <v>1205</v>
      </c>
      <c r="D28" s="233"/>
      <c r="E28" s="200" t="s">
        <v>1196</v>
      </c>
      <c r="F28" s="234" t="s">
        <v>73</v>
      </c>
      <c r="G28" s="57">
        <v>100.0</v>
      </c>
      <c r="H28" s="57"/>
      <c r="I28" s="83">
        <v>45894.0</v>
      </c>
      <c r="J28" s="60">
        <v>45895.0</v>
      </c>
      <c r="K28" s="60">
        <v>45898.0</v>
      </c>
      <c r="L28" s="60">
        <v>45897.0</v>
      </c>
      <c r="M28" s="78">
        <f>IF(ISBLANK(L28), NETWORKDAYS(J28, TODAY(),Hoja2!$A$1:$A$18), NETWORKDAYS(J28, L28, Hoja2!$A$1:$A$18))</f>
        <v>3</v>
      </c>
      <c r="N28" s="83"/>
      <c r="O28" s="61"/>
      <c r="P28" s="31" t="s">
        <v>1206</v>
      </c>
      <c r="Q28" s="205" t="s">
        <v>69</v>
      </c>
      <c r="R28" s="31"/>
    </row>
    <row r="29" ht="29.25" customHeight="1">
      <c r="A29" s="15" t="s">
        <v>1112</v>
      </c>
      <c r="B29" s="198" t="s">
        <v>1207</v>
      </c>
      <c r="C29" s="127" t="s">
        <v>1208</v>
      </c>
      <c r="D29" s="233"/>
      <c r="E29" s="200" t="s">
        <v>1196</v>
      </c>
      <c r="F29" s="234" t="s">
        <v>73</v>
      </c>
      <c r="G29" s="57">
        <v>100.0</v>
      </c>
      <c r="H29" s="57"/>
      <c r="I29" s="83">
        <v>45894.0</v>
      </c>
      <c r="J29" s="60">
        <v>45895.0</v>
      </c>
      <c r="K29" s="60">
        <v>45898.0</v>
      </c>
      <c r="L29" s="60">
        <v>45897.0</v>
      </c>
      <c r="M29" s="78">
        <f>IF(ISBLANK(L29), NETWORKDAYS(J29, TODAY(),Hoja2!$A$1:$A$18), NETWORKDAYS(J29, L29, Hoja2!$A$1:$A$18))</f>
        <v>3</v>
      </c>
      <c r="N29" s="83"/>
      <c r="O29" s="61"/>
      <c r="P29" s="31" t="s">
        <v>1209</v>
      </c>
      <c r="Q29" s="205" t="s">
        <v>69</v>
      </c>
      <c r="R29" s="31"/>
    </row>
    <row r="30" ht="29.25" customHeight="1">
      <c r="A30" s="15" t="s">
        <v>1112</v>
      </c>
      <c r="B30" s="198" t="s">
        <v>1210</v>
      </c>
      <c r="C30" s="127" t="s">
        <v>1208</v>
      </c>
      <c r="D30" s="233"/>
      <c r="E30" s="200" t="s">
        <v>1196</v>
      </c>
      <c r="F30" s="234" t="s">
        <v>73</v>
      </c>
      <c r="G30" s="57">
        <v>100.0</v>
      </c>
      <c r="H30" s="57"/>
      <c r="I30" s="83">
        <v>45894.0</v>
      </c>
      <c r="J30" s="60">
        <v>45895.0</v>
      </c>
      <c r="K30" s="60">
        <v>45898.0</v>
      </c>
      <c r="L30" s="60">
        <v>45897.0</v>
      </c>
      <c r="M30" s="78">
        <f>IF(ISBLANK(L30), NETWORKDAYS(J30, TODAY(),Hoja2!$A$1:$A$18), NETWORKDAYS(J30, L30, Hoja2!$A$1:$A$18))</f>
        <v>3</v>
      </c>
      <c r="N30" s="83"/>
      <c r="O30" s="61"/>
      <c r="P30" s="31" t="s">
        <v>1211</v>
      </c>
      <c r="Q30" s="205" t="s">
        <v>69</v>
      </c>
      <c r="R30" s="31"/>
    </row>
    <row r="31" ht="29.25" customHeight="1">
      <c r="A31" s="15" t="s">
        <v>1112</v>
      </c>
      <c r="B31" s="198" t="s">
        <v>1212</v>
      </c>
      <c r="C31" s="127" t="s">
        <v>1213</v>
      </c>
      <c r="D31" s="233"/>
      <c r="E31" s="200" t="s">
        <v>1115</v>
      </c>
      <c r="F31" s="234" t="s">
        <v>73</v>
      </c>
      <c r="G31" s="57">
        <v>100.0</v>
      </c>
      <c r="H31" s="57"/>
      <c r="I31" s="83">
        <v>45894.0</v>
      </c>
      <c r="J31" s="60">
        <v>45895.0</v>
      </c>
      <c r="K31" s="60">
        <v>45898.0</v>
      </c>
      <c r="L31" s="60">
        <v>45897.0</v>
      </c>
      <c r="M31" s="78">
        <f>IF(ISBLANK(L31), NETWORKDAYS(J31, TODAY(),Hoja2!$A$1:$A$18), NETWORKDAYS(J31, L31, Hoja2!$A$1:$A$18))</f>
        <v>3</v>
      </c>
      <c r="N31" s="83"/>
      <c r="O31" s="61"/>
      <c r="P31" s="31" t="s">
        <v>1214</v>
      </c>
      <c r="Q31" s="205" t="s">
        <v>69</v>
      </c>
      <c r="R31" s="31"/>
    </row>
    <row r="32" ht="29.25" customHeight="1">
      <c r="A32" s="15" t="s">
        <v>1112</v>
      </c>
      <c r="B32" s="198" t="s">
        <v>1215</v>
      </c>
      <c r="C32" s="127" t="s">
        <v>1213</v>
      </c>
      <c r="D32" s="233"/>
      <c r="E32" s="200" t="s">
        <v>1115</v>
      </c>
      <c r="F32" s="87" t="s">
        <v>73</v>
      </c>
      <c r="G32" s="57">
        <v>100.0</v>
      </c>
      <c r="H32" s="57"/>
      <c r="I32" s="83">
        <v>45894.0</v>
      </c>
      <c r="J32" s="60">
        <v>45896.0</v>
      </c>
      <c r="K32" s="60">
        <v>45901.0</v>
      </c>
      <c r="L32" s="60">
        <v>45930.0</v>
      </c>
      <c r="M32" s="78">
        <f>IF(ISBLANK(L32), NETWORKDAYS(J32, TODAY(),Hoja2!$A$1:$A$18), NETWORKDAYS(J32, L32, Hoja2!$A$1:$A$18))</f>
        <v>25</v>
      </c>
      <c r="N32" s="83"/>
      <c r="O32" s="61"/>
      <c r="P32" s="31" t="s">
        <v>1216</v>
      </c>
      <c r="Q32" s="205" t="s">
        <v>69</v>
      </c>
      <c r="R32" s="31"/>
    </row>
    <row r="33" ht="29.25" customHeight="1">
      <c r="A33" s="15" t="s">
        <v>1112</v>
      </c>
      <c r="B33" s="198" t="s">
        <v>1217</v>
      </c>
      <c r="C33" s="127" t="s">
        <v>1218</v>
      </c>
      <c r="D33" s="233"/>
      <c r="E33" s="200" t="s">
        <v>1115</v>
      </c>
      <c r="F33" s="87" t="s">
        <v>73</v>
      </c>
      <c r="G33" s="57">
        <v>100.0</v>
      </c>
      <c r="H33" s="57"/>
      <c r="I33" s="83">
        <v>45894.0</v>
      </c>
      <c r="J33" s="60">
        <v>45930.0</v>
      </c>
      <c r="K33" s="60">
        <v>45901.0</v>
      </c>
      <c r="L33" s="60">
        <v>45930.0</v>
      </c>
      <c r="M33" s="25">
        <f>IF(ISBLANK(L33), NETWORKDAYS(J33, TODAY(),Hoja2!$A$1:$A$18), NETWORKDAYS(J33, L33, Hoja2!$A$1:$A$18))</f>
        <v>1</v>
      </c>
      <c r="N33" s="83"/>
      <c r="O33" s="61"/>
      <c r="P33" s="31" t="s">
        <v>1219</v>
      </c>
      <c r="Q33" s="205" t="s">
        <v>69</v>
      </c>
      <c r="R33" s="31"/>
    </row>
    <row r="34" ht="29.25" customHeight="1">
      <c r="A34" s="15" t="s">
        <v>1112</v>
      </c>
      <c r="B34" s="198" t="s">
        <v>1220</v>
      </c>
      <c r="C34" s="127" t="s">
        <v>1221</v>
      </c>
      <c r="D34" s="233"/>
      <c r="E34" s="200" t="s">
        <v>1115</v>
      </c>
      <c r="F34" s="87" t="s">
        <v>73</v>
      </c>
      <c r="G34" s="57">
        <v>100.0</v>
      </c>
      <c r="H34" s="57"/>
      <c r="I34" s="83">
        <v>45894.0</v>
      </c>
      <c r="J34" s="60">
        <v>45930.0</v>
      </c>
      <c r="K34" s="60">
        <v>45901.0</v>
      </c>
      <c r="L34" s="60">
        <v>45930.0</v>
      </c>
      <c r="M34" s="25">
        <f>IF(ISBLANK(L34), NETWORKDAYS(J34, TODAY(),Hoja2!$A$1:$A$18), NETWORKDAYS(J34, L34, Hoja2!$A$1:$A$18))</f>
        <v>1</v>
      </c>
      <c r="N34" s="83"/>
      <c r="O34" s="61"/>
      <c r="P34" s="31" t="s">
        <v>1222</v>
      </c>
      <c r="Q34" s="205" t="s">
        <v>69</v>
      </c>
      <c r="R34" s="31"/>
    </row>
    <row r="35" ht="29.25" customHeight="1">
      <c r="A35" s="15" t="s">
        <v>1112</v>
      </c>
      <c r="B35" s="198" t="s">
        <v>1223</v>
      </c>
      <c r="C35" s="127" t="s">
        <v>1224</v>
      </c>
      <c r="D35" s="233"/>
      <c r="E35" s="200" t="s">
        <v>1115</v>
      </c>
      <c r="F35" s="87" t="s">
        <v>73</v>
      </c>
      <c r="G35" s="57">
        <v>100.0</v>
      </c>
      <c r="H35" s="57"/>
      <c r="I35" s="83">
        <v>45894.0</v>
      </c>
      <c r="J35" s="60">
        <v>45947.0</v>
      </c>
      <c r="K35" s="60">
        <v>45901.0</v>
      </c>
      <c r="L35" s="60">
        <v>45947.0</v>
      </c>
      <c r="M35" s="78">
        <f>IF(ISBLANK(L35), NETWORKDAYS(J35, TODAY(),Hoja2!$A$1:$A$18), NETWORKDAYS(J35, L35, Hoja2!$A$1:$A$18))</f>
        <v>1</v>
      </c>
      <c r="N35" s="83"/>
      <c r="O35" s="61"/>
      <c r="P35" s="31" t="s">
        <v>1225</v>
      </c>
      <c r="Q35" s="205" t="s">
        <v>120</v>
      </c>
      <c r="R35" s="31"/>
    </row>
    <row r="36" ht="29.25" customHeight="1">
      <c r="A36" s="15" t="s">
        <v>1112</v>
      </c>
      <c r="B36" s="198" t="s">
        <v>1226</v>
      </c>
      <c r="C36" s="127" t="s">
        <v>1227</v>
      </c>
      <c r="D36" s="233"/>
      <c r="E36" s="200" t="s">
        <v>1196</v>
      </c>
      <c r="F36" s="234" t="s">
        <v>73</v>
      </c>
      <c r="G36" s="57">
        <v>100.0</v>
      </c>
      <c r="H36" s="57"/>
      <c r="I36" s="83">
        <v>45894.0</v>
      </c>
      <c r="J36" s="60">
        <v>45895.0</v>
      </c>
      <c r="K36" s="60">
        <v>45898.0</v>
      </c>
      <c r="L36" s="60">
        <v>45897.0</v>
      </c>
      <c r="M36" s="78">
        <f>IF(ISBLANK(L36), NETWORKDAYS(J36, TODAY(),Hoja2!$A$1:$A$18), NETWORKDAYS(J36, L36, Hoja2!$A$1:$A$18))</f>
        <v>3</v>
      </c>
      <c r="N36" s="83"/>
      <c r="O36" s="61"/>
      <c r="P36" s="31" t="s">
        <v>1228</v>
      </c>
      <c r="Q36" s="205" t="s">
        <v>69</v>
      </c>
      <c r="R36" s="31"/>
    </row>
    <row r="37" ht="29.25" customHeight="1">
      <c r="A37" s="15" t="s">
        <v>1112</v>
      </c>
      <c r="B37" s="198" t="s">
        <v>1229</v>
      </c>
      <c r="C37" s="127" t="s">
        <v>1230</v>
      </c>
      <c r="D37" s="233"/>
      <c r="E37" s="200" t="s">
        <v>1115</v>
      </c>
      <c r="F37" s="87" t="s">
        <v>73</v>
      </c>
      <c r="G37" s="57">
        <v>100.0</v>
      </c>
      <c r="H37" s="57"/>
      <c r="I37" s="83">
        <v>45894.0</v>
      </c>
      <c r="J37" s="60">
        <v>45930.0</v>
      </c>
      <c r="K37" s="60">
        <v>45902.0</v>
      </c>
      <c r="L37" s="60">
        <v>45930.0</v>
      </c>
      <c r="M37" s="78">
        <f>IF(ISBLANK(L37), NETWORKDAYS(J37, TODAY(),Hoja2!$A$1:$A$18), NETWORKDAYS(J37, L37, Hoja2!$A$1:$A$18))</f>
        <v>1</v>
      </c>
      <c r="N37" s="236"/>
      <c r="O37" s="61"/>
      <c r="P37" s="31" t="s">
        <v>1231</v>
      </c>
      <c r="Q37" s="205" t="s">
        <v>69</v>
      </c>
      <c r="R37" s="31"/>
    </row>
    <row r="38" ht="29.25" customHeight="1">
      <c r="A38" s="15" t="s">
        <v>1112</v>
      </c>
      <c r="B38" s="198" t="s">
        <v>1232</v>
      </c>
      <c r="C38" s="127" t="s">
        <v>1233</v>
      </c>
      <c r="D38" s="233"/>
      <c r="E38" s="200" t="s">
        <v>1115</v>
      </c>
      <c r="F38" s="87" t="s">
        <v>73</v>
      </c>
      <c r="G38" s="57">
        <v>100.0</v>
      </c>
      <c r="H38" s="57"/>
      <c r="I38" s="83">
        <v>45894.0</v>
      </c>
      <c r="J38" s="60">
        <v>45938.0</v>
      </c>
      <c r="K38" s="60">
        <v>45940.0</v>
      </c>
      <c r="L38" s="60">
        <v>45947.0</v>
      </c>
      <c r="M38" s="78">
        <f>IF(ISBLANK(L38), NETWORKDAYS(J38, TODAY(),Hoja2!$A$1:$A$18), NETWORKDAYS(J38, L38, Hoja2!$A$1:$A$18))</f>
        <v>8</v>
      </c>
      <c r="N38" s="83"/>
      <c r="O38" s="61"/>
      <c r="P38" s="31" t="s">
        <v>1234</v>
      </c>
      <c r="Q38" s="205" t="s">
        <v>120</v>
      </c>
      <c r="R38" s="31"/>
    </row>
    <row r="39" ht="29.25" customHeight="1">
      <c r="A39" s="237" t="s">
        <v>1112</v>
      </c>
      <c r="B39" s="238" t="s">
        <v>1235</v>
      </c>
      <c r="C39" s="239" t="s">
        <v>1236</v>
      </c>
      <c r="D39" s="240" t="s">
        <v>1237</v>
      </c>
      <c r="E39" s="241" t="s">
        <v>1196</v>
      </c>
      <c r="F39" s="242" t="s">
        <v>73</v>
      </c>
      <c r="G39" s="243">
        <v>100.0</v>
      </c>
      <c r="H39" s="244"/>
      <c r="I39" s="245">
        <v>45901.0</v>
      </c>
      <c r="J39" s="246">
        <v>45901.0</v>
      </c>
      <c r="K39" s="246">
        <v>45903.0</v>
      </c>
      <c r="L39" s="246">
        <v>45919.0</v>
      </c>
      <c r="M39" s="247">
        <f>IF(ISBLANK(L39), NETWORKDAYS(J39, TODAY(),Hoja2!$A$1:$A$18), NETWORKDAYS(J39, L39, Hoja2!$A$1:$A$18))</f>
        <v>15</v>
      </c>
      <c r="N39" s="248"/>
      <c r="O39" s="249"/>
      <c r="P39" s="250" t="s">
        <v>1238</v>
      </c>
      <c r="Q39" s="251" t="s">
        <v>69</v>
      </c>
      <c r="R39" s="252"/>
    </row>
    <row r="40" ht="29.25" customHeight="1">
      <c r="A40" s="15" t="s">
        <v>1112</v>
      </c>
      <c r="B40" s="198" t="s">
        <v>1239</v>
      </c>
      <c r="C40" s="127" t="s">
        <v>1240</v>
      </c>
      <c r="D40" s="233" t="s">
        <v>1241</v>
      </c>
      <c r="E40" s="200" t="s">
        <v>1115</v>
      </c>
      <c r="F40" s="87" t="s">
        <v>73</v>
      </c>
      <c r="G40" s="57">
        <v>100.0</v>
      </c>
      <c r="H40" s="57">
        <v>10.0</v>
      </c>
      <c r="I40" s="83">
        <v>45898.0</v>
      </c>
      <c r="J40" s="60">
        <v>45898.0</v>
      </c>
      <c r="K40" s="246">
        <v>45903.0</v>
      </c>
      <c r="L40" s="60">
        <v>45932.0</v>
      </c>
      <c r="M40" s="78">
        <f>IF(ISBLANK(L40), NETWORKDAYS(J40, TODAY(),Hoja2!$A$1:$A$18), NETWORKDAYS(J40, L40, Hoja2!$A$1:$A$18))</f>
        <v>25</v>
      </c>
      <c r="N40" s="83"/>
      <c r="O40" s="61"/>
      <c r="P40" s="250" t="s">
        <v>1242</v>
      </c>
      <c r="Q40" s="205" t="s">
        <v>69</v>
      </c>
      <c r="R40" s="31"/>
    </row>
    <row r="41" ht="29.25" customHeight="1">
      <c r="A41" s="15" t="s">
        <v>1112</v>
      </c>
      <c r="B41" s="198" t="s">
        <v>1243</v>
      </c>
      <c r="C41" s="127" t="s">
        <v>1244</v>
      </c>
      <c r="D41" s="233" t="s">
        <v>1245</v>
      </c>
      <c r="E41" s="200" t="s">
        <v>1115</v>
      </c>
      <c r="F41" s="87" t="s">
        <v>73</v>
      </c>
      <c r="G41" s="57">
        <v>100.0</v>
      </c>
      <c r="H41" s="57"/>
      <c r="I41" s="83">
        <v>45901.0</v>
      </c>
      <c r="J41" s="60">
        <v>45901.0</v>
      </c>
      <c r="K41" s="246">
        <v>45903.0</v>
      </c>
      <c r="L41" s="60">
        <v>45903.0</v>
      </c>
      <c r="M41" s="78">
        <f>IF(ISBLANK(L41), NETWORKDAYS(J41, TODAY(),Hoja2!$A$1:$A$18), NETWORKDAYS(J41, L41, Hoja2!$A$1:$A$18))</f>
        <v>3</v>
      </c>
      <c r="N41" s="83"/>
      <c r="O41" s="61"/>
      <c r="P41" s="250" t="s">
        <v>1246</v>
      </c>
      <c r="Q41" s="205" t="s">
        <v>69</v>
      </c>
      <c r="R41" s="31"/>
    </row>
    <row r="42" ht="29.25" customHeight="1">
      <c r="A42" s="15" t="s">
        <v>1112</v>
      </c>
      <c r="B42" s="198" t="s">
        <v>1247</v>
      </c>
      <c r="C42" s="127" t="s">
        <v>1248</v>
      </c>
      <c r="D42" s="233"/>
      <c r="E42" s="238" t="s">
        <v>1179</v>
      </c>
      <c r="F42" s="87" t="s">
        <v>73</v>
      </c>
      <c r="G42" s="57">
        <v>100.0</v>
      </c>
      <c r="H42" s="57"/>
      <c r="I42" s="83">
        <v>45902.0</v>
      </c>
      <c r="J42" s="60">
        <v>45903.0</v>
      </c>
      <c r="K42" s="246">
        <v>45903.0</v>
      </c>
      <c r="L42" s="60">
        <v>45903.0</v>
      </c>
      <c r="M42" s="78">
        <f>IF(ISBLANK(L42), NETWORKDAYS(J42, TODAY(),Hoja2!$A$1:$A$18), NETWORKDAYS(J42, L42, Hoja2!$A$1:$A$18))</f>
        <v>1</v>
      </c>
      <c r="N42" s="83"/>
      <c r="O42" s="61"/>
      <c r="P42" s="250" t="s">
        <v>1249</v>
      </c>
      <c r="Q42" s="205" t="s">
        <v>69</v>
      </c>
      <c r="R42" s="31"/>
    </row>
    <row r="43" ht="29.25" customHeight="1">
      <c r="A43" s="237" t="s">
        <v>1112</v>
      </c>
      <c r="B43" s="238" t="s">
        <v>1250</v>
      </c>
      <c r="C43" s="239" t="s">
        <v>1251</v>
      </c>
      <c r="D43" s="253" t="s">
        <v>1252</v>
      </c>
      <c r="E43" s="241" t="s">
        <v>1115</v>
      </c>
      <c r="F43" s="242" t="s">
        <v>383</v>
      </c>
      <c r="G43" s="243">
        <v>95.0</v>
      </c>
      <c r="H43" s="244"/>
      <c r="I43" s="245">
        <v>45903.0</v>
      </c>
      <c r="J43" s="246">
        <v>45903.0</v>
      </c>
      <c r="K43" s="254">
        <v>45905.0</v>
      </c>
      <c r="L43" s="255"/>
      <c r="M43" s="247">
        <f>IF(ISBLANK(L43), NETWORKDAYS(J43, TODAY(),Hoja2!$A$1:$A$18), NETWORKDAYS(J43, L43, Hoja2!$A$1:$A$18))</f>
        <v>41</v>
      </c>
      <c r="N43" s="248"/>
      <c r="O43" s="249"/>
      <c r="P43" s="256" t="s">
        <v>1253</v>
      </c>
      <c r="Q43" s="251" t="s">
        <v>69</v>
      </c>
      <c r="R43" s="252"/>
    </row>
    <row r="44" ht="29.25" customHeight="1">
      <c r="A44" s="237" t="s">
        <v>1112</v>
      </c>
      <c r="B44" s="198" t="s">
        <v>1254</v>
      </c>
      <c r="C44" s="239" t="s">
        <v>1255</v>
      </c>
      <c r="D44" s="257"/>
      <c r="E44" s="258" t="s">
        <v>1179</v>
      </c>
      <c r="F44" s="242" t="s">
        <v>73</v>
      </c>
      <c r="G44" s="243">
        <v>100.0</v>
      </c>
      <c r="H44" s="244"/>
      <c r="I44" s="245">
        <v>45905.0</v>
      </c>
      <c r="J44" s="246">
        <v>45905.0</v>
      </c>
      <c r="K44" s="254">
        <v>45910.0</v>
      </c>
      <c r="L44" s="246">
        <v>45910.0</v>
      </c>
      <c r="M44" s="247">
        <f>IF(ISBLANK(L44), NETWORKDAYS(J44, TODAY(),Hoja2!$A$1:$A$18), NETWORKDAYS(J44, L44, Hoja2!$A$1:$A$18))</f>
        <v>4</v>
      </c>
      <c r="N44" s="248"/>
      <c r="O44" s="249"/>
      <c r="P44" s="256" t="s">
        <v>1256</v>
      </c>
      <c r="Q44" s="251" t="s">
        <v>69</v>
      </c>
      <c r="R44" s="252"/>
    </row>
    <row r="45" ht="29.25" customHeight="1">
      <c r="A45" s="237" t="s">
        <v>1112</v>
      </c>
      <c r="B45" s="198" t="s">
        <v>1257</v>
      </c>
      <c r="C45" s="239" t="s">
        <v>1255</v>
      </c>
      <c r="D45" s="257"/>
      <c r="E45" s="258" t="s">
        <v>1179</v>
      </c>
      <c r="F45" s="242" t="s">
        <v>73</v>
      </c>
      <c r="G45" s="243">
        <v>100.0</v>
      </c>
      <c r="H45" s="244"/>
      <c r="I45" s="245">
        <v>45905.0</v>
      </c>
      <c r="J45" s="246">
        <v>45905.0</v>
      </c>
      <c r="K45" s="254">
        <v>45910.0</v>
      </c>
      <c r="L45" s="246">
        <v>45910.0</v>
      </c>
      <c r="M45" s="247">
        <f>IF(ISBLANK(L45), NETWORKDAYS(J45, TODAY(),Hoja2!$A$1:$A$18), NETWORKDAYS(J45, L45, Hoja2!$A$1:$A$18))</f>
        <v>4</v>
      </c>
      <c r="N45" s="248"/>
      <c r="O45" s="249"/>
      <c r="P45" s="256" t="s">
        <v>1256</v>
      </c>
      <c r="Q45" s="251" t="s">
        <v>69</v>
      </c>
      <c r="R45" s="252"/>
    </row>
    <row r="46" ht="29.25" customHeight="1">
      <c r="A46" s="15" t="s">
        <v>1159</v>
      </c>
      <c r="B46" s="198" t="s">
        <v>1258</v>
      </c>
      <c r="C46" s="127" t="s">
        <v>1259</v>
      </c>
      <c r="D46" s="229"/>
      <c r="E46" s="228" t="s">
        <v>1115</v>
      </c>
      <c r="F46" s="87" t="s">
        <v>73</v>
      </c>
      <c r="G46" s="57">
        <v>100.0</v>
      </c>
      <c r="H46" s="57"/>
      <c r="I46" s="117">
        <v>45884.0</v>
      </c>
      <c r="J46" s="60">
        <v>45884.0</v>
      </c>
      <c r="K46" s="60"/>
      <c r="L46" s="60">
        <v>45888.0</v>
      </c>
      <c r="M46" s="78">
        <f>IF(ISBLANK(L46), NETWORKDAYS(J46, TODAY(),Hoja2!$A$1:$A$18), NETWORKDAYS(J46, L46, Hoja2!$A$1:$A$18))</f>
        <v>3</v>
      </c>
      <c r="N46" s="83"/>
      <c r="O46" s="122"/>
      <c r="P46" s="31" t="s">
        <v>1260</v>
      </c>
      <c r="Q46" s="205" t="s">
        <v>69</v>
      </c>
      <c r="R46" s="123"/>
    </row>
    <row r="47" ht="29.25" customHeight="1">
      <c r="A47" s="15" t="s">
        <v>1112</v>
      </c>
      <c r="B47" s="198" t="s">
        <v>1261</v>
      </c>
      <c r="C47" s="127" t="s">
        <v>1262</v>
      </c>
      <c r="D47" s="229"/>
      <c r="E47" s="228" t="s">
        <v>1115</v>
      </c>
      <c r="F47" s="87" t="s">
        <v>73</v>
      </c>
      <c r="G47" s="57">
        <v>100.0</v>
      </c>
      <c r="H47" s="57"/>
      <c r="I47" s="83">
        <v>45889.0</v>
      </c>
      <c r="J47" s="60">
        <v>45889.0</v>
      </c>
      <c r="K47" s="60">
        <v>45890.0</v>
      </c>
      <c r="L47" s="60">
        <v>45889.0</v>
      </c>
      <c r="M47" s="78">
        <f>IF(ISBLANK(L47), NETWORKDAYS(J47, TODAY(),Hoja2!$A$1:$A$18), NETWORKDAYS(J47, L47, Hoja2!$A$1:$A$18))</f>
        <v>1</v>
      </c>
      <c r="N47" s="83"/>
      <c r="O47" s="122"/>
      <c r="P47" s="31" t="s">
        <v>1263</v>
      </c>
      <c r="Q47" s="205" t="s">
        <v>69</v>
      </c>
      <c r="R47" s="123"/>
    </row>
    <row r="48" ht="29.25" customHeight="1">
      <c r="A48" s="15" t="s">
        <v>1112</v>
      </c>
      <c r="B48" s="198" t="s">
        <v>1264</v>
      </c>
      <c r="C48" s="127" t="s">
        <v>1265</v>
      </c>
      <c r="D48" s="229"/>
      <c r="E48" s="228" t="s">
        <v>1115</v>
      </c>
      <c r="F48" s="87" t="s">
        <v>73</v>
      </c>
      <c r="G48" s="57">
        <v>100.0</v>
      </c>
      <c r="H48" s="57"/>
      <c r="I48" s="83">
        <v>45889.0</v>
      </c>
      <c r="J48" s="60">
        <v>45889.0</v>
      </c>
      <c r="K48" s="60">
        <v>45890.0</v>
      </c>
      <c r="L48" s="60">
        <v>45889.0</v>
      </c>
      <c r="M48" s="25">
        <f>IF(ISBLANK(L48), NETWORKDAYS(J48, TODAY(),Hoja2!$A$1:$A$18), NETWORKDAYS(J48, L48, Hoja2!$A$1:$A$18))</f>
        <v>1</v>
      </c>
      <c r="N48" s="83"/>
      <c r="O48" s="122"/>
      <c r="P48" s="31" t="s">
        <v>1266</v>
      </c>
      <c r="Q48" s="205" t="s">
        <v>69</v>
      </c>
      <c r="R48" s="123"/>
    </row>
    <row r="49" ht="29.25" customHeight="1">
      <c r="A49" s="15" t="s">
        <v>1112</v>
      </c>
      <c r="B49" s="198" t="s">
        <v>1267</v>
      </c>
      <c r="C49" s="127" t="s">
        <v>1268</v>
      </c>
      <c r="D49" s="229"/>
      <c r="E49" s="228" t="s">
        <v>1115</v>
      </c>
      <c r="F49" s="87" t="s">
        <v>73</v>
      </c>
      <c r="G49" s="57">
        <v>100.0</v>
      </c>
      <c r="H49" s="57"/>
      <c r="I49" s="83">
        <v>45889.0</v>
      </c>
      <c r="J49" s="60">
        <v>45889.0</v>
      </c>
      <c r="K49" s="60">
        <v>45890.0</v>
      </c>
      <c r="L49" s="60">
        <v>45889.0</v>
      </c>
      <c r="M49" s="25">
        <f>IF(ISBLANK(L49), NETWORKDAYS(J49, TODAY(),Hoja2!$A$1:$A$18), NETWORKDAYS(J49, L49, Hoja2!$A$1:$A$18))</f>
        <v>1</v>
      </c>
      <c r="N49" s="83"/>
      <c r="O49" s="122"/>
      <c r="P49" s="31" t="s">
        <v>1269</v>
      </c>
      <c r="Q49" s="205" t="s">
        <v>69</v>
      </c>
      <c r="R49" s="123"/>
    </row>
    <row r="50" ht="29.25" customHeight="1">
      <c r="A50" s="15" t="s">
        <v>1112</v>
      </c>
      <c r="B50" s="198" t="s">
        <v>1270</v>
      </c>
      <c r="C50" s="127" t="s">
        <v>1271</v>
      </c>
      <c r="D50" s="229"/>
      <c r="E50" s="228" t="s">
        <v>1115</v>
      </c>
      <c r="F50" s="87" t="s">
        <v>73</v>
      </c>
      <c r="G50" s="57">
        <v>100.0</v>
      </c>
      <c r="H50" s="57"/>
      <c r="I50" s="83">
        <v>45889.0</v>
      </c>
      <c r="J50" s="60">
        <v>45889.0</v>
      </c>
      <c r="K50" s="60">
        <v>45890.0</v>
      </c>
      <c r="L50" s="60">
        <v>45889.0</v>
      </c>
      <c r="M50" s="25">
        <f>IF(ISBLANK(L50), NETWORKDAYS(J50, TODAY(),Hoja2!$A$1:$A$18), NETWORKDAYS(J50, L50, Hoja2!$A$1:$A$18))</f>
        <v>1</v>
      </c>
      <c r="N50" s="83"/>
      <c r="O50" s="122"/>
      <c r="P50" s="31" t="s">
        <v>1272</v>
      </c>
      <c r="Q50" s="205" t="s">
        <v>69</v>
      </c>
      <c r="R50" s="123"/>
    </row>
    <row r="51" ht="29.25" customHeight="1">
      <c r="A51" s="15" t="s">
        <v>1112</v>
      </c>
      <c r="B51" s="238" t="s">
        <v>1273</v>
      </c>
      <c r="C51" s="259" t="s">
        <v>1271</v>
      </c>
      <c r="D51" s="260"/>
      <c r="E51" s="261" t="s">
        <v>1115</v>
      </c>
      <c r="F51" s="262" t="s">
        <v>73</v>
      </c>
      <c r="G51" s="263">
        <v>100.0</v>
      </c>
      <c r="H51" s="264"/>
      <c r="I51" s="265">
        <v>45889.0</v>
      </c>
      <c r="J51" s="255">
        <v>45889.0</v>
      </c>
      <c r="K51" s="255">
        <v>45890.0</v>
      </c>
      <c r="L51" s="255">
        <v>45889.0</v>
      </c>
      <c r="M51" s="266">
        <f>IF(ISBLANK(L51), NETWORKDAYS(J51, TODAY(),Hoja2!$A$1:$A$18), NETWORKDAYS(J51, L51, Hoja2!$A$1:$A$18))</f>
        <v>1</v>
      </c>
      <c r="N51" s="248"/>
      <c r="O51" s="249"/>
      <c r="P51" s="31" t="s">
        <v>1274</v>
      </c>
      <c r="Q51" s="205" t="s">
        <v>69</v>
      </c>
      <c r="R51" s="267"/>
    </row>
    <row r="52" ht="29.25" customHeight="1">
      <c r="A52" s="15" t="s">
        <v>1112</v>
      </c>
      <c r="B52" s="238" t="s">
        <v>1275</v>
      </c>
      <c r="C52" s="259" t="s">
        <v>1271</v>
      </c>
      <c r="D52" s="260"/>
      <c r="E52" s="268" t="s">
        <v>1115</v>
      </c>
      <c r="F52" s="262" t="s">
        <v>73</v>
      </c>
      <c r="G52" s="263">
        <v>100.0</v>
      </c>
      <c r="H52" s="264"/>
      <c r="I52" s="265">
        <v>45889.0</v>
      </c>
      <c r="J52" s="255">
        <v>45889.0</v>
      </c>
      <c r="K52" s="255">
        <v>45890.0</v>
      </c>
      <c r="L52" s="255">
        <v>45889.0</v>
      </c>
      <c r="M52" s="266">
        <f>IF(ISBLANK(L52), NETWORKDAYS(J52, TODAY(),Hoja2!$A$1:$A$18), NETWORKDAYS(J52, L52, Hoja2!$A$1:$A$18))</f>
        <v>1</v>
      </c>
      <c r="N52" s="248"/>
      <c r="O52" s="249"/>
      <c r="P52" s="31" t="s">
        <v>1276</v>
      </c>
      <c r="Q52" s="205" t="s">
        <v>69</v>
      </c>
      <c r="R52" s="267"/>
    </row>
    <row r="53" ht="29.25" customHeight="1">
      <c r="A53" s="15" t="s">
        <v>1112</v>
      </c>
      <c r="B53" s="198" t="s">
        <v>1277</v>
      </c>
      <c r="C53" s="127" t="s">
        <v>1278</v>
      </c>
      <c r="D53" s="260"/>
      <c r="E53" s="200" t="s">
        <v>1179</v>
      </c>
      <c r="F53" s="262" t="s">
        <v>73</v>
      </c>
      <c r="G53" s="263">
        <v>100.0</v>
      </c>
      <c r="H53" s="264"/>
      <c r="I53" s="245">
        <v>45890.0</v>
      </c>
      <c r="J53" s="246">
        <v>45890.0</v>
      </c>
      <c r="K53" s="246">
        <v>45891.0</v>
      </c>
      <c r="L53" s="246">
        <v>45890.0</v>
      </c>
      <c r="M53" s="266">
        <f>IF(ISBLANK(L53), NETWORKDAYS(J53, TODAY(),Hoja2!$A$1:$A$18), NETWORKDAYS(J53, L53, Hoja2!$A$1:$A$18))</f>
        <v>1</v>
      </c>
      <c r="N53" s="248"/>
      <c r="O53" s="249"/>
      <c r="P53" s="31" t="s">
        <v>1279</v>
      </c>
      <c r="Q53" s="205" t="s">
        <v>69</v>
      </c>
      <c r="R53" s="267"/>
    </row>
    <row r="54" ht="29.25" customHeight="1">
      <c r="A54" s="15" t="s">
        <v>1112</v>
      </c>
      <c r="B54" s="198" t="s">
        <v>1280</v>
      </c>
      <c r="C54" s="127" t="s">
        <v>1281</v>
      </c>
      <c r="D54" s="233" t="s">
        <v>1282</v>
      </c>
      <c r="E54" s="200" t="s">
        <v>1179</v>
      </c>
      <c r="F54" s="269" t="s">
        <v>73</v>
      </c>
      <c r="G54" s="270">
        <v>100.0</v>
      </c>
      <c r="H54" s="264"/>
      <c r="I54" s="245">
        <v>45890.0</v>
      </c>
      <c r="J54" s="246">
        <v>45891.0</v>
      </c>
      <c r="K54" s="246">
        <v>45891.0</v>
      </c>
      <c r="L54" s="246">
        <v>45891.0</v>
      </c>
      <c r="M54" s="271">
        <f>IF(ISBLANK(L54), NETWORKDAYS(J54, TODAY(),Hoja2!$A$1:$A$18), NETWORKDAYS(J54, L54, Hoja2!$A$1:$A$18))</f>
        <v>1</v>
      </c>
      <c r="N54" s="248"/>
      <c r="O54" s="249"/>
      <c r="P54" s="31" t="s">
        <v>1283</v>
      </c>
      <c r="Q54" s="272" t="s">
        <v>69</v>
      </c>
      <c r="R54" s="267"/>
    </row>
    <row r="55" ht="29.25" customHeight="1">
      <c r="A55" s="15" t="s">
        <v>1112</v>
      </c>
      <c r="B55" s="198" t="s">
        <v>1284</v>
      </c>
      <c r="C55" s="127" t="s">
        <v>1285</v>
      </c>
      <c r="D55" s="260"/>
      <c r="E55" s="200" t="s">
        <v>1179</v>
      </c>
      <c r="F55" s="273" t="s">
        <v>73</v>
      </c>
      <c r="G55" s="274">
        <v>100.0</v>
      </c>
      <c r="H55" s="264"/>
      <c r="I55" s="245">
        <v>45890.0</v>
      </c>
      <c r="J55" s="246">
        <v>45890.0</v>
      </c>
      <c r="K55" s="246">
        <v>45891.0</v>
      </c>
      <c r="L55" s="246">
        <v>45890.0</v>
      </c>
      <c r="M55" s="271">
        <f>IF(ISBLANK(L55), NETWORKDAYS(J55, TODAY(),Hoja2!$A$1:$A$18), NETWORKDAYS(J55, L55, Hoja2!$A$1:$A$18))</f>
        <v>1</v>
      </c>
      <c r="N55" s="248"/>
      <c r="O55" s="249"/>
      <c r="P55" s="31" t="s">
        <v>1286</v>
      </c>
      <c r="Q55" s="272" t="s">
        <v>69</v>
      </c>
      <c r="R55" s="267"/>
    </row>
    <row r="56" ht="29.25" customHeight="1">
      <c r="A56" s="15" t="s">
        <v>1112</v>
      </c>
      <c r="B56" s="198" t="s">
        <v>1287</v>
      </c>
      <c r="C56" s="127" t="s">
        <v>1288</v>
      </c>
      <c r="D56" s="240" t="s">
        <v>1289</v>
      </c>
      <c r="E56" s="200" t="s">
        <v>1179</v>
      </c>
      <c r="F56" s="269" t="s">
        <v>73</v>
      </c>
      <c r="G56" s="270">
        <v>100.0</v>
      </c>
      <c r="H56" s="264"/>
      <c r="I56" s="245">
        <v>45890.0</v>
      </c>
      <c r="J56" s="246">
        <v>45890.0</v>
      </c>
      <c r="K56" s="246">
        <v>45892.0</v>
      </c>
      <c r="L56" s="246">
        <v>45892.0</v>
      </c>
      <c r="M56" s="271">
        <f>IF(ISBLANK(L56), NETWORKDAYS(J56, TODAY(),Hoja2!$A$1:$A$18), NETWORKDAYS(J56, L56, Hoja2!$A$1:$A$18))</f>
        <v>2</v>
      </c>
      <c r="N56" s="248"/>
      <c r="O56" s="249"/>
      <c r="P56" s="31" t="s">
        <v>1290</v>
      </c>
      <c r="Q56" s="272" t="s">
        <v>69</v>
      </c>
      <c r="R56" s="267"/>
    </row>
    <row r="57" ht="29.25" customHeight="1">
      <c r="A57" s="237" t="s">
        <v>1112</v>
      </c>
      <c r="B57" s="198" t="s">
        <v>1291</v>
      </c>
      <c r="C57" s="239" t="s">
        <v>1292</v>
      </c>
      <c r="D57" s="253" t="s">
        <v>1293</v>
      </c>
      <c r="E57" s="258" t="s">
        <v>1179</v>
      </c>
      <c r="F57" s="242" t="s">
        <v>73</v>
      </c>
      <c r="G57" s="243">
        <v>100.0</v>
      </c>
      <c r="H57" s="244"/>
      <c r="I57" s="245">
        <v>45910.0</v>
      </c>
      <c r="J57" s="246">
        <v>45910.0</v>
      </c>
      <c r="K57" s="254">
        <v>45912.0</v>
      </c>
      <c r="L57" s="246">
        <v>45937.0</v>
      </c>
      <c r="M57" s="247">
        <f>IF(ISBLANK(L57), NETWORKDAYS(J57, TODAY(),Hoja2!$A$1:$A$18), NETWORKDAYS(J57, L57, Hoja2!$A$1:$A$18))</f>
        <v>20</v>
      </c>
      <c r="N57" s="248"/>
      <c r="O57" s="249"/>
      <c r="P57" s="256" t="s">
        <v>1294</v>
      </c>
      <c r="Q57" s="251" t="s">
        <v>69</v>
      </c>
      <c r="R57" s="252"/>
    </row>
    <row r="58" ht="29.25" customHeight="1">
      <c r="A58" s="237" t="s">
        <v>1112</v>
      </c>
      <c r="B58" s="198" t="s">
        <v>1295</v>
      </c>
      <c r="C58" s="239" t="s">
        <v>1296</v>
      </c>
      <c r="D58" s="253" t="s">
        <v>1297</v>
      </c>
      <c r="E58" s="258" t="s">
        <v>1179</v>
      </c>
      <c r="F58" s="242" t="s">
        <v>73</v>
      </c>
      <c r="G58" s="243">
        <v>100.0</v>
      </c>
      <c r="H58" s="244"/>
      <c r="I58" s="245">
        <v>45912.0</v>
      </c>
      <c r="J58" s="246">
        <v>45912.0</v>
      </c>
      <c r="K58" s="254">
        <v>45915.0</v>
      </c>
      <c r="L58" s="246">
        <v>45937.0</v>
      </c>
      <c r="M58" s="247">
        <f>IF(ISBLANK(L58), NETWORKDAYS(J58, TODAY(),Hoja2!$A$1:$A$18), NETWORKDAYS(J58, L58, Hoja2!$A$1:$A$18))</f>
        <v>18</v>
      </c>
      <c r="N58" s="248"/>
      <c r="O58" s="249"/>
      <c r="P58" s="256" t="s">
        <v>1298</v>
      </c>
      <c r="Q58" s="251" t="s">
        <v>69</v>
      </c>
      <c r="R58" s="252"/>
    </row>
    <row r="59" ht="29.25" customHeight="1">
      <c r="A59" s="275" t="s">
        <v>1112</v>
      </c>
      <c r="B59" s="238" t="s">
        <v>1299</v>
      </c>
      <c r="C59" s="276" t="s">
        <v>1300</v>
      </c>
      <c r="D59" s="253" t="s">
        <v>1301</v>
      </c>
      <c r="E59" s="241" t="s">
        <v>1179</v>
      </c>
      <c r="F59" s="277" t="s">
        <v>73</v>
      </c>
      <c r="G59" s="278">
        <v>100.0</v>
      </c>
      <c r="H59" s="279"/>
      <c r="I59" s="245">
        <v>45912.0</v>
      </c>
      <c r="J59" s="246">
        <v>45912.0</v>
      </c>
      <c r="K59" s="254">
        <v>45915.0</v>
      </c>
      <c r="L59" s="246">
        <v>45937.0</v>
      </c>
      <c r="M59" s="280">
        <f>IF(ISBLANK(L59), NETWORKDAYS(J59, TODAY(),Hoja2!$A$1:$A$18), NETWORKDAYS(J59, L59, Hoja2!$A$1:$A$18))</f>
        <v>18</v>
      </c>
      <c r="N59" s="281"/>
      <c r="O59" s="282"/>
      <c r="P59" s="256" t="s">
        <v>1302</v>
      </c>
      <c r="Q59" s="251" t="s">
        <v>69</v>
      </c>
      <c r="R59" s="252"/>
    </row>
    <row r="60" ht="29.25" customHeight="1">
      <c r="A60" s="275" t="s">
        <v>1112</v>
      </c>
      <c r="B60" s="258" t="s">
        <v>1303</v>
      </c>
      <c r="C60" s="276" t="s">
        <v>1304</v>
      </c>
      <c r="D60" s="283" t="s">
        <v>1305</v>
      </c>
      <c r="E60" s="241" t="s">
        <v>1179</v>
      </c>
      <c r="F60" s="277" t="s">
        <v>73</v>
      </c>
      <c r="G60" s="278">
        <v>100.0</v>
      </c>
      <c r="H60" s="279"/>
      <c r="I60" s="284">
        <v>45917.0</v>
      </c>
      <c r="J60" s="254">
        <v>45917.0</v>
      </c>
      <c r="K60" s="254">
        <v>45919.0</v>
      </c>
      <c r="L60" s="246">
        <v>45937.0</v>
      </c>
      <c r="M60" s="280">
        <f>IF(ISBLANK(L60), NETWORKDAYS(J60, TODAY(),Hoja2!$A$1:$A$18), NETWORKDAYS(J60, L60, Hoja2!$A$1:$A$18))</f>
        <v>15</v>
      </c>
      <c r="N60" s="281"/>
      <c r="O60" s="282"/>
      <c r="P60" s="256" t="s">
        <v>1306</v>
      </c>
      <c r="Q60" s="251" t="s">
        <v>69</v>
      </c>
      <c r="R60" s="252"/>
    </row>
    <row r="61" ht="29.25" customHeight="1">
      <c r="A61" s="275" t="s">
        <v>1112</v>
      </c>
      <c r="B61" s="258" t="s">
        <v>1307</v>
      </c>
      <c r="C61" s="276" t="s">
        <v>1308</v>
      </c>
      <c r="D61" s="283" t="s">
        <v>1309</v>
      </c>
      <c r="E61" s="241" t="s">
        <v>1179</v>
      </c>
      <c r="F61" s="277" t="s">
        <v>73</v>
      </c>
      <c r="G61" s="278">
        <v>100.0</v>
      </c>
      <c r="H61" s="279"/>
      <c r="I61" s="284">
        <v>45917.0</v>
      </c>
      <c r="J61" s="254">
        <v>45917.0</v>
      </c>
      <c r="K61" s="254">
        <v>45919.0</v>
      </c>
      <c r="L61" s="246">
        <v>45937.0</v>
      </c>
      <c r="M61" s="280">
        <f>IF(ISBLANK(L61), NETWORKDAYS(J61, TODAY(),Hoja2!$A$1:$A$18), NETWORKDAYS(J61, L61, Hoja2!$A$1:$A$18))</f>
        <v>15</v>
      </c>
      <c r="N61" s="281"/>
      <c r="O61" s="282"/>
      <c r="P61" s="256" t="s">
        <v>1310</v>
      </c>
      <c r="Q61" s="251" t="s">
        <v>69</v>
      </c>
      <c r="R61" s="252"/>
    </row>
    <row r="62" ht="39.0" customHeight="1">
      <c r="A62" s="15" t="s">
        <v>1112</v>
      </c>
      <c r="B62" s="198" t="s">
        <v>1311</v>
      </c>
      <c r="C62" s="127" t="s">
        <v>1312</v>
      </c>
      <c r="D62" s="285" t="s">
        <v>1313</v>
      </c>
      <c r="E62" s="200" t="s">
        <v>1115</v>
      </c>
      <c r="F62" s="19" t="s">
        <v>73</v>
      </c>
      <c r="G62" s="57">
        <v>100.0</v>
      </c>
      <c r="H62" s="57">
        <v>2.0</v>
      </c>
      <c r="I62" s="83">
        <v>45919.0</v>
      </c>
      <c r="J62" s="60">
        <v>45919.0</v>
      </c>
      <c r="K62" s="60">
        <v>45919.0</v>
      </c>
      <c r="L62" s="60">
        <v>45919.0</v>
      </c>
      <c r="M62" s="25">
        <f>IF(ISBLANK(L62), NETWORKDAYS(J62, TODAY(),Hoja2!$A$1:$A$18), NETWORKDAYS(J62, L62, Hoja2!$A$1:$A$18))</f>
        <v>1</v>
      </c>
      <c r="N62" s="59"/>
      <c r="O62" s="70"/>
      <c r="P62" s="256" t="s">
        <v>1314</v>
      </c>
      <c r="Q62" s="205" t="s">
        <v>69</v>
      </c>
      <c r="R62" s="64"/>
    </row>
    <row r="63" ht="29.25" customHeight="1">
      <c r="A63" s="275" t="s">
        <v>1112</v>
      </c>
      <c r="B63" s="258" t="s">
        <v>1315</v>
      </c>
      <c r="C63" s="276" t="s">
        <v>1316</v>
      </c>
      <c r="D63" s="283" t="s">
        <v>1317</v>
      </c>
      <c r="E63" s="241" t="s">
        <v>1179</v>
      </c>
      <c r="F63" s="277" t="s">
        <v>73</v>
      </c>
      <c r="G63" s="278">
        <v>100.0</v>
      </c>
      <c r="H63" s="279"/>
      <c r="I63" s="284">
        <v>45922.0</v>
      </c>
      <c r="J63" s="254">
        <v>45922.0</v>
      </c>
      <c r="K63" s="254"/>
      <c r="L63" s="254">
        <v>45937.0</v>
      </c>
      <c r="M63" s="280">
        <f>IF(ISBLANK(L63), NETWORKDAYS(J63, TODAY(),Hoja2!$A$1:$A$18), NETWORKDAYS(J63, L63, Hoja2!$A$1:$A$18))</f>
        <v>12</v>
      </c>
      <c r="N63" s="281"/>
      <c r="O63" s="282"/>
      <c r="P63" s="256" t="s">
        <v>1318</v>
      </c>
      <c r="Q63" s="251" t="s">
        <v>69</v>
      </c>
      <c r="R63" s="252"/>
    </row>
    <row r="64" ht="29.25" customHeight="1">
      <c r="A64" s="275" t="s">
        <v>1112</v>
      </c>
      <c r="B64" s="258" t="s">
        <v>1319</v>
      </c>
      <c r="C64" s="276" t="s">
        <v>1316</v>
      </c>
      <c r="D64" s="283" t="s">
        <v>1320</v>
      </c>
      <c r="E64" s="241" t="s">
        <v>1179</v>
      </c>
      <c r="F64" s="277" t="s">
        <v>73</v>
      </c>
      <c r="G64" s="278">
        <v>100.0</v>
      </c>
      <c r="H64" s="279"/>
      <c r="I64" s="284">
        <v>45922.0</v>
      </c>
      <c r="J64" s="254">
        <v>45922.0</v>
      </c>
      <c r="K64" s="254"/>
      <c r="L64" s="254">
        <v>45937.0</v>
      </c>
      <c r="M64" s="280">
        <f>IF(ISBLANK(L64), NETWORKDAYS(J64, TODAY(),Hoja2!$A$1:$A$18), NETWORKDAYS(J64, L64, Hoja2!$A$1:$A$18))</f>
        <v>12</v>
      </c>
      <c r="N64" s="281"/>
      <c r="O64" s="282"/>
      <c r="P64" s="256" t="s">
        <v>1321</v>
      </c>
      <c r="Q64" s="251" t="s">
        <v>69</v>
      </c>
      <c r="R64" s="252"/>
    </row>
    <row r="65" ht="29.25" customHeight="1">
      <c r="A65" s="275" t="s">
        <v>1112</v>
      </c>
      <c r="B65" s="258" t="s">
        <v>1322</v>
      </c>
      <c r="C65" s="276" t="s">
        <v>1323</v>
      </c>
      <c r="D65" s="283" t="s">
        <v>1324</v>
      </c>
      <c r="E65" s="241" t="s">
        <v>1179</v>
      </c>
      <c r="F65" s="277" t="s">
        <v>73</v>
      </c>
      <c r="G65" s="278">
        <v>100.0</v>
      </c>
      <c r="H65" s="279"/>
      <c r="I65" s="284">
        <v>45925.0</v>
      </c>
      <c r="J65" s="254">
        <v>45925.0</v>
      </c>
      <c r="K65" s="254">
        <v>45925.0</v>
      </c>
      <c r="L65" s="254">
        <v>45925.0</v>
      </c>
      <c r="M65" s="280">
        <f>IF(ISBLANK(L65), NETWORKDAYS(J65, TODAY(),Hoja2!$A$1:$A$18), NETWORKDAYS(J65, L65, Hoja2!$A$1:$A$18))</f>
        <v>1</v>
      </c>
      <c r="N65" s="281"/>
      <c r="O65" s="282"/>
      <c r="P65" s="256" t="s">
        <v>1325</v>
      </c>
      <c r="Q65" s="251" t="s">
        <v>69</v>
      </c>
      <c r="R65" s="252"/>
    </row>
    <row r="66" ht="29.25" customHeight="1">
      <c r="A66" s="237" t="s">
        <v>1112</v>
      </c>
      <c r="B66" s="238" t="s">
        <v>1326</v>
      </c>
      <c r="C66" s="239" t="s">
        <v>1327</v>
      </c>
      <c r="D66" s="240" t="s">
        <v>1328</v>
      </c>
      <c r="E66" s="241" t="s">
        <v>1196</v>
      </c>
      <c r="F66" s="242" t="s">
        <v>73</v>
      </c>
      <c r="G66" s="243">
        <v>100.0</v>
      </c>
      <c r="H66" s="244"/>
      <c r="I66" s="245">
        <v>45931.0</v>
      </c>
      <c r="J66" s="246">
        <v>45932.0</v>
      </c>
      <c r="K66" s="246">
        <v>45932.0</v>
      </c>
      <c r="L66" s="246">
        <v>45932.0</v>
      </c>
      <c r="M66" s="247">
        <f>IF(ISBLANK(L66), NETWORKDAYS(J66, TODAY(),Hoja2!$A$1:$A$18), NETWORKDAYS(J66, L66, Hoja2!$A$1:$A$18))</f>
        <v>1</v>
      </c>
      <c r="N66" s="248"/>
      <c r="O66" s="249"/>
      <c r="P66" s="250" t="s">
        <v>1329</v>
      </c>
      <c r="Q66" s="251" t="s">
        <v>69</v>
      </c>
      <c r="R66" s="252"/>
    </row>
    <row r="67" ht="29.25" customHeight="1">
      <c r="A67" s="237" t="s">
        <v>1112</v>
      </c>
      <c r="B67" s="238" t="s">
        <v>1330</v>
      </c>
      <c r="C67" s="239" t="s">
        <v>1331</v>
      </c>
      <c r="D67" s="253" t="s">
        <v>1332</v>
      </c>
      <c r="E67" s="241" t="s">
        <v>1115</v>
      </c>
      <c r="F67" s="242" t="s">
        <v>73</v>
      </c>
      <c r="G67" s="243">
        <v>100.0</v>
      </c>
      <c r="H67" s="244"/>
      <c r="I67" s="245">
        <v>45932.0</v>
      </c>
      <c r="J67" s="246">
        <v>45934.0</v>
      </c>
      <c r="K67" s="246">
        <v>45934.0</v>
      </c>
      <c r="L67" s="246">
        <v>45934.0</v>
      </c>
      <c r="M67" s="247">
        <f>IF(ISBLANK(L67), NETWORKDAYS(J67, TODAY(),Hoja2!$A$1:$A$18), NETWORKDAYS(J67, L67, Hoja2!$A$1:$A$18))</f>
        <v>0</v>
      </c>
      <c r="N67" s="248"/>
      <c r="O67" s="249"/>
      <c r="P67" s="256" t="s">
        <v>1333</v>
      </c>
      <c r="Q67" s="251" t="s">
        <v>69</v>
      </c>
      <c r="R67" s="252"/>
    </row>
    <row r="68" ht="29.25" customHeight="1">
      <c r="A68" s="237" t="s">
        <v>1112</v>
      </c>
      <c r="B68" s="238" t="s">
        <v>1334</v>
      </c>
      <c r="C68" s="239" t="s">
        <v>1335</v>
      </c>
      <c r="D68" s="253" t="s">
        <v>1336</v>
      </c>
      <c r="E68" s="241" t="s">
        <v>1115</v>
      </c>
      <c r="F68" s="242" t="s">
        <v>73</v>
      </c>
      <c r="G68" s="243">
        <v>100.0</v>
      </c>
      <c r="H68" s="244"/>
      <c r="I68" s="245">
        <v>45932.0</v>
      </c>
      <c r="J68" s="246">
        <v>45934.0</v>
      </c>
      <c r="K68" s="246">
        <v>45934.0</v>
      </c>
      <c r="L68" s="246">
        <v>45934.0</v>
      </c>
      <c r="M68" s="247">
        <f>IF(ISBLANK(L68), NETWORKDAYS(J68, TODAY(),Hoja2!$A$1:$A$18), NETWORKDAYS(J68, L68, Hoja2!$A$1:$A$18))</f>
        <v>0</v>
      </c>
      <c r="N68" s="248"/>
      <c r="O68" s="249"/>
      <c r="P68" s="256" t="s">
        <v>1337</v>
      </c>
      <c r="Q68" s="251" t="s">
        <v>69</v>
      </c>
      <c r="R68" s="252"/>
    </row>
    <row r="69" ht="29.25" customHeight="1">
      <c r="A69" s="15" t="s">
        <v>1112</v>
      </c>
      <c r="B69" s="198" t="s">
        <v>1338</v>
      </c>
      <c r="C69" s="127" t="s">
        <v>1288</v>
      </c>
      <c r="D69" s="240" t="s">
        <v>1339</v>
      </c>
      <c r="E69" s="200" t="s">
        <v>1179</v>
      </c>
      <c r="F69" s="269" t="s">
        <v>73</v>
      </c>
      <c r="G69" s="270">
        <v>100.0</v>
      </c>
      <c r="H69" s="264"/>
      <c r="I69" s="245">
        <v>45932.0</v>
      </c>
      <c r="J69" s="246">
        <v>45934.0</v>
      </c>
      <c r="K69" s="246">
        <v>45934.0</v>
      </c>
      <c r="L69" s="246">
        <v>45934.0</v>
      </c>
      <c r="M69" s="271">
        <f>IF(ISBLANK(L69), NETWORKDAYS(J69, TODAY(),Hoja2!$A$1:$A$18), NETWORKDAYS(J69, L69, Hoja2!$A$1:$A$18))</f>
        <v>0</v>
      </c>
      <c r="N69" s="248"/>
      <c r="O69" s="249"/>
      <c r="P69" s="31" t="s">
        <v>1340</v>
      </c>
      <c r="Q69" s="272" t="s">
        <v>69</v>
      </c>
      <c r="R69" s="267"/>
    </row>
    <row r="70" ht="29.25" customHeight="1">
      <c r="A70" s="237" t="s">
        <v>1112</v>
      </c>
      <c r="B70" s="238" t="s">
        <v>1341</v>
      </c>
      <c r="C70" s="239" t="s">
        <v>1342</v>
      </c>
      <c r="D70" s="253"/>
      <c r="E70" s="241" t="s">
        <v>1115</v>
      </c>
      <c r="F70" s="242" t="s">
        <v>73</v>
      </c>
      <c r="G70" s="243">
        <v>100.0</v>
      </c>
      <c r="H70" s="244"/>
      <c r="I70" s="245">
        <v>45936.0</v>
      </c>
      <c r="J70" s="246">
        <v>45936.0</v>
      </c>
      <c r="K70" s="246">
        <v>45937.0</v>
      </c>
      <c r="L70" s="246">
        <v>45937.0</v>
      </c>
      <c r="M70" s="247">
        <f>IF(ISBLANK(L70), NETWORKDAYS(J70, TODAY(),Hoja2!$A$1:$A$18), NETWORKDAYS(J70, L70, Hoja2!$A$1:$A$18))</f>
        <v>2</v>
      </c>
      <c r="N70" s="248"/>
      <c r="O70" s="249"/>
      <c r="P70" s="256" t="s">
        <v>1343</v>
      </c>
      <c r="Q70" s="251" t="s">
        <v>69</v>
      </c>
      <c r="R70" s="252"/>
    </row>
    <row r="71" ht="29.25" customHeight="1">
      <c r="A71" s="237" t="s">
        <v>1112</v>
      </c>
      <c r="B71" s="238" t="s">
        <v>1344</v>
      </c>
      <c r="C71" s="239" t="s">
        <v>1345</v>
      </c>
      <c r="D71" s="253" t="s">
        <v>1346</v>
      </c>
      <c r="E71" s="241" t="s">
        <v>1115</v>
      </c>
      <c r="F71" s="242" t="s">
        <v>73</v>
      </c>
      <c r="G71" s="243">
        <v>100.0</v>
      </c>
      <c r="H71" s="244"/>
      <c r="I71" s="245">
        <v>45936.0</v>
      </c>
      <c r="J71" s="246">
        <v>45936.0</v>
      </c>
      <c r="K71" s="246">
        <v>45937.0</v>
      </c>
      <c r="L71" s="246">
        <v>45937.0</v>
      </c>
      <c r="M71" s="247">
        <f>IF(ISBLANK(L71), NETWORKDAYS(J71, TODAY(),Hoja2!$A$1:$A$18), NETWORKDAYS(J71, L71, Hoja2!$A$1:$A$18))</f>
        <v>2</v>
      </c>
      <c r="N71" s="248"/>
      <c r="O71" s="249"/>
      <c r="P71" s="256" t="s">
        <v>1347</v>
      </c>
      <c r="Q71" s="251" t="s">
        <v>69</v>
      </c>
      <c r="R71" s="252"/>
    </row>
    <row r="72" ht="29.25" customHeight="1">
      <c r="A72" s="275" t="s">
        <v>1112</v>
      </c>
      <c r="B72" s="258" t="s">
        <v>1348</v>
      </c>
      <c r="C72" s="276" t="s">
        <v>1349</v>
      </c>
      <c r="D72" s="253" t="s">
        <v>1350</v>
      </c>
      <c r="E72" s="241" t="s">
        <v>1179</v>
      </c>
      <c r="F72" s="277" t="s">
        <v>73</v>
      </c>
      <c r="G72" s="278">
        <v>100.0</v>
      </c>
      <c r="H72" s="279"/>
      <c r="I72" s="245">
        <v>45936.0</v>
      </c>
      <c r="J72" s="246">
        <v>45936.0</v>
      </c>
      <c r="K72" s="246">
        <v>45937.0</v>
      </c>
      <c r="L72" s="246">
        <v>45937.0</v>
      </c>
      <c r="M72" s="280">
        <f>IF(ISBLANK(L72), NETWORKDAYS(J72, TODAY(),Hoja2!$A$1:$A$18), NETWORKDAYS(J72, L72, Hoja2!$A$1:$A$18))</f>
        <v>2</v>
      </c>
      <c r="N72" s="281"/>
      <c r="O72" s="282"/>
      <c r="P72" s="256" t="s">
        <v>1351</v>
      </c>
      <c r="Q72" s="251" t="s">
        <v>69</v>
      </c>
      <c r="R72" s="252"/>
    </row>
    <row r="73" ht="29.25" customHeight="1">
      <c r="A73" s="286" t="s">
        <v>1112</v>
      </c>
      <c r="B73" s="287" t="s">
        <v>1352</v>
      </c>
      <c r="C73" s="288" t="s">
        <v>1316</v>
      </c>
      <c r="D73" s="283" t="s">
        <v>1353</v>
      </c>
      <c r="E73" s="289" t="s">
        <v>1179</v>
      </c>
      <c r="F73" s="290" t="s">
        <v>73</v>
      </c>
      <c r="G73" s="270">
        <v>100.0</v>
      </c>
      <c r="H73" s="244"/>
      <c r="I73" s="245">
        <v>45936.0</v>
      </c>
      <c r="J73" s="246">
        <v>45936.0</v>
      </c>
      <c r="K73" s="246">
        <v>45937.0</v>
      </c>
      <c r="L73" s="246">
        <v>45937.0</v>
      </c>
      <c r="M73" s="291">
        <f>IF(ISBLANK(L73), NETWORKDAYS(J73, TODAY(),Hoja2!$A$1:$A$18), NETWORKDAYS(J73, L73, Hoja2!$A$1:$A$18))</f>
        <v>2</v>
      </c>
      <c r="N73" s="248"/>
      <c r="O73" s="249"/>
      <c r="P73" s="256" t="s">
        <v>1354</v>
      </c>
      <c r="Q73" s="272" t="s">
        <v>69</v>
      </c>
      <c r="R73" s="292"/>
    </row>
    <row r="74" ht="29.25" customHeight="1">
      <c r="A74" s="275" t="s">
        <v>1112</v>
      </c>
      <c r="B74" s="258" t="s">
        <v>1355</v>
      </c>
      <c r="C74" s="276" t="s">
        <v>1316</v>
      </c>
      <c r="D74" s="283" t="s">
        <v>1356</v>
      </c>
      <c r="E74" s="241" t="s">
        <v>1179</v>
      </c>
      <c r="F74" s="277" t="s">
        <v>73</v>
      </c>
      <c r="G74" s="278">
        <v>100.0</v>
      </c>
      <c r="H74" s="279"/>
      <c r="I74" s="245">
        <v>45936.0</v>
      </c>
      <c r="J74" s="246">
        <v>45936.0</v>
      </c>
      <c r="K74" s="246">
        <v>45937.0</v>
      </c>
      <c r="L74" s="246">
        <v>45937.0</v>
      </c>
      <c r="M74" s="280">
        <f>IF(ISBLANK(L74), NETWORKDAYS(J74, TODAY(),Hoja2!$A$1:$A$18), NETWORKDAYS(J74, L74, Hoja2!$A$1:$A$18))</f>
        <v>2</v>
      </c>
      <c r="N74" s="281"/>
      <c r="O74" s="282"/>
      <c r="P74" s="256" t="s">
        <v>1357</v>
      </c>
      <c r="Q74" s="251" t="s">
        <v>69</v>
      </c>
      <c r="R74" s="252"/>
    </row>
    <row r="75" ht="29.25" customHeight="1">
      <c r="A75" s="237" t="s">
        <v>1112</v>
      </c>
      <c r="B75" s="238" t="s">
        <v>1358</v>
      </c>
      <c r="C75" s="239" t="s">
        <v>1359</v>
      </c>
      <c r="D75" s="253" t="s">
        <v>1360</v>
      </c>
      <c r="E75" s="241" t="s">
        <v>1115</v>
      </c>
      <c r="F75" s="242" t="s">
        <v>73</v>
      </c>
      <c r="G75" s="243">
        <v>100.0</v>
      </c>
      <c r="H75" s="244"/>
      <c r="I75" s="245">
        <v>45938.0</v>
      </c>
      <c r="J75" s="246">
        <v>45938.0</v>
      </c>
      <c r="K75" s="246">
        <v>45939.0</v>
      </c>
      <c r="L75" s="246">
        <v>45938.0</v>
      </c>
      <c r="M75" s="247">
        <f>IF(ISBLANK(L75), NETWORKDAYS(J75, TODAY(),Hoja2!$A$1:$A$18), NETWORKDAYS(J75, L75, Hoja2!$A$1:$A$18))</f>
        <v>1</v>
      </c>
      <c r="N75" s="248"/>
      <c r="O75" s="249"/>
      <c r="P75" s="256" t="s">
        <v>1361</v>
      </c>
      <c r="Q75" s="251" t="s">
        <v>69</v>
      </c>
      <c r="R75" s="252"/>
    </row>
    <row r="76" ht="29.25" customHeight="1">
      <c r="A76" s="237" t="s">
        <v>1112</v>
      </c>
      <c r="B76" s="238" t="s">
        <v>1362</v>
      </c>
      <c r="C76" s="239" t="s">
        <v>1363</v>
      </c>
      <c r="D76" s="253" t="s">
        <v>1364</v>
      </c>
      <c r="E76" s="241" t="s">
        <v>1115</v>
      </c>
      <c r="F76" s="242" t="s">
        <v>73</v>
      </c>
      <c r="G76" s="243">
        <v>100.0</v>
      </c>
      <c r="H76" s="244"/>
      <c r="I76" s="245">
        <v>45939.0</v>
      </c>
      <c r="J76" s="246">
        <v>45939.0</v>
      </c>
      <c r="K76" s="246">
        <v>45940.0</v>
      </c>
      <c r="L76" s="246">
        <v>45939.0</v>
      </c>
      <c r="M76" s="247">
        <f>IF(ISBLANK(L76), NETWORKDAYS(J76, TODAY(),Hoja2!$A$1:$A$18), NETWORKDAYS(J76, L76, Hoja2!$A$1:$A$18))</f>
        <v>1</v>
      </c>
      <c r="N76" s="248"/>
      <c r="O76" s="249"/>
      <c r="P76" s="256" t="s">
        <v>1365</v>
      </c>
      <c r="Q76" s="251" t="s">
        <v>69</v>
      </c>
      <c r="R76" s="252"/>
    </row>
    <row r="77" ht="29.25" customHeight="1">
      <c r="A77" s="275" t="s">
        <v>1112</v>
      </c>
      <c r="B77" s="258" t="s">
        <v>1366</v>
      </c>
      <c r="C77" s="276" t="s">
        <v>1367</v>
      </c>
      <c r="D77" s="283" t="s">
        <v>1368</v>
      </c>
      <c r="E77" s="241" t="s">
        <v>1179</v>
      </c>
      <c r="F77" s="293" t="s">
        <v>73</v>
      </c>
      <c r="G77" s="294">
        <v>100.0</v>
      </c>
      <c r="H77" s="279"/>
      <c r="I77" s="284">
        <v>45940.0</v>
      </c>
      <c r="J77" s="254">
        <v>45940.0</v>
      </c>
      <c r="K77" s="254">
        <v>45940.0</v>
      </c>
      <c r="L77" s="254">
        <v>45940.0</v>
      </c>
      <c r="M77" s="280">
        <f>IF(ISBLANK(L77), NETWORKDAYS(J77, TODAY(),Hoja2!$A$1:$A$18), NETWORKDAYS(J77, L77, Hoja2!$A$1:$A$18))</f>
        <v>1</v>
      </c>
      <c r="N77" s="281"/>
      <c r="O77" s="282"/>
      <c r="P77" s="256" t="s">
        <v>1369</v>
      </c>
      <c r="Q77" s="251" t="s">
        <v>69</v>
      </c>
      <c r="R77" s="252"/>
    </row>
    <row r="78" ht="29.25" customHeight="1">
      <c r="A78" s="275" t="s">
        <v>1112</v>
      </c>
      <c r="B78" s="258" t="s">
        <v>1370</v>
      </c>
      <c r="C78" s="276" t="s">
        <v>1371</v>
      </c>
      <c r="D78" s="295" t="s">
        <v>1372</v>
      </c>
      <c r="E78" s="241" t="s">
        <v>1196</v>
      </c>
      <c r="F78" s="293" t="s">
        <v>73</v>
      </c>
      <c r="G78" s="294">
        <v>100.0</v>
      </c>
      <c r="H78" s="279"/>
      <c r="I78" s="284">
        <v>45937.0</v>
      </c>
      <c r="J78" s="254">
        <v>45940.0</v>
      </c>
      <c r="K78" s="254">
        <v>45940.0</v>
      </c>
      <c r="L78" s="254">
        <v>45940.0</v>
      </c>
      <c r="M78" s="280">
        <f>IF(ISBLANK(L78), NETWORKDAYS(J78, TODAY(),Hoja2!$A$1:$A$18), NETWORKDAYS(J78, L78, Hoja2!$A$1:$A$18))</f>
        <v>1</v>
      </c>
      <c r="N78" s="281"/>
      <c r="O78" s="282"/>
      <c r="P78" s="256" t="s">
        <v>1373</v>
      </c>
      <c r="Q78" s="251" t="s">
        <v>69</v>
      </c>
      <c r="R78" s="252"/>
    </row>
    <row r="79" ht="29.25" customHeight="1">
      <c r="A79" s="286" t="s">
        <v>1112</v>
      </c>
      <c r="B79" s="287" t="s">
        <v>1374</v>
      </c>
      <c r="C79" s="288" t="s">
        <v>1375</v>
      </c>
      <c r="D79" s="296" t="s">
        <v>1376</v>
      </c>
      <c r="E79" s="268" t="s">
        <v>1115</v>
      </c>
      <c r="F79" s="273" t="s">
        <v>73</v>
      </c>
      <c r="G79" s="294">
        <v>100.0</v>
      </c>
      <c r="H79" s="264"/>
      <c r="I79" s="297">
        <v>45944.0</v>
      </c>
      <c r="J79" s="298">
        <v>45944.0</v>
      </c>
      <c r="K79" s="298">
        <v>45944.0</v>
      </c>
      <c r="L79" s="298">
        <v>45944.0</v>
      </c>
      <c r="M79" s="291">
        <f>IF(ISBLANK(L79), NETWORKDAYS(J79, TODAY(),Hoja2!$A$1:$A$18), NETWORKDAYS(J79, L79, Hoja2!$A$1:$A$18))</f>
        <v>1</v>
      </c>
      <c r="N79" s="248"/>
      <c r="O79" s="249"/>
      <c r="P79" s="299" t="s">
        <v>1377</v>
      </c>
      <c r="Q79" s="272" t="s">
        <v>69</v>
      </c>
      <c r="R79" s="267"/>
    </row>
    <row r="80" ht="29.25" customHeight="1">
      <c r="A80" s="275" t="s">
        <v>1112</v>
      </c>
      <c r="B80" s="258" t="s">
        <v>1378</v>
      </c>
      <c r="C80" s="300" t="s">
        <v>1316</v>
      </c>
      <c r="D80" s="283" t="s">
        <v>1379</v>
      </c>
      <c r="E80" s="261" t="s">
        <v>1179</v>
      </c>
      <c r="F80" s="293" t="s">
        <v>73</v>
      </c>
      <c r="G80" s="294">
        <v>100.0</v>
      </c>
      <c r="H80" s="301"/>
      <c r="I80" s="297">
        <v>45944.0</v>
      </c>
      <c r="J80" s="298">
        <v>45944.0</v>
      </c>
      <c r="K80" s="298">
        <v>45944.0</v>
      </c>
      <c r="L80" s="298">
        <v>45944.0</v>
      </c>
      <c r="M80" s="280">
        <f>IF(ISBLANK(L80), NETWORKDAYS(J80, TODAY(),Hoja2!$A$1:$A$18), NETWORKDAYS(J80, L80, Hoja2!$A$1:$A$18))</f>
        <v>1</v>
      </c>
      <c r="N80" s="281"/>
      <c r="O80" s="282"/>
      <c r="P80" s="299" t="s">
        <v>1380</v>
      </c>
      <c r="Q80" s="251" t="s">
        <v>69</v>
      </c>
      <c r="R80" s="302"/>
    </row>
    <row r="81" ht="29.25" customHeight="1">
      <c r="A81" s="275" t="s">
        <v>1112</v>
      </c>
      <c r="B81" s="258" t="s">
        <v>1381</v>
      </c>
      <c r="C81" s="288" t="s">
        <v>1382</v>
      </c>
      <c r="D81" s="283" t="s">
        <v>1383</v>
      </c>
      <c r="E81" s="261" t="s">
        <v>1115</v>
      </c>
      <c r="F81" s="293" t="s">
        <v>73</v>
      </c>
      <c r="G81" s="294">
        <v>100.0</v>
      </c>
      <c r="H81" s="301"/>
      <c r="I81" s="297">
        <v>45944.0</v>
      </c>
      <c r="J81" s="298">
        <v>45944.0</v>
      </c>
      <c r="K81" s="298">
        <v>45944.0</v>
      </c>
      <c r="L81" s="298">
        <v>45944.0</v>
      </c>
      <c r="M81" s="280">
        <f>IF(ISBLANK(L81), NETWORKDAYS(J81, TODAY(),Hoja2!$A$1:$A$18), NETWORKDAYS(J81, L81, Hoja2!$A$1:$A$18))</f>
        <v>1</v>
      </c>
      <c r="N81" s="281"/>
      <c r="O81" s="282"/>
      <c r="P81" s="299" t="s">
        <v>1384</v>
      </c>
      <c r="Q81" s="251" t="s">
        <v>69</v>
      </c>
      <c r="R81" s="302"/>
    </row>
    <row r="82" ht="29.25" customHeight="1">
      <c r="A82" s="275" t="s">
        <v>1112</v>
      </c>
      <c r="B82" s="258" t="s">
        <v>1385</v>
      </c>
      <c r="C82" s="288" t="s">
        <v>1386</v>
      </c>
      <c r="D82" s="283" t="s">
        <v>1387</v>
      </c>
      <c r="E82" s="261" t="s">
        <v>1115</v>
      </c>
      <c r="F82" s="293" t="s">
        <v>73</v>
      </c>
      <c r="G82" s="294">
        <v>100.0</v>
      </c>
      <c r="H82" s="301"/>
      <c r="I82" s="297">
        <v>45945.0</v>
      </c>
      <c r="J82" s="298">
        <v>45945.0</v>
      </c>
      <c r="K82" s="298">
        <v>45945.0</v>
      </c>
      <c r="L82" s="298">
        <v>45945.0</v>
      </c>
      <c r="M82" s="280">
        <f>IF(ISBLANK(L82), NETWORKDAYS(J82, TODAY(),Hoja2!$A$1:$A$18), NETWORKDAYS(J82, L82, Hoja2!$A$1:$A$18))</f>
        <v>1</v>
      </c>
      <c r="N82" s="281"/>
      <c r="O82" s="282"/>
      <c r="P82" s="299" t="s">
        <v>1388</v>
      </c>
      <c r="Q82" s="251" t="s">
        <v>69</v>
      </c>
      <c r="R82" s="302"/>
    </row>
    <row r="83" ht="29.25" customHeight="1">
      <c r="A83" s="275" t="s">
        <v>1112</v>
      </c>
      <c r="B83" s="258" t="s">
        <v>1389</v>
      </c>
      <c r="C83" s="288" t="s">
        <v>1390</v>
      </c>
      <c r="D83" s="283" t="s">
        <v>1391</v>
      </c>
      <c r="E83" s="261" t="s">
        <v>1115</v>
      </c>
      <c r="F83" s="303" t="s">
        <v>73</v>
      </c>
      <c r="G83" s="278">
        <v>100.0</v>
      </c>
      <c r="H83" s="301"/>
      <c r="I83" s="297">
        <v>45946.0</v>
      </c>
      <c r="J83" s="298">
        <v>45946.0</v>
      </c>
      <c r="K83" s="298">
        <v>45950.0</v>
      </c>
      <c r="L83" s="298">
        <v>45947.0</v>
      </c>
      <c r="M83" s="280">
        <f>IF(ISBLANK(L83), NETWORKDAYS(J83, TODAY(),Hoja2!$A$1:$A$18), NETWORKDAYS(J83, L83, Hoja2!$A$1:$A$18))</f>
        <v>2</v>
      </c>
      <c r="N83" s="281"/>
      <c r="O83" s="282"/>
      <c r="P83" s="299" t="s">
        <v>1392</v>
      </c>
      <c r="Q83" s="251" t="s">
        <v>69</v>
      </c>
      <c r="R83" s="302"/>
    </row>
    <row r="84" ht="29.25" customHeight="1">
      <c r="A84" s="275" t="s">
        <v>1112</v>
      </c>
      <c r="B84" s="258" t="s">
        <v>1393</v>
      </c>
      <c r="C84" s="288" t="s">
        <v>1394</v>
      </c>
      <c r="D84" s="283" t="s">
        <v>1395</v>
      </c>
      <c r="E84" s="261" t="s">
        <v>1115</v>
      </c>
      <c r="F84" s="303" t="s">
        <v>73</v>
      </c>
      <c r="G84" s="278">
        <v>100.0</v>
      </c>
      <c r="H84" s="301"/>
      <c r="I84" s="297">
        <v>45946.0</v>
      </c>
      <c r="J84" s="298">
        <v>45946.0</v>
      </c>
      <c r="K84" s="298">
        <v>45947.0</v>
      </c>
      <c r="L84" s="298">
        <v>45946.0</v>
      </c>
      <c r="M84" s="280">
        <f>IF(ISBLANK(L84), NETWORKDAYS(J84, TODAY(),Hoja2!$A$1:$A$18), NETWORKDAYS(J84, L84, Hoja2!$A$1:$A$18))</f>
        <v>1</v>
      </c>
      <c r="N84" s="281"/>
      <c r="O84" s="282"/>
      <c r="P84" s="299" t="s">
        <v>1396</v>
      </c>
      <c r="Q84" s="251" t="s">
        <v>69</v>
      </c>
      <c r="R84" s="302"/>
    </row>
    <row r="85" ht="29.25" customHeight="1">
      <c r="A85" s="275" t="s">
        <v>1112</v>
      </c>
      <c r="B85" s="258" t="s">
        <v>1397</v>
      </c>
      <c r="C85" s="288" t="s">
        <v>1398</v>
      </c>
      <c r="D85" s="283" t="s">
        <v>1399</v>
      </c>
      <c r="E85" s="261" t="s">
        <v>1115</v>
      </c>
      <c r="F85" s="303" t="s">
        <v>73</v>
      </c>
      <c r="G85" s="278">
        <v>100.0</v>
      </c>
      <c r="H85" s="301"/>
      <c r="I85" s="297">
        <v>45947.0</v>
      </c>
      <c r="J85" s="298">
        <v>45950.0</v>
      </c>
      <c r="K85" s="298">
        <v>45952.0</v>
      </c>
      <c r="L85" s="298">
        <v>45951.0</v>
      </c>
      <c r="M85" s="280">
        <f>IF(ISBLANK(L85), NETWORKDAYS(J85, TODAY(),Hoja2!$A$1:$A$18), NETWORKDAYS(J85, L85, Hoja2!$A$1:$A$18))</f>
        <v>2</v>
      </c>
      <c r="N85" s="281"/>
      <c r="O85" s="282"/>
      <c r="P85" s="299" t="s">
        <v>1400</v>
      </c>
      <c r="Q85" s="251" t="s">
        <v>69</v>
      </c>
      <c r="R85" s="302"/>
    </row>
    <row r="86" ht="29.25" customHeight="1">
      <c r="A86" s="286" t="s">
        <v>1112</v>
      </c>
      <c r="B86" s="287" t="s">
        <v>1401</v>
      </c>
      <c r="C86" s="304" t="s">
        <v>1394</v>
      </c>
      <c r="D86" s="305" t="s">
        <v>1395</v>
      </c>
      <c r="E86" s="268" t="s">
        <v>1115</v>
      </c>
      <c r="F86" s="273" t="s">
        <v>73</v>
      </c>
      <c r="G86" s="274">
        <v>100.0</v>
      </c>
      <c r="H86" s="264"/>
      <c r="I86" s="306">
        <v>45946.0</v>
      </c>
      <c r="J86" s="307">
        <v>45946.0</v>
      </c>
      <c r="K86" s="307">
        <v>45947.0</v>
      </c>
      <c r="L86" s="307">
        <v>45946.0</v>
      </c>
      <c r="M86" s="308">
        <f>IF(ISBLANK(L86), NETWORKDAYS(J86, TODAY(),Hoja2!$A$1:$A$18), NETWORKDAYS(J86, L86, Hoja2!$A$1:$A$18))</f>
        <v>1</v>
      </c>
      <c r="N86" s="248"/>
      <c r="O86" s="249"/>
      <c r="P86" s="309" t="s">
        <v>1396</v>
      </c>
      <c r="Q86" s="272" t="s">
        <v>69</v>
      </c>
      <c r="R86" s="267"/>
    </row>
    <row r="87" ht="29.25" customHeight="1">
      <c r="A87" s="237" t="s">
        <v>1112</v>
      </c>
      <c r="B87" s="238" t="s">
        <v>1402</v>
      </c>
      <c r="C87" s="239" t="s">
        <v>1359</v>
      </c>
      <c r="D87" s="253" t="s">
        <v>1403</v>
      </c>
      <c r="E87" s="241" t="s">
        <v>1115</v>
      </c>
      <c r="F87" s="242" t="s">
        <v>73</v>
      </c>
      <c r="G87" s="243">
        <v>100.0</v>
      </c>
      <c r="H87" s="244"/>
      <c r="I87" s="245">
        <v>45951.0</v>
      </c>
      <c r="J87" s="246">
        <v>45952.0</v>
      </c>
      <c r="K87" s="246">
        <v>45953.0</v>
      </c>
      <c r="L87" s="246">
        <v>45952.0</v>
      </c>
      <c r="M87" s="247">
        <f>IF(ISBLANK(L87), NETWORKDAYS(J87, TODAY(),Hoja2!$A$1:$A$18), NETWORKDAYS(J87, L87, Hoja2!$A$1:$A$18))</f>
        <v>1</v>
      </c>
      <c r="N87" s="248"/>
      <c r="O87" s="249"/>
      <c r="P87" s="256" t="s">
        <v>1404</v>
      </c>
      <c r="Q87" s="251" t="s">
        <v>69</v>
      </c>
      <c r="R87" s="252"/>
    </row>
    <row r="88" ht="29.25" customHeight="1">
      <c r="A88" s="237" t="s">
        <v>1112</v>
      </c>
      <c r="B88" s="238" t="s">
        <v>1405</v>
      </c>
      <c r="C88" s="239" t="s">
        <v>1359</v>
      </c>
      <c r="D88" s="253" t="s">
        <v>1406</v>
      </c>
      <c r="E88" s="241" t="s">
        <v>1115</v>
      </c>
      <c r="F88" s="242" t="s">
        <v>73</v>
      </c>
      <c r="G88" s="243">
        <v>100.0</v>
      </c>
      <c r="H88" s="244"/>
      <c r="I88" s="245">
        <v>45951.0</v>
      </c>
      <c r="J88" s="246">
        <v>45952.0</v>
      </c>
      <c r="K88" s="246">
        <v>45953.0</v>
      </c>
      <c r="L88" s="246">
        <v>45953.0</v>
      </c>
      <c r="M88" s="247">
        <f>IF(ISBLANK(L88), NETWORKDAYS(J88, TODAY(),Hoja2!$A$1:$A$18), NETWORKDAYS(J88, L88, Hoja2!$A$1:$A$18))</f>
        <v>2</v>
      </c>
      <c r="N88" s="248"/>
      <c r="O88" s="249"/>
      <c r="P88" s="256" t="s">
        <v>1407</v>
      </c>
      <c r="Q88" s="251" t="s">
        <v>69</v>
      </c>
      <c r="R88" s="252"/>
    </row>
    <row r="89" ht="29.25" customHeight="1">
      <c r="A89" s="237" t="s">
        <v>1112</v>
      </c>
      <c r="B89" s="238" t="s">
        <v>1408</v>
      </c>
      <c r="C89" s="239" t="s">
        <v>1359</v>
      </c>
      <c r="D89" s="253" t="s">
        <v>1406</v>
      </c>
      <c r="E89" s="241" t="s">
        <v>1115</v>
      </c>
      <c r="F89" s="242" t="s">
        <v>73</v>
      </c>
      <c r="G89" s="243">
        <v>100.0</v>
      </c>
      <c r="H89" s="244"/>
      <c r="I89" s="245">
        <v>45951.0</v>
      </c>
      <c r="J89" s="246">
        <v>45952.0</v>
      </c>
      <c r="K89" s="246">
        <v>45953.0</v>
      </c>
      <c r="L89" s="246">
        <v>45953.0</v>
      </c>
      <c r="M89" s="247">
        <f>IF(ISBLANK(L89), NETWORKDAYS(J89, TODAY(),Hoja2!$A$1:$A$18), NETWORKDAYS(J89, L89, Hoja2!$A$1:$A$18))</f>
        <v>2</v>
      </c>
      <c r="N89" s="248"/>
      <c r="O89" s="249"/>
      <c r="P89" s="256" t="s">
        <v>1407</v>
      </c>
      <c r="Q89" s="251" t="s">
        <v>69</v>
      </c>
      <c r="R89" s="252"/>
    </row>
    <row r="90" ht="29.25" hidden="1" customHeight="1">
      <c r="A90" s="310"/>
      <c r="B90" s="311"/>
      <c r="C90" s="312"/>
      <c r="D90" s="313"/>
      <c r="E90" s="314"/>
      <c r="F90" s="315"/>
      <c r="G90" s="316"/>
      <c r="H90" s="316"/>
      <c r="I90" s="317"/>
      <c r="J90" s="318"/>
      <c r="K90" s="318"/>
      <c r="L90" s="318"/>
      <c r="M90" s="319"/>
      <c r="N90" s="317"/>
      <c r="O90" s="164"/>
      <c r="P90" s="320"/>
      <c r="Q90" s="321"/>
      <c r="R90" s="140"/>
    </row>
    <row r="91" ht="29.25" hidden="1" customHeight="1">
      <c r="A91" s="310"/>
      <c r="B91" s="311"/>
      <c r="C91" s="312"/>
      <c r="D91" s="313"/>
      <c r="E91" s="314"/>
      <c r="F91" s="315"/>
      <c r="G91" s="316"/>
      <c r="H91" s="316"/>
      <c r="I91" s="317"/>
      <c r="J91" s="318"/>
      <c r="K91" s="318"/>
      <c r="L91" s="318"/>
      <c r="M91" s="322"/>
      <c r="N91" s="317"/>
      <c r="O91" s="164"/>
      <c r="P91" s="140"/>
      <c r="Q91" s="321"/>
      <c r="R91" s="140"/>
    </row>
    <row r="92" ht="29.25" hidden="1" customHeight="1">
      <c r="A92" s="310"/>
      <c r="B92" s="311"/>
      <c r="C92" s="312"/>
      <c r="D92" s="313"/>
      <c r="E92" s="314"/>
      <c r="F92" s="315"/>
      <c r="G92" s="316"/>
      <c r="H92" s="316"/>
      <c r="I92" s="317"/>
      <c r="J92" s="318"/>
      <c r="K92" s="318"/>
      <c r="L92" s="318"/>
      <c r="M92" s="322"/>
      <c r="N92" s="317"/>
      <c r="O92" s="164"/>
      <c r="P92" s="140"/>
      <c r="Q92" s="321"/>
      <c r="R92" s="140"/>
    </row>
    <row r="93" ht="29.25" hidden="1" customHeight="1">
      <c r="A93" s="310"/>
      <c r="B93" s="311"/>
      <c r="C93" s="312"/>
      <c r="D93" s="313"/>
      <c r="E93" s="314"/>
      <c r="F93" s="315"/>
      <c r="G93" s="316"/>
      <c r="H93" s="316"/>
      <c r="I93" s="317"/>
      <c r="J93" s="318"/>
      <c r="K93" s="318"/>
      <c r="L93" s="318"/>
      <c r="M93" s="322"/>
      <c r="N93" s="317"/>
      <c r="O93" s="164"/>
      <c r="P93" s="140"/>
      <c r="Q93" s="321"/>
      <c r="R93" s="140"/>
    </row>
    <row r="94" ht="29.25" hidden="1" customHeight="1">
      <c r="A94" s="310"/>
      <c r="B94" s="311"/>
      <c r="C94" s="312"/>
      <c r="D94" s="313"/>
      <c r="E94" s="314"/>
      <c r="F94" s="315"/>
      <c r="G94" s="316"/>
      <c r="H94" s="316"/>
      <c r="I94" s="317"/>
      <c r="J94" s="318"/>
      <c r="K94" s="318"/>
      <c r="L94" s="318"/>
      <c r="M94" s="322"/>
      <c r="N94" s="317"/>
      <c r="O94" s="164"/>
      <c r="P94" s="140"/>
      <c r="Q94" s="321"/>
      <c r="R94" s="140"/>
    </row>
    <row r="95" ht="29.25" hidden="1" customHeight="1">
      <c r="A95" s="310"/>
      <c r="B95" s="311"/>
      <c r="C95" s="312"/>
      <c r="D95" s="313"/>
      <c r="E95" s="314"/>
      <c r="F95" s="315"/>
      <c r="G95" s="316"/>
      <c r="H95" s="316"/>
      <c r="I95" s="317"/>
      <c r="J95" s="318"/>
      <c r="K95" s="318"/>
      <c r="L95" s="318"/>
      <c r="M95" s="322"/>
      <c r="N95" s="317"/>
      <c r="O95" s="164"/>
      <c r="P95" s="140"/>
      <c r="Q95" s="321"/>
      <c r="R95" s="140"/>
    </row>
    <row r="96" ht="29.25" hidden="1" customHeight="1">
      <c r="A96" s="310"/>
      <c r="B96" s="311"/>
      <c r="C96" s="312"/>
      <c r="D96" s="313"/>
      <c r="E96" s="314"/>
      <c r="F96" s="315"/>
      <c r="G96" s="316"/>
      <c r="H96" s="316"/>
      <c r="I96" s="317"/>
      <c r="J96" s="318"/>
      <c r="K96" s="318"/>
      <c r="L96" s="318"/>
      <c r="M96" s="322"/>
      <c r="N96" s="317"/>
      <c r="O96" s="164"/>
      <c r="P96" s="140"/>
      <c r="Q96" s="321"/>
      <c r="R96" s="140"/>
    </row>
    <row r="97" ht="29.25" hidden="1" customHeight="1">
      <c r="A97" s="310"/>
      <c r="B97" s="311"/>
      <c r="C97" s="312"/>
      <c r="D97" s="313"/>
      <c r="E97" s="314"/>
      <c r="F97" s="315"/>
      <c r="G97" s="316"/>
      <c r="H97" s="316"/>
      <c r="I97" s="317"/>
      <c r="J97" s="318"/>
      <c r="K97" s="318"/>
      <c r="L97" s="318"/>
      <c r="M97" s="322"/>
      <c r="N97" s="317"/>
      <c r="O97" s="164"/>
      <c r="P97" s="140"/>
      <c r="Q97" s="321"/>
      <c r="R97" s="140"/>
    </row>
    <row r="98" ht="29.25" hidden="1" customHeight="1">
      <c r="A98" s="310"/>
      <c r="B98" s="311"/>
      <c r="C98" s="312"/>
      <c r="D98" s="313"/>
      <c r="E98" s="314"/>
      <c r="F98" s="315"/>
      <c r="G98" s="316"/>
      <c r="H98" s="316"/>
      <c r="I98" s="317"/>
      <c r="J98" s="318"/>
      <c r="K98" s="318"/>
      <c r="L98" s="318"/>
      <c r="M98" s="322"/>
      <c r="N98" s="317"/>
      <c r="O98" s="164"/>
      <c r="P98" s="140"/>
      <c r="Q98" s="321"/>
      <c r="R98" s="140"/>
    </row>
    <row r="99" ht="29.25" hidden="1" customHeight="1">
      <c r="A99" s="310"/>
      <c r="B99" s="311"/>
      <c r="C99" s="312"/>
      <c r="D99" s="313"/>
      <c r="E99" s="314"/>
      <c r="F99" s="315"/>
      <c r="G99" s="316"/>
      <c r="H99" s="316"/>
      <c r="I99" s="317"/>
      <c r="J99" s="318"/>
      <c r="K99" s="318"/>
      <c r="L99" s="318"/>
      <c r="M99" s="322"/>
      <c r="N99" s="317"/>
      <c r="O99" s="164"/>
      <c r="P99" s="140"/>
      <c r="Q99" s="321"/>
      <c r="R99" s="140"/>
    </row>
    <row r="100" ht="29.25" hidden="1" customHeight="1">
      <c r="A100" s="310"/>
      <c r="B100" s="311"/>
      <c r="C100" s="312"/>
      <c r="D100" s="313"/>
      <c r="E100" s="314"/>
      <c r="F100" s="315"/>
      <c r="G100" s="316"/>
      <c r="H100" s="316"/>
      <c r="I100" s="317"/>
      <c r="J100" s="318"/>
      <c r="K100" s="318"/>
      <c r="L100" s="318"/>
      <c r="M100" s="322"/>
      <c r="N100" s="317"/>
      <c r="O100" s="164"/>
      <c r="P100" s="140"/>
      <c r="Q100" s="321"/>
      <c r="R100" s="140"/>
    </row>
    <row r="101" ht="29.25" hidden="1" customHeight="1">
      <c r="A101" s="310"/>
      <c r="B101" s="311"/>
      <c r="C101" s="312"/>
      <c r="D101" s="313"/>
      <c r="E101" s="314"/>
      <c r="F101" s="315"/>
      <c r="G101" s="316"/>
      <c r="H101" s="316"/>
      <c r="I101" s="317"/>
      <c r="J101" s="318"/>
      <c r="K101" s="318"/>
      <c r="L101" s="318"/>
      <c r="M101" s="322"/>
      <c r="N101" s="317"/>
      <c r="O101" s="164"/>
      <c r="P101" s="140"/>
      <c r="Q101" s="321"/>
      <c r="R101" s="140"/>
    </row>
    <row r="102" ht="29.25" hidden="1" customHeight="1">
      <c r="A102" s="189"/>
      <c r="B102" s="323"/>
      <c r="C102" s="324"/>
      <c r="D102" s="325"/>
      <c r="E102" s="314"/>
      <c r="F102" s="166"/>
      <c r="G102" s="161"/>
      <c r="H102" s="161"/>
      <c r="I102" s="162"/>
      <c r="J102" s="163"/>
      <c r="K102" s="163"/>
      <c r="L102" s="163"/>
      <c r="M102" s="160"/>
      <c r="N102" s="162"/>
      <c r="O102" s="164"/>
      <c r="P102" s="140"/>
      <c r="Q102" s="321"/>
      <c r="R102" s="140"/>
    </row>
    <row r="103" ht="29.25" hidden="1" customHeight="1">
      <c r="A103" s="189"/>
      <c r="B103" s="323"/>
      <c r="C103" s="324"/>
      <c r="D103" s="325"/>
      <c r="E103" s="326"/>
      <c r="F103" s="166"/>
      <c r="G103" s="161"/>
      <c r="H103" s="161"/>
      <c r="I103" s="162"/>
      <c r="J103" s="163"/>
      <c r="K103" s="163"/>
      <c r="L103" s="163"/>
      <c r="M103" s="160"/>
      <c r="N103" s="162"/>
      <c r="O103" s="164"/>
      <c r="P103" s="140"/>
      <c r="Q103" s="327"/>
      <c r="R103" s="140"/>
    </row>
    <row r="104" ht="29.25" hidden="1" customHeight="1">
      <c r="A104" s="189"/>
      <c r="B104" s="323"/>
      <c r="C104" s="324"/>
      <c r="D104" s="325"/>
      <c r="E104" s="314"/>
      <c r="F104" s="166"/>
      <c r="G104" s="161"/>
      <c r="H104" s="161"/>
      <c r="I104" s="162"/>
      <c r="J104" s="163"/>
      <c r="K104" s="163"/>
      <c r="L104" s="163"/>
      <c r="M104" s="160"/>
      <c r="N104" s="162"/>
      <c r="O104" s="164"/>
      <c r="P104" s="140"/>
      <c r="Q104" s="321"/>
      <c r="R104" s="140"/>
    </row>
    <row r="105" ht="29.25" hidden="1" customHeight="1">
      <c r="A105" s="189"/>
      <c r="B105" s="323"/>
      <c r="C105" s="324"/>
      <c r="D105" s="325"/>
      <c r="E105" s="326"/>
      <c r="F105" s="166"/>
      <c r="G105" s="161"/>
      <c r="H105" s="161"/>
      <c r="I105" s="162"/>
      <c r="J105" s="163"/>
      <c r="K105" s="163"/>
      <c r="L105" s="163"/>
      <c r="M105" s="160"/>
      <c r="N105" s="162"/>
      <c r="O105" s="164"/>
      <c r="P105" s="140"/>
      <c r="Q105" s="327"/>
      <c r="R105" s="140"/>
    </row>
    <row r="106" ht="29.25" hidden="1" customHeight="1">
      <c r="A106" s="189"/>
      <c r="B106" s="323"/>
      <c r="C106" s="324"/>
      <c r="D106" s="325"/>
      <c r="E106" s="314"/>
      <c r="F106" s="166"/>
      <c r="G106" s="161"/>
      <c r="H106" s="161"/>
      <c r="I106" s="162"/>
      <c r="J106" s="163"/>
      <c r="K106" s="163"/>
      <c r="L106" s="163"/>
      <c r="M106" s="160"/>
      <c r="N106" s="162"/>
      <c r="O106" s="164"/>
      <c r="P106" s="140"/>
      <c r="Q106" s="321"/>
      <c r="R106" s="140"/>
    </row>
    <row r="107" ht="29.25" hidden="1" customHeight="1">
      <c r="A107" s="189"/>
      <c r="B107" s="323"/>
      <c r="C107" s="324"/>
      <c r="D107" s="325"/>
      <c r="E107" s="326"/>
      <c r="F107" s="166"/>
      <c r="G107" s="161"/>
      <c r="H107" s="161"/>
      <c r="I107" s="162"/>
      <c r="J107" s="163"/>
      <c r="K107" s="163"/>
      <c r="L107" s="163"/>
      <c r="M107" s="160"/>
      <c r="N107" s="162"/>
      <c r="O107" s="164"/>
      <c r="P107" s="140"/>
      <c r="Q107" s="327"/>
      <c r="R107" s="140"/>
    </row>
    <row r="108" ht="29.25" hidden="1" customHeight="1">
      <c r="A108" s="189"/>
      <c r="B108" s="323"/>
      <c r="C108" s="324"/>
      <c r="D108" s="325"/>
      <c r="E108" s="314"/>
      <c r="F108" s="166"/>
      <c r="G108" s="161"/>
      <c r="H108" s="161"/>
      <c r="I108" s="162"/>
      <c r="J108" s="163"/>
      <c r="K108" s="163"/>
      <c r="L108" s="163"/>
      <c r="M108" s="160"/>
      <c r="N108" s="162"/>
      <c r="O108" s="164"/>
      <c r="P108" s="140"/>
      <c r="Q108" s="321"/>
      <c r="R108" s="140"/>
    </row>
    <row r="109" ht="29.25" hidden="1" customHeight="1">
      <c r="A109" s="189"/>
      <c r="B109" s="323"/>
      <c r="C109" s="324"/>
      <c r="D109" s="325"/>
      <c r="E109" s="326"/>
      <c r="F109" s="166"/>
      <c r="G109" s="161"/>
      <c r="H109" s="161"/>
      <c r="I109" s="162"/>
      <c r="J109" s="163"/>
      <c r="K109" s="163"/>
      <c r="L109" s="163"/>
      <c r="M109" s="160"/>
      <c r="N109" s="162"/>
      <c r="O109" s="164"/>
      <c r="P109" s="140"/>
      <c r="Q109" s="327"/>
      <c r="R109" s="140"/>
    </row>
    <row r="110" ht="29.25" hidden="1" customHeight="1">
      <c r="A110" s="189"/>
      <c r="B110" s="323"/>
      <c r="C110" s="324"/>
      <c r="D110" s="325"/>
      <c r="E110" s="314"/>
      <c r="F110" s="166"/>
      <c r="G110" s="161"/>
      <c r="H110" s="161"/>
      <c r="I110" s="162"/>
      <c r="J110" s="163"/>
      <c r="K110" s="163"/>
      <c r="L110" s="163"/>
      <c r="M110" s="160"/>
      <c r="N110" s="162"/>
      <c r="O110" s="164"/>
      <c r="P110" s="140"/>
      <c r="Q110" s="321"/>
      <c r="R110" s="140"/>
    </row>
    <row r="111" ht="29.25" hidden="1" customHeight="1">
      <c r="A111" s="189"/>
      <c r="B111" s="323"/>
      <c r="C111" s="324"/>
      <c r="D111" s="325"/>
      <c r="E111" s="326"/>
      <c r="F111" s="166"/>
      <c r="G111" s="161"/>
      <c r="H111" s="161"/>
      <c r="I111" s="162"/>
      <c r="J111" s="163"/>
      <c r="K111" s="163"/>
      <c r="L111" s="163"/>
      <c r="M111" s="160"/>
      <c r="N111" s="162"/>
      <c r="O111" s="164"/>
      <c r="P111" s="140"/>
      <c r="Q111" s="327"/>
      <c r="R111" s="140"/>
    </row>
    <row r="112" ht="29.25" hidden="1" customHeight="1">
      <c r="A112" s="189"/>
      <c r="B112" s="323"/>
      <c r="C112" s="324"/>
      <c r="D112" s="325"/>
      <c r="E112" s="314"/>
      <c r="F112" s="166"/>
      <c r="G112" s="161"/>
      <c r="H112" s="161"/>
      <c r="I112" s="162"/>
      <c r="J112" s="163"/>
      <c r="K112" s="163"/>
      <c r="L112" s="163"/>
      <c r="M112" s="160"/>
      <c r="N112" s="162"/>
      <c r="O112" s="164"/>
      <c r="P112" s="140"/>
      <c r="Q112" s="321"/>
      <c r="R112" s="140"/>
    </row>
    <row r="113" ht="29.25" hidden="1" customHeight="1">
      <c r="A113" s="189"/>
      <c r="B113" s="323"/>
      <c r="C113" s="324"/>
      <c r="D113" s="325"/>
      <c r="E113" s="326"/>
      <c r="F113" s="166"/>
      <c r="G113" s="161"/>
      <c r="H113" s="161"/>
      <c r="I113" s="162"/>
      <c r="J113" s="163"/>
      <c r="K113" s="163"/>
      <c r="L113" s="163"/>
      <c r="M113" s="160"/>
      <c r="N113" s="162"/>
      <c r="O113" s="164"/>
      <c r="P113" s="140"/>
      <c r="Q113" s="327"/>
      <c r="R113" s="140"/>
    </row>
    <row r="114" ht="29.25" hidden="1" customHeight="1">
      <c r="A114" s="189"/>
      <c r="B114" s="323"/>
      <c r="C114" s="324"/>
      <c r="D114" s="325"/>
      <c r="E114" s="314"/>
      <c r="F114" s="166"/>
      <c r="G114" s="161"/>
      <c r="H114" s="161"/>
      <c r="I114" s="162"/>
      <c r="J114" s="163"/>
      <c r="K114" s="163"/>
      <c r="L114" s="163"/>
      <c r="M114" s="160"/>
      <c r="N114" s="162"/>
      <c r="O114" s="164"/>
      <c r="P114" s="140"/>
      <c r="Q114" s="321"/>
      <c r="R114" s="140"/>
    </row>
    <row r="115" ht="29.25" hidden="1" customHeight="1">
      <c r="A115" s="189"/>
      <c r="B115" s="323"/>
      <c r="C115" s="324"/>
      <c r="D115" s="325"/>
      <c r="E115" s="326"/>
      <c r="F115" s="166"/>
      <c r="G115" s="161"/>
      <c r="H115" s="161"/>
      <c r="I115" s="162"/>
      <c r="J115" s="163"/>
      <c r="K115" s="163"/>
      <c r="L115" s="163"/>
      <c r="M115" s="160"/>
      <c r="N115" s="162"/>
      <c r="O115" s="164"/>
      <c r="P115" s="140"/>
      <c r="Q115" s="327"/>
      <c r="R115" s="140"/>
    </row>
    <row r="116" ht="29.25" hidden="1" customHeight="1">
      <c r="A116" s="189"/>
      <c r="B116" s="323"/>
      <c r="C116" s="324"/>
      <c r="D116" s="325"/>
      <c r="E116" s="314"/>
      <c r="F116" s="166"/>
      <c r="G116" s="161"/>
      <c r="H116" s="161"/>
      <c r="I116" s="162"/>
      <c r="J116" s="163"/>
      <c r="K116" s="163"/>
      <c r="L116" s="163"/>
      <c r="M116" s="160"/>
      <c r="N116" s="162"/>
      <c r="O116" s="164"/>
      <c r="P116" s="140"/>
      <c r="Q116" s="321"/>
      <c r="R116" s="140"/>
    </row>
    <row r="117" ht="29.25" hidden="1" customHeight="1">
      <c r="A117" s="189"/>
      <c r="B117" s="323"/>
      <c r="C117" s="324"/>
      <c r="D117" s="325"/>
      <c r="E117" s="326"/>
      <c r="F117" s="166"/>
      <c r="G117" s="161"/>
      <c r="H117" s="161"/>
      <c r="I117" s="162"/>
      <c r="J117" s="163"/>
      <c r="K117" s="163"/>
      <c r="L117" s="163"/>
      <c r="M117" s="160"/>
      <c r="N117" s="162"/>
      <c r="O117" s="164"/>
      <c r="P117" s="140"/>
      <c r="Q117" s="327"/>
      <c r="R117" s="140"/>
    </row>
    <row r="118" ht="29.25" hidden="1" customHeight="1">
      <c r="A118" s="189"/>
      <c r="B118" s="323"/>
      <c r="C118" s="324"/>
      <c r="D118" s="325"/>
      <c r="E118" s="314"/>
      <c r="F118" s="166"/>
      <c r="G118" s="161"/>
      <c r="H118" s="161"/>
      <c r="I118" s="162"/>
      <c r="J118" s="163"/>
      <c r="K118" s="163"/>
      <c r="L118" s="163"/>
      <c r="M118" s="160"/>
      <c r="N118" s="162"/>
      <c r="O118" s="164"/>
      <c r="P118" s="140"/>
      <c r="Q118" s="321"/>
      <c r="R118" s="140"/>
    </row>
    <row r="119" ht="29.25" hidden="1" customHeight="1">
      <c r="A119" s="189"/>
      <c r="B119" s="323"/>
      <c r="C119" s="324"/>
      <c r="D119" s="325"/>
      <c r="E119" s="326"/>
      <c r="F119" s="166"/>
      <c r="G119" s="161"/>
      <c r="H119" s="161"/>
      <c r="I119" s="162"/>
      <c r="J119" s="163"/>
      <c r="K119" s="163"/>
      <c r="L119" s="163"/>
      <c r="M119" s="160"/>
      <c r="N119" s="162"/>
      <c r="O119" s="164"/>
      <c r="P119" s="140"/>
      <c r="Q119" s="327"/>
      <c r="R119" s="140"/>
    </row>
    <row r="120" ht="29.25" hidden="1" customHeight="1">
      <c r="A120" s="189"/>
      <c r="B120" s="323"/>
      <c r="C120" s="324"/>
      <c r="D120" s="325"/>
      <c r="E120" s="314"/>
      <c r="F120" s="166"/>
      <c r="G120" s="161"/>
      <c r="H120" s="161"/>
      <c r="I120" s="162"/>
      <c r="J120" s="163"/>
      <c r="K120" s="163"/>
      <c r="L120" s="163"/>
      <c r="M120" s="160"/>
      <c r="N120" s="162"/>
      <c r="O120" s="164"/>
      <c r="P120" s="140"/>
      <c r="Q120" s="321"/>
      <c r="R120" s="140"/>
    </row>
    <row r="121" ht="29.25" hidden="1" customHeight="1">
      <c r="A121" s="189"/>
      <c r="B121" s="323"/>
      <c r="C121" s="324"/>
      <c r="D121" s="325"/>
      <c r="E121" s="326"/>
      <c r="F121" s="166"/>
      <c r="G121" s="161"/>
      <c r="H121" s="161"/>
      <c r="I121" s="162"/>
      <c r="J121" s="163"/>
      <c r="K121" s="163"/>
      <c r="L121" s="163"/>
      <c r="M121" s="160"/>
      <c r="N121" s="162"/>
      <c r="O121" s="164"/>
      <c r="P121" s="140"/>
      <c r="Q121" s="327"/>
      <c r="R121" s="140"/>
    </row>
    <row r="122" ht="29.25" hidden="1" customHeight="1">
      <c r="A122" s="189"/>
      <c r="B122" s="323"/>
      <c r="C122" s="324"/>
      <c r="D122" s="325"/>
      <c r="E122" s="314"/>
      <c r="F122" s="166"/>
      <c r="G122" s="161"/>
      <c r="H122" s="161"/>
      <c r="I122" s="162"/>
      <c r="J122" s="163"/>
      <c r="K122" s="163"/>
      <c r="L122" s="163"/>
      <c r="M122" s="160"/>
      <c r="N122" s="162"/>
      <c r="O122" s="164"/>
      <c r="P122" s="140"/>
      <c r="Q122" s="321"/>
      <c r="R122" s="140"/>
    </row>
    <row r="123" ht="29.25" hidden="1" customHeight="1">
      <c r="A123" s="189"/>
      <c r="B123" s="323"/>
      <c r="C123" s="324"/>
      <c r="D123" s="325"/>
      <c r="E123" s="326"/>
      <c r="F123" s="166"/>
      <c r="G123" s="161"/>
      <c r="H123" s="161"/>
      <c r="I123" s="162"/>
      <c r="J123" s="163"/>
      <c r="K123" s="163"/>
      <c r="L123" s="163"/>
      <c r="M123" s="160"/>
      <c r="N123" s="162"/>
      <c r="O123" s="164"/>
      <c r="P123" s="140"/>
      <c r="Q123" s="327"/>
      <c r="R123" s="140"/>
    </row>
    <row r="124" ht="29.25" hidden="1" customHeight="1">
      <c r="A124" s="189"/>
      <c r="B124" s="323"/>
      <c r="C124" s="324"/>
      <c r="D124" s="325"/>
      <c r="E124" s="314"/>
      <c r="F124" s="166"/>
      <c r="G124" s="161"/>
      <c r="H124" s="161"/>
      <c r="I124" s="162"/>
      <c r="J124" s="163"/>
      <c r="K124" s="163"/>
      <c r="L124" s="163"/>
      <c r="M124" s="160"/>
      <c r="N124" s="162"/>
      <c r="O124" s="164"/>
      <c r="P124" s="140"/>
      <c r="Q124" s="321"/>
      <c r="R124" s="140"/>
    </row>
    <row r="125" ht="29.25" hidden="1" customHeight="1">
      <c r="A125" s="189"/>
      <c r="B125" s="323"/>
      <c r="C125" s="324"/>
      <c r="D125" s="325"/>
      <c r="E125" s="326"/>
      <c r="F125" s="166"/>
      <c r="G125" s="161"/>
      <c r="H125" s="161"/>
      <c r="I125" s="162"/>
      <c r="J125" s="163"/>
      <c r="K125" s="163"/>
      <c r="L125" s="163"/>
      <c r="M125" s="160"/>
      <c r="N125" s="162"/>
      <c r="O125" s="164"/>
      <c r="P125" s="140"/>
      <c r="Q125" s="327"/>
      <c r="R125" s="140"/>
    </row>
    <row r="126" ht="29.25" hidden="1" customHeight="1">
      <c r="A126" s="189"/>
      <c r="B126" s="323"/>
      <c r="C126" s="324"/>
      <c r="D126" s="325"/>
      <c r="E126" s="314"/>
      <c r="F126" s="166"/>
      <c r="G126" s="161"/>
      <c r="H126" s="161"/>
      <c r="I126" s="162"/>
      <c r="J126" s="163"/>
      <c r="K126" s="163"/>
      <c r="L126" s="163"/>
      <c r="M126" s="160"/>
      <c r="N126" s="162"/>
      <c r="O126" s="164"/>
      <c r="P126" s="140"/>
      <c r="Q126" s="321"/>
      <c r="R126" s="140"/>
    </row>
    <row r="127" ht="29.25" hidden="1" customHeight="1">
      <c r="A127" s="189"/>
      <c r="B127" s="323"/>
      <c r="C127" s="324"/>
      <c r="D127" s="325"/>
      <c r="E127" s="326"/>
      <c r="F127" s="166"/>
      <c r="G127" s="161"/>
      <c r="H127" s="161"/>
      <c r="I127" s="162"/>
      <c r="J127" s="163"/>
      <c r="K127" s="163"/>
      <c r="L127" s="163"/>
      <c r="M127" s="160"/>
      <c r="N127" s="162"/>
      <c r="O127" s="164"/>
      <c r="P127" s="140"/>
      <c r="Q127" s="327"/>
      <c r="R127" s="140"/>
    </row>
    <row r="128" ht="29.25" hidden="1" customHeight="1">
      <c r="A128" s="189"/>
      <c r="B128" s="323"/>
      <c r="C128" s="324"/>
      <c r="D128" s="325"/>
      <c r="E128" s="314"/>
      <c r="F128" s="166"/>
      <c r="G128" s="161"/>
      <c r="H128" s="161"/>
      <c r="I128" s="162"/>
      <c r="J128" s="163"/>
      <c r="K128" s="163"/>
      <c r="L128" s="163"/>
      <c r="M128" s="160"/>
      <c r="N128" s="162"/>
      <c r="O128" s="164"/>
      <c r="P128" s="140"/>
      <c r="Q128" s="321"/>
      <c r="R128" s="140"/>
    </row>
    <row r="129" ht="29.25" hidden="1" customHeight="1">
      <c r="A129" s="189"/>
      <c r="B129" s="323"/>
      <c r="C129" s="324"/>
      <c r="D129" s="325"/>
      <c r="E129" s="326"/>
      <c r="F129" s="166"/>
      <c r="G129" s="161"/>
      <c r="H129" s="161"/>
      <c r="I129" s="162"/>
      <c r="J129" s="163"/>
      <c r="K129" s="163"/>
      <c r="L129" s="163"/>
      <c r="M129" s="160"/>
      <c r="N129" s="162"/>
      <c r="O129" s="164"/>
      <c r="P129" s="140"/>
      <c r="Q129" s="327"/>
      <c r="R129" s="140"/>
    </row>
    <row r="130" ht="29.25" hidden="1" customHeight="1">
      <c r="A130" s="189"/>
      <c r="B130" s="323"/>
      <c r="C130" s="324"/>
      <c r="D130" s="325"/>
      <c r="E130" s="314"/>
      <c r="F130" s="166"/>
      <c r="G130" s="161"/>
      <c r="H130" s="161"/>
      <c r="I130" s="162"/>
      <c r="J130" s="163"/>
      <c r="K130" s="163"/>
      <c r="L130" s="163"/>
      <c r="M130" s="160"/>
      <c r="N130" s="162"/>
      <c r="O130" s="164"/>
      <c r="P130" s="140"/>
      <c r="Q130" s="321"/>
      <c r="R130" s="140"/>
    </row>
    <row r="131" ht="29.25" hidden="1" customHeight="1">
      <c r="A131" s="189"/>
      <c r="B131" s="323"/>
      <c r="C131" s="324"/>
      <c r="D131" s="325"/>
      <c r="E131" s="326"/>
      <c r="F131" s="166"/>
      <c r="G131" s="161"/>
      <c r="H131" s="161"/>
      <c r="I131" s="162"/>
      <c r="J131" s="163"/>
      <c r="K131" s="163"/>
      <c r="L131" s="163"/>
      <c r="M131" s="160"/>
      <c r="N131" s="162"/>
      <c r="O131" s="164"/>
      <c r="P131" s="140"/>
      <c r="Q131" s="327"/>
      <c r="R131" s="140"/>
    </row>
    <row r="132" ht="29.25" hidden="1" customHeight="1">
      <c r="A132" s="189"/>
      <c r="B132" s="323"/>
      <c r="C132" s="324"/>
      <c r="D132" s="325"/>
      <c r="E132" s="314"/>
      <c r="F132" s="166"/>
      <c r="G132" s="161"/>
      <c r="H132" s="161"/>
      <c r="I132" s="162"/>
      <c r="J132" s="163"/>
      <c r="K132" s="163"/>
      <c r="L132" s="163"/>
      <c r="M132" s="160"/>
      <c r="N132" s="162"/>
      <c r="O132" s="164"/>
      <c r="P132" s="140"/>
      <c r="Q132" s="321"/>
      <c r="R132" s="140"/>
    </row>
    <row r="133" ht="29.25" hidden="1" customHeight="1">
      <c r="A133" s="189"/>
      <c r="B133" s="323"/>
      <c r="C133" s="324"/>
      <c r="D133" s="325"/>
      <c r="E133" s="326"/>
      <c r="F133" s="166"/>
      <c r="G133" s="161"/>
      <c r="H133" s="161"/>
      <c r="I133" s="162"/>
      <c r="J133" s="163"/>
      <c r="K133" s="163"/>
      <c r="L133" s="163"/>
      <c r="M133" s="160"/>
      <c r="N133" s="162"/>
      <c r="O133" s="164"/>
      <c r="P133" s="140"/>
      <c r="Q133" s="327"/>
      <c r="R133" s="140"/>
    </row>
    <row r="134" ht="29.25" hidden="1" customHeight="1">
      <c r="A134" s="189"/>
      <c r="B134" s="323"/>
      <c r="C134" s="324"/>
      <c r="D134" s="325"/>
      <c r="E134" s="314"/>
      <c r="F134" s="166"/>
      <c r="G134" s="161"/>
      <c r="H134" s="161"/>
      <c r="I134" s="162"/>
      <c r="J134" s="163"/>
      <c r="K134" s="163"/>
      <c r="L134" s="163"/>
      <c r="M134" s="160"/>
      <c r="N134" s="162"/>
      <c r="O134" s="164"/>
      <c r="P134" s="140"/>
      <c r="Q134" s="321"/>
      <c r="R134" s="140"/>
    </row>
    <row r="135" ht="29.25" hidden="1" customHeight="1">
      <c r="A135" s="189"/>
      <c r="B135" s="323"/>
      <c r="C135" s="324"/>
      <c r="D135" s="325"/>
      <c r="E135" s="326"/>
      <c r="F135" s="166"/>
      <c r="G135" s="161"/>
      <c r="H135" s="161"/>
      <c r="I135" s="162"/>
      <c r="J135" s="163"/>
      <c r="K135" s="163"/>
      <c r="L135" s="163"/>
      <c r="M135" s="160"/>
      <c r="N135" s="162"/>
      <c r="O135" s="164"/>
      <c r="P135" s="140"/>
      <c r="Q135" s="327"/>
      <c r="R135" s="140"/>
    </row>
    <row r="136" ht="29.25" hidden="1" customHeight="1">
      <c r="A136" s="189"/>
      <c r="B136" s="323"/>
      <c r="C136" s="324"/>
      <c r="D136" s="325"/>
      <c r="E136" s="314"/>
      <c r="F136" s="166"/>
      <c r="G136" s="161"/>
      <c r="H136" s="161"/>
      <c r="I136" s="162"/>
      <c r="J136" s="163"/>
      <c r="K136" s="163"/>
      <c r="L136" s="163"/>
      <c r="M136" s="160"/>
      <c r="N136" s="162"/>
      <c r="O136" s="164"/>
      <c r="P136" s="140"/>
      <c r="Q136" s="321"/>
      <c r="R136" s="140"/>
    </row>
    <row r="137" ht="29.25" hidden="1" customHeight="1">
      <c r="A137" s="189"/>
      <c r="B137" s="323"/>
      <c r="C137" s="324"/>
      <c r="D137" s="325"/>
      <c r="E137" s="326"/>
      <c r="F137" s="166"/>
      <c r="G137" s="161"/>
      <c r="H137" s="161"/>
      <c r="I137" s="162"/>
      <c r="J137" s="163"/>
      <c r="K137" s="163"/>
      <c r="L137" s="163"/>
      <c r="M137" s="160"/>
      <c r="N137" s="162"/>
      <c r="O137" s="164"/>
      <c r="P137" s="140"/>
      <c r="Q137" s="327"/>
      <c r="R137" s="140"/>
    </row>
    <row r="138" ht="29.25" hidden="1" customHeight="1">
      <c r="A138" s="189"/>
      <c r="B138" s="323"/>
      <c r="C138" s="324"/>
      <c r="D138" s="325"/>
      <c r="E138" s="314"/>
      <c r="F138" s="166"/>
      <c r="G138" s="161"/>
      <c r="H138" s="161"/>
      <c r="I138" s="162"/>
      <c r="J138" s="163"/>
      <c r="K138" s="163"/>
      <c r="L138" s="163"/>
      <c r="M138" s="160"/>
      <c r="N138" s="162"/>
      <c r="O138" s="164"/>
      <c r="P138" s="140"/>
      <c r="Q138" s="321"/>
      <c r="R138" s="140"/>
    </row>
    <row r="139" ht="29.25" hidden="1" customHeight="1">
      <c r="A139" s="189"/>
      <c r="B139" s="323"/>
      <c r="C139" s="324"/>
      <c r="D139" s="325"/>
      <c r="E139" s="326"/>
      <c r="F139" s="166"/>
      <c r="G139" s="161"/>
      <c r="H139" s="161"/>
      <c r="I139" s="162"/>
      <c r="J139" s="163"/>
      <c r="K139" s="163"/>
      <c r="L139" s="163"/>
      <c r="M139" s="160"/>
      <c r="N139" s="162"/>
      <c r="O139" s="164"/>
      <c r="P139" s="140"/>
      <c r="Q139" s="327"/>
      <c r="R139" s="140"/>
    </row>
    <row r="140" ht="29.25" hidden="1" customHeight="1">
      <c r="A140" s="189"/>
      <c r="B140" s="323"/>
      <c r="C140" s="324"/>
      <c r="D140" s="325"/>
      <c r="E140" s="314"/>
      <c r="F140" s="166"/>
      <c r="G140" s="161"/>
      <c r="H140" s="161"/>
      <c r="I140" s="162"/>
      <c r="J140" s="163"/>
      <c r="K140" s="163"/>
      <c r="L140" s="163"/>
      <c r="M140" s="160"/>
      <c r="N140" s="162"/>
      <c r="O140" s="164"/>
      <c r="P140" s="140"/>
      <c r="Q140" s="321"/>
      <c r="R140" s="140"/>
    </row>
    <row r="141" ht="29.25" hidden="1" customHeight="1">
      <c r="A141" s="189"/>
      <c r="B141" s="323"/>
      <c r="C141" s="324"/>
      <c r="D141" s="325"/>
      <c r="E141" s="326"/>
      <c r="F141" s="166"/>
      <c r="G141" s="161"/>
      <c r="H141" s="161"/>
      <c r="I141" s="162"/>
      <c r="J141" s="163"/>
      <c r="K141" s="163"/>
      <c r="L141" s="163"/>
      <c r="M141" s="160"/>
      <c r="N141" s="162"/>
      <c r="O141" s="164"/>
      <c r="P141" s="140"/>
      <c r="Q141" s="327"/>
      <c r="R141" s="140"/>
    </row>
    <row r="142" ht="29.25" hidden="1" customHeight="1">
      <c r="A142" s="189"/>
      <c r="B142" s="323"/>
      <c r="C142" s="324"/>
      <c r="D142" s="325"/>
      <c r="E142" s="314"/>
      <c r="F142" s="166"/>
      <c r="G142" s="161"/>
      <c r="H142" s="161"/>
      <c r="I142" s="162"/>
      <c r="J142" s="163"/>
      <c r="K142" s="163"/>
      <c r="L142" s="163"/>
      <c r="M142" s="160"/>
      <c r="N142" s="162"/>
      <c r="O142" s="164"/>
      <c r="P142" s="140"/>
      <c r="Q142" s="321"/>
      <c r="R142" s="140"/>
    </row>
    <row r="143" ht="29.25" hidden="1" customHeight="1">
      <c r="A143" s="189"/>
      <c r="B143" s="323"/>
      <c r="C143" s="324"/>
      <c r="D143" s="325"/>
      <c r="E143" s="326"/>
      <c r="F143" s="166"/>
      <c r="G143" s="161"/>
      <c r="H143" s="161"/>
      <c r="I143" s="162"/>
      <c r="J143" s="163"/>
      <c r="K143" s="163"/>
      <c r="L143" s="163"/>
      <c r="M143" s="160"/>
      <c r="N143" s="162"/>
      <c r="O143" s="164"/>
      <c r="P143" s="140"/>
      <c r="Q143" s="327"/>
      <c r="R143" s="140"/>
    </row>
    <row r="144" ht="29.25" hidden="1" customHeight="1">
      <c r="A144" s="189"/>
      <c r="B144" s="323"/>
      <c r="C144" s="324"/>
      <c r="D144" s="325"/>
      <c r="E144" s="314"/>
      <c r="F144" s="166"/>
      <c r="G144" s="161"/>
      <c r="H144" s="161"/>
      <c r="I144" s="162"/>
      <c r="J144" s="163"/>
      <c r="K144" s="163"/>
      <c r="L144" s="163"/>
      <c r="M144" s="160"/>
      <c r="N144" s="162"/>
      <c r="O144" s="164"/>
      <c r="P144" s="140"/>
      <c r="Q144" s="321"/>
      <c r="R144" s="140"/>
    </row>
    <row r="145" ht="29.25" hidden="1" customHeight="1">
      <c r="A145" s="189"/>
      <c r="B145" s="323"/>
      <c r="C145" s="324"/>
      <c r="D145" s="325"/>
      <c r="E145" s="326"/>
      <c r="F145" s="166"/>
      <c r="G145" s="161"/>
      <c r="H145" s="161"/>
      <c r="I145" s="162"/>
      <c r="J145" s="163"/>
      <c r="K145" s="163"/>
      <c r="L145" s="163"/>
      <c r="M145" s="160"/>
      <c r="N145" s="162"/>
      <c r="O145" s="164"/>
      <c r="P145" s="140"/>
      <c r="Q145" s="327"/>
      <c r="R145" s="140"/>
    </row>
    <row r="146" ht="29.25" hidden="1" customHeight="1">
      <c r="A146" s="189"/>
      <c r="B146" s="323"/>
      <c r="C146" s="324"/>
      <c r="D146" s="325"/>
      <c r="E146" s="314"/>
      <c r="F146" s="166"/>
      <c r="G146" s="161"/>
      <c r="H146" s="161"/>
      <c r="I146" s="162"/>
      <c r="J146" s="163"/>
      <c r="K146" s="163"/>
      <c r="L146" s="163"/>
      <c r="M146" s="160"/>
      <c r="N146" s="162"/>
      <c r="O146" s="164"/>
      <c r="P146" s="140"/>
      <c r="Q146" s="321"/>
      <c r="R146" s="140"/>
    </row>
    <row r="147" ht="29.25" hidden="1" customHeight="1">
      <c r="A147" s="189"/>
      <c r="B147" s="323"/>
      <c r="C147" s="324"/>
      <c r="D147" s="325"/>
      <c r="E147" s="326"/>
      <c r="F147" s="166"/>
      <c r="G147" s="161"/>
      <c r="H147" s="161"/>
      <c r="I147" s="162"/>
      <c r="J147" s="163"/>
      <c r="K147" s="163"/>
      <c r="L147" s="163"/>
      <c r="M147" s="160"/>
      <c r="N147" s="162"/>
      <c r="O147" s="164"/>
      <c r="P147" s="140"/>
      <c r="Q147" s="327"/>
      <c r="R147" s="140"/>
    </row>
    <row r="148" ht="29.25" hidden="1" customHeight="1">
      <c r="A148" s="189"/>
      <c r="B148" s="323"/>
      <c r="C148" s="324"/>
      <c r="D148" s="325"/>
      <c r="E148" s="314"/>
      <c r="F148" s="166"/>
      <c r="G148" s="161"/>
      <c r="H148" s="161"/>
      <c r="I148" s="162"/>
      <c r="J148" s="163"/>
      <c r="K148" s="163"/>
      <c r="L148" s="163"/>
      <c r="M148" s="160"/>
      <c r="N148" s="162"/>
      <c r="O148" s="164"/>
      <c r="P148" s="140"/>
      <c r="Q148" s="321"/>
      <c r="R148" s="140"/>
    </row>
    <row r="149" ht="29.25" hidden="1" customHeight="1">
      <c r="A149" s="189"/>
      <c r="B149" s="323"/>
      <c r="C149" s="324"/>
      <c r="D149" s="325"/>
      <c r="E149" s="326"/>
      <c r="F149" s="166"/>
      <c r="G149" s="161"/>
      <c r="H149" s="161"/>
      <c r="I149" s="162"/>
      <c r="J149" s="163"/>
      <c r="K149" s="163"/>
      <c r="L149" s="163"/>
      <c r="M149" s="160"/>
      <c r="N149" s="162"/>
      <c r="O149" s="164"/>
      <c r="P149" s="140"/>
      <c r="Q149" s="327"/>
      <c r="R149" s="140"/>
    </row>
    <row r="150" ht="29.25" hidden="1" customHeight="1">
      <c r="A150" s="189"/>
      <c r="B150" s="323"/>
      <c r="C150" s="324"/>
      <c r="D150" s="325"/>
      <c r="E150" s="314"/>
      <c r="F150" s="166"/>
      <c r="G150" s="161"/>
      <c r="H150" s="161"/>
      <c r="I150" s="162"/>
      <c r="J150" s="163"/>
      <c r="K150" s="163"/>
      <c r="L150" s="163"/>
      <c r="M150" s="160"/>
      <c r="N150" s="162"/>
      <c r="O150" s="164"/>
      <c r="P150" s="140"/>
      <c r="Q150" s="321"/>
      <c r="R150" s="140"/>
    </row>
    <row r="151" ht="29.25" hidden="1" customHeight="1">
      <c r="A151" s="189"/>
      <c r="B151" s="323"/>
      <c r="C151" s="324"/>
      <c r="D151" s="325"/>
      <c r="E151" s="326"/>
      <c r="F151" s="166"/>
      <c r="G151" s="161"/>
      <c r="H151" s="161"/>
      <c r="I151" s="162"/>
      <c r="J151" s="163"/>
      <c r="K151" s="163"/>
      <c r="L151" s="163"/>
      <c r="M151" s="160"/>
      <c r="N151" s="162"/>
      <c r="O151" s="164"/>
      <c r="P151" s="140"/>
      <c r="Q151" s="327"/>
      <c r="R151" s="140"/>
    </row>
    <row r="152" ht="29.25" hidden="1" customHeight="1">
      <c r="A152" s="189"/>
      <c r="B152" s="323"/>
      <c r="C152" s="324"/>
      <c r="D152" s="325"/>
      <c r="E152" s="314"/>
      <c r="F152" s="166"/>
      <c r="G152" s="161"/>
      <c r="H152" s="161"/>
      <c r="I152" s="162"/>
      <c r="J152" s="163"/>
      <c r="K152" s="163"/>
      <c r="L152" s="163"/>
      <c r="M152" s="160"/>
      <c r="N152" s="162"/>
      <c r="O152" s="164"/>
      <c r="P152" s="140"/>
      <c r="Q152" s="321"/>
      <c r="R152" s="140"/>
    </row>
    <row r="153" ht="29.25" hidden="1" customHeight="1">
      <c r="A153" s="189"/>
      <c r="B153" s="323"/>
      <c r="C153" s="324"/>
      <c r="D153" s="325"/>
      <c r="E153" s="326"/>
      <c r="F153" s="166"/>
      <c r="G153" s="161"/>
      <c r="H153" s="161"/>
      <c r="I153" s="162"/>
      <c r="J153" s="163"/>
      <c r="K153" s="163"/>
      <c r="L153" s="163"/>
      <c r="M153" s="160"/>
      <c r="N153" s="162"/>
      <c r="O153" s="164"/>
      <c r="P153" s="140"/>
      <c r="Q153" s="327"/>
      <c r="R153" s="140"/>
    </row>
    <row r="154" ht="29.25" hidden="1" customHeight="1">
      <c r="A154" s="189"/>
      <c r="B154" s="323"/>
      <c r="C154" s="324"/>
      <c r="D154" s="325"/>
      <c r="E154" s="314"/>
      <c r="F154" s="166"/>
      <c r="G154" s="161"/>
      <c r="H154" s="161"/>
      <c r="I154" s="162"/>
      <c r="J154" s="163"/>
      <c r="K154" s="163"/>
      <c r="L154" s="163"/>
      <c r="M154" s="160"/>
      <c r="N154" s="162"/>
      <c r="O154" s="164"/>
      <c r="P154" s="140"/>
      <c r="Q154" s="321"/>
      <c r="R154" s="140"/>
    </row>
    <row r="155" ht="29.25" hidden="1" customHeight="1">
      <c r="A155" s="189"/>
      <c r="B155" s="323"/>
      <c r="C155" s="324"/>
      <c r="D155" s="325"/>
      <c r="E155" s="326"/>
      <c r="F155" s="166"/>
      <c r="G155" s="161"/>
      <c r="H155" s="161"/>
      <c r="I155" s="162"/>
      <c r="J155" s="163"/>
      <c r="K155" s="163"/>
      <c r="L155" s="163"/>
      <c r="M155" s="160"/>
      <c r="N155" s="162"/>
      <c r="O155" s="164"/>
      <c r="P155" s="140"/>
      <c r="Q155" s="327"/>
      <c r="R155" s="140"/>
    </row>
    <row r="156" ht="29.25" hidden="1" customHeight="1">
      <c r="A156" s="189"/>
      <c r="B156" s="323"/>
      <c r="C156" s="324"/>
      <c r="D156" s="325"/>
      <c r="E156" s="314"/>
      <c r="F156" s="166"/>
      <c r="G156" s="161"/>
      <c r="H156" s="161"/>
      <c r="I156" s="162"/>
      <c r="J156" s="163"/>
      <c r="K156" s="163"/>
      <c r="L156" s="163"/>
      <c r="M156" s="160"/>
      <c r="N156" s="162"/>
      <c r="O156" s="164"/>
      <c r="P156" s="140"/>
      <c r="Q156" s="321"/>
      <c r="R156" s="140"/>
    </row>
    <row r="157" ht="29.25" hidden="1" customHeight="1">
      <c r="A157" s="189"/>
      <c r="B157" s="323"/>
      <c r="C157" s="324"/>
      <c r="D157" s="325"/>
      <c r="E157" s="326"/>
      <c r="F157" s="166"/>
      <c r="G157" s="161"/>
      <c r="H157" s="161"/>
      <c r="I157" s="162"/>
      <c r="J157" s="163"/>
      <c r="K157" s="163"/>
      <c r="L157" s="163"/>
      <c r="M157" s="160"/>
      <c r="N157" s="162"/>
      <c r="O157" s="164"/>
      <c r="P157" s="140"/>
      <c r="Q157" s="327"/>
      <c r="R157" s="140"/>
    </row>
    <row r="158" ht="29.25" hidden="1" customHeight="1">
      <c r="A158" s="189"/>
      <c r="B158" s="323"/>
      <c r="C158" s="324"/>
      <c r="D158" s="325"/>
      <c r="E158" s="314"/>
      <c r="F158" s="166"/>
      <c r="G158" s="161"/>
      <c r="H158" s="161"/>
      <c r="I158" s="162"/>
      <c r="J158" s="163"/>
      <c r="K158" s="163"/>
      <c r="L158" s="163"/>
      <c r="M158" s="160"/>
      <c r="N158" s="162"/>
      <c r="O158" s="164"/>
      <c r="P158" s="140"/>
      <c r="Q158" s="321"/>
      <c r="R158" s="140"/>
    </row>
    <row r="159" ht="29.25" hidden="1" customHeight="1">
      <c r="A159" s="189"/>
      <c r="B159" s="323"/>
      <c r="C159" s="324"/>
      <c r="D159" s="325"/>
      <c r="E159" s="326"/>
      <c r="F159" s="166"/>
      <c r="G159" s="161"/>
      <c r="H159" s="161"/>
      <c r="I159" s="162"/>
      <c r="J159" s="163"/>
      <c r="K159" s="163"/>
      <c r="L159" s="163"/>
      <c r="M159" s="160"/>
      <c r="N159" s="162"/>
      <c r="O159" s="164"/>
      <c r="P159" s="140"/>
      <c r="Q159" s="327"/>
      <c r="R159" s="140"/>
    </row>
    <row r="160" ht="29.25" hidden="1" customHeight="1">
      <c r="A160" s="189"/>
      <c r="B160" s="323"/>
      <c r="C160" s="324"/>
      <c r="D160" s="325"/>
      <c r="E160" s="314"/>
      <c r="F160" s="166"/>
      <c r="G160" s="161"/>
      <c r="H160" s="161"/>
      <c r="I160" s="162"/>
      <c r="J160" s="163"/>
      <c r="K160" s="163"/>
      <c r="L160" s="163"/>
      <c r="M160" s="160"/>
      <c r="N160" s="162"/>
      <c r="O160" s="164"/>
      <c r="P160" s="140"/>
      <c r="Q160" s="321"/>
      <c r="R160" s="140"/>
    </row>
    <row r="161" ht="29.25" hidden="1" customHeight="1">
      <c r="A161" s="189"/>
      <c r="B161" s="323"/>
      <c r="C161" s="324"/>
      <c r="D161" s="325"/>
      <c r="E161" s="326"/>
      <c r="F161" s="166"/>
      <c r="G161" s="161"/>
      <c r="H161" s="161"/>
      <c r="I161" s="162"/>
      <c r="J161" s="163"/>
      <c r="K161" s="163"/>
      <c r="L161" s="163"/>
      <c r="M161" s="160"/>
      <c r="N161" s="162"/>
      <c r="O161" s="164"/>
      <c r="P161" s="140"/>
      <c r="Q161" s="327"/>
      <c r="R161" s="140"/>
    </row>
    <row r="162" ht="29.25" hidden="1" customHeight="1">
      <c r="A162" s="189"/>
      <c r="B162" s="323"/>
      <c r="C162" s="324"/>
      <c r="D162" s="325"/>
      <c r="E162" s="314"/>
      <c r="F162" s="166"/>
      <c r="G162" s="161"/>
      <c r="H162" s="161"/>
      <c r="I162" s="162"/>
      <c r="J162" s="163"/>
      <c r="K162" s="163"/>
      <c r="L162" s="163"/>
      <c r="M162" s="160"/>
      <c r="N162" s="162"/>
      <c r="O162" s="164"/>
      <c r="P162" s="140"/>
      <c r="Q162" s="321"/>
      <c r="R162" s="140"/>
    </row>
    <row r="163" ht="29.25" hidden="1" customHeight="1">
      <c r="A163" s="189"/>
      <c r="B163" s="323"/>
      <c r="C163" s="324"/>
      <c r="D163" s="325"/>
      <c r="E163" s="326"/>
      <c r="F163" s="166"/>
      <c r="G163" s="161"/>
      <c r="H163" s="161"/>
      <c r="I163" s="162"/>
      <c r="J163" s="163"/>
      <c r="K163" s="163"/>
      <c r="L163" s="163"/>
      <c r="M163" s="160"/>
      <c r="N163" s="162"/>
      <c r="O163" s="164"/>
      <c r="P163" s="140"/>
      <c r="Q163" s="327"/>
      <c r="R163" s="140"/>
    </row>
    <row r="164" ht="29.25" hidden="1" customHeight="1">
      <c r="A164" s="189"/>
      <c r="B164" s="323"/>
      <c r="C164" s="324"/>
      <c r="D164" s="325"/>
      <c r="E164" s="314"/>
      <c r="F164" s="166"/>
      <c r="G164" s="161"/>
      <c r="H164" s="161"/>
      <c r="I164" s="162"/>
      <c r="J164" s="163"/>
      <c r="K164" s="163"/>
      <c r="L164" s="163"/>
      <c r="M164" s="160"/>
      <c r="N164" s="162"/>
      <c r="O164" s="164"/>
      <c r="P164" s="140"/>
      <c r="Q164" s="321"/>
      <c r="R164" s="140"/>
    </row>
    <row r="165" ht="29.25" hidden="1" customHeight="1">
      <c r="A165" s="189"/>
      <c r="B165" s="323"/>
      <c r="C165" s="324"/>
      <c r="D165" s="325"/>
      <c r="E165" s="326"/>
      <c r="F165" s="166"/>
      <c r="G165" s="161"/>
      <c r="H165" s="161"/>
      <c r="I165" s="162"/>
      <c r="J165" s="163"/>
      <c r="K165" s="163"/>
      <c r="L165" s="163"/>
      <c r="M165" s="160"/>
      <c r="N165" s="162"/>
      <c r="O165" s="164"/>
      <c r="P165" s="140"/>
      <c r="Q165" s="327"/>
      <c r="R165" s="140"/>
    </row>
    <row r="166" ht="29.25" hidden="1" customHeight="1">
      <c r="A166" s="189"/>
      <c r="B166" s="323"/>
      <c r="C166" s="324"/>
      <c r="D166" s="325"/>
      <c r="E166" s="314"/>
      <c r="F166" s="166"/>
      <c r="G166" s="161"/>
      <c r="H166" s="161"/>
      <c r="I166" s="162"/>
      <c r="J166" s="163"/>
      <c r="K166" s="163"/>
      <c r="L166" s="163"/>
      <c r="M166" s="160"/>
      <c r="N166" s="162"/>
      <c r="O166" s="164"/>
      <c r="P166" s="140"/>
      <c r="Q166" s="321"/>
      <c r="R166" s="140"/>
    </row>
    <row r="167" ht="29.25" hidden="1" customHeight="1">
      <c r="A167" s="189"/>
      <c r="B167" s="323"/>
      <c r="C167" s="324"/>
      <c r="D167" s="325"/>
      <c r="E167" s="326"/>
      <c r="F167" s="166"/>
      <c r="G167" s="161"/>
      <c r="H167" s="161"/>
      <c r="I167" s="162"/>
      <c r="J167" s="163"/>
      <c r="K167" s="163"/>
      <c r="L167" s="163"/>
      <c r="M167" s="160"/>
      <c r="N167" s="162"/>
      <c r="O167" s="164"/>
      <c r="P167" s="140"/>
      <c r="Q167" s="327"/>
      <c r="R167" s="140"/>
    </row>
    <row r="168" ht="29.25" hidden="1" customHeight="1">
      <c r="A168" s="189"/>
      <c r="B168" s="323"/>
      <c r="C168" s="324"/>
      <c r="D168" s="325"/>
      <c r="E168" s="314"/>
      <c r="F168" s="166"/>
      <c r="G168" s="161"/>
      <c r="H168" s="161"/>
      <c r="I168" s="162"/>
      <c r="J168" s="163"/>
      <c r="K168" s="163"/>
      <c r="L168" s="163"/>
      <c r="M168" s="160"/>
      <c r="N168" s="162"/>
      <c r="O168" s="164"/>
      <c r="P168" s="140"/>
      <c r="Q168" s="321"/>
      <c r="R168" s="140"/>
    </row>
    <row r="169" ht="29.25" hidden="1" customHeight="1">
      <c r="A169" s="189"/>
      <c r="B169" s="323"/>
      <c r="C169" s="324"/>
      <c r="D169" s="325"/>
      <c r="E169" s="326"/>
      <c r="F169" s="166"/>
      <c r="G169" s="161"/>
      <c r="H169" s="161"/>
      <c r="I169" s="162"/>
      <c r="J169" s="163"/>
      <c r="K169" s="163"/>
      <c r="L169" s="163"/>
      <c r="M169" s="160"/>
      <c r="N169" s="162"/>
      <c r="O169" s="164"/>
      <c r="P169" s="140"/>
      <c r="Q169" s="327"/>
      <c r="R169" s="140"/>
    </row>
    <row r="170" ht="29.25" hidden="1" customHeight="1">
      <c r="A170" s="189"/>
      <c r="B170" s="323"/>
      <c r="C170" s="324"/>
      <c r="D170" s="325"/>
      <c r="E170" s="314"/>
      <c r="F170" s="166"/>
      <c r="G170" s="161"/>
      <c r="H170" s="161"/>
      <c r="I170" s="162"/>
      <c r="J170" s="163"/>
      <c r="K170" s="163"/>
      <c r="L170" s="163"/>
      <c r="M170" s="160"/>
      <c r="N170" s="162"/>
      <c r="O170" s="164"/>
      <c r="P170" s="140"/>
      <c r="Q170" s="321"/>
      <c r="R170" s="140"/>
    </row>
    <row r="171" ht="29.25" hidden="1" customHeight="1">
      <c r="A171" s="189"/>
      <c r="B171" s="323"/>
      <c r="C171" s="324"/>
      <c r="D171" s="325"/>
      <c r="E171" s="326"/>
      <c r="F171" s="166"/>
      <c r="G171" s="161"/>
      <c r="H171" s="161"/>
      <c r="I171" s="162"/>
      <c r="J171" s="163"/>
      <c r="K171" s="163"/>
      <c r="L171" s="163"/>
      <c r="M171" s="160"/>
      <c r="N171" s="162"/>
      <c r="O171" s="164"/>
      <c r="P171" s="140"/>
      <c r="Q171" s="327"/>
      <c r="R171" s="140"/>
    </row>
    <row r="172" ht="29.25" hidden="1" customHeight="1">
      <c r="A172" s="189"/>
      <c r="B172" s="323"/>
      <c r="C172" s="324"/>
      <c r="D172" s="325"/>
      <c r="E172" s="314"/>
      <c r="F172" s="166"/>
      <c r="G172" s="161"/>
      <c r="H172" s="161"/>
      <c r="I172" s="162"/>
      <c r="J172" s="163"/>
      <c r="K172" s="163"/>
      <c r="L172" s="163"/>
      <c r="M172" s="160"/>
      <c r="N172" s="162"/>
      <c r="O172" s="164"/>
      <c r="P172" s="140"/>
      <c r="Q172" s="321"/>
      <c r="R172" s="140"/>
    </row>
    <row r="173" ht="29.25" hidden="1" customHeight="1">
      <c r="A173" s="189"/>
      <c r="B173" s="323"/>
      <c r="C173" s="324"/>
      <c r="D173" s="325"/>
      <c r="E173" s="326"/>
      <c r="F173" s="166"/>
      <c r="G173" s="161"/>
      <c r="H173" s="161"/>
      <c r="I173" s="162"/>
      <c r="J173" s="163"/>
      <c r="K173" s="163"/>
      <c r="L173" s="163"/>
      <c r="M173" s="160"/>
      <c r="N173" s="162"/>
      <c r="O173" s="164"/>
      <c r="P173" s="140"/>
      <c r="Q173" s="327"/>
      <c r="R173" s="140"/>
    </row>
    <row r="174" ht="29.25" hidden="1" customHeight="1">
      <c r="A174" s="189"/>
      <c r="B174" s="323"/>
      <c r="C174" s="324"/>
      <c r="D174" s="325"/>
      <c r="E174" s="314"/>
      <c r="F174" s="166"/>
      <c r="G174" s="161"/>
      <c r="H174" s="161"/>
      <c r="I174" s="162"/>
      <c r="J174" s="163"/>
      <c r="K174" s="163"/>
      <c r="L174" s="163"/>
      <c r="M174" s="160"/>
      <c r="N174" s="162"/>
      <c r="O174" s="164"/>
      <c r="P174" s="140"/>
      <c r="Q174" s="321"/>
      <c r="R174" s="140"/>
    </row>
    <row r="175" ht="29.25" hidden="1" customHeight="1">
      <c r="A175" s="189"/>
      <c r="B175" s="323"/>
      <c r="C175" s="324"/>
      <c r="D175" s="325"/>
      <c r="E175" s="326"/>
      <c r="F175" s="166"/>
      <c r="G175" s="161"/>
      <c r="H175" s="161"/>
      <c r="I175" s="162"/>
      <c r="J175" s="163"/>
      <c r="K175" s="163"/>
      <c r="L175" s="163"/>
      <c r="M175" s="160"/>
      <c r="N175" s="162"/>
      <c r="O175" s="164"/>
      <c r="P175" s="140"/>
      <c r="Q175" s="327"/>
      <c r="R175" s="140"/>
    </row>
    <row r="176" ht="29.25" hidden="1" customHeight="1">
      <c r="A176" s="189"/>
      <c r="B176" s="323"/>
      <c r="C176" s="324"/>
      <c r="D176" s="325"/>
      <c r="E176" s="314"/>
      <c r="F176" s="166"/>
      <c r="G176" s="161"/>
      <c r="H176" s="161"/>
      <c r="I176" s="162"/>
      <c r="J176" s="163"/>
      <c r="K176" s="163"/>
      <c r="L176" s="163"/>
      <c r="M176" s="160"/>
      <c r="N176" s="162"/>
      <c r="O176" s="164"/>
      <c r="P176" s="140"/>
      <c r="Q176" s="321"/>
      <c r="R176" s="140"/>
    </row>
    <row r="177" ht="29.25" hidden="1" customHeight="1">
      <c r="A177" s="189"/>
      <c r="B177" s="323"/>
      <c r="C177" s="324"/>
      <c r="D177" s="325"/>
      <c r="E177" s="326"/>
      <c r="F177" s="166"/>
      <c r="G177" s="161"/>
      <c r="H177" s="161"/>
      <c r="I177" s="162"/>
      <c r="J177" s="163"/>
      <c r="K177" s="163"/>
      <c r="L177" s="163"/>
      <c r="M177" s="160"/>
      <c r="N177" s="162"/>
      <c r="O177" s="164"/>
      <c r="P177" s="140"/>
      <c r="Q177" s="327"/>
      <c r="R177" s="140"/>
    </row>
    <row r="178" ht="29.25" hidden="1" customHeight="1">
      <c r="A178" s="189"/>
      <c r="B178" s="323"/>
      <c r="C178" s="324"/>
      <c r="D178" s="325"/>
      <c r="E178" s="314"/>
      <c r="F178" s="166"/>
      <c r="G178" s="161"/>
      <c r="H178" s="161"/>
      <c r="I178" s="162"/>
      <c r="J178" s="163"/>
      <c r="K178" s="163"/>
      <c r="L178" s="163"/>
      <c r="M178" s="160"/>
      <c r="N178" s="162"/>
      <c r="O178" s="164"/>
      <c r="P178" s="140"/>
      <c r="Q178" s="321"/>
      <c r="R178" s="140"/>
    </row>
    <row r="179" ht="29.25" hidden="1" customHeight="1">
      <c r="A179" s="189"/>
      <c r="B179" s="323"/>
      <c r="C179" s="324"/>
      <c r="D179" s="325"/>
      <c r="E179" s="326"/>
      <c r="F179" s="166"/>
      <c r="G179" s="161"/>
      <c r="H179" s="161"/>
      <c r="I179" s="162"/>
      <c r="J179" s="163"/>
      <c r="K179" s="163"/>
      <c r="L179" s="163"/>
      <c r="M179" s="160"/>
      <c r="N179" s="162"/>
      <c r="O179" s="164"/>
      <c r="P179" s="140"/>
      <c r="Q179" s="327"/>
      <c r="R179" s="140"/>
    </row>
    <row r="180" ht="29.25" hidden="1" customHeight="1">
      <c r="A180" s="189"/>
      <c r="B180" s="323"/>
      <c r="C180" s="324"/>
      <c r="D180" s="325"/>
      <c r="E180" s="314"/>
      <c r="F180" s="166"/>
      <c r="G180" s="161"/>
      <c r="H180" s="161"/>
      <c r="I180" s="162"/>
      <c r="J180" s="163"/>
      <c r="K180" s="163"/>
      <c r="L180" s="163"/>
      <c r="M180" s="160"/>
      <c r="N180" s="162"/>
      <c r="O180" s="164"/>
      <c r="P180" s="140"/>
      <c r="Q180" s="321"/>
      <c r="R180" s="140"/>
    </row>
    <row r="181" ht="29.25" hidden="1" customHeight="1">
      <c r="A181" s="189"/>
      <c r="B181" s="323"/>
      <c r="C181" s="324"/>
      <c r="D181" s="325"/>
      <c r="E181" s="326"/>
      <c r="F181" s="166"/>
      <c r="G181" s="161"/>
      <c r="H181" s="161"/>
      <c r="I181" s="162"/>
      <c r="J181" s="163"/>
      <c r="K181" s="163"/>
      <c r="L181" s="163"/>
      <c r="M181" s="160"/>
      <c r="N181" s="162"/>
      <c r="O181" s="164"/>
      <c r="P181" s="140"/>
      <c r="Q181" s="327"/>
      <c r="R181" s="140"/>
    </row>
    <row r="182" ht="29.25" hidden="1" customHeight="1">
      <c r="A182" s="189"/>
      <c r="B182" s="323"/>
      <c r="C182" s="324"/>
      <c r="D182" s="325"/>
      <c r="E182" s="314"/>
      <c r="F182" s="166"/>
      <c r="G182" s="161"/>
      <c r="H182" s="161"/>
      <c r="I182" s="162"/>
      <c r="J182" s="163"/>
      <c r="K182" s="163"/>
      <c r="L182" s="163"/>
      <c r="M182" s="160"/>
      <c r="N182" s="162"/>
      <c r="O182" s="164"/>
      <c r="P182" s="140"/>
      <c r="Q182" s="321"/>
      <c r="R182" s="140"/>
    </row>
    <row r="183" ht="29.25" hidden="1" customHeight="1">
      <c r="A183" s="189"/>
      <c r="B183" s="323"/>
      <c r="C183" s="324"/>
      <c r="D183" s="325"/>
      <c r="E183" s="326"/>
      <c r="F183" s="166"/>
      <c r="G183" s="161"/>
      <c r="H183" s="161"/>
      <c r="I183" s="162"/>
      <c r="J183" s="163"/>
      <c r="K183" s="163"/>
      <c r="L183" s="163"/>
      <c r="M183" s="160"/>
      <c r="N183" s="162"/>
      <c r="O183" s="164"/>
      <c r="P183" s="140"/>
      <c r="Q183" s="327"/>
      <c r="R183" s="140"/>
    </row>
    <row r="184" ht="29.25" hidden="1" customHeight="1">
      <c r="A184" s="189"/>
      <c r="B184" s="323"/>
      <c r="C184" s="324"/>
      <c r="D184" s="325"/>
      <c r="E184" s="314"/>
      <c r="F184" s="166"/>
      <c r="G184" s="161"/>
      <c r="H184" s="161"/>
      <c r="I184" s="162"/>
      <c r="J184" s="163"/>
      <c r="K184" s="163"/>
      <c r="L184" s="163"/>
      <c r="M184" s="160"/>
      <c r="N184" s="162"/>
      <c r="O184" s="164"/>
      <c r="P184" s="140"/>
      <c r="Q184" s="321"/>
      <c r="R184" s="140"/>
    </row>
    <row r="185" ht="29.25" hidden="1" customHeight="1">
      <c r="A185" s="189"/>
      <c r="B185" s="323"/>
      <c r="C185" s="324"/>
      <c r="D185" s="325"/>
      <c r="E185" s="326"/>
      <c r="F185" s="166"/>
      <c r="G185" s="161"/>
      <c r="H185" s="161"/>
      <c r="I185" s="162"/>
      <c r="J185" s="163"/>
      <c r="K185" s="163"/>
      <c r="L185" s="163"/>
      <c r="M185" s="160"/>
      <c r="N185" s="162"/>
      <c r="O185" s="164"/>
      <c r="P185" s="140"/>
      <c r="Q185" s="327"/>
      <c r="R185" s="140"/>
    </row>
    <row r="186" ht="29.25" hidden="1" customHeight="1">
      <c r="A186" s="189"/>
      <c r="B186" s="323"/>
      <c r="C186" s="324"/>
      <c r="D186" s="325"/>
      <c r="E186" s="314"/>
      <c r="F186" s="166"/>
      <c r="G186" s="161"/>
      <c r="H186" s="161"/>
      <c r="I186" s="162"/>
      <c r="J186" s="163"/>
      <c r="K186" s="163"/>
      <c r="L186" s="163"/>
      <c r="M186" s="160"/>
      <c r="N186" s="162"/>
      <c r="O186" s="164"/>
      <c r="P186" s="140"/>
      <c r="Q186" s="321"/>
      <c r="R186" s="140"/>
    </row>
    <row r="187" ht="29.25" hidden="1" customHeight="1">
      <c r="A187" s="189"/>
      <c r="B187" s="323"/>
      <c r="C187" s="324"/>
      <c r="D187" s="325"/>
      <c r="E187" s="326"/>
      <c r="F187" s="166"/>
      <c r="G187" s="161"/>
      <c r="H187" s="161"/>
      <c r="I187" s="162"/>
      <c r="J187" s="163"/>
      <c r="K187" s="163"/>
      <c r="L187" s="163"/>
      <c r="M187" s="160"/>
      <c r="N187" s="162"/>
      <c r="O187" s="164"/>
      <c r="P187" s="140"/>
      <c r="Q187" s="327"/>
      <c r="R187" s="140"/>
    </row>
    <row r="188" ht="29.25" hidden="1" customHeight="1">
      <c r="A188" s="189"/>
      <c r="B188" s="323"/>
      <c r="C188" s="324"/>
      <c r="D188" s="325"/>
      <c r="E188" s="314"/>
      <c r="F188" s="166"/>
      <c r="G188" s="161"/>
      <c r="H188" s="161"/>
      <c r="I188" s="162"/>
      <c r="J188" s="163"/>
      <c r="K188" s="163"/>
      <c r="L188" s="163"/>
      <c r="M188" s="160"/>
      <c r="N188" s="162"/>
      <c r="O188" s="164"/>
      <c r="P188" s="140"/>
      <c r="Q188" s="321"/>
      <c r="R188" s="140"/>
    </row>
    <row r="189" ht="29.25" hidden="1" customHeight="1">
      <c r="A189" s="189"/>
      <c r="B189" s="323"/>
      <c r="C189" s="324"/>
      <c r="D189" s="325"/>
      <c r="E189" s="326"/>
      <c r="F189" s="166"/>
      <c r="G189" s="161"/>
      <c r="H189" s="161"/>
      <c r="I189" s="162"/>
      <c r="J189" s="163"/>
      <c r="K189" s="163"/>
      <c r="L189" s="163"/>
      <c r="M189" s="160"/>
      <c r="N189" s="162"/>
      <c r="O189" s="164"/>
      <c r="P189" s="140"/>
      <c r="Q189" s="327"/>
      <c r="R189" s="140"/>
    </row>
    <row r="190" ht="29.25" hidden="1" customHeight="1">
      <c r="A190" s="189"/>
      <c r="B190" s="323"/>
      <c r="C190" s="324"/>
      <c r="D190" s="325"/>
      <c r="E190" s="314"/>
      <c r="F190" s="166"/>
      <c r="G190" s="161"/>
      <c r="H190" s="161"/>
      <c r="I190" s="162"/>
      <c r="J190" s="163"/>
      <c r="K190" s="163"/>
      <c r="L190" s="163"/>
      <c r="M190" s="160"/>
      <c r="N190" s="162"/>
      <c r="O190" s="164"/>
      <c r="P190" s="140"/>
      <c r="Q190" s="321"/>
      <c r="R190" s="140"/>
    </row>
    <row r="191" ht="29.25" hidden="1" customHeight="1">
      <c r="A191" s="189"/>
      <c r="B191" s="323"/>
      <c r="C191" s="324"/>
      <c r="D191" s="325"/>
      <c r="E191" s="326"/>
      <c r="F191" s="166"/>
      <c r="G191" s="161"/>
      <c r="H191" s="161"/>
      <c r="I191" s="162"/>
      <c r="J191" s="163"/>
      <c r="K191" s="163"/>
      <c r="L191" s="163"/>
      <c r="M191" s="160"/>
      <c r="N191" s="162"/>
      <c r="O191" s="164"/>
      <c r="P191" s="140"/>
      <c r="Q191" s="327"/>
      <c r="R191" s="140"/>
    </row>
    <row r="192" ht="29.25" hidden="1" customHeight="1">
      <c r="A192" s="189"/>
      <c r="B192" s="323"/>
      <c r="C192" s="324"/>
      <c r="D192" s="325"/>
      <c r="E192" s="314"/>
      <c r="F192" s="166"/>
      <c r="G192" s="161"/>
      <c r="H192" s="161"/>
      <c r="I192" s="162"/>
      <c r="J192" s="163"/>
      <c r="K192" s="163"/>
      <c r="L192" s="163"/>
      <c r="M192" s="160"/>
      <c r="N192" s="162"/>
      <c r="O192" s="164"/>
      <c r="P192" s="140"/>
      <c r="Q192" s="321"/>
      <c r="R192" s="140"/>
    </row>
    <row r="193" ht="29.25" hidden="1" customHeight="1">
      <c r="A193" s="189"/>
      <c r="B193" s="323"/>
      <c r="C193" s="324"/>
      <c r="D193" s="325"/>
      <c r="E193" s="326"/>
      <c r="F193" s="166"/>
      <c r="G193" s="161"/>
      <c r="H193" s="161"/>
      <c r="I193" s="162"/>
      <c r="J193" s="163"/>
      <c r="K193" s="163"/>
      <c r="L193" s="163"/>
      <c r="M193" s="160"/>
      <c r="N193" s="162"/>
      <c r="O193" s="164"/>
      <c r="P193" s="140"/>
      <c r="Q193" s="327"/>
      <c r="R193" s="140"/>
    </row>
    <row r="194" ht="29.25" hidden="1" customHeight="1">
      <c r="A194" s="189"/>
      <c r="B194" s="323"/>
      <c r="C194" s="324"/>
      <c r="D194" s="325"/>
      <c r="E194" s="314"/>
      <c r="F194" s="166"/>
      <c r="G194" s="161"/>
      <c r="H194" s="161"/>
      <c r="I194" s="162"/>
      <c r="J194" s="163"/>
      <c r="K194" s="163"/>
      <c r="L194" s="163"/>
      <c r="M194" s="160"/>
      <c r="N194" s="162"/>
      <c r="O194" s="164"/>
      <c r="P194" s="140"/>
      <c r="Q194" s="321"/>
      <c r="R194" s="140"/>
    </row>
    <row r="195" ht="29.25" hidden="1" customHeight="1">
      <c r="A195" s="189"/>
      <c r="B195" s="323"/>
      <c r="C195" s="324"/>
      <c r="D195" s="325"/>
      <c r="E195" s="326"/>
      <c r="F195" s="166"/>
      <c r="G195" s="161"/>
      <c r="H195" s="161"/>
      <c r="I195" s="162"/>
      <c r="J195" s="163"/>
      <c r="K195" s="163"/>
      <c r="L195" s="163"/>
      <c r="M195" s="160"/>
      <c r="N195" s="162"/>
      <c r="O195" s="164"/>
      <c r="P195" s="140"/>
      <c r="Q195" s="327"/>
      <c r="R195" s="140"/>
    </row>
    <row r="196" ht="29.25" hidden="1" customHeight="1">
      <c r="A196" s="189"/>
      <c r="B196" s="323"/>
      <c r="C196" s="324"/>
      <c r="D196" s="325"/>
      <c r="E196" s="314"/>
      <c r="F196" s="166"/>
      <c r="G196" s="161"/>
      <c r="H196" s="161"/>
      <c r="I196" s="162"/>
      <c r="J196" s="163"/>
      <c r="K196" s="163"/>
      <c r="L196" s="163"/>
      <c r="M196" s="160"/>
      <c r="N196" s="162"/>
      <c r="O196" s="164"/>
      <c r="P196" s="140"/>
      <c r="Q196" s="321"/>
      <c r="R196" s="140"/>
    </row>
    <row r="197" ht="29.25" hidden="1" customHeight="1">
      <c r="A197" s="189"/>
      <c r="B197" s="323"/>
      <c r="C197" s="324"/>
      <c r="D197" s="325"/>
      <c r="E197" s="326"/>
      <c r="F197" s="166"/>
      <c r="G197" s="161"/>
      <c r="H197" s="161"/>
      <c r="I197" s="162"/>
      <c r="J197" s="163"/>
      <c r="K197" s="163"/>
      <c r="L197" s="163"/>
      <c r="M197" s="160"/>
      <c r="N197" s="162"/>
      <c r="O197" s="164"/>
      <c r="P197" s="140"/>
      <c r="Q197" s="327"/>
      <c r="R197" s="140"/>
    </row>
    <row r="198" ht="29.25" hidden="1" customHeight="1">
      <c r="A198" s="189"/>
      <c r="B198" s="323"/>
      <c r="C198" s="324"/>
      <c r="D198" s="325"/>
      <c r="E198" s="314"/>
      <c r="F198" s="166"/>
      <c r="G198" s="161"/>
      <c r="H198" s="161"/>
      <c r="I198" s="162"/>
      <c r="J198" s="163"/>
      <c r="K198" s="163"/>
      <c r="L198" s="163"/>
      <c r="M198" s="160"/>
      <c r="N198" s="162"/>
      <c r="O198" s="164"/>
      <c r="P198" s="140"/>
      <c r="Q198" s="321"/>
      <c r="R198" s="140"/>
    </row>
    <row r="199" ht="29.25" hidden="1" customHeight="1">
      <c r="A199" s="189"/>
      <c r="B199" s="323"/>
      <c r="C199" s="324"/>
      <c r="D199" s="325"/>
      <c r="E199" s="326"/>
      <c r="F199" s="166"/>
      <c r="G199" s="161"/>
      <c r="H199" s="161"/>
      <c r="I199" s="162"/>
      <c r="J199" s="163"/>
      <c r="K199" s="163"/>
      <c r="L199" s="163"/>
      <c r="M199" s="160"/>
      <c r="N199" s="162"/>
      <c r="O199" s="164"/>
      <c r="P199" s="140"/>
      <c r="Q199" s="327"/>
      <c r="R199" s="140"/>
    </row>
    <row r="200" ht="29.25" hidden="1" customHeight="1">
      <c r="A200" s="189"/>
      <c r="B200" s="323"/>
      <c r="C200" s="324"/>
      <c r="D200" s="325"/>
      <c r="E200" s="314"/>
      <c r="F200" s="166"/>
      <c r="G200" s="161"/>
      <c r="H200" s="161"/>
      <c r="I200" s="162"/>
      <c r="J200" s="163"/>
      <c r="K200" s="163"/>
      <c r="L200" s="163"/>
      <c r="M200" s="160"/>
      <c r="N200" s="162"/>
      <c r="O200" s="164"/>
      <c r="P200" s="140"/>
      <c r="Q200" s="321"/>
      <c r="R200" s="140"/>
    </row>
    <row r="201" ht="29.25" hidden="1" customHeight="1">
      <c r="A201" s="189"/>
      <c r="B201" s="323"/>
      <c r="C201" s="324"/>
      <c r="D201" s="325"/>
      <c r="E201" s="326"/>
      <c r="F201" s="166"/>
      <c r="G201" s="161"/>
      <c r="H201" s="161"/>
      <c r="I201" s="162"/>
      <c r="J201" s="163"/>
      <c r="K201" s="163"/>
      <c r="L201" s="163"/>
      <c r="M201" s="160"/>
      <c r="N201" s="162"/>
      <c r="O201" s="164"/>
      <c r="P201" s="140"/>
      <c r="Q201" s="327"/>
      <c r="R201" s="140"/>
    </row>
    <row r="202" ht="29.25" hidden="1" customHeight="1">
      <c r="A202" s="189"/>
      <c r="B202" s="323"/>
      <c r="C202" s="324"/>
      <c r="D202" s="325"/>
      <c r="E202" s="314"/>
      <c r="F202" s="166"/>
      <c r="G202" s="161"/>
      <c r="H202" s="161"/>
      <c r="I202" s="162"/>
      <c r="J202" s="163"/>
      <c r="K202" s="163"/>
      <c r="L202" s="163"/>
      <c r="M202" s="160"/>
      <c r="N202" s="162"/>
      <c r="O202" s="164"/>
      <c r="P202" s="140"/>
      <c r="Q202" s="321"/>
      <c r="R202" s="140"/>
    </row>
    <row r="203" ht="29.25" hidden="1" customHeight="1">
      <c r="A203" s="189"/>
      <c r="B203" s="323"/>
      <c r="C203" s="324"/>
      <c r="D203" s="325"/>
      <c r="E203" s="326"/>
      <c r="F203" s="166"/>
      <c r="G203" s="161"/>
      <c r="H203" s="161"/>
      <c r="I203" s="162"/>
      <c r="J203" s="163"/>
      <c r="K203" s="163"/>
      <c r="L203" s="163"/>
      <c r="M203" s="160"/>
      <c r="N203" s="162"/>
      <c r="O203" s="164"/>
      <c r="P203" s="140"/>
      <c r="Q203" s="327"/>
      <c r="R203" s="140"/>
    </row>
    <row r="204" ht="29.25" hidden="1" customHeight="1">
      <c r="A204" s="189"/>
      <c r="B204" s="323"/>
      <c r="C204" s="324"/>
      <c r="D204" s="325"/>
      <c r="E204" s="314"/>
      <c r="F204" s="166"/>
      <c r="G204" s="161"/>
      <c r="H204" s="161"/>
      <c r="I204" s="162"/>
      <c r="J204" s="163"/>
      <c r="K204" s="163"/>
      <c r="L204" s="163"/>
      <c r="M204" s="160"/>
      <c r="N204" s="162"/>
      <c r="O204" s="164"/>
      <c r="P204" s="140"/>
      <c r="Q204" s="321"/>
      <c r="R204" s="140"/>
    </row>
    <row r="205" ht="29.25" hidden="1" customHeight="1">
      <c r="A205" s="189"/>
      <c r="B205" s="323"/>
      <c r="C205" s="324"/>
      <c r="D205" s="325"/>
      <c r="E205" s="326"/>
      <c r="F205" s="166"/>
      <c r="G205" s="161"/>
      <c r="H205" s="161"/>
      <c r="I205" s="162"/>
      <c r="J205" s="163"/>
      <c r="K205" s="163"/>
      <c r="L205" s="163"/>
      <c r="M205" s="160"/>
      <c r="N205" s="162"/>
      <c r="O205" s="164"/>
      <c r="P205" s="140"/>
      <c r="Q205" s="327"/>
      <c r="R205" s="140"/>
    </row>
    <row r="206" ht="29.25" hidden="1" customHeight="1">
      <c r="A206" s="189"/>
      <c r="B206" s="323"/>
      <c r="C206" s="324"/>
      <c r="D206" s="325"/>
      <c r="E206" s="314"/>
      <c r="F206" s="166"/>
      <c r="G206" s="161"/>
      <c r="H206" s="161"/>
      <c r="I206" s="162"/>
      <c r="J206" s="163"/>
      <c r="K206" s="163"/>
      <c r="L206" s="163"/>
      <c r="M206" s="160"/>
      <c r="N206" s="162"/>
      <c r="O206" s="164"/>
      <c r="P206" s="140"/>
      <c r="Q206" s="321"/>
      <c r="R206" s="140"/>
    </row>
    <row r="207" ht="29.25" hidden="1" customHeight="1">
      <c r="A207" s="189"/>
      <c r="B207" s="323"/>
      <c r="C207" s="324"/>
      <c r="D207" s="325"/>
      <c r="E207" s="326"/>
      <c r="F207" s="166"/>
      <c r="G207" s="161"/>
      <c r="H207" s="161"/>
      <c r="I207" s="162"/>
      <c r="J207" s="163"/>
      <c r="K207" s="163"/>
      <c r="L207" s="163"/>
      <c r="M207" s="160"/>
      <c r="N207" s="162"/>
      <c r="O207" s="164"/>
      <c r="P207" s="140"/>
      <c r="Q207" s="327"/>
      <c r="R207" s="140"/>
    </row>
    <row r="208" ht="29.25" hidden="1" customHeight="1">
      <c r="A208" s="189"/>
      <c r="B208" s="323"/>
      <c r="C208" s="324"/>
      <c r="D208" s="325"/>
      <c r="E208" s="314"/>
      <c r="F208" s="166"/>
      <c r="G208" s="161"/>
      <c r="H208" s="161"/>
      <c r="I208" s="162"/>
      <c r="J208" s="163"/>
      <c r="K208" s="163"/>
      <c r="L208" s="163"/>
      <c r="M208" s="160"/>
      <c r="N208" s="162"/>
      <c r="O208" s="164"/>
      <c r="P208" s="140"/>
      <c r="Q208" s="321"/>
      <c r="R208" s="140"/>
    </row>
    <row r="209" ht="29.25" hidden="1" customHeight="1">
      <c r="A209" s="189"/>
      <c r="B209" s="323"/>
      <c r="C209" s="324"/>
      <c r="D209" s="325"/>
      <c r="E209" s="326"/>
      <c r="F209" s="166"/>
      <c r="G209" s="161"/>
      <c r="H209" s="161"/>
      <c r="I209" s="162"/>
      <c r="J209" s="163"/>
      <c r="K209" s="163"/>
      <c r="L209" s="163"/>
      <c r="M209" s="160"/>
      <c r="N209" s="162"/>
      <c r="O209" s="164"/>
      <c r="P209" s="140"/>
      <c r="Q209" s="327"/>
      <c r="R209" s="140"/>
    </row>
    <row r="210" ht="29.25" hidden="1" customHeight="1">
      <c r="A210" s="189"/>
      <c r="B210" s="323"/>
      <c r="C210" s="324"/>
      <c r="D210" s="325"/>
      <c r="E210" s="314"/>
      <c r="F210" s="166"/>
      <c r="G210" s="161"/>
      <c r="H210" s="161"/>
      <c r="I210" s="162"/>
      <c r="J210" s="163"/>
      <c r="K210" s="163"/>
      <c r="L210" s="163"/>
      <c r="M210" s="160"/>
      <c r="N210" s="162"/>
      <c r="O210" s="164"/>
      <c r="P210" s="140"/>
      <c r="Q210" s="321"/>
      <c r="R210" s="140"/>
    </row>
    <row r="211" ht="29.25" hidden="1" customHeight="1">
      <c r="A211" s="189"/>
      <c r="B211" s="323"/>
      <c r="C211" s="324"/>
      <c r="D211" s="325"/>
      <c r="E211" s="326"/>
      <c r="F211" s="166"/>
      <c r="G211" s="161"/>
      <c r="H211" s="161"/>
      <c r="I211" s="162"/>
      <c r="J211" s="163"/>
      <c r="K211" s="163"/>
      <c r="L211" s="163"/>
      <c r="M211" s="160"/>
      <c r="N211" s="162"/>
      <c r="O211" s="164"/>
      <c r="P211" s="140"/>
      <c r="Q211" s="327"/>
      <c r="R211" s="140"/>
    </row>
    <row r="212" ht="29.25" hidden="1" customHeight="1">
      <c r="A212" s="189"/>
      <c r="B212" s="323"/>
      <c r="C212" s="324"/>
      <c r="D212" s="325"/>
      <c r="E212" s="314"/>
      <c r="F212" s="166"/>
      <c r="G212" s="161"/>
      <c r="H212" s="161"/>
      <c r="I212" s="162"/>
      <c r="J212" s="163"/>
      <c r="K212" s="163"/>
      <c r="L212" s="163"/>
      <c r="M212" s="160"/>
      <c r="N212" s="162"/>
      <c r="O212" s="164"/>
      <c r="P212" s="140"/>
      <c r="Q212" s="321"/>
      <c r="R212" s="140"/>
    </row>
    <row r="213" ht="29.25" hidden="1" customHeight="1">
      <c r="A213" s="189"/>
      <c r="B213" s="323"/>
      <c r="C213" s="324"/>
      <c r="D213" s="325"/>
      <c r="E213" s="326"/>
      <c r="F213" s="166"/>
      <c r="G213" s="161"/>
      <c r="H213" s="161"/>
      <c r="I213" s="162"/>
      <c r="J213" s="163"/>
      <c r="K213" s="163"/>
      <c r="L213" s="163"/>
      <c r="M213" s="160"/>
      <c r="N213" s="162"/>
      <c r="O213" s="164"/>
      <c r="P213" s="140"/>
      <c r="Q213" s="327"/>
      <c r="R213" s="140"/>
    </row>
    <row r="214" ht="29.25" hidden="1" customHeight="1">
      <c r="A214" s="189"/>
      <c r="B214" s="323"/>
      <c r="C214" s="324"/>
      <c r="D214" s="325"/>
      <c r="E214" s="314"/>
      <c r="F214" s="166"/>
      <c r="G214" s="161"/>
      <c r="H214" s="161"/>
      <c r="I214" s="162"/>
      <c r="J214" s="163"/>
      <c r="K214" s="163"/>
      <c r="L214" s="163"/>
      <c r="M214" s="160"/>
      <c r="N214" s="162"/>
      <c r="O214" s="164"/>
      <c r="P214" s="140"/>
      <c r="Q214" s="321"/>
      <c r="R214" s="140"/>
    </row>
    <row r="215" ht="29.25" hidden="1" customHeight="1">
      <c r="A215" s="189"/>
      <c r="B215" s="323"/>
      <c r="C215" s="324"/>
      <c r="D215" s="325"/>
      <c r="E215" s="326"/>
      <c r="F215" s="166"/>
      <c r="G215" s="161"/>
      <c r="H215" s="161"/>
      <c r="I215" s="162"/>
      <c r="J215" s="163"/>
      <c r="K215" s="163"/>
      <c r="L215" s="163"/>
      <c r="M215" s="160"/>
      <c r="N215" s="162"/>
      <c r="O215" s="164"/>
      <c r="P215" s="140"/>
      <c r="Q215" s="327"/>
      <c r="R215" s="140"/>
    </row>
    <row r="216" ht="29.25" hidden="1" customHeight="1">
      <c r="A216" s="189"/>
      <c r="B216" s="323"/>
      <c r="C216" s="324"/>
      <c r="D216" s="325"/>
      <c r="E216" s="314"/>
      <c r="F216" s="166"/>
      <c r="G216" s="161"/>
      <c r="H216" s="161"/>
      <c r="I216" s="162"/>
      <c r="J216" s="163"/>
      <c r="K216" s="163"/>
      <c r="L216" s="163"/>
      <c r="M216" s="160"/>
      <c r="N216" s="162"/>
      <c r="O216" s="164"/>
      <c r="P216" s="140"/>
      <c r="Q216" s="321"/>
      <c r="R216" s="140"/>
    </row>
    <row r="217" ht="29.25" hidden="1" customHeight="1">
      <c r="A217" s="189"/>
      <c r="B217" s="323"/>
      <c r="C217" s="324"/>
      <c r="D217" s="325"/>
      <c r="E217" s="326"/>
      <c r="F217" s="166"/>
      <c r="G217" s="161"/>
      <c r="H217" s="161"/>
      <c r="I217" s="162"/>
      <c r="J217" s="163"/>
      <c r="K217" s="163"/>
      <c r="L217" s="163"/>
      <c r="M217" s="160"/>
      <c r="N217" s="162"/>
      <c r="O217" s="164"/>
      <c r="P217" s="140"/>
      <c r="Q217" s="327"/>
      <c r="R217" s="140"/>
    </row>
    <row r="218" ht="29.25" hidden="1" customHeight="1">
      <c r="A218" s="189"/>
      <c r="B218" s="323"/>
      <c r="C218" s="324"/>
      <c r="D218" s="325"/>
      <c r="E218" s="314"/>
      <c r="F218" s="166"/>
      <c r="G218" s="161"/>
      <c r="H218" s="161"/>
      <c r="I218" s="162"/>
      <c r="J218" s="163"/>
      <c r="K218" s="163"/>
      <c r="L218" s="163"/>
      <c r="M218" s="160"/>
      <c r="N218" s="162"/>
      <c r="O218" s="164"/>
      <c r="P218" s="140"/>
      <c r="Q218" s="321"/>
      <c r="R218" s="140"/>
    </row>
    <row r="219" ht="29.25" hidden="1" customHeight="1">
      <c r="A219" s="189"/>
      <c r="B219" s="323"/>
      <c r="C219" s="324"/>
      <c r="D219" s="325"/>
      <c r="E219" s="326"/>
      <c r="F219" s="166"/>
      <c r="G219" s="161"/>
      <c r="H219" s="161"/>
      <c r="I219" s="162"/>
      <c r="J219" s="163"/>
      <c r="K219" s="163"/>
      <c r="L219" s="163"/>
      <c r="M219" s="160"/>
      <c r="N219" s="162"/>
      <c r="O219" s="164"/>
      <c r="P219" s="140"/>
      <c r="Q219" s="327"/>
      <c r="R219" s="140"/>
    </row>
    <row r="220" ht="29.25" hidden="1" customHeight="1">
      <c r="A220" s="189"/>
      <c r="B220" s="323"/>
      <c r="C220" s="324"/>
      <c r="D220" s="325"/>
      <c r="E220" s="314"/>
      <c r="F220" s="166"/>
      <c r="G220" s="161"/>
      <c r="H220" s="161"/>
      <c r="I220" s="162"/>
      <c r="J220" s="163"/>
      <c r="K220" s="163"/>
      <c r="L220" s="163"/>
      <c r="M220" s="160"/>
      <c r="N220" s="162"/>
      <c r="O220" s="164"/>
      <c r="P220" s="140"/>
      <c r="Q220" s="321"/>
      <c r="R220" s="140"/>
    </row>
    <row r="221" ht="29.25" hidden="1" customHeight="1">
      <c r="A221" s="189"/>
      <c r="B221" s="323"/>
      <c r="C221" s="324"/>
      <c r="D221" s="325"/>
      <c r="E221" s="326"/>
      <c r="F221" s="166"/>
      <c r="G221" s="161"/>
      <c r="H221" s="161"/>
      <c r="I221" s="162"/>
      <c r="J221" s="163"/>
      <c r="K221" s="163"/>
      <c r="L221" s="163"/>
      <c r="M221" s="160"/>
      <c r="N221" s="162"/>
      <c r="O221" s="164"/>
      <c r="P221" s="140"/>
      <c r="Q221" s="327"/>
      <c r="R221" s="140"/>
    </row>
    <row r="222" ht="29.25" hidden="1" customHeight="1">
      <c r="A222" s="189"/>
      <c r="B222" s="323"/>
      <c r="C222" s="324"/>
      <c r="D222" s="325"/>
      <c r="E222" s="314"/>
      <c r="F222" s="166"/>
      <c r="G222" s="161"/>
      <c r="H222" s="161"/>
      <c r="I222" s="162"/>
      <c r="J222" s="163"/>
      <c r="K222" s="163"/>
      <c r="L222" s="163"/>
      <c r="M222" s="160"/>
      <c r="N222" s="162"/>
      <c r="O222" s="164"/>
      <c r="P222" s="140"/>
      <c r="Q222" s="321"/>
      <c r="R222" s="140"/>
    </row>
    <row r="223" ht="29.25" hidden="1" customHeight="1">
      <c r="A223" s="189"/>
      <c r="B223" s="323"/>
      <c r="C223" s="324"/>
      <c r="D223" s="325"/>
      <c r="E223" s="326"/>
      <c r="F223" s="166"/>
      <c r="G223" s="161"/>
      <c r="H223" s="161"/>
      <c r="I223" s="162"/>
      <c r="J223" s="163"/>
      <c r="K223" s="163"/>
      <c r="L223" s="163"/>
      <c r="M223" s="160"/>
      <c r="N223" s="162"/>
      <c r="O223" s="164"/>
      <c r="P223" s="140"/>
      <c r="Q223" s="327"/>
      <c r="R223" s="140"/>
    </row>
    <row r="224" ht="29.25" hidden="1" customHeight="1">
      <c r="A224" s="189"/>
      <c r="B224" s="323"/>
      <c r="C224" s="324"/>
      <c r="D224" s="325"/>
      <c r="E224" s="314"/>
      <c r="F224" s="166"/>
      <c r="G224" s="161"/>
      <c r="H224" s="161"/>
      <c r="I224" s="162"/>
      <c r="J224" s="163"/>
      <c r="K224" s="163"/>
      <c r="L224" s="163"/>
      <c r="M224" s="160"/>
      <c r="N224" s="162"/>
      <c r="O224" s="164"/>
      <c r="P224" s="140"/>
      <c r="Q224" s="321"/>
      <c r="R224" s="140"/>
    </row>
    <row r="225" ht="29.25" hidden="1" customHeight="1">
      <c r="A225" s="189"/>
      <c r="B225" s="323"/>
      <c r="C225" s="324"/>
      <c r="D225" s="325"/>
      <c r="E225" s="326"/>
      <c r="F225" s="166"/>
      <c r="G225" s="161"/>
      <c r="H225" s="161"/>
      <c r="I225" s="162"/>
      <c r="J225" s="163"/>
      <c r="K225" s="163"/>
      <c r="L225" s="163"/>
      <c r="M225" s="160"/>
      <c r="N225" s="162"/>
      <c r="O225" s="164"/>
      <c r="P225" s="140"/>
      <c r="Q225" s="327"/>
      <c r="R225" s="140"/>
    </row>
    <row r="226" ht="29.25" hidden="1" customHeight="1">
      <c r="A226" s="189"/>
      <c r="B226" s="323"/>
      <c r="C226" s="324"/>
      <c r="D226" s="325"/>
      <c r="E226" s="314"/>
      <c r="F226" s="166"/>
      <c r="G226" s="161"/>
      <c r="H226" s="161"/>
      <c r="I226" s="162"/>
      <c r="J226" s="163"/>
      <c r="K226" s="163"/>
      <c r="L226" s="163"/>
      <c r="M226" s="160"/>
      <c r="N226" s="162"/>
      <c r="O226" s="164"/>
      <c r="P226" s="140"/>
      <c r="Q226" s="321"/>
      <c r="R226" s="140"/>
    </row>
    <row r="227" ht="29.25" hidden="1" customHeight="1">
      <c r="A227" s="189"/>
      <c r="B227" s="323"/>
      <c r="C227" s="324"/>
      <c r="D227" s="325"/>
      <c r="E227" s="326"/>
      <c r="F227" s="166"/>
      <c r="G227" s="161"/>
      <c r="H227" s="161"/>
      <c r="I227" s="162"/>
      <c r="J227" s="163"/>
      <c r="K227" s="163"/>
      <c r="L227" s="163"/>
      <c r="M227" s="160"/>
      <c r="N227" s="162"/>
      <c r="O227" s="164"/>
      <c r="P227" s="140"/>
      <c r="Q227" s="327"/>
      <c r="R227" s="140"/>
    </row>
    <row r="228" ht="29.25" hidden="1" customHeight="1">
      <c r="A228" s="189"/>
      <c r="B228" s="323"/>
      <c r="C228" s="324"/>
      <c r="D228" s="325"/>
      <c r="E228" s="314"/>
      <c r="F228" s="166"/>
      <c r="G228" s="161"/>
      <c r="H228" s="161"/>
      <c r="I228" s="162"/>
      <c r="J228" s="163"/>
      <c r="K228" s="163"/>
      <c r="L228" s="163"/>
      <c r="M228" s="160"/>
      <c r="N228" s="162"/>
      <c r="O228" s="164"/>
      <c r="P228" s="140"/>
      <c r="Q228" s="321"/>
      <c r="R228" s="140"/>
    </row>
    <row r="229" ht="29.25" hidden="1" customHeight="1">
      <c r="A229" s="189"/>
      <c r="B229" s="323"/>
      <c r="C229" s="324"/>
      <c r="D229" s="325"/>
      <c r="E229" s="326"/>
      <c r="F229" s="166"/>
      <c r="G229" s="161"/>
      <c r="H229" s="161"/>
      <c r="I229" s="162"/>
      <c r="J229" s="163"/>
      <c r="K229" s="163"/>
      <c r="L229" s="163"/>
      <c r="M229" s="160"/>
      <c r="N229" s="162"/>
      <c r="O229" s="164"/>
      <c r="P229" s="140"/>
      <c r="Q229" s="327"/>
      <c r="R229" s="140"/>
    </row>
    <row r="230" ht="29.25" hidden="1" customHeight="1">
      <c r="A230" s="189"/>
      <c r="B230" s="323"/>
      <c r="C230" s="324"/>
      <c r="D230" s="325"/>
      <c r="E230" s="314"/>
      <c r="F230" s="166"/>
      <c r="G230" s="161"/>
      <c r="H230" s="161"/>
      <c r="I230" s="162"/>
      <c r="J230" s="163"/>
      <c r="K230" s="163"/>
      <c r="L230" s="163"/>
      <c r="M230" s="160"/>
      <c r="N230" s="162"/>
      <c r="O230" s="164"/>
      <c r="P230" s="140"/>
      <c r="Q230" s="321"/>
      <c r="R230" s="140"/>
    </row>
    <row r="231" ht="29.25" hidden="1" customHeight="1">
      <c r="A231" s="189"/>
      <c r="B231" s="323"/>
      <c r="C231" s="324"/>
      <c r="D231" s="325"/>
      <c r="E231" s="326"/>
      <c r="F231" s="166"/>
      <c r="G231" s="161"/>
      <c r="H231" s="161"/>
      <c r="I231" s="162"/>
      <c r="J231" s="163"/>
      <c r="K231" s="163"/>
      <c r="L231" s="163"/>
      <c r="M231" s="160"/>
      <c r="N231" s="162"/>
      <c r="O231" s="164"/>
      <c r="P231" s="140"/>
      <c r="Q231" s="327"/>
      <c r="R231" s="140"/>
    </row>
    <row r="232" ht="29.25" hidden="1" customHeight="1">
      <c r="A232" s="189"/>
      <c r="B232" s="323"/>
      <c r="C232" s="324"/>
      <c r="D232" s="325"/>
      <c r="E232" s="314"/>
      <c r="F232" s="166"/>
      <c r="G232" s="161"/>
      <c r="H232" s="161"/>
      <c r="I232" s="162"/>
      <c r="J232" s="163"/>
      <c r="K232" s="163"/>
      <c r="L232" s="163"/>
      <c r="M232" s="160"/>
      <c r="N232" s="162"/>
      <c r="O232" s="164"/>
      <c r="P232" s="140"/>
      <c r="Q232" s="321"/>
      <c r="R232" s="140"/>
    </row>
    <row r="233" ht="29.25" hidden="1" customHeight="1">
      <c r="A233" s="189"/>
      <c r="B233" s="323"/>
      <c r="C233" s="324"/>
      <c r="D233" s="325"/>
      <c r="E233" s="326"/>
      <c r="F233" s="166"/>
      <c r="G233" s="161"/>
      <c r="H233" s="161"/>
      <c r="I233" s="162"/>
      <c r="J233" s="163"/>
      <c r="K233" s="163"/>
      <c r="L233" s="163"/>
      <c r="M233" s="160"/>
      <c r="N233" s="162"/>
      <c r="O233" s="164"/>
      <c r="P233" s="140"/>
      <c r="Q233" s="327"/>
      <c r="R233" s="140"/>
    </row>
    <row r="234" ht="29.25" hidden="1" customHeight="1">
      <c r="A234" s="189"/>
      <c r="B234" s="323"/>
      <c r="C234" s="324"/>
      <c r="D234" s="325"/>
      <c r="E234" s="314"/>
      <c r="F234" s="166"/>
      <c r="G234" s="161"/>
      <c r="H234" s="161"/>
      <c r="I234" s="162"/>
      <c r="J234" s="163"/>
      <c r="K234" s="163"/>
      <c r="L234" s="163"/>
      <c r="M234" s="160"/>
      <c r="N234" s="162"/>
      <c r="O234" s="164"/>
      <c r="P234" s="140"/>
      <c r="Q234" s="321"/>
      <c r="R234" s="140"/>
    </row>
    <row r="235" ht="29.25" hidden="1" customHeight="1">
      <c r="A235" s="189"/>
      <c r="B235" s="323"/>
      <c r="C235" s="324"/>
      <c r="D235" s="325"/>
      <c r="E235" s="326"/>
      <c r="F235" s="166"/>
      <c r="G235" s="161"/>
      <c r="H235" s="161"/>
      <c r="I235" s="162"/>
      <c r="J235" s="163"/>
      <c r="K235" s="163"/>
      <c r="L235" s="163"/>
      <c r="M235" s="160"/>
      <c r="N235" s="162"/>
      <c r="O235" s="164"/>
      <c r="P235" s="140"/>
      <c r="Q235" s="327"/>
      <c r="R235" s="140"/>
    </row>
    <row r="236" ht="29.25" hidden="1" customHeight="1">
      <c r="A236" s="189"/>
      <c r="B236" s="323"/>
      <c r="C236" s="324"/>
      <c r="D236" s="325"/>
      <c r="E236" s="314"/>
      <c r="F236" s="166"/>
      <c r="G236" s="161"/>
      <c r="H236" s="161"/>
      <c r="I236" s="162"/>
      <c r="J236" s="163"/>
      <c r="K236" s="163"/>
      <c r="L236" s="163"/>
      <c r="M236" s="160"/>
      <c r="N236" s="162"/>
      <c r="O236" s="164"/>
      <c r="P236" s="140"/>
      <c r="Q236" s="321"/>
      <c r="R236" s="140"/>
    </row>
    <row r="237" ht="29.25" hidden="1" customHeight="1">
      <c r="A237" s="189"/>
      <c r="B237" s="323"/>
      <c r="C237" s="324"/>
      <c r="D237" s="325"/>
      <c r="E237" s="326"/>
      <c r="F237" s="166"/>
      <c r="G237" s="161"/>
      <c r="H237" s="161"/>
      <c r="I237" s="162"/>
      <c r="J237" s="163"/>
      <c r="K237" s="163"/>
      <c r="L237" s="163"/>
      <c r="M237" s="160"/>
      <c r="N237" s="162"/>
      <c r="O237" s="164"/>
      <c r="P237" s="140"/>
      <c r="Q237" s="327"/>
      <c r="R237" s="140"/>
    </row>
    <row r="238" ht="29.25" hidden="1" customHeight="1">
      <c r="A238" s="189"/>
      <c r="B238" s="323"/>
      <c r="C238" s="324"/>
      <c r="D238" s="325"/>
      <c r="E238" s="314"/>
      <c r="F238" s="166"/>
      <c r="G238" s="161"/>
      <c r="H238" s="161"/>
      <c r="I238" s="162"/>
      <c r="J238" s="163"/>
      <c r="K238" s="163"/>
      <c r="L238" s="163"/>
      <c r="M238" s="160"/>
      <c r="N238" s="162"/>
      <c r="O238" s="164"/>
      <c r="P238" s="140"/>
      <c r="Q238" s="321"/>
      <c r="R238" s="140"/>
    </row>
    <row r="239" ht="29.25" hidden="1" customHeight="1">
      <c r="A239" s="189"/>
      <c r="B239" s="323"/>
      <c r="C239" s="324"/>
      <c r="D239" s="325"/>
      <c r="E239" s="326"/>
      <c r="F239" s="166"/>
      <c r="G239" s="161"/>
      <c r="H239" s="161"/>
      <c r="I239" s="162"/>
      <c r="J239" s="163"/>
      <c r="K239" s="163"/>
      <c r="L239" s="163"/>
      <c r="M239" s="160"/>
      <c r="N239" s="162"/>
      <c r="O239" s="164"/>
      <c r="P239" s="140"/>
      <c r="Q239" s="327"/>
      <c r="R239" s="140"/>
    </row>
    <row r="240" ht="29.25" hidden="1" customHeight="1">
      <c r="A240" s="189"/>
      <c r="B240" s="323"/>
      <c r="C240" s="324"/>
      <c r="D240" s="325"/>
      <c r="E240" s="314"/>
      <c r="F240" s="166"/>
      <c r="G240" s="161"/>
      <c r="H240" s="161"/>
      <c r="I240" s="162"/>
      <c r="J240" s="163"/>
      <c r="K240" s="163"/>
      <c r="L240" s="163"/>
      <c r="M240" s="160"/>
      <c r="N240" s="162"/>
      <c r="O240" s="164"/>
      <c r="P240" s="140"/>
      <c r="Q240" s="321"/>
      <c r="R240" s="140"/>
    </row>
    <row r="241" ht="29.25" hidden="1" customHeight="1">
      <c r="A241" s="189"/>
      <c r="B241" s="323"/>
      <c r="C241" s="324"/>
      <c r="D241" s="325"/>
      <c r="E241" s="326"/>
      <c r="F241" s="166"/>
      <c r="G241" s="161"/>
      <c r="H241" s="161"/>
      <c r="I241" s="162"/>
      <c r="J241" s="163"/>
      <c r="K241" s="163"/>
      <c r="L241" s="163"/>
      <c r="M241" s="160"/>
      <c r="N241" s="162"/>
      <c r="O241" s="164"/>
      <c r="P241" s="140"/>
      <c r="Q241" s="327"/>
      <c r="R241" s="140"/>
    </row>
    <row r="242" ht="29.25" hidden="1" customHeight="1">
      <c r="A242" s="189"/>
      <c r="B242" s="323"/>
      <c r="C242" s="324"/>
      <c r="D242" s="325"/>
      <c r="E242" s="314"/>
      <c r="F242" s="166"/>
      <c r="G242" s="161"/>
      <c r="H242" s="161"/>
      <c r="I242" s="162"/>
      <c r="J242" s="163"/>
      <c r="K242" s="163"/>
      <c r="L242" s="163"/>
      <c r="M242" s="160"/>
      <c r="N242" s="162"/>
      <c r="O242" s="164"/>
      <c r="P242" s="140"/>
      <c r="Q242" s="321"/>
      <c r="R242" s="140"/>
    </row>
    <row r="243" ht="29.25" hidden="1" customHeight="1">
      <c r="A243" s="189"/>
      <c r="B243" s="323"/>
      <c r="C243" s="324"/>
      <c r="D243" s="325"/>
      <c r="E243" s="326"/>
      <c r="F243" s="166"/>
      <c r="G243" s="161"/>
      <c r="H243" s="161"/>
      <c r="I243" s="162"/>
      <c r="J243" s="163"/>
      <c r="K243" s="163"/>
      <c r="L243" s="163"/>
      <c r="M243" s="160"/>
      <c r="N243" s="162"/>
      <c r="O243" s="164"/>
      <c r="P243" s="140"/>
      <c r="Q243" s="327"/>
      <c r="R243" s="140"/>
    </row>
    <row r="244" ht="29.25" hidden="1" customHeight="1">
      <c r="A244" s="189"/>
      <c r="B244" s="323"/>
      <c r="C244" s="324"/>
      <c r="D244" s="325"/>
      <c r="E244" s="314"/>
      <c r="F244" s="166"/>
      <c r="G244" s="161"/>
      <c r="H244" s="161"/>
      <c r="I244" s="162"/>
      <c r="J244" s="163"/>
      <c r="K244" s="163"/>
      <c r="L244" s="163"/>
      <c r="M244" s="160"/>
      <c r="N244" s="162"/>
      <c r="O244" s="164"/>
      <c r="P244" s="140"/>
      <c r="Q244" s="321"/>
      <c r="R244" s="140"/>
    </row>
    <row r="245" ht="29.25" hidden="1" customHeight="1">
      <c r="A245" s="189"/>
      <c r="B245" s="323"/>
      <c r="C245" s="324"/>
      <c r="D245" s="325"/>
      <c r="E245" s="326"/>
      <c r="F245" s="166"/>
      <c r="G245" s="161"/>
      <c r="H245" s="161"/>
      <c r="I245" s="162"/>
      <c r="J245" s="163"/>
      <c r="K245" s="163"/>
      <c r="L245" s="163"/>
      <c r="M245" s="160"/>
      <c r="N245" s="162"/>
      <c r="O245" s="164"/>
      <c r="P245" s="140"/>
      <c r="Q245" s="327"/>
      <c r="R245" s="140"/>
    </row>
    <row r="246" ht="29.25" hidden="1" customHeight="1">
      <c r="A246" s="189"/>
      <c r="B246" s="323"/>
      <c r="C246" s="324"/>
      <c r="D246" s="325"/>
      <c r="E246" s="314"/>
      <c r="F246" s="166"/>
      <c r="G246" s="161"/>
      <c r="H246" s="161"/>
      <c r="I246" s="162"/>
      <c r="J246" s="163"/>
      <c r="K246" s="163"/>
      <c r="L246" s="163"/>
      <c r="M246" s="160"/>
      <c r="N246" s="162"/>
      <c r="O246" s="164"/>
      <c r="P246" s="140"/>
      <c r="Q246" s="321"/>
      <c r="R246" s="140"/>
    </row>
    <row r="247" ht="29.25" hidden="1" customHeight="1">
      <c r="A247" s="189"/>
      <c r="B247" s="323"/>
      <c r="C247" s="324"/>
      <c r="D247" s="325"/>
      <c r="E247" s="326"/>
      <c r="F247" s="166"/>
      <c r="G247" s="161"/>
      <c r="H247" s="161"/>
      <c r="I247" s="162"/>
      <c r="J247" s="163"/>
      <c r="K247" s="163"/>
      <c r="L247" s="163"/>
      <c r="M247" s="160"/>
      <c r="N247" s="162"/>
      <c r="O247" s="164"/>
      <c r="P247" s="140"/>
      <c r="Q247" s="327"/>
      <c r="R247" s="140"/>
    </row>
    <row r="248" ht="29.25" hidden="1" customHeight="1">
      <c r="A248" s="189"/>
      <c r="B248" s="323"/>
      <c r="C248" s="324"/>
      <c r="D248" s="325"/>
      <c r="E248" s="314"/>
      <c r="F248" s="166"/>
      <c r="G248" s="161"/>
      <c r="H248" s="161"/>
      <c r="I248" s="162"/>
      <c r="J248" s="163"/>
      <c r="K248" s="163"/>
      <c r="L248" s="163"/>
      <c r="M248" s="160"/>
      <c r="N248" s="162"/>
      <c r="O248" s="164"/>
      <c r="P248" s="140"/>
      <c r="Q248" s="321"/>
      <c r="R248" s="140"/>
    </row>
    <row r="249" ht="29.25" hidden="1" customHeight="1">
      <c r="A249" s="189"/>
      <c r="B249" s="323"/>
      <c r="C249" s="324"/>
      <c r="D249" s="325"/>
      <c r="E249" s="326"/>
      <c r="F249" s="166"/>
      <c r="G249" s="161"/>
      <c r="H249" s="161"/>
      <c r="I249" s="162"/>
      <c r="J249" s="163"/>
      <c r="K249" s="163"/>
      <c r="L249" s="163"/>
      <c r="M249" s="160"/>
      <c r="N249" s="162"/>
      <c r="O249" s="164"/>
      <c r="P249" s="140"/>
      <c r="Q249" s="327"/>
      <c r="R249" s="140"/>
    </row>
    <row r="250" ht="29.25" hidden="1" customHeight="1">
      <c r="A250" s="189"/>
      <c r="B250" s="323"/>
      <c r="C250" s="324"/>
      <c r="D250" s="325"/>
      <c r="E250" s="314"/>
      <c r="F250" s="166"/>
      <c r="G250" s="161"/>
      <c r="H250" s="161"/>
      <c r="I250" s="162"/>
      <c r="J250" s="163"/>
      <c r="K250" s="163"/>
      <c r="L250" s="163"/>
      <c r="M250" s="160"/>
      <c r="N250" s="162"/>
      <c r="O250" s="164"/>
      <c r="P250" s="140"/>
      <c r="Q250" s="321"/>
      <c r="R250" s="140"/>
    </row>
    <row r="251" ht="29.25" hidden="1" customHeight="1">
      <c r="A251" s="189"/>
      <c r="B251" s="323"/>
      <c r="C251" s="324"/>
      <c r="D251" s="325"/>
      <c r="E251" s="326"/>
      <c r="F251" s="166"/>
      <c r="G251" s="161"/>
      <c r="H251" s="161"/>
      <c r="I251" s="162"/>
      <c r="J251" s="163"/>
      <c r="K251" s="163"/>
      <c r="L251" s="163"/>
      <c r="M251" s="160"/>
      <c r="N251" s="162"/>
      <c r="O251" s="164"/>
      <c r="P251" s="140"/>
      <c r="Q251" s="327"/>
      <c r="R251" s="140"/>
    </row>
    <row r="252" ht="29.25" hidden="1" customHeight="1">
      <c r="A252" s="189"/>
      <c r="B252" s="323"/>
      <c r="C252" s="324"/>
      <c r="D252" s="325"/>
      <c r="E252" s="314"/>
      <c r="F252" s="166"/>
      <c r="G252" s="161"/>
      <c r="H252" s="161"/>
      <c r="I252" s="162"/>
      <c r="J252" s="163"/>
      <c r="K252" s="163"/>
      <c r="L252" s="163"/>
      <c r="M252" s="160"/>
      <c r="N252" s="162"/>
      <c r="O252" s="164"/>
      <c r="P252" s="140"/>
      <c r="Q252" s="321"/>
      <c r="R252" s="140"/>
    </row>
    <row r="253" ht="29.25" hidden="1" customHeight="1">
      <c r="A253" s="189"/>
      <c r="B253" s="323"/>
      <c r="C253" s="324"/>
      <c r="D253" s="325"/>
      <c r="E253" s="326"/>
      <c r="F253" s="166"/>
      <c r="G253" s="161"/>
      <c r="H253" s="161"/>
      <c r="I253" s="162"/>
      <c r="J253" s="163"/>
      <c r="K253" s="163"/>
      <c r="L253" s="163"/>
      <c r="M253" s="160"/>
      <c r="N253" s="162"/>
      <c r="O253" s="164"/>
      <c r="P253" s="140"/>
      <c r="Q253" s="327"/>
      <c r="R253" s="140"/>
    </row>
    <row r="254" ht="29.25" hidden="1" customHeight="1">
      <c r="A254" s="189"/>
      <c r="B254" s="323"/>
      <c r="C254" s="324"/>
      <c r="D254" s="325"/>
      <c r="E254" s="314"/>
      <c r="F254" s="166"/>
      <c r="G254" s="161"/>
      <c r="H254" s="161"/>
      <c r="I254" s="162"/>
      <c r="J254" s="163"/>
      <c r="K254" s="163"/>
      <c r="L254" s="163"/>
      <c r="M254" s="160"/>
      <c r="N254" s="162"/>
      <c r="O254" s="164"/>
      <c r="P254" s="140"/>
      <c r="Q254" s="321"/>
      <c r="R254" s="140"/>
    </row>
    <row r="255" ht="29.25" hidden="1" customHeight="1">
      <c r="A255" s="189"/>
      <c r="B255" s="323"/>
      <c r="C255" s="324"/>
      <c r="D255" s="325"/>
      <c r="E255" s="326"/>
      <c r="F255" s="166"/>
      <c r="G255" s="161"/>
      <c r="H255" s="161"/>
      <c r="I255" s="162"/>
      <c r="J255" s="163"/>
      <c r="K255" s="163"/>
      <c r="L255" s="163"/>
      <c r="M255" s="160"/>
      <c r="N255" s="162"/>
      <c r="O255" s="164"/>
      <c r="P255" s="140"/>
      <c r="Q255" s="327"/>
      <c r="R255" s="140"/>
    </row>
    <row r="256" ht="29.25" hidden="1" customHeight="1">
      <c r="A256" s="189"/>
      <c r="B256" s="323"/>
      <c r="C256" s="324"/>
      <c r="D256" s="325"/>
      <c r="E256" s="314"/>
      <c r="F256" s="166"/>
      <c r="G256" s="161"/>
      <c r="H256" s="161"/>
      <c r="I256" s="162"/>
      <c r="J256" s="163"/>
      <c r="K256" s="163"/>
      <c r="L256" s="163"/>
      <c r="M256" s="160"/>
      <c r="N256" s="162"/>
      <c r="O256" s="164"/>
      <c r="P256" s="140"/>
      <c r="Q256" s="321"/>
      <c r="R256" s="140"/>
    </row>
    <row r="257" ht="29.25" hidden="1" customHeight="1">
      <c r="A257" s="189"/>
      <c r="B257" s="323"/>
      <c r="C257" s="324"/>
      <c r="D257" s="325"/>
      <c r="E257" s="326"/>
      <c r="F257" s="166"/>
      <c r="G257" s="161"/>
      <c r="H257" s="161"/>
      <c r="I257" s="162"/>
      <c r="J257" s="163"/>
      <c r="K257" s="163"/>
      <c r="L257" s="163"/>
      <c r="M257" s="160"/>
      <c r="N257" s="162"/>
      <c r="O257" s="164"/>
      <c r="P257" s="140"/>
      <c r="Q257" s="327"/>
      <c r="R257" s="140"/>
    </row>
    <row r="258" ht="29.25" hidden="1" customHeight="1">
      <c r="A258" s="189"/>
      <c r="B258" s="323"/>
      <c r="C258" s="324"/>
      <c r="D258" s="325"/>
      <c r="E258" s="314"/>
      <c r="F258" s="166"/>
      <c r="G258" s="161"/>
      <c r="H258" s="161"/>
      <c r="I258" s="162"/>
      <c r="J258" s="163"/>
      <c r="K258" s="163"/>
      <c r="L258" s="163"/>
      <c r="M258" s="160"/>
      <c r="N258" s="162"/>
      <c r="O258" s="164"/>
      <c r="P258" s="140"/>
      <c r="Q258" s="321"/>
      <c r="R258" s="140"/>
    </row>
    <row r="259" ht="29.25" hidden="1" customHeight="1">
      <c r="A259" s="189"/>
      <c r="B259" s="323"/>
      <c r="C259" s="324"/>
      <c r="D259" s="325"/>
      <c r="E259" s="326"/>
      <c r="F259" s="166"/>
      <c r="G259" s="161"/>
      <c r="H259" s="161"/>
      <c r="I259" s="162"/>
      <c r="J259" s="163"/>
      <c r="K259" s="163"/>
      <c r="L259" s="163"/>
      <c r="M259" s="160"/>
      <c r="N259" s="162"/>
      <c r="O259" s="164"/>
      <c r="P259" s="140"/>
      <c r="Q259" s="327"/>
      <c r="R259" s="140"/>
    </row>
    <row r="260" ht="29.25" hidden="1" customHeight="1">
      <c r="A260" s="189"/>
      <c r="B260" s="323"/>
      <c r="C260" s="324"/>
      <c r="D260" s="325"/>
      <c r="E260" s="314"/>
      <c r="F260" s="166"/>
      <c r="G260" s="161"/>
      <c r="H260" s="161"/>
      <c r="I260" s="162"/>
      <c r="J260" s="163"/>
      <c r="K260" s="163"/>
      <c r="L260" s="163"/>
      <c r="M260" s="160"/>
      <c r="N260" s="162"/>
      <c r="O260" s="164"/>
      <c r="P260" s="140"/>
      <c r="Q260" s="321"/>
      <c r="R260" s="140"/>
    </row>
    <row r="261" ht="29.25" hidden="1" customHeight="1">
      <c r="A261" s="189"/>
      <c r="B261" s="323"/>
      <c r="C261" s="324"/>
      <c r="D261" s="325"/>
      <c r="E261" s="326"/>
      <c r="F261" s="166"/>
      <c r="G261" s="161"/>
      <c r="H261" s="161"/>
      <c r="I261" s="162"/>
      <c r="J261" s="163"/>
      <c r="K261" s="163"/>
      <c r="L261" s="163"/>
      <c r="M261" s="160"/>
      <c r="N261" s="162"/>
      <c r="O261" s="164"/>
      <c r="P261" s="140"/>
      <c r="Q261" s="327"/>
      <c r="R261" s="140"/>
    </row>
    <row r="262" ht="29.25" hidden="1" customHeight="1">
      <c r="A262" s="189"/>
      <c r="B262" s="323"/>
      <c r="C262" s="324"/>
      <c r="D262" s="325"/>
      <c r="E262" s="314"/>
      <c r="F262" s="166"/>
      <c r="G262" s="161"/>
      <c r="H262" s="161"/>
      <c r="I262" s="162"/>
      <c r="J262" s="163"/>
      <c r="K262" s="163"/>
      <c r="L262" s="163"/>
      <c r="M262" s="160"/>
      <c r="N262" s="162"/>
      <c r="O262" s="164"/>
      <c r="P262" s="140"/>
      <c r="Q262" s="321"/>
      <c r="R262" s="140"/>
    </row>
    <row r="263" ht="29.25" hidden="1" customHeight="1">
      <c r="A263" s="189"/>
      <c r="B263" s="323"/>
      <c r="C263" s="324"/>
      <c r="D263" s="325"/>
      <c r="E263" s="326"/>
      <c r="F263" s="166"/>
      <c r="G263" s="161"/>
      <c r="H263" s="161"/>
      <c r="I263" s="162"/>
      <c r="J263" s="163"/>
      <c r="K263" s="163"/>
      <c r="L263" s="163"/>
      <c r="M263" s="160"/>
      <c r="N263" s="162"/>
      <c r="O263" s="164"/>
      <c r="P263" s="140"/>
      <c r="Q263" s="327"/>
      <c r="R263" s="140"/>
    </row>
    <row r="264" ht="29.25" hidden="1" customHeight="1">
      <c r="A264" s="189"/>
      <c r="B264" s="323"/>
      <c r="C264" s="324"/>
      <c r="D264" s="325"/>
      <c r="E264" s="314"/>
      <c r="F264" s="166"/>
      <c r="G264" s="161"/>
      <c r="H264" s="161"/>
      <c r="I264" s="162"/>
      <c r="J264" s="163"/>
      <c r="K264" s="163"/>
      <c r="L264" s="163"/>
      <c r="M264" s="160"/>
      <c r="N264" s="162"/>
      <c r="O264" s="164"/>
      <c r="P264" s="140"/>
      <c r="Q264" s="321"/>
      <c r="R264" s="140"/>
    </row>
    <row r="265" ht="29.25" hidden="1" customHeight="1">
      <c r="A265" s="189"/>
      <c r="B265" s="323"/>
      <c r="C265" s="324"/>
      <c r="D265" s="325"/>
      <c r="E265" s="326"/>
      <c r="F265" s="166"/>
      <c r="G265" s="161"/>
      <c r="H265" s="161"/>
      <c r="I265" s="162"/>
      <c r="J265" s="163"/>
      <c r="K265" s="163"/>
      <c r="L265" s="163"/>
      <c r="M265" s="160"/>
      <c r="N265" s="162"/>
      <c r="O265" s="164"/>
      <c r="P265" s="140"/>
      <c r="Q265" s="327"/>
      <c r="R265" s="140"/>
    </row>
    <row r="266" ht="29.25" hidden="1" customHeight="1">
      <c r="A266" s="189"/>
      <c r="B266" s="323"/>
      <c r="C266" s="324"/>
      <c r="D266" s="325"/>
      <c r="E266" s="314"/>
      <c r="F266" s="166"/>
      <c r="G266" s="161"/>
      <c r="H266" s="161"/>
      <c r="I266" s="162"/>
      <c r="J266" s="163"/>
      <c r="K266" s="163"/>
      <c r="L266" s="163"/>
      <c r="M266" s="160"/>
      <c r="N266" s="162"/>
      <c r="O266" s="164"/>
      <c r="P266" s="140"/>
      <c r="Q266" s="321"/>
      <c r="R266" s="140"/>
    </row>
    <row r="267" ht="29.25" hidden="1" customHeight="1">
      <c r="A267" s="189"/>
      <c r="B267" s="323"/>
      <c r="C267" s="324"/>
      <c r="D267" s="325"/>
      <c r="E267" s="326"/>
      <c r="F267" s="166"/>
      <c r="G267" s="161"/>
      <c r="H267" s="161"/>
      <c r="I267" s="162"/>
      <c r="J267" s="163"/>
      <c r="K267" s="163"/>
      <c r="L267" s="163"/>
      <c r="M267" s="160"/>
      <c r="N267" s="162"/>
      <c r="O267" s="164"/>
      <c r="P267" s="140"/>
      <c r="Q267" s="327"/>
      <c r="R267" s="140"/>
    </row>
    <row r="268" ht="29.25" hidden="1" customHeight="1">
      <c r="A268" s="189"/>
      <c r="B268" s="323"/>
      <c r="C268" s="324"/>
      <c r="D268" s="325"/>
      <c r="E268" s="314"/>
      <c r="F268" s="166"/>
      <c r="G268" s="161"/>
      <c r="H268" s="161"/>
      <c r="I268" s="162"/>
      <c r="J268" s="163"/>
      <c r="K268" s="163"/>
      <c r="L268" s="163"/>
      <c r="M268" s="160"/>
      <c r="N268" s="162"/>
      <c r="O268" s="164"/>
      <c r="P268" s="140"/>
      <c r="Q268" s="321"/>
      <c r="R268" s="140"/>
    </row>
    <row r="269" ht="29.25" hidden="1" customHeight="1">
      <c r="A269" s="189"/>
      <c r="B269" s="323"/>
      <c r="C269" s="324"/>
      <c r="D269" s="325"/>
      <c r="E269" s="326"/>
      <c r="F269" s="166"/>
      <c r="G269" s="161"/>
      <c r="H269" s="161"/>
      <c r="I269" s="162"/>
      <c r="J269" s="163"/>
      <c r="K269" s="163"/>
      <c r="L269" s="163"/>
      <c r="M269" s="160"/>
      <c r="N269" s="162"/>
      <c r="O269" s="164"/>
      <c r="P269" s="140"/>
      <c r="Q269" s="327"/>
      <c r="R269" s="140"/>
    </row>
    <row r="270" ht="29.25" hidden="1" customHeight="1">
      <c r="A270" s="189"/>
      <c r="B270" s="323"/>
      <c r="C270" s="324"/>
      <c r="D270" s="325"/>
      <c r="E270" s="314"/>
      <c r="F270" s="166"/>
      <c r="G270" s="161"/>
      <c r="H270" s="161"/>
      <c r="I270" s="162"/>
      <c r="J270" s="163"/>
      <c r="K270" s="163"/>
      <c r="L270" s="163"/>
      <c r="M270" s="160"/>
      <c r="N270" s="162"/>
      <c r="O270" s="164"/>
      <c r="P270" s="140"/>
      <c r="Q270" s="321"/>
      <c r="R270" s="140"/>
    </row>
    <row r="271" ht="29.25" hidden="1" customHeight="1">
      <c r="A271" s="189"/>
      <c r="B271" s="323"/>
      <c r="C271" s="324"/>
      <c r="D271" s="325"/>
      <c r="E271" s="326"/>
      <c r="F271" s="166"/>
      <c r="G271" s="161"/>
      <c r="H271" s="161"/>
      <c r="I271" s="162"/>
      <c r="J271" s="163"/>
      <c r="K271" s="163"/>
      <c r="L271" s="163"/>
      <c r="M271" s="160"/>
      <c r="N271" s="162"/>
      <c r="O271" s="164"/>
      <c r="P271" s="140"/>
      <c r="Q271" s="327"/>
      <c r="R271" s="140"/>
    </row>
    <row r="272" ht="29.25" hidden="1" customHeight="1">
      <c r="A272" s="189"/>
      <c r="B272" s="323"/>
      <c r="C272" s="324"/>
      <c r="D272" s="325"/>
      <c r="E272" s="314"/>
      <c r="F272" s="166"/>
      <c r="G272" s="161"/>
      <c r="H272" s="161"/>
      <c r="I272" s="162"/>
      <c r="J272" s="163"/>
      <c r="K272" s="163"/>
      <c r="L272" s="163"/>
      <c r="M272" s="160"/>
      <c r="N272" s="162"/>
      <c r="O272" s="164"/>
      <c r="P272" s="140"/>
      <c r="Q272" s="321"/>
      <c r="R272" s="140"/>
    </row>
    <row r="273" ht="29.25" hidden="1" customHeight="1">
      <c r="A273" s="189"/>
      <c r="B273" s="323"/>
      <c r="C273" s="324"/>
      <c r="D273" s="325"/>
      <c r="E273" s="326"/>
      <c r="F273" s="166"/>
      <c r="G273" s="161"/>
      <c r="H273" s="161"/>
      <c r="I273" s="162"/>
      <c r="J273" s="163"/>
      <c r="K273" s="163"/>
      <c r="L273" s="163"/>
      <c r="M273" s="160"/>
      <c r="N273" s="162"/>
      <c r="O273" s="164"/>
      <c r="P273" s="140"/>
      <c r="Q273" s="327"/>
      <c r="R273" s="140"/>
    </row>
    <row r="274" ht="29.25" hidden="1" customHeight="1">
      <c r="A274" s="189"/>
      <c r="B274" s="323"/>
      <c r="C274" s="324"/>
      <c r="D274" s="325"/>
      <c r="E274" s="314"/>
      <c r="F274" s="166"/>
      <c r="G274" s="161"/>
      <c r="H274" s="161"/>
      <c r="I274" s="162"/>
      <c r="J274" s="163"/>
      <c r="K274" s="163"/>
      <c r="L274" s="163"/>
      <c r="M274" s="160"/>
      <c r="N274" s="162"/>
      <c r="O274" s="164"/>
      <c r="P274" s="140"/>
      <c r="Q274" s="321"/>
      <c r="R274" s="140"/>
    </row>
    <row r="275" ht="29.25" hidden="1" customHeight="1">
      <c r="A275" s="189"/>
      <c r="B275" s="323"/>
      <c r="C275" s="324"/>
      <c r="D275" s="325"/>
      <c r="E275" s="326"/>
      <c r="F275" s="166"/>
      <c r="G275" s="161"/>
      <c r="H275" s="161"/>
      <c r="I275" s="162"/>
      <c r="J275" s="163"/>
      <c r="K275" s="163"/>
      <c r="L275" s="163"/>
      <c r="M275" s="160"/>
      <c r="N275" s="162"/>
      <c r="O275" s="164"/>
      <c r="P275" s="140"/>
      <c r="Q275" s="327"/>
      <c r="R275" s="140"/>
    </row>
    <row r="276" ht="29.25" hidden="1" customHeight="1">
      <c r="A276" s="189"/>
      <c r="B276" s="323"/>
      <c r="C276" s="324"/>
      <c r="D276" s="325"/>
      <c r="E276" s="314"/>
      <c r="F276" s="166"/>
      <c r="G276" s="161"/>
      <c r="H276" s="161"/>
      <c r="I276" s="162"/>
      <c r="J276" s="163"/>
      <c r="K276" s="163"/>
      <c r="L276" s="163"/>
      <c r="M276" s="160"/>
      <c r="N276" s="162"/>
      <c r="O276" s="164"/>
      <c r="P276" s="140"/>
      <c r="Q276" s="321"/>
      <c r="R276" s="140"/>
    </row>
    <row r="277" ht="29.25" hidden="1" customHeight="1">
      <c r="A277" s="189"/>
      <c r="B277" s="323"/>
      <c r="C277" s="324"/>
      <c r="D277" s="325"/>
      <c r="E277" s="326"/>
      <c r="F277" s="166"/>
      <c r="G277" s="161"/>
      <c r="H277" s="161"/>
      <c r="I277" s="162"/>
      <c r="J277" s="163"/>
      <c r="K277" s="163"/>
      <c r="L277" s="163"/>
      <c r="M277" s="160"/>
      <c r="N277" s="162"/>
      <c r="O277" s="164"/>
      <c r="P277" s="140"/>
      <c r="Q277" s="327"/>
      <c r="R277" s="140"/>
    </row>
    <row r="278" ht="29.25" hidden="1" customHeight="1">
      <c r="A278" s="189"/>
      <c r="B278" s="323"/>
      <c r="C278" s="324"/>
      <c r="D278" s="325"/>
      <c r="E278" s="314"/>
      <c r="F278" s="166"/>
      <c r="G278" s="161"/>
      <c r="H278" s="161"/>
      <c r="I278" s="162"/>
      <c r="J278" s="163"/>
      <c r="K278" s="163"/>
      <c r="L278" s="163"/>
      <c r="M278" s="160"/>
      <c r="N278" s="162"/>
      <c r="O278" s="164"/>
      <c r="P278" s="140"/>
      <c r="Q278" s="321"/>
      <c r="R278" s="140"/>
    </row>
    <row r="279" ht="29.25" hidden="1" customHeight="1">
      <c r="A279" s="189"/>
      <c r="B279" s="323"/>
      <c r="C279" s="324"/>
      <c r="D279" s="325"/>
      <c r="E279" s="326"/>
      <c r="F279" s="166"/>
      <c r="G279" s="161"/>
      <c r="H279" s="161"/>
      <c r="I279" s="162"/>
      <c r="J279" s="163"/>
      <c r="K279" s="163"/>
      <c r="L279" s="163"/>
      <c r="M279" s="160"/>
      <c r="N279" s="162"/>
      <c r="O279" s="164"/>
      <c r="P279" s="140"/>
      <c r="Q279" s="327"/>
      <c r="R279" s="140"/>
    </row>
    <row r="280" ht="29.25" hidden="1" customHeight="1">
      <c r="A280" s="189"/>
      <c r="B280" s="323"/>
      <c r="C280" s="324"/>
      <c r="D280" s="325"/>
      <c r="E280" s="314"/>
      <c r="F280" s="166"/>
      <c r="G280" s="161"/>
      <c r="H280" s="161"/>
      <c r="I280" s="162"/>
      <c r="J280" s="163"/>
      <c r="K280" s="163"/>
      <c r="L280" s="163"/>
      <c r="M280" s="160"/>
      <c r="N280" s="162"/>
      <c r="O280" s="164"/>
      <c r="P280" s="140"/>
      <c r="Q280" s="321"/>
      <c r="R280" s="140"/>
    </row>
    <row r="281" ht="29.25" hidden="1" customHeight="1">
      <c r="A281" s="189"/>
      <c r="B281" s="323"/>
      <c r="C281" s="324"/>
      <c r="D281" s="325"/>
      <c r="E281" s="326"/>
      <c r="F281" s="166"/>
      <c r="G281" s="161"/>
      <c r="H281" s="161"/>
      <c r="I281" s="162"/>
      <c r="J281" s="163"/>
      <c r="K281" s="163"/>
      <c r="L281" s="163"/>
      <c r="M281" s="160"/>
      <c r="N281" s="162"/>
      <c r="O281" s="164"/>
      <c r="P281" s="140"/>
      <c r="Q281" s="327"/>
      <c r="R281" s="140"/>
    </row>
    <row r="282" ht="29.25" hidden="1" customHeight="1">
      <c r="A282" s="189"/>
      <c r="B282" s="323"/>
      <c r="C282" s="324"/>
      <c r="D282" s="325"/>
      <c r="E282" s="314"/>
      <c r="F282" s="166"/>
      <c r="G282" s="161"/>
      <c r="H282" s="161"/>
      <c r="I282" s="162"/>
      <c r="J282" s="163"/>
      <c r="K282" s="163"/>
      <c r="L282" s="163"/>
      <c r="M282" s="160"/>
      <c r="N282" s="162"/>
      <c r="O282" s="164"/>
      <c r="P282" s="140"/>
      <c r="Q282" s="321"/>
      <c r="R282" s="140"/>
    </row>
    <row r="283" ht="29.25" hidden="1" customHeight="1">
      <c r="A283" s="189"/>
      <c r="B283" s="323"/>
      <c r="C283" s="324"/>
      <c r="D283" s="325"/>
      <c r="E283" s="326"/>
      <c r="F283" s="166"/>
      <c r="G283" s="161"/>
      <c r="H283" s="161"/>
      <c r="I283" s="162"/>
      <c r="J283" s="163"/>
      <c r="K283" s="163"/>
      <c r="L283" s="163"/>
      <c r="M283" s="160"/>
      <c r="N283" s="162"/>
      <c r="O283" s="164"/>
      <c r="P283" s="140"/>
      <c r="Q283" s="327"/>
      <c r="R283" s="140"/>
    </row>
    <row r="284" ht="29.25" hidden="1" customHeight="1">
      <c r="A284" s="189"/>
      <c r="B284" s="323"/>
      <c r="C284" s="324"/>
      <c r="D284" s="325"/>
      <c r="E284" s="314"/>
      <c r="F284" s="166"/>
      <c r="G284" s="161"/>
      <c r="H284" s="161"/>
      <c r="I284" s="162"/>
      <c r="J284" s="163"/>
      <c r="K284" s="163"/>
      <c r="L284" s="163"/>
      <c r="M284" s="160"/>
      <c r="N284" s="162"/>
      <c r="O284" s="164"/>
      <c r="P284" s="140"/>
      <c r="Q284" s="321"/>
      <c r="R284" s="140"/>
    </row>
    <row r="285" ht="29.25" hidden="1" customHeight="1">
      <c r="A285" s="189"/>
      <c r="B285" s="323"/>
      <c r="C285" s="324"/>
      <c r="D285" s="325"/>
      <c r="E285" s="326"/>
      <c r="F285" s="166"/>
      <c r="G285" s="161"/>
      <c r="H285" s="161"/>
      <c r="I285" s="162"/>
      <c r="J285" s="163"/>
      <c r="K285" s="163"/>
      <c r="L285" s="163"/>
      <c r="M285" s="160"/>
      <c r="N285" s="162"/>
      <c r="O285" s="164"/>
      <c r="P285" s="140"/>
      <c r="Q285" s="327"/>
      <c r="R285" s="140"/>
    </row>
    <row r="286" ht="29.25" hidden="1" customHeight="1">
      <c r="A286" s="189"/>
      <c r="B286" s="323"/>
      <c r="C286" s="324"/>
      <c r="D286" s="325"/>
      <c r="E286" s="314"/>
      <c r="F286" s="166"/>
      <c r="G286" s="161"/>
      <c r="H286" s="161"/>
      <c r="I286" s="162"/>
      <c r="J286" s="163"/>
      <c r="K286" s="163"/>
      <c r="L286" s="163"/>
      <c r="M286" s="160"/>
      <c r="N286" s="162"/>
      <c r="O286" s="164"/>
      <c r="P286" s="140"/>
      <c r="Q286" s="321"/>
      <c r="R286" s="140"/>
    </row>
    <row r="287" ht="29.25" hidden="1" customHeight="1">
      <c r="A287" s="189"/>
      <c r="B287" s="323"/>
      <c r="C287" s="324"/>
      <c r="D287" s="325"/>
      <c r="E287" s="326"/>
      <c r="F287" s="166"/>
      <c r="G287" s="161"/>
      <c r="H287" s="161"/>
      <c r="I287" s="162"/>
      <c r="J287" s="163"/>
      <c r="K287" s="163"/>
      <c r="L287" s="163"/>
      <c r="M287" s="160"/>
      <c r="N287" s="162"/>
      <c r="O287" s="164"/>
      <c r="P287" s="140"/>
      <c r="Q287" s="327"/>
      <c r="R287" s="140"/>
    </row>
    <row r="288" ht="29.25" hidden="1" customHeight="1">
      <c r="A288" s="189"/>
      <c r="B288" s="323"/>
      <c r="C288" s="324"/>
      <c r="D288" s="325"/>
      <c r="E288" s="314"/>
      <c r="F288" s="166"/>
      <c r="G288" s="161"/>
      <c r="H288" s="161"/>
      <c r="I288" s="162"/>
      <c r="J288" s="163"/>
      <c r="K288" s="163"/>
      <c r="L288" s="163"/>
      <c r="M288" s="160"/>
      <c r="N288" s="162"/>
      <c r="O288" s="164"/>
      <c r="P288" s="140"/>
      <c r="Q288" s="321"/>
      <c r="R288" s="140"/>
    </row>
    <row r="289" ht="29.25" hidden="1" customHeight="1">
      <c r="A289" s="189"/>
      <c r="B289" s="323"/>
      <c r="C289" s="324"/>
      <c r="D289" s="325"/>
      <c r="E289" s="326"/>
      <c r="F289" s="166"/>
      <c r="G289" s="161"/>
      <c r="H289" s="161"/>
      <c r="I289" s="162"/>
      <c r="J289" s="163"/>
      <c r="K289" s="163"/>
      <c r="L289" s="163"/>
      <c r="M289" s="160"/>
      <c r="N289" s="162"/>
      <c r="O289" s="164"/>
      <c r="P289" s="140"/>
      <c r="Q289" s="327"/>
      <c r="R289" s="140"/>
    </row>
    <row r="290" ht="29.25" hidden="1" customHeight="1">
      <c r="A290" s="189"/>
      <c r="B290" s="323"/>
      <c r="C290" s="324"/>
      <c r="D290" s="325"/>
      <c r="E290" s="314"/>
      <c r="F290" s="166"/>
      <c r="G290" s="161"/>
      <c r="H290" s="161"/>
      <c r="I290" s="162"/>
      <c r="J290" s="163"/>
      <c r="K290" s="163"/>
      <c r="L290" s="163"/>
      <c r="M290" s="160"/>
      <c r="N290" s="162"/>
      <c r="O290" s="164"/>
      <c r="P290" s="140"/>
      <c r="Q290" s="321"/>
      <c r="R290" s="140"/>
    </row>
    <row r="291" ht="29.25" hidden="1" customHeight="1">
      <c r="A291" s="189"/>
      <c r="B291" s="323"/>
      <c r="C291" s="324"/>
      <c r="D291" s="325"/>
      <c r="E291" s="326"/>
      <c r="F291" s="166"/>
      <c r="G291" s="161"/>
      <c r="H291" s="161"/>
      <c r="I291" s="162"/>
      <c r="J291" s="163"/>
      <c r="K291" s="163"/>
      <c r="L291" s="163"/>
      <c r="M291" s="160"/>
      <c r="N291" s="162"/>
      <c r="O291" s="164"/>
      <c r="P291" s="140"/>
      <c r="Q291" s="327"/>
      <c r="R291" s="140"/>
    </row>
    <row r="292" ht="29.25" hidden="1" customHeight="1">
      <c r="A292" s="189"/>
      <c r="B292" s="323"/>
      <c r="C292" s="324"/>
      <c r="D292" s="325"/>
      <c r="E292" s="314"/>
      <c r="F292" s="166"/>
      <c r="G292" s="161"/>
      <c r="H292" s="161"/>
      <c r="I292" s="162"/>
      <c r="J292" s="163"/>
      <c r="K292" s="163"/>
      <c r="L292" s="163"/>
      <c r="M292" s="160"/>
      <c r="N292" s="162"/>
      <c r="O292" s="164"/>
      <c r="P292" s="140"/>
      <c r="Q292" s="321"/>
      <c r="R292" s="140"/>
    </row>
    <row r="293" ht="29.25" hidden="1" customHeight="1">
      <c r="A293" s="189"/>
      <c r="B293" s="323"/>
      <c r="C293" s="324"/>
      <c r="D293" s="325"/>
      <c r="E293" s="326"/>
      <c r="F293" s="166"/>
      <c r="G293" s="161"/>
      <c r="H293" s="161"/>
      <c r="I293" s="162"/>
      <c r="J293" s="163"/>
      <c r="K293" s="163"/>
      <c r="L293" s="163"/>
      <c r="M293" s="160"/>
      <c r="N293" s="162"/>
      <c r="O293" s="164"/>
      <c r="P293" s="140"/>
      <c r="Q293" s="327"/>
      <c r="R293" s="140"/>
    </row>
    <row r="294" ht="29.25" hidden="1" customHeight="1">
      <c r="A294" s="189"/>
      <c r="B294" s="323"/>
      <c r="C294" s="324"/>
      <c r="D294" s="325"/>
      <c r="E294" s="314"/>
      <c r="F294" s="166"/>
      <c r="G294" s="161"/>
      <c r="H294" s="161"/>
      <c r="I294" s="162"/>
      <c r="J294" s="163"/>
      <c r="K294" s="163"/>
      <c r="L294" s="163"/>
      <c r="M294" s="160"/>
      <c r="N294" s="162"/>
      <c r="O294" s="164"/>
      <c r="P294" s="140"/>
      <c r="Q294" s="321"/>
      <c r="R294" s="140"/>
    </row>
    <row r="295" ht="29.25" hidden="1" customHeight="1">
      <c r="A295" s="189"/>
      <c r="B295" s="323"/>
      <c r="C295" s="324"/>
      <c r="D295" s="325"/>
      <c r="E295" s="326"/>
      <c r="F295" s="166"/>
      <c r="G295" s="161"/>
      <c r="H295" s="161"/>
      <c r="I295" s="162"/>
      <c r="J295" s="163"/>
      <c r="K295" s="163"/>
      <c r="L295" s="163"/>
      <c r="M295" s="160"/>
      <c r="N295" s="162"/>
      <c r="O295" s="164"/>
      <c r="P295" s="140"/>
      <c r="Q295" s="327"/>
      <c r="R295" s="140"/>
    </row>
    <row r="296" ht="29.25" hidden="1" customHeight="1">
      <c r="A296" s="189"/>
      <c r="B296" s="323"/>
      <c r="C296" s="324"/>
      <c r="D296" s="325"/>
      <c r="E296" s="314"/>
      <c r="F296" s="166"/>
      <c r="G296" s="161"/>
      <c r="H296" s="161"/>
      <c r="I296" s="162"/>
      <c r="J296" s="163"/>
      <c r="K296" s="163"/>
      <c r="L296" s="163"/>
      <c r="M296" s="160"/>
      <c r="N296" s="162"/>
      <c r="O296" s="164"/>
      <c r="P296" s="140"/>
      <c r="Q296" s="321"/>
      <c r="R296" s="140"/>
    </row>
    <row r="297" ht="29.25" hidden="1" customHeight="1">
      <c r="A297" s="189"/>
      <c r="B297" s="323"/>
      <c r="C297" s="324"/>
      <c r="D297" s="325"/>
      <c r="E297" s="326"/>
      <c r="F297" s="166"/>
      <c r="G297" s="161"/>
      <c r="H297" s="161"/>
      <c r="I297" s="162"/>
      <c r="J297" s="163"/>
      <c r="K297" s="163"/>
      <c r="L297" s="163"/>
      <c r="M297" s="160"/>
      <c r="N297" s="162"/>
      <c r="O297" s="164"/>
      <c r="P297" s="140"/>
      <c r="Q297" s="327"/>
      <c r="R297" s="140"/>
    </row>
    <row r="298" ht="29.25" hidden="1" customHeight="1">
      <c r="A298" s="189"/>
      <c r="B298" s="323"/>
      <c r="C298" s="324"/>
      <c r="D298" s="325"/>
      <c r="E298" s="314"/>
      <c r="F298" s="166"/>
      <c r="G298" s="161"/>
      <c r="H298" s="161"/>
      <c r="I298" s="162"/>
      <c r="J298" s="163"/>
      <c r="K298" s="163"/>
      <c r="L298" s="163"/>
      <c r="M298" s="160"/>
      <c r="N298" s="162"/>
      <c r="O298" s="164"/>
      <c r="P298" s="140"/>
      <c r="Q298" s="321"/>
      <c r="R298" s="140"/>
    </row>
    <row r="299" ht="29.25" hidden="1" customHeight="1">
      <c r="A299" s="189"/>
      <c r="B299" s="323"/>
      <c r="C299" s="324"/>
      <c r="D299" s="325"/>
      <c r="E299" s="326"/>
      <c r="F299" s="166"/>
      <c r="G299" s="161"/>
      <c r="H299" s="161"/>
      <c r="I299" s="162"/>
      <c r="J299" s="163"/>
      <c r="K299" s="163"/>
      <c r="L299" s="163"/>
      <c r="M299" s="160"/>
      <c r="N299" s="162"/>
      <c r="O299" s="164"/>
      <c r="P299" s="140"/>
      <c r="Q299" s="327"/>
      <c r="R299" s="140"/>
    </row>
    <row r="300" ht="29.25" hidden="1" customHeight="1">
      <c r="A300" s="189"/>
      <c r="B300" s="323"/>
      <c r="C300" s="324"/>
      <c r="D300" s="325"/>
      <c r="E300" s="314"/>
      <c r="F300" s="166"/>
      <c r="G300" s="161"/>
      <c r="H300" s="161"/>
      <c r="I300" s="162"/>
      <c r="J300" s="163"/>
      <c r="K300" s="163"/>
      <c r="L300" s="163"/>
      <c r="M300" s="160"/>
      <c r="N300" s="162"/>
      <c r="O300" s="164"/>
      <c r="P300" s="140"/>
      <c r="Q300" s="321"/>
      <c r="R300" s="140"/>
    </row>
    <row r="301" ht="29.25" hidden="1" customHeight="1">
      <c r="A301" s="189"/>
      <c r="B301" s="323"/>
      <c r="C301" s="324"/>
      <c r="D301" s="325"/>
      <c r="E301" s="326"/>
      <c r="F301" s="166"/>
      <c r="G301" s="161"/>
      <c r="H301" s="161"/>
      <c r="I301" s="162"/>
      <c r="J301" s="163"/>
      <c r="K301" s="163"/>
      <c r="L301" s="163"/>
      <c r="M301" s="160"/>
      <c r="N301" s="162"/>
      <c r="O301" s="164"/>
      <c r="P301" s="140"/>
      <c r="Q301" s="327"/>
      <c r="R301" s="140"/>
    </row>
    <row r="302" ht="29.25" hidden="1" customHeight="1">
      <c r="A302" s="189"/>
      <c r="B302" s="323"/>
      <c r="C302" s="324"/>
      <c r="D302" s="325"/>
      <c r="E302" s="314"/>
      <c r="F302" s="166"/>
      <c r="G302" s="161"/>
      <c r="H302" s="161"/>
      <c r="I302" s="162"/>
      <c r="J302" s="163"/>
      <c r="K302" s="163"/>
      <c r="L302" s="163"/>
      <c r="M302" s="160"/>
      <c r="N302" s="162"/>
      <c r="O302" s="164"/>
      <c r="P302" s="140"/>
      <c r="Q302" s="321"/>
      <c r="R302" s="140"/>
    </row>
    <row r="303" ht="29.25" hidden="1" customHeight="1">
      <c r="A303" s="189"/>
      <c r="B303" s="323"/>
      <c r="C303" s="324"/>
      <c r="D303" s="325"/>
      <c r="E303" s="326"/>
      <c r="F303" s="166"/>
      <c r="G303" s="161"/>
      <c r="H303" s="161"/>
      <c r="I303" s="162"/>
      <c r="J303" s="163"/>
      <c r="K303" s="163"/>
      <c r="L303" s="163"/>
      <c r="M303" s="160"/>
      <c r="N303" s="162"/>
      <c r="O303" s="164"/>
      <c r="P303" s="140"/>
      <c r="Q303" s="327"/>
      <c r="R303" s="140"/>
    </row>
    <row r="304" ht="29.25" hidden="1" customHeight="1">
      <c r="A304" s="189"/>
      <c r="B304" s="323"/>
      <c r="C304" s="324"/>
      <c r="D304" s="325"/>
      <c r="E304" s="314"/>
      <c r="F304" s="166"/>
      <c r="G304" s="161"/>
      <c r="H304" s="161"/>
      <c r="I304" s="162"/>
      <c r="J304" s="163"/>
      <c r="K304" s="163"/>
      <c r="L304" s="163"/>
      <c r="M304" s="160"/>
      <c r="N304" s="162"/>
      <c r="O304" s="164"/>
      <c r="P304" s="140"/>
      <c r="Q304" s="321"/>
      <c r="R304" s="140"/>
    </row>
    <row r="305" ht="29.25" hidden="1" customHeight="1">
      <c r="A305" s="189"/>
      <c r="B305" s="323"/>
      <c r="C305" s="324"/>
      <c r="D305" s="325"/>
      <c r="E305" s="326"/>
      <c r="F305" s="166"/>
      <c r="G305" s="161"/>
      <c r="H305" s="161"/>
      <c r="I305" s="162"/>
      <c r="J305" s="163"/>
      <c r="K305" s="163"/>
      <c r="L305" s="163"/>
      <c r="M305" s="160"/>
      <c r="N305" s="162"/>
      <c r="O305" s="164"/>
      <c r="P305" s="140"/>
      <c r="Q305" s="327"/>
      <c r="R305" s="140"/>
    </row>
    <row r="306" ht="29.25" hidden="1" customHeight="1">
      <c r="A306" s="189"/>
      <c r="B306" s="323"/>
      <c r="C306" s="324"/>
      <c r="D306" s="325"/>
      <c r="E306" s="314"/>
      <c r="F306" s="166"/>
      <c r="G306" s="161"/>
      <c r="H306" s="161"/>
      <c r="I306" s="162"/>
      <c r="J306" s="163"/>
      <c r="K306" s="163"/>
      <c r="L306" s="163"/>
      <c r="M306" s="160"/>
      <c r="N306" s="162"/>
      <c r="O306" s="164"/>
      <c r="P306" s="140"/>
      <c r="Q306" s="321"/>
      <c r="R306" s="140"/>
    </row>
    <row r="307" ht="29.25" hidden="1" customHeight="1">
      <c r="A307" s="189"/>
      <c r="B307" s="323"/>
      <c r="C307" s="324"/>
      <c r="D307" s="325"/>
      <c r="E307" s="326"/>
      <c r="F307" s="166"/>
      <c r="G307" s="161"/>
      <c r="H307" s="161"/>
      <c r="I307" s="162"/>
      <c r="J307" s="163"/>
      <c r="K307" s="163"/>
      <c r="L307" s="163"/>
      <c r="M307" s="160"/>
      <c r="N307" s="162"/>
      <c r="O307" s="164"/>
      <c r="P307" s="140"/>
      <c r="Q307" s="327"/>
      <c r="R307" s="140"/>
    </row>
    <row r="308" ht="29.25" hidden="1" customHeight="1">
      <c r="A308" s="189"/>
      <c r="B308" s="323"/>
      <c r="C308" s="324"/>
      <c r="D308" s="325"/>
      <c r="E308" s="314"/>
      <c r="F308" s="166"/>
      <c r="G308" s="161"/>
      <c r="H308" s="161"/>
      <c r="I308" s="162"/>
      <c r="J308" s="163"/>
      <c r="K308" s="163"/>
      <c r="L308" s="163"/>
      <c r="M308" s="160"/>
      <c r="N308" s="162"/>
      <c r="O308" s="164"/>
      <c r="P308" s="140"/>
      <c r="Q308" s="321"/>
      <c r="R308" s="140"/>
    </row>
    <row r="309" ht="29.25" hidden="1" customHeight="1">
      <c r="A309" s="189"/>
      <c r="B309" s="323"/>
      <c r="C309" s="324"/>
      <c r="D309" s="325"/>
      <c r="E309" s="326"/>
      <c r="F309" s="166"/>
      <c r="G309" s="161"/>
      <c r="H309" s="161"/>
      <c r="I309" s="162"/>
      <c r="J309" s="163"/>
      <c r="K309" s="163"/>
      <c r="L309" s="163"/>
      <c r="M309" s="160"/>
      <c r="N309" s="162"/>
      <c r="O309" s="164"/>
      <c r="P309" s="140"/>
      <c r="Q309" s="327"/>
      <c r="R309" s="140"/>
    </row>
    <row r="310" ht="29.25" hidden="1" customHeight="1">
      <c r="A310" s="189"/>
      <c r="B310" s="323"/>
      <c r="C310" s="324"/>
      <c r="D310" s="325"/>
      <c r="E310" s="314"/>
      <c r="F310" s="166"/>
      <c r="G310" s="161"/>
      <c r="H310" s="161"/>
      <c r="I310" s="162"/>
      <c r="J310" s="163"/>
      <c r="K310" s="163"/>
      <c r="L310" s="163"/>
      <c r="M310" s="160"/>
      <c r="N310" s="162"/>
      <c r="O310" s="164"/>
      <c r="P310" s="140"/>
      <c r="Q310" s="321"/>
      <c r="R310" s="140"/>
    </row>
    <row r="311" ht="29.25" hidden="1" customHeight="1">
      <c r="A311" s="189"/>
      <c r="B311" s="323"/>
      <c r="C311" s="324"/>
      <c r="D311" s="325"/>
      <c r="E311" s="326"/>
      <c r="F311" s="166"/>
      <c r="G311" s="161"/>
      <c r="H311" s="161"/>
      <c r="I311" s="162"/>
      <c r="J311" s="163"/>
      <c r="K311" s="163"/>
      <c r="L311" s="163"/>
      <c r="M311" s="160"/>
      <c r="N311" s="162"/>
      <c r="O311" s="164"/>
      <c r="P311" s="140"/>
      <c r="Q311" s="327"/>
      <c r="R311" s="140"/>
    </row>
    <row r="312" ht="29.25" hidden="1" customHeight="1">
      <c r="A312" s="189"/>
      <c r="B312" s="323"/>
      <c r="C312" s="324"/>
      <c r="D312" s="325"/>
      <c r="E312" s="314"/>
      <c r="F312" s="166"/>
      <c r="G312" s="161"/>
      <c r="H312" s="161"/>
      <c r="I312" s="162"/>
      <c r="J312" s="163"/>
      <c r="K312" s="163"/>
      <c r="L312" s="163"/>
      <c r="M312" s="160"/>
      <c r="N312" s="162"/>
      <c r="O312" s="164"/>
      <c r="P312" s="140"/>
      <c r="Q312" s="321"/>
      <c r="R312" s="140"/>
    </row>
    <row r="313" ht="29.25" hidden="1" customHeight="1">
      <c r="A313" s="189"/>
      <c r="B313" s="323"/>
      <c r="C313" s="324"/>
      <c r="D313" s="325"/>
      <c r="E313" s="326"/>
      <c r="F313" s="166"/>
      <c r="G313" s="161"/>
      <c r="H313" s="161"/>
      <c r="I313" s="162"/>
      <c r="J313" s="163"/>
      <c r="K313" s="163"/>
      <c r="L313" s="163"/>
      <c r="M313" s="160"/>
      <c r="N313" s="162"/>
      <c r="O313" s="164"/>
      <c r="P313" s="140"/>
      <c r="Q313" s="327"/>
      <c r="R313" s="140"/>
    </row>
    <row r="314" ht="29.25" hidden="1" customHeight="1">
      <c r="A314" s="189"/>
      <c r="B314" s="323"/>
      <c r="C314" s="324"/>
      <c r="D314" s="325"/>
      <c r="E314" s="314"/>
      <c r="F314" s="166"/>
      <c r="G314" s="161"/>
      <c r="H314" s="161"/>
      <c r="I314" s="162"/>
      <c r="J314" s="163"/>
      <c r="K314" s="163"/>
      <c r="L314" s="163"/>
      <c r="M314" s="160"/>
      <c r="N314" s="162"/>
      <c r="O314" s="164"/>
      <c r="P314" s="140"/>
      <c r="Q314" s="321"/>
      <c r="R314" s="140"/>
    </row>
    <row r="315" ht="29.25" hidden="1" customHeight="1">
      <c r="A315" s="189"/>
      <c r="B315" s="323"/>
      <c r="C315" s="324"/>
      <c r="D315" s="325"/>
      <c r="E315" s="326"/>
      <c r="F315" s="166"/>
      <c r="G315" s="161"/>
      <c r="H315" s="161"/>
      <c r="I315" s="162"/>
      <c r="J315" s="163"/>
      <c r="K315" s="163"/>
      <c r="L315" s="163"/>
      <c r="M315" s="160"/>
      <c r="N315" s="162"/>
      <c r="O315" s="164"/>
      <c r="P315" s="140"/>
      <c r="Q315" s="327"/>
      <c r="R315" s="140"/>
    </row>
    <row r="316" ht="29.25" hidden="1" customHeight="1">
      <c r="A316" s="189"/>
      <c r="B316" s="323"/>
      <c r="C316" s="324"/>
      <c r="D316" s="325"/>
      <c r="E316" s="314"/>
      <c r="F316" s="166"/>
      <c r="G316" s="161"/>
      <c r="H316" s="161"/>
      <c r="I316" s="162"/>
      <c r="J316" s="163"/>
      <c r="K316" s="163"/>
      <c r="L316" s="163"/>
      <c r="M316" s="160"/>
      <c r="N316" s="162"/>
      <c r="O316" s="164"/>
      <c r="P316" s="140"/>
      <c r="Q316" s="321"/>
      <c r="R316" s="140"/>
    </row>
    <row r="317" ht="29.25" hidden="1" customHeight="1">
      <c r="A317" s="189"/>
      <c r="B317" s="323"/>
      <c r="C317" s="324"/>
      <c r="D317" s="325"/>
      <c r="E317" s="326"/>
      <c r="F317" s="166"/>
      <c r="G317" s="161"/>
      <c r="H317" s="161"/>
      <c r="I317" s="162"/>
      <c r="J317" s="163"/>
      <c r="K317" s="163"/>
      <c r="L317" s="163"/>
      <c r="M317" s="160"/>
      <c r="N317" s="162"/>
      <c r="O317" s="164"/>
      <c r="P317" s="140"/>
      <c r="Q317" s="327"/>
      <c r="R317" s="140"/>
    </row>
    <row r="318" ht="29.25" hidden="1" customHeight="1">
      <c r="A318" s="189"/>
      <c r="B318" s="323"/>
      <c r="C318" s="324"/>
      <c r="D318" s="325"/>
      <c r="E318" s="314"/>
      <c r="F318" s="166"/>
      <c r="G318" s="161"/>
      <c r="H318" s="161"/>
      <c r="I318" s="162"/>
      <c r="J318" s="163"/>
      <c r="K318" s="163"/>
      <c r="L318" s="163"/>
      <c r="M318" s="160"/>
      <c r="N318" s="162"/>
      <c r="O318" s="164"/>
      <c r="P318" s="140"/>
      <c r="Q318" s="321"/>
      <c r="R318" s="140"/>
    </row>
    <row r="319" ht="29.25" hidden="1" customHeight="1">
      <c r="A319" s="189"/>
      <c r="B319" s="323"/>
      <c r="C319" s="324"/>
      <c r="D319" s="325"/>
      <c r="E319" s="326"/>
      <c r="F319" s="166"/>
      <c r="G319" s="161"/>
      <c r="H319" s="161"/>
      <c r="I319" s="162"/>
      <c r="J319" s="163"/>
      <c r="K319" s="163"/>
      <c r="L319" s="163"/>
      <c r="M319" s="160"/>
      <c r="N319" s="162"/>
      <c r="O319" s="164"/>
      <c r="P319" s="140"/>
      <c r="Q319" s="327"/>
      <c r="R319" s="140"/>
    </row>
    <row r="320" ht="29.25" hidden="1" customHeight="1">
      <c r="A320" s="189"/>
      <c r="B320" s="323"/>
      <c r="C320" s="324"/>
      <c r="D320" s="325"/>
      <c r="E320" s="314"/>
      <c r="F320" s="166"/>
      <c r="G320" s="161"/>
      <c r="H320" s="161"/>
      <c r="I320" s="162"/>
      <c r="J320" s="163"/>
      <c r="K320" s="163"/>
      <c r="L320" s="163"/>
      <c r="M320" s="160"/>
      <c r="N320" s="162"/>
      <c r="O320" s="164"/>
      <c r="P320" s="140"/>
      <c r="Q320" s="321"/>
      <c r="R320" s="140"/>
    </row>
    <row r="321" ht="29.25" hidden="1" customHeight="1">
      <c r="A321" s="189"/>
      <c r="B321" s="323"/>
      <c r="C321" s="324"/>
      <c r="D321" s="325"/>
      <c r="E321" s="326"/>
      <c r="F321" s="166"/>
      <c r="G321" s="161"/>
      <c r="H321" s="161"/>
      <c r="I321" s="162"/>
      <c r="J321" s="163"/>
      <c r="K321" s="163"/>
      <c r="L321" s="163"/>
      <c r="M321" s="160"/>
      <c r="N321" s="162"/>
      <c r="O321" s="164"/>
      <c r="P321" s="140"/>
      <c r="Q321" s="327"/>
      <c r="R321" s="140"/>
    </row>
    <row r="322" ht="29.25" hidden="1" customHeight="1">
      <c r="A322" s="189"/>
      <c r="B322" s="323"/>
      <c r="C322" s="324"/>
      <c r="D322" s="325"/>
      <c r="E322" s="314"/>
      <c r="F322" s="166"/>
      <c r="G322" s="161"/>
      <c r="H322" s="161"/>
      <c r="I322" s="162"/>
      <c r="J322" s="163"/>
      <c r="K322" s="163"/>
      <c r="L322" s="163"/>
      <c r="M322" s="160"/>
      <c r="N322" s="162"/>
      <c r="O322" s="164"/>
      <c r="P322" s="140"/>
      <c r="Q322" s="321"/>
      <c r="R322" s="140"/>
    </row>
    <row r="323" ht="29.25" hidden="1" customHeight="1">
      <c r="A323" s="189"/>
      <c r="B323" s="323"/>
      <c r="C323" s="324"/>
      <c r="D323" s="325"/>
      <c r="E323" s="326"/>
      <c r="F323" s="166"/>
      <c r="G323" s="161"/>
      <c r="H323" s="161"/>
      <c r="I323" s="162"/>
      <c r="J323" s="163"/>
      <c r="K323" s="163"/>
      <c r="L323" s="163"/>
      <c r="M323" s="160"/>
      <c r="N323" s="162"/>
      <c r="O323" s="164"/>
      <c r="P323" s="140"/>
      <c r="Q323" s="327"/>
      <c r="R323" s="140"/>
    </row>
    <row r="324" ht="29.25" hidden="1" customHeight="1">
      <c r="A324" s="189"/>
      <c r="B324" s="323"/>
      <c r="C324" s="324"/>
      <c r="D324" s="325"/>
      <c r="E324" s="314"/>
      <c r="F324" s="166"/>
      <c r="G324" s="161"/>
      <c r="H324" s="161"/>
      <c r="I324" s="162"/>
      <c r="J324" s="163"/>
      <c r="K324" s="163"/>
      <c r="L324" s="163"/>
      <c r="M324" s="160"/>
      <c r="N324" s="162"/>
      <c r="O324" s="164"/>
      <c r="P324" s="140"/>
      <c r="Q324" s="321"/>
      <c r="R324" s="140"/>
    </row>
    <row r="325" ht="29.25" hidden="1" customHeight="1">
      <c r="A325" s="189"/>
      <c r="B325" s="323"/>
      <c r="C325" s="324"/>
      <c r="D325" s="325"/>
      <c r="E325" s="326"/>
      <c r="F325" s="166"/>
      <c r="G325" s="161"/>
      <c r="H325" s="161"/>
      <c r="I325" s="162"/>
      <c r="J325" s="163"/>
      <c r="K325" s="163"/>
      <c r="L325" s="163"/>
      <c r="M325" s="160"/>
      <c r="N325" s="162"/>
      <c r="O325" s="164"/>
      <c r="P325" s="140"/>
      <c r="Q325" s="327"/>
      <c r="R325" s="140"/>
    </row>
    <row r="326" ht="29.25" hidden="1" customHeight="1">
      <c r="A326" s="189"/>
      <c r="B326" s="323"/>
      <c r="C326" s="324"/>
      <c r="D326" s="325"/>
      <c r="E326" s="314"/>
      <c r="F326" s="166"/>
      <c r="G326" s="161"/>
      <c r="H326" s="161"/>
      <c r="I326" s="162"/>
      <c r="J326" s="163"/>
      <c r="K326" s="163"/>
      <c r="L326" s="163"/>
      <c r="M326" s="160"/>
      <c r="N326" s="162"/>
      <c r="O326" s="164"/>
      <c r="P326" s="140"/>
      <c r="Q326" s="321"/>
      <c r="R326" s="140"/>
    </row>
    <row r="327" ht="29.25" hidden="1" customHeight="1">
      <c r="A327" s="189"/>
      <c r="B327" s="323"/>
      <c r="C327" s="324"/>
      <c r="D327" s="325"/>
      <c r="E327" s="326"/>
      <c r="F327" s="166"/>
      <c r="G327" s="161"/>
      <c r="H327" s="161"/>
      <c r="I327" s="162"/>
      <c r="J327" s="163"/>
      <c r="K327" s="163"/>
      <c r="L327" s="163"/>
      <c r="M327" s="160"/>
      <c r="N327" s="162"/>
      <c r="O327" s="164"/>
      <c r="P327" s="140"/>
      <c r="Q327" s="327"/>
      <c r="R327" s="140"/>
    </row>
    <row r="328" ht="29.25" hidden="1" customHeight="1">
      <c r="A328" s="189"/>
      <c r="B328" s="323"/>
      <c r="C328" s="324"/>
      <c r="D328" s="325"/>
      <c r="E328" s="314"/>
      <c r="F328" s="166"/>
      <c r="G328" s="161"/>
      <c r="H328" s="161"/>
      <c r="I328" s="162"/>
      <c r="J328" s="163"/>
      <c r="K328" s="163"/>
      <c r="L328" s="163"/>
      <c r="M328" s="160"/>
      <c r="N328" s="162"/>
      <c r="O328" s="164"/>
      <c r="P328" s="140"/>
      <c r="Q328" s="321"/>
      <c r="R328" s="140"/>
    </row>
    <row r="329" ht="29.25" hidden="1" customHeight="1">
      <c r="A329" s="189"/>
      <c r="B329" s="323"/>
      <c r="C329" s="324"/>
      <c r="D329" s="325"/>
      <c r="E329" s="326"/>
      <c r="F329" s="166"/>
      <c r="G329" s="161"/>
      <c r="H329" s="161"/>
      <c r="I329" s="162"/>
      <c r="J329" s="163"/>
      <c r="K329" s="163"/>
      <c r="L329" s="163"/>
      <c r="M329" s="160"/>
      <c r="N329" s="162"/>
      <c r="O329" s="164"/>
      <c r="P329" s="140"/>
      <c r="Q329" s="327"/>
      <c r="R329" s="140"/>
    </row>
    <row r="330" ht="29.25" hidden="1" customHeight="1">
      <c r="A330" s="189"/>
      <c r="B330" s="323"/>
      <c r="C330" s="324"/>
      <c r="D330" s="325"/>
      <c r="E330" s="314"/>
      <c r="F330" s="166"/>
      <c r="G330" s="161"/>
      <c r="H330" s="161"/>
      <c r="I330" s="162"/>
      <c r="J330" s="163"/>
      <c r="K330" s="163"/>
      <c r="L330" s="163"/>
      <c r="M330" s="160"/>
      <c r="N330" s="162"/>
      <c r="O330" s="164"/>
      <c r="P330" s="140"/>
      <c r="Q330" s="321"/>
      <c r="R330" s="140"/>
    </row>
    <row r="331" ht="29.25" hidden="1" customHeight="1">
      <c r="A331" s="189"/>
      <c r="B331" s="323"/>
      <c r="C331" s="324"/>
      <c r="D331" s="325"/>
      <c r="E331" s="326"/>
      <c r="F331" s="166"/>
      <c r="G331" s="161"/>
      <c r="H331" s="161"/>
      <c r="I331" s="162"/>
      <c r="J331" s="163"/>
      <c r="K331" s="163"/>
      <c r="L331" s="163"/>
      <c r="M331" s="160"/>
      <c r="N331" s="162"/>
      <c r="O331" s="164"/>
      <c r="P331" s="140"/>
      <c r="Q331" s="327"/>
      <c r="R331" s="140"/>
    </row>
    <row r="332" ht="29.25" hidden="1" customHeight="1">
      <c r="A332" s="189"/>
      <c r="B332" s="323"/>
      <c r="C332" s="324"/>
      <c r="D332" s="325"/>
      <c r="E332" s="314"/>
      <c r="F332" s="166"/>
      <c r="G332" s="161"/>
      <c r="H332" s="161"/>
      <c r="I332" s="162"/>
      <c r="J332" s="163"/>
      <c r="K332" s="163"/>
      <c r="L332" s="163"/>
      <c r="M332" s="160"/>
      <c r="N332" s="162"/>
      <c r="O332" s="164"/>
      <c r="P332" s="140"/>
      <c r="Q332" s="321"/>
      <c r="R332" s="140"/>
    </row>
    <row r="333" ht="29.25" hidden="1" customHeight="1">
      <c r="A333" s="189"/>
      <c r="B333" s="323"/>
      <c r="C333" s="324"/>
      <c r="D333" s="325"/>
      <c r="E333" s="326"/>
      <c r="F333" s="166"/>
      <c r="G333" s="161"/>
      <c r="H333" s="161"/>
      <c r="I333" s="162"/>
      <c r="J333" s="163"/>
      <c r="K333" s="163"/>
      <c r="L333" s="163"/>
      <c r="M333" s="160"/>
      <c r="N333" s="162"/>
      <c r="O333" s="164"/>
      <c r="P333" s="140"/>
      <c r="Q333" s="327"/>
      <c r="R333" s="140"/>
    </row>
    <row r="334" ht="29.25" hidden="1" customHeight="1">
      <c r="A334" s="189"/>
      <c r="B334" s="323"/>
      <c r="C334" s="324"/>
      <c r="D334" s="325"/>
      <c r="E334" s="314"/>
      <c r="F334" s="166"/>
      <c r="G334" s="161"/>
      <c r="H334" s="161"/>
      <c r="I334" s="162"/>
      <c r="J334" s="163"/>
      <c r="K334" s="163"/>
      <c r="L334" s="163"/>
      <c r="M334" s="160"/>
      <c r="N334" s="162"/>
      <c r="O334" s="164"/>
      <c r="P334" s="140"/>
      <c r="Q334" s="321"/>
      <c r="R334" s="140"/>
    </row>
    <row r="335" ht="29.25" hidden="1" customHeight="1">
      <c r="A335" s="189"/>
      <c r="B335" s="323"/>
      <c r="C335" s="324"/>
      <c r="D335" s="325"/>
      <c r="E335" s="326"/>
      <c r="F335" s="166"/>
      <c r="G335" s="161"/>
      <c r="H335" s="161"/>
      <c r="I335" s="162"/>
      <c r="J335" s="163"/>
      <c r="K335" s="163"/>
      <c r="L335" s="163"/>
      <c r="M335" s="160"/>
      <c r="N335" s="162"/>
      <c r="O335" s="164"/>
      <c r="P335" s="140"/>
      <c r="Q335" s="327"/>
      <c r="R335" s="140"/>
    </row>
    <row r="336" ht="29.25" hidden="1" customHeight="1">
      <c r="A336" s="189"/>
      <c r="B336" s="323"/>
      <c r="C336" s="324"/>
      <c r="D336" s="325"/>
      <c r="E336" s="314"/>
      <c r="F336" s="166"/>
      <c r="G336" s="161"/>
      <c r="H336" s="161"/>
      <c r="I336" s="162"/>
      <c r="J336" s="163"/>
      <c r="K336" s="163"/>
      <c r="L336" s="163"/>
      <c r="M336" s="160"/>
      <c r="N336" s="162"/>
      <c r="O336" s="164"/>
      <c r="P336" s="140"/>
      <c r="Q336" s="321"/>
      <c r="R336" s="140"/>
    </row>
    <row r="337" ht="29.25" hidden="1" customHeight="1">
      <c r="A337" s="189"/>
      <c r="B337" s="323"/>
      <c r="C337" s="324"/>
      <c r="D337" s="325"/>
      <c r="E337" s="326"/>
      <c r="F337" s="166"/>
      <c r="G337" s="161"/>
      <c r="H337" s="161"/>
      <c r="I337" s="162"/>
      <c r="J337" s="163"/>
      <c r="K337" s="163"/>
      <c r="L337" s="163"/>
      <c r="M337" s="160"/>
      <c r="N337" s="162"/>
      <c r="O337" s="164"/>
      <c r="P337" s="140"/>
      <c r="Q337" s="327"/>
      <c r="R337" s="140"/>
    </row>
    <row r="338" ht="29.25" hidden="1" customHeight="1">
      <c r="A338" s="189"/>
      <c r="B338" s="323"/>
      <c r="C338" s="324"/>
      <c r="D338" s="325"/>
      <c r="E338" s="314"/>
      <c r="F338" s="166"/>
      <c r="G338" s="161"/>
      <c r="H338" s="161"/>
      <c r="I338" s="162"/>
      <c r="J338" s="163"/>
      <c r="K338" s="163"/>
      <c r="L338" s="163"/>
      <c r="M338" s="160"/>
      <c r="N338" s="162"/>
      <c r="O338" s="164"/>
      <c r="P338" s="140"/>
      <c r="Q338" s="321"/>
      <c r="R338" s="140"/>
    </row>
    <row r="339" ht="29.25" hidden="1" customHeight="1">
      <c r="A339" s="189"/>
      <c r="B339" s="323"/>
      <c r="C339" s="324"/>
      <c r="D339" s="325"/>
      <c r="E339" s="326"/>
      <c r="F339" s="166"/>
      <c r="G339" s="161"/>
      <c r="H339" s="161"/>
      <c r="I339" s="162"/>
      <c r="J339" s="163"/>
      <c r="K339" s="163"/>
      <c r="L339" s="163"/>
      <c r="M339" s="160"/>
      <c r="N339" s="162"/>
      <c r="O339" s="164"/>
      <c r="P339" s="140"/>
      <c r="Q339" s="327"/>
      <c r="R339" s="140"/>
    </row>
    <row r="340" ht="29.25" hidden="1" customHeight="1">
      <c r="A340" s="189"/>
      <c r="B340" s="323"/>
      <c r="C340" s="324"/>
      <c r="D340" s="325"/>
      <c r="E340" s="314"/>
      <c r="F340" s="166"/>
      <c r="G340" s="161"/>
      <c r="H340" s="161"/>
      <c r="I340" s="162"/>
      <c r="J340" s="163"/>
      <c r="K340" s="163"/>
      <c r="L340" s="163"/>
      <c r="M340" s="160"/>
      <c r="N340" s="162"/>
      <c r="O340" s="164"/>
      <c r="P340" s="140"/>
      <c r="Q340" s="321"/>
      <c r="R340" s="140"/>
    </row>
    <row r="341" ht="29.25" hidden="1" customHeight="1">
      <c r="A341" s="189"/>
      <c r="B341" s="323"/>
      <c r="C341" s="324"/>
      <c r="D341" s="325"/>
      <c r="E341" s="326"/>
      <c r="F341" s="166"/>
      <c r="G341" s="161"/>
      <c r="H341" s="161"/>
      <c r="I341" s="162"/>
      <c r="J341" s="163"/>
      <c r="K341" s="163"/>
      <c r="L341" s="163"/>
      <c r="M341" s="160"/>
      <c r="N341" s="162"/>
      <c r="O341" s="164"/>
      <c r="P341" s="140"/>
      <c r="Q341" s="327"/>
      <c r="R341" s="140"/>
    </row>
    <row r="342" ht="29.25" hidden="1" customHeight="1">
      <c r="A342" s="189"/>
      <c r="B342" s="323"/>
      <c r="C342" s="324"/>
      <c r="D342" s="325"/>
      <c r="E342" s="314"/>
      <c r="F342" s="166"/>
      <c r="G342" s="161"/>
      <c r="H342" s="161"/>
      <c r="I342" s="162"/>
      <c r="J342" s="163"/>
      <c r="K342" s="163"/>
      <c r="L342" s="163"/>
      <c r="M342" s="160"/>
      <c r="N342" s="162"/>
      <c r="O342" s="164"/>
      <c r="P342" s="140"/>
      <c r="Q342" s="321"/>
      <c r="R342" s="140"/>
    </row>
    <row r="343" ht="29.25" hidden="1" customHeight="1">
      <c r="A343" s="189"/>
      <c r="B343" s="323"/>
      <c r="C343" s="324"/>
      <c r="D343" s="325"/>
      <c r="E343" s="326"/>
      <c r="F343" s="166"/>
      <c r="G343" s="161"/>
      <c r="H343" s="161"/>
      <c r="I343" s="162"/>
      <c r="J343" s="163"/>
      <c r="K343" s="163"/>
      <c r="L343" s="163"/>
      <c r="M343" s="160"/>
      <c r="N343" s="162"/>
      <c r="O343" s="164"/>
      <c r="P343" s="140"/>
      <c r="Q343" s="327"/>
      <c r="R343" s="140"/>
    </row>
    <row r="344" ht="29.25" hidden="1" customHeight="1">
      <c r="A344" s="189"/>
      <c r="B344" s="323"/>
      <c r="C344" s="324"/>
      <c r="D344" s="325"/>
      <c r="E344" s="314"/>
      <c r="F344" s="166"/>
      <c r="G344" s="161"/>
      <c r="H344" s="161"/>
      <c r="I344" s="162"/>
      <c r="J344" s="163"/>
      <c r="K344" s="163"/>
      <c r="L344" s="163"/>
      <c r="M344" s="160"/>
      <c r="N344" s="162"/>
      <c r="O344" s="164"/>
      <c r="P344" s="140"/>
      <c r="Q344" s="321"/>
      <c r="R344" s="140"/>
    </row>
    <row r="345" ht="29.25" hidden="1" customHeight="1">
      <c r="A345" s="189"/>
      <c r="B345" s="323"/>
      <c r="C345" s="324"/>
      <c r="D345" s="325"/>
      <c r="E345" s="326"/>
      <c r="F345" s="166"/>
      <c r="G345" s="161"/>
      <c r="H345" s="161"/>
      <c r="I345" s="162"/>
      <c r="J345" s="163"/>
      <c r="K345" s="163"/>
      <c r="L345" s="163"/>
      <c r="M345" s="160"/>
      <c r="N345" s="162"/>
      <c r="O345" s="164"/>
      <c r="P345" s="140"/>
      <c r="Q345" s="327"/>
      <c r="R345" s="140"/>
    </row>
    <row r="346" ht="29.25" hidden="1" customHeight="1">
      <c r="A346" s="189"/>
      <c r="B346" s="323"/>
      <c r="C346" s="324"/>
      <c r="D346" s="325"/>
      <c r="E346" s="314"/>
      <c r="F346" s="166"/>
      <c r="G346" s="161"/>
      <c r="H346" s="161"/>
      <c r="I346" s="162"/>
      <c r="J346" s="163"/>
      <c r="K346" s="163"/>
      <c r="L346" s="163"/>
      <c r="M346" s="160"/>
      <c r="N346" s="162"/>
      <c r="O346" s="164"/>
      <c r="P346" s="140"/>
      <c r="Q346" s="321"/>
      <c r="R346" s="140"/>
    </row>
    <row r="347" ht="29.25" hidden="1" customHeight="1">
      <c r="A347" s="189"/>
      <c r="B347" s="323"/>
      <c r="C347" s="324"/>
      <c r="D347" s="325"/>
      <c r="E347" s="326"/>
      <c r="F347" s="166"/>
      <c r="G347" s="161"/>
      <c r="H347" s="161"/>
      <c r="I347" s="162"/>
      <c r="J347" s="163"/>
      <c r="K347" s="163"/>
      <c r="L347" s="163"/>
      <c r="M347" s="160"/>
      <c r="N347" s="162"/>
      <c r="O347" s="164"/>
      <c r="P347" s="140"/>
      <c r="Q347" s="327"/>
      <c r="R347" s="140"/>
    </row>
    <row r="348" ht="29.25" hidden="1" customHeight="1">
      <c r="A348" s="189"/>
      <c r="B348" s="323"/>
      <c r="C348" s="324"/>
      <c r="D348" s="325"/>
      <c r="E348" s="314"/>
      <c r="F348" s="166"/>
      <c r="G348" s="161"/>
      <c r="H348" s="161"/>
      <c r="I348" s="162"/>
      <c r="J348" s="163"/>
      <c r="K348" s="163"/>
      <c r="L348" s="163"/>
      <c r="M348" s="160"/>
      <c r="N348" s="162"/>
      <c r="O348" s="164"/>
      <c r="P348" s="140"/>
      <c r="Q348" s="321"/>
      <c r="R348" s="140"/>
    </row>
    <row r="349" ht="29.25" hidden="1" customHeight="1">
      <c r="A349" s="189"/>
      <c r="B349" s="323"/>
      <c r="C349" s="324"/>
      <c r="D349" s="325"/>
      <c r="E349" s="326"/>
      <c r="F349" s="166"/>
      <c r="G349" s="161"/>
      <c r="H349" s="161"/>
      <c r="I349" s="162"/>
      <c r="J349" s="163"/>
      <c r="K349" s="163"/>
      <c r="L349" s="163"/>
      <c r="M349" s="160"/>
      <c r="N349" s="162"/>
      <c r="O349" s="164"/>
      <c r="P349" s="140"/>
      <c r="Q349" s="327"/>
      <c r="R349" s="140"/>
    </row>
    <row r="350" ht="29.25" hidden="1" customHeight="1">
      <c r="A350" s="189"/>
      <c r="B350" s="323"/>
      <c r="C350" s="324"/>
      <c r="D350" s="325"/>
      <c r="E350" s="314"/>
      <c r="F350" s="166"/>
      <c r="G350" s="161"/>
      <c r="H350" s="161"/>
      <c r="I350" s="162"/>
      <c r="J350" s="163"/>
      <c r="K350" s="163"/>
      <c r="L350" s="163"/>
      <c r="M350" s="160"/>
      <c r="N350" s="162"/>
      <c r="O350" s="164"/>
      <c r="P350" s="140"/>
      <c r="Q350" s="321"/>
      <c r="R350" s="140"/>
    </row>
    <row r="351" ht="29.25" hidden="1" customHeight="1">
      <c r="A351" s="189"/>
      <c r="B351" s="323"/>
      <c r="C351" s="324"/>
      <c r="D351" s="325"/>
      <c r="E351" s="326"/>
      <c r="F351" s="166"/>
      <c r="G351" s="161"/>
      <c r="H351" s="161"/>
      <c r="I351" s="162"/>
      <c r="J351" s="163"/>
      <c r="K351" s="163"/>
      <c r="L351" s="163"/>
      <c r="M351" s="160"/>
      <c r="N351" s="162"/>
      <c r="O351" s="164"/>
      <c r="P351" s="140"/>
      <c r="Q351" s="327"/>
      <c r="R351" s="140"/>
    </row>
    <row r="352" ht="29.25" hidden="1" customHeight="1">
      <c r="A352" s="189"/>
      <c r="B352" s="323"/>
      <c r="C352" s="324"/>
      <c r="D352" s="325"/>
      <c r="E352" s="314"/>
      <c r="F352" s="166"/>
      <c r="G352" s="161"/>
      <c r="H352" s="161"/>
      <c r="I352" s="162"/>
      <c r="J352" s="163"/>
      <c r="K352" s="163"/>
      <c r="L352" s="163"/>
      <c r="M352" s="160"/>
      <c r="N352" s="162"/>
      <c r="O352" s="164"/>
      <c r="P352" s="140"/>
      <c r="Q352" s="321"/>
      <c r="R352" s="140"/>
    </row>
    <row r="353" ht="29.25" hidden="1" customHeight="1">
      <c r="A353" s="189"/>
      <c r="B353" s="323"/>
      <c r="C353" s="324"/>
      <c r="D353" s="325"/>
      <c r="E353" s="326"/>
      <c r="F353" s="166"/>
      <c r="G353" s="161"/>
      <c r="H353" s="161"/>
      <c r="I353" s="162"/>
      <c r="J353" s="163"/>
      <c r="K353" s="163"/>
      <c r="L353" s="163"/>
      <c r="M353" s="160"/>
      <c r="N353" s="162"/>
      <c r="O353" s="164"/>
      <c r="P353" s="140"/>
      <c r="Q353" s="327"/>
      <c r="R353" s="140"/>
    </row>
    <row r="354" ht="29.25" hidden="1" customHeight="1">
      <c r="A354" s="189"/>
      <c r="B354" s="323"/>
      <c r="C354" s="324"/>
      <c r="D354" s="325"/>
      <c r="E354" s="314"/>
      <c r="F354" s="166"/>
      <c r="G354" s="161"/>
      <c r="H354" s="161"/>
      <c r="I354" s="162"/>
      <c r="J354" s="163"/>
      <c r="K354" s="163"/>
      <c r="L354" s="163"/>
      <c r="M354" s="160"/>
      <c r="N354" s="162"/>
      <c r="O354" s="164"/>
      <c r="P354" s="140"/>
      <c r="Q354" s="321"/>
      <c r="R354" s="140"/>
    </row>
    <row r="355" ht="29.25" hidden="1" customHeight="1">
      <c r="A355" s="189"/>
      <c r="B355" s="323"/>
      <c r="C355" s="324"/>
      <c r="D355" s="325"/>
      <c r="E355" s="326"/>
      <c r="F355" s="166"/>
      <c r="G355" s="161"/>
      <c r="H355" s="161"/>
      <c r="I355" s="162"/>
      <c r="J355" s="163"/>
      <c r="K355" s="163"/>
      <c r="L355" s="163"/>
      <c r="M355" s="160"/>
      <c r="N355" s="162"/>
      <c r="O355" s="164"/>
      <c r="P355" s="140"/>
      <c r="Q355" s="327"/>
      <c r="R355" s="140"/>
    </row>
    <row r="356" ht="29.25" hidden="1" customHeight="1">
      <c r="A356" s="189"/>
      <c r="B356" s="323"/>
      <c r="C356" s="324"/>
      <c r="D356" s="325"/>
      <c r="E356" s="314"/>
      <c r="F356" s="166"/>
      <c r="G356" s="161"/>
      <c r="H356" s="161"/>
      <c r="I356" s="162"/>
      <c r="J356" s="163"/>
      <c r="K356" s="163"/>
      <c r="L356" s="163"/>
      <c r="M356" s="160"/>
      <c r="N356" s="162"/>
      <c r="O356" s="164"/>
      <c r="P356" s="140"/>
      <c r="Q356" s="321"/>
      <c r="R356" s="140"/>
    </row>
    <row r="357" ht="29.25" hidden="1" customHeight="1">
      <c r="A357" s="189"/>
      <c r="B357" s="323"/>
      <c r="C357" s="324"/>
      <c r="D357" s="325"/>
      <c r="E357" s="326"/>
      <c r="F357" s="166"/>
      <c r="G357" s="161"/>
      <c r="H357" s="161"/>
      <c r="I357" s="162"/>
      <c r="J357" s="163"/>
      <c r="K357" s="163"/>
      <c r="L357" s="163"/>
      <c r="M357" s="160"/>
      <c r="N357" s="162"/>
      <c r="O357" s="164"/>
      <c r="P357" s="140"/>
      <c r="Q357" s="327"/>
      <c r="R357" s="140"/>
    </row>
    <row r="358" ht="29.25" hidden="1" customHeight="1">
      <c r="A358" s="189"/>
      <c r="B358" s="323"/>
      <c r="C358" s="324"/>
      <c r="D358" s="325"/>
      <c r="E358" s="314"/>
      <c r="F358" s="166"/>
      <c r="G358" s="161"/>
      <c r="H358" s="161"/>
      <c r="I358" s="162"/>
      <c r="J358" s="163"/>
      <c r="K358" s="163"/>
      <c r="L358" s="163"/>
      <c r="M358" s="160"/>
      <c r="N358" s="162"/>
      <c r="O358" s="164"/>
      <c r="P358" s="140"/>
      <c r="Q358" s="321"/>
      <c r="R358" s="140"/>
    </row>
    <row r="359" ht="29.25" hidden="1" customHeight="1">
      <c r="A359" s="189"/>
      <c r="B359" s="323"/>
      <c r="C359" s="324"/>
      <c r="D359" s="325"/>
      <c r="E359" s="326"/>
      <c r="F359" s="166"/>
      <c r="G359" s="161"/>
      <c r="H359" s="161"/>
      <c r="I359" s="162"/>
      <c r="J359" s="163"/>
      <c r="K359" s="163"/>
      <c r="L359" s="163"/>
      <c r="M359" s="160"/>
      <c r="N359" s="162"/>
      <c r="O359" s="164"/>
      <c r="P359" s="140"/>
      <c r="Q359" s="327"/>
      <c r="R359" s="140"/>
    </row>
    <row r="360" ht="29.25" hidden="1" customHeight="1">
      <c r="A360" s="189"/>
      <c r="B360" s="323"/>
      <c r="C360" s="324"/>
      <c r="D360" s="325"/>
      <c r="E360" s="314"/>
      <c r="F360" s="166"/>
      <c r="G360" s="161"/>
      <c r="H360" s="161"/>
      <c r="I360" s="162"/>
      <c r="J360" s="163"/>
      <c r="K360" s="163"/>
      <c r="L360" s="163"/>
      <c r="M360" s="160"/>
      <c r="N360" s="162"/>
      <c r="O360" s="164"/>
      <c r="P360" s="140"/>
      <c r="Q360" s="321"/>
      <c r="R360" s="140"/>
    </row>
    <row r="361" ht="29.25" hidden="1" customHeight="1">
      <c r="A361" s="189"/>
      <c r="B361" s="323"/>
      <c r="C361" s="324"/>
      <c r="D361" s="325"/>
      <c r="E361" s="326"/>
      <c r="F361" s="166"/>
      <c r="G361" s="161"/>
      <c r="H361" s="161"/>
      <c r="I361" s="162"/>
      <c r="J361" s="163"/>
      <c r="K361" s="163"/>
      <c r="L361" s="163"/>
      <c r="M361" s="160"/>
      <c r="N361" s="162"/>
      <c r="O361" s="164"/>
      <c r="P361" s="140"/>
      <c r="Q361" s="327"/>
      <c r="R361" s="140"/>
    </row>
    <row r="362" ht="29.25" hidden="1" customHeight="1">
      <c r="A362" s="189"/>
      <c r="B362" s="323"/>
      <c r="C362" s="324"/>
      <c r="D362" s="325"/>
      <c r="E362" s="314"/>
      <c r="F362" s="166"/>
      <c r="G362" s="161"/>
      <c r="H362" s="161"/>
      <c r="I362" s="162"/>
      <c r="J362" s="163"/>
      <c r="K362" s="163"/>
      <c r="L362" s="163"/>
      <c r="M362" s="160"/>
      <c r="N362" s="162"/>
      <c r="O362" s="164"/>
      <c r="P362" s="140"/>
      <c r="Q362" s="321"/>
      <c r="R362" s="140"/>
    </row>
    <row r="363" ht="29.25" hidden="1" customHeight="1">
      <c r="A363" s="189"/>
      <c r="B363" s="323"/>
      <c r="C363" s="324"/>
      <c r="D363" s="325"/>
      <c r="E363" s="326"/>
      <c r="F363" s="166"/>
      <c r="G363" s="161"/>
      <c r="H363" s="161"/>
      <c r="I363" s="162"/>
      <c r="J363" s="163"/>
      <c r="K363" s="163"/>
      <c r="L363" s="163"/>
      <c r="M363" s="160"/>
      <c r="N363" s="162"/>
      <c r="O363" s="164"/>
      <c r="P363" s="140"/>
      <c r="Q363" s="327"/>
      <c r="R363" s="140"/>
    </row>
    <row r="364" ht="29.25" hidden="1" customHeight="1">
      <c r="A364" s="189"/>
      <c r="B364" s="323"/>
      <c r="C364" s="324"/>
      <c r="D364" s="325"/>
      <c r="E364" s="314"/>
      <c r="F364" s="166"/>
      <c r="G364" s="161"/>
      <c r="H364" s="161"/>
      <c r="I364" s="162"/>
      <c r="J364" s="163"/>
      <c r="K364" s="163"/>
      <c r="L364" s="163"/>
      <c r="M364" s="160"/>
      <c r="N364" s="162"/>
      <c r="O364" s="164"/>
      <c r="P364" s="140"/>
      <c r="Q364" s="321"/>
      <c r="R364" s="140"/>
    </row>
    <row r="365" ht="29.25" hidden="1" customHeight="1">
      <c r="A365" s="189"/>
      <c r="B365" s="323"/>
      <c r="C365" s="324"/>
      <c r="D365" s="325"/>
      <c r="E365" s="326"/>
      <c r="F365" s="166"/>
      <c r="G365" s="161"/>
      <c r="H365" s="161"/>
      <c r="I365" s="162"/>
      <c r="J365" s="163"/>
      <c r="K365" s="163"/>
      <c r="L365" s="163"/>
      <c r="M365" s="160"/>
      <c r="N365" s="162"/>
      <c r="O365" s="164"/>
      <c r="P365" s="140"/>
      <c r="Q365" s="327"/>
      <c r="R365" s="140"/>
    </row>
    <row r="366" ht="29.25" hidden="1" customHeight="1">
      <c r="A366" s="189"/>
      <c r="B366" s="323"/>
      <c r="C366" s="324"/>
      <c r="D366" s="325"/>
      <c r="E366" s="314"/>
      <c r="F366" s="166"/>
      <c r="G366" s="161"/>
      <c r="H366" s="161"/>
      <c r="I366" s="162"/>
      <c r="J366" s="163"/>
      <c r="K366" s="163"/>
      <c r="L366" s="163"/>
      <c r="M366" s="160"/>
      <c r="N366" s="162"/>
      <c r="O366" s="164"/>
      <c r="P366" s="140"/>
      <c r="Q366" s="321"/>
      <c r="R366" s="140"/>
    </row>
    <row r="367" ht="29.25" hidden="1" customHeight="1">
      <c r="A367" s="189"/>
      <c r="B367" s="323"/>
      <c r="C367" s="324"/>
      <c r="D367" s="325"/>
      <c r="E367" s="326"/>
      <c r="F367" s="166"/>
      <c r="G367" s="161"/>
      <c r="H367" s="161"/>
      <c r="I367" s="162"/>
      <c r="J367" s="163"/>
      <c r="K367" s="163"/>
      <c r="L367" s="163"/>
      <c r="M367" s="160"/>
      <c r="N367" s="162"/>
      <c r="O367" s="164"/>
      <c r="P367" s="140"/>
      <c r="Q367" s="327"/>
      <c r="R367" s="140"/>
    </row>
    <row r="368" ht="29.25" hidden="1" customHeight="1">
      <c r="A368" s="189"/>
      <c r="B368" s="323"/>
      <c r="C368" s="324"/>
      <c r="D368" s="325"/>
      <c r="E368" s="314"/>
      <c r="F368" s="166"/>
      <c r="G368" s="161"/>
      <c r="H368" s="161"/>
      <c r="I368" s="162"/>
      <c r="J368" s="163"/>
      <c r="K368" s="163"/>
      <c r="L368" s="163"/>
      <c r="M368" s="160"/>
      <c r="N368" s="162"/>
      <c r="O368" s="164"/>
      <c r="P368" s="140"/>
      <c r="Q368" s="321"/>
      <c r="R368" s="140"/>
    </row>
    <row r="369" ht="29.25" hidden="1" customHeight="1">
      <c r="A369" s="189"/>
      <c r="B369" s="323"/>
      <c r="C369" s="324"/>
      <c r="D369" s="325"/>
      <c r="E369" s="326"/>
      <c r="F369" s="166"/>
      <c r="G369" s="161"/>
      <c r="H369" s="161"/>
      <c r="I369" s="162"/>
      <c r="J369" s="163"/>
      <c r="K369" s="163"/>
      <c r="L369" s="163"/>
      <c r="M369" s="160"/>
      <c r="N369" s="162"/>
      <c r="O369" s="164"/>
      <c r="P369" s="140"/>
      <c r="Q369" s="327"/>
      <c r="R369" s="140"/>
    </row>
    <row r="370" ht="29.25" hidden="1" customHeight="1">
      <c r="A370" s="189"/>
      <c r="B370" s="323"/>
      <c r="C370" s="324"/>
      <c r="D370" s="325"/>
      <c r="E370" s="314"/>
      <c r="F370" s="166"/>
      <c r="G370" s="161"/>
      <c r="H370" s="161"/>
      <c r="I370" s="162"/>
      <c r="J370" s="163"/>
      <c r="K370" s="163"/>
      <c r="L370" s="163"/>
      <c r="M370" s="160"/>
      <c r="N370" s="162"/>
      <c r="O370" s="164"/>
      <c r="P370" s="140"/>
      <c r="Q370" s="321"/>
      <c r="R370" s="140"/>
    </row>
    <row r="371" ht="29.25" hidden="1" customHeight="1">
      <c r="A371" s="189"/>
      <c r="B371" s="323"/>
      <c r="C371" s="324"/>
      <c r="D371" s="325"/>
      <c r="E371" s="326"/>
      <c r="F371" s="166"/>
      <c r="G371" s="161"/>
      <c r="H371" s="161"/>
      <c r="I371" s="162"/>
      <c r="J371" s="163"/>
      <c r="K371" s="163"/>
      <c r="L371" s="163"/>
      <c r="M371" s="160"/>
      <c r="N371" s="162"/>
      <c r="O371" s="164"/>
      <c r="P371" s="140"/>
      <c r="Q371" s="327"/>
      <c r="R371" s="140"/>
    </row>
    <row r="372" ht="29.25" hidden="1" customHeight="1">
      <c r="A372" s="189"/>
      <c r="B372" s="323"/>
      <c r="C372" s="324"/>
      <c r="D372" s="325"/>
      <c r="E372" s="314"/>
      <c r="F372" s="166"/>
      <c r="G372" s="161"/>
      <c r="H372" s="161"/>
      <c r="I372" s="162"/>
      <c r="J372" s="163"/>
      <c r="K372" s="163"/>
      <c r="L372" s="163"/>
      <c r="M372" s="160"/>
      <c r="N372" s="162"/>
      <c r="O372" s="164"/>
      <c r="P372" s="140"/>
      <c r="Q372" s="321"/>
      <c r="R372" s="140"/>
    </row>
    <row r="373" ht="29.25" hidden="1" customHeight="1">
      <c r="A373" s="189"/>
      <c r="B373" s="323"/>
      <c r="C373" s="324"/>
      <c r="D373" s="325"/>
      <c r="E373" s="326"/>
      <c r="F373" s="166"/>
      <c r="G373" s="161"/>
      <c r="H373" s="161"/>
      <c r="I373" s="162"/>
      <c r="J373" s="163"/>
      <c r="K373" s="163"/>
      <c r="L373" s="163"/>
      <c r="M373" s="160"/>
      <c r="N373" s="162"/>
      <c r="O373" s="164"/>
      <c r="P373" s="140"/>
      <c r="Q373" s="327"/>
      <c r="R373" s="140"/>
    </row>
    <row r="374" ht="29.25" hidden="1" customHeight="1">
      <c r="A374" s="189"/>
      <c r="B374" s="323"/>
      <c r="C374" s="324"/>
      <c r="D374" s="325"/>
      <c r="E374" s="314"/>
      <c r="F374" s="166"/>
      <c r="G374" s="161"/>
      <c r="H374" s="161"/>
      <c r="I374" s="162"/>
      <c r="J374" s="163"/>
      <c r="K374" s="163"/>
      <c r="L374" s="163"/>
      <c r="M374" s="160"/>
      <c r="N374" s="162"/>
      <c r="O374" s="164"/>
      <c r="P374" s="140"/>
      <c r="Q374" s="321"/>
      <c r="R374" s="140"/>
    </row>
    <row r="375" ht="29.25" hidden="1" customHeight="1">
      <c r="A375" s="189"/>
      <c r="B375" s="323"/>
      <c r="C375" s="324"/>
      <c r="D375" s="325"/>
      <c r="E375" s="326"/>
      <c r="F375" s="166"/>
      <c r="G375" s="161"/>
      <c r="H375" s="161"/>
      <c r="I375" s="162"/>
      <c r="J375" s="163"/>
      <c r="K375" s="163"/>
      <c r="L375" s="163"/>
      <c r="M375" s="160"/>
      <c r="N375" s="162"/>
      <c r="O375" s="164"/>
      <c r="P375" s="140"/>
      <c r="Q375" s="327"/>
      <c r="R375" s="140"/>
    </row>
    <row r="376" ht="29.25" hidden="1" customHeight="1">
      <c r="A376" s="189"/>
      <c r="B376" s="323"/>
      <c r="C376" s="324"/>
      <c r="D376" s="325"/>
      <c r="E376" s="314"/>
      <c r="F376" s="166"/>
      <c r="G376" s="161"/>
      <c r="H376" s="161"/>
      <c r="I376" s="162"/>
      <c r="J376" s="163"/>
      <c r="K376" s="163"/>
      <c r="L376" s="163"/>
      <c r="M376" s="160"/>
      <c r="N376" s="162"/>
      <c r="O376" s="164"/>
      <c r="P376" s="140"/>
      <c r="Q376" s="321"/>
      <c r="R376" s="140"/>
    </row>
    <row r="377" ht="29.25" hidden="1" customHeight="1">
      <c r="A377" s="189"/>
      <c r="B377" s="323"/>
      <c r="C377" s="324"/>
      <c r="D377" s="325"/>
      <c r="E377" s="326"/>
      <c r="F377" s="166"/>
      <c r="G377" s="161"/>
      <c r="H377" s="161"/>
      <c r="I377" s="162"/>
      <c r="J377" s="163"/>
      <c r="K377" s="163"/>
      <c r="L377" s="163"/>
      <c r="M377" s="160"/>
      <c r="N377" s="162"/>
      <c r="O377" s="164"/>
      <c r="P377" s="140"/>
      <c r="Q377" s="327"/>
      <c r="R377" s="140"/>
    </row>
    <row r="378" ht="29.25" hidden="1" customHeight="1">
      <c r="A378" s="189"/>
      <c r="B378" s="323"/>
      <c r="C378" s="324"/>
      <c r="D378" s="325"/>
      <c r="E378" s="314"/>
      <c r="F378" s="166"/>
      <c r="G378" s="161"/>
      <c r="H378" s="161"/>
      <c r="I378" s="162"/>
      <c r="J378" s="163"/>
      <c r="K378" s="163"/>
      <c r="L378" s="163"/>
      <c r="M378" s="160"/>
      <c r="N378" s="162"/>
      <c r="O378" s="164"/>
      <c r="P378" s="140"/>
      <c r="Q378" s="321"/>
      <c r="R378" s="140"/>
    </row>
    <row r="379" ht="29.25" hidden="1" customHeight="1">
      <c r="A379" s="189"/>
      <c r="B379" s="323"/>
      <c r="C379" s="324"/>
      <c r="D379" s="325"/>
      <c r="E379" s="326"/>
      <c r="F379" s="166"/>
      <c r="G379" s="161"/>
      <c r="H379" s="161"/>
      <c r="I379" s="162"/>
      <c r="J379" s="163"/>
      <c r="K379" s="163"/>
      <c r="L379" s="163"/>
      <c r="M379" s="160"/>
      <c r="N379" s="162"/>
      <c r="O379" s="164"/>
      <c r="P379" s="140"/>
      <c r="Q379" s="327"/>
      <c r="R379" s="140"/>
    </row>
    <row r="380" ht="29.25" hidden="1" customHeight="1">
      <c r="A380" s="189"/>
      <c r="B380" s="323"/>
      <c r="C380" s="324"/>
      <c r="D380" s="325"/>
      <c r="E380" s="314"/>
      <c r="F380" s="166"/>
      <c r="G380" s="161"/>
      <c r="H380" s="161"/>
      <c r="I380" s="162"/>
      <c r="J380" s="163"/>
      <c r="K380" s="163"/>
      <c r="L380" s="163"/>
      <c r="M380" s="160"/>
      <c r="N380" s="162"/>
      <c r="O380" s="164"/>
      <c r="P380" s="140"/>
      <c r="Q380" s="321"/>
      <c r="R380" s="140"/>
    </row>
    <row r="381" ht="29.25" hidden="1" customHeight="1">
      <c r="A381" s="189"/>
      <c r="B381" s="323"/>
      <c r="C381" s="324"/>
      <c r="D381" s="325"/>
      <c r="E381" s="326"/>
      <c r="F381" s="166"/>
      <c r="G381" s="161"/>
      <c r="H381" s="161"/>
      <c r="I381" s="162"/>
      <c r="J381" s="163"/>
      <c r="K381" s="163"/>
      <c r="L381" s="163"/>
      <c r="M381" s="160"/>
      <c r="N381" s="162"/>
      <c r="O381" s="164"/>
      <c r="P381" s="140"/>
      <c r="Q381" s="327"/>
      <c r="R381" s="140"/>
    </row>
    <row r="382" ht="29.25" hidden="1" customHeight="1">
      <c r="A382" s="189"/>
      <c r="B382" s="323"/>
      <c r="C382" s="324"/>
      <c r="D382" s="325"/>
      <c r="E382" s="314"/>
      <c r="F382" s="166"/>
      <c r="G382" s="161"/>
      <c r="H382" s="161"/>
      <c r="I382" s="162"/>
      <c r="J382" s="163"/>
      <c r="K382" s="163"/>
      <c r="L382" s="163"/>
      <c r="M382" s="160"/>
      <c r="N382" s="162"/>
      <c r="O382" s="164"/>
      <c r="P382" s="140"/>
      <c r="Q382" s="321"/>
      <c r="R382" s="140"/>
    </row>
    <row r="383" ht="29.25" hidden="1" customHeight="1">
      <c r="A383" s="189"/>
      <c r="B383" s="323"/>
      <c r="C383" s="324"/>
      <c r="D383" s="325"/>
      <c r="E383" s="326"/>
      <c r="F383" s="166"/>
      <c r="G383" s="161"/>
      <c r="H383" s="161"/>
      <c r="I383" s="162"/>
      <c r="J383" s="163"/>
      <c r="K383" s="163"/>
      <c r="L383" s="163"/>
      <c r="M383" s="160"/>
      <c r="N383" s="162"/>
      <c r="O383" s="164"/>
      <c r="P383" s="140"/>
      <c r="Q383" s="327"/>
      <c r="R383" s="140"/>
    </row>
    <row r="384" ht="29.25" hidden="1" customHeight="1">
      <c r="A384" s="189"/>
      <c r="B384" s="323"/>
      <c r="C384" s="324"/>
      <c r="D384" s="325"/>
      <c r="E384" s="314"/>
      <c r="F384" s="166"/>
      <c r="G384" s="161"/>
      <c r="H384" s="161"/>
      <c r="I384" s="162"/>
      <c r="J384" s="163"/>
      <c r="K384" s="163"/>
      <c r="L384" s="163"/>
      <c r="M384" s="160"/>
      <c r="N384" s="162"/>
      <c r="O384" s="164"/>
      <c r="P384" s="140"/>
      <c r="Q384" s="321"/>
      <c r="R384" s="140"/>
    </row>
    <row r="385" ht="29.25" hidden="1" customHeight="1">
      <c r="A385" s="189"/>
      <c r="B385" s="323"/>
      <c r="C385" s="324"/>
      <c r="D385" s="325"/>
      <c r="E385" s="326"/>
      <c r="F385" s="166"/>
      <c r="G385" s="161"/>
      <c r="H385" s="161"/>
      <c r="I385" s="162"/>
      <c r="J385" s="163"/>
      <c r="K385" s="163"/>
      <c r="L385" s="163"/>
      <c r="M385" s="160"/>
      <c r="N385" s="162"/>
      <c r="O385" s="164"/>
      <c r="P385" s="140"/>
      <c r="Q385" s="327"/>
      <c r="R385" s="140"/>
    </row>
    <row r="386" ht="29.25" hidden="1" customHeight="1">
      <c r="A386" s="189"/>
      <c r="B386" s="323"/>
      <c r="C386" s="324"/>
      <c r="D386" s="325"/>
      <c r="E386" s="314"/>
      <c r="F386" s="166"/>
      <c r="G386" s="161"/>
      <c r="H386" s="161"/>
      <c r="I386" s="162"/>
      <c r="J386" s="163"/>
      <c r="K386" s="163"/>
      <c r="L386" s="163"/>
      <c r="M386" s="160"/>
      <c r="N386" s="162"/>
      <c r="O386" s="164"/>
      <c r="P386" s="140"/>
      <c r="Q386" s="321"/>
      <c r="R386" s="140"/>
    </row>
    <row r="387" ht="29.25" hidden="1" customHeight="1">
      <c r="A387" s="189"/>
      <c r="B387" s="323"/>
      <c r="C387" s="324"/>
      <c r="D387" s="325"/>
      <c r="E387" s="326"/>
      <c r="F387" s="166"/>
      <c r="G387" s="161"/>
      <c r="H387" s="161"/>
      <c r="I387" s="162"/>
      <c r="J387" s="163"/>
      <c r="K387" s="163"/>
      <c r="L387" s="163"/>
      <c r="M387" s="160"/>
      <c r="N387" s="162"/>
      <c r="O387" s="164"/>
      <c r="P387" s="140"/>
      <c r="Q387" s="327"/>
      <c r="R387" s="140"/>
    </row>
    <row r="388" ht="29.25" hidden="1" customHeight="1">
      <c r="A388" s="189"/>
      <c r="B388" s="323"/>
      <c r="C388" s="324"/>
      <c r="D388" s="325"/>
      <c r="E388" s="314"/>
      <c r="F388" s="166"/>
      <c r="G388" s="161"/>
      <c r="H388" s="161"/>
      <c r="I388" s="162"/>
      <c r="J388" s="163"/>
      <c r="K388" s="163"/>
      <c r="L388" s="163"/>
      <c r="M388" s="160"/>
      <c r="N388" s="162"/>
      <c r="O388" s="164"/>
      <c r="P388" s="140"/>
      <c r="Q388" s="321"/>
      <c r="R388" s="140"/>
    </row>
    <row r="389" ht="29.25" hidden="1" customHeight="1">
      <c r="A389" s="189"/>
      <c r="B389" s="323"/>
      <c r="C389" s="324"/>
      <c r="D389" s="325"/>
      <c r="E389" s="326"/>
      <c r="F389" s="166"/>
      <c r="G389" s="161"/>
      <c r="H389" s="161"/>
      <c r="I389" s="162"/>
      <c r="J389" s="163"/>
      <c r="K389" s="163"/>
      <c r="L389" s="163"/>
      <c r="M389" s="160"/>
      <c r="N389" s="162"/>
      <c r="O389" s="164"/>
      <c r="P389" s="140"/>
      <c r="Q389" s="327"/>
      <c r="R389" s="140"/>
    </row>
    <row r="390" ht="29.25" hidden="1" customHeight="1">
      <c r="A390" s="189"/>
      <c r="B390" s="323"/>
      <c r="C390" s="324"/>
      <c r="D390" s="325"/>
      <c r="E390" s="314"/>
      <c r="F390" s="166"/>
      <c r="G390" s="161"/>
      <c r="H390" s="161"/>
      <c r="I390" s="162"/>
      <c r="J390" s="163"/>
      <c r="K390" s="163"/>
      <c r="L390" s="163"/>
      <c r="M390" s="160"/>
      <c r="N390" s="162"/>
      <c r="O390" s="164"/>
      <c r="P390" s="140"/>
      <c r="Q390" s="321"/>
      <c r="R390" s="140"/>
    </row>
    <row r="391" ht="29.25" hidden="1" customHeight="1">
      <c r="A391" s="189"/>
      <c r="B391" s="323"/>
      <c r="C391" s="324"/>
      <c r="D391" s="325"/>
      <c r="E391" s="326"/>
      <c r="F391" s="166"/>
      <c r="G391" s="161"/>
      <c r="H391" s="161"/>
      <c r="I391" s="162"/>
      <c r="J391" s="163"/>
      <c r="K391" s="163"/>
      <c r="L391" s="163"/>
      <c r="M391" s="160"/>
      <c r="N391" s="162"/>
      <c r="O391" s="164"/>
      <c r="P391" s="140"/>
      <c r="Q391" s="327"/>
      <c r="R391" s="140"/>
    </row>
    <row r="392" ht="29.25" hidden="1" customHeight="1">
      <c r="A392" s="189"/>
      <c r="B392" s="323"/>
      <c r="C392" s="324"/>
      <c r="D392" s="325"/>
      <c r="E392" s="314"/>
      <c r="F392" s="166"/>
      <c r="G392" s="161"/>
      <c r="H392" s="161"/>
      <c r="I392" s="162"/>
      <c r="J392" s="163"/>
      <c r="K392" s="163"/>
      <c r="L392" s="163"/>
      <c r="M392" s="160"/>
      <c r="N392" s="162"/>
      <c r="O392" s="164"/>
      <c r="P392" s="140"/>
      <c r="Q392" s="321"/>
      <c r="R392" s="140"/>
    </row>
    <row r="393" ht="29.25" hidden="1" customHeight="1">
      <c r="A393" s="189"/>
      <c r="B393" s="323"/>
      <c r="C393" s="324"/>
      <c r="D393" s="325"/>
      <c r="E393" s="326"/>
      <c r="F393" s="166"/>
      <c r="G393" s="161"/>
      <c r="H393" s="161"/>
      <c r="I393" s="162"/>
      <c r="J393" s="163"/>
      <c r="K393" s="163"/>
      <c r="L393" s="163"/>
      <c r="M393" s="160"/>
      <c r="N393" s="162"/>
      <c r="O393" s="164"/>
      <c r="P393" s="140"/>
      <c r="Q393" s="327"/>
      <c r="R393" s="140"/>
    </row>
    <row r="394" ht="29.25" hidden="1" customHeight="1">
      <c r="A394" s="189"/>
      <c r="B394" s="323"/>
      <c r="C394" s="324"/>
      <c r="D394" s="325"/>
      <c r="E394" s="314"/>
      <c r="F394" s="166"/>
      <c r="G394" s="161"/>
      <c r="H394" s="161"/>
      <c r="I394" s="162"/>
      <c r="J394" s="163"/>
      <c r="K394" s="163"/>
      <c r="L394" s="163"/>
      <c r="M394" s="160"/>
      <c r="N394" s="162"/>
      <c r="O394" s="164"/>
      <c r="P394" s="140"/>
      <c r="Q394" s="321"/>
      <c r="R394" s="140"/>
    </row>
    <row r="395" ht="29.25" hidden="1" customHeight="1">
      <c r="A395" s="189"/>
      <c r="B395" s="323"/>
      <c r="C395" s="324"/>
      <c r="D395" s="325"/>
      <c r="E395" s="326"/>
      <c r="F395" s="166"/>
      <c r="G395" s="161"/>
      <c r="H395" s="161"/>
      <c r="I395" s="162"/>
      <c r="J395" s="163"/>
      <c r="K395" s="163"/>
      <c r="L395" s="163"/>
      <c r="M395" s="160"/>
      <c r="N395" s="162"/>
      <c r="O395" s="164"/>
      <c r="P395" s="140"/>
      <c r="Q395" s="327"/>
      <c r="R395" s="140"/>
    </row>
    <row r="396" ht="29.25" hidden="1" customHeight="1">
      <c r="A396" s="189"/>
      <c r="B396" s="323"/>
      <c r="C396" s="324"/>
      <c r="D396" s="325"/>
      <c r="E396" s="314"/>
      <c r="F396" s="166"/>
      <c r="G396" s="161"/>
      <c r="H396" s="161"/>
      <c r="I396" s="162"/>
      <c r="J396" s="163"/>
      <c r="K396" s="163"/>
      <c r="L396" s="163"/>
      <c r="M396" s="160"/>
      <c r="N396" s="162"/>
      <c r="O396" s="164"/>
      <c r="P396" s="140"/>
      <c r="Q396" s="321"/>
      <c r="R396" s="140"/>
    </row>
    <row r="397" ht="29.25" hidden="1" customHeight="1">
      <c r="A397" s="189"/>
      <c r="B397" s="323"/>
      <c r="C397" s="324"/>
      <c r="D397" s="325"/>
      <c r="E397" s="326"/>
      <c r="F397" s="166"/>
      <c r="G397" s="161"/>
      <c r="H397" s="161"/>
      <c r="I397" s="162"/>
      <c r="J397" s="163"/>
      <c r="K397" s="163"/>
      <c r="L397" s="163"/>
      <c r="M397" s="160"/>
      <c r="N397" s="162"/>
      <c r="O397" s="164"/>
      <c r="P397" s="140"/>
      <c r="Q397" s="327"/>
      <c r="R397" s="140"/>
    </row>
    <row r="398" ht="29.25" hidden="1" customHeight="1">
      <c r="A398" s="189"/>
      <c r="B398" s="323"/>
      <c r="C398" s="324"/>
      <c r="D398" s="325"/>
      <c r="E398" s="314"/>
      <c r="F398" s="166"/>
      <c r="G398" s="161"/>
      <c r="H398" s="161"/>
      <c r="I398" s="162"/>
      <c r="J398" s="163"/>
      <c r="K398" s="163"/>
      <c r="L398" s="163"/>
      <c r="M398" s="160"/>
      <c r="N398" s="162"/>
      <c r="O398" s="164"/>
      <c r="P398" s="140"/>
      <c r="Q398" s="321"/>
      <c r="R398" s="140"/>
    </row>
    <row r="399" ht="29.25" hidden="1" customHeight="1">
      <c r="A399" s="189"/>
      <c r="B399" s="323"/>
      <c r="C399" s="324"/>
      <c r="D399" s="325"/>
      <c r="E399" s="326"/>
      <c r="F399" s="166"/>
      <c r="G399" s="161"/>
      <c r="H399" s="161"/>
      <c r="I399" s="162"/>
      <c r="J399" s="163"/>
      <c r="K399" s="163"/>
      <c r="L399" s="163"/>
      <c r="M399" s="160"/>
      <c r="N399" s="162"/>
      <c r="O399" s="164"/>
      <c r="P399" s="140"/>
      <c r="Q399" s="327"/>
      <c r="R399" s="140"/>
    </row>
    <row r="400" ht="29.25" hidden="1" customHeight="1">
      <c r="A400" s="189"/>
      <c r="B400" s="323"/>
      <c r="C400" s="324"/>
      <c r="D400" s="325"/>
      <c r="E400" s="314"/>
      <c r="F400" s="166"/>
      <c r="G400" s="161"/>
      <c r="H400" s="161"/>
      <c r="I400" s="162"/>
      <c r="J400" s="163"/>
      <c r="K400" s="163"/>
      <c r="L400" s="163"/>
      <c r="M400" s="160"/>
      <c r="N400" s="162"/>
      <c r="O400" s="164"/>
      <c r="P400" s="140"/>
      <c r="Q400" s="321"/>
      <c r="R400" s="140"/>
    </row>
    <row r="401" ht="29.25" hidden="1" customHeight="1">
      <c r="A401" s="189"/>
      <c r="B401" s="323"/>
      <c r="C401" s="324"/>
      <c r="D401" s="325"/>
      <c r="E401" s="326"/>
      <c r="F401" s="166"/>
      <c r="G401" s="161"/>
      <c r="H401" s="161"/>
      <c r="I401" s="162"/>
      <c r="J401" s="163"/>
      <c r="K401" s="163"/>
      <c r="L401" s="163"/>
      <c r="M401" s="160"/>
      <c r="N401" s="162"/>
      <c r="O401" s="164"/>
      <c r="P401" s="140"/>
      <c r="Q401" s="327"/>
      <c r="R401" s="140"/>
    </row>
    <row r="402" ht="29.25" hidden="1" customHeight="1">
      <c r="A402" s="189"/>
      <c r="B402" s="323"/>
      <c r="C402" s="324"/>
      <c r="D402" s="325"/>
      <c r="E402" s="314"/>
      <c r="F402" s="166"/>
      <c r="G402" s="161"/>
      <c r="H402" s="161"/>
      <c r="I402" s="162"/>
      <c r="J402" s="163"/>
      <c r="K402" s="163"/>
      <c r="L402" s="163"/>
      <c r="M402" s="160"/>
      <c r="N402" s="162"/>
      <c r="O402" s="164"/>
      <c r="P402" s="140"/>
      <c r="Q402" s="321"/>
      <c r="R402" s="140"/>
    </row>
    <row r="403" ht="29.25" hidden="1" customHeight="1">
      <c r="A403" s="189"/>
      <c r="B403" s="323"/>
      <c r="C403" s="324"/>
      <c r="D403" s="325"/>
      <c r="E403" s="326"/>
      <c r="F403" s="166"/>
      <c r="G403" s="161"/>
      <c r="H403" s="161"/>
      <c r="I403" s="162"/>
      <c r="J403" s="163"/>
      <c r="K403" s="163"/>
      <c r="L403" s="163"/>
      <c r="M403" s="160"/>
      <c r="N403" s="162"/>
      <c r="O403" s="164"/>
      <c r="P403" s="140"/>
      <c r="Q403" s="327"/>
      <c r="R403" s="140"/>
    </row>
    <row r="404" ht="29.25" hidden="1" customHeight="1">
      <c r="A404" s="189"/>
      <c r="B404" s="323"/>
      <c r="C404" s="324"/>
      <c r="D404" s="325"/>
      <c r="E404" s="314"/>
      <c r="F404" s="166"/>
      <c r="G404" s="161"/>
      <c r="H404" s="161"/>
      <c r="I404" s="162"/>
      <c r="J404" s="163"/>
      <c r="K404" s="163"/>
      <c r="L404" s="163"/>
      <c r="M404" s="160"/>
      <c r="N404" s="162"/>
      <c r="O404" s="164"/>
      <c r="P404" s="140"/>
      <c r="Q404" s="321"/>
      <c r="R404" s="140"/>
    </row>
    <row r="405" ht="29.25" hidden="1" customHeight="1">
      <c r="A405" s="189"/>
      <c r="B405" s="323"/>
      <c r="C405" s="324"/>
      <c r="D405" s="325"/>
      <c r="E405" s="326"/>
      <c r="F405" s="166"/>
      <c r="G405" s="161"/>
      <c r="H405" s="161"/>
      <c r="I405" s="162"/>
      <c r="J405" s="163"/>
      <c r="K405" s="163"/>
      <c r="L405" s="163"/>
      <c r="M405" s="160"/>
      <c r="N405" s="162"/>
      <c r="O405" s="164"/>
      <c r="P405" s="140"/>
      <c r="Q405" s="327"/>
      <c r="R405" s="140"/>
    </row>
    <row r="406" ht="29.25" hidden="1" customHeight="1">
      <c r="A406" s="189"/>
      <c r="B406" s="323"/>
      <c r="C406" s="324"/>
      <c r="D406" s="325"/>
      <c r="E406" s="314"/>
      <c r="F406" s="166"/>
      <c r="G406" s="161"/>
      <c r="H406" s="161"/>
      <c r="I406" s="162"/>
      <c r="J406" s="163"/>
      <c r="K406" s="163"/>
      <c r="L406" s="163"/>
      <c r="M406" s="160"/>
      <c r="N406" s="162"/>
      <c r="O406" s="164"/>
      <c r="P406" s="140"/>
      <c r="Q406" s="321"/>
      <c r="R406" s="140"/>
    </row>
    <row r="407" ht="29.25" hidden="1" customHeight="1">
      <c r="A407" s="189"/>
      <c r="B407" s="323"/>
      <c r="C407" s="324"/>
      <c r="D407" s="325"/>
      <c r="E407" s="326"/>
      <c r="F407" s="166"/>
      <c r="G407" s="161"/>
      <c r="H407" s="161"/>
      <c r="I407" s="162"/>
      <c r="J407" s="163"/>
      <c r="K407" s="163"/>
      <c r="L407" s="163"/>
      <c r="M407" s="160"/>
      <c r="N407" s="162"/>
      <c r="O407" s="164"/>
      <c r="P407" s="140"/>
      <c r="Q407" s="327"/>
      <c r="R407" s="140"/>
    </row>
    <row r="408" ht="29.25" hidden="1" customHeight="1">
      <c r="A408" s="189"/>
      <c r="B408" s="323"/>
      <c r="C408" s="324"/>
      <c r="D408" s="325"/>
      <c r="E408" s="314"/>
      <c r="F408" s="166"/>
      <c r="G408" s="161"/>
      <c r="H408" s="161"/>
      <c r="I408" s="162"/>
      <c r="J408" s="163"/>
      <c r="K408" s="163"/>
      <c r="L408" s="163"/>
      <c r="M408" s="160"/>
      <c r="N408" s="162"/>
      <c r="O408" s="164"/>
      <c r="P408" s="140"/>
      <c r="Q408" s="321"/>
      <c r="R408" s="140"/>
    </row>
    <row r="409" ht="29.25" hidden="1" customHeight="1">
      <c r="A409" s="189"/>
      <c r="B409" s="323"/>
      <c r="C409" s="324"/>
      <c r="D409" s="325"/>
      <c r="E409" s="326"/>
      <c r="F409" s="166"/>
      <c r="G409" s="161"/>
      <c r="H409" s="161"/>
      <c r="I409" s="162"/>
      <c r="J409" s="163"/>
      <c r="K409" s="163"/>
      <c r="L409" s="163"/>
      <c r="M409" s="160"/>
      <c r="N409" s="162"/>
      <c r="O409" s="164"/>
      <c r="P409" s="140"/>
      <c r="Q409" s="327"/>
      <c r="R409" s="140"/>
    </row>
    <row r="410" ht="29.25" hidden="1" customHeight="1">
      <c r="A410" s="189"/>
      <c r="B410" s="323"/>
      <c r="C410" s="324"/>
      <c r="D410" s="325"/>
      <c r="E410" s="314"/>
      <c r="F410" s="166"/>
      <c r="G410" s="161"/>
      <c r="H410" s="161"/>
      <c r="I410" s="162"/>
      <c r="J410" s="163"/>
      <c r="K410" s="163"/>
      <c r="L410" s="163"/>
      <c r="M410" s="160"/>
      <c r="N410" s="162"/>
      <c r="O410" s="164"/>
      <c r="P410" s="140"/>
      <c r="Q410" s="321"/>
      <c r="R410" s="140"/>
    </row>
    <row r="411" ht="29.25" hidden="1" customHeight="1">
      <c r="A411" s="189"/>
      <c r="B411" s="323"/>
      <c r="C411" s="324"/>
      <c r="D411" s="325"/>
      <c r="E411" s="326"/>
      <c r="F411" s="166"/>
      <c r="G411" s="161"/>
      <c r="H411" s="161"/>
      <c r="I411" s="162"/>
      <c r="J411" s="163"/>
      <c r="K411" s="163"/>
      <c r="L411" s="163"/>
      <c r="M411" s="160"/>
      <c r="N411" s="162"/>
      <c r="O411" s="164"/>
      <c r="P411" s="140"/>
      <c r="Q411" s="327"/>
      <c r="R411" s="140"/>
    </row>
    <row r="412" ht="29.25" hidden="1" customHeight="1">
      <c r="A412" s="189"/>
      <c r="B412" s="323"/>
      <c r="C412" s="324"/>
      <c r="D412" s="325"/>
      <c r="E412" s="314"/>
      <c r="F412" s="166"/>
      <c r="G412" s="161"/>
      <c r="H412" s="161"/>
      <c r="I412" s="162"/>
      <c r="J412" s="163"/>
      <c r="K412" s="163"/>
      <c r="L412" s="163"/>
      <c r="M412" s="160"/>
      <c r="N412" s="162"/>
      <c r="O412" s="164"/>
      <c r="P412" s="140"/>
      <c r="Q412" s="321"/>
      <c r="R412" s="140"/>
    </row>
    <row r="413" ht="29.25" hidden="1" customHeight="1">
      <c r="A413" s="189"/>
      <c r="B413" s="323"/>
      <c r="C413" s="324"/>
      <c r="D413" s="325"/>
      <c r="E413" s="326"/>
      <c r="F413" s="166"/>
      <c r="G413" s="161"/>
      <c r="H413" s="161"/>
      <c r="I413" s="162"/>
      <c r="J413" s="163"/>
      <c r="K413" s="163"/>
      <c r="L413" s="163"/>
      <c r="M413" s="160"/>
      <c r="N413" s="162"/>
      <c r="O413" s="164"/>
      <c r="P413" s="140"/>
      <c r="Q413" s="327"/>
      <c r="R413" s="140"/>
    </row>
    <row r="414" ht="29.25" hidden="1" customHeight="1">
      <c r="A414" s="189"/>
      <c r="B414" s="323"/>
      <c r="C414" s="324"/>
      <c r="D414" s="325"/>
      <c r="E414" s="314"/>
      <c r="F414" s="166"/>
      <c r="G414" s="161"/>
      <c r="H414" s="161"/>
      <c r="I414" s="162"/>
      <c r="J414" s="163"/>
      <c r="K414" s="163"/>
      <c r="L414" s="163"/>
      <c r="M414" s="160"/>
      <c r="N414" s="162"/>
      <c r="O414" s="164"/>
      <c r="P414" s="140"/>
      <c r="Q414" s="321"/>
      <c r="R414" s="140"/>
    </row>
    <row r="415" ht="29.25" hidden="1" customHeight="1">
      <c r="A415" s="189"/>
      <c r="B415" s="323"/>
      <c r="C415" s="324"/>
      <c r="D415" s="325"/>
      <c r="E415" s="326"/>
      <c r="F415" s="166"/>
      <c r="G415" s="161"/>
      <c r="H415" s="161"/>
      <c r="I415" s="162"/>
      <c r="J415" s="163"/>
      <c r="K415" s="163"/>
      <c r="L415" s="163"/>
      <c r="M415" s="160"/>
      <c r="N415" s="162"/>
      <c r="O415" s="164"/>
      <c r="P415" s="140"/>
      <c r="Q415" s="327"/>
      <c r="R415" s="140"/>
    </row>
    <row r="416" ht="29.25" hidden="1" customHeight="1">
      <c r="A416" s="189"/>
      <c r="B416" s="323"/>
      <c r="C416" s="324"/>
      <c r="D416" s="325"/>
      <c r="E416" s="314"/>
      <c r="F416" s="166"/>
      <c r="G416" s="161"/>
      <c r="H416" s="161"/>
      <c r="I416" s="162"/>
      <c r="J416" s="163"/>
      <c r="K416" s="163"/>
      <c r="L416" s="163"/>
      <c r="M416" s="160"/>
      <c r="N416" s="162"/>
      <c r="O416" s="164"/>
      <c r="P416" s="140"/>
      <c r="Q416" s="321"/>
      <c r="R416" s="140"/>
    </row>
    <row r="417" ht="29.25" hidden="1" customHeight="1">
      <c r="A417" s="189"/>
      <c r="B417" s="323"/>
      <c r="C417" s="324"/>
      <c r="D417" s="325"/>
      <c r="E417" s="326"/>
      <c r="F417" s="166"/>
      <c r="G417" s="161"/>
      <c r="H417" s="161"/>
      <c r="I417" s="162"/>
      <c r="J417" s="163"/>
      <c r="K417" s="163"/>
      <c r="L417" s="163"/>
      <c r="M417" s="160"/>
      <c r="N417" s="162"/>
      <c r="O417" s="164"/>
      <c r="P417" s="140"/>
      <c r="Q417" s="327"/>
      <c r="R417" s="140"/>
    </row>
    <row r="418" ht="29.25" hidden="1" customHeight="1">
      <c r="A418" s="189"/>
      <c r="B418" s="323"/>
      <c r="C418" s="324"/>
      <c r="D418" s="325"/>
      <c r="E418" s="314"/>
      <c r="F418" s="166"/>
      <c r="G418" s="161"/>
      <c r="H418" s="161"/>
      <c r="I418" s="162"/>
      <c r="J418" s="163"/>
      <c r="K418" s="163"/>
      <c r="L418" s="163"/>
      <c r="M418" s="160"/>
      <c r="N418" s="162"/>
      <c r="O418" s="164"/>
      <c r="P418" s="140"/>
      <c r="Q418" s="321"/>
      <c r="R418" s="140"/>
    </row>
    <row r="419" ht="29.25" hidden="1" customHeight="1">
      <c r="A419" s="189"/>
      <c r="B419" s="323"/>
      <c r="C419" s="324"/>
      <c r="D419" s="325"/>
      <c r="E419" s="326"/>
      <c r="F419" s="166"/>
      <c r="G419" s="161"/>
      <c r="H419" s="161"/>
      <c r="I419" s="162"/>
      <c r="J419" s="163"/>
      <c r="K419" s="163"/>
      <c r="L419" s="163"/>
      <c r="M419" s="160"/>
      <c r="N419" s="162"/>
      <c r="O419" s="164"/>
      <c r="P419" s="140"/>
      <c r="Q419" s="327"/>
      <c r="R419" s="140"/>
    </row>
    <row r="420" ht="29.25" hidden="1" customHeight="1">
      <c r="A420" s="189"/>
      <c r="B420" s="323"/>
      <c r="C420" s="324"/>
      <c r="D420" s="325"/>
      <c r="E420" s="314"/>
      <c r="F420" s="166"/>
      <c r="G420" s="161"/>
      <c r="H420" s="161"/>
      <c r="I420" s="162"/>
      <c r="J420" s="163"/>
      <c r="K420" s="163"/>
      <c r="L420" s="163"/>
      <c r="M420" s="160"/>
      <c r="N420" s="162"/>
      <c r="O420" s="164"/>
      <c r="P420" s="140"/>
      <c r="Q420" s="321"/>
      <c r="R420" s="140"/>
    </row>
    <row r="421" ht="29.25" hidden="1" customHeight="1">
      <c r="A421" s="189"/>
      <c r="B421" s="323"/>
      <c r="C421" s="324"/>
      <c r="D421" s="325"/>
      <c r="E421" s="326"/>
      <c r="F421" s="166"/>
      <c r="G421" s="161"/>
      <c r="H421" s="161"/>
      <c r="I421" s="162"/>
      <c r="J421" s="163"/>
      <c r="K421" s="163"/>
      <c r="L421" s="163"/>
      <c r="M421" s="160"/>
      <c r="N421" s="162"/>
      <c r="O421" s="164"/>
      <c r="P421" s="140"/>
      <c r="Q421" s="327"/>
      <c r="R421" s="140"/>
    </row>
    <row r="422" ht="29.25" hidden="1" customHeight="1">
      <c r="A422" s="189"/>
      <c r="B422" s="323"/>
      <c r="C422" s="324"/>
      <c r="D422" s="325"/>
      <c r="E422" s="314"/>
      <c r="F422" s="166"/>
      <c r="G422" s="161"/>
      <c r="H422" s="161"/>
      <c r="I422" s="162"/>
      <c r="J422" s="163"/>
      <c r="K422" s="163"/>
      <c r="L422" s="163"/>
      <c r="M422" s="160"/>
      <c r="N422" s="162"/>
      <c r="O422" s="164"/>
      <c r="P422" s="140"/>
      <c r="Q422" s="321"/>
      <c r="R422" s="140"/>
    </row>
    <row r="423" ht="29.25" hidden="1" customHeight="1">
      <c r="A423" s="189"/>
      <c r="B423" s="323"/>
      <c r="C423" s="324"/>
      <c r="D423" s="325"/>
      <c r="E423" s="326"/>
      <c r="F423" s="166"/>
      <c r="G423" s="161"/>
      <c r="H423" s="161"/>
      <c r="I423" s="162"/>
      <c r="J423" s="163"/>
      <c r="K423" s="163"/>
      <c r="L423" s="163"/>
      <c r="M423" s="160"/>
      <c r="N423" s="162"/>
      <c r="O423" s="164"/>
      <c r="P423" s="140"/>
      <c r="Q423" s="327"/>
      <c r="R423" s="140"/>
    </row>
    <row r="424" ht="29.25" hidden="1" customHeight="1">
      <c r="A424" s="189"/>
      <c r="B424" s="323"/>
      <c r="C424" s="324"/>
      <c r="D424" s="325"/>
      <c r="E424" s="314"/>
      <c r="F424" s="166"/>
      <c r="G424" s="161"/>
      <c r="H424" s="161"/>
      <c r="I424" s="162"/>
      <c r="J424" s="163"/>
      <c r="K424" s="163"/>
      <c r="L424" s="163"/>
      <c r="M424" s="160"/>
      <c r="N424" s="162"/>
      <c r="O424" s="164"/>
      <c r="P424" s="140"/>
      <c r="Q424" s="321"/>
      <c r="R424" s="140"/>
    </row>
    <row r="425" ht="29.25" hidden="1" customHeight="1">
      <c r="A425" s="189"/>
      <c r="B425" s="323"/>
      <c r="C425" s="324"/>
      <c r="D425" s="325"/>
      <c r="E425" s="326"/>
      <c r="F425" s="166"/>
      <c r="G425" s="161"/>
      <c r="H425" s="161"/>
      <c r="I425" s="162"/>
      <c r="J425" s="163"/>
      <c r="K425" s="163"/>
      <c r="L425" s="163"/>
      <c r="M425" s="160"/>
      <c r="N425" s="162"/>
      <c r="O425" s="164"/>
      <c r="P425" s="140"/>
      <c r="Q425" s="327"/>
      <c r="R425" s="140"/>
    </row>
    <row r="426" ht="29.25" hidden="1" customHeight="1">
      <c r="A426" s="189"/>
      <c r="B426" s="323"/>
      <c r="C426" s="324"/>
      <c r="D426" s="325"/>
      <c r="E426" s="314"/>
      <c r="F426" s="166"/>
      <c r="G426" s="161"/>
      <c r="H426" s="161"/>
      <c r="I426" s="162"/>
      <c r="J426" s="163"/>
      <c r="K426" s="163"/>
      <c r="L426" s="163"/>
      <c r="M426" s="160"/>
      <c r="N426" s="162"/>
      <c r="O426" s="164"/>
      <c r="P426" s="140"/>
      <c r="Q426" s="321"/>
      <c r="R426" s="140"/>
    </row>
    <row r="427" ht="29.25" hidden="1" customHeight="1">
      <c r="A427" s="189"/>
      <c r="B427" s="323"/>
      <c r="C427" s="324"/>
      <c r="D427" s="325"/>
      <c r="E427" s="326"/>
      <c r="F427" s="166"/>
      <c r="G427" s="161"/>
      <c r="H427" s="161"/>
      <c r="I427" s="162"/>
      <c r="J427" s="163"/>
      <c r="K427" s="163"/>
      <c r="L427" s="163"/>
      <c r="M427" s="160"/>
      <c r="N427" s="162"/>
      <c r="O427" s="164"/>
      <c r="P427" s="140"/>
      <c r="Q427" s="327"/>
      <c r="R427" s="140"/>
    </row>
    <row r="428" ht="29.25" hidden="1" customHeight="1">
      <c r="A428" s="189"/>
      <c r="B428" s="323"/>
      <c r="C428" s="324"/>
      <c r="D428" s="325"/>
      <c r="E428" s="314"/>
      <c r="F428" s="166"/>
      <c r="G428" s="161"/>
      <c r="H428" s="161"/>
      <c r="I428" s="162"/>
      <c r="J428" s="163"/>
      <c r="K428" s="163"/>
      <c r="L428" s="163"/>
      <c r="M428" s="160"/>
      <c r="N428" s="162"/>
      <c r="O428" s="164"/>
      <c r="P428" s="140"/>
      <c r="Q428" s="321"/>
      <c r="R428" s="140"/>
    </row>
    <row r="429" ht="29.25" hidden="1" customHeight="1">
      <c r="A429" s="189"/>
      <c r="B429" s="323"/>
      <c r="C429" s="324"/>
      <c r="D429" s="325"/>
      <c r="E429" s="326"/>
      <c r="F429" s="166"/>
      <c r="G429" s="161"/>
      <c r="H429" s="161"/>
      <c r="I429" s="162"/>
      <c r="J429" s="163"/>
      <c r="K429" s="163"/>
      <c r="L429" s="163"/>
      <c r="M429" s="160"/>
      <c r="N429" s="162"/>
      <c r="O429" s="164"/>
      <c r="P429" s="140"/>
      <c r="Q429" s="327"/>
      <c r="R429" s="140"/>
    </row>
    <row r="430" ht="29.25" hidden="1" customHeight="1">
      <c r="A430" s="189"/>
      <c r="B430" s="323"/>
      <c r="C430" s="324"/>
      <c r="D430" s="325"/>
      <c r="E430" s="314"/>
      <c r="F430" s="166"/>
      <c r="G430" s="161"/>
      <c r="H430" s="161"/>
      <c r="I430" s="162"/>
      <c r="J430" s="163"/>
      <c r="K430" s="163"/>
      <c r="L430" s="163"/>
      <c r="M430" s="160"/>
      <c r="N430" s="162"/>
      <c r="O430" s="164"/>
      <c r="P430" s="140"/>
      <c r="Q430" s="321"/>
      <c r="R430" s="140"/>
    </row>
    <row r="431" ht="29.25" hidden="1" customHeight="1">
      <c r="A431" s="189"/>
      <c r="B431" s="323"/>
      <c r="C431" s="324"/>
      <c r="D431" s="325"/>
      <c r="E431" s="326"/>
      <c r="F431" s="166"/>
      <c r="G431" s="161"/>
      <c r="H431" s="161"/>
      <c r="I431" s="162"/>
      <c r="J431" s="163"/>
      <c r="K431" s="163"/>
      <c r="L431" s="163"/>
      <c r="M431" s="160"/>
      <c r="N431" s="162"/>
      <c r="O431" s="164"/>
      <c r="P431" s="140"/>
      <c r="Q431" s="327"/>
      <c r="R431" s="140"/>
    </row>
    <row r="432" ht="29.25" hidden="1" customHeight="1">
      <c r="A432" s="189"/>
      <c r="B432" s="323"/>
      <c r="C432" s="324"/>
      <c r="D432" s="325"/>
      <c r="E432" s="314"/>
      <c r="F432" s="166"/>
      <c r="G432" s="161"/>
      <c r="H432" s="161"/>
      <c r="I432" s="162"/>
      <c r="J432" s="163"/>
      <c r="K432" s="163"/>
      <c r="L432" s="163"/>
      <c r="M432" s="160"/>
      <c r="N432" s="162"/>
      <c r="O432" s="164"/>
      <c r="P432" s="140"/>
      <c r="Q432" s="321"/>
      <c r="R432" s="140"/>
    </row>
    <row r="433" ht="29.25" hidden="1" customHeight="1">
      <c r="A433" s="189"/>
      <c r="B433" s="323"/>
      <c r="C433" s="324"/>
      <c r="D433" s="325"/>
      <c r="E433" s="326"/>
      <c r="F433" s="166"/>
      <c r="G433" s="161"/>
      <c r="H433" s="161"/>
      <c r="I433" s="162"/>
      <c r="J433" s="163"/>
      <c r="K433" s="163"/>
      <c r="L433" s="163"/>
      <c r="M433" s="160"/>
      <c r="N433" s="162"/>
      <c r="O433" s="164"/>
      <c r="P433" s="140"/>
      <c r="Q433" s="327"/>
      <c r="R433" s="140"/>
    </row>
    <row r="434" ht="29.25" hidden="1" customHeight="1">
      <c r="A434" s="189"/>
      <c r="B434" s="323"/>
      <c r="C434" s="324"/>
      <c r="D434" s="325"/>
      <c r="E434" s="314"/>
      <c r="F434" s="166"/>
      <c r="G434" s="161"/>
      <c r="H434" s="161"/>
      <c r="I434" s="162"/>
      <c r="J434" s="163"/>
      <c r="K434" s="163"/>
      <c r="L434" s="163"/>
      <c r="M434" s="160"/>
      <c r="N434" s="162"/>
      <c r="O434" s="164"/>
      <c r="P434" s="140"/>
      <c r="Q434" s="321"/>
      <c r="R434" s="140"/>
    </row>
    <row r="435" ht="29.25" hidden="1" customHeight="1">
      <c r="A435" s="189"/>
      <c r="B435" s="323"/>
      <c r="C435" s="324"/>
      <c r="D435" s="325"/>
      <c r="E435" s="326"/>
      <c r="F435" s="166"/>
      <c r="G435" s="161"/>
      <c r="H435" s="161"/>
      <c r="I435" s="162"/>
      <c r="J435" s="163"/>
      <c r="K435" s="163"/>
      <c r="L435" s="163"/>
      <c r="M435" s="160"/>
      <c r="N435" s="162"/>
      <c r="O435" s="164"/>
      <c r="P435" s="140"/>
      <c r="Q435" s="327"/>
      <c r="R435" s="140"/>
    </row>
    <row r="436" ht="29.25" hidden="1" customHeight="1">
      <c r="A436" s="189"/>
      <c r="B436" s="323"/>
      <c r="C436" s="324"/>
      <c r="D436" s="325"/>
      <c r="E436" s="314"/>
      <c r="F436" s="166"/>
      <c r="G436" s="161"/>
      <c r="H436" s="161"/>
      <c r="I436" s="162"/>
      <c r="J436" s="163"/>
      <c r="K436" s="163"/>
      <c r="L436" s="163"/>
      <c r="M436" s="160"/>
      <c r="N436" s="162"/>
      <c r="O436" s="164"/>
      <c r="P436" s="140"/>
      <c r="Q436" s="321"/>
      <c r="R436" s="140"/>
    </row>
    <row r="437" ht="29.25" hidden="1" customHeight="1">
      <c r="A437" s="189"/>
      <c r="B437" s="323"/>
      <c r="C437" s="324"/>
      <c r="D437" s="325"/>
      <c r="E437" s="326"/>
      <c r="F437" s="166"/>
      <c r="G437" s="161"/>
      <c r="H437" s="161"/>
      <c r="I437" s="162"/>
      <c r="J437" s="163"/>
      <c r="K437" s="163"/>
      <c r="L437" s="163"/>
      <c r="M437" s="160"/>
      <c r="N437" s="162"/>
      <c r="O437" s="164"/>
      <c r="P437" s="140"/>
      <c r="Q437" s="327"/>
      <c r="R437" s="140"/>
    </row>
    <row r="438" ht="29.25" hidden="1" customHeight="1">
      <c r="A438" s="189"/>
      <c r="B438" s="323"/>
      <c r="C438" s="324"/>
      <c r="D438" s="325"/>
      <c r="E438" s="314"/>
      <c r="F438" s="166"/>
      <c r="G438" s="161"/>
      <c r="H438" s="161"/>
      <c r="I438" s="162"/>
      <c r="J438" s="163"/>
      <c r="K438" s="163"/>
      <c r="L438" s="163"/>
      <c r="M438" s="160"/>
      <c r="N438" s="162"/>
      <c r="O438" s="164"/>
      <c r="P438" s="140"/>
      <c r="Q438" s="321"/>
      <c r="R438" s="140"/>
    </row>
    <row r="439" ht="29.25" hidden="1" customHeight="1">
      <c r="A439" s="189"/>
      <c r="B439" s="323"/>
      <c r="C439" s="324"/>
      <c r="D439" s="325"/>
      <c r="E439" s="326"/>
      <c r="F439" s="166"/>
      <c r="G439" s="161"/>
      <c r="H439" s="161"/>
      <c r="I439" s="162"/>
      <c r="J439" s="163"/>
      <c r="K439" s="163"/>
      <c r="L439" s="163"/>
      <c r="M439" s="160"/>
      <c r="N439" s="162"/>
      <c r="O439" s="164"/>
      <c r="P439" s="140"/>
      <c r="Q439" s="327"/>
      <c r="R439" s="140"/>
    </row>
    <row r="440" ht="29.25" hidden="1" customHeight="1">
      <c r="A440" s="189"/>
      <c r="B440" s="323"/>
      <c r="C440" s="324"/>
      <c r="D440" s="325"/>
      <c r="E440" s="314"/>
      <c r="F440" s="166"/>
      <c r="G440" s="161"/>
      <c r="H440" s="161"/>
      <c r="I440" s="162"/>
      <c r="J440" s="163"/>
      <c r="K440" s="163"/>
      <c r="L440" s="163"/>
      <c r="M440" s="160"/>
      <c r="N440" s="162"/>
      <c r="O440" s="164"/>
      <c r="P440" s="140"/>
      <c r="Q440" s="321"/>
      <c r="R440" s="140"/>
    </row>
    <row r="441" ht="29.25" hidden="1" customHeight="1">
      <c r="A441" s="189"/>
      <c r="B441" s="323"/>
      <c r="C441" s="324"/>
      <c r="D441" s="325"/>
      <c r="E441" s="326"/>
      <c r="F441" s="166"/>
      <c r="G441" s="161"/>
      <c r="H441" s="161"/>
      <c r="I441" s="162"/>
      <c r="J441" s="163"/>
      <c r="K441" s="163"/>
      <c r="L441" s="163"/>
      <c r="M441" s="160"/>
      <c r="N441" s="162"/>
      <c r="O441" s="164"/>
      <c r="P441" s="140"/>
      <c r="Q441" s="327"/>
      <c r="R441" s="140"/>
    </row>
    <row r="442" ht="29.25" hidden="1" customHeight="1">
      <c r="A442" s="189"/>
      <c r="B442" s="323"/>
      <c r="C442" s="324"/>
      <c r="D442" s="325"/>
      <c r="E442" s="314"/>
      <c r="F442" s="166"/>
      <c r="G442" s="161"/>
      <c r="H442" s="161"/>
      <c r="I442" s="162"/>
      <c r="J442" s="163"/>
      <c r="K442" s="163"/>
      <c r="L442" s="163"/>
      <c r="M442" s="160"/>
      <c r="N442" s="162"/>
      <c r="O442" s="164"/>
      <c r="P442" s="140"/>
      <c r="Q442" s="321"/>
      <c r="R442" s="140"/>
    </row>
    <row r="443" ht="29.25" hidden="1" customHeight="1">
      <c r="A443" s="189"/>
      <c r="B443" s="323"/>
      <c r="C443" s="324"/>
      <c r="D443" s="325"/>
      <c r="E443" s="326"/>
      <c r="F443" s="166"/>
      <c r="G443" s="161"/>
      <c r="H443" s="161"/>
      <c r="I443" s="162"/>
      <c r="J443" s="163"/>
      <c r="K443" s="163"/>
      <c r="L443" s="163"/>
      <c r="M443" s="160"/>
      <c r="N443" s="162"/>
      <c r="O443" s="164"/>
      <c r="P443" s="140"/>
      <c r="Q443" s="327"/>
      <c r="R443" s="140"/>
    </row>
    <row r="444" ht="29.25" hidden="1" customHeight="1">
      <c r="A444" s="189"/>
      <c r="B444" s="323"/>
      <c r="C444" s="324"/>
      <c r="D444" s="325"/>
      <c r="E444" s="314"/>
      <c r="F444" s="166"/>
      <c r="G444" s="161"/>
      <c r="H444" s="161"/>
      <c r="I444" s="162"/>
      <c r="J444" s="163"/>
      <c r="K444" s="163"/>
      <c r="L444" s="163"/>
      <c r="M444" s="160"/>
      <c r="N444" s="162"/>
      <c r="O444" s="164"/>
      <c r="P444" s="140"/>
      <c r="Q444" s="321"/>
      <c r="R444" s="140"/>
    </row>
    <row r="445" ht="29.25" hidden="1" customHeight="1">
      <c r="A445" s="189"/>
      <c r="B445" s="323"/>
      <c r="C445" s="324"/>
      <c r="D445" s="325"/>
      <c r="E445" s="326"/>
      <c r="F445" s="166"/>
      <c r="G445" s="161"/>
      <c r="H445" s="161"/>
      <c r="I445" s="162"/>
      <c r="J445" s="163"/>
      <c r="K445" s="163"/>
      <c r="L445" s="163"/>
      <c r="M445" s="160"/>
      <c r="N445" s="162"/>
      <c r="O445" s="164"/>
      <c r="P445" s="140"/>
      <c r="Q445" s="327"/>
      <c r="R445" s="140"/>
    </row>
    <row r="446" ht="29.25" hidden="1" customHeight="1">
      <c r="A446" s="189"/>
      <c r="B446" s="323"/>
      <c r="C446" s="324"/>
      <c r="D446" s="325"/>
      <c r="E446" s="314"/>
      <c r="F446" s="166"/>
      <c r="G446" s="161"/>
      <c r="H446" s="161"/>
      <c r="I446" s="162"/>
      <c r="J446" s="163"/>
      <c r="K446" s="163"/>
      <c r="L446" s="163"/>
      <c r="M446" s="160"/>
      <c r="N446" s="162"/>
      <c r="O446" s="164"/>
      <c r="P446" s="140"/>
      <c r="Q446" s="321"/>
      <c r="R446" s="140"/>
    </row>
    <row r="447" ht="29.25" hidden="1" customHeight="1">
      <c r="A447" s="189"/>
      <c r="B447" s="323"/>
      <c r="C447" s="324"/>
      <c r="D447" s="325"/>
      <c r="E447" s="326"/>
      <c r="F447" s="166"/>
      <c r="G447" s="161"/>
      <c r="H447" s="161"/>
      <c r="I447" s="162"/>
      <c r="J447" s="163"/>
      <c r="K447" s="163"/>
      <c r="L447" s="163"/>
      <c r="M447" s="160"/>
      <c r="N447" s="162"/>
      <c r="O447" s="164"/>
      <c r="P447" s="140"/>
      <c r="Q447" s="327"/>
      <c r="R447" s="140"/>
    </row>
    <row r="448" ht="29.25" hidden="1" customHeight="1">
      <c r="A448" s="189"/>
      <c r="B448" s="323"/>
      <c r="C448" s="324"/>
      <c r="D448" s="325"/>
      <c r="E448" s="314"/>
      <c r="F448" s="166"/>
      <c r="G448" s="161"/>
      <c r="H448" s="161"/>
      <c r="I448" s="162"/>
      <c r="J448" s="163"/>
      <c r="K448" s="163"/>
      <c r="L448" s="163"/>
      <c r="M448" s="160"/>
      <c r="N448" s="162"/>
      <c r="O448" s="164"/>
      <c r="P448" s="140"/>
      <c r="Q448" s="321"/>
      <c r="R448" s="140"/>
    </row>
    <row r="449" ht="29.25" hidden="1" customHeight="1">
      <c r="A449" s="189"/>
      <c r="B449" s="323"/>
      <c r="C449" s="324"/>
      <c r="D449" s="325"/>
      <c r="E449" s="326"/>
      <c r="F449" s="166"/>
      <c r="G449" s="161"/>
      <c r="H449" s="161"/>
      <c r="I449" s="162"/>
      <c r="J449" s="163"/>
      <c r="K449" s="163"/>
      <c r="L449" s="163"/>
      <c r="M449" s="160"/>
      <c r="N449" s="162"/>
      <c r="O449" s="164"/>
      <c r="P449" s="140"/>
      <c r="Q449" s="327"/>
      <c r="R449" s="140"/>
    </row>
    <row r="450" ht="29.25" hidden="1" customHeight="1">
      <c r="A450" s="189"/>
      <c r="B450" s="323"/>
      <c r="C450" s="324"/>
      <c r="D450" s="325"/>
      <c r="E450" s="314"/>
      <c r="F450" s="166"/>
      <c r="G450" s="161"/>
      <c r="H450" s="161"/>
      <c r="I450" s="162"/>
      <c r="J450" s="163"/>
      <c r="K450" s="163"/>
      <c r="L450" s="163"/>
      <c r="M450" s="160"/>
      <c r="N450" s="162"/>
      <c r="O450" s="164"/>
      <c r="P450" s="140"/>
      <c r="Q450" s="321"/>
      <c r="R450" s="140"/>
    </row>
    <row r="451" ht="29.25" hidden="1" customHeight="1">
      <c r="A451" s="189"/>
      <c r="B451" s="323"/>
      <c r="C451" s="324"/>
      <c r="D451" s="325"/>
      <c r="E451" s="326"/>
      <c r="F451" s="166"/>
      <c r="G451" s="161"/>
      <c r="H451" s="161"/>
      <c r="I451" s="162"/>
      <c r="J451" s="163"/>
      <c r="K451" s="163"/>
      <c r="L451" s="163"/>
      <c r="M451" s="160"/>
      <c r="N451" s="162"/>
      <c r="O451" s="164"/>
      <c r="P451" s="140"/>
      <c r="Q451" s="327"/>
      <c r="R451" s="140"/>
    </row>
    <row r="452" ht="29.25" hidden="1" customHeight="1">
      <c r="A452" s="189"/>
      <c r="B452" s="323"/>
      <c r="C452" s="324"/>
      <c r="D452" s="325"/>
      <c r="E452" s="314"/>
      <c r="F452" s="166"/>
      <c r="G452" s="161"/>
      <c r="H452" s="161"/>
      <c r="I452" s="162"/>
      <c r="J452" s="163"/>
      <c r="K452" s="163"/>
      <c r="L452" s="163"/>
      <c r="M452" s="160"/>
      <c r="N452" s="162"/>
      <c r="O452" s="164"/>
      <c r="P452" s="140"/>
      <c r="Q452" s="321"/>
      <c r="R452" s="140"/>
    </row>
    <row r="453" ht="29.25" hidden="1" customHeight="1">
      <c r="A453" s="189"/>
      <c r="B453" s="323"/>
      <c r="C453" s="324"/>
      <c r="D453" s="325"/>
      <c r="E453" s="326"/>
      <c r="F453" s="166"/>
      <c r="G453" s="161"/>
      <c r="H453" s="161"/>
      <c r="I453" s="162"/>
      <c r="J453" s="163"/>
      <c r="K453" s="163"/>
      <c r="L453" s="163"/>
      <c r="M453" s="160"/>
      <c r="N453" s="162"/>
      <c r="O453" s="164"/>
      <c r="P453" s="140"/>
      <c r="Q453" s="327"/>
      <c r="R453" s="140"/>
    </row>
    <row r="454" ht="29.25" hidden="1" customHeight="1">
      <c r="A454" s="189"/>
      <c r="B454" s="323"/>
      <c r="C454" s="324"/>
      <c r="D454" s="325"/>
      <c r="E454" s="314"/>
      <c r="F454" s="166"/>
      <c r="G454" s="161"/>
      <c r="H454" s="161"/>
      <c r="I454" s="162"/>
      <c r="J454" s="163"/>
      <c r="K454" s="163"/>
      <c r="L454" s="163"/>
      <c r="M454" s="160"/>
      <c r="N454" s="162"/>
      <c r="O454" s="164"/>
      <c r="P454" s="140"/>
      <c r="Q454" s="321"/>
      <c r="R454" s="140"/>
    </row>
    <row r="455" ht="29.25" hidden="1" customHeight="1">
      <c r="A455" s="189"/>
      <c r="B455" s="323"/>
      <c r="C455" s="324"/>
      <c r="D455" s="325"/>
      <c r="E455" s="326"/>
      <c r="F455" s="166"/>
      <c r="G455" s="161"/>
      <c r="H455" s="161"/>
      <c r="I455" s="162"/>
      <c r="J455" s="163"/>
      <c r="K455" s="163"/>
      <c r="L455" s="163"/>
      <c r="M455" s="160"/>
      <c r="N455" s="162"/>
      <c r="O455" s="164"/>
      <c r="P455" s="140"/>
      <c r="Q455" s="327"/>
      <c r="R455" s="140"/>
    </row>
    <row r="456" ht="29.25" hidden="1" customHeight="1">
      <c r="A456" s="189"/>
      <c r="B456" s="323"/>
      <c r="C456" s="324"/>
      <c r="D456" s="325"/>
      <c r="E456" s="314"/>
      <c r="F456" s="166"/>
      <c r="G456" s="161"/>
      <c r="H456" s="161"/>
      <c r="I456" s="162"/>
      <c r="J456" s="163"/>
      <c r="K456" s="163"/>
      <c r="L456" s="163"/>
      <c r="M456" s="160"/>
      <c r="N456" s="162"/>
      <c r="O456" s="164"/>
      <c r="P456" s="140"/>
      <c r="Q456" s="321"/>
      <c r="R456" s="140"/>
    </row>
    <row r="457" ht="29.25" hidden="1" customHeight="1">
      <c r="A457" s="189"/>
      <c r="B457" s="323"/>
      <c r="C457" s="324"/>
      <c r="D457" s="325"/>
      <c r="E457" s="326"/>
      <c r="F457" s="166"/>
      <c r="G457" s="161"/>
      <c r="H457" s="161"/>
      <c r="I457" s="162"/>
      <c r="J457" s="163"/>
      <c r="K457" s="163"/>
      <c r="L457" s="163"/>
      <c r="M457" s="160"/>
      <c r="N457" s="162"/>
      <c r="O457" s="164"/>
      <c r="P457" s="140"/>
      <c r="Q457" s="327"/>
      <c r="R457" s="140"/>
    </row>
    <row r="458" ht="29.25" hidden="1" customHeight="1">
      <c r="A458" s="189"/>
      <c r="B458" s="323"/>
      <c r="C458" s="324"/>
      <c r="D458" s="325"/>
      <c r="E458" s="314"/>
      <c r="F458" s="166"/>
      <c r="G458" s="161"/>
      <c r="H458" s="161"/>
      <c r="I458" s="162"/>
      <c r="J458" s="163"/>
      <c r="K458" s="163"/>
      <c r="L458" s="163"/>
      <c r="M458" s="160"/>
      <c r="N458" s="162"/>
      <c r="O458" s="164"/>
      <c r="P458" s="140"/>
      <c r="Q458" s="321"/>
      <c r="R458" s="140"/>
    </row>
    <row r="459" ht="29.25" hidden="1" customHeight="1">
      <c r="A459" s="189"/>
      <c r="B459" s="323"/>
      <c r="C459" s="324"/>
      <c r="D459" s="325"/>
      <c r="E459" s="326"/>
      <c r="F459" s="166"/>
      <c r="G459" s="161"/>
      <c r="H459" s="161"/>
      <c r="I459" s="162"/>
      <c r="J459" s="163"/>
      <c r="K459" s="163"/>
      <c r="L459" s="163"/>
      <c r="M459" s="160"/>
      <c r="N459" s="162"/>
      <c r="O459" s="164"/>
      <c r="P459" s="140"/>
      <c r="Q459" s="327"/>
      <c r="R459" s="140"/>
    </row>
    <row r="460" ht="29.25" hidden="1" customHeight="1">
      <c r="A460" s="189"/>
      <c r="B460" s="323"/>
      <c r="C460" s="324"/>
      <c r="D460" s="325"/>
      <c r="E460" s="314"/>
      <c r="F460" s="166"/>
      <c r="G460" s="161"/>
      <c r="H460" s="161"/>
      <c r="I460" s="162"/>
      <c r="J460" s="163"/>
      <c r="K460" s="163"/>
      <c r="L460" s="163"/>
      <c r="M460" s="160"/>
      <c r="N460" s="162"/>
      <c r="O460" s="164"/>
      <c r="P460" s="140"/>
      <c r="Q460" s="321"/>
      <c r="R460" s="140"/>
    </row>
    <row r="461" ht="29.25" hidden="1" customHeight="1">
      <c r="A461" s="189"/>
      <c r="B461" s="323"/>
      <c r="C461" s="324"/>
      <c r="D461" s="325"/>
      <c r="E461" s="326"/>
      <c r="F461" s="166"/>
      <c r="G461" s="161"/>
      <c r="H461" s="161"/>
      <c r="I461" s="162"/>
      <c r="J461" s="163"/>
      <c r="K461" s="163"/>
      <c r="L461" s="163"/>
      <c r="M461" s="160"/>
      <c r="N461" s="162"/>
      <c r="O461" s="164"/>
      <c r="P461" s="140"/>
      <c r="Q461" s="327"/>
      <c r="R461" s="140"/>
    </row>
    <row r="462" ht="29.25" hidden="1" customHeight="1">
      <c r="A462" s="189"/>
      <c r="B462" s="323"/>
      <c r="C462" s="324"/>
      <c r="D462" s="325"/>
      <c r="E462" s="314"/>
      <c r="F462" s="166"/>
      <c r="G462" s="161"/>
      <c r="H462" s="161"/>
      <c r="I462" s="162"/>
      <c r="J462" s="163"/>
      <c r="K462" s="163"/>
      <c r="L462" s="163"/>
      <c r="M462" s="160"/>
      <c r="N462" s="162"/>
      <c r="O462" s="164"/>
      <c r="P462" s="140"/>
      <c r="Q462" s="321"/>
      <c r="R462" s="140"/>
    </row>
    <row r="463" ht="29.25" hidden="1" customHeight="1">
      <c r="A463" s="189"/>
      <c r="B463" s="323"/>
      <c r="C463" s="324"/>
      <c r="D463" s="325"/>
      <c r="E463" s="326"/>
      <c r="F463" s="166"/>
      <c r="G463" s="161"/>
      <c r="H463" s="161"/>
      <c r="I463" s="162"/>
      <c r="J463" s="163"/>
      <c r="K463" s="163"/>
      <c r="L463" s="163"/>
      <c r="M463" s="160"/>
      <c r="N463" s="162"/>
      <c r="O463" s="164"/>
      <c r="P463" s="140"/>
      <c r="Q463" s="327"/>
      <c r="R463" s="140"/>
    </row>
    <row r="464" ht="29.25" hidden="1" customHeight="1">
      <c r="A464" s="189"/>
      <c r="B464" s="323"/>
      <c r="C464" s="324"/>
      <c r="D464" s="325"/>
      <c r="E464" s="314"/>
      <c r="F464" s="166"/>
      <c r="G464" s="161"/>
      <c r="H464" s="161"/>
      <c r="I464" s="162"/>
      <c r="J464" s="163"/>
      <c r="K464" s="163"/>
      <c r="L464" s="163"/>
      <c r="M464" s="160"/>
      <c r="N464" s="162"/>
      <c r="O464" s="164"/>
      <c r="P464" s="140"/>
      <c r="Q464" s="321"/>
      <c r="R464" s="140"/>
    </row>
    <row r="465" ht="29.25" hidden="1" customHeight="1">
      <c r="A465" s="189"/>
      <c r="B465" s="323"/>
      <c r="C465" s="324"/>
      <c r="D465" s="325"/>
      <c r="E465" s="326"/>
      <c r="F465" s="166"/>
      <c r="G465" s="161"/>
      <c r="H465" s="161"/>
      <c r="I465" s="162"/>
      <c r="J465" s="163"/>
      <c r="K465" s="163"/>
      <c r="L465" s="163"/>
      <c r="M465" s="160"/>
      <c r="N465" s="162"/>
      <c r="O465" s="164"/>
      <c r="P465" s="140"/>
      <c r="Q465" s="327"/>
      <c r="R465" s="140"/>
    </row>
    <row r="466" ht="29.25" hidden="1" customHeight="1">
      <c r="A466" s="189"/>
      <c r="B466" s="323"/>
      <c r="C466" s="324"/>
      <c r="D466" s="325"/>
      <c r="E466" s="314"/>
      <c r="F466" s="166"/>
      <c r="G466" s="161"/>
      <c r="H466" s="161"/>
      <c r="I466" s="162"/>
      <c r="J466" s="163"/>
      <c r="K466" s="163"/>
      <c r="L466" s="163"/>
      <c r="M466" s="160"/>
      <c r="N466" s="162"/>
      <c r="O466" s="164"/>
      <c r="P466" s="140"/>
      <c r="Q466" s="321"/>
      <c r="R466" s="140"/>
    </row>
    <row r="467" ht="29.25" hidden="1" customHeight="1">
      <c r="A467" s="189"/>
      <c r="B467" s="323"/>
      <c r="C467" s="324"/>
      <c r="D467" s="325"/>
      <c r="E467" s="326"/>
      <c r="F467" s="166"/>
      <c r="G467" s="161"/>
      <c r="H467" s="161"/>
      <c r="I467" s="162"/>
      <c r="J467" s="163"/>
      <c r="K467" s="163"/>
      <c r="L467" s="163"/>
      <c r="M467" s="160"/>
      <c r="N467" s="162"/>
      <c r="O467" s="164"/>
      <c r="P467" s="140"/>
      <c r="Q467" s="327"/>
      <c r="R467" s="140"/>
    </row>
    <row r="468" ht="29.25" hidden="1" customHeight="1">
      <c r="A468" s="189"/>
      <c r="B468" s="323"/>
      <c r="C468" s="324"/>
      <c r="D468" s="325"/>
      <c r="E468" s="314"/>
      <c r="F468" s="166"/>
      <c r="G468" s="161"/>
      <c r="H468" s="161"/>
      <c r="I468" s="162"/>
      <c r="J468" s="163"/>
      <c r="K468" s="163"/>
      <c r="L468" s="163"/>
      <c r="M468" s="160"/>
      <c r="N468" s="162"/>
      <c r="O468" s="164"/>
      <c r="P468" s="140"/>
      <c r="Q468" s="321"/>
      <c r="R468" s="140"/>
    </row>
    <row r="469" ht="29.25" hidden="1" customHeight="1">
      <c r="A469" s="189"/>
      <c r="B469" s="323"/>
      <c r="C469" s="324"/>
      <c r="D469" s="325"/>
      <c r="E469" s="326"/>
      <c r="F469" s="166"/>
      <c r="G469" s="161"/>
      <c r="H469" s="161"/>
      <c r="I469" s="162"/>
      <c r="J469" s="163"/>
      <c r="K469" s="163"/>
      <c r="L469" s="163"/>
      <c r="M469" s="160"/>
      <c r="N469" s="162"/>
      <c r="O469" s="164"/>
      <c r="P469" s="140"/>
      <c r="Q469" s="327"/>
      <c r="R469" s="140"/>
    </row>
    <row r="470" ht="29.25" hidden="1" customHeight="1">
      <c r="A470" s="189"/>
      <c r="B470" s="323"/>
      <c r="C470" s="324"/>
      <c r="D470" s="325"/>
      <c r="E470" s="314"/>
      <c r="F470" s="166"/>
      <c r="G470" s="161"/>
      <c r="H470" s="161"/>
      <c r="I470" s="162"/>
      <c r="J470" s="163"/>
      <c r="K470" s="163"/>
      <c r="L470" s="163"/>
      <c r="M470" s="160"/>
      <c r="N470" s="162"/>
      <c r="O470" s="164"/>
      <c r="P470" s="140"/>
      <c r="Q470" s="321"/>
      <c r="R470" s="140"/>
    </row>
    <row r="471" ht="29.25" hidden="1" customHeight="1">
      <c r="A471" s="189"/>
      <c r="B471" s="323"/>
      <c r="C471" s="324"/>
      <c r="D471" s="325"/>
      <c r="E471" s="326"/>
      <c r="F471" s="166"/>
      <c r="G471" s="161"/>
      <c r="H471" s="161"/>
      <c r="I471" s="162"/>
      <c r="J471" s="163"/>
      <c r="K471" s="163"/>
      <c r="L471" s="163"/>
      <c r="M471" s="160"/>
      <c r="N471" s="162"/>
      <c r="O471" s="164"/>
      <c r="P471" s="140"/>
      <c r="Q471" s="327"/>
      <c r="R471" s="140"/>
    </row>
    <row r="472" ht="29.25" hidden="1" customHeight="1">
      <c r="A472" s="189"/>
      <c r="B472" s="323"/>
      <c r="C472" s="324"/>
      <c r="D472" s="325"/>
      <c r="E472" s="314"/>
      <c r="F472" s="166"/>
      <c r="G472" s="161"/>
      <c r="H472" s="161"/>
      <c r="I472" s="162"/>
      <c r="J472" s="163"/>
      <c r="K472" s="163"/>
      <c r="L472" s="163"/>
      <c r="M472" s="160"/>
      <c r="N472" s="162"/>
      <c r="O472" s="164"/>
      <c r="P472" s="140"/>
      <c r="Q472" s="321"/>
      <c r="R472" s="140"/>
    </row>
    <row r="473" ht="29.25" hidden="1" customHeight="1">
      <c r="A473" s="189"/>
      <c r="B473" s="323"/>
      <c r="C473" s="324"/>
      <c r="D473" s="325"/>
      <c r="E473" s="326"/>
      <c r="F473" s="166"/>
      <c r="G473" s="161"/>
      <c r="H473" s="161"/>
      <c r="I473" s="162"/>
      <c r="J473" s="163"/>
      <c r="K473" s="163"/>
      <c r="L473" s="163"/>
      <c r="M473" s="160"/>
      <c r="N473" s="162"/>
      <c r="O473" s="164"/>
      <c r="P473" s="140"/>
      <c r="Q473" s="327"/>
      <c r="R473" s="140"/>
    </row>
    <row r="474" ht="29.25" hidden="1" customHeight="1">
      <c r="A474" s="189"/>
      <c r="B474" s="323"/>
      <c r="C474" s="324"/>
      <c r="D474" s="325"/>
      <c r="E474" s="314"/>
      <c r="F474" s="166"/>
      <c r="G474" s="161"/>
      <c r="H474" s="161"/>
      <c r="I474" s="162"/>
      <c r="J474" s="163"/>
      <c r="K474" s="163"/>
      <c r="L474" s="163"/>
      <c r="M474" s="160"/>
      <c r="N474" s="162"/>
      <c r="O474" s="164"/>
      <c r="P474" s="140"/>
      <c r="Q474" s="321"/>
      <c r="R474" s="140"/>
    </row>
    <row r="475" ht="29.25" hidden="1" customHeight="1">
      <c r="A475" s="189"/>
      <c r="B475" s="323"/>
      <c r="C475" s="324"/>
      <c r="D475" s="325"/>
      <c r="E475" s="326"/>
      <c r="F475" s="166"/>
      <c r="G475" s="161"/>
      <c r="H475" s="161"/>
      <c r="I475" s="162"/>
      <c r="J475" s="163"/>
      <c r="K475" s="163"/>
      <c r="L475" s="163"/>
      <c r="M475" s="160"/>
      <c r="N475" s="162"/>
      <c r="O475" s="164"/>
      <c r="P475" s="140"/>
      <c r="Q475" s="327"/>
      <c r="R475" s="140"/>
    </row>
    <row r="476" ht="29.25" hidden="1" customHeight="1">
      <c r="A476" s="189"/>
      <c r="B476" s="323"/>
      <c r="C476" s="324"/>
      <c r="D476" s="325"/>
      <c r="E476" s="314"/>
      <c r="F476" s="166"/>
      <c r="G476" s="161"/>
      <c r="H476" s="161"/>
      <c r="I476" s="162"/>
      <c r="J476" s="163"/>
      <c r="K476" s="163"/>
      <c r="L476" s="163"/>
      <c r="M476" s="160"/>
      <c r="N476" s="162"/>
      <c r="O476" s="164"/>
      <c r="P476" s="140"/>
      <c r="Q476" s="321"/>
      <c r="R476" s="140"/>
    </row>
    <row r="477" ht="29.25" hidden="1" customHeight="1">
      <c r="A477" s="189"/>
      <c r="B477" s="323"/>
      <c r="C477" s="324"/>
      <c r="D477" s="325"/>
      <c r="E477" s="326"/>
      <c r="F477" s="166"/>
      <c r="G477" s="161"/>
      <c r="H477" s="161"/>
      <c r="I477" s="162"/>
      <c r="J477" s="163"/>
      <c r="K477" s="163"/>
      <c r="L477" s="163"/>
      <c r="M477" s="160"/>
      <c r="N477" s="162"/>
      <c r="O477" s="164"/>
      <c r="P477" s="140"/>
      <c r="Q477" s="327"/>
      <c r="R477" s="140"/>
    </row>
    <row r="478" ht="29.25" hidden="1" customHeight="1">
      <c r="A478" s="189"/>
      <c r="B478" s="323"/>
      <c r="C478" s="324"/>
      <c r="D478" s="325"/>
      <c r="E478" s="314"/>
      <c r="F478" s="166"/>
      <c r="G478" s="161"/>
      <c r="H478" s="161"/>
      <c r="I478" s="162"/>
      <c r="J478" s="163"/>
      <c r="K478" s="163"/>
      <c r="L478" s="163"/>
      <c r="M478" s="160"/>
      <c r="N478" s="162"/>
      <c r="O478" s="164"/>
      <c r="P478" s="140"/>
      <c r="Q478" s="321"/>
      <c r="R478" s="140"/>
    </row>
    <row r="479" ht="29.25" hidden="1" customHeight="1">
      <c r="A479" s="189"/>
      <c r="B479" s="323"/>
      <c r="C479" s="324"/>
      <c r="D479" s="325"/>
      <c r="E479" s="326"/>
      <c r="F479" s="166"/>
      <c r="G479" s="161"/>
      <c r="H479" s="161"/>
      <c r="I479" s="162"/>
      <c r="J479" s="163"/>
      <c r="K479" s="163"/>
      <c r="L479" s="163"/>
      <c r="M479" s="160"/>
      <c r="N479" s="162"/>
      <c r="O479" s="164"/>
      <c r="P479" s="140"/>
      <c r="Q479" s="327"/>
      <c r="R479" s="140"/>
    </row>
    <row r="480" ht="29.25" hidden="1" customHeight="1">
      <c r="A480" s="189"/>
      <c r="B480" s="323"/>
      <c r="C480" s="324"/>
      <c r="D480" s="325"/>
      <c r="E480" s="314"/>
      <c r="F480" s="166"/>
      <c r="G480" s="161"/>
      <c r="H480" s="161"/>
      <c r="I480" s="162"/>
      <c r="J480" s="163"/>
      <c r="K480" s="163"/>
      <c r="L480" s="163"/>
      <c r="M480" s="160"/>
      <c r="N480" s="162"/>
      <c r="O480" s="164"/>
      <c r="P480" s="140"/>
      <c r="Q480" s="321"/>
      <c r="R480" s="140"/>
    </row>
    <row r="481" ht="29.25" hidden="1" customHeight="1">
      <c r="A481" s="189"/>
      <c r="B481" s="323"/>
      <c r="C481" s="324"/>
      <c r="D481" s="325"/>
      <c r="E481" s="326"/>
      <c r="F481" s="166"/>
      <c r="G481" s="161"/>
      <c r="H481" s="161"/>
      <c r="I481" s="162"/>
      <c r="J481" s="163"/>
      <c r="K481" s="163"/>
      <c r="L481" s="163"/>
      <c r="M481" s="160"/>
      <c r="N481" s="162"/>
      <c r="O481" s="164"/>
      <c r="P481" s="140"/>
      <c r="Q481" s="327"/>
      <c r="R481" s="140"/>
    </row>
    <row r="482" ht="29.25" hidden="1" customHeight="1">
      <c r="A482" s="189"/>
      <c r="B482" s="323"/>
      <c r="C482" s="324"/>
      <c r="D482" s="325"/>
      <c r="E482" s="314"/>
      <c r="F482" s="166"/>
      <c r="G482" s="161"/>
      <c r="H482" s="161"/>
      <c r="I482" s="162"/>
      <c r="J482" s="163"/>
      <c r="K482" s="163"/>
      <c r="L482" s="163"/>
      <c r="M482" s="160"/>
      <c r="N482" s="162"/>
      <c r="O482" s="164"/>
      <c r="P482" s="140"/>
      <c r="Q482" s="321"/>
      <c r="R482" s="140"/>
    </row>
    <row r="483" ht="29.25" hidden="1" customHeight="1">
      <c r="A483" s="189"/>
      <c r="B483" s="323"/>
      <c r="C483" s="324"/>
      <c r="D483" s="325"/>
      <c r="E483" s="326"/>
      <c r="F483" s="166"/>
      <c r="G483" s="161"/>
      <c r="H483" s="161"/>
      <c r="I483" s="162"/>
      <c r="J483" s="163"/>
      <c r="K483" s="163"/>
      <c r="L483" s="163"/>
      <c r="M483" s="160"/>
      <c r="N483" s="162"/>
      <c r="O483" s="164"/>
      <c r="P483" s="140"/>
      <c r="Q483" s="327"/>
      <c r="R483" s="140"/>
    </row>
    <row r="484" ht="29.25" hidden="1" customHeight="1">
      <c r="A484" s="189"/>
      <c r="B484" s="323"/>
      <c r="C484" s="324"/>
      <c r="D484" s="325"/>
      <c r="E484" s="314"/>
      <c r="F484" s="166"/>
      <c r="G484" s="161"/>
      <c r="H484" s="161"/>
      <c r="I484" s="162"/>
      <c r="J484" s="163"/>
      <c r="K484" s="163"/>
      <c r="L484" s="163"/>
      <c r="M484" s="160"/>
      <c r="N484" s="162"/>
      <c r="O484" s="164"/>
      <c r="P484" s="140"/>
      <c r="Q484" s="321"/>
      <c r="R484" s="140"/>
    </row>
    <row r="485" ht="29.25" hidden="1" customHeight="1">
      <c r="A485" s="189"/>
      <c r="B485" s="323"/>
      <c r="C485" s="324"/>
      <c r="D485" s="325"/>
      <c r="E485" s="326"/>
      <c r="F485" s="166"/>
      <c r="G485" s="161"/>
      <c r="H485" s="161"/>
      <c r="I485" s="162"/>
      <c r="J485" s="163"/>
      <c r="K485" s="163"/>
      <c r="L485" s="163"/>
      <c r="M485" s="160"/>
      <c r="N485" s="162"/>
      <c r="O485" s="164"/>
      <c r="P485" s="140"/>
      <c r="Q485" s="327"/>
      <c r="R485" s="140"/>
    </row>
    <row r="486" ht="29.25" hidden="1" customHeight="1">
      <c r="A486" s="189"/>
      <c r="B486" s="323"/>
      <c r="C486" s="324"/>
      <c r="D486" s="325"/>
      <c r="E486" s="314"/>
      <c r="F486" s="166"/>
      <c r="G486" s="161"/>
      <c r="H486" s="161"/>
      <c r="I486" s="162"/>
      <c r="J486" s="163"/>
      <c r="K486" s="163"/>
      <c r="L486" s="163"/>
      <c r="M486" s="160"/>
      <c r="N486" s="162"/>
      <c r="O486" s="164"/>
      <c r="P486" s="140"/>
      <c r="Q486" s="321"/>
      <c r="R486" s="140"/>
    </row>
    <row r="487" ht="29.25" hidden="1" customHeight="1">
      <c r="A487" s="189"/>
      <c r="B487" s="323"/>
      <c r="C487" s="324"/>
      <c r="D487" s="325"/>
      <c r="E487" s="326"/>
      <c r="F487" s="166"/>
      <c r="G487" s="161"/>
      <c r="H487" s="161"/>
      <c r="I487" s="162"/>
      <c r="J487" s="163"/>
      <c r="K487" s="163"/>
      <c r="L487" s="163"/>
      <c r="M487" s="160"/>
      <c r="N487" s="162"/>
      <c r="O487" s="164"/>
      <c r="P487" s="140"/>
      <c r="Q487" s="327"/>
      <c r="R487" s="140"/>
    </row>
    <row r="488" ht="29.25" hidden="1" customHeight="1">
      <c r="A488" s="189"/>
      <c r="B488" s="323"/>
      <c r="C488" s="324"/>
      <c r="D488" s="325"/>
      <c r="E488" s="314"/>
      <c r="F488" s="166"/>
      <c r="G488" s="161"/>
      <c r="H488" s="161"/>
      <c r="I488" s="162"/>
      <c r="J488" s="163"/>
      <c r="K488" s="163"/>
      <c r="L488" s="163"/>
      <c r="M488" s="160"/>
      <c r="N488" s="162"/>
      <c r="O488" s="164"/>
      <c r="P488" s="140"/>
      <c r="Q488" s="321"/>
      <c r="R488" s="140"/>
    </row>
    <row r="489" ht="29.25" hidden="1" customHeight="1">
      <c r="A489" s="189"/>
      <c r="B489" s="323"/>
      <c r="C489" s="324"/>
      <c r="D489" s="325"/>
      <c r="E489" s="326"/>
      <c r="F489" s="166"/>
      <c r="G489" s="161"/>
      <c r="H489" s="161"/>
      <c r="I489" s="162"/>
      <c r="J489" s="163"/>
      <c r="K489" s="163"/>
      <c r="L489" s="163"/>
      <c r="M489" s="160"/>
      <c r="N489" s="162"/>
      <c r="O489" s="164"/>
      <c r="P489" s="140"/>
      <c r="Q489" s="327"/>
      <c r="R489" s="140"/>
    </row>
    <row r="490" ht="29.25" hidden="1" customHeight="1">
      <c r="A490" s="189"/>
      <c r="B490" s="323"/>
      <c r="C490" s="324"/>
      <c r="D490" s="325"/>
      <c r="E490" s="314"/>
      <c r="F490" s="166"/>
      <c r="G490" s="161"/>
      <c r="H490" s="161"/>
      <c r="I490" s="162"/>
      <c r="J490" s="163"/>
      <c r="K490" s="163"/>
      <c r="L490" s="163"/>
      <c r="M490" s="160"/>
      <c r="N490" s="162"/>
      <c r="O490" s="164"/>
      <c r="P490" s="140"/>
      <c r="Q490" s="321"/>
      <c r="R490" s="140"/>
    </row>
    <row r="491" ht="29.25" hidden="1" customHeight="1">
      <c r="A491" s="189"/>
      <c r="B491" s="323"/>
      <c r="C491" s="324"/>
      <c r="D491" s="325"/>
      <c r="E491" s="326"/>
      <c r="F491" s="166"/>
      <c r="G491" s="161"/>
      <c r="H491" s="161"/>
      <c r="I491" s="162"/>
      <c r="J491" s="163"/>
      <c r="K491" s="163"/>
      <c r="L491" s="163"/>
      <c r="M491" s="160"/>
      <c r="N491" s="162"/>
      <c r="O491" s="164"/>
      <c r="P491" s="140"/>
      <c r="Q491" s="327"/>
      <c r="R491" s="140"/>
    </row>
    <row r="492" ht="29.25" hidden="1" customHeight="1">
      <c r="A492" s="189"/>
      <c r="B492" s="323"/>
      <c r="C492" s="324"/>
      <c r="D492" s="325"/>
      <c r="E492" s="314"/>
      <c r="F492" s="166"/>
      <c r="G492" s="161"/>
      <c r="H492" s="161"/>
      <c r="I492" s="162"/>
      <c r="J492" s="163"/>
      <c r="K492" s="163"/>
      <c r="L492" s="163"/>
      <c r="M492" s="160"/>
      <c r="N492" s="162"/>
      <c r="O492" s="164"/>
      <c r="P492" s="140"/>
      <c r="Q492" s="321"/>
      <c r="R492" s="140"/>
    </row>
    <row r="493" ht="29.25" hidden="1" customHeight="1">
      <c r="A493" s="189"/>
      <c r="B493" s="323"/>
      <c r="C493" s="324"/>
      <c r="D493" s="325"/>
      <c r="E493" s="326"/>
      <c r="F493" s="166"/>
      <c r="G493" s="161"/>
      <c r="H493" s="161"/>
      <c r="I493" s="162"/>
      <c r="J493" s="163"/>
      <c r="K493" s="163"/>
      <c r="L493" s="163"/>
      <c r="M493" s="160"/>
      <c r="N493" s="162"/>
      <c r="O493" s="164"/>
      <c r="P493" s="140"/>
      <c r="Q493" s="327"/>
      <c r="R493" s="140"/>
    </row>
    <row r="494" ht="29.25" hidden="1" customHeight="1">
      <c r="A494" s="189"/>
      <c r="B494" s="323"/>
      <c r="C494" s="324"/>
      <c r="D494" s="325"/>
      <c r="E494" s="314"/>
      <c r="F494" s="166"/>
      <c r="G494" s="161"/>
      <c r="H494" s="161"/>
      <c r="I494" s="162"/>
      <c r="J494" s="163"/>
      <c r="K494" s="163"/>
      <c r="L494" s="163"/>
      <c r="M494" s="160"/>
      <c r="N494" s="162"/>
      <c r="O494" s="164"/>
      <c r="P494" s="140"/>
      <c r="Q494" s="321"/>
      <c r="R494" s="140"/>
    </row>
    <row r="495" ht="29.25" hidden="1" customHeight="1">
      <c r="A495" s="189"/>
      <c r="B495" s="323"/>
      <c r="C495" s="324"/>
      <c r="D495" s="325"/>
      <c r="E495" s="326"/>
      <c r="F495" s="166"/>
      <c r="G495" s="161"/>
      <c r="H495" s="161"/>
      <c r="I495" s="162"/>
      <c r="J495" s="163"/>
      <c r="K495" s="163"/>
      <c r="L495" s="163"/>
      <c r="M495" s="160"/>
      <c r="N495" s="162"/>
      <c r="O495" s="164"/>
      <c r="P495" s="140"/>
      <c r="Q495" s="327"/>
      <c r="R495" s="140"/>
    </row>
    <row r="496" ht="29.25" hidden="1" customHeight="1">
      <c r="A496" s="189"/>
      <c r="B496" s="323"/>
      <c r="C496" s="324"/>
      <c r="D496" s="325"/>
      <c r="E496" s="314"/>
      <c r="F496" s="166"/>
      <c r="G496" s="161"/>
      <c r="H496" s="161"/>
      <c r="I496" s="162"/>
      <c r="J496" s="163"/>
      <c r="K496" s="163"/>
      <c r="L496" s="163"/>
      <c r="M496" s="160"/>
      <c r="N496" s="162"/>
      <c r="O496" s="164"/>
      <c r="P496" s="140"/>
      <c r="Q496" s="321"/>
      <c r="R496" s="140"/>
    </row>
    <row r="497" ht="29.25" hidden="1" customHeight="1">
      <c r="A497" s="189"/>
      <c r="B497" s="323"/>
      <c r="C497" s="324"/>
      <c r="D497" s="325"/>
      <c r="E497" s="326"/>
      <c r="F497" s="166"/>
      <c r="G497" s="161"/>
      <c r="H497" s="161"/>
      <c r="I497" s="162"/>
      <c r="J497" s="163"/>
      <c r="K497" s="163"/>
      <c r="L497" s="163"/>
      <c r="M497" s="160"/>
      <c r="N497" s="162"/>
      <c r="O497" s="164"/>
      <c r="P497" s="140"/>
      <c r="Q497" s="327"/>
      <c r="R497" s="140"/>
    </row>
    <row r="498" ht="29.25" hidden="1" customHeight="1">
      <c r="A498" s="189"/>
      <c r="B498" s="323"/>
      <c r="C498" s="324"/>
      <c r="D498" s="325"/>
      <c r="E498" s="314"/>
      <c r="F498" s="166"/>
      <c r="G498" s="161"/>
      <c r="H498" s="161"/>
      <c r="I498" s="162"/>
      <c r="J498" s="163"/>
      <c r="K498" s="163"/>
      <c r="L498" s="163"/>
      <c r="M498" s="160"/>
      <c r="N498" s="162"/>
      <c r="O498" s="164"/>
      <c r="P498" s="140"/>
      <c r="Q498" s="321"/>
      <c r="R498" s="140"/>
    </row>
    <row r="499" ht="29.25" hidden="1" customHeight="1">
      <c r="A499" s="189"/>
      <c r="B499" s="323"/>
      <c r="C499" s="324"/>
      <c r="D499" s="325"/>
      <c r="E499" s="326"/>
      <c r="F499" s="166"/>
      <c r="G499" s="161"/>
      <c r="H499" s="161"/>
      <c r="I499" s="162"/>
      <c r="J499" s="163"/>
      <c r="K499" s="163"/>
      <c r="L499" s="163"/>
      <c r="M499" s="160"/>
      <c r="N499" s="162"/>
      <c r="O499" s="164"/>
      <c r="P499" s="140"/>
      <c r="Q499" s="327"/>
      <c r="R499" s="140"/>
    </row>
    <row r="500" ht="29.25" hidden="1" customHeight="1">
      <c r="A500" s="189"/>
      <c r="B500" s="323"/>
      <c r="C500" s="324"/>
      <c r="D500" s="325"/>
      <c r="E500" s="314"/>
      <c r="F500" s="166"/>
      <c r="G500" s="161"/>
      <c r="H500" s="161"/>
      <c r="I500" s="162"/>
      <c r="J500" s="163"/>
      <c r="K500" s="163"/>
      <c r="L500" s="163"/>
      <c r="M500" s="160"/>
      <c r="N500" s="162"/>
      <c r="O500" s="164"/>
      <c r="P500" s="140"/>
      <c r="Q500" s="321"/>
      <c r="R500" s="140"/>
    </row>
    <row r="501" ht="29.25" hidden="1" customHeight="1">
      <c r="A501" s="189"/>
      <c r="B501" s="323"/>
      <c r="C501" s="324"/>
      <c r="D501" s="325"/>
      <c r="E501" s="326"/>
      <c r="F501" s="166"/>
      <c r="G501" s="161"/>
      <c r="H501" s="161"/>
      <c r="I501" s="162"/>
      <c r="J501" s="163"/>
      <c r="K501" s="163"/>
      <c r="L501" s="163"/>
      <c r="M501" s="160"/>
      <c r="N501" s="162"/>
      <c r="O501" s="164"/>
      <c r="P501" s="140"/>
      <c r="Q501" s="327"/>
      <c r="R501" s="140"/>
    </row>
    <row r="502" ht="29.25" hidden="1" customHeight="1">
      <c r="A502" s="189"/>
      <c r="B502" s="323"/>
      <c r="C502" s="324"/>
      <c r="D502" s="325"/>
      <c r="E502" s="314"/>
      <c r="F502" s="166"/>
      <c r="G502" s="161"/>
      <c r="H502" s="161"/>
      <c r="I502" s="162"/>
      <c r="J502" s="163"/>
      <c r="K502" s="163"/>
      <c r="L502" s="163"/>
      <c r="M502" s="160"/>
      <c r="N502" s="162"/>
      <c r="O502" s="164"/>
      <c r="P502" s="140"/>
      <c r="Q502" s="321"/>
      <c r="R502" s="140"/>
    </row>
    <row r="503" ht="29.25" hidden="1" customHeight="1">
      <c r="A503" s="189"/>
      <c r="B503" s="323"/>
      <c r="C503" s="324"/>
      <c r="D503" s="325"/>
      <c r="E503" s="326"/>
      <c r="F503" s="166"/>
      <c r="G503" s="161"/>
      <c r="H503" s="161"/>
      <c r="I503" s="162"/>
      <c r="J503" s="163"/>
      <c r="K503" s="163"/>
      <c r="L503" s="163"/>
      <c r="M503" s="160"/>
      <c r="N503" s="162"/>
      <c r="O503" s="164"/>
      <c r="P503" s="140"/>
      <c r="Q503" s="327"/>
      <c r="R503" s="140"/>
    </row>
    <row r="504" ht="29.25" hidden="1" customHeight="1">
      <c r="A504" s="189"/>
      <c r="B504" s="323"/>
      <c r="C504" s="324"/>
      <c r="D504" s="325"/>
      <c r="E504" s="314"/>
      <c r="F504" s="166"/>
      <c r="G504" s="161"/>
      <c r="H504" s="161"/>
      <c r="I504" s="162"/>
      <c r="J504" s="163"/>
      <c r="K504" s="163"/>
      <c r="L504" s="163"/>
      <c r="M504" s="160"/>
      <c r="N504" s="162"/>
      <c r="O504" s="164"/>
      <c r="P504" s="140"/>
      <c r="Q504" s="321"/>
      <c r="R504" s="140"/>
    </row>
    <row r="505" ht="29.25" hidden="1" customHeight="1">
      <c r="A505" s="189"/>
      <c r="B505" s="323"/>
      <c r="C505" s="324"/>
      <c r="D505" s="325"/>
      <c r="E505" s="326"/>
      <c r="F505" s="166"/>
      <c r="G505" s="161"/>
      <c r="H505" s="161"/>
      <c r="I505" s="162"/>
      <c r="J505" s="163"/>
      <c r="K505" s="163"/>
      <c r="L505" s="163"/>
      <c r="M505" s="160"/>
      <c r="N505" s="162"/>
      <c r="O505" s="164"/>
      <c r="P505" s="140"/>
      <c r="Q505" s="327"/>
      <c r="R505" s="140"/>
    </row>
    <row r="506" ht="29.25" hidden="1" customHeight="1">
      <c r="A506" s="189"/>
      <c r="B506" s="323"/>
      <c r="C506" s="324"/>
      <c r="D506" s="325"/>
      <c r="E506" s="314"/>
      <c r="F506" s="166"/>
      <c r="G506" s="161"/>
      <c r="H506" s="161"/>
      <c r="I506" s="162"/>
      <c r="J506" s="163"/>
      <c r="K506" s="163"/>
      <c r="L506" s="163"/>
      <c r="M506" s="160"/>
      <c r="N506" s="162"/>
      <c r="O506" s="164"/>
      <c r="P506" s="140"/>
      <c r="Q506" s="321"/>
      <c r="R506" s="140"/>
    </row>
    <row r="507" ht="29.25" hidden="1" customHeight="1">
      <c r="A507" s="189"/>
      <c r="B507" s="323"/>
      <c r="C507" s="324"/>
      <c r="D507" s="325"/>
      <c r="E507" s="326"/>
      <c r="F507" s="166"/>
      <c r="G507" s="161"/>
      <c r="H507" s="161"/>
      <c r="I507" s="162"/>
      <c r="J507" s="163"/>
      <c r="K507" s="163"/>
      <c r="L507" s="163"/>
      <c r="M507" s="160"/>
      <c r="N507" s="162"/>
      <c r="O507" s="164"/>
      <c r="P507" s="140"/>
      <c r="Q507" s="327"/>
      <c r="R507" s="140"/>
    </row>
    <row r="508" ht="29.25" hidden="1" customHeight="1">
      <c r="A508" s="189"/>
      <c r="B508" s="323"/>
      <c r="C508" s="324"/>
      <c r="D508" s="325"/>
      <c r="E508" s="314"/>
      <c r="F508" s="166"/>
      <c r="G508" s="161"/>
      <c r="H508" s="161"/>
      <c r="I508" s="162"/>
      <c r="J508" s="163"/>
      <c r="K508" s="163"/>
      <c r="L508" s="163"/>
      <c r="M508" s="160"/>
      <c r="N508" s="162"/>
      <c r="O508" s="164"/>
      <c r="P508" s="140"/>
      <c r="Q508" s="321"/>
      <c r="R508" s="140"/>
    </row>
    <row r="509" ht="29.25" hidden="1" customHeight="1">
      <c r="A509" s="189"/>
      <c r="B509" s="323"/>
      <c r="C509" s="324"/>
      <c r="D509" s="325"/>
      <c r="E509" s="326"/>
      <c r="F509" s="166"/>
      <c r="G509" s="161"/>
      <c r="H509" s="161"/>
      <c r="I509" s="162"/>
      <c r="J509" s="163"/>
      <c r="K509" s="163"/>
      <c r="L509" s="163"/>
      <c r="M509" s="160"/>
      <c r="N509" s="162"/>
      <c r="O509" s="164"/>
      <c r="P509" s="140"/>
      <c r="Q509" s="327"/>
      <c r="R509" s="140"/>
    </row>
    <row r="510" ht="29.25" hidden="1" customHeight="1">
      <c r="A510" s="189"/>
      <c r="B510" s="323"/>
      <c r="C510" s="324"/>
      <c r="D510" s="325"/>
      <c r="E510" s="314"/>
      <c r="F510" s="166"/>
      <c r="G510" s="161"/>
      <c r="H510" s="161"/>
      <c r="I510" s="162"/>
      <c r="J510" s="163"/>
      <c r="K510" s="163"/>
      <c r="L510" s="163"/>
      <c r="M510" s="160"/>
      <c r="N510" s="162"/>
      <c r="O510" s="164"/>
      <c r="P510" s="140"/>
      <c r="Q510" s="321"/>
      <c r="R510" s="140"/>
    </row>
    <row r="511" ht="29.25" hidden="1" customHeight="1">
      <c r="A511" s="189"/>
      <c r="B511" s="323"/>
      <c r="C511" s="324"/>
      <c r="D511" s="325"/>
      <c r="E511" s="326"/>
      <c r="F511" s="166"/>
      <c r="G511" s="161"/>
      <c r="H511" s="161"/>
      <c r="I511" s="162"/>
      <c r="J511" s="163"/>
      <c r="K511" s="163"/>
      <c r="L511" s="163"/>
      <c r="M511" s="160"/>
      <c r="N511" s="162"/>
      <c r="O511" s="164"/>
      <c r="P511" s="140"/>
      <c r="Q511" s="327"/>
      <c r="R511" s="140"/>
    </row>
    <row r="512" ht="29.25" hidden="1" customHeight="1">
      <c r="A512" s="189"/>
      <c r="B512" s="323"/>
      <c r="C512" s="324"/>
      <c r="D512" s="325"/>
      <c r="E512" s="314"/>
      <c r="F512" s="166"/>
      <c r="G512" s="161"/>
      <c r="H512" s="161"/>
      <c r="I512" s="162"/>
      <c r="J512" s="163"/>
      <c r="K512" s="163"/>
      <c r="L512" s="163"/>
      <c r="M512" s="160"/>
      <c r="N512" s="162"/>
      <c r="O512" s="164"/>
      <c r="P512" s="140"/>
      <c r="Q512" s="321"/>
      <c r="R512" s="140"/>
    </row>
    <row r="513" ht="29.25" hidden="1" customHeight="1">
      <c r="A513" s="189"/>
      <c r="B513" s="323"/>
      <c r="C513" s="324"/>
      <c r="D513" s="325"/>
      <c r="E513" s="326"/>
      <c r="F513" s="166"/>
      <c r="G513" s="161"/>
      <c r="H513" s="161"/>
      <c r="I513" s="162"/>
      <c r="J513" s="163"/>
      <c r="K513" s="163"/>
      <c r="L513" s="163"/>
      <c r="M513" s="160"/>
      <c r="N513" s="162"/>
      <c r="O513" s="164"/>
      <c r="P513" s="140"/>
      <c r="Q513" s="327"/>
      <c r="R513" s="140"/>
    </row>
    <row r="514" ht="29.25" hidden="1" customHeight="1">
      <c r="A514" s="189"/>
      <c r="B514" s="323"/>
      <c r="C514" s="324"/>
      <c r="D514" s="325"/>
      <c r="E514" s="314"/>
      <c r="F514" s="166"/>
      <c r="G514" s="161"/>
      <c r="H514" s="161"/>
      <c r="I514" s="162"/>
      <c r="J514" s="163"/>
      <c r="K514" s="163"/>
      <c r="L514" s="163"/>
      <c r="M514" s="160"/>
      <c r="N514" s="162"/>
      <c r="O514" s="164"/>
      <c r="P514" s="140"/>
      <c r="Q514" s="321"/>
      <c r="R514" s="140"/>
    </row>
    <row r="515" ht="29.25" hidden="1" customHeight="1">
      <c r="A515" s="189"/>
      <c r="B515" s="323"/>
      <c r="C515" s="324"/>
      <c r="D515" s="325"/>
      <c r="E515" s="326"/>
      <c r="F515" s="166"/>
      <c r="G515" s="161"/>
      <c r="H515" s="161"/>
      <c r="I515" s="162"/>
      <c r="J515" s="163"/>
      <c r="K515" s="163"/>
      <c r="L515" s="163"/>
      <c r="M515" s="160"/>
      <c r="N515" s="162"/>
      <c r="O515" s="164"/>
      <c r="P515" s="140"/>
      <c r="Q515" s="327"/>
      <c r="R515" s="140"/>
    </row>
    <row r="516" ht="29.25" hidden="1" customHeight="1">
      <c r="A516" s="189"/>
      <c r="B516" s="323"/>
      <c r="C516" s="324"/>
      <c r="D516" s="325"/>
      <c r="E516" s="314"/>
      <c r="F516" s="166"/>
      <c r="G516" s="161"/>
      <c r="H516" s="161"/>
      <c r="I516" s="162"/>
      <c r="J516" s="163"/>
      <c r="K516" s="163"/>
      <c r="L516" s="163"/>
      <c r="M516" s="160"/>
      <c r="N516" s="162"/>
      <c r="O516" s="164"/>
      <c r="P516" s="140"/>
      <c r="Q516" s="321"/>
      <c r="R516" s="140"/>
    </row>
    <row r="517" ht="29.25" hidden="1" customHeight="1">
      <c r="A517" s="189"/>
      <c r="B517" s="323"/>
      <c r="C517" s="324"/>
      <c r="D517" s="325"/>
      <c r="E517" s="326"/>
      <c r="F517" s="166"/>
      <c r="G517" s="161"/>
      <c r="H517" s="161"/>
      <c r="I517" s="162"/>
      <c r="J517" s="163"/>
      <c r="K517" s="163"/>
      <c r="L517" s="163"/>
      <c r="M517" s="160"/>
      <c r="N517" s="162"/>
      <c r="O517" s="164"/>
      <c r="P517" s="140"/>
      <c r="Q517" s="327"/>
      <c r="R517" s="140"/>
    </row>
    <row r="518" ht="29.25" hidden="1" customHeight="1">
      <c r="A518" s="189"/>
      <c r="B518" s="323"/>
      <c r="C518" s="324"/>
      <c r="D518" s="325"/>
      <c r="E518" s="314"/>
      <c r="F518" s="166"/>
      <c r="G518" s="161"/>
      <c r="H518" s="161"/>
      <c r="I518" s="162"/>
      <c r="J518" s="163"/>
      <c r="K518" s="163"/>
      <c r="L518" s="163"/>
      <c r="M518" s="160"/>
      <c r="N518" s="162"/>
      <c r="O518" s="164"/>
      <c r="P518" s="140"/>
      <c r="Q518" s="321"/>
      <c r="R518" s="140"/>
    </row>
    <row r="519" ht="29.25" hidden="1" customHeight="1">
      <c r="A519" s="189"/>
      <c r="B519" s="323"/>
      <c r="C519" s="324"/>
      <c r="D519" s="325"/>
      <c r="E519" s="326"/>
      <c r="F519" s="166"/>
      <c r="G519" s="161"/>
      <c r="H519" s="161"/>
      <c r="I519" s="162"/>
      <c r="J519" s="163"/>
      <c r="K519" s="163"/>
      <c r="L519" s="163"/>
      <c r="M519" s="160"/>
      <c r="N519" s="162"/>
      <c r="O519" s="164"/>
      <c r="P519" s="140"/>
      <c r="Q519" s="327"/>
      <c r="R519" s="140"/>
    </row>
    <row r="520" ht="29.25" hidden="1" customHeight="1">
      <c r="A520" s="189"/>
      <c r="B520" s="323"/>
      <c r="C520" s="324"/>
      <c r="D520" s="325"/>
      <c r="E520" s="314"/>
      <c r="F520" s="166"/>
      <c r="G520" s="161"/>
      <c r="H520" s="161"/>
      <c r="I520" s="162"/>
      <c r="J520" s="163"/>
      <c r="K520" s="163"/>
      <c r="L520" s="163"/>
      <c r="M520" s="160"/>
      <c r="N520" s="162"/>
      <c r="O520" s="164"/>
      <c r="P520" s="140"/>
      <c r="Q520" s="321"/>
      <c r="R520" s="140"/>
    </row>
    <row r="521" ht="29.25" hidden="1" customHeight="1">
      <c r="A521" s="189"/>
      <c r="B521" s="323"/>
      <c r="C521" s="324"/>
      <c r="D521" s="325"/>
      <c r="E521" s="326"/>
      <c r="F521" s="166"/>
      <c r="G521" s="161"/>
      <c r="H521" s="161"/>
      <c r="I521" s="162"/>
      <c r="J521" s="163"/>
      <c r="K521" s="163"/>
      <c r="L521" s="163"/>
      <c r="M521" s="160"/>
      <c r="N521" s="162"/>
      <c r="O521" s="164"/>
      <c r="P521" s="140"/>
      <c r="Q521" s="327"/>
      <c r="R521" s="140"/>
    </row>
    <row r="522" ht="29.25" hidden="1" customHeight="1">
      <c r="A522" s="189"/>
      <c r="B522" s="323"/>
      <c r="C522" s="324"/>
      <c r="D522" s="325"/>
      <c r="E522" s="314"/>
      <c r="F522" s="166"/>
      <c r="G522" s="161"/>
      <c r="H522" s="161"/>
      <c r="I522" s="162"/>
      <c r="J522" s="163"/>
      <c r="K522" s="163"/>
      <c r="L522" s="163"/>
      <c r="M522" s="160"/>
      <c r="N522" s="162"/>
      <c r="O522" s="164"/>
      <c r="P522" s="140"/>
      <c r="Q522" s="321"/>
      <c r="R522" s="140"/>
    </row>
    <row r="523" ht="29.25" hidden="1" customHeight="1">
      <c r="A523" s="189"/>
      <c r="B523" s="323"/>
      <c r="C523" s="324"/>
      <c r="D523" s="325"/>
      <c r="E523" s="326"/>
      <c r="F523" s="166"/>
      <c r="G523" s="161"/>
      <c r="H523" s="161"/>
      <c r="I523" s="162"/>
      <c r="J523" s="163"/>
      <c r="K523" s="163"/>
      <c r="L523" s="163"/>
      <c r="M523" s="160"/>
      <c r="N523" s="162"/>
      <c r="O523" s="164"/>
      <c r="P523" s="140"/>
      <c r="Q523" s="327"/>
      <c r="R523" s="140"/>
    </row>
    <row r="524" ht="29.25" hidden="1" customHeight="1">
      <c r="A524" s="189"/>
      <c r="B524" s="323"/>
      <c r="C524" s="324"/>
      <c r="D524" s="325"/>
      <c r="E524" s="314"/>
      <c r="F524" s="166"/>
      <c r="G524" s="161"/>
      <c r="H524" s="161"/>
      <c r="I524" s="162"/>
      <c r="J524" s="163"/>
      <c r="K524" s="163"/>
      <c r="L524" s="163"/>
      <c r="M524" s="160"/>
      <c r="N524" s="162"/>
      <c r="O524" s="164"/>
      <c r="P524" s="140"/>
      <c r="Q524" s="321"/>
      <c r="R524" s="140"/>
    </row>
    <row r="525" ht="29.25" hidden="1" customHeight="1">
      <c r="A525" s="189"/>
      <c r="B525" s="323"/>
      <c r="C525" s="324"/>
      <c r="D525" s="325"/>
      <c r="E525" s="326"/>
      <c r="F525" s="166"/>
      <c r="G525" s="161"/>
      <c r="H525" s="161"/>
      <c r="I525" s="162"/>
      <c r="J525" s="163"/>
      <c r="K525" s="163"/>
      <c r="L525" s="163"/>
      <c r="M525" s="160"/>
      <c r="N525" s="162"/>
      <c r="O525" s="164"/>
      <c r="P525" s="140"/>
      <c r="Q525" s="327"/>
      <c r="R525" s="140"/>
    </row>
    <row r="526" ht="29.25" hidden="1" customHeight="1">
      <c r="A526" s="189"/>
      <c r="B526" s="323"/>
      <c r="C526" s="324"/>
      <c r="D526" s="325"/>
      <c r="E526" s="314"/>
      <c r="F526" s="166"/>
      <c r="G526" s="161"/>
      <c r="H526" s="161"/>
      <c r="I526" s="162"/>
      <c r="J526" s="163"/>
      <c r="K526" s="163"/>
      <c r="L526" s="163"/>
      <c r="M526" s="160"/>
      <c r="N526" s="162"/>
      <c r="O526" s="164"/>
      <c r="P526" s="140"/>
      <c r="Q526" s="321"/>
      <c r="R526" s="140"/>
    </row>
    <row r="527" ht="29.25" hidden="1" customHeight="1">
      <c r="A527" s="189"/>
      <c r="B527" s="323"/>
      <c r="C527" s="324"/>
      <c r="D527" s="325"/>
      <c r="E527" s="326"/>
      <c r="F527" s="166"/>
      <c r="G527" s="161"/>
      <c r="H527" s="161"/>
      <c r="I527" s="162"/>
      <c r="J527" s="163"/>
      <c r="K527" s="163"/>
      <c r="L527" s="163"/>
      <c r="M527" s="160"/>
      <c r="N527" s="162"/>
      <c r="O527" s="164"/>
      <c r="P527" s="140"/>
      <c r="Q527" s="327"/>
      <c r="R527" s="140"/>
    </row>
    <row r="528" ht="29.25" hidden="1" customHeight="1">
      <c r="A528" s="189"/>
      <c r="B528" s="323"/>
      <c r="C528" s="324"/>
      <c r="D528" s="325"/>
      <c r="E528" s="314"/>
      <c r="F528" s="166"/>
      <c r="G528" s="161"/>
      <c r="H528" s="161"/>
      <c r="I528" s="162"/>
      <c r="J528" s="163"/>
      <c r="K528" s="163"/>
      <c r="L528" s="163"/>
      <c r="M528" s="160"/>
      <c r="N528" s="162"/>
      <c r="O528" s="164"/>
      <c r="P528" s="140"/>
      <c r="Q528" s="321"/>
      <c r="R528" s="140"/>
    </row>
    <row r="529" ht="29.25" hidden="1" customHeight="1">
      <c r="A529" s="189"/>
      <c r="B529" s="323"/>
      <c r="C529" s="324"/>
      <c r="D529" s="325"/>
      <c r="E529" s="326"/>
      <c r="F529" s="166"/>
      <c r="G529" s="161"/>
      <c r="H529" s="161"/>
      <c r="I529" s="162"/>
      <c r="J529" s="163"/>
      <c r="K529" s="163"/>
      <c r="L529" s="163"/>
      <c r="M529" s="160"/>
      <c r="N529" s="162"/>
      <c r="O529" s="164"/>
      <c r="P529" s="140"/>
      <c r="Q529" s="327"/>
      <c r="R529" s="140"/>
    </row>
    <row r="530" ht="29.25" hidden="1" customHeight="1">
      <c r="A530" s="189"/>
      <c r="B530" s="323"/>
      <c r="C530" s="324"/>
      <c r="D530" s="325"/>
      <c r="E530" s="314"/>
      <c r="F530" s="166"/>
      <c r="G530" s="161"/>
      <c r="H530" s="161"/>
      <c r="I530" s="162"/>
      <c r="J530" s="163"/>
      <c r="K530" s="163"/>
      <c r="L530" s="163"/>
      <c r="M530" s="160"/>
      <c r="N530" s="162"/>
      <c r="O530" s="164"/>
      <c r="P530" s="140"/>
      <c r="Q530" s="321"/>
      <c r="R530" s="140"/>
    </row>
    <row r="531" ht="29.25" hidden="1" customHeight="1">
      <c r="A531" s="189"/>
      <c r="B531" s="323"/>
      <c r="C531" s="324"/>
      <c r="D531" s="325"/>
      <c r="E531" s="326"/>
      <c r="F531" s="166"/>
      <c r="G531" s="161"/>
      <c r="H531" s="161"/>
      <c r="I531" s="162"/>
      <c r="J531" s="163"/>
      <c r="K531" s="163"/>
      <c r="L531" s="163"/>
      <c r="M531" s="160"/>
      <c r="N531" s="162"/>
      <c r="O531" s="164"/>
      <c r="P531" s="140"/>
      <c r="Q531" s="327"/>
      <c r="R531" s="140"/>
    </row>
    <row r="532" ht="29.25" hidden="1" customHeight="1">
      <c r="A532" s="189"/>
      <c r="B532" s="323"/>
      <c r="C532" s="324"/>
      <c r="D532" s="325"/>
      <c r="E532" s="314"/>
      <c r="F532" s="166"/>
      <c r="G532" s="161"/>
      <c r="H532" s="161"/>
      <c r="I532" s="162"/>
      <c r="J532" s="163"/>
      <c r="K532" s="163"/>
      <c r="L532" s="163"/>
      <c r="M532" s="160"/>
      <c r="N532" s="162"/>
      <c r="O532" s="164"/>
      <c r="P532" s="140"/>
      <c r="Q532" s="321"/>
      <c r="R532" s="140"/>
    </row>
    <row r="533" ht="29.25" hidden="1" customHeight="1">
      <c r="A533" s="189"/>
      <c r="B533" s="323"/>
      <c r="C533" s="324"/>
      <c r="D533" s="325"/>
      <c r="E533" s="326"/>
      <c r="F533" s="166"/>
      <c r="G533" s="161"/>
      <c r="H533" s="161"/>
      <c r="I533" s="162"/>
      <c r="J533" s="163"/>
      <c r="K533" s="163"/>
      <c r="L533" s="163"/>
      <c r="M533" s="160"/>
      <c r="N533" s="162"/>
      <c r="O533" s="164"/>
      <c r="P533" s="140"/>
      <c r="Q533" s="327"/>
      <c r="R533" s="140"/>
    </row>
    <row r="534" ht="29.25" hidden="1" customHeight="1">
      <c r="A534" s="189"/>
      <c r="B534" s="323"/>
      <c r="C534" s="324"/>
      <c r="D534" s="325"/>
      <c r="E534" s="314"/>
      <c r="F534" s="166"/>
      <c r="G534" s="161"/>
      <c r="H534" s="161"/>
      <c r="I534" s="162"/>
      <c r="J534" s="163"/>
      <c r="K534" s="163"/>
      <c r="L534" s="163"/>
      <c r="M534" s="160"/>
      <c r="N534" s="162"/>
      <c r="O534" s="164"/>
      <c r="P534" s="140"/>
      <c r="Q534" s="321"/>
      <c r="R534" s="140"/>
    </row>
    <row r="535" ht="29.25" hidden="1" customHeight="1">
      <c r="A535" s="189"/>
      <c r="B535" s="323"/>
      <c r="C535" s="324"/>
      <c r="D535" s="325"/>
      <c r="E535" s="326"/>
      <c r="F535" s="166"/>
      <c r="G535" s="161"/>
      <c r="H535" s="161"/>
      <c r="I535" s="162"/>
      <c r="J535" s="163"/>
      <c r="K535" s="163"/>
      <c r="L535" s="163"/>
      <c r="M535" s="160"/>
      <c r="N535" s="162"/>
      <c r="O535" s="164"/>
      <c r="P535" s="140"/>
      <c r="Q535" s="327"/>
      <c r="R535" s="140"/>
    </row>
    <row r="536" ht="29.25" hidden="1" customHeight="1">
      <c r="A536" s="189"/>
      <c r="B536" s="323"/>
      <c r="C536" s="324"/>
      <c r="D536" s="325"/>
      <c r="E536" s="314"/>
      <c r="F536" s="166"/>
      <c r="G536" s="161"/>
      <c r="H536" s="161"/>
      <c r="I536" s="162"/>
      <c r="J536" s="163"/>
      <c r="K536" s="163"/>
      <c r="L536" s="163"/>
      <c r="M536" s="160"/>
      <c r="N536" s="162"/>
      <c r="O536" s="164"/>
      <c r="P536" s="140"/>
      <c r="Q536" s="321"/>
      <c r="R536" s="140"/>
    </row>
    <row r="537" ht="29.25" hidden="1" customHeight="1">
      <c r="A537" s="189"/>
      <c r="B537" s="323"/>
      <c r="C537" s="324"/>
      <c r="D537" s="325"/>
      <c r="E537" s="326"/>
      <c r="F537" s="166"/>
      <c r="G537" s="161"/>
      <c r="H537" s="161"/>
      <c r="I537" s="162"/>
      <c r="J537" s="163"/>
      <c r="K537" s="163"/>
      <c r="L537" s="163"/>
      <c r="M537" s="160"/>
      <c r="N537" s="162"/>
      <c r="O537" s="164"/>
      <c r="P537" s="140"/>
      <c r="Q537" s="327"/>
      <c r="R537" s="140"/>
    </row>
    <row r="538" ht="29.25" hidden="1" customHeight="1">
      <c r="A538" s="189"/>
      <c r="B538" s="323"/>
      <c r="C538" s="324"/>
      <c r="D538" s="325"/>
      <c r="E538" s="314"/>
      <c r="F538" s="166"/>
      <c r="G538" s="161"/>
      <c r="H538" s="161"/>
      <c r="I538" s="162"/>
      <c r="J538" s="163"/>
      <c r="K538" s="163"/>
      <c r="L538" s="163"/>
      <c r="M538" s="160"/>
      <c r="N538" s="162"/>
      <c r="O538" s="164"/>
      <c r="P538" s="140"/>
      <c r="Q538" s="321"/>
      <c r="R538" s="140"/>
    </row>
    <row r="539" ht="29.25" hidden="1" customHeight="1">
      <c r="A539" s="189"/>
      <c r="B539" s="323"/>
      <c r="C539" s="324"/>
      <c r="D539" s="325"/>
      <c r="E539" s="326"/>
      <c r="F539" s="166"/>
      <c r="G539" s="161"/>
      <c r="H539" s="161"/>
      <c r="I539" s="162"/>
      <c r="J539" s="163"/>
      <c r="K539" s="163"/>
      <c r="L539" s="163"/>
      <c r="M539" s="160"/>
      <c r="N539" s="162"/>
      <c r="O539" s="164"/>
      <c r="P539" s="140"/>
      <c r="Q539" s="327"/>
      <c r="R539" s="140"/>
    </row>
    <row r="540" ht="29.25" hidden="1" customHeight="1">
      <c r="A540" s="189"/>
      <c r="B540" s="323"/>
      <c r="C540" s="324"/>
      <c r="D540" s="325"/>
      <c r="E540" s="314"/>
      <c r="F540" s="166"/>
      <c r="G540" s="161"/>
      <c r="H540" s="161"/>
      <c r="I540" s="162"/>
      <c r="J540" s="163"/>
      <c r="K540" s="163"/>
      <c r="L540" s="163"/>
      <c r="M540" s="160"/>
      <c r="N540" s="162"/>
      <c r="O540" s="164"/>
      <c r="P540" s="140"/>
      <c r="Q540" s="321"/>
      <c r="R540" s="140"/>
    </row>
    <row r="541" ht="29.25" hidden="1" customHeight="1">
      <c r="A541" s="189"/>
      <c r="B541" s="323"/>
      <c r="C541" s="324"/>
      <c r="D541" s="325"/>
      <c r="E541" s="326"/>
      <c r="F541" s="166"/>
      <c r="G541" s="161"/>
      <c r="H541" s="161"/>
      <c r="I541" s="162"/>
      <c r="J541" s="163"/>
      <c r="K541" s="163"/>
      <c r="L541" s="163"/>
      <c r="M541" s="160"/>
      <c r="N541" s="162"/>
      <c r="O541" s="164"/>
      <c r="P541" s="140"/>
      <c r="Q541" s="327"/>
      <c r="R541" s="140"/>
    </row>
    <row r="542" ht="29.25" hidden="1" customHeight="1">
      <c r="A542" s="189"/>
      <c r="B542" s="323"/>
      <c r="C542" s="324"/>
      <c r="D542" s="325"/>
      <c r="E542" s="314"/>
      <c r="F542" s="166"/>
      <c r="G542" s="161"/>
      <c r="H542" s="161"/>
      <c r="I542" s="162"/>
      <c r="J542" s="163"/>
      <c r="K542" s="163"/>
      <c r="L542" s="163"/>
      <c r="M542" s="160"/>
      <c r="N542" s="162"/>
      <c r="O542" s="164"/>
      <c r="P542" s="140"/>
      <c r="Q542" s="321"/>
      <c r="R542" s="140"/>
    </row>
    <row r="543" ht="29.25" hidden="1" customHeight="1">
      <c r="A543" s="189"/>
      <c r="B543" s="323"/>
      <c r="C543" s="324"/>
      <c r="D543" s="325"/>
      <c r="E543" s="326"/>
      <c r="F543" s="166"/>
      <c r="G543" s="161"/>
      <c r="H543" s="161"/>
      <c r="I543" s="162"/>
      <c r="J543" s="163"/>
      <c r="K543" s="163"/>
      <c r="L543" s="163"/>
      <c r="M543" s="160"/>
      <c r="N543" s="162"/>
      <c r="O543" s="164"/>
      <c r="P543" s="140"/>
      <c r="Q543" s="327"/>
      <c r="R543" s="140"/>
    </row>
    <row r="544" ht="29.25" hidden="1" customHeight="1">
      <c r="A544" s="189"/>
      <c r="B544" s="323"/>
      <c r="C544" s="324"/>
      <c r="D544" s="325"/>
      <c r="E544" s="314"/>
      <c r="F544" s="166"/>
      <c r="G544" s="161"/>
      <c r="H544" s="161"/>
      <c r="I544" s="162"/>
      <c r="J544" s="163"/>
      <c r="K544" s="163"/>
      <c r="L544" s="163"/>
      <c r="M544" s="160"/>
      <c r="N544" s="162"/>
      <c r="O544" s="164"/>
      <c r="P544" s="140"/>
      <c r="Q544" s="321"/>
      <c r="R544" s="140"/>
    </row>
    <row r="545" ht="29.25" hidden="1" customHeight="1">
      <c r="A545" s="189"/>
      <c r="B545" s="323"/>
      <c r="C545" s="324"/>
      <c r="D545" s="325"/>
      <c r="E545" s="326"/>
      <c r="F545" s="166"/>
      <c r="G545" s="161"/>
      <c r="H545" s="161"/>
      <c r="I545" s="162"/>
      <c r="J545" s="163"/>
      <c r="K545" s="163"/>
      <c r="L545" s="163"/>
      <c r="M545" s="160"/>
      <c r="N545" s="162"/>
      <c r="O545" s="164"/>
      <c r="P545" s="140"/>
      <c r="Q545" s="327"/>
      <c r="R545" s="140"/>
    </row>
    <row r="546" ht="29.25" hidden="1" customHeight="1">
      <c r="A546" s="189"/>
      <c r="B546" s="323"/>
      <c r="C546" s="324"/>
      <c r="D546" s="325"/>
      <c r="E546" s="314"/>
      <c r="F546" s="166"/>
      <c r="G546" s="161"/>
      <c r="H546" s="161"/>
      <c r="I546" s="162"/>
      <c r="J546" s="163"/>
      <c r="K546" s="163"/>
      <c r="L546" s="163"/>
      <c r="M546" s="160"/>
      <c r="N546" s="162"/>
      <c r="O546" s="164"/>
      <c r="P546" s="140"/>
      <c r="Q546" s="321"/>
      <c r="R546" s="140"/>
    </row>
    <row r="547" ht="29.25" hidden="1" customHeight="1">
      <c r="A547" s="189"/>
      <c r="B547" s="323"/>
      <c r="C547" s="324"/>
      <c r="D547" s="325"/>
      <c r="E547" s="326"/>
      <c r="F547" s="166"/>
      <c r="G547" s="161"/>
      <c r="H547" s="161"/>
      <c r="I547" s="162"/>
      <c r="J547" s="163"/>
      <c r="K547" s="163"/>
      <c r="L547" s="163"/>
      <c r="M547" s="160"/>
      <c r="N547" s="162"/>
      <c r="O547" s="164"/>
      <c r="P547" s="140"/>
      <c r="Q547" s="327"/>
      <c r="R547" s="140"/>
    </row>
    <row r="548" ht="29.25" hidden="1" customHeight="1">
      <c r="A548" s="189"/>
      <c r="B548" s="323"/>
      <c r="C548" s="324"/>
      <c r="D548" s="325"/>
      <c r="E548" s="314"/>
      <c r="F548" s="166"/>
      <c r="G548" s="161"/>
      <c r="H548" s="161"/>
      <c r="I548" s="162"/>
      <c r="J548" s="163"/>
      <c r="K548" s="163"/>
      <c r="L548" s="163"/>
      <c r="M548" s="160"/>
      <c r="N548" s="162"/>
      <c r="O548" s="164"/>
      <c r="P548" s="140"/>
      <c r="Q548" s="321"/>
      <c r="R548" s="140"/>
    </row>
    <row r="549" ht="29.25" hidden="1" customHeight="1">
      <c r="A549" s="189"/>
      <c r="B549" s="323"/>
      <c r="C549" s="324"/>
      <c r="D549" s="325"/>
      <c r="E549" s="326"/>
      <c r="F549" s="166"/>
      <c r="G549" s="161"/>
      <c r="H549" s="161"/>
      <c r="I549" s="162"/>
      <c r="J549" s="163"/>
      <c r="K549" s="163"/>
      <c r="L549" s="163"/>
      <c r="M549" s="160"/>
      <c r="N549" s="162"/>
      <c r="O549" s="164"/>
      <c r="P549" s="140"/>
      <c r="Q549" s="327"/>
      <c r="R549" s="140"/>
    </row>
    <row r="550" ht="29.25" hidden="1" customHeight="1">
      <c r="A550" s="189"/>
      <c r="B550" s="323"/>
      <c r="C550" s="324"/>
      <c r="D550" s="325"/>
      <c r="E550" s="314"/>
      <c r="F550" s="166"/>
      <c r="G550" s="161"/>
      <c r="H550" s="161"/>
      <c r="I550" s="162"/>
      <c r="J550" s="163"/>
      <c r="K550" s="163"/>
      <c r="L550" s="163"/>
      <c r="M550" s="160"/>
      <c r="N550" s="162"/>
      <c r="O550" s="164"/>
      <c r="P550" s="140"/>
      <c r="Q550" s="321"/>
      <c r="R550" s="140"/>
    </row>
    <row r="551" ht="29.25" hidden="1" customHeight="1">
      <c r="A551" s="189"/>
      <c r="B551" s="323"/>
      <c r="C551" s="324"/>
      <c r="D551" s="325"/>
      <c r="E551" s="326"/>
      <c r="F551" s="166"/>
      <c r="G551" s="161"/>
      <c r="H551" s="161"/>
      <c r="I551" s="162"/>
      <c r="J551" s="163"/>
      <c r="K551" s="163"/>
      <c r="L551" s="163"/>
      <c r="M551" s="160"/>
      <c r="N551" s="162"/>
      <c r="O551" s="164"/>
      <c r="P551" s="140"/>
      <c r="Q551" s="327"/>
      <c r="R551" s="140"/>
    </row>
    <row r="552" ht="29.25" hidden="1" customHeight="1">
      <c r="A552" s="189"/>
      <c r="B552" s="323"/>
      <c r="C552" s="324"/>
      <c r="D552" s="325"/>
      <c r="E552" s="314"/>
      <c r="F552" s="166"/>
      <c r="G552" s="161"/>
      <c r="H552" s="161"/>
      <c r="I552" s="162"/>
      <c r="J552" s="163"/>
      <c r="K552" s="163"/>
      <c r="L552" s="163"/>
      <c r="M552" s="160"/>
      <c r="N552" s="162"/>
      <c r="O552" s="164"/>
      <c r="P552" s="140"/>
      <c r="Q552" s="321"/>
      <c r="R552" s="140"/>
    </row>
    <row r="553" ht="29.25" hidden="1" customHeight="1">
      <c r="A553" s="189"/>
      <c r="B553" s="323"/>
      <c r="C553" s="324"/>
      <c r="D553" s="325"/>
      <c r="E553" s="326"/>
      <c r="F553" s="166"/>
      <c r="G553" s="161"/>
      <c r="H553" s="161"/>
      <c r="I553" s="162"/>
      <c r="J553" s="163"/>
      <c r="K553" s="163"/>
      <c r="L553" s="163"/>
      <c r="M553" s="160"/>
      <c r="N553" s="162"/>
      <c r="O553" s="164"/>
      <c r="P553" s="140"/>
      <c r="Q553" s="327"/>
      <c r="R553" s="140"/>
    </row>
    <row r="554" ht="29.25" hidden="1" customHeight="1">
      <c r="A554" s="189"/>
      <c r="B554" s="323"/>
      <c r="C554" s="324"/>
      <c r="D554" s="325"/>
      <c r="E554" s="314"/>
      <c r="F554" s="166"/>
      <c r="G554" s="161"/>
      <c r="H554" s="161"/>
      <c r="I554" s="162"/>
      <c r="J554" s="163"/>
      <c r="K554" s="163"/>
      <c r="L554" s="163"/>
      <c r="M554" s="160"/>
      <c r="N554" s="162"/>
      <c r="O554" s="164"/>
      <c r="P554" s="140"/>
      <c r="Q554" s="321"/>
      <c r="R554" s="140"/>
    </row>
    <row r="555" ht="29.25" hidden="1" customHeight="1">
      <c r="A555" s="189"/>
      <c r="B555" s="323"/>
      <c r="C555" s="324"/>
      <c r="D555" s="325"/>
      <c r="E555" s="326"/>
      <c r="F555" s="166"/>
      <c r="G555" s="161"/>
      <c r="H555" s="161"/>
      <c r="I555" s="162"/>
      <c r="J555" s="163"/>
      <c r="K555" s="163"/>
      <c r="L555" s="163"/>
      <c r="M555" s="160"/>
      <c r="N555" s="162"/>
      <c r="O555" s="164"/>
      <c r="P555" s="140"/>
      <c r="Q555" s="327"/>
      <c r="R555" s="140"/>
    </row>
    <row r="556" ht="29.25" hidden="1" customHeight="1">
      <c r="A556" s="189"/>
      <c r="B556" s="323"/>
      <c r="C556" s="324"/>
      <c r="D556" s="325"/>
      <c r="E556" s="314"/>
      <c r="F556" s="166"/>
      <c r="G556" s="161"/>
      <c r="H556" s="161"/>
      <c r="I556" s="162"/>
      <c r="J556" s="163"/>
      <c r="K556" s="163"/>
      <c r="L556" s="163"/>
      <c r="M556" s="160"/>
      <c r="N556" s="162"/>
      <c r="O556" s="164"/>
      <c r="P556" s="140"/>
      <c r="Q556" s="321"/>
      <c r="R556" s="140"/>
    </row>
    <row r="557" ht="29.25" hidden="1" customHeight="1">
      <c r="A557" s="189"/>
      <c r="B557" s="323"/>
      <c r="C557" s="324"/>
      <c r="D557" s="325"/>
      <c r="E557" s="326"/>
      <c r="F557" s="166"/>
      <c r="G557" s="161"/>
      <c r="H557" s="161"/>
      <c r="I557" s="162"/>
      <c r="J557" s="163"/>
      <c r="K557" s="163"/>
      <c r="L557" s="163"/>
      <c r="M557" s="160"/>
      <c r="N557" s="162"/>
      <c r="O557" s="164"/>
      <c r="P557" s="140"/>
      <c r="Q557" s="327"/>
      <c r="R557" s="140"/>
    </row>
    <row r="558" ht="29.25" hidden="1" customHeight="1">
      <c r="A558" s="189"/>
      <c r="B558" s="323"/>
      <c r="C558" s="324"/>
      <c r="D558" s="325"/>
      <c r="E558" s="314"/>
      <c r="F558" s="166"/>
      <c r="G558" s="161"/>
      <c r="H558" s="161"/>
      <c r="I558" s="162"/>
      <c r="J558" s="163"/>
      <c r="K558" s="163"/>
      <c r="L558" s="163"/>
      <c r="M558" s="160"/>
      <c r="N558" s="162"/>
      <c r="O558" s="164"/>
      <c r="P558" s="140"/>
      <c r="Q558" s="321"/>
      <c r="R558" s="140"/>
    </row>
    <row r="559" ht="29.25" hidden="1" customHeight="1">
      <c r="A559" s="189"/>
      <c r="B559" s="323"/>
      <c r="C559" s="324"/>
      <c r="D559" s="325"/>
      <c r="E559" s="326"/>
      <c r="F559" s="166"/>
      <c r="G559" s="161"/>
      <c r="H559" s="161"/>
      <c r="I559" s="162"/>
      <c r="J559" s="163"/>
      <c r="K559" s="163"/>
      <c r="L559" s="163"/>
      <c r="M559" s="160"/>
      <c r="N559" s="162"/>
      <c r="O559" s="164"/>
      <c r="P559" s="140"/>
      <c r="Q559" s="327"/>
      <c r="R559" s="140"/>
    </row>
    <row r="560" ht="29.25" hidden="1" customHeight="1">
      <c r="A560" s="189"/>
      <c r="B560" s="323"/>
      <c r="C560" s="324"/>
      <c r="D560" s="325"/>
      <c r="E560" s="314"/>
      <c r="F560" s="166"/>
      <c r="G560" s="161"/>
      <c r="H560" s="161"/>
      <c r="I560" s="162"/>
      <c r="J560" s="163"/>
      <c r="K560" s="163"/>
      <c r="L560" s="163"/>
      <c r="M560" s="160"/>
      <c r="N560" s="162"/>
      <c r="O560" s="164"/>
      <c r="P560" s="140"/>
      <c r="Q560" s="321"/>
      <c r="R560" s="140"/>
    </row>
    <row r="561" ht="29.25" hidden="1" customHeight="1">
      <c r="A561" s="189"/>
      <c r="B561" s="323"/>
      <c r="C561" s="324"/>
      <c r="D561" s="325"/>
      <c r="E561" s="326"/>
      <c r="F561" s="166"/>
      <c r="G561" s="161"/>
      <c r="H561" s="161"/>
      <c r="I561" s="162"/>
      <c r="J561" s="163"/>
      <c r="K561" s="163"/>
      <c r="L561" s="163"/>
      <c r="M561" s="160"/>
      <c r="N561" s="162"/>
      <c r="O561" s="164"/>
      <c r="P561" s="140"/>
      <c r="Q561" s="327"/>
      <c r="R561" s="140"/>
    </row>
    <row r="562" ht="29.25" hidden="1" customHeight="1">
      <c r="A562" s="189"/>
      <c r="B562" s="323"/>
      <c r="C562" s="324"/>
      <c r="D562" s="325"/>
      <c r="E562" s="314"/>
      <c r="F562" s="166"/>
      <c r="G562" s="161"/>
      <c r="H562" s="161"/>
      <c r="I562" s="162"/>
      <c r="J562" s="163"/>
      <c r="K562" s="163"/>
      <c r="L562" s="163"/>
      <c r="M562" s="160"/>
      <c r="N562" s="162"/>
      <c r="O562" s="164"/>
      <c r="P562" s="140"/>
      <c r="Q562" s="321"/>
      <c r="R562" s="140"/>
    </row>
    <row r="563" ht="29.25" hidden="1" customHeight="1">
      <c r="A563" s="189"/>
      <c r="B563" s="323"/>
      <c r="C563" s="324"/>
      <c r="D563" s="325"/>
      <c r="E563" s="326"/>
      <c r="F563" s="166"/>
      <c r="G563" s="161"/>
      <c r="H563" s="161"/>
      <c r="I563" s="162"/>
      <c r="J563" s="163"/>
      <c r="K563" s="163"/>
      <c r="L563" s="163"/>
      <c r="M563" s="160"/>
      <c r="N563" s="162"/>
      <c r="O563" s="164"/>
      <c r="P563" s="140"/>
      <c r="Q563" s="327"/>
      <c r="R563" s="140"/>
    </row>
    <row r="564" ht="29.25" hidden="1" customHeight="1">
      <c r="A564" s="189"/>
      <c r="B564" s="323"/>
      <c r="C564" s="324"/>
      <c r="D564" s="325"/>
      <c r="E564" s="314"/>
      <c r="F564" s="166"/>
      <c r="G564" s="161"/>
      <c r="H564" s="161"/>
      <c r="I564" s="162"/>
      <c r="J564" s="163"/>
      <c r="K564" s="163"/>
      <c r="L564" s="163"/>
      <c r="M564" s="160"/>
      <c r="N564" s="162"/>
      <c r="O564" s="164"/>
      <c r="P564" s="140"/>
      <c r="Q564" s="321"/>
      <c r="R564" s="140"/>
    </row>
    <row r="565" ht="29.25" hidden="1" customHeight="1">
      <c r="A565" s="189"/>
      <c r="B565" s="323"/>
      <c r="C565" s="324"/>
      <c r="D565" s="325"/>
      <c r="E565" s="326"/>
      <c r="F565" s="166"/>
      <c r="G565" s="161"/>
      <c r="H565" s="161"/>
      <c r="I565" s="162"/>
      <c r="J565" s="163"/>
      <c r="K565" s="163"/>
      <c r="L565" s="163"/>
      <c r="M565" s="160"/>
      <c r="N565" s="162"/>
      <c r="O565" s="164"/>
      <c r="P565" s="140"/>
      <c r="Q565" s="327"/>
      <c r="R565" s="140"/>
    </row>
    <row r="566" ht="29.25" hidden="1" customHeight="1">
      <c r="A566" s="189"/>
      <c r="B566" s="323"/>
      <c r="C566" s="324"/>
      <c r="D566" s="325"/>
      <c r="E566" s="314"/>
      <c r="F566" s="166"/>
      <c r="G566" s="161"/>
      <c r="H566" s="161"/>
      <c r="I566" s="162"/>
      <c r="J566" s="163"/>
      <c r="K566" s="163"/>
      <c r="L566" s="163"/>
      <c r="M566" s="160"/>
      <c r="N566" s="162"/>
      <c r="O566" s="164"/>
      <c r="P566" s="140"/>
      <c r="Q566" s="321"/>
      <c r="R566" s="140"/>
    </row>
    <row r="567" ht="29.25" hidden="1" customHeight="1">
      <c r="A567" s="189"/>
      <c r="B567" s="323"/>
      <c r="C567" s="324"/>
      <c r="D567" s="325"/>
      <c r="E567" s="326"/>
      <c r="F567" s="166"/>
      <c r="G567" s="161"/>
      <c r="H567" s="161"/>
      <c r="I567" s="162"/>
      <c r="J567" s="163"/>
      <c r="K567" s="163"/>
      <c r="L567" s="163"/>
      <c r="M567" s="160"/>
      <c r="N567" s="162"/>
      <c r="O567" s="164"/>
      <c r="P567" s="140"/>
      <c r="Q567" s="327"/>
      <c r="R567" s="140"/>
    </row>
    <row r="568" ht="29.25" hidden="1" customHeight="1">
      <c r="A568" s="189"/>
      <c r="B568" s="323"/>
      <c r="C568" s="324"/>
      <c r="D568" s="325"/>
      <c r="E568" s="314"/>
      <c r="F568" s="166"/>
      <c r="G568" s="161"/>
      <c r="H568" s="161"/>
      <c r="I568" s="162"/>
      <c r="J568" s="163"/>
      <c r="K568" s="163"/>
      <c r="L568" s="163"/>
      <c r="M568" s="160"/>
      <c r="N568" s="162"/>
      <c r="O568" s="164"/>
      <c r="P568" s="140"/>
      <c r="Q568" s="321"/>
      <c r="R568" s="140"/>
    </row>
    <row r="569" ht="29.25" hidden="1" customHeight="1">
      <c r="A569" s="189"/>
      <c r="B569" s="323"/>
      <c r="C569" s="324"/>
      <c r="D569" s="325"/>
      <c r="E569" s="326"/>
      <c r="F569" s="166"/>
      <c r="G569" s="161"/>
      <c r="H569" s="161"/>
      <c r="I569" s="162"/>
      <c r="J569" s="163"/>
      <c r="K569" s="163"/>
      <c r="L569" s="163"/>
      <c r="M569" s="160"/>
      <c r="N569" s="162"/>
      <c r="O569" s="164"/>
      <c r="P569" s="140"/>
      <c r="Q569" s="327"/>
      <c r="R569" s="140"/>
    </row>
    <row r="570" ht="29.25" hidden="1" customHeight="1">
      <c r="A570" s="189"/>
      <c r="B570" s="323"/>
      <c r="C570" s="324"/>
      <c r="D570" s="325"/>
      <c r="E570" s="314"/>
      <c r="F570" s="166"/>
      <c r="G570" s="161"/>
      <c r="H570" s="161"/>
      <c r="I570" s="162"/>
      <c r="J570" s="163"/>
      <c r="K570" s="163"/>
      <c r="L570" s="163"/>
      <c r="M570" s="160"/>
      <c r="N570" s="162"/>
      <c r="O570" s="164"/>
      <c r="P570" s="140"/>
      <c r="Q570" s="321"/>
      <c r="R570" s="140"/>
    </row>
    <row r="571" ht="29.25" hidden="1" customHeight="1">
      <c r="A571" s="189"/>
      <c r="B571" s="323"/>
      <c r="C571" s="324"/>
      <c r="D571" s="325"/>
      <c r="E571" s="326"/>
      <c r="F571" s="166"/>
      <c r="G571" s="161"/>
      <c r="H571" s="161"/>
      <c r="I571" s="162"/>
      <c r="J571" s="163"/>
      <c r="K571" s="163"/>
      <c r="L571" s="163"/>
      <c r="M571" s="160"/>
      <c r="N571" s="162"/>
      <c r="O571" s="164"/>
      <c r="P571" s="140"/>
      <c r="Q571" s="327"/>
      <c r="R571" s="140"/>
    </row>
    <row r="572" ht="29.25" hidden="1" customHeight="1">
      <c r="A572" s="189"/>
      <c r="B572" s="323"/>
      <c r="C572" s="324"/>
      <c r="D572" s="325"/>
      <c r="E572" s="314"/>
      <c r="F572" s="166"/>
      <c r="G572" s="161"/>
      <c r="H572" s="161"/>
      <c r="I572" s="162"/>
      <c r="J572" s="163"/>
      <c r="K572" s="163"/>
      <c r="L572" s="163"/>
      <c r="M572" s="160"/>
      <c r="N572" s="162"/>
      <c r="O572" s="164"/>
      <c r="P572" s="140"/>
      <c r="Q572" s="321"/>
      <c r="R572" s="140"/>
    </row>
    <row r="573" ht="29.25" hidden="1" customHeight="1">
      <c r="A573" s="189"/>
      <c r="B573" s="323"/>
      <c r="C573" s="324"/>
      <c r="D573" s="325"/>
      <c r="E573" s="326"/>
      <c r="F573" s="166"/>
      <c r="G573" s="161"/>
      <c r="H573" s="161"/>
      <c r="I573" s="162"/>
      <c r="J573" s="163"/>
      <c r="K573" s="163"/>
      <c r="L573" s="163"/>
      <c r="M573" s="160"/>
      <c r="N573" s="162"/>
      <c r="O573" s="164"/>
      <c r="P573" s="140"/>
      <c r="Q573" s="327"/>
      <c r="R573" s="140"/>
    </row>
    <row r="574" ht="29.25" hidden="1" customHeight="1">
      <c r="A574" s="189"/>
      <c r="B574" s="323"/>
      <c r="C574" s="324"/>
      <c r="D574" s="325"/>
      <c r="E574" s="314"/>
      <c r="F574" s="166"/>
      <c r="G574" s="161"/>
      <c r="H574" s="161"/>
      <c r="I574" s="162"/>
      <c r="J574" s="163"/>
      <c r="K574" s="163"/>
      <c r="L574" s="163"/>
      <c r="M574" s="160"/>
      <c r="N574" s="162"/>
      <c r="O574" s="164"/>
      <c r="P574" s="140"/>
      <c r="Q574" s="321"/>
      <c r="R574" s="140"/>
    </row>
    <row r="575" ht="29.25" hidden="1" customHeight="1">
      <c r="A575" s="189"/>
      <c r="B575" s="323"/>
      <c r="C575" s="324"/>
      <c r="D575" s="325"/>
      <c r="E575" s="326"/>
      <c r="F575" s="166"/>
      <c r="G575" s="161"/>
      <c r="H575" s="161"/>
      <c r="I575" s="162"/>
      <c r="J575" s="163"/>
      <c r="K575" s="163"/>
      <c r="L575" s="163"/>
      <c r="M575" s="160"/>
      <c r="N575" s="162"/>
      <c r="O575" s="164"/>
      <c r="P575" s="140"/>
      <c r="Q575" s="327"/>
      <c r="R575" s="140"/>
    </row>
    <row r="576" ht="29.25" hidden="1" customHeight="1">
      <c r="A576" s="189"/>
      <c r="B576" s="323"/>
      <c r="C576" s="324"/>
      <c r="D576" s="325"/>
      <c r="E576" s="314"/>
      <c r="F576" s="166"/>
      <c r="G576" s="161"/>
      <c r="H576" s="161"/>
      <c r="I576" s="162"/>
      <c r="J576" s="163"/>
      <c r="K576" s="163"/>
      <c r="L576" s="163"/>
      <c r="M576" s="160"/>
      <c r="N576" s="162"/>
      <c r="O576" s="164"/>
      <c r="P576" s="140"/>
      <c r="Q576" s="321"/>
      <c r="R576" s="140"/>
    </row>
    <row r="577" ht="29.25" hidden="1" customHeight="1">
      <c r="A577" s="189"/>
      <c r="B577" s="323"/>
      <c r="C577" s="324"/>
      <c r="D577" s="325"/>
      <c r="E577" s="326"/>
      <c r="F577" s="166"/>
      <c r="G577" s="161"/>
      <c r="H577" s="161"/>
      <c r="I577" s="162"/>
      <c r="J577" s="163"/>
      <c r="K577" s="163"/>
      <c r="L577" s="163"/>
      <c r="M577" s="160"/>
      <c r="N577" s="162"/>
      <c r="O577" s="164"/>
      <c r="P577" s="140"/>
      <c r="Q577" s="327"/>
      <c r="R577" s="140"/>
    </row>
    <row r="578" ht="29.25" hidden="1" customHeight="1">
      <c r="A578" s="189"/>
      <c r="B578" s="323"/>
      <c r="C578" s="324"/>
      <c r="D578" s="325"/>
      <c r="E578" s="314"/>
      <c r="F578" s="166"/>
      <c r="G578" s="161"/>
      <c r="H578" s="161"/>
      <c r="I578" s="162"/>
      <c r="J578" s="163"/>
      <c r="K578" s="163"/>
      <c r="L578" s="163"/>
      <c r="M578" s="160"/>
      <c r="N578" s="162"/>
      <c r="O578" s="164"/>
      <c r="P578" s="140"/>
      <c r="Q578" s="321"/>
      <c r="R578" s="140"/>
    </row>
    <row r="579" ht="29.25" hidden="1" customHeight="1">
      <c r="A579" s="189"/>
      <c r="B579" s="323"/>
      <c r="C579" s="324"/>
      <c r="D579" s="325"/>
      <c r="E579" s="326"/>
      <c r="F579" s="166"/>
      <c r="G579" s="161"/>
      <c r="H579" s="161"/>
      <c r="I579" s="162"/>
      <c r="J579" s="163"/>
      <c r="K579" s="163"/>
      <c r="L579" s="163"/>
      <c r="M579" s="160"/>
      <c r="N579" s="162"/>
      <c r="O579" s="164"/>
      <c r="P579" s="140"/>
      <c r="Q579" s="327"/>
      <c r="R579" s="140"/>
    </row>
    <row r="580" ht="29.25" hidden="1" customHeight="1">
      <c r="A580" s="189"/>
      <c r="B580" s="323"/>
      <c r="C580" s="324"/>
      <c r="D580" s="325"/>
      <c r="E580" s="314"/>
      <c r="F580" s="166"/>
      <c r="G580" s="161"/>
      <c r="H580" s="161"/>
      <c r="I580" s="162"/>
      <c r="J580" s="163"/>
      <c r="K580" s="163"/>
      <c r="L580" s="163"/>
      <c r="M580" s="160"/>
      <c r="N580" s="162"/>
      <c r="O580" s="164"/>
      <c r="P580" s="140"/>
      <c r="Q580" s="321"/>
      <c r="R580" s="140"/>
    </row>
    <row r="581" ht="29.25" hidden="1" customHeight="1">
      <c r="A581" s="189"/>
      <c r="B581" s="323"/>
      <c r="C581" s="324"/>
      <c r="D581" s="325"/>
      <c r="E581" s="326"/>
      <c r="F581" s="166"/>
      <c r="G581" s="161"/>
      <c r="H581" s="161"/>
      <c r="I581" s="162"/>
      <c r="J581" s="163"/>
      <c r="K581" s="163"/>
      <c r="L581" s="163"/>
      <c r="M581" s="160"/>
      <c r="N581" s="162"/>
      <c r="O581" s="164"/>
      <c r="P581" s="140"/>
      <c r="Q581" s="327"/>
      <c r="R581" s="140"/>
    </row>
    <row r="582" ht="29.25" hidden="1" customHeight="1">
      <c r="A582" s="189"/>
      <c r="B582" s="323"/>
      <c r="C582" s="324"/>
      <c r="D582" s="325"/>
      <c r="E582" s="314"/>
      <c r="F582" s="166"/>
      <c r="G582" s="161"/>
      <c r="H582" s="161"/>
      <c r="I582" s="162"/>
      <c r="J582" s="163"/>
      <c r="K582" s="163"/>
      <c r="L582" s="163"/>
      <c r="M582" s="160"/>
      <c r="N582" s="162"/>
      <c r="O582" s="164"/>
      <c r="P582" s="140"/>
      <c r="Q582" s="321"/>
      <c r="R582" s="140"/>
    </row>
    <row r="583" ht="29.25" hidden="1" customHeight="1">
      <c r="A583" s="189"/>
      <c r="B583" s="323"/>
      <c r="C583" s="324"/>
      <c r="D583" s="325"/>
      <c r="E583" s="326"/>
      <c r="F583" s="166"/>
      <c r="G583" s="161"/>
      <c r="H583" s="161"/>
      <c r="I583" s="162"/>
      <c r="J583" s="163"/>
      <c r="K583" s="163"/>
      <c r="L583" s="163"/>
      <c r="M583" s="160"/>
      <c r="N583" s="162"/>
      <c r="O583" s="164"/>
      <c r="P583" s="140"/>
      <c r="Q583" s="327"/>
      <c r="R583" s="140"/>
    </row>
    <row r="584" ht="29.25" hidden="1" customHeight="1">
      <c r="A584" s="189"/>
      <c r="B584" s="323"/>
      <c r="C584" s="324"/>
      <c r="D584" s="325"/>
      <c r="E584" s="314"/>
      <c r="F584" s="166"/>
      <c r="G584" s="161"/>
      <c r="H584" s="161"/>
      <c r="I584" s="162"/>
      <c r="J584" s="163"/>
      <c r="K584" s="163"/>
      <c r="L584" s="163"/>
      <c r="M584" s="160"/>
      <c r="N584" s="162"/>
      <c r="O584" s="164"/>
      <c r="P584" s="140"/>
      <c r="Q584" s="321"/>
      <c r="R584" s="140"/>
    </row>
    <row r="585" ht="29.25" hidden="1" customHeight="1">
      <c r="A585" s="189"/>
      <c r="B585" s="323"/>
      <c r="C585" s="324"/>
      <c r="D585" s="325"/>
      <c r="E585" s="326"/>
      <c r="F585" s="166"/>
      <c r="G585" s="161"/>
      <c r="H585" s="161"/>
      <c r="I585" s="162"/>
      <c r="J585" s="163"/>
      <c r="K585" s="163"/>
      <c r="L585" s="163"/>
      <c r="M585" s="160"/>
      <c r="N585" s="162"/>
      <c r="O585" s="164"/>
      <c r="P585" s="140"/>
      <c r="Q585" s="327"/>
      <c r="R585" s="140"/>
    </row>
    <row r="586" ht="29.25" hidden="1" customHeight="1">
      <c r="A586" s="189"/>
      <c r="B586" s="323"/>
      <c r="C586" s="324"/>
      <c r="D586" s="325"/>
      <c r="E586" s="314"/>
      <c r="F586" s="166"/>
      <c r="G586" s="161"/>
      <c r="H586" s="161"/>
      <c r="I586" s="162"/>
      <c r="J586" s="163"/>
      <c r="K586" s="163"/>
      <c r="L586" s="163"/>
      <c r="M586" s="160"/>
      <c r="N586" s="162"/>
      <c r="O586" s="164"/>
      <c r="P586" s="140"/>
      <c r="Q586" s="321"/>
      <c r="R586" s="140"/>
    </row>
    <row r="587" ht="29.25" hidden="1" customHeight="1">
      <c r="A587" s="189"/>
      <c r="B587" s="323"/>
      <c r="C587" s="324"/>
      <c r="D587" s="325"/>
      <c r="E587" s="326"/>
      <c r="F587" s="166"/>
      <c r="G587" s="161"/>
      <c r="H587" s="161"/>
      <c r="I587" s="162"/>
      <c r="J587" s="163"/>
      <c r="K587" s="163"/>
      <c r="L587" s="163"/>
      <c r="M587" s="160"/>
      <c r="N587" s="162"/>
      <c r="O587" s="164"/>
      <c r="P587" s="140"/>
      <c r="Q587" s="327"/>
      <c r="R587" s="140"/>
    </row>
    <row r="588" ht="29.25" hidden="1" customHeight="1">
      <c r="A588" s="189"/>
      <c r="B588" s="323"/>
      <c r="C588" s="324"/>
      <c r="D588" s="325"/>
      <c r="E588" s="314"/>
      <c r="F588" s="166"/>
      <c r="G588" s="161"/>
      <c r="H588" s="161"/>
      <c r="I588" s="162"/>
      <c r="J588" s="163"/>
      <c r="K588" s="163"/>
      <c r="L588" s="163"/>
      <c r="M588" s="160"/>
      <c r="N588" s="162"/>
      <c r="O588" s="164"/>
      <c r="P588" s="140"/>
      <c r="Q588" s="321"/>
      <c r="R588" s="140"/>
    </row>
    <row r="589" ht="29.25" hidden="1" customHeight="1">
      <c r="A589" s="189"/>
      <c r="B589" s="323"/>
      <c r="C589" s="324"/>
      <c r="D589" s="325"/>
      <c r="E589" s="326"/>
      <c r="F589" s="166"/>
      <c r="G589" s="161"/>
      <c r="H589" s="161"/>
      <c r="I589" s="162"/>
      <c r="J589" s="163"/>
      <c r="K589" s="163"/>
      <c r="L589" s="163"/>
      <c r="M589" s="160"/>
      <c r="N589" s="162"/>
      <c r="O589" s="164"/>
      <c r="P589" s="140"/>
      <c r="Q589" s="327"/>
      <c r="R589" s="140"/>
    </row>
    <row r="590" ht="29.25" hidden="1" customHeight="1">
      <c r="A590" s="189"/>
      <c r="B590" s="323"/>
      <c r="C590" s="324"/>
      <c r="D590" s="325"/>
      <c r="E590" s="314"/>
      <c r="F590" s="166"/>
      <c r="G590" s="161"/>
      <c r="H590" s="161"/>
      <c r="I590" s="162"/>
      <c r="J590" s="163"/>
      <c r="K590" s="163"/>
      <c r="L590" s="163"/>
      <c r="M590" s="160"/>
      <c r="N590" s="162"/>
      <c r="O590" s="164"/>
      <c r="P590" s="140"/>
      <c r="Q590" s="321"/>
      <c r="R590" s="140"/>
    </row>
    <row r="591" ht="29.25" hidden="1" customHeight="1">
      <c r="A591" s="189"/>
      <c r="B591" s="323"/>
      <c r="C591" s="324"/>
      <c r="D591" s="325"/>
      <c r="E591" s="326"/>
      <c r="F591" s="166"/>
      <c r="G591" s="161"/>
      <c r="H591" s="161"/>
      <c r="I591" s="162"/>
      <c r="J591" s="163"/>
      <c r="K591" s="163"/>
      <c r="L591" s="163"/>
      <c r="M591" s="160"/>
      <c r="N591" s="162"/>
      <c r="O591" s="164"/>
      <c r="P591" s="140"/>
      <c r="Q591" s="327"/>
      <c r="R591" s="140"/>
    </row>
    <row r="592" ht="29.25" hidden="1" customHeight="1">
      <c r="A592" s="189"/>
      <c r="B592" s="323"/>
      <c r="C592" s="324"/>
      <c r="D592" s="325"/>
      <c r="E592" s="314"/>
      <c r="F592" s="166"/>
      <c r="G592" s="161"/>
      <c r="H592" s="161"/>
      <c r="I592" s="162"/>
      <c r="J592" s="163"/>
      <c r="K592" s="163"/>
      <c r="L592" s="163"/>
      <c r="M592" s="160"/>
      <c r="N592" s="162"/>
      <c r="O592" s="164"/>
      <c r="P592" s="140"/>
      <c r="Q592" s="321"/>
      <c r="R592" s="140"/>
    </row>
    <row r="593" ht="29.25" hidden="1" customHeight="1">
      <c r="A593" s="189"/>
      <c r="B593" s="323"/>
      <c r="C593" s="324"/>
      <c r="D593" s="325"/>
      <c r="E593" s="326"/>
      <c r="F593" s="166"/>
      <c r="G593" s="161"/>
      <c r="H593" s="161"/>
      <c r="I593" s="162"/>
      <c r="J593" s="163"/>
      <c r="K593" s="163"/>
      <c r="L593" s="163"/>
      <c r="M593" s="160"/>
      <c r="N593" s="162"/>
      <c r="O593" s="164"/>
      <c r="P593" s="140"/>
      <c r="Q593" s="327"/>
      <c r="R593" s="140"/>
    </row>
    <row r="594" ht="29.25" hidden="1" customHeight="1">
      <c r="A594" s="189"/>
      <c r="B594" s="323"/>
      <c r="C594" s="324"/>
      <c r="D594" s="325"/>
      <c r="E594" s="314"/>
      <c r="F594" s="166"/>
      <c r="G594" s="161"/>
      <c r="H594" s="161"/>
      <c r="I594" s="162"/>
      <c r="J594" s="163"/>
      <c r="K594" s="163"/>
      <c r="L594" s="163"/>
      <c r="M594" s="160"/>
      <c r="N594" s="162"/>
      <c r="O594" s="164"/>
      <c r="P594" s="140"/>
      <c r="Q594" s="321"/>
      <c r="R594" s="140"/>
    </row>
    <row r="595" ht="29.25" hidden="1" customHeight="1">
      <c r="A595" s="189"/>
      <c r="B595" s="323"/>
      <c r="C595" s="324"/>
      <c r="D595" s="325"/>
      <c r="E595" s="326"/>
      <c r="F595" s="166"/>
      <c r="G595" s="161"/>
      <c r="H595" s="161"/>
      <c r="I595" s="162"/>
      <c r="J595" s="163"/>
      <c r="K595" s="163"/>
      <c r="L595" s="163"/>
      <c r="M595" s="160"/>
      <c r="N595" s="162"/>
      <c r="O595" s="164"/>
      <c r="P595" s="140"/>
      <c r="Q595" s="327"/>
      <c r="R595" s="140"/>
    </row>
    <row r="596" ht="29.25" hidden="1" customHeight="1">
      <c r="A596" s="189"/>
      <c r="B596" s="323"/>
      <c r="C596" s="324"/>
      <c r="D596" s="325"/>
      <c r="E596" s="314"/>
      <c r="F596" s="166"/>
      <c r="G596" s="161"/>
      <c r="H596" s="161"/>
      <c r="I596" s="162"/>
      <c r="J596" s="163"/>
      <c r="K596" s="163"/>
      <c r="L596" s="163"/>
      <c r="M596" s="160"/>
      <c r="N596" s="162"/>
      <c r="O596" s="164"/>
      <c r="P596" s="140"/>
      <c r="Q596" s="321"/>
      <c r="R596" s="140"/>
    </row>
    <row r="597" ht="29.25" hidden="1" customHeight="1">
      <c r="A597" s="189"/>
      <c r="B597" s="323"/>
      <c r="C597" s="324"/>
      <c r="D597" s="325"/>
      <c r="E597" s="326"/>
      <c r="F597" s="166"/>
      <c r="G597" s="161"/>
      <c r="H597" s="161"/>
      <c r="I597" s="162"/>
      <c r="J597" s="163"/>
      <c r="K597" s="163"/>
      <c r="L597" s="163"/>
      <c r="M597" s="160"/>
      <c r="N597" s="162"/>
      <c r="O597" s="164"/>
      <c r="P597" s="140"/>
      <c r="Q597" s="327"/>
      <c r="R597" s="140"/>
    </row>
    <row r="598" ht="29.25" hidden="1" customHeight="1">
      <c r="A598" s="189"/>
      <c r="B598" s="323"/>
      <c r="C598" s="324"/>
      <c r="D598" s="325"/>
      <c r="E598" s="314"/>
      <c r="F598" s="166"/>
      <c r="G598" s="161"/>
      <c r="H598" s="161"/>
      <c r="I598" s="162"/>
      <c r="J598" s="163"/>
      <c r="K598" s="163"/>
      <c r="L598" s="163"/>
      <c r="M598" s="160"/>
      <c r="N598" s="162"/>
      <c r="O598" s="164"/>
      <c r="P598" s="140"/>
      <c r="Q598" s="321"/>
      <c r="R598" s="140"/>
    </row>
    <row r="599" ht="29.25" hidden="1" customHeight="1">
      <c r="A599" s="189"/>
      <c r="B599" s="323"/>
      <c r="C599" s="324"/>
      <c r="D599" s="325"/>
      <c r="E599" s="326"/>
      <c r="F599" s="166"/>
      <c r="G599" s="161"/>
      <c r="H599" s="161"/>
      <c r="I599" s="162"/>
      <c r="J599" s="163"/>
      <c r="K599" s="163"/>
      <c r="L599" s="163"/>
      <c r="M599" s="160"/>
      <c r="N599" s="162"/>
      <c r="O599" s="164"/>
      <c r="P599" s="140"/>
      <c r="Q599" s="327"/>
      <c r="R599" s="140"/>
    </row>
    <row r="600" ht="29.25" hidden="1" customHeight="1">
      <c r="A600" s="189"/>
      <c r="B600" s="323"/>
      <c r="C600" s="324"/>
      <c r="D600" s="325"/>
      <c r="E600" s="314"/>
      <c r="F600" s="166"/>
      <c r="G600" s="161"/>
      <c r="H600" s="161"/>
      <c r="I600" s="162"/>
      <c r="J600" s="163"/>
      <c r="K600" s="163"/>
      <c r="L600" s="163"/>
      <c r="M600" s="160"/>
      <c r="N600" s="162"/>
      <c r="O600" s="164"/>
      <c r="P600" s="140"/>
      <c r="Q600" s="321"/>
      <c r="R600" s="140"/>
    </row>
    <row r="601" ht="29.25" hidden="1" customHeight="1">
      <c r="A601" s="189"/>
      <c r="B601" s="323"/>
      <c r="C601" s="324"/>
      <c r="D601" s="325"/>
      <c r="E601" s="326"/>
      <c r="F601" s="166"/>
      <c r="G601" s="161"/>
      <c r="H601" s="161"/>
      <c r="I601" s="162"/>
      <c r="J601" s="163"/>
      <c r="K601" s="163"/>
      <c r="L601" s="163"/>
      <c r="M601" s="160"/>
      <c r="N601" s="162"/>
      <c r="O601" s="164"/>
      <c r="P601" s="140"/>
      <c r="Q601" s="327"/>
      <c r="R601" s="140"/>
    </row>
    <row r="602" ht="29.25" hidden="1" customHeight="1">
      <c r="A602" s="189"/>
      <c r="B602" s="323"/>
      <c r="C602" s="324"/>
      <c r="D602" s="325"/>
      <c r="E602" s="314"/>
      <c r="F602" s="166"/>
      <c r="G602" s="161"/>
      <c r="H602" s="161"/>
      <c r="I602" s="162"/>
      <c r="J602" s="163"/>
      <c r="K602" s="163"/>
      <c r="L602" s="163"/>
      <c r="M602" s="160"/>
      <c r="N602" s="162"/>
      <c r="O602" s="164"/>
      <c r="P602" s="140"/>
      <c r="Q602" s="321"/>
      <c r="R602" s="140"/>
    </row>
    <row r="603" ht="29.25" hidden="1" customHeight="1">
      <c r="A603" s="189"/>
      <c r="B603" s="323"/>
      <c r="C603" s="324"/>
      <c r="D603" s="325"/>
      <c r="E603" s="326"/>
      <c r="F603" s="166"/>
      <c r="G603" s="161"/>
      <c r="H603" s="161"/>
      <c r="I603" s="162"/>
      <c r="J603" s="163"/>
      <c r="K603" s="163"/>
      <c r="L603" s="163"/>
      <c r="M603" s="160"/>
      <c r="N603" s="162"/>
      <c r="O603" s="164"/>
      <c r="P603" s="140"/>
      <c r="Q603" s="327"/>
      <c r="R603" s="140"/>
    </row>
    <row r="604" ht="29.25" hidden="1" customHeight="1">
      <c r="A604" s="189"/>
      <c r="B604" s="323"/>
      <c r="C604" s="324"/>
      <c r="D604" s="325"/>
      <c r="E604" s="314"/>
      <c r="F604" s="166"/>
      <c r="G604" s="161"/>
      <c r="H604" s="161"/>
      <c r="I604" s="162"/>
      <c r="J604" s="163"/>
      <c r="K604" s="163"/>
      <c r="L604" s="163"/>
      <c r="M604" s="160"/>
      <c r="N604" s="162"/>
      <c r="O604" s="164"/>
      <c r="P604" s="140"/>
      <c r="Q604" s="321"/>
      <c r="R604" s="140"/>
    </row>
    <row r="605" ht="29.25" hidden="1" customHeight="1">
      <c r="A605" s="189"/>
      <c r="B605" s="323"/>
      <c r="C605" s="324"/>
      <c r="D605" s="325"/>
      <c r="E605" s="326"/>
      <c r="F605" s="166"/>
      <c r="G605" s="161"/>
      <c r="H605" s="161"/>
      <c r="I605" s="162"/>
      <c r="J605" s="163"/>
      <c r="K605" s="163"/>
      <c r="L605" s="163"/>
      <c r="M605" s="160"/>
      <c r="N605" s="162"/>
      <c r="O605" s="164"/>
      <c r="P605" s="140"/>
      <c r="Q605" s="327"/>
      <c r="R605" s="140"/>
    </row>
    <row r="606" ht="29.25" hidden="1" customHeight="1">
      <c r="A606" s="189"/>
      <c r="B606" s="323"/>
      <c r="C606" s="324"/>
      <c r="D606" s="325"/>
      <c r="E606" s="314"/>
      <c r="F606" s="166"/>
      <c r="G606" s="161"/>
      <c r="H606" s="161"/>
      <c r="I606" s="162"/>
      <c r="J606" s="163"/>
      <c r="K606" s="163"/>
      <c r="L606" s="163"/>
      <c r="M606" s="160"/>
      <c r="N606" s="162"/>
      <c r="O606" s="164"/>
      <c r="P606" s="140"/>
      <c r="Q606" s="321"/>
      <c r="R606" s="140"/>
    </row>
    <row r="607" ht="29.25" hidden="1" customHeight="1">
      <c r="A607" s="189"/>
      <c r="B607" s="323"/>
      <c r="C607" s="324"/>
      <c r="D607" s="325"/>
      <c r="E607" s="326"/>
      <c r="F607" s="166"/>
      <c r="G607" s="161"/>
      <c r="H607" s="161"/>
      <c r="I607" s="162"/>
      <c r="J607" s="163"/>
      <c r="K607" s="163"/>
      <c r="L607" s="163"/>
      <c r="M607" s="160"/>
      <c r="N607" s="162"/>
      <c r="O607" s="164"/>
      <c r="P607" s="140"/>
      <c r="Q607" s="327"/>
      <c r="R607" s="140"/>
    </row>
    <row r="608" ht="29.25" hidden="1" customHeight="1">
      <c r="A608" s="189"/>
      <c r="B608" s="323"/>
      <c r="C608" s="324"/>
      <c r="D608" s="325"/>
      <c r="E608" s="314"/>
      <c r="F608" s="166"/>
      <c r="G608" s="161"/>
      <c r="H608" s="161"/>
      <c r="I608" s="162"/>
      <c r="J608" s="163"/>
      <c r="K608" s="163"/>
      <c r="L608" s="163"/>
      <c r="M608" s="160"/>
      <c r="N608" s="162"/>
      <c r="O608" s="164"/>
      <c r="P608" s="140"/>
      <c r="Q608" s="321"/>
      <c r="R608" s="140"/>
    </row>
    <row r="609" ht="29.25" hidden="1" customHeight="1">
      <c r="A609" s="189"/>
      <c r="B609" s="323"/>
      <c r="C609" s="324"/>
      <c r="D609" s="325"/>
      <c r="E609" s="326"/>
      <c r="F609" s="166"/>
      <c r="G609" s="161"/>
      <c r="H609" s="161"/>
      <c r="I609" s="162"/>
      <c r="J609" s="163"/>
      <c r="K609" s="163"/>
      <c r="L609" s="163"/>
      <c r="M609" s="160"/>
      <c r="N609" s="162"/>
      <c r="O609" s="164"/>
      <c r="P609" s="140"/>
      <c r="Q609" s="327"/>
      <c r="R609" s="140"/>
    </row>
    <row r="610" ht="29.25" hidden="1" customHeight="1">
      <c r="A610" s="189"/>
      <c r="B610" s="323"/>
      <c r="C610" s="324"/>
      <c r="D610" s="325"/>
      <c r="E610" s="314"/>
      <c r="F610" s="166"/>
      <c r="G610" s="161"/>
      <c r="H610" s="161"/>
      <c r="I610" s="162"/>
      <c r="J610" s="163"/>
      <c r="K610" s="163"/>
      <c r="L610" s="163"/>
      <c r="M610" s="160"/>
      <c r="N610" s="162"/>
      <c r="O610" s="164"/>
      <c r="P610" s="140"/>
      <c r="Q610" s="321"/>
      <c r="R610" s="140"/>
    </row>
    <row r="611" ht="29.25" hidden="1" customHeight="1">
      <c r="A611" s="189"/>
      <c r="B611" s="323"/>
      <c r="C611" s="324"/>
      <c r="D611" s="325"/>
      <c r="E611" s="326"/>
      <c r="F611" s="166"/>
      <c r="G611" s="161"/>
      <c r="H611" s="161"/>
      <c r="I611" s="162"/>
      <c r="J611" s="163"/>
      <c r="K611" s="163"/>
      <c r="L611" s="163"/>
      <c r="M611" s="160"/>
      <c r="N611" s="162"/>
      <c r="O611" s="164"/>
      <c r="P611" s="140"/>
      <c r="Q611" s="327"/>
      <c r="R611" s="140"/>
    </row>
    <row r="612" ht="29.25" hidden="1" customHeight="1">
      <c r="A612" s="189"/>
      <c r="B612" s="323"/>
      <c r="C612" s="324"/>
      <c r="D612" s="325"/>
      <c r="E612" s="314"/>
      <c r="F612" s="166"/>
      <c r="G612" s="161"/>
      <c r="H612" s="161"/>
      <c r="I612" s="162"/>
      <c r="J612" s="163"/>
      <c r="K612" s="163"/>
      <c r="L612" s="163"/>
      <c r="M612" s="160"/>
      <c r="N612" s="162"/>
      <c r="O612" s="164"/>
      <c r="P612" s="140"/>
      <c r="Q612" s="321"/>
      <c r="R612" s="140"/>
    </row>
    <row r="613" ht="29.25" hidden="1" customHeight="1">
      <c r="A613" s="189"/>
      <c r="B613" s="323"/>
      <c r="C613" s="324"/>
      <c r="D613" s="325"/>
      <c r="E613" s="326"/>
      <c r="F613" s="166"/>
      <c r="G613" s="161"/>
      <c r="H613" s="161"/>
      <c r="I613" s="162"/>
      <c r="J613" s="163"/>
      <c r="K613" s="163"/>
      <c r="L613" s="163"/>
      <c r="M613" s="160"/>
      <c r="N613" s="162"/>
      <c r="O613" s="164"/>
      <c r="P613" s="140"/>
      <c r="Q613" s="327"/>
      <c r="R613" s="140"/>
    </row>
    <row r="614" ht="29.25" hidden="1" customHeight="1">
      <c r="A614" s="189"/>
      <c r="B614" s="323"/>
      <c r="C614" s="324"/>
      <c r="D614" s="325"/>
      <c r="E614" s="314"/>
      <c r="F614" s="166"/>
      <c r="G614" s="161"/>
      <c r="H614" s="161"/>
      <c r="I614" s="162"/>
      <c r="J614" s="163"/>
      <c r="K614" s="163"/>
      <c r="L614" s="163"/>
      <c r="M614" s="160"/>
      <c r="N614" s="162"/>
      <c r="O614" s="164"/>
      <c r="P614" s="140"/>
      <c r="Q614" s="321"/>
      <c r="R614" s="140"/>
    </row>
    <row r="615" ht="29.25" hidden="1" customHeight="1">
      <c r="A615" s="189"/>
      <c r="B615" s="323"/>
      <c r="C615" s="324"/>
      <c r="D615" s="325"/>
      <c r="E615" s="326"/>
      <c r="F615" s="166"/>
      <c r="G615" s="161"/>
      <c r="H615" s="161"/>
      <c r="I615" s="162"/>
      <c r="J615" s="163"/>
      <c r="K615" s="163"/>
      <c r="L615" s="163"/>
      <c r="M615" s="160"/>
      <c r="N615" s="162"/>
      <c r="O615" s="164"/>
      <c r="P615" s="140"/>
      <c r="Q615" s="327"/>
      <c r="R615" s="140"/>
    </row>
    <row r="616" ht="29.25" hidden="1" customHeight="1">
      <c r="A616" s="189"/>
      <c r="B616" s="323"/>
      <c r="C616" s="324"/>
      <c r="D616" s="325"/>
      <c r="E616" s="314"/>
      <c r="F616" s="166"/>
      <c r="G616" s="161"/>
      <c r="H616" s="161"/>
      <c r="I616" s="162"/>
      <c r="J616" s="163"/>
      <c r="K616" s="163"/>
      <c r="L616" s="163"/>
      <c r="M616" s="160"/>
      <c r="N616" s="162"/>
      <c r="O616" s="164"/>
      <c r="P616" s="140"/>
      <c r="Q616" s="321"/>
      <c r="R616" s="140"/>
    </row>
    <row r="617" ht="29.25" hidden="1" customHeight="1">
      <c r="A617" s="189"/>
      <c r="B617" s="323"/>
      <c r="C617" s="324"/>
      <c r="D617" s="325"/>
      <c r="E617" s="326"/>
      <c r="F617" s="166"/>
      <c r="G617" s="161"/>
      <c r="H617" s="161"/>
      <c r="I617" s="162"/>
      <c r="J617" s="163"/>
      <c r="K617" s="163"/>
      <c r="L617" s="163"/>
      <c r="M617" s="160"/>
      <c r="N617" s="162"/>
      <c r="O617" s="164"/>
      <c r="P617" s="140"/>
      <c r="Q617" s="327"/>
      <c r="R617" s="140"/>
    </row>
    <row r="618" ht="29.25" hidden="1" customHeight="1">
      <c r="A618" s="189"/>
      <c r="B618" s="323"/>
      <c r="C618" s="324"/>
      <c r="D618" s="325"/>
      <c r="E618" s="314"/>
      <c r="F618" s="166"/>
      <c r="G618" s="161"/>
      <c r="H618" s="161"/>
      <c r="I618" s="162"/>
      <c r="J618" s="163"/>
      <c r="K618" s="163"/>
      <c r="L618" s="163"/>
      <c r="M618" s="160"/>
      <c r="N618" s="162"/>
      <c r="O618" s="164"/>
      <c r="P618" s="140"/>
      <c r="Q618" s="321"/>
      <c r="R618" s="140"/>
    </row>
    <row r="619" ht="29.25" hidden="1" customHeight="1">
      <c r="A619" s="189"/>
      <c r="B619" s="323"/>
      <c r="C619" s="324"/>
      <c r="D619" s="325"/>
      <c r="E619" s="326"/>
      <c r="F619" s="166"/>
      <c r="G619" s="161"/>
      <c r="H619" s="161"/>
      <c r="I619" s="162"/>
      <c r="J619" s="163"/>
      <c r="K619" s="163"/>
      <c r="L619" s="163"/>
      <c r="M619" s="160"/>
      <c r="N619" s="162"/>
      <c r="O619" s="164"/>
      <c r="P619" s="140"/>
      <c r="Q619" s="327"/>
      <c r="R619" s="140"/>
    </row>
    <row r="620" ht="29.25" hidden="1" customHeight="1">
      <c r="A620" s="189"/>
      <c r="B620" s="323"/>
      <c r="C620" s="324"/>
      <c r="D620" s="325"/>
      <c r="E620" s="314"/>
      <c r="F620" s="166"/>
      <c r="G620" s="161"/>
      <c r="H620" s="161"/>
      <c r="I620" s="162"/>
      <c r="J620" s="163"/>
      <c r="K620" s="163"/>
      <c r="L620" s="163"/>
      <c r="M620" s="160"/>
      <c r="N620" s="162"/>
      <c r="O620" s="164"/>
      <c r="P620" s="140"/>
      <c r="Q620" s="321"/>
      <c r="R620" s="140"/>
    </row>
    <row r="621" ht="29.25" hidden="1" customHeight="1">
      <c r="A621" s="189"/>
      <c r="B621" s="323"/>
      <c r="C621" s="324"/>
      <c r="D621" s="325"/>
      <c r="E621" s="326"/>
      <c r="F621" s="166"/>
      <c r="G621" s="161"/>
      <c r="H621" s="161"/>
      <c r="I621" s="162"/>
      <c r="J621" s="163"/>
      <c r="K621" s="163"/>
      <c r="L621" s="163"/>
      <c r="M621" s="160"/>
      <c r="N621" s="162"/>
      <c r="O621" s="164"/>
      <c r="P621" s="140"/>
      <c r="Q621" s="327"/>
      <c r="R621" s="140"/>
    </row>
    <row r="622" ht="29.25" hidden="1" customHeight="1">
      <c r="A622" s="189"/>
      <c r="B622" s="323"/>
      <c r="C622" s="324"/>
      <c r="D622" s="325"/>
      <c r="E622" s="314"/>
      <c r="F622" s="166"/>
      <c r="G622" s="161"/>
      <c r="H622" s="161"/>
      <c r="I622" s="162"/>
      <c r="J622" s="163"/>
      <c r="K622" s="163"/>
      <c r="L622" s="163"/>
      <c r="M622" s="160"/>
      <c r="N622" s="162"/>
      <c r="O622" s="164"/>
      <c r="P622" s="140"/>
      <c r="Q622" s="321"/>
      <c r="R622" s="140"/>
    </row>
    <row r="623" ht="29.25" hidden="1" customHeight="1">
      <c r="A623" s="189"/>
      <c r="B623" s="323"/>
      <c r="C623" s="324"/>
      <c r="D623" s="325"/>
      <c r="E623" s="326"/>
      <c r="F623" s="166"/>
      <c r="G623" s="161"/>
      <c r="H623" s="161"/>
      <c r="I623" s="162"/>
      <c r="J623" s="163"/>
      <c r="K623" s="163"/>
      <c r="L623" s="163"/>
      <c r="M623" s="160"/>
      <c r="N623" s="162"/>
      <c r="O623" s="164"/>
      <c r="P623" s="140"/>
      <c r="Q623" s="327"/>
      <c r="R623" s="140"/>
    </row>
    <row r="624" ht="29.25" hidden="1" customHeight="1">
      <c r="A624" s="189"/>
      <c r="B624" s="323"/>
      <c r="C624" s="324"/>
      <c r="D624" s="325"/>
      <c r="E624" s="314"/>
      <c r="F624" s="166"/>
      <c r="G624" s="161"/>
      <c r="H624" s="161"/>
      <c r="I624" s="162"/>
      <c r="J624" s="163"/>
      <c r="K624" s="163"/>
      <c r="L624" s="163"/>
      <c r="M624" s="160"/>
      <c r="N624" s="162"/>
      <c r="O624" s="164"/>
      <c r="P624" s="140"/>
      <c r="Q624" s="321"/>
      <c r="R624" s="140"/>
    </row>
    <row r="625" ht="29.25" hidden="1" customHeight="1">
      <c r="A625" s="189"/>
      <c r="B625" s="323"/>
      <c r="C625" s="324"/>
      <c r="D625" s="325"/>
      <c r="E625" s="326"/>
      <c r="F625" s="166"/>
      <c r="G625" s="161"/>
      <c r="H625" s="161"/>
      <c r="I625" s="162"/>
      <c r="J625" s="163"/>
      <c r="K625" s="163"/>
      <c r="L625" s="163"/>
      <c r="M625" s="160"/>
      <c r="N625" s="162"/>
      <c r="O625" s="164"/>
      <c r="P625" s="140"/>
      <c r="Q625" s="327"/>
      <c r="R625" s="140"/>
    </row>
    <row r="626" ht="29.25" hidden="1" customHeight="1">
      <c r="A626" s="189"/>
      <c r="B626" s="323"/>
      <c r="C626" s="324"/>
      <c r="D626" s="325"/>
      <c r="E626" s="314"/>
      <c r="F626" s="166"/>
      <c r="G626" s="161"/>
      <c r="H626" s="161"/>
      <c r="I626" s="162"/>
      <c r="J626" s="163"/>
      <c r="K626" s="163"/>
      <c r="L626" s="163"/>
      <c r="M626" s="160"/>
      <c r="N626" s="162"/>
      <c r="O626" s="164"/>
      <c r="P626" s="140"/>
      <c r="Q626" s="321"/>
      <c r="R626" s="140"/>
    </row>
    <row r="627" ht="29.25" hidden="1" customHeight="1">
      <c r="A627" s="189"/>
      <c r="B627" s="323"/>
      <c r="C627" s="324"/>
      <c r="D627" s="325"/>
      <c r="E627" s="326"/>
      <c r="F627" s="166"/>
      <c r="G627" s="161"/>
      <c r="H627" s="161"/>
      <c r="I627" s="162"/>
      <c r="J627" s="163"/>
      <c r="K627" s="163"/>
      <c r="L627" s="163"/>
      <c r="M627" s="160"/>
      <c r="N627" s="162"/>
      <c r="O627" s="164"/>
      <c r="P627" s="140"/>
      <c r="Q627" s="327"/>
      <c r="R627" s="140"/>
    </row>
    <row r="628" ht="29.25" hidden="1" customHeight="1">
      <c r="A628" s="189"/>
      <c r="B628" s="323"/>
      <c r="C628" s="324"/>
      <c r="D628" s="325"/>
      <c r="E628" s="314"/>
      <c r="F628" s="166"/>
      <c r="G628" s="161"/>
      <c r="H628" s="161"/>
      <c r="I628" s="162"/>
      <c r="J628" s="163"/>
      <c r="K628" s="163"/>
      <c r="L628" s="163"/>
      <c r="M628" s="160"/>
      <c r="N628" s="162"/>
      <c r="O628" s="164"/>
      <c r="P628" s="140"/>
      <c r="Q628" s="321"/>
      <c r="R628" s="140"/>
    </row>
    <row r="629" ht="29.25" hidden="1" customHeight="1">
      <c r="A629" s="189"/>
      <c r="B629" s="323"/>
      <c r="C629" s="324"/>
      <c r="D629" s="325"/>
      <c r="E629" s="326"/>
      <c r="F629" s="166"/>
      <c r="G629" s="161"/>
      <c r="H629" s="161"/>
      <c r="I629" s="162"/>
      <c r="J629" s="163"/>
      <c r="K629" s="163"/>
      <c r="L629" s="163"/>
      <c r="M629" s="160"/>
      <c r="N629" s="162"/>
      <c r="O629" s="164"/>
      <c r="P629" s="140"/>
      <c r="Q629" s="327"/>
      <c r="R629" s="140"/>
    </row>
    <row r="630" ht="29.25" hidden="1" customHeight="1">
      <c r="A630" s="189"/>
      <c r="B630" s="323"/>
      <c r="C630" s="324"/>
      <c r="D630" s="325"/>
      <c r="E630" s="314"/>
      <c r="F630" s="166"/>
      <c r="G630" s="161"/>
      <c r="H630" s="161"/>
      <c r="I630" s="162"/>
      <c r="J630" s="163"/>
      <c r="K630" s="163"/>
      <c r="L630" s="163"/>
      <c r="M630" s="160"/>
      <c r="N630" s="162"/>
      <c r="O630" s="164"/>
      <c r="P630" s="140"/>
      <c r="Q630" s="321"/>
      <c r="R630" s="140"/>
    </row>
    <row r="631" ht="29.25" hidden="1" customHeight="1">
      <c r="A631" s="189"/>
      <c r="B631" s="323"/>
      <c r="C631" s="324"/>
      <c r="D631" s="325"/>
      <c r="E631" s="326"/>
      <c r="F631" s="166"/>
      <c r="G631" s="161"/>
      <c r="H631" s="161"/>
      <c r="I631" s="162"/>
      <c r="J631" s="163"/>
      <c r="K631" s="163"/>
      <c r="L631" s="163"/>
      <c r="M631" s="160"/>
      <c r="N631" s="162"/>
      <c r="O631" s="164"/>
      <c r="P631" s="140"/>
      <c r="Q631" s="327"/>
      <c r="R631" s="140"/>
    </row>
    <row r="632" ht="29.25" hidden="1" customHeight="1">
      <c r="A632" s="189"/>
      <c r="B632" s="323"/>
      <c r="C632" s="324"/>
      <c r="D632" s="325"/>
      <c r="E632" s="314"/>
      <c r="F632" s="166"/>
      <c r="G632" s="161"/>
      <c r="H632" s="161"/>
      <c r="I632" s="162"/>
      <c r="J632" s="163"/>
      <c r="K632" s="163"/>
      <c r="L632" s="163"/>
      <c r="M632" s="160"/>
      <c r="N632" s="162"/>
      <c r="O632" s="164"/>
      <c r="P632" s="140"/>
      <c r="Q632" s="321"/>
      <c r="R632" s="140"/>
    </row>
    <row r="633" ht="29.25" hidden="1" customHeight="1">
      <c r="A633" s="189"/>
      <c r="B633" s="323"/>
      <c r="C633" s="324"/>
      <c r="D633" s="325"/>
      <c r="E633" s="326"/>
      <c r="F633" s="166"/>
      <c r="G633" s="161"/>
      <c r="H633" s="161"/>
      <c r="I633" s="162"/>
      <c r="J633" s="163"/>
      <c r="K633" s="163"/>
      <c r="L633" s="163"/>
      <c r="M633" s="160"/>
      <c r="N633" s="162"/>
      <c r="O633" s="164"/>
      <c r="P633" s="140"/>
      <c r="Q633" s="327"/>
      <c r="R633" s="140"/>
    </row>
    <row r="634" ht="29.25" hidden="1" customHeight="1">
      <c r="A634" s="189"/>
      <c r="B634" s="323"/>
      <c r="C634" s="324"/>
      <c r="D634" s="325"/>
      <c r="E634" s="314"/>
      <c r="F634" s="166"/>
      <c r="G634" s="161"/>
      <c r="H634" s="161"/>
      <c r="I634" s="162"/>
      <c r="J634" s="163"/>
      <c r="K634" s="163"/>
      <c r="L634" s="163"/>
      <c r="M634" s="160"/>
      <c r="N634" s="162"/>
      <c r="O634" s="164"/>
      <c r="P634" s="140"/>
      <c r="Q634" s="321"/>
      <c r="R634" s="140"/>
    </row>
    <row r="635" ht="29.25" hidden="1" customHeight="1">
      <c r="A635" s="189"/>
      <c r="B635" s="323"/>
      <c r="C635" s="324"/>
      <c r="D635" s="325"/>
      <c r="E635" s="326"/>
      <c r="F635" s="166"/>
      <c r="G635" s="161"/>
      <c r="H635" s="161"/>
      <c r="I635" s="162"/>
      <c r="J635" s="163"/>
      <c r="K635" s="163"/>
      <c r="L635" s="163"/>
      <c r="M635" s="160"/>
      <c r="N635" s="162"/>
      <c r="O635" s="164"/>
      <c r="P635" s="140"/>
      <c r="Q635" s="327"/>
      <c r="R635" s="140"/>
    </row>
    <row r="636" ht="29.25" hidden="1" customHeight="1">
      <c r="A636" s="189"/>
      <c r="B636" s="323"/>
      <c r="C636" s="324"/>
      <c r="D636" s="325"/>
      <c r="E636" s="314"/>
      <c r="F636" s="166"/>
      <c r="G636" s="161"/>
      <c r="H636" s="161"/>
      <c r="I636" s="162"/>
      <c r="J636" s="163"/>
      <c r="K636" s="163"/>
      <c r="L636" s="163"/>
      <c r="M636" s="160"/>
      <c r="N636" s="162"/>
      <c r="O636" s="164"/>
      <c r="P636" s="140"/>
      <c r="Q636" s="321"/>
      <c r="R636" s="140"/>
    </row>
    <row r="637" ht="29.25" hidden="1" customHeight="1">
      <c r="A637" s="189"/>
      <c r="B637" s="323"/>
      <c r="C637" s="324"/>
      <c r="D637" s="325"/>
      <c r="E637" s="326"/>
      <c r="F637" s="166"/>
      <c r="G637" s="161"/>
      <c r="H637" s="161"/>
      <c r="I637" s="162"/>
      <c r="J637" s="163"/>
      <c r="K637" s="163"/>
      <c r="L637" s="163"/>
      <c r="M637" s="160"/>
      <c r="N637" s="162"/>
      <c r="O637" s="164"/>
      <c r="P637" s="140"/>
      <c r="Q637" s="327"/>
      <c r="R637" s="140"/>
    </row>
    <row r="638" ht="29.25" hidden="1" customHeight="1">
      <c r="A638" s="189"/>
      <c r="B638" s="323"/>
      <c r="C638" s="324"/>
      <c r="D638" s="325"/>
      <c r="E638" s="314"/>
      <c r="F638" s="166"/>
      <c r="G638" s="161"/>
      <c r="H638" s="161"/>
      <c r="I638" s="162"/>
      <c r="J638" s="163"/>
      <c r="K638" s="163"/>
      <c r="L638" s="163"/>
      <c r="M638" s="160"/>
      <c r="N638" s="162"/>
      <c r="O638" s="164"/>
      <c r="P638" s="140"/>
      <c r="Q638" s="321"/>
      <c r="R638" s="140"/>
    </row>
    <row r="639" ht="29.25" hidden="1" customHeight="1">
      <c r="A639" s="189"/>
      <c r="B639" s="323"/>
      <c r="C639" s="324"/>
      <c r="D639" s="325"/>
      <c r="E639" s="326"/>
      <c r="F639" s="166"/>
      <c r="G639" s="161"/>
      <c r="H639" s="161"/>
      <c r="I639" s="162"/>
      <c r="J639" s="163"/>
      <c r="K639" s="163"/>
      <c r="L639" s="163"/>
      <c r="M639" s="160"/>
      <c r="N639" s="162"/>
      <c r="O639" s="164"/>
      <c r="P639" s="140"/>
      <c r="Q639" s="327"/>
      <c r="R639" s="140"/>
    </row>
    <row r="640" ht="29.25" hidden="1" customHeight="1">
      <c r="A640" s="189"/>
      <c r="B640" s="323"/>
      <c r="C640" s="324"/>
      <c r="D640" s="325"/>
      <c r="E640" s="314"/>
      <c r="F640" s="166"/>
      <c r="G640" s="161"/>
      <c r="H640" s="161"/>
      <c r="I640" s="162"/>
      <c r="J640" s="163"/>
      <c r="K640" s="163"/>
      <c r="L640" s="163"/>
      <c r="M640" s="160"/>
      <c r="N640" s="162"/>
      <c r="O640" s="164"/>
      <c r="P640" s="140"/>
      <c r="Q640" s="321"/>
      <c r="R640" s="140"/>
    </row>
    <row r="641" ht="29.25" hidden="1" customHeight="1">
      <c r="A641" s="189"/>
      <c r="B641" s="323"/>
      <c r="C641" s="324"/>
      <c r="D641" s="325"/>
      <c r="E641" s="326"/>
      <c r="F641" s="166"/>
      <c r="G641" s="161"/>
      <c r="H641" s="161"/>
      <c r="I641" s="162"/>
      <c r="J641" s="163"/>
      <c r="K641" s="163"/>
      <c r="L641" s="163"/>
      <c r="M641" s="160"/>
      <c r="N641" s="162"/>
      <c r="O641" s="164"/>
      <c r="P641" s="140"/>
      <c r="Q641" s="327"/>
      <c r="R641" s="140"/>
    </row>
    <row r="642" ht="29.25" hidden="1" customHeight="1">
      <c r="A642" s="189"/>
      <c r="B642" s="323"/>
      <c r="C642" s="324"/>
      <c r="D642" s="325"/>
      <c r="E642" s="314"/>
      <c r="F642" s="166"/>
      <c r="G642" s="161"/>
      <c r="H642" s="161"/>
      <c r="I642" s="162"/>
      <c r="J642" s="163"/>
      <c r="K642" s="163"/>
      <c r="L642" s="163"/>
      <c r="M642" s="160"/>
      <c r="N642" s="162"/>
      <c r="O642" s="164"/>
      <c r="P642" s="140"/>
      <c r="Q642" s="321"/>
      <c r="R642" s="140"/>
    </row>
    <row r="643" ht="29.25" hidden="1" customHeight="1">
      <c r="A643" s="189"/>
      <c r="B643" s="323"/>
      <c r="C643" s="324"/>
      <c r="D643" s="325"/>
      <c r="E643" s="326"/>
      <c r="F643" s="166"/>
      <c r="G643" s="161"/>
      <c r="H643" s="161"/>
      <c r="I643" s="162"/>
      <c r="J643" s="163"/>
      <c r="K643" s="163"/>
      <c r="L643" s="163"/>
      <c r="M643" s="160"/>
      <c r="N643" s="162"/>
      <c r="O643" s="164"/>
      <c r="P643" s="140"/>
      <c r="Q643" s="327"/>
      <c r="R643" s="140"/>
    </row>
    <row r="644" ht="29.25" hidden="1" customHeight="1">
      <c r="A644" s="189"/>
      <c r="B644" s="323"/>
      <c r="C644" s="324"/>
      <c r="D644" s="325"/>
      <c r="E644" s="314"/>
      <c r="F644" s="166"/>
      <c r="G644" s="161"/>
      <c r="H644" s="161"/>
      <c r="I644" s="162"/>
      <c r="J644" s="163"/>
      <c r="K644" s="163"/>
      <c r="L644" s="163"/>
      <c r="M644" s="160"/>
      <c r="N644" s="162"/>
      <c r="O644" s="164"/>
      <c r="P644" s="140"/>
      <c r="Q644" s="321"/>
      <c r="R644" s="140"/>
    </row>
    <row r="645" ht="29.25" hidden="1" customHeight="1">
      <c r="A645" s="189"/>
      <c r="B645" s="323"/>
      <c r="C645" s="324"/>
      <c r="D645" s="325"/>
      <c r="E645" s="326"/>
      <c r="F645" s="166"/>
      <c r="G645" s="161"/>
      <c r="H645" s="161"/>
      <c r="I645" s="162"/>
      <c r="J645" s="163"/>
      <c r="K645" s="163"/>
      <c r="L645" s="163"/>
      <c r="M645" s="160"/>
      <c r="N645" s="162"/>
      <c r="O645" s="164"/>
      <c r="P645" s="140"/>
      <c r="Q645" s="327"/>
      <c r="R645" s="140"/>
    </row>
    <row r="646" ht="29.25" hidden="1" customHeight="1">
      <c r="A646" s="189"/>
      <c r="B646" s="323"/>
      <c r="C646" s="324"/>
      <c r="D646" s="325"/>
      <c r="E646" s="314"/>
      <c r="F646" s="166"/>
      <c r="G646" s="161"/>
      <c r="H646" s="161"/>
      <c r="I646" s="162"/>
      <c r="J646" s="163"/>
      <c r="K646" s="163"/>
      <c r="L646" s="163"/>
      <c r="M646" s="160"/>
      <c r="N646" s="162"/>
      <c r="O646" s="164"/>
      <c r="P646" s="140"/>
      <c r="Q646" s="321"/>
      <c r="R646" s="140"/>
    </row>
    <row r="647" ht="29.25" hidden="1" customHeight="1">
      <c r="A647" s="189"/>
      <c r="B647" s="323"/>
      <c r="C647" s="324"/>
      <c r="D647" s="325"/>
      <c r="E647" s="326"/>
      <c r="F647" s="166"/>
      <c r="G647" s="161"/>
      <c r="H647" s="161"/>
      <c r="I647" s="162"/>
      <c r="J647" s="163"/>
      <c r="K647" s="163"/>
      <c r="L647" s="163"/>
      <c r="M647" s="160"/>
      <c r="N647" s="162"/>
      <c r="O647" s="164"/>
      <c r="P647" s="140"/>
      <c r="Q647" s="327"/>
      <c r="R647" s="140"/>
    </row>
    <row r="648" ht="29.25" hidden="1" customHeight="1">
      <c r="A648" s="189"/>
      <c r="B648" s="323"/>
      <c r="C648" s="324"/>
      <c r="D648" s="325"/>
      <c r="E648" s="314"/>
      <c r="F648" s="166"/>
      <c r="G648" s="161"/>
      <c r="H648" s="161"/>
      <c r="I648" s="162"/>
      <c r="J648" s="163"/>
      <c r="K648" s="163"/>
      <c r="L648" s="163"/>
      <c r="M648" s="160"/>
      <c r="N648" s="162"/>
      <c r="O648" s="164"/>
      <c r="P648" s="140"/>
      <c r="Q648" s="321"/>
      <c r="R648" s="140"/>
    </row>
    <row r="649" ht="29.25" hidden="1" customHeight="1">
      <c r="A649" s="189"/>
      <c r="B649" s="323"/>
      <c r="C649" s="324"/>
      <c r="D649" s="325"/>
      <c r="E649" s="326"/>
      <c r="F649" s="166"/>
      <c r="G649" s="161"/>
      <c r="H649" s="161"/>
      <c r="I649" s="162"/>
      <c r="J649" s="163"/>
      <c r="K649" s="163"/>
      <c r="L649" s="163"/>
      <c r="M649" s="160"/>
      <c r="N649" s="162"/>
      <c r="O649" s="164"/>
      <c r="P649" s="140"/>
      <c r="Q649" s="327"/>
      <c r="R649" s="140"/>
    </row>
    <row r="650" ht="29.25" hidden="1" customHeight="1">
      <c r="A650" s="189"/>
      <c r="B650" s="323"/>
      <c r="C650" s="324"/>
      <c r="D650" s="325"/>
      <c r="E650" s="314"/>
      <c r="F650" s="166"/>
      <c r="G650" s="161"/>
      <c r="H650" s="161"/>
      <c r="I650" s="162"/>
      <c r="J650" s="163"/>
      <c r="K650" s="163"/>
      <c r="L650" s="163"/>
      <c r="M650" s="160"/>
      <c r="N650" s="162"/>
      <c r="O650" s="164"/>
      <c r="P650" s="140"/>
      <c r="Q650" s="321"/>
      <c r="R650" s="140"/>
    </row>
    <row r="651" ht="29.25" hidden="1" customHeight="1">
      <c r="A651" s="189"/>
      <c r="B651" s="323"/>
      <c r="C651" s="324"/>
      <c r="D651" s="325"/>
      <c r="E651" s="326"/>
      <c r="F651" s="166"/>
      <c r="G651" s="161"/>
      <c r="H651" s="161"/>
      <c r="I651" s="162"/>
      <c r="J651" s="163"/>
      <c r="K651" s="163"/>
      <c r="L651" s="163"/>
      <c r="M651" s="160"/>
      <c r="N651" s="162"/>
      <c r="O651" s="164"/>
      <c r="P651" s="140"/>
      <c r="Q651" s="327"/>
      <c r="R651" s="140"/>
    </row>
    <row r="652" ht="29.25" hidden="1" customHeight="1">
      <c r="A652" s="189"/>
      <c r="B652" s="323"/>
      <c r="C652" s="324"/>
      <c r="D652" s="325"/>
      <c r="E652" s="314"/>
      <c r="F652" s="166"/>
      <c r="G652" s="161"/>
      <c r="H652" s="161"/>
      <c r="I652" s="162"/>
      <c r="J652" s="163"/>
      <c r="K652" s="163"/>
      <c r="L652" s="163"/>
      <c r="M652" s="160"/>
      <c r="N652" s="162"/>
      <c r="O652" s="164"/>
      <c r="P652" s="140"/>
      <c r="Q652" s="321"/>
      <c r="R652" s="140"/>
    </row>
    <row r="653" ht="29.25" hidden="1" customHeight="1">
      <c r="A653" s="189"/>
      <c r="B653" s="323"/>
      <c r="C653" s="324"/>
      <c r="D653" s="325"/>
      <c r="E653" s="326"/>
      <c r="F653" s="166"/>
      <c r="G653" s="161"/>
      <c r="H653" s="161"/>
      <c r="I653" s="162"/>
      <c r="J653" s="163"/>
      <c r="K653" s="163"/>
      <c r="L653" s="163"/>
      <c r="M653" s="160"/>
      <c r="N653" s="162"/>
      <c r="O653" s="164"/>
      <c r="P653" s="140"/>
      <c r="Q653" s="327"/>
      <c r="R653" s="140"/>
    </row>
    <row r="654" ht="29.25" hidden="1" customHeight="1">
      <c r="A654" s="189"/>
      <c r="B654" s="323"/>
      <c r="C654" s="324"/>
      <c r="D654" s="325"/>
      <c r="E654" s="314"/>
      <c r="F654" s="166"/>
      <c r="G654" s="161"/>
      <c r="H654" s="161"/>
      <c r="I654" s="162"/>
      <c r="J654" s="163"/>
      <c r="K654" s="163"/>
      <c r="L654" s="163"/>
      <c r="M654" s="160"/>
      <c r="N654" s="162"/>
      <c r="O654" s="164"/>
      <c r="P654" s="140"/>
      <c r="Q654" s="321"/>
      <c r="R654" s="140"/>
    </row>
    <row r="655" ht="29.25" hidden="1" customHeight="1">
      <c r="A655" s="189"/>
      <c r="B655" s="323"/>
      <c r="C655" s="324"/>
      <c r="D655" s="325"/>
      <c r="E655" s="326"/>
      <c r="F655" s="166"/>
      <c r="G655" s="161"/>
      <c r="H655" s="161"/>
      <c r="I655" s="162"/>
      <c r="J655" s="163"/>
      <c r="K655" s="163"/>
      <c r="L655" s="163"/>
      <c r="M655" s="160"/>
      <c r="N655" s="162"/>
      <c r="O655" s="164"/>
      <c r="P655" s="140"/>
      <c r="Q655" s="327"/>
      <c r="R655" s="140"/>
    </row>
    <row r="656" ht="29.25" hidden="1" customHeight="1">
      <c r="A656" s="189"/>
      <c r="B656" s="323"/>
      <c r="C656" s="324"/>
      <c r="D656" s="325"/>
      <c r="E656" s="314"/>
      <c r="F656" s="166"/>
      <c r="G656" s="161"/>
      <c r="H656" s="161"/>
      <c r="I656" s="162"/>
      <c r="J656" s="163"/>
      <c r="K656" s="163"/>
      <c r="L656" s="163"/>
      <c r="M656" s="160"/>
      <c r="N656" s="162"/>
      <c r="O656" s="164"/>
      <c r="P656" s="140"/>
      <c r="Q656" s="321"/>
      <c r="R656" s="140"/>
    </row>
    <row r="657" ht="29.25" hidden="1" customHeight="1">
      <c r="A657" s="189"/>
      <c r="B657" s="323"/>
      <c r="C657" s="324"/>
      <c r="D657" s="325"/>
      <c r="E657" s="326"/>
      <c r="F657" s="166"/>
      <c r="G657" s="161"/>
      <c r="H657" s="161"/>
      <c r="I657" s="162"/>
      <c r="J657" s="163"/>
      <c r="K657" s="163"/>
      <c r="L657" s="163"/>
      <c r="M657" s="160"/>
      <c r="N657" s="162"/>
      <c r="O657" s="164"/>
      <c r="P657" s="140"/>
      <c r="Q657" s="327"/>
      <c r="R657" s="140"/>
    </row>
    <row r="658" ht="29.25" hidden="1" customHeight="1">
      <c r="A658" s="189"/>
      <c r="B658" s="323"/>
      <c r="C658" s="324"/>
      <c r="D658" s="325"/>
      <c r="E658" s="314"/>
      <c r="F658" s="166"/>
      <c r="G658" s="161"/>
      <c r="H658" s="161"/>
      <c r="I658" s="162"/>
      <c r="J658" s="163"/>
      <c r="K658" s="163"/>
      <c r="L658" s="163"/>
      <c r="M658" s="160"/>
      <c r="N658" s="162"/>
      <c r="O658" s="164"/>
      <c r="P658" s="140"/>
      <c r="Q658" s="321"/>
      <c r="R658" s="140"/>
    </row>
    <row r="659" ht="29.25" hidden="1" customHeight="1">
      <c r="A659" s="189"/>
      <c r="B659" s="323"/>
      <c r="C659" s="324"/>
      <c r="D659" s="325"/>
      <c r="E659" s="326"/>
      <c r="F659" s="166"/>
      <c r="G659" s="161"/>
      <c r="H659" s="161"/>
      <c r="I659" s="162"/>
      <c r="J659" s="163"/>
      <c r="K659" s="163"/>
      <c r="L659" s="163"/>
      <c r="M659" s="160"/>
      <c r="N659" s="162"/>
      <c r="O659" s="164"/>
      <c r="P659" s="140"/>
      <c r="Q659" s="327"/>
      <c r="R659" s="140"/>
    </row>
    <row r="660" ht="29.25" hidden="1" customHeight="1">
      <c r="A660" s="189"/>
      <c r="B660" s="323"/>
      <c r="C660" s="324"/>
      <c r="D660" s="325"/>
      <c r="E660" s="314"/>
      <c r="F660" s="166"/>
      <c r="G660" s="161"/>
      <c r="H660" s="161"/>
      <c r="I660" s="162"/>
      <c r="J660" s="163"/>
      <c r="K660" s="163"/>
      <c r="L660" s="163"/>
      <c r="M660" s="160"/>
      <c r="N660" s="162"/>
      <c r="O660" s="164"/>
      <c r="P660" s="140"/>
      <c r="Q660" s="321"/>
      <c r="R660" s="140"/>
    </row>
    <row r="661" ht="29.25" hidden="1" customHeight="1">
      <c r="A661" s="189"/>
      <c r="B661" s="323"/>
      <c r="C661" s="324"/>
      <c r="D661" s="325"/>
      <c r="E661" s="326"/>
      <c r="F661" s="166"/>
      <c r="G661" s="161"/>
      <c r="H661" s="161"/>
      <c r="I661" s="162"/>
      <c r="J661" s="163"/>
      <c r="K661" s="163"/>
      <c r="L661" s="163"/>
      <c r="M661" s="160"/>
      <c r="N661" s="162"/>
      <c r="O661" s="164"/>
      <c r="P661" s="140"/>
      <c r="Q661" s="327"/>
      <c r="R661" s="140"/>
    </row>
    <row r="662" ht="29.25" hidden="1" customHeight="1">
      <c r="A662" s="189"/>
      <c r="B662" s="323"/>
      <c r="C662" s="324"/>
      <c r="D662" s="325"/>
      <c r="E662" s="314"/>
      <c r="F662" s="166"/>
      <c r="G662" s="161"/>
      <c r="H662" s="161"/>
      <c r="I662" s="162"/>
      <c r="J662" s="163"/>
      <c r="K662" s="163"/>
      <c r="L662" s="163"/>
      <c r="M662" s="160"/>
      <c r="N662" s="162"/>
      <c r="O662" s="164"/>
      <c r="P662" s="140"/>
      <c r="Q662" s="321"/>
      <c r="R662" s="140"/>
    </row>
    <row r="663" ht="29.25" hidden="1" customHeight="1">
      <c r="A663" s="189"/>
      <c r="B663" s="323"/>
      <c r="C663" s="324"/>
      <c r="D663" s="325"/>
      <c r="E663" s="326"/>
      <c r="F663" s="166"/>
      <c r="G663" s="161"/>
      <c r="H663" s="161"/>
      <c r="I663" s="162"/>
      <c r="J663" s="163"/>
      <c r="K663" s="163"/>
      <c r="L663" s="163"/>
      <c r="M663" s="160"/>
      <c r="N663" s="162"/>
      <c r="O663" s="164"/>
      <c r="P663" s="140"/>
      <c r="Q663" s="327"/>
      <c r="R663" s="140"/>
    </row>
    <row r="664" ht="29.25" hidden="1" customHeight="1">
      <c r="A664" s="189"/>
      <c r="B664" s="323"/>
      <c r="C664" s="324"/>
      <c r="D664" s="325"/>
      <c r="E664" s="314"/>
      <c r="F664" s="166"/>
      <c r="G664" s="161"/>
      <c r="H664" s="161"/>
      <c r="I664" s="162"/>
      <c r="J664" s="163"/>
      <c r="K664" s="163"/>
      <c r="L664" s="163"/>
      <c r="M664" s="160"/>
      <c r="N664" s="162"/>
      <c r="O664" s="164"/>
      <c r="P664" s="140"/>
      <c r="Q664" s="321"/>
      <c r="R664" s="140"/>
    </row>
    <row r="665" ht="29.25" hidden="1" customHeight="1">
      <c r="A665" s="189"/>
      <c r="B665" s="323"/>
      <c r="C665" s="324"/>
      <c r="D665" s="325"/>
      <c r="E665" s="326"/>
      <c r="F665" s="166"/>
      <c r="G665" s="161"/>
      <c r="H665" s="161"/>
      <c r="I665" s="162"/>
      <c r="J665" s="163"/>
      <c r="K665" s="163"/>
      <c r="L665" s="163"/>
      <c r="M665" s="160"/>
      <c r="N665" s="162"/>
      <c r="O665" s="164"/>
      <c r="P665" s="140"/>
      <c r="Q665" s="327"/>
      <c r="R665" s="140"/>
    </row>
    <row r="666" ht="29.25" hidden="1" customHeight="1">
      <c r="A666" s="189"/>
      <c r="B666" s="323"/>
      <c r="C666" s="324"/>
      <c r="D666" s="325"/>
      <c r="E666" s="314"/>
      <c r="F666" s="166"/>
      <c r="G666" s="161"/>
      <c r="H666" s="161"/>
      <c r="I666" s="162"/>
      <c r="J666" s="163"/>
      <c r="K666" s="163"/>
      <c r="L666" s="163"/>
      <c r="M666" s="160"/>
      <c r="N666" s="162"/>
      <c r="O666" s="164"/>
      <c r="P666" s="140"/>
      <c r="Q666" s="321"/>
      <c r="R666" s="140"/>
    </row>
    <row r="667" ht="29.25" hidden="1" customHeight="1">
      <c r="A667" s="189"/>
      <c r="B667" s="323"/>
      <c r="C667" s="324"/>
      <c r="D667" s="325"/>
      <c r="E667" s="326"/>
      <c r="F667" s="166"/>
      <c r="G667" s="161"/>
      <c r="H667" s="161"/>
      <c r="I667" s="162"/>
      <c r="J667" s="163"/>
      <c r="K667" s="163"/>
      <c r="L667" s="163"/>
      <c r="M667" s="160"/>
      <c r="N667" s="162"/>
      <c r="O667" s="164"/>
      <c r="P667" s="140"/>
      <c r="Q667" s="327"/>
      <c r="R667" s="140"/>
    </row>
    <row r="668" ht="29.25" hidden="1" customHeight="1">
      <c r="A668" s="189"/>
      <c r="B668" s="323"/>
      <c r="C668" s="324"/>
      <c r="D668" s="325"/>
      <c r="E668" s="314"/>
      <c r="F668" s="166"/>
      <c r="G668" s="161"/>
      <c r="H668" s="161"/>
      <c r="I668" s="162"/>
      <c r="J668" s="163"/>
      <c r="K668" s="163"/>
      <c r="L668" s="163"/>
      <c r="M668" s="160"/>
      <c r="N668" s="162"/>
      <c r="O668" s="164"/>
      <c r="P668" s="140"/>
      <c r="Q668" s="321"/>
      <c r="R668" s="140"/>
    </row>
    <row r="669" ht="29.25" hidden="1" customHeight="1">
      <c r="A669" s="189"/>
      <c r="B669" s="323"/>
      <c r="C669" s="324"/>
      <c r="D669" s="325"/>
      <c r="E669" s="326"/>
      <c r="F669" s="166"/>
      <c r="G669" s="161"/>
      <c r="H669" s="161"/>
      <c r="I669" s="162"/>
      <c r="J669" s="163"/>
      <c r="K669" s="163"/>
      <c r="L669" s="163"/>
      <c r="M669" s="160"/>
      <c r="N669" s="162"/>
      <c r="O669" s="164"/>
      <c r="P669" s="140"/>
      <c r="Q669" s="327"/>
      <c r="R669" s="140"/>
    </row>
    <row r="670" ht="29.25" hidden="1" customHeight="1">
      <c r="A670" s="189"/>
      <c r="B670" s="323"/>
      <c r="C670" s="324"/>
      <c r="D670" s="325"/>
      <c r="E670" s="314"/>
      <c r="F670" s="166"/>
      <c r="G670" s="161"/>
      <c r="H670" s="161"/>
      <c r="I670" s="162"/>
      <c r="J670" s="163"/>
      <c r="K670" s="163"/>
      <c r="L670" s="163"/>
      <c r="M670" s="160"/>
      <c r="N670" s="162"/>
      <c r="O670" s="164"/>
      <c r="P670" s="140"/>
      <c r="Q670" s="321"/>
      <c r="R670" s="140"/>
    </row>
    <row r="671" ht="29.25" hidden="1" customHeight="1">
      <c r="A671" s="189"/>
      <c r="B671" s="323"/>
      <c r="C671" s="324"/>
      <c r="D671" s="325"/>
      <c r="E671" s="326"/>
      <c r="F671" s="166"/>
      <c r="G671" s="161"/>
      <c r="H671" s="161"/>
      <c r="I671" s="162"/>
      <c r="J671" s="163"/>
      <c r="K671" s="163"/>
      <c r="L671" s="163"/>
      <c r="M671" s="160"/>
      <c r="N671" s="162"/>
      <c r="O671" s="164"/>
      <c r="P671" s="140"/>
      <c r="Q671" s="327"/>
      <c r="R671" s="140"/>
    </row>
    <row r="672" ht="29.25" hidden="1" customHeight="1">
      <c r="A672" s="189"/>
      <c r="B672" s="323"/>
      <c r="C672" s="324"/>
      <c r="D672" s="325"/>
      <c r="E672" s="314"/>
      <c r="F672" s="166"/>
      <c r="G672" s="161"/>
      <c r="H672" s="161"/>
      <c r="I672" s="162"/>
      <c r="J672" s="163"/>
      <c r="K672" s="163"/>
      <c r="L672" s="163"/>
      <c r="M672" s="160"/>
      <c r="N672" s="162"/>
      <c r="O672" s="164"/>
      <c r="P672" s="140"/>
      <c r="Q672" s="321"/>
      <c r="R672" s="140"/>
    </row>
    <row r="673" ht="29.25" hidden="1" customHeight="1">
      <c r="A673" s="189"/>
      <c r="B673" s="323"/>
      <c r="C673" s="324"/>
      <c r="D673" s="325"/>
      <c r="E673" s="326"/>
      <c r="F673" s="166"/>
      <c r="G673" s="161"/>
      <c r="H673" s="161"/>
      <c r="I673" s="162"/>
      <c r="J673" s="163"/>
      <c r="K673" s="163"/>
      <c r="L673" s="163"/>
      <c r="M673" s="160"/>
      <c r="N673" s="162"/>
      <c r="O673" s="164"/>
      <c r="P673" s="140"/>
      <c r="Q673" s="327"/>
      <c r="R673" s="140"/>
    </row>
    <row r="674" ht="29.25" hidden="1" customHeight="1">
      <c r="A674" s="189"/>
      <c r="B674" s="323"/>
      <c r="C674" s="324"/>
      <c r="D674" s="325"/>
      <c r="E674" s="314"/>
      <c r="F674" s="166"/>
      <c r="G674" s="161"/>
      <c r="H674" s="161"/>
      <c r="I674" s="162"/>
      <c r="J674" s="163"/>
      <c r="K674" s="163"/>
      <c r="L674" s="163"/>
      <c r="M674" s="160"/>
      <c r="N674" s="162"/>
      <c r="O674" s="164"/>
      <c r="P674" s="140"/>
      <c r="Q674" s="321"/>
      <c r="R674" s="140"/>
    </row>
    <row r="675" ht="29.25" hidden="1" customHeight="1">
      <c r="A675" s="189"/>
      <c r="B675" s="323"/>
      <c r="C675" s="324"/>
      <c r="D675" s="325"/>
      <c r="E675" s="326"/>
      <c r="F675" s="166"/>
      <c r="G675" s="161"/>
      <c r="H675" s="161"/>
      <c r="I675" s="162"/>
      <c r="J675" s="163"/>
      <c r="K675" s="163"/>
      <c r="L675" s="163"/>
      <c r="M675" s="160"/>
      <c r="N675" s="162"/>
      <c r="O675" s="164"/>
      <c r="P675" s="140"/>
      <c r="Q675" s="327"/>
      <c r="R675" s="140"/>
    </row>
    <row r="676" ht="29.25" hidden="1" customHeight="1">
      <c r="A676" s="189"/>
      <c r="B676" s="323"/>
      <c r="C676" s="324"/>
      <c r="D676" s="325"/>
      <c r="E676" s="314"/>
      <c r="F676" s="166"/>
      <c r="G676" s="161"/>
      <c r="H676" s="161"/>
      <c r="I676" s="162"/>
      <c r="J676" s="163"/>
      <c r="K676" s="163"/>
      <c r="L676" s="163"/>
      <c r="M676" s="160"/>
      <c r="N676" s="162"/>
      <c r="O676" s="164"/>
      <c r="P676" s="140"/>
      <c r="Q676" s="321"/>
      <c r="R676" s="140"/>
    </row>
    <row r="677" ht="29.25" hidden="1" customHeight="1">
      <c r="A677" s="189"/>
      <c r="B677" s="323"/>
      <c r="C677" s="324"/>
      <c r="D677" s="325"/>
      <c r="E677" s="326"/>
      <c r="F677" s="166"/>
      <c r="G677" s="161"/>
      <c r="H677" s="161"/>
      <c r="I677" s="162"/>
      <c r="J677" s="163"/>
      <c r="K677" s="163"/>
      <c r="L677" s="163"/>
      <c r="M677" s="160"/>
      <c r="N677" s="162"/>
      <c r="O677" s="164"/>
      <c r="P677" s="140"/>
      <c r="Q677" s="327"/>
      <c r="R677" s="140"/>
    </row>
    <row r="678" ht="29.25" hidden="1" customHeight="1">
      <c r="A678" s="189"/>
      <c r="B678" s="323"/>
      <c r="C678" s="324"/>
      <c r="D678" s="325"/>
      <c r="E678" s="314"/>
      <c r="F678" s="166"/>
      <c r="G678" s="161"/>
      <c r="H678" s="161"/>
      <c r="I678" s="162"/>
      <c r="J678" s="163"/>
      <c r="K678" s="163"/>
      <c r="L678" s="163"/>
      <c r="M678" s="160"/>
      <c r="N678" s="162"/>
      <c r="O678" s="164"/>
      <c r="P678" s="140"/>
      <c r="Q678" s="321"/>
      <c r="R678" s="140"/>
    </row>
    <row r="679" ht="29.25" hidden="1" customHeight="1">
      <c r="A679" s="189"/>
      <c r="B679" s="323"/>
      <c r="C679" s="324"/>
      <c r="D679" s="325"/>
      <c r="E679" s="326"/>
      <c r="F679" s="166"/>
      <c r="G679" s="161"/>
      <c r="H679" s="161"/>
      <c r="I679" s="162"/>
      <c r="J679" s="163"/>
      <c r="K679" s="163"/>
      <c r="L679" s="163"/>
      <c r="M679" s="160"/>
      <c r="N679" s="162"/>
      <c r="O679" s="164"/>
      <c r="P679" s="140"/>
      <c r="Q679" s="327"/>
      <c r="R679" s="140"/>
    </row>
    <row r="680" ht="29.25" hidden="1" customHeight="1">
      <c r="A680" s="189"/>
      <c r="B680" s="323"/>
      <c r="C680" s="324"/>
      <c r="D680" s="325"/>
      <c r="E680" s="314"/>
      <c r="F680" s="166"/>
      <c r="G680" s="161"/>
      <c r="H680" s="161"/>
      <c r="I680" s="162"/>
      <c r="J680" s="163"/>
      <c r="K680" s="163"/>
      <c r="L680" s="163"/>
      <c r="M680" s="160"/>
      <c r="N680" s="162"/>
      <c r="O680" s="164"/>
      <c r="P680" s="140"/>
      <c r="Q680" s="321"/>
      <c r="R680" s="140"/>
    </row>
    <row r="681" ht="29.25" hidden="1" customHeight="1">
      <c r="A681" s="189"/>
      <c r="B681" s="323"/>
      <c r="C681" s="324"/>
      <c r="D681" s="325"/>
      <c r="E681" s="326"/>
      <c r="F681" s="166"/>
      <c r="G681" s="161"/>
      <c r="H681" s="161"/>
      <c r="I681" s="162"/>
      <c r="J681" s="163"/>
      <c r="K681" s="163"/>
      <c r="L681" s="163"/>
      <c r="M681" s="160"/>
      <c r="N681" s="162"/>
      <c r="O681" s="164"/>
      <c r="P681" s="140"/>
      <c r="Q681" s="327"/>
      <c r="R681" s="140"/>
    </row>
    <row r="682" ht="29.25" hidden="1" customHeight="1">
      <c r="A682" s="189"/>
      <c r="B682" s="323"/>
      <c r="C682" s="324"/>
      <c r="D682" s="325"/>
      <c r="E682" s="314"/>
      <c r="F682" s="166"/>
      <c r="G682" s="161"/>
      <c r="H682" s="161"/>
      <c r="I682" s="162"/>
      <c r="J682" s="163"/>
      <c r="K682" s="163"/>
      <c r="L682" s="163"/>
      <c r="M682" s="160"/>
      <c r="N682" s="162"/>
      <c r="O682" s="164"/>
      <c r="P682" s="140"/>
      <c r="Q682" s="321"/>
      <c r="R682" s="140"/>
    </row>
    <row r="683" ht="29.25" hidden="1" customHeight="1">
      <c r="A683" s="189"/>
      <c r="B683" s="323"/>
      <c r="C683" s="324"/>
      <c r="D683" s="325"/>
      <c r="E683" s="326"/>
      <c r="F683" s="166"/>
      <c r="G683" s="161"/>
      <c r="H683" s="161"/>
      <c r="I683" s="162"/>
      <c r="J683" s="163"/>
      <c r="K683" s="163"/>
      <c r="L683" s="163"/>
      <c r="M683" s="160"/>
      <c r="N683" s="162"/>
      <c r="O683" s="164"/>
      <c r="P683" s="140"/>
      <c r="Q683" s="327"/>
      <c r="R683" s="140"/>
    </row>
    <row r="684" ht="29.25" hidden="1" customHeight="1">
      <c r="A684" s="189"/>
      <c r="B684" s="323"/>
      <c r="C684" s="324"/>
      <c r="D684" s="325"/>
      <c r="E684" s="314"/>
      <c r="F684" s="166"/>
      <c r="G684" s="161"/>
      <c r="H684" s="161"/>
      <c r="I684" s="162"/>
      <c r="J684" s="163"/>
      <c r="K684" s="163"/>
      <c r="L684" s="163"/>
      <c r="M684" s="160"/>
      <c r="N684" s="162"/>
      <c r="O684" s="164"/>
      <c r="P684" s="140"/>
      <c r="Q684" s="321"/>
      <c r="R684" s="140"/>
    </row>
    <row r="685" ht="29.25" hidden="1" customHeight="1">
      <c r="A685" s="189"/>
      <c r="B685" s="323"/>
      <c r="C685" s="324"/>
      <c r="D685" s="325"/>
      <c r="E685" s="326"/>
      <c r="F685" s="166"/>
      <c r="G685" s="161"/>
      <c r="H685" s="161"/>
      <c r="I685" s="162"/>
      <c r="J685" s="163"/>
      <c r="K685" s="163"/>
      <c r="L685" s="163"/>
      <c r="M685" s="160"/>
      <c r="N685" s="162"/>
      <c r="O685" s="164"/>
      <c r="P685" s="140"/>
      <c r="Q685" s="327"/>
      <c r="R685" s="140"/>
    </row>
    <row r="686" ht="29.25" hidden="1" customHeight="1">
      <c r="A686" s="189"/>
      <c r="B686" s="323"/>
      <c r="C686" s="324"/>
      <c r="D686" s="325"/>
      <c r="E686" s="314"/>
      <c r="F686" s="166"/>
      <c r="G686" s="161"/>
      <c r="H686" s="161"/>
      <c r="I686" s="162"/>
      <c r="J686" s="163"/>
      <c r="K686" s="163"/>
      <c r="L686" s="163"/>
      <c r="M686" s="160"/>
      <c r="N686" s="162"/>
      <c r="O686" s="164"/>
      <c r="P686" s="140"/>
      <c r="Q686" s="321"/>
      <c r="R686" s="140"/>
    </row>
    <row r="687" ht="29.25" hidden="1" customHeight="1">
      <c r="A687" s="189"/>
      <c r="B687" s="323"/>
      <c r="C687" s="324"/>
      <c r="D687" s="325"/>
      <c r="E687" s="326"/>
      <c r="F687" s="166"/>
      <c r="G687" s="161"/>
      <c r="H687" s="161"/>
      <c r="I687" s="162"/>
      <c r="J687" s="163"/>
      <c r="K687" s="163"/>
      <c r="L687" s="163"/>
      <c r="M687" s="160"/>
      <c r="N687" s="162"/>
      <c r="O687" s="164"/>
      <c r="P687" s="140"/>
      <c r="Q687" s="327"/>
      <c r="R687" s="140"/>
    </row>
    <row r="688" ht="29.25" hidden="1" customHeight="1">
      <c r="A688" s="189"/>
      <c r="B688" s="323"/>
      <c r="C688" s="324"/>
      <c r="D688" s="325"/>
      <c r="E688" s="314"/>
      <c r="F688" s="166"/>
      <c r="G688" s="161"/>
      <c r="H688" s="161"/>
      <c r="I688" s="162"/>
      <c r="J688" s="163"/>
      <c r="K688" s="163"/>
      <c r="L688" s="163"/>
      <c r="M688" s="160"/>
      <c r="N688" s="162"/>
      <c r="O688" s="164"/>
      <c r="P688" s="140"/>
      <c r="Q688" s="321"/>
      <c r="R688" s="140"/>
    </row>
    <row r="689" ht="29.25" hidden="1" customHeight="1">
      <c r="A689" s="189"/>
      <c r="B689" s="323"/>
      <c r="C689" s="324"/>
      <c r="D689" s="325"/>
      <c r="E689" s="326"/>
      <c r="F689" s="166"/>
      <c r="G689" s="161"/>
      <c r="H689" s="161"/>
      <c r="I689" s="162"/>
      <c r="J689" s="163"/>
      <c r="K689" s="163"/>
      <c r="L689" s="163"/>
      <c r="M689" s="160"/>
      <c r="N689" s="162"/>
      <c r="O689" s="164"/>
      <c r="P689" s="140"/>
      <c r="Q689" s="327"/>
      <c r="R689" s="140"/>
    </row>
    <row r="690" ht="29.25" hidden="1" customHeight="1">
      <c r="A690" s="189"/>
      <c r="B690" s="323"/>
      <c r="C690" s="324"/>
      <c r="D690" s="325"/>
      <c r="E690" s="314"/>
      <c r="F690" s="166"/>
      <c r="G690" s="161"/>
      <c r="H690" s="161"/>
      <c r="I690" s="162"/>
      <c r="J690" s="163"/>
      <c r="K690" s="163"/>
      <c r="L690" s="163"/>
      <c r="M690" s="160"/>
      <c r="N690" s="162"/>
      <c r="O690" s="164"/>
      <c r="P690" s="140"/>
      <c r="Q690" s="321"/>
      <c r="R690" s="140"/>
    </row>
    <row r="691" ht="29.25" hidden="1" customHeight="1">
      <c r="A691" s="189"/>
      <c r="B691" s="323"/>
      <c r="C691" s="324"/>
      <c r="D691" s="325"/>
      <c r="E691" s="326"/>
      <c r="F691" s="166"/>
      <c r="G691" s="161"/>
      <c r="H691" s="161"/>
      <c r="I691" s="162"/>
      <c r="J691" s="163"/>
      <c r="K691" s="163"/>
      <c r="L691" s="163"/>
      <c r="M691" s="160"/>
      <c r="N691" s="162"/>
      <c r="O691" s="164"/>
      <c r="P691" s="140"/>
      <c r="Q691" s="327"/>
      <c r="R691" s="140"/>
    </row>
    <row r="692" ht="29.25" hidden="1" customHeight="1">
      <c r="A692" s="189"/>
      <c r="B692" s="323"/>
      <c r="C692" s="324"/>
      <c r="D692" s="325"/>
      <c r="E692" s="314"/>
      <c r="F692" s="166"/>
      <c r="G692" s="161"/>
      <c r="H692" s="161"/>
      <c r="I692" s="162"/>
      <c r="J692" s="163"/>
      <c r="K692" s="163"/>
      <c r="L692" s="163"/>
      <c r="M692" s="160"/>
      <c r="N692" s="162"/>
      <c r="O692" s="164"/>
      <c r="P692" s="140"/>
      <c r="Q692" s="321"/>
      <c r="R692" s="140"/>
    </row>
    <row r="693" ht="29.25" hidden="1" customHeight="1">
      <c r="A693" s="189"/>
      <c r="B693" s="323"/>
      <c r="C693" s="324"/>
      <c r="D693" s="325"/>
      <c r="E693" s="326"/>
      <c r="F693" s="166"/>
      <c r="G693" s="161"/>
      <c r="H693" s="161"/>
      <c r="I693" s="162"/>
      <c r="J693" s="163"/>
      <c r="K693" s="163"/>
      <c r="L693" s="163"/>
      <c r="M693" s="160"/>
      <c r="N693" s="162"/>
      <c r="O693" s="164"/>
      <c r="P693" s="140"/>
      <c r="Q693" s="327"/>
      <c r="R693" s="140"/>
    </row>
    <row r="694" ht="29.25" hidden="1" customHeight="1">
      <c r="A694" s="189"/>
      <c r="B694" s="323"/>
      <c r="C694" s="324"/>
      <c r="D694" s="325"/>
      <c r="E694" s="314"/>
      <c r="F694" s="166"/>
      <c r="G694" s="161"/>
      <c r="H694" s="161"/>
      <c r="I694" s="162"/>
      <c r="J694" s="163"/>
      <c r="K694" s="163"/>
      <c r="L694" s="163"/>
      <c r="M694" s="160"/>
      <c r="N694" s="162"/>
      <c r="O694" s="164"/>
      <c r="P694" s="140"/>
      <c r="Q694" s="321"/>
      <c r="R694" s="140"/>
    </row>
    <row r="695" ht="29.25" hidden="1" customHeight="1">
      <c r="A695" s="189"/>
      <c r="B695" s="323"/>
      <c r="C695" s="324"/>
      <c r="D695" s="325"/>
      <c r="E695" s="326"/>
      <c r="F695" s="166"/>
      <c r="G695" s="161"/>
      <c r="H695" s="161"/>
      <c r="I695" s="162"/>
      <c r="J695" s="163"/>
      <c r="K695" s="163"/>
      <c r="L695" s="163"/>
      <c r="M695" s="160"/>
      <c r="N695" s="162"/>
      <c r="O695" s="164"/>
      <c r="P695" s="140"/>
      <c r="Q695" s="327"/>
      <c r="R695" s="140"/>
    </row>
    <row r="696" ht="29.25" hidden="1" customHeight="1">
      <c r="A696" s="189"/>
      <c r="B696" s="323"/>
      <c r="C696" s="324"/>
      <c r="D696" s="325"/>
      <c r="E696" s="314"/>
      <c r="F696" s="166"/>
      <c r="G696" s="161"/>
      <c r="H696" s="161"/>
      <c r="I696" s="162"/>
      <c r="J696" s="163"/>
      <c r="K696" s="163"/>
      <c r="L696" s="163"/>
      <c r="M696" s="160"/>
      <c r="N696" s="162"/>
      <c r="O696" s="164"/>
      <c r="P696" s="140"/>
      <c r="Q696" s="321"/>
      <c r="R696" s="140"/>
    </row>
    <row r="697" ht="29.25" hidden="1" customHeight="1">
      <c r="A697" s="189"/>
      <c r="B697" s="323"/>
      <c r="C697" s="324"/>
      <c r="D697" s="325"/>
      <c r="E697" s="326"/>
      <c r="F697" s="166"/>
      <c r="G697" s="161"/>
      <c r="H697" s="161"/>
      <c r="I697" s="162"/>
      <c r="J697" s="163"/>
      <c r="K697" s="163"/>
      <c r="L697" s="163"/>
      <c r="M697" s="160"/>
      <c r="N697" s="162"/>
      <c r="O697" s="164"/>
      <c r="P697" s="140"/>
      <c r="Q697" s="327"/>
      <c r="R697" s="140"/>
    </row>
    <row r="698" ht="29.25" hidden="1" customHeight="1">
      <c r="A698" s="189"/>
      <c r="B698" s="323"/>
      <c r="C698" s="324"/>
      <c r="D698" s="325"/>
      <c r="E698" s="314"/>
      <c r="F698" s="166"/>
      <c r="G698" s="161"/>
      <c r="H698" s="161"/>
      <c r="I698" s="162"/>
      <c r="J698" s="163"/>
      <c r="K698" s="163"/>
      <c r="L698" s="163"/>
      <c r="M698" s="160"/>
      <c r="N698" s="162"/>
      <c r="O698" s="164"/>
      <c r="P698" s="140"/>
      <c r="Q698" s="321"/>
      <c r="R698" s="140"/>
    </row>
    <row r="699" ht="29.25" hidden="1" customHeight="1">
      <c r="A699" s="189"/>
      <c r="B699" s="323"/>
      <c r="C699" s="324"/>
      <c r="D699" s="325"/>
      <c r="E699" s="326"/>
      <c r="F699" s="166"/>
      <c r="G699" s="161"/>
      <c r="H699" s="161"/>
      <c r="I699" s="162"/>
      <c r="J699" s="163"/>
      <c r="K699" s="163"/>
      <c r="L699" s="163"/>
      <c r="M699" s="160"/>
      <c r="N699" s="162"/>
      <c r="O699" s="164"/>
      <c r="P699" s="140"/>
      <c r="Q699" s="327"/>
      <c r="R699" s="140"/>
    </row>
    <row r="700" ht="29.25" hidden="1" customHeight="1">
      <c r="A700" s="189"/>
      <c r="B700" s="323"/>
      <c r="C700" s="324"/>
      <c r="D700" s="325"/>
      <c r="E700" s="314"/>
      <c r="F700" s="166"/>
      <c r="G700" s="161"/>
      <c r="H700" s="161"/>
      <c r="I700" s="162"/>
      <c r="J700" s="163"/>
      <c r="K700" s="163"/>
      <c r="L700" s="163"/>
      <c r="M700" s="160"/>
      <c r="N700" s="162"/>
      <c r="O700" s="164"/>
      <c r="P700" s="140"/>
      <c r="Q700" s="321"/>
      <c r="R700" s="140"/>
    </row>
    <row r="701" ht="29.25" hidden="1" customHeight="1">
      <c r="A701" s="189"/>
      <c r="B701" s="323"/>
      <c r="C701" s="324"/>
      <c r="D701" s="325"/>
      <c r="E701" s="326"/>
      <c r="F701" s="166"/>
      <c r="G701" s="161"/>
      <c r="H701" s="161"/>
      <c r="I701" s="162"/>
      <c r="J701" s="163"/>
      <c r="K701" s="163"/>
      <c r="L701" s="163"/>
      <c r="M701" s="160"/>
      <c r="N701" s="162"/>
      <c r="O701" s="164"/>
      <c r="P701" s="140"/>
      <c r="Q701" s="327"/>
      <c r="R701" s="140"/>
    </row>
    <row r="702" ht="29.25" hidden="1" customHeight="1">
      <c r="A702" s="189"/>
      <c r="B702" s="323"/>
      <c r="C702" s="324"/>
      <c r="D702" s="325"/>
      <c r="E702" s="314"/>
      <c r="F702" s="166"/>
      <c r="G702" s="161"/>
      <c r="H702" s="161"/>
      <c r="I702" s="162"/>
      <c r="J702" s="163"/>
      <c r="K702" s="163"/>
      <c r="L702" s="163"/>
      <c r="M702" s="160"/>
      <c r="N702" s="162"/>
      <c r="O702" s="164"/>
      <c r="P702" s="140"/>
      <c r="Q702" s="321"/>
      <c r="R702" s="140"/>
    </row>
    <row r="703" ht="29.25" hidden="1" customHeight="1">
      <c r="A703" s="189"/>
      <c r="B703" s="323"/>
      <c r="C703" s="324"/>
      <c r="D703" s="325"/>
      <c r="E703" s="326"/>
      <c r="F703" s="166"/>
      <c r="G703" s="161"/>
      <c r="H703" s="161"/>
      <c r="I703" s="162"/>
      <c r="J703" s="163"/>
      <c r="K703" s="163"/>
      <c r="L703" s="163"/>
      <c r="M703" s="160"/>
      <c r="N703" s="162"/>
      <c r="O703" s="164"/>
      <c r="P703" s="140"/>
      <c r="Q703" s="327"/>
      <c r="R703" s="140"/>
    </row>
    <row r="704" ht="29.25" hidden="1" customHeight="1">
      <c r="A704" s="189"/>
      <c r="B704" s="323"/>
      <c r="C704" s="324"/>
      <c r="D704" s="325"/>
      <c r="E704" s="314"/>
      <c r="F704" s="166"/>
      <c r="G704" s="161"/>
      <c r="H704" s="161"/>
      <c r="I704" s="162"/>
      <c r="J704" s="163"/>
      <c r="K704" s="163"/>
      <c r="L704" s="163"/>
      <c r="M704" s="160"/>
      <c r="N704" s="162"/>
      <c r="O704" s="164"/>
      <c r="P704" s="140"/>
      <c r="Q704" s="321"/>
      <c r="R704" s="140"/>
    </row>
    <row r="705" ht="29.25" hidden="1" customHeight="1">
      <c r="A705" s="189"/>
      <c r="B705" s="323"/>
      <c r="C705" s="324"/>
      <c r="D705" s="325"/>
      <c r="E705" s="326"/>
      <c r="F705" s="166"/>
      <c r="G705" s="161"/>
      <c r="H705" s="161"/>
      <c r="I705" s="162"/>
      <c r="J705" s="163"/>
      <c r="K705" s="163"/>
      <c r="L705" s="163"/>
      <c r="M705" s="160"/>
      <c r="N705" s="162"/>
      <c r="O705" s="164"/>
      <c r="P705" s="140"/>
      <c r="Q705" s="327"/>
      <c r="R705" s="140"/>
    </row>
    <row r="706" ht="29.25" hidden="1" customHeight="1">
      <c r="A706" s="189"/>
      <c r="B706" s="323"/>
      <c r="C706" s="324"/>
      <c r="D706" s="325"/>
      <c r="E706" s="314"/>
      <c r="F706" s="166"/>
      <c r="G706" s="161"/>
      <c r="H706" s="161"/>
      <c r="I706" s="162"/>
      <c r="J706" s="163"/>
      <c r="K706" s="163"/>
      <c r="L706" s="163"/>
      <c r="M706" s="160"/>
      <c r="N706" s="162"/>
      <c r="O706" s="164"/>
      <c r="P706" s="140"/>
      <c r="Q706" s="321"/>
      <c r="R706" s="140"/>
    </row>
    <row r="707" ht="29.25" hidden="1" customHeight="1">
      <c r="A707" s="189"/>
      <c r="B707" s="323"/>
      <c r="C707" s="324"/>
      <c r="D707" s="325"/>
      <c r="E707" s="326"/>
      <c r="F707" s="166"/>
      <c r="G707" s="161"/>
      <c r="H707" s="161"/>
      <c r="I707" s="162"/>
      <c r="J707" s="163"/>
      <c r="K707" s="163"/>
      <c r="L707" s="163"/>
      <c r="M707" s="160"/>
      <c r="N707" s="162"/>
      <c r="O707" s="164"/>
      <c r="P707" s="140"/>
      <c r="Q707" s="327"/>
      <c r="R707" s="140"/>
    </row>
    <row r="708" ht="29.25" hidden="1" customHeight="1">
      <c r="A708" s="189"/>
      <c r="B708" s="323"/>
      <c r="C708" s="324"/>
      <c r="D708" s="325"/>
      <c r="E708" s="314"/>
      <c r="F708" s="166"/>
      <c r="G708" s="161"/>
      <c r="H708" s="161"/>
      <c r="I708" s="162"/>
      <c r="J708" s="163"/>
      <c r="K708" s="163"/>
      <c r="L708" s="163"/>
      <c r="M708" s="160"/>
      <c r="N708" s="162"/>
      <c r="O708" s="164"/>
      <c r="P708" s="140"/>
      <c r="Q708" s="321"/>
      <c r="R708" s="140"/>
    </row>
    <row r="709" ht="29.25" hidden="1" customHeight="1">
      <c r="A709" s="189"/>
      <c r="B709" s="323"/>
      <c r="C709" s="324"/>
      <c r="D709" s="325"/>
      <c r="E709" s="326"/>
      <c r="F709" s="166"/>
      <c r="G709" s="161"/>
      <c r="H709" s="161"/>
      <c r="I709" s="162"/>
      <c r="J709" s="163"/>
      <c r="K709" s="163"/>
      <c r="L709" s="163"/>
      <c r="M709" s="160"/>
      <c r="N709" s="162"/>
      <c r="O709" s="164"/>
      <c r="P709" s="140"/>
      <c r="Q709" s="327"/>
      <c r="R709" s="140"/>
    </row>
    <row r="710" ht="29.25" hidden="1" customHeight="1">
      <c r="A710" s="189"/>
      <c r="B710" s="323"/>
      <c r="C710" s="324"/>
      <c r="D710" s="325"/>
      <c r="E710" s="314"/>
      <c r="F710" s="166"/>
      <c r="G710" s="161"/>
      <c r="H710" s="161"/>
      <c r="I710" s="162"/>
      <c r="J710" s="163"/>
      <c r="K710" s="163"/>
      <c r="L710" s="163"/>
      <c r="M710" s="160"/>
      <c r="N710" s="162"/>
      <c r="O710" s="164"/>
      <c r="P710" s="140"/>
      <c r="Q710" s="321"/>
      <c r="R710" s="140"/>
    </row>
    <row r="711" ht="29.25" hidden="1" customHeight="1">
      <c r="A711" s="189"/>
      <c r="B711" s="323"/>
      <c r="C711" s="324"/>
      <c r="D711" s="325"/>
      <c r="E711" s="326"/>
      <c r="F711" s="166"/>
      <c r="G711" s="161"/>
      <c r="H711" s="161"/>
      <c r="I711" s="162"/>
      <c r="J711" s="163"/>
      <c r="K711" s="163"/>
      <c r="L711" s="163"/>
      <c r="M711" s="160"/>
      <c r="N711" s="162"/>
      <c r="O711" s="164"/>
      <c r="P711" s="140"/>
      <c r="Q711" s="327"/>
      <c r="R711" s="140"/>
    </row>
    <row r="712" ht="29.25" hidden="1" customHeight="1">
      <c r="A712" s="189"/>
      <c r="B712" s="323"/>
      <c r="C712" s="324"/>
      <c r="D712" s="325"/>
      <c r="E712" s="314"/>
      <c r="F712" s="166"/>
      <c r="G712" s="161"/>
      <c r="H712" s="161"/>
      <c r="I712" s="162"/>
      <c r="J712" s="163"/>
      <c r="K712" s="163"/>
      <c r="L712" s="163"/>
      <c r="M712" s="160"/>
      <c r="N712" s="162"/>
      <c r="O712" s="164"/>
      <c r="P712" s="140"/>
      <c r="Q712" s="321"/>
      <c r="R712" s="140"/>
    </row>
    <row r="713" ht="29.25" hidden="1" customHeight="1">
      <c r="A713" s="189"/>
      <c r="B713" s="323"/>
      <c r="C713" s="324"/>
      <c r="D713" s="325"/>
      <c r="E713" s="326"/>
      <c r="F713" s="166"/>
      <c r="G713" s="161"/>
      <c r="H713" s="161"/>
      <c r="I713" s="162"/>
      <c r="J713" s="163"/>
      <c r="K713" s="163"/>
      <c r="L713" s="163"/>
      <c r="M713" s="160"/>
      <c r="N713" s="162"/>
      <c r="O713" s="164"/>
      <c r="P713" s="140"/>
      <c r="Q713" s="327"/>
      <c r="R713" s="140"/>
    </row>
    <row r="714" ht="29.25" hidden="1" customHeight="1">
      <c r="A714" s="189"/>
      <c r="B714" s="323"/>
      <c r="C714" s="324"/>
      <c r="D714" s="325"/>
      <c r="E714" s="314"/>
      <c r="F714" s="166"/>
      <c r="G714" s="161"/>
      <c r="H714" s="161"/>
      <c r="I714" s="162"/>
      <c r="J714" s="163"/>
      <c r="K714" s="163"/>
      <c r="L714" s="163"/>
      <c r="M714" s="160"/>
      <c r="N714" s="162"/>
      <c r="O714" s="164"/>
      <c r="P714" s="140"/>
      <c r="Q714" s="321"/>
      <c r="R714" s="140"/>
    </row>
    <row r="715" ht="29.25" hidden="1" customHeight="1">
      <c r="A715" s="189"/>
      <c r="B715" s="323"/>
      <c r="C715" s="324"/>
      <c r="D715" s="325"/>
      <c r="E715" s="326"/>
      <c r="F715" s="166"/>
      <c r="G715" s="161"/>
      <c r="H715" s="161"/>
      <c r="I715" s="162"/>
      <c r="J715" s="163"/>
      <c r="K715" s="163"/>
      <c r="L715" s="163"/>
      <c r="M715" s="160"/>
      <c r="N715" s="162"/>
      <c r="O715" s="164"/>
      <c r="P715" s="140"/>
      <c r="Q715" s="327"/>
      <c r="R715" s="140"/>
    </row>
    <row r="716" ht="29.25" hidden="1" customHeight="1">
      <c r="A716" s="189"/>
      <c r="B716" s="323"/>
      <c r="C716" s="324"/>
      <c r="D716" s="325"/>
      <c r="E716" s="314"/>
      <c r="F716" s="166"/>
      <c r="G716" s="161"/>
      <c r="H716" s="161"/>
      <c r="I716" s="162"/>
      <c r="J716" s="163"/>
      <c r="K716" s="163"/>
      <c r="L716" s="163"/>
      <c r="M716" s="160"/>
      <c r="N716" s="162"/>
      <c r="O716" s="164"/>
      <c r="P716" s="140"/>
      <c r="Q716" s="321"/>
      <c r="R716" s="140"/>
    </row>
    <row r="717" ht="29.25" hidden="1" customHeight="1">
      <c r="A717" s="189"/>
      <c r="B717" s="323"/>
      <c r="C717" s="324"/>
      <c r="D717" s="325"/>
      <c r="E717" s="326"/>
      <c r="F717" s="166"/>
      <c r="G717" s="161"/>
      <c r="H717" s="161"/>
      <c r="I717" s="162"/>
      <c r="J717" s="163"/>
      <c r="K717" s="163"/>
      <c r="L717" s="163"/>
      <c r="M717" s="160"/>
      <c r="N717" s="162"/>
      <c r="O717" s="164"/>
      <c r="P717" s="140"/>
      <c r="Q717" s="327"/>
      <c r="R717" s="140"/>
    </row>
    <row r="718" ht="29.25" hidden="1" customHeight="1">
      <c r="A718" s="189"/>
      <c r="B718" s="323"/>
      <c r="C718" s="324"/>
      <c r="D718" s="325"/>
      <c r="E718" s="314"/>
      <c r="F718" s="166"/>
      <c r="G718" s="161"/>
      <c r="H718" s="161"/>
      <c r="I718" s="162"/>
      <c r="J718" s="163"/>
      <c r="K718" s="163"/>
      <c r="L718" s="163"/>
      <c r="M718" s="160"/>
      <c r="N718" s="162"/>
      <c r="O718" s="164"/>
      <c r="P718" s="140"/>
      <c r="Q718" s="321"/>
      <c r="R718" s="140"/>
    </row>
    <row r="719" ht="29.25" hidden="1" customHeight="1">
      <c r="A719" s="189"/>
      <c r="B719" s="323"/>
      <c r="C719" s="324"/>
      <c r="D719" s="325"/>
      <c r="E719" s="326"/>
      <c r="F719" s="166"/>
      <c r="G719" s="161"/>
      <c r="H719" s="161"/>
      <c r="I719" s="162"/>
      <c r="J719" s="163"/>
      <c r="K719" s="163"/>
      <c r="L719" s="163"/>
      <c r="M719" s="160"/>
      <c r="N719" s="162"/>
      <c r="O719" s="164"/>
      <c r="P719" s="140"/>
      <c r="Q719" s="327"/>
      <c r="R719" s="140"/>
    </row>
    <row r="720" ht="29.25" hidden="1" customHeight="1">
      <c r="A720" s="189"/>
      <c r="B720" s="323"/>
      <c r="C720" s="324"/>
      <c r="D720" s="325"/>
      <c r="E720" s="314"/>
      <c r="F720" s="166"/>
      <c r="G720" s="161"/>
      <c r="H720" s="161"/>
      <c r="I720" s="162"/>
      <c r="J720" s="163"/>
      <c r="K720" s="163"/>
      <c r="L720" s="163"/>
      <c r="M720" s="160"/>
      <c r="N720" s="162"/>
      <c r="O720" s="164"/>
      <c r="P720" s="140"/>
      <c r="Q720" s="321"/>
      <c r="R720" s="140"/>
    </row>
    <row r="721" ht="29.25" hidden="1" customHeight="1">
      <c r="A721" s="189"/>
      <c r="B721" s="323"/>
      <c r="C721" s="324"/>
      <c r="D721" s="325"/>
      <c r="E721" s="326"/>
      <c r="F721" s="166"/>
      <c r="G721" s="161"/>
      <c r="H721" s="161"/>
      <c r="I721" s="162"/>
      <c r="J721" s="163"/>
      <c r="K721" s="163"/>
      <c r="L721" s="163"/>
      <c r="M721" s="160"/>
      <c r="N721" s="162"/>
      <c r="O721" s="164"/>
      <c r="P721" s="140"/>
      <c r="Q721" s="327"/>
      <c r="R721" s="140"/>
    </row>
    <row r="722" ht="29.25" hidden="1" customHeight="1">
      <c r="A722" s="189"/>
      <c r="B722" s="323"/>
      <c r="C722" s="324"/>
      <c r="D722" s="325"/>
      <c r="E722" s="314"/>
      <c r="F722" s="166"/>
      <c r="G722" s="161"/>
      <c r="H722" s="161"/>
      <c r="I722" s="162"/>
      <c r="J722" s="163"/>
      <c r="K722" s="163"/>
      <c r="L722" s="163"/>
      <c r="M722" s="160"/>
      <c r="N722" s="162"/>
      <c r="O722" s="164"/>
      <c r="P722" s="140"/>
      <c r="Q722" s="321"/>
      <c r="R722" s="140"/>
    </row>
    <row r="723" ht="29.25" hidden="1" customHeight="1">
      <c r="A723" s="189"/>
      <c r="B723" s="323"/>
      <c r="C723" s="324"/>
      <c r="D723" s="325"/>
      <c r="E723" s="326"/>
      <c r="F723" s="166"/>
      <c r="G723" s="161"/>
      <c r="H723" s="161"/>
      <c r="I723" s="162"/>
      <c r="J723" s="163"/>
      <c r="K723" s="163"/>
      <c r="L723" s="163"/>
      <c r="M723" s="160"/>
      <c r="N723" s="162"/>
      <c r="O723" s="164"/>
      <c r="P723" s="140"/>
      <c r="Q723" s="327"/>
      <c r="R723" s="140"/>
    </row>
    <row r="724" ht="29.25" hidden="1" customHeight="1">
      <c r="A724" s="189"/>
      <c r="B724" s="323"/>
      <c r="C724" s="324"/>
      <c r="D724" s="325"/>
      <c r="E724" s="314"/>
      <c r="F724" s="166"/>
      <c r="G724" s="161"/>
      <c r="H724" s="161"/>
      <c r="I724" s="162"/>
      <c r="J724" s="163"/>
      <c r="K724" s="163"/>
      <c r="L724" s="163"/>
      <c r="M724" s="160"/>
      <c r="N724" s="162"/>
      <c r="O724" s="164"/>
      <c r="P724" s="140"/>
      <c r="Q724" s="321"/>
      <c r="R724" s="140"/>
    </row>
    <row r="725" ht="29.25" hidden="1" customHeight="1">
      <c r="A725" s="189"/>
      <c r="B725" s="323"/>
      <c r="C725" s="324"/>
      <c r="D725" s="325"/>
      <c r="E725" s="326"/>
      <c r="F725" s="166"/>
      <c r="G725" s="161"/>
      <c r="H725" s="161"/>
      <c r="I725" s="162"/>
      <c r="J725" s="163"/>
      <c r="K725" s="163"/>
      <c r="L725" s="163"/>
      <c r="M725" s="160"/>
      <c r="N725" s="162"/>
      <c r="O725" s="164"/>
      <c r="P725" s="140"/>
      <c r="Q725" s="327"/>
      <c r="R725" s="140"/>
    </row>
    <row r="726" ht="29.25" hidden="1" customHeight="1">
      <c r="A726" s="189"/>
      <c r="B726" s="323"/>
      <c r="C726" s="324"/>
      <c r="D726" s="325"/>
      <c r="E726" s="314"/>
      <c r="F726" s="166"/>
      <c r="G726" s="161"/>
      <c r="H726" s="161"/>
      <c r="I726" s="162"/>
      <c r="J726" s="163"/>
      <c r="K726" s="163"/>
      <c r="L726" s="163"/>
      <c r="M726" s="160"/>
      <c r="N726" s="162"/>
      <c r="O726" s="164"/>
      <c r="P726" s="140"/>
      <c r="Q726" s="321"/>
      <c r="R726" s="140"/>
    </row>
    <row r="727" ht="29.25" hidden="1" customHeight="1">
      <c r="A727" s="189"/>
      <c r="B727" s="323"/>
      <c r="C727" s="324"/>
      <c r="D727" s="325"/>
      <c r="E727" s="326"/>
      <c r="F727" s="166"/>
      <c r="G727" s="161"/>
      <c r="H727" s="161"/>
      <c r="I727" s="162"/>
      <c r="J727" s="163"/>
      <c r="K727" s="163"/>
      <c r="L727" s="163"/>
      <c r="M727" s="160"/>
      <c r="N727" s="162"/>
      <c r="O727" s="164"/>
      <c r="P727" s="140"/>
      <c r="Q727" s="327"/>
      <c r="R727" s="140"/>
    </row>
    <row r="728" ht="29.25" hidden="1" customHeight="1">
      <c r="A728" s="189"/>
      <c r="B728" s="323"/>
      <c r="C728" s="324"/>
      <c r="D728" s="325"/>
      <c r="E728" s="314"/>
      <c r="F728" s="166"/>
      <c r="G728" s="161"/>
      <c r="H728" s="161"/>
      <c r="I728" s="162"/>
      <c r="J728" s="163"/>
      <c r="K728" s="163"/>
      <c r="L728" s="163"/>
      <c r="M728" s="160"/>
      <c r="N728" s="162"/>
      <c r="O728" s="164"/>
      <c r="P728" s="140"/>
      <c r="Q728" s="321"/>
      <c r="R728" s="140"/>
    </row>
    <row r="729" ht="29.25" hidden="1" customHeight="1">
      <c r="A729" s="189"/>
      <c r="B729" s="323"/>
      <c r="C729" s="324"/>
      <c r="D729" s="325"/>
      <c r="E729" s="326"/>
      <c r="F729" s="166"/>
      <c r="G729" s="161"/>
      <c r="H729" s="161"/>
      <c r="I729" s="162"/>
      <c r="J729" s="163"/>
      <c r="K729" s="163"/>
      <c r="L729" s="163"/>
      <c r="M729" s="160"/>
      <c r="N729" s="162"/>
      <c r="O729" s="164"/>
      <c r="P729" s="140"/>
      <c r="Q729" s="327"/>
      <c r="R729" s="140"/>
    </row>
    <row r="730" ht="29.25" hidden="1" customHeight="1">
      <c r="A730" s="189"/>
      <c r="B730" s="323"/>
      <c r="C730" s="324"/>
      <c r="D730" s="325"/>
      <c r="E730" s="314"/>
      <c r="F730" s="166"/>
      <c r="G730" s="161"/>
      <c r="H730" s="161"/>
      <c r="I730" s="162"/>
      <c r="J730" s="163"/>
      <c r="K730" s="163"/>
      <c r="L730" s="163"/>
      <c r="M730" s="160"/>
      <c r="N730" s="162"/>
      <c r="O730" s="164"/>
      <c r="P730" s="140"/>
      <c r="Q730" s="321"/>
      <c r="R730" s="140"/>
    </row>
    <row r="731" ht="29.25" hidden="1" customHeight="1">
      <c r="A731" s="189"/>
      <c r="B731" s="323"/>
      <c r="C731" s="324"/>
      <c r="D731" s="325"/>
      <c r="E731" s="326"/>
      <c r="F731" s="166"/>
      <c r="G731" s="161"/>
      <c r="H731" s="161"/>
      <c r="I731" s="162"/>
      <c r="J731" s="163"/>
      <c r="K731" s="163"/>
      <c r="L731" s="163"/>
      <c r="M731" s="160"/>
      <c r="N731" s="162"/>
      <c r="O731" s="164"/>
      <c r="P731" s="140"/>
      <c r="Q731" s="327"/>
      <c r="R731" s="140"/>
    </row>
    <row r="732" ht="29.25" hidden="1" customHeight="1">
      <c r="A732" s="189"/>
      <c r="B732" s="323"/>
      <c r="C732" s="324"/>
      <c r="D732" s="325"/>
      <c r="E732" s="314"/>
      <c r="F732" s="166"/>
      <c r="G732" s="161"/>
      <c r="H732" s="161"/>
      <c r="I732" s="162"/>
      <c r="J732" s="163"/>
      <c r="K732" s="163"/>
      <c r="L732" s="163"/>
      <c r="M732" s="160"/>
      <c r="N732" s="162"/>
      <c r="O732" s="164"/>
      <c r="P732" s="140"/>
      <c r="Q732" s="321"/>
      <c r="R732" s="140"/>
    </row>
    <row r="733" ht="29.25" hidden="1" customHeight="1">
      <c r="A733" s="189"/>
      <c r="B733" s="323"/>
      <c r="C733" s="324"/>
      <c r="D733" s="325"/>
      <c r="E733" s="326"/>
      <c r="F733" s="166"/>
      <c r="G733" s="161"/>
      <c r="H733" s="161"/>
      <c r="I733" s="162"/>
      <c r="J733" s="163"/>
      <c r="K733" s="163"/>
      <c r="L733" s="163"/>
      <c r="M733" s="160"/>
      <c r="N733" s="162"/>
      <c r="O733" s="164"/>
      <c r="P733" s="140"/>
      <c r="Q733" s="327"/>
      <c r="R733" s="140"/>
    </row>
    <row r="734" ht="29.25" hidden="1" customHeight="1">
      <c r="A734" s="189"/>
      <c r="B734" s="323"/>
      <c r="C734" s="324"/>
      <c r="D734" s="325"/>
      <c r="E734" s="314"/>
      <c r="F734" s="166"/>
      <c r="G734" s="161"/>
      <c r="H734" s="161"/>
      <c r="I734" s="162"/>
      <c r="J734" s="163"/>
      <c r="K734" s="163"/>
      <c r="L734" s="163"/>
      <c r="M734" s="160"/>
      <c r="N734" s="162"/>
      <c r="O734" s="164"/>
      <c r="P734" s="140"/>
      <c r="Q734" s="321"/>
      <c r="R734" s="140"/>
    </row>
    <row r="735" ht="29.25" hidden="1" customHeight="1">
      <c r="A735" s="189"/>
      <c r="B735" s="323"/>
      <c r="C735" s="324"/>
      <c r="D735" s="325"/>
      <c r="E735" s="326"/>
      <c r="F735" s="166"/>
      <c r="G735" s="161"/>
      <c r="H735" s="161"/>
      <c r="I735" s="162"/>
      <c r="J735" s="163"/>
      <c r="K735" s="163"/>
      <c r="L735" s="163"/>
      <c r="M735" s="160"/>
      <c r="N735" s="162"/>
      <c r="O735" s="164"/>
      <c r="P735" s="140"/>
      <c r="Q735" s="327"/>
      <c r="R735" s="140"/>
    </row>
    <row r="736" ht="29.25" hidden="1" customHeight="1">
      <c r="A736" s="189"/>
      <c r="B736" s="323"/>
      <c r="C736" s="324"/>
      <c r="D736" s="325"/>
      <c r="E736" s="314"/>
      <c r="F736" s="166"/>
      <c r="G736" s="161"/>
      <c r="H736" s="161"/>
      <c r="I736" s="162"/>
      <c r="J736" s="163"/>
      <c r="K736" s="163"/>
      <c r="L736" s="163"/>
      <c r="M736" s="160"/>
      <c r="N736" s="162"/>
      <c r="O736" s="164"/>
      <c r="P736" s="140"/>
      <c r="Q736" s="321"/>
      <c r="R736" s="140"/>
    </row>
    <row r="737" ht="29.25" hidden="1" customHeight="1">
      <c r="A737" s="189"/>
      <c r="B737" s="323"/>
      <c r="C737" s="324"/>
      <c r="D737" s="325"/>
      <c r="E737" s="326"/>
      <c r="F737" s="166"/>
      <c r="G737" s="161"/>
      <c r="H737" s="161"/>
      <c r="I737" s="162"/>
      <c r="J737" s="163"/>
      <c r="K737" s="163"/>
      <c r="L737" s="163"/>
      <c r="M737" s="160"/>
      <c r="N737" s="162"/>
      <c r="O737" s="164"/>
      <c r="P737" s="140"/>
      <c r="Q737" s="327"/>
      <c r="R737" s="140"/>
    </row>
    <row r="738" ht="29.25" hidden="1" customHeight="1">
      <c r="A738" s="189"/>
      <c r="B738" s="323"/>
      <c r="C738" s="324"/>
      <c r="D738" s="325"/>
      <c r="E738" s="314"/>
      <c r="F738" s="166"/>
      <c r="G738" s="161"/>
      <c r="H738" s="161"/>
      <c r="I738" s="162"/>
      <c r="J738" s="163"/>
      <c r="K738" s="163"/>
      <c r="L738" s="163"/>
      <c r="M738" s="160"/>
      <c r="N738" s="162"/>
      <c r="O738" s="164"/>
      <c r="P738" s="140"/>
      <c r="Q738" s="321"/>
      <c r="R738" s="140"/>
    </row>
    <row r="739" ht="29.25" hidden="1" customHeight="1">
      <c r="A739" s="189"/>
      <c r="B739" s="323"/>
      <c r="C739" s="324"/>
      <c r="D739" s="325"/>
      <c r="E739" s="326"/>
      <c r="F739" s="166"/>
      <c r="G739" s="161"/>
      <c r="H739" s="161"/>
      <c r="I739" s="162"/>
      <c r="J739" s="163"/>
      <c r="K739" s="163"/>
      <c r="L739" s="163"/>
      <c r="M739" s="160"/>
      <c r="N739" s="162"/>
      <c r="O739" s="164"/>
      <c r="P739" s="140"/>
      <c r="Q739" s="327"/>
      <c r="R739" s="140"/>
    </row>
    <row r="740" ht="29.25" hidden="1" customHeight="1">
      <c r="A740" s="189"/>
      <c r="B740" s="323"/>
      <c r="C740" s="324"/>
      <c r="D740" s="325"/>
      <c r="E740" s="314"/>
      <c r="F740" s="166"/>
      <c r="G740" s="161"/>
      <c r="H740" s="161"/>
      <c r="I740" s="162"/>
      <c r="J740" s="163"/>
      <c r="K740" s="163"/>
      <c r="L740" s="163"/>
      <c r="M740" s="160"/>
      <c r="N740" s="162"/>
      <c r="O740" s="164"/>
      <c r="P740" s="140"/>
      <c r="Q740" s="321"/>
      <c r="R740" s="140"/>
    </row>
    <row r="741" ht="29.25" hidden="1" customHeight="1">
      <c r="A741" s="189"/>
      <c r="B741" s="323"/>
      <c r="C741" s="324"/>
      <c r="D741" s="325"/>
      <c r="E741" s="326"/>
      <c r="F741" s="166"/>
      <c r="G741" s="161"/>
      <c r="H741" s="161"/>
      <c r="I741" s="162"/>
      <c r="J741" s="163"/>
      <c r="K741" s="163"/>
      <c r="L741" s="163"/>
      <c r="M741" s="160"/>
      <c r="N741" s="162"/>
      <c r="O741" s="164"/>
      <c r="P741" s="140"/>
      <c r="Q741" s="327"/>
      <c r="R741" s="140"/>
    </row>
    <row r="742" ht="29.25" hidden="1" customHeight="1">
      <c r="A742" s="189"/>
      <c r="B742" s="323"/>
      <c r="C742" s="324"/>
      <c r="D742" s="325"/>
      <c r="E742" s="314"/>
      <c r="F742" s="166"/>
      <c r="G742" s="161"/>
      <c r="H742" s="161"/>
      <c r="I742" s="162"/>
      <c r="J742" s="163"/>
      <c r="K742" s="163"/>
      <c r="L742" s="163"/>
      <c r="M742" s="160"/>
      <c r="N742" s="162"/>
      <c r="O742" s="164"/>
      <c r="P742" s="140"/>
      <c r="Q742" s="321"/>
      <c r="R742" s="140"/>
    </row>
    <row r="743" ht="29.25" hidden="1" customHeight="1">
      <c r="A743" s="189"/>
      <c r="B743" s="323"/>
      <c r="C743" s="324"/>
      <c r="D743" s="325"/>
      <c r="E743" s="326"/>
      <c r="F743" s="166"/>
      <c r="G743" s="161"/>
      <c r="H743" s="161"/>
      <c r="I743" s="162"/>
      <c r="J743" s="163"/>
      <c r="K743" s="163"/>
      <c r="L743" s="163"/>
      <c r="M743" s="160"/>
      <c r="N743" s="162"/>
      <c r="O743" s="164"/>
      <c r="P743" s="140"/>
      <c r="Q743" s="327"/>
      <c r="R743" s="140"/>
    </row>
    <row r="744" ht="29.25" hidden="1" customHeight="1">
      <c r="A744" s="189"/>
      <c r="B744" s="323"/>
      <c r="C744" s="324"/>
      <c r="D744" s="325"/>
      <c r="E744" s="314"/>
      <c r="F744" s="166"/>
      <c r="G744" s="161"/>
      <c r="H744" s="161"/>
      <c r="I744" s="162"/>
      <c r="J744" s="163"/>
      <c r="K744" s="163"/>
      <c r="L744" s="163"/>
      <c r="M744" s="160"/>
      <c r="N744" s="162"/>
      <c r="O744" s="164"/>
      <c r="P744" s="140"/>
      <c r="Q744" s="321"/>
      <c r="R744" s="140"/>
    </row>
    <row r="745" ht="29.25" hidden="1" customHeight="1">
      <c r="A745" s="189"/>
      <c r="B745" s="323"/>
      <c r="C745" s="324"/>
      <c r="D745" s="325"/>
      <c r="E745" s="326"/>
      <c r="F745" s="166"/>
      <c r="G745" s="161"/>
      <c r="H745" s="161"/>
      <c r="I745" s="162"/>
      <c r="J745" s="163"/>
      <c r="K745" s="163"/>
      <c r="L745" s="163"/>
      <c r="M745" s="160"/>
      <c r="N745" s="162"/>
      <c r="O745" s="164"/>
      <c r="P745" s="140"/>
      <c r="Q745" s="327"/>
      <c r="R745" s="140"/>
    </row>
    <row r="746" ht="29.25" hidden="1" customHeight="1">
      <c r="A746" s="189"/>
      <c r="B746" s="323"/>
      <c r="C746" s="324"/>
      <c r="D746" s="325"/>
      <c r="E746" s="314"/>
      <c r="F746" s="166"/>
      <c r="G746" s="161"/>
      <c r="H746" s="161"/>
      <c r="I746" s="162"/>
      <c r="J746" s="163"/>
      <c r="K746" s="163"/>
      <c r="L746" s="163"/>
      <c r="M746" s="160"/>
      <c r="N746" s="162"/>
      <c r="O746" s="164"/>
      <c r="P746" s="140"/>
      <c r="Q746" s="321"/>
      <c r="R746" s="140"/>
    </row>
    <row r="747" ht="29.25" hidden="1" customHeight="1">
      <c r="A747" s="189"/>
      <c r="B747" s="323"/>
      <c r="C747" s="324"/>
      <c r="D747" s="325"/>
      <c r="E747" s="326"/>
      <c r="F747" s="166"/>
      <c r="G747" s="161"/>
      <c r="H747" s="161"/>
      <c r="I747" s="162"/>
      <c r="J747" s="163"/>
      <c r="K747" s="163"/>
      <c r="L747" s="163"/>
      <c r="M747" s="160"/>
      <c r="N747" s="162"/>
      <c r="O747" s="164"/>
      <c r="P747" s="140"/>
      <c r="Q747" s="327"/>
      <c r="R747" s="140"/>
    </row>
    <row r="748" ht="29.25" hidden="1" customHeight="1">
      <c r="A748" s="189"/>
      <c r="B748" s="323"/>
      <c r="C748" s="324"/>
      <c r="D748" s="325"/>
      <c r="E748" s="314"/>
      <c r="F748" s="166"/>
      <c r="G748" s="161"/>
      <c r="H748" s="161"/>
      <c r="I748" s="162"/>
      <c r="J748" s="163"/>
      <c r="K748" s="163"/>
      <c r="L748" s="163"/>
      <c r="M748" s="160"/>
      <c r="N748" s="162"/>
      <c r="O748" s="164"/>
      <c r="P748" s="140"/>
      <c r="Q748" s="321"/>
      <c r="R748" s="140"/>
    </row>
    <row r="749" ht="29.25" hidden="1" customHeight="1">
      <c r="A749" s="189"/>
      <c r="B749" s="323"/>
      <c r="C749" s="324"/>
      <c r="D749" s="325"/>
      <c r="E749" s="326"/>
      <c r="F749" s="166"/>
      <c r="G749" s="161"/>
      <c r="H749" s="161"/>
      <c r="I749" s="162"/>
      <c r="J749" s="163"/>
      <c r="K749" s="163"/>
      <c r="L749" s="163"/>
      <c r="M749" s="160"/>
      <c r="N749" s="162"/>
      <c r="O749" s="164"/>
      <c r="P749" s="140"/>
      <c r="Q749" s="327"/>
      <c r="R749" s="140"/>
    </row>
    <row r="750" ht="29.25" hidden="1" customHeight="1">
      <c r="A750" s="189"/>
      <c r="B750" s="323"/>
      <c r="C750" s="324"/>
      <c r="D750" s="325"/>
      <c r="E750" s="314"/>
      <c r="F750" s="166"/>
      <c r="G750" s="161"/>
      <c r="H750" s="161"/>
      <c r="I750" s="162"/>
      <c r="J750" s="163"/>
      <c r="K750" s="163"/>
      <c r="L750" s="163"/>
      <c r="M750" s="160"/>
      <c r="N750" s="162"/>
      <c r="O750" s="164"/>
      <c r="P750" s="140"/>
      <c r="Q750" s="321"/>
      <c r="R750" s="140"/>
    </row>
    <row r="751" ht="29.25" hidden="1" customHeight="1">
      <c r="A751" s="189"/>
      <c r="B751" s="323"/>
      <c r="C751" s="324"/>
      <c r="D751" s="325"/>
      <c r="E751" s="326"/>
      <c r="F751" s="166"/>
      <c r="G751" s="161"/>
      <c r="H751" s="161"/>
      <c r="I751" s="162"/>
      <c r="J751" s="163"/>
      <c r="K751" s="163"/>
      <c r="L751" s="163"/>
      <c r="M751" s="160"/>
      <c r="N751" s="162"/>
      <c r="O751" s="164"/>
      <c r="P751" s="140"/>
      <c r="Q751" s="327"/>
      <c r="R751" s="140"/>
    </row>
    <row r="752" ht="29.25" hidden="1" customHeight="1">
      <c r="A752" s="189"/>
      <c r="B752" s="323"/>
      <c r="C752" s="324"/>
      <c r="D752" s="325"/>
      <c r="E752" s="314"/>
      <c r="F752" s="166"/>
      <c r="G752" s="161"/>
      <c r="H752" s="161"/>
      <c r="I752" s="162"/>
      <c r="J752" s="163"/>
      <c r="K752" s="163"/>
      <c r="L752" s="163"/>
      <c r="M752" s="160"/>
      <c r="N752" s="162"/>
      <c r="O752" s="164"/>
      <c r="P752" s="140"/>
      <c r="Q752" s="321"/>
      <c r="R752" s="140"/>
    </row>
    <row r="753" ht="29.25" hidden="1" customHeight="1">
      <c r="A753" s="189"/>
      <c r="B753" s="323"/>
      <c r="C753" s="324"/>
      <c r="D753" s="325"/>
      <c r="E753" s="326"/>
      <c r="F753" s="166"/>
      <c r="G753" s="161"/>
      <c r="H753" s="161"/>
      <c r="I753" s="162"/>
      <c r="J753" s="163"/>
      <c r="K753" s="163"/>
      <c r="L753" s="163"/>
      <c r="M753" s="160"/>
      <c r="N753" s="162"/>
      <c r="O753" s="164"/>
      <c r="P753" s="140"/>
      <c r="Q753" s="327"/>
      <c r="R753" s="140"/>
    </row>
    <row r="754" ht="29.25" hidden="1" customHeight="1">
      <c r="A754" s="189"/>
      <c r="B754" s="323"/>
      <c r="C754" s="324"/>
      <c r="D754" s="325"/>
      <c r="E754" s="314"/>
      <c r="F754" s="166"/>
      <c r="G754" s="161"/>
      <c r="H754" s="161"/>
      <c r="I754" s="162"/>
      <c r="J754" s="163"/>
      <c r="K754" s="163"/>
      <c r="L754" s="163"/>
      <c r="M754" s="160"/>
      <c r="N754" s="162"/>
      <c r="O754" s="164"/>
      <c r="P754" s="140"/>
      <c r="Q754" s="321"/>
      <c r="R754" s="140"/>
    </row>
    <row r="755" ht="29.25" hidden="1" customHeight="1">
      <c r="A755" s="189"/>
      <c r="B755" s="323"/>
      <c r="C755" s="324"/>
      <c r="D755" s="325"/>
      <c r="E755" s="326"/>
      <c r="F755" s="166"/>
      <c r="G755" s="161"/>
      <c r="H755" s="161"/>
      <c r="I755" s="162"/>
      <c r="J755" s="163"/>
      <c r="K755" s="163"/>
      <c r="L755" s="163"/>
      <c r="M755" s="160"/>
      <c r="N755" s="162"/>
      <c r="O755" s="164"/>
      <c r="P755" s="140"/>
      <c r="Q755" s="327"/>
      <c r="R755" s="140"/>
    </row>
    <row r="756" ht="29.25" hidden="1" customHeight="1">
      <c r="A756" s="189"/>
      <c r="B756" s="323"/>
      <c r="C756" s="324"/>
      <c r="D756" s="325"/>
      <c r="E756" s="314"/>
      <c r="F756" s="166"/>
      <c r="G756" s="161"/>
      <c r="H756" s="161"/>
      <c r="I756" s="162"/>
      <c r="J756" s="163"/>
      <c r="K756" s="163"/>
      <c r="L756" s="163"/>
      <c r="M756" s="160"/>
      <c r="N756" s="162"/>
      <c r="O756" s="164"/>
      <c r="P756" s="140"/>
      <c r="Q756" s="321"/>
      <c r="R756" s="140"/>
    </row>
    <row r="757" ht="29.25" hidden="1" customHeight="1">
      <c r="A757" s="189"/>
      <c r="B757" s="323"/>
      <c r="C757" s="324"/>
      <c r="D757" s="325"/>
      <c r="E757" s="326"/>
      <c r="F757" s="166"/>
      <c r="G757" s="161"/>
      <c r="H757" s="161"/>
      <c r="I757" s="162"/>
      <c r="J757" s="163"/>
      <c r="K757" s="163"/>
      <c r="L757" s="163"/>
      <c r="M757" s="160"/>
      <c r="N757" s="162"/>
      <c r="O757" s="164"/>
      <c r="P757" s="140"/>
      <c r="Q757" s="327"/>
      <c r="R757" s="140"/>
    </row>
    <row r="758" ht="29.25" hidden="1" customHeight="1">
      <c r="A758" s="189"/>
      <c r="B758" s="323"/>
      <c r="C758" s="324"/>
      <c r="D758" s="325"/>
      <c r="E758" s="314"/>
      <c r="F758" s="166"/>
      <c r="G758" s="161"/>
      <c r="H758" s="161"/>
      <c r="I758" s="162"/>
      <c r="J758" s="163"/>
      <c r="K758" s="163"/>
      <c r="L758" s="163"/>
      <c r="M758" s="160"/>
      <c r="N758" s="162"/>
      <c r="O758" s="164"/>
      <c r="P758" s="140"/>
      <c r="Q758" s="321"/>
      <c r="R758" s="140"/>
    </row>
    <row r="759" ht="29.25" hidden="1" customHeight="1">
      <c r="A759" s="189"/>
      <c r="B759" s="323"/>
      <c r="C759" s="324"/>
      <c r="D759" s="325"/>
      <c r="E759" s="326"/>
      <c r="F759" s="166"/>
      <c r="G759" s="161"/>
      <c r="H759" s="161"/>
      <c r="I759" s="162"/>
      <c r="J759" s="163"/>
      <c r="K759" s="163"/>
      <c r="L759" s="163"/>
      <c r="M759" s="160"/>
      <c r="N759" s="162"/>
      <c r="O759" s="164"/>
      <c r="P759" s="140"/>
      <c r="Q759" s="327"/>
      <c r="R759" s="140"/>
    </row>
    <row r="760" ht="29.25" hidden="1" customHeight="1">
      <c r="A760" s="189"/>
      <c r="B760" s="323"/>
      <c r="C760" s="324"/>
      <c r="D760" s="325"/>
      <c r="E760" s="314"/>
      <c r="F760" s="166"/>
      <c r="G760" s="161"/>
      <c r="H760" s="161"/>
      <c r="I760" s="162"/>
      <c r="J760" s="163"/>
      <c r="K760" s="163"/>
      <c r="L760" s="163"/>
      <c r="M760" s="160"/>
      <c r="N760" s="162"/>
      <c r="O760" s="164"/>
      <c r="P760" s="140"/>
      <c r="Q760" s="321"/>
      <c r="R760" s="140"/>
    </row>
    <row r="761" ht="29.25" hidden="1" customHeight="1">
      <c r="A761" s="189"/>
      <c r="B761" s="323"/>
      <c r="C761" s="324"/>
      <c r="D761" s="325"/>
      <c r="E761" s="326"/>
      <c r="F761" s="166"/>
      <c r="G761" s="161"/>
      <c r="H761" s="161"/>
      <c r="I761" s="162"/>
      <c r="J761" s="163"/>
      <c r="K761" s="163"/>
      <c r="L761" s="163"/>
      <c r="M761" s="160"/>
      <c r="N761" s="162"/>
      <c r="O761" s="164"/>
      <c r="P761" s="140"/>
      <c r="Q761" s="327"/>
      <c r="R761" s="140"/>
    </row>
    <row r="762" ht="29.25" hidden="1" customHeight="1">
      <c r="A762" s="189"/>
      <c r="B762" s="323"/>
      <c r="C762" s="324"/>
      <c r="D762" s="325"/>
      <c r="E762" s="314"/>
      <c r="F762" s="166"/>
      <c r="G762" s="161"/>
      <c r="H762" s="161"/>
      <c r="I762" s="162"/>
      <c r="J762" s="163"/>
      <c r="K762" s="163"/>
      <c r="L762" s="163"/>
      <c r="M762" s="160"/>
      <c r="N762" s="162"/>
      <c r="O762" s="164"/>
      <c r="P762" s="140"/>
      <c r="Q762" s="321"/>
      <c r="R762" s="140"/>
    </row>
    <row r="763" ht="29.25" hidden="1" customHeight="1">
      <c r="A763" s="189"/>
      <c r="B763" s="323"/>
      <c r="C763" s="324"/>
      <c r="D763" s="325"/>
      <c r="E763" s="326"/>
      <c r="F763" s="166"/>
      <c r="G763" s="161"/>
      <c r="H763" s="161"/>
      <c r="I763" s="162"/>
      <c r="J763" s="163"/>
      <c r="K763" s="163"/>
      <c r="L763" s="163"/>
      <c r="M763" s="160"/>
      <c r="N763" s="162"/>
      <c r="O763" s="164"/>
      <c r="P763" s="140"/>
      <c r="Q763" s="327"/>
      <c r="R763" s="140"/>
    </row>
    <row r="764" ht="29.25" hidden="1" customHeight="1">
      <c r="A764" s="189"/>
      <c r="B764" s="323"/>
      <c r="C764" s="324"/>
      <c r="D764" s="325"/>
      <c r="E764" s="314"/>
      <c r="F764" s="166"/>
      <c r="G764" s="161"/>
      <c r="H764" s="161"/>
      <c r="I764" s="162"/>
      <c r="J764" s="163"/>
      <c r="K764" s="163"/>
      <c r="L764" s="163"/>
      <c r="M764" s="160"/>
      <c r="N764" s="162"/>
      <c r="O764" s="164"/>
      <c r="P764" s="140"/>
      <c r="Q764" s="321"/>
      <c r="R764" s="140"/>
    </row>
    <row r="765" ht="29.25" hidden="1" customHeight="1">
      <c r="A765" s="189"/>
      <c r="B765" s="323"/>
      <c r="C765" s="324"/>
      <c r="D765" s="325"/>
      <c r="E765" s="326"/>
      <c r="F765" s="166"/>
      <c r="G765" s="161"/>
      <c r="H765" s="161"/>
      <c r="I765" s="162"/>
      <c r="J765" s="163"/>
      <c r="K765" s="163"/>
      <c r="L765" s="163"/>
      <c r="M765" s="160"/>
      <c r="N765" s="162"/>
      <c r="O765" s="164"/>
      <c r="P765" s="140"/>
      <c r="Q765" s="327"/>
      <c r="R765" s="140"/>
    </row>
    <row r="766" ht="29.25" hidden="1" customHeight="1">
      <c r="A766" s="189"/>
      <c r="B766" s="323"/>
      <c r="C766" s="324"/>
      <c r="D766" s="325"/>
      <c r="E766" s="314"/>
      <c r="F766" s="166"/>
      <c r="G766" s="161"/>
      <c r="H766" s="161"/>
      <c r="I766" s="162"/>
      <c r="J766" s="163"/>
      <c r="K766" s="163"/>
      <c r="L766" s="163"/>
      <c r="M766" s="160"/>
      <c r="N766" s="162"/>
      <c r="O766" s="164"/>
      <c r="P766" s="140"/>
      <c r="Q766" s="321"/>
      <c r="R766" s="140"/>
    </row>
    <row r="767" ht="29.25" hidden="1" customHeight="1">
      <c r="A767" s="189"/>
      <c r="B767" s="323"/>
      <c r="C767" s="324"/>
      <c r="D767" s="325"/>
      <c r="E767" s="326"/>
      <c r="F767" s="166"/>
      <c r="G767" s="161"/>
      <c r="H767" s="161"/>
      <c r="I767" s="162"/>
      <c r="J767" s="163"/>
      <c r="K767" s="163"/>
      <c r="L767" s="163"/>
      <c r="M767" s="160"/>
      <c r="N767" s="162"/>
      <c r="O767" s="164"/>
      <c r="P767" s="140"/>
      <c r="Q767" s="327"/>
      <c r="R767" s="140"/>
    </row>
    <row r="768" ht="29.25" hidden="1" customHeight="1">
      <c r="A768" s="189"/>
      <c r="B768" s="323"/>
      <c r="C768" s="324"/>
      <c r="D768" s="325"/>
      <c r="E768" s="314"/>
      <c r="F768" s="166"/>
      <c r="G768" s="161"/>
      <c r="H768" s="161"/>
      <c r="I768" s="162"/>
      <c r="J768" s="163"/>
      <c r="K768" s="163"/>
      <c r="L768" s="163"/>
      <c r="M768" s="160"/>
      <c r="N768" s="162"/>
      <c r="O768" s="164"/>
      <c r="P768" s="140"/>
      <c r="Q768" s="321"/>
      <c r="R768" s="140"/>
    </row>
    <row r="769" ht="29.25" hidden="1" customHeight="1">
      <c r="A769" s="189"/>
      <c r="B769" s="323"/>
      <c r="C769" s="324"/>
      <c r="D769" s="325"/>
      <c r="E769" s="326"/>
      <c r="F769" s="166"/>
      <c r="G769" s="161"/>
      <c r="H769" s="161"/>
      <c r="I769" s="162"/>
      <c r="J769" s="163"/>
      <c r="K769" s="163"/>
      <c r="L769" s="163"/>
      <c r="M769" s="160"/>
      <c r="N769" s="162"/>
      <c r="O769" s="164"/>
      <c r="P769" s="140"/>
      <c r="Q769" s="327"/>
      <c r="R769" s="140"/>
    </row>
    <row r="770" ht="29.25" hidden="1" customHeight="1">
      <c r="A770" s="189"/>
      <c r="B770" s="323"/>
      <c r="C770" s="324"/>
      <c r="D770" s="325"/>
      <c r="E770" s="314"/>
      <c r="F770" s="166"/>
      <c r="G770" s="161"/>
      <c r="H770" s="161"/>
      <c r="I770" s="162"/>
      <c r="J770" s="163"/>
      <c r="K770" s="163"/>
      <c r="L770" s="163"/>
      <c r="M770" s="160"/>
      <c r="N770" s="162"/>
      <c r="O770" s="164"/>
      <c r="P770" s="140"/>
      <c r="Q770" s="321"/>
      <c r="R770" s="140"/>
    </row>
    <row r="771" ht="29.25" hidden="1" customHeight="1">
      <c r="A771" s="189"/>
      <c r="B771" s="323"/>
      <c r="C771" s="324"/>
      <c r="D771" s="325"/>
      <c r="E771" s="326"/>
      <c r="F771" s="166"/>
      <c r="G771" s="161"/>
      <c r="H771" s="161"/>
      <c r="I771" s="162"/>
      <c r="J771" s="163"/>
      <c r="K771" s="163"/>
      <c r="L771" s="163"/>
      <c r="M771" s="160"/>
      <c r="N771" s="162"/>
      <c r="O771" s="164"/>
      <c r="P771" s="140"/>
      <c r="Q771" s="327"/>
      <c r="R771" s="140"/>
    </row>
    <row r="772" ht="29.25" hidden="1" customHeight="1">
      <c r="A772" s="189"/>
      <c r="B772" s="323"/>
      <c r="C772" s="324"/>
      <c r="D772" s="325"/>
      <c r="E772" s="314"/>
      <c r="F772" s="166"/>
      <c r="G772" s="161"/>
      <c r="H772" s="161"/>
      <c r="I772" s="162"/>
      <c r="J772" s="163"/>
      <c r="K772" s="163"/>
      <c r="L772" s="163"/>
      <c r="M772" s="160"/>
      <c r="N772" s="162"/>
      <c r="O772" s="164"/>
      <c r="P772" s="140"/>
      <c r="Q772" s="321"/>
      <c r="R772" s="140"/>
    </row>
    <row r="773" ht="29.25" hidden="1" customHeight="1">
      <c r="A773" s="189"/>
      <c r="B773" s="323"/>
      <c r="C773" s="324"/>
      <c r="D773" s="325"/>
      <c r="E773" s="326"/>
      <c r="F773" s="166"/>
      <c r="G773" s="161"/>
      <c r="H773" s="161"/>
      <c r="I773" s="162"/>
      <c r="J773" s="163"/>
      <c r="K773" s="163"/>
      <c r="L773" s="163"/>
      <c r="M773" s="160"/>
      <c r="N773" s="162"/>
      <c r="O773" s="164"/>
      <c r="P773" s="140"/>
      <c r="Q773" s="327"/>
      <c r="R773" s="140"/>
    </row>
    <row r="774" ht="29.25" hidden="1" customHeight="1">
      <c r="A774" s="189"/>
      <c r="B774" s="323"/>
      <c r="C774" s="324"/>
      <c r="D774" s="325"/>
      <c r="E774" s="314"/>
      <c r="F774" s="166"/>
      <c r="G774" s="161"/>
      <c r="H774" s="161"/>
      <c r="I774" s="162"/>
      <c r="J774" s="163"/>
      <c r="K774" s="163"/>
      <c r="L774" s="163"/>
      <c r="M774" s="160"/>
      <c r="N774" s="162"/>
      <c r="O774" s="164"/>
      <c r="P774" s="140"/>
      <c r="Q774" s="321"/>
      <c r="R774" s="140"/>
    </row>
    <row r="775" ht="29.25" hidden="1" customHeight="1">
      <c r="A775" s="189"/>
      <c r="B775" s="323"/>
      <c r="C775" s="324"/>
      <c r="D775" s="325"/>
      <c r="E775" s="326"/>
      <c r="F775" s="166"/>
      <c r="G775" s="161"/>
      <c r="H775" s="161"/>
      <c r="I775" s="162"/>
      <c r="J775" s="163"/>
      <c r="K775" s="163"/>
      <c r="L775" s="163"/>
      <c r="M775" s="160"/>
      <c r="N775" s="162"/>
      <c r="O775" s="164"/>
      <c r="P775" s="140"/>
      <c r="Q775" s="327"/>
      <c r="R775" s="140"/>
    </row>
    <row r="776" ht="29.25" hidden="1" customHeight="1">
      <c r="A776" s="189"/>
      <c r="B776" s="323"/>
      <c r="C776" s="324"/>
      <c r="D776" s="325"/>
      <c r="E776" s="314"/>
      <c r="F776" s="166"/>
      <c r="G776" s="161"/>
      <c r="H776" s="161"/>
      <c r="I776" s="162"/>
      <c r="J776" s="163"/>
      <c r="K776" s="163"/>
      <c r="L776" s="163"/>
      <c r="M776" s="160"/>
      <c r="N776" s="162"/>
      <c r="O776" s="164"/>
      <c r="P776" s="140"/>
      <c r="Q776" s="321"/>
      <c r="R776" s="140"/>
    </row>
    <row r="777" ht="29.25" hidden="1" customHeight="1">
      <c r="A777" s="189"/>
      <c r="B777" s="323"/>
      <c r="C777" s="324"/>
      <c r="D777" s="325"/>
      <c r="E777" s="326"/>
      <c r="F777" s="166"/>
      <c r="G777" s="161"/>
      <c r="H777" s="161"/>
      <c r="I777" s="162"/>
      <c r="J777" s="163"/>
      <c r="K777" s="163"/>
      <c r="L777" s="163"/>
      <c r="M777" s="160"/>
      <c r="N777" s="162"/>
      <c r="O777" s="164"/>
      <c r="P777" s="140"/>
      <c r="Q777" s="327"/>
      <c r="R777" s="140"/>
    </row>
    <row r="778" ht="29.25" hidden="1" customHeight="1">
      <c r="A778" s="189"/>
      <c r="B778" s="323"/>
      <c r="C778" s="324"/>
      <c r="D778" s="325"/>
      <c r="E778" s="314"/>
      <c r="F778" s="166"/>
      <c r="G778" s="161"/>
      <c r="H778" s="161"/>
      <c r="I778" s="162"/>
      <c r="J778" s="163"/>
      <c r="K778" s="163"/>
      <c r="L778" s="163"/>
      <c r="M778" s="160"/>
      <c r="N778" s="162"/>
      <c r="O778" s="164"/>
      <c r="P778" s="140"/>
      <c r="Q778" s="321"/>
      <c r="R778" s="140"/>
    </row>
    <row r="779" ht="29.25" hidden="1" customHeight="1">
      <c r="A779" s="189"/>
      <c r="B779" s="323"/>
      <c r="C779" s="324"/>
      <c r="D779" s="325"/>
      <c r="E779" s="326"/>
      <c r="F779" s="166"/>
      <c r="G779" s="161"/>
      <c r="H779" s="161"/>
      <c r="I779" s="162"/>
      <c r="J779" s="163"/>
      <c r="K779" s="163"/>
      <c r="L779" s="163"/>
      <c r="M779" s="160"/>
      <c r="N779" s="162"/>
      <c r="O779" s="164"/>
      <c r="P779" s="140"/>
      <c r="Q779" s="327"/>
      <c r="R779" s="140"/>
    </row>
    <row r="780" ht="29.25" hidden="1" customHeight="1">
      <c r="A780" s="189"/>
      <c r="B780" s="323"/>
      <c r="C780" s="324"/>
      <c r="D780" s="325"/>
      <c r="E780" s="314"/>
      <c r="F780" s="166"/>
      <c r="G780" s="161"/>
      <c r="H780" s="161"/>
      <c r="I780" s="162"/>
      <c r="J780" s="163"/>
      <c r="K780" s="163"/>
      <c r="L780" s="163"/>
      <c r="M780" s="160"/>
      <c r="N780" s="162"/>
      <c r="O780" s="164"/>
      <c r="P780" s="140"/>
      <c r="Q780" s="321"/>
      <c r="R780" s="140"/>
    </row>
    <row r="781" ht="29.25" hidden="1" customHeight="1">
      <c r="A781" s="189"/>
      <c r="B781" s="323"/>
      <c r="C781" s="324"/>
      <c r="D781" s="325"/>
      <c r="E781" s="326"/>
      <c r="F781" s="166"/>
      <c r="G781" s="161"/>
      <c r="H781" s="161"/>
      <c r="I781" s="162"/>
      <c r="J781" s="163"/>
      <c r="K781" s="163"/>
      <c r="L781" s="163"/>
      <c r="M781" s="160"/>
      <c r="N781" s="162"/>
      <c r="O781" s="164"/>
      <c r="P781" s="140"/>
      <c r="Q781" s="327"/>
      <c r="R781" s="140"/>
    </row>
    <row r="782" ht="29.25" hidden="1" customHeight="1">
      <c r="A782" s="189"/>
      <c r="B782" s="323"/>
      <c r="C782" s="324"/>
      <c r="D782" s="325"/>
      <c r="E782" s="314"/>
      <c r="F782" s="166"/>
      <c r="G782" s="161"/>
      <c r="H782" s="161"/>
      <c r="I782" s="162"/>
      <c r="J782" s="163"/>
      <c r="K782" s="163"/>
      <c r="L782" s="163"/>
      <c r="M782" s="160"/>
      <c r="N782" s="162"/>
      <c r="O782" s="164"/>
      <c r="P782" s="140"/>
      <c r="Q782" s="321"/>
      <c r="R782" s="140"/>
    </row>
    <row r="783" ht="29.25" hidden="1" customHeight="1">
      <c r="A783" s="189"/>
      <c r="B783" s="323"/>
      <c r="C783" s="324"/>
      <c r="D783" s="325"/>
      <c r="E783" s="326"/>
      <c r="F783" s="166"/>
      <c r="G783" s="161"/>
      <c r="H783" s="161"/>
      <c r="I783" s="162"/>
      <c r="J783" s="163"/>
      <c r="K783" s="163"/>
      <c r="L783" s="163"/>
      <c r="M783" s="160"/>
      <c r="N783" s="162"/>
      <c r="O783" s="164"/>
      <c r="P783" s="140"/>
      <c r="Q783" s="327"/>
      <c r="R783" s="140"/>
    </row>
    <row r="784" ht="29.25" hidden="1" customHeight="1">
      <c r="A784" s="189"/>
      <c r="B784" s="323"/>
      <c r="C784" s="324"/>
      <c r="D784" s="325"/>
      <c r="E784" s="314"/>
      <c r="F784" s="166"/>
      <c r="G784" s="161"/>
      <c r="H784" s="161"/>
      <c r="I784" s="162"/>
      <c r="J784" s="163"/>
      <c r="K784" s="163"/>
      <c r="L784" s="163"/>
      <c r="M784" s="160"/>
      <c r="N784" s="162"/>
      <c r="O784" s="164"/>
      <c r="P784" s="140"/>
      <c r="Q784" s="321"/>
      <c r="R784" s="140"/>
    </row>
    <row r="785" ht="29.25" hidden="1" customHeight="1">
      <c r="A785" s="189"/>
      <c r="B785" s="323"/>
      <c r="C785" s="324"/>
      <c r="D785" s="325"/>
      <c r="E785" s="326"/>
      <c r="F785" s="166"/>
      <c r="G785" s="161"/>
      <c r="H785" s="161"/>
      <c r="I785" s="162"/>
      <c r="J785" s="163"/>
      <c r="K785" s="163"/>
      <c r="L785" s="163"/>
      <c r="M785" s="160"/>
      <c r="N785" s="162"/>
      <c r="O785" s="164"/>
      <c r="P785" s="140"/>
      <c r="Q785" s="327"/>
      <c r="R785" s="140"/>
    </row>
    <row r="786" ht="29.25" hidden="1" customHeight="1">
      <c r="A786" s="189"/>
      <c r="B786" s="323"/>
      <c r="C786" s="324"/>
      <c r="D786" s="325"/>
      <c r="E786" s="314"/>
      <c r="F786" s="166"/>
      <c r="G786" s="161"/>
      <c r="H786" s="161"/>
      <c r="I786" s="162"/>
      <c r="J786" s="163"/>
      <c r="K786" s="163"/>
      <c r="L786" s="163"/>
      <c r="M786" s="160"/>
      <c r="N786" s="162"/>
      <c r="O786" s="164"/>
      <c r="P786" s="140"/>
      <c r="Q786" s="321"/>
      <c r="R786" s="140"/>
    </row>
    <row r="787" ht="29.25" hidden="1" customHeight="1">
      <c r="A787" s="189"/>
      <c r="B787" s="323"/>
      <c r="C787" s="324"/>
      <c r="D787" s="325"/>
      <c r="E787" s="326"/>
      <c r="F787" s="166"/>
      <c r="G787" s="161"/>
      <c r="H787" s="161"/>
      <c r="I787" s="162"/>
      <c r="J787" s="163"/>
      <c r="K787" s="163"/>
      <c r="L787" s="163"/>
      <c r="M787" s="160"/>
      <c r="N787" s="162"/>
      <c r="O787" s="164"/>
      <c r="P787" s="140"/>
      <c r="Q787" s="327"/>
      <c r="R787" s="140"/>
    </row>
    <row r="788" ht="29.25" hidden="1" customHeight="1">
      <c r="A788" s="189"/>
      <c r="B788" s="323"/>
      <c r="C788" s="324"/>
      <c r="D788" s="325"/>
      <c r="E788" s="314"/>
      <c r="F788" s="166"/>
      <c r="G788" s="161"/>
      <c r="H788" s="161"/>
      <c r="I788" s="162"/>
      <c r="J788" s="163"/>
      <c r="K788" s="163"/>
      <c r="L788" s="163"/>
      <c r="M788" s="160"/>
      <c r="N788" s="162"/>
      <c r="O788" s="164"/>
      <c r="P788" s="140"/>
      <c r="Q788" s="321"/>
      <c r="R788" s="140"/>
    </row>
    <row r="789" ht="29.25" hidden="1" customHeight="1">
      <c r="A789" s="189"/>
      <c r="B789" s="323"/>
      <c r="C789" s="324"/>
      <c r="D789" s="325"/>
      <c r="E789" s="326"/>
      <c r="F789" s="166"/>
      <c r="G789" s="161"/>
      <c r="H789" s="161"/>
      <c r="I789" s="162"/>
      <c r="J789" s="163"/>
      <c r="K789" s="163"/>
      <c r="L789" s="163"/>
      <c r="M789" s="160"/>
      <c r="N789" s="162"/>
      <c r="O789" s="164"/>
      <c r="P789" s="140"/>
      <c r="Q789" s="327"/>
      <c r="R789" s="140"/>
    </row>
    <row r="790" ht="29.25" hidden="1" customHeight="1">
      <c r="A790" s="189"/>
      <c r="B790" s="323"/>
      <c r="C790" s="324"/>
      <c r="D790" s="325"/>
      <c r="E790" s="314"/>
      <c r="F790" s="166"/>
      <c r="G790" s="161"/>
      <c r="H790" s="161"/>
      <c r="I790" s="162"/>
      <c r="J790" s="163"/>
      <c r="K790" s="163"/>
      <c r="L790" s="163"/>
      <c r="M790" s="160"/>
      <c r="N790" s="162"/>
      <c r="O790" s="164"/>
      <c r="P790" s="140"/>
      <c r="Q790" s="321"/>
      <c r="R790" s="140"/>
    </row>
    <row r="791" ht="29.25" hidden="1" customHeight="1">
      <c r="A791" s="189"/>
      <c r="B791" s="323"/>
      <c r="C791" s="324"/>
      <c r="D791" s="325"/>
      <c r="E791" s="326"/>
      <c r="F791" s="166"/>
      <c r="G791" s="161"/>
      <c r="H791" s="161"/>
      <c r="I791" s="162"/>
      <c r="J791" s="163"/>
      <c r="K791" s="163"/>
      <c r="L791" s="163"/>
      <c r="M791" s="160"/>
      <c r="N791" s="162"/>
      <c r="O791" s="164"/>
      <c r="P791" s="140"/>
      <c r="Q791" s="327"/>
      <c r="R791" s="140"/>
    </row>
    <row r="792" ht="29.25" hidden="1" customHeight="1">
      <c r="A792" s="189"/>
      <c r="B792" s="323"/>
      <c r="C792" s="324"/>
      <c r="D792" s="325"/>
      <c r="E792" s="314"/>
      <c r="F792" s="166"/>
      <c r="G792" s="161"/>
      <c r="H792" s="161"/>
      <c r="I792" s="162"/>
      <c r="J792" s="163"/>
      <c r="K792" s="163"/>
      <c r="L792" s="163"/>
      <c r="M792" s="160"/>
      <c r="N792" s="162"/>
      <c r="O792" s="164"/>
      <c r="P792" s="140"/>
      <c r="Q792" s="321"/>
      <c r="R792" s="140"/>
    </row>
    <row r="793" ht="29.25" hidden="1" customHeight="1">
      <c r="A793" s="189"/>
      <c r="B793" s="323"/>
      <c r="C793" s="324"/>
      <c r="D793" s="325"/>
      <c r="E793" s="326"/>
      <c r="F793" s="166"/>
      <c r="G793" s="161"/>
      <c r="H793" s="161"/>
      <c r="I793" s="162"/>
      <c r="J793" s="163"/>
      <c r="K793" s="163"/>
      <c r="L793" s="163"/>
      <c r="M793" s="160"/>
      <c r="N793" s="162"/>
      <c r="O793" s="164"/>
      <c r="P793" s="140"/>
      <c r="Q793" s="327"/>
      <c r="R793" s="140"/>
    </row>
    <row r="794" ht="29.25" hidden="1" customHeight="1">
      <c r="A794" s="189"/>
      <c r="B794" s="323"/>
      <c r="C794" s="324"/>
      <c r="D794" s="325"/>
      <c r="E794" s="314"/>
      <c r="F794" s="166"/>
      <c r="G794" s="161"/>
      <c r="H794" s="161"/>
      <c r="I794" s="162"/>
      <c r="J794" s="163"/>
      <c r="K794" s="163"/>
      <c r="L794" s="163"/>
      <c r="M794" s="160"/>
      <c r="N794" s="162"/>
      <c r="O794" s="164"/>
      <c r="P794" s="140"/>
      <c r="Q794" s="321"/>
      <c r="R794" s="140"/>
    </row>
    <row r="795" ht="29.25" hidden="1" customHeight="1">
      <c r="A795" s="189"/>
      <c r="B795" s="323"/>
      <c r="C795" s="324"/>
      <c r="D795" s="325"/>
      <c r="E795" s="326"/>
      <c r="F795" s="166"/>
      <c r="G795" s="161"/>
      <c r="H795" s="161"/>
      <c r="I795" s="162"/>
      <c r="J795" s="163"/>
      <c r="K795" s="163"/>
      <c r="L795" s="163"/>
      <c r="M795" s="160"/>
      <c r="N795" s="162"/>
      <c r="O795" s="164"/>
      <c r="P795" s="140"/>
      <c r="Q795" s="327"/>
      <c r="R795" s="140"/>
    </row>
    <row r="796" ht="29.25" hidden="1" customHeight="1">
      <c r="A796" s="189"/>
      <c r="B796" s="323"/>
      <c r="C796" s="324"/>
      <c r="D796" s="325"/>
      <c r="E796" s="314"/>
      <c r="F796" s="166"/>
      <c r="G796" s="161"/>
      <c r="H796" s="161"/>
      <c r="I796" s="162"/>
      <c r="J796" s="163"/>
      <c r="K796" s="163"/>
      <c r="L796" s="163"/>
      <c r="M796" s="160"/>
      <c r="N796" s="162"/>
      <c r="O796" s="164"/>
      <c r="P796" s="140"/>
      <c r="Q796" s="321"/>
      <c r="R796" s="140"/>
    </row>
    <row r="797" ht="29.25" hidden="1" customHeight="1">
      <c r="A797" s="189"/>
      <c r="B797" s="323"/>
      <c r="C797" s="324"/>
      <c r="D797" s="325"/>
      <c r="E797" s="326"/>
      <c r="F797" s="166"/>
      <c r="G797" s="161"/>
      <c r="H797" s="161"/>
      <c r="I797" s="162"/>
      <c r="J797" s="163"/>
      <c r="K797" s="163"/>
      <c r="L797" s="163"/>
      <c r="M797" s="160"/>
      <c r="N797" s="162"/>
      <c r="O797" s="164"/>
      <c r="P797" s="140"/>
      <c r="Q797" s="327"/>
      <c r="R797" s="140"/>
    </row>
    <row r="798" ht="29.25" hidden="1" customHeight="1">
      <c r="A798" s="189"/>
      <c r="B798" s="323"/>
      <c r="C798" s="324"/>
      <c r="D798" s="325"/>
      <c r="E798" s="314"/>
      <c r="F798" s="166"/>
      <c r="G798" s="161"/>
      <c r="H798" s="161"/>
      <c r="I798" s="162"/>
      <c r="J798" s="163"/>
      <c r="K798" s="163"/>
      <c r="L798" s="163"/>
      <c r="M798" s="160"/>
      <c r="N798" s="162"/>
      <c r="O798" s="164"/>
      <c r="P798" s="140"/>
      <c r="Q798" s="321"/>
      <c r="R798" s="140"/>
    </row>
    <row r="799" ht="29.25" hidden="1" customHeight="1">
      <c r="A799" s="189"/>
      <c r="B799" s="323"/>
      <c r="C799" s="324"/>
      <c r="D799" s="325"/>
      <c r="E799" s="326"/>
      <c r="F799" s="166"/>
      <c r="G799" s="161"/>
      <c r="H799" s="161"/>
      <c r="I799" s="162"/>
      <c r="J799" s="163"/>
      <c r="K799" s="163"/>
      <c r="L799" s="163"/>
      <c r="M799" s="160"/>
      <c r="N799" s="162"/>
      <c r="O799" s="164"/>
      <c r="P799" s="140"/>
      <c r="Q799" s="327"/>
      <c r="R799" s="140"/>
    </row>
    <row r="800" ht="29.25" hidden="1" customHeight="1">
      <c r="A800" s="189"/>
      <c r="B800" s="323"/>
      <c r="C800" s="324"/>
      <c r="D800" s="325"/>
      <c r="E800" s="314"/>
      <c r="F800" s="166"/>
      <c r="G800" s="161"/>
      <c r="H800" s="161"/>
      <c r="I800" s="162"/>
      <c r="J800" s="163"/>
      <c r="K800" s="163"/>
      <c r="L800" s="163"/>
      <c r="M800" s="160"/>
      <c r="N800" s="162"/>
      <c r="O800" s="164"/>
      <c r="P800" s="140"/>
      <c r="Q800" s="321"/>
      <c r="R800" s="140"/>
    </row>
    <row r="801" ht="29.25" hidden="1" customHeight="1">
      <c r="A801" s="189"/>
      <c r="B801" s="323"/>
      <c r="C801" s="324"/>
      <c r="D801" s="325"/>
      <c r="E801" s="326"/>
      <c r="F801" s="166"/>
      <c r="G801" s="161"/>
      <c r="H801" s="161"/>
      <c r="I801" s="162"/>
      <c r="J801" s="163"/>
      <c r="K801" s="163"/>
      <c r="L801" s="163"/>
      <c r="M801" s="160"/>
      <c r="N801" s="162"/>
      <c r="O801" s="164"/>
      <c r="P801" s="140"/>
      <c r="Q801" s="327"/>
      <c r="R801" s="140"/>
    </row>
    <row r="802" ht="29.25" hidden="1" customHeight="1">
      <c r="A802" s="189"/>
      <c r="B802" s="323"/>
      <c r="C802" s="324"/>
      <c r="D802" s="325"/>
      <c r="E802" s="314"/>
      <c r="F802" s="166"/>
      <c r="G802" s="161"/>
      <c r="H802" s="161"/>
      <c r="I802" s="162"/>
      <c r="J802" s="163"/>
      <c r="K802" s="163"/>
      <c r="L802" s="163"/>
      <c r="M802" s="160"/>
      <c r="N802" s="162"/>
      <c r="O802" s="164"/>
      <c r="P802" s="140"/>
      <c r="Q802" s="321"/>
      <c r="R802" s="140"/>
    </row>
    <row r="803" ht="29.25" hidden="1" customHeight="1">
      <c r="A803" s="189"/>
      <c r="B803" s="323"/>
      <c r="C803" s="324"/>
      <c r="D803" s="325"/>
      <c r="E803" s="326"/>
      <c r="F803" s="166"/>
      <c r="G803" s="161"/>
      <c r="H803" s="161"/>
      <c r="I803" s="162"/>
      <c r="J803" s="163"/>
      <c r="K803" s="163"/>
      <c r="L803" s="163"/>
      <c r="M803" s="160"/>
      <c r="N803" s="162"/>
      <c r="O803" s="164"/>
      <c r="P803" s="140"/>
      <c r="Q803" s="327"/>
      <c r="R803" s="140"/>
    </row>
    <row r="804" ht="29.25" hidden="1" customHeight="1">
      <c r="A804" s="189"/>
      <c r="B804" s="323"/>
      <c r="C804" s="324"/>
      <c r="D804" s="325"/>
      <c r="E804" s="314"/>
      <c r="F804" s="166"/>
      <c r="G804" s="161"/>
      <c r="H804" s="161"/>
      <c r="I804" s="162"/>
      <c r="J804" s="163"/>
      <c r="K804" s="163"/>
      <c r="L804" s="163"/>
      <c r="M804" s="160"/>
      <c r="N804" s="162"/>
      <c r="O804" s="164"/>
      <c r="P804" s="140"/>
      <c r="Q804" s="321"/>
      <c r="R804" s="140"/>
    </row>
    <row r="805" ht="29.25" hidden="1" customHeight="1">
      <c r="A805" s="189"/>
      <c r="B805" s="323"/>
      <c r="C805" s="324"/>
      <c r="D805" s="325"/>
      <c r="E805" s="326"/>
      <c r="F805" s="166"/>
      <c r="G805" s="161"/>
      <c r="H805" s="161"/>
      <c r="I805" s="162"/>
      <c r="J805" s="163"/>
      <c r="K805" s="163"/>
      <c r="L805" s="163"/>
      <c r="M805" s="160"/>
      <c r="N805" s="162"/>
      <c r="O805" s="164"/>
      <c r="P805" s="140"/>
      <c r="Q805" s="327"/>
      <c r="R805" s="140"/>
    </row>
    <row r="806" ht="29.25" hidden="1" customHeight="1">
      <c r="A806" s="189"/>
      <c r="B806" s="323"/>
      <c r="C806" s="324"/>
      <c r="D806" s="325"/>
      <c r="E806" s="314"/>
      <c r="F806" s="166"/>
      <c r="G806" s="161"/>
      <c r="H806" s="161"/>
      <c r="I806" s="162"/>
      <c r="J806" s="163"/>
      <c r="K806" s="163"/>
      <c r="L806" s="163"/>
      <c r="M806" s="160"/>
      <c r="N806" s="162"/>
      <c r="O806" s="164"/>
      <c r="P806" s="140"/>
      <c r="Q806" s="321"/>
      <c r="R806" s="140"/>
    </row>
    <row r="807" ht="29.25" hidden="1" customHeight="1">
      <c r="A807" s="189"/>
      <c r="B807" s="323"/>
      <c r="C807" s="324"/>
      <c r="D807" s="325"/>
      <c r="E807" s="326"/>
      <c r="F807" s="166"/>
      <c r="G807" s="161"/>
      <c r="H807" s="161"/>
      <c r="I807" s="162"/>
      <c r="J807" s="163"/>
      <c r="K807" s="163"/>
      <c r="L807" s="163"/>
      <c r="M807" s="160"/>
      <c r="N807" s="162"/>
      <c r="O807" s="164"/>
      <c r="P807" s="140"/>
      <c r="Q807" s="327"/>
      <c r="R807" s="140"/>
    </row>
    <row r="808" ht="29.25" hidden="1" customHeight="1">
      <c r="A808" s="189"/>
      <c r="B808" s="323"/>
      <c r="C808" s="324"/>
      <c r="D808" s="325"/>
      <c r="E808" s="314"/>
      <c r="F808" s="166"/>
      <c r="G808" s="161"/>
      <c r="H808" s="161"/>
      <c r="I808" s="162"/>
      <c r="J808" s="163"/>
      <c r="K808" s="163"/>
      <c r="L808" s="163"/>
      <c r="M808" s="160"/>
      <c r="N808" s="162"/>
      <c r="O808" s="164"/>
      <c r="P808" s="140"/>
      <c r="Q808" s="321"/>
      <c r="R808" s="140"/>
    </row>
    <row r="809" ht="29.25" hidden="1" customHeight="1">
      <c r="A809" s="189"/>
      <c r="B809" s="323"/>
      <c r="C809" s="324"/>
      <c r="D809" s="325"/>
      <c r="E809" s="326"/>
      <c r="F809" s="166"/>
      <c r="G809" s="161"/>
      <c r="H809" s="161"/>
      <c r="I809" s="162"/>
      <c r="J809" s="163"/>
      <c r="K809" s="163"/>
      <c r="L809" s="163"/>
      <c r="M809" s="160"/>
      <c r="N809" s="162"/>
      <c r="O809" s="164"/>
      <c r="P809" s="140"/>
      <c r="Q809" s="327"/>
      <c r="R809" s="140"/>
    </row>
    <row r="810" ht="29.25" hidden="1" customHeight="1">
      <c r="A810" s="189"/>
      <c r="B810" s="323"/>
      <c r="C810" s="324"/>
      <c r="D810" s="325"/>
      <c r="E810" s="314"/>
      <c r="F810" s="166"/>
      <c r="G810" s="161"/>
      <c r="H810" s="161"/>
      <c r="I810" s="162"/>
      <c r="J810" s="163"/>
      <c r="K810" s="163"/>
      <c r="L810" s="163"/>
      <c r="M810" s="160"/>
      <c r="N810" s="162"/>
      <c r="O810" s="164"/>
      <c r="P810" s="140"/>
      <c r="Q810" s="321"/>
      <c r="R810" s="140"/>
    </row>
    <row r="811" ht="29.25" hidden="1" customHeight="1">
      <c r="A811" s="189"/>
      <c r="B811" s="323"/>
      <c r="C811" s="324"/>
      <c r="D811" s="325"/>
      <c r="E811" s="326"/>
      <c r="F811" s="166"/>
      <c r="G811" s="161"/>
      <c r="H811" s="161"/>
      <c r="I811" s="162"/>
      <c r="J811" s="163"/>
      <c r="K811" s="163"/>
      <c r="L811" s="163"/>
      <c r="M811" s="160"/>
      <c r="N811" s="162"/>
      <c r="O811" s="164"/>
      <c r="P811" s="140"/>
      <c r="Q811" s="327"/>
      <c r="R811" s="140"/>
    </row>
    <row r="812" ht="29.25" hidden="1" customHeight="1">
      <c r="A812" s="189"/>
      <c r="B812" s="323"/>
      <c r="C812" s="324"/>
      <c r="D812" s="325"/>
      <c r="E812" s="314"/>
      <c r="F812" s="166"/>
      <c r="G812" s="161"/>
      <c r="H812" s="161"/>
      <c r="I812" s="162"/>
      <c r="J812" s="163"/>
      <c r="K812" s="163"/>
      <c r="L812" s="163"/>
      <c r="M812" s="160"/>
      <c r="N812" s="162"/>
      <c r="O812" s="164"/>
      <c r="P812" s="140"/>
      <c r="Q812" s="321"/>
      <c r="R812" s="140"/>
    </row>
    <row r="813" ht="29.25" hidden="1" customHeight="1">
      <c r="A813" s="189"/>
      <c r="B813" s="323"/>
      <c r="C813" s="324"/>
      <c r="D813" s="325"/>
      <c r="E813" s="326"/>
      <c r="F813" s="166"/>
      <c r="G813" s="161"/>
      <c r="H813" s="161"/>
      <c r="I813" s="162"/>
      <c r="J813" s="163"/>
      <c r="K813" s="163"/>
      <c r="L813" s="163"/>
      <c r="M813" s="160"/>
      <c r="N813" s="162"/>
      <c r="O813" s="164"/>
      <c r="P813" s="140"/>
      <c r="Q813" s="327"/>
      <c r="R813" s="140"/>
    </row>
    <row r="814" ht="29.25" hidden="1" customHeight="1">
      <c r="A814" s="189"/>
      <c r="B814" s="323"/>
      <c r="C814" s="324"/>
      <c r="D814" s="325"/>
      <c r="E814" s="314"/>
      <c r="F814" s="166"/>
      <c r="G814" s="161"/>
      <c r="H814" s="161"/>
      <c r="I814" s="162"/>
      <c r="J814" s="163"/>
      <c r="K814" s="163"/>
      <c r="L814" s="163"/>
      <c r="M814" s="160"/>
      <c r="N814" s="162"/>
      <c r="O814" s="164"/>
      <c r="P814" s="140"/>
      <c r="Q814" s="321"/>
      <c r="R814" s="140"/>
    </row>
    <row r="815" ht="29.25" hidden="1" customHeight="1">
      <c r="A815" s="189"/>
      <c r="B815" s="323"/>
      <c r="C815" s="324"/>
      <c r="D815" s="325"/>
      <c r="E815" s="326"/>
      <c r="F815" s="166"/>
      <c r="G815" s="161"/>
      <c r="H815" s="161"/>
      <c r="I815" s="162"/>
      <c r="J815" s="163"/>
      <c r="K815" s="163"/>
      <c r="L815" s="163"/>
      <c r="M815" s="160"/>
      <c r="N815" s="162"/>
      <c r="O815" s="164"/>
      <c r="P815" s="140"/>
      <c r="Q815" s="327"/>
      <c r="R815" s="140"/>
    </row>
    <row r="816" ht="29.25" hidden="1" customHeight="1">
      <c r="A816" s="189"/>
      <c r="B816" s="323"/>
      <c r="C816" s="324"/>
      <c r="D816" s="325"/>
      <c r="E816" s="314"/>
      <c r="F816" s="166"/>
      <c r="G816" s="161"/>
      <c r="H816" s="161"/>
      <c r="I816" s="162"/>
      <c r="J816" s="163"/>
      <c r="K816" s="163"/>
      <c r="L816" s="163"/>
      <c r="M816" s="160"/>
      <c r="N816" s="162"/>
      <c r="O816" s="164"/>
      <c r="P816" s="140"/>
      <c r="Q816" s="321"/>
      <c r="R816" s="140"/>
    </row>
    <row r="817" ht="29.25" hidden="1" customHeight="1">
      <c r="A817" s="189"/>
      <c r="B817" s="323"/>
      <c r="C817" s="324"/>
      <c r="D817" s="325"/>
      <c r="E817" s="326"/>
      <c r="F817" s="166"/>
      <c r="G817" s="161"/>
      <c r="H817" s="161"/>
      <c r="I817" s="162"/>
      <c r="J817" s="163"/>
      <c r="K817" s="163"/>
      <c r="L817" s="163"/>
      <c r="M817" s="160"/>
      <c r="N817" s="162"/>
      <c r="O817" s="164"/>
      <c r="P817" s="140"/>
      <c r="Q817" s="327"/>
      <c r="R817" s="140"/>
    </row>
    <row r="818" ht="29.25" hidden="1" customHeight="1">
      <c r="A818" s="189"/>
      <c r="B818" s="323"/>
      <c r="C818" s="324"/>
      <c r="D818" s="325"/>
      <c r="E818" s="314"/>
      <c r="F818" s="166"/>
      <c r="G818" s="161"/>
      <c r="H818" s="161"/>
      <c r="I818" s="162"/>
      <c r="J818" s="163"/>
      <c r="K818" s="163"/>
      <c r="L818" s="163"/>
      <c r="M818" s="160"/>
      <c r="N818" s="162"/>
      <c r="O818" s="164"/>
      <c r="P818" s="140"/>
      <c r="Q818" s="321"/>
      <c r="R818" s="140"/>
    </row>
    <row r="819" ht="29.25" hidden="1" customHeight="1">
      <c r="A819" s="189"/>
      <c r="B819" s="323"/>
      <c r="C819" s="324"/>
      <c r="D819" s="325"/>
      <c r="E819" s="326"/>
      <c r="F819" s="166"/>
      <c r="G819" s="161"/>
      <c r="H819" s="161"/>
      <c r="I819" s="162"/>
      <c r="J819" s="163"/>
      <c r="K819" s="163"/>
      <c r="L819" s="163"/>
      <c r="M819" s="160"/>
      <c r="N819" s="162"/>
      <c r="O819" s="164"/>
      <c r="P819" s="140"/>
      <c r="Q819" s="327"/>
      <c r="R819" s="140"/>
    </row>
    <row r="820" ht="29.25" hidden="1" customHeight="1">
      <c r="A820" s="189"/>
      <c r="B820" s="323"/>
      <c r="C820" s="324"/>
      <c r="D820" s="325"/>
      <c r="E820" s="314"/>
      <c r="F820" s="166"/>
      <c r="G820" s="161"/>
      <c r="H820" s="161"/>
      <c r="I820" s="162"/>
      <c r="J820" s="163"/>
      <c r="K820" s="163"/>
      <c r="L820" s="163"/>
      <c r="M820" s="160"/>
      <c r="N820" s="162"/>
      <c r="O820" s="164"/>
      <c r="P820" s="140"/>
      <c r="Q820" s="321"/>
      <c r="R820" s="140"/>
    </row>
    <row r="821" ht="29.25" hidden="1" customHeight="1">
      <c r="A821" s="189"/>
      <c r="B821" s="323"/>
      <c r="C821" s="324"/>
      <c r="D821" s="325"/>
      <c r="E821" s="326"/>
      <c r="F821" s="166"/>
      <c r="G821" s="161"/>
      <c r="H821" s="161"/>
      <c r="I821" s="162"/>
      <c r="J821" s="163"/>
      <c r="K821" s="163"/>
      <c r="L821" s="163"/>
      <c r="M821" s="160"/>
      <c r="N821" s="162"/>
      <c r="O821" s="164"/>
      <c r="P821" s="140"/>
      <c r="Q821" s="327"/>
      <c r="R821" s="140"/>
    </row>
    <row r="822" ht="29.25" hidden="1" customHeight="1">
      <c r="A822" s="189"/>
      <c r="B822" s="323"/>
      <c r="C822" s="324"/>
      <c r="D822" s="325"/>
      <c r="E822" s="314"/>
      <c r="F822" s="166"/>
      <c r="G822" s="161"/>
      <c r="H822" s="161"/>
      <c r="I822" s="162"/>
      <c r="J822" s="163"/>
      <c r="K822" s="163"/>
      <c r="L822" s="163"/>
      <c r="M822" s="160"/>
      <c r="N822" s="162"/>
      <c r="O822" s="164"/>
      <c r="P822" s="140"/>
      <c r="Q822" s="321"/>
      <c r="R822" s="140"/>
    </row>
    <row r="823" ht="29.25" hidden="1" customHeight="1">
      <c r="A823" s="189"/>
      <c r="B823" s="323"/>
      <c r="C823" s="324"/>
      <c r="D823" s="325"/>
      <c r="E823" s="326"/>
      <c r="F823" s="166"/>
      <c r="G823" s="161"/>
      <c r="H823" s="161"/>
      <c r="I823" s="162"/>
      <c r="J823" s="163"/>
      <c r="K823" s="163"/>
      <c r="L823" s="163"/>
      <c r="M823" s="160"/>
      <c r="N823" s="162"/>
      <c r="O823" s="164"/>
      <c r="P823" s="140"/>
      <c r="Q823" s="327"/>
      <c r="R823" s="140"/>
    </row>
    <row r="824" ht="29.25" hidden="1" customHeight="1">
      <c r="A824" s="189"/>
      <c r="B824" s="323"/>
      <c r="C824" s="324"/>
      <c r="D824" s="325"/>
      <c r="E824" s="314"/>
      <c r="F824" s="166"/>
      <c r="G824" s="161"/>
      <c r="H824" s="161"/>
      <c r="I824" s="162"/>
      <c r="J824" s="163"/>
      <c r="K824" s="163"/>
      <c r="L824" s="163"/>
      <c r="M824" s="160"/>
      <c r="N824" s="162"/>
      <c r="O824" s="164"/>
      <c r="P824" s="140"/>
      <c r="Q824" s="321"/>
      <c r="R824" s="140"/>
    </row>
    <row r="825" ht="29.25" hidden="1" customHeight="1">
      <c r="A825" s="189"/>
      <c r="B825" s="323"/>
      <c r="C825" s="324"/>
      <c r="D825" s="325"/>
      <c r="E825" s="326"/>
      <c r="F825" s="166"/>
      <c r="G825" s="161"/>
      <c r="H825" s="161"/>
      <c r="I825" s="162"/>
      <c r="J825" s="163"/>
      <c r="K825" s="163"/>
      <c r="L825" s="163"/>
      <c r="M825" s="160"/>
      <c r="N825" s="162"/>
      <c r="O825" s="164"/>
      <c r="P825" s="140"/>
      <c r="Q825" s="327"/>
      <c r="R825" s="140"/>
    </row>
    <row r="826" ht="29.25" hidden="1" customHeight="1">
      <c r="A826" s="189"/>
      <c r="B826" s="323"/>
      <c r="C826" s="324"/>
      <c r="D826" s="325"/>
      <c r="E826" s="314"/>
      <c r="F826" s="166"/>
      <c r="G826" s="161"/>
      <c r="H826" s="161"/>
      <c r="I826" s="162"/>
      <c r="J826" s="163"/>
      <c r="K826" s="163"/>
      <c r="L826" s="163"/>
      <c r="M826" s="160"/>
      <c r="N826" s="162"/>
      <c r="O826" s="164"/>
      <c r="P826" s="140"/>
      <c r="Q826" s="321"/>
      <c r="R826" s="140"/>
    </row>
    <row r="827" ht="29.25" hidden="1" customHeight="1">
      <c r="A827" s="189"/>
      <c r="B827" s="323"/>
      <c r="C827" s="324"/>
      <c r="D827" s="325"/>
      <c r="E827" s="326"/>
      <c r="F827" s="166"/>
      <c r="G827" s="161"/>
      <c r="H827" s="161"/>
      <c r="I827" s="162"/>
      <c r="J827" s="163"/>
      <c r="K827" s="163"/>
      <c r="L827" s="163"/>
      <c r="M827" s="160"/>
      <c r="N827" s="162"/>
      <c r="O827" s="164"/>
      <c r="P827" s="140"/>
      <c r="Q827" s="327"/>
      <c r="R827" s="140"/>
    </row>
    <row r="828" ht="29.25" hidden="1" customHeight="1">
      <c r="A828" s="189"/>
      <c r="B828" s="323"/>
      <c r="C828" s="324"/>
      <c r="D828" s="325"/>
      <c r="E828" s="314"/>
      <c r="F828" s="166"/>
      <c r="G828" s="161"/>
      <c r="H828" s="161"/>
      <c r="I828" s="162"/>
      <c r="J828" s="163"/>
      <c r="K828" s="163"/>
      <c r="L828" s="163"/>
      <c r="M828" s="160"/>
      <c r="N828" s="162"/>
      <c r="O828" s="164"/>
      <c r="P828" s="140"/>
      <c r="Q828" s="321"/>
      <c r="R828" s="140"/>
    </row>
    <row r="829" ht="29.25" hidden="1" customHeight="1">
      <c r="A829" s="189"/>
      <c r="B829" s="323"/>
      <c r="C829" s="324"/>
      <c r="D829" s="325"/>
      <c r="E829" s="326"/>
      <c r="F829" s="166"/>
      <c r="G829" s="161"/>
      <c r="H829" s="161"/>
      <c r="I829" s="162"/>
      <c r="J829" s="163"/>
      <c r="K829" s="163"/>
      <c r="L829" s="163"/>
      <c r="M829" s="160"/>
      <c r="N829" s="162"/>
      <c r="O829" s="164"/>
      <c r="P829" s="140"/>
      <c r="Q829" s="327"/>
      <c r="R829" s="140"/>
    </row>
    <row r="830" ht="29.25" hidden="1" customHeight="1">
      <c r="A830" s="189"/>
      <c r="B830" s="323"/>
      <c r="C830" s="324"/>
      <c r="D830" s="325"/>
      <c r="E830" s="314"/>
      <c r="F830" s="166"/>
      <c r="G830" s="161"/>
      <c r="H830" s="161"/>
      <c r="I830" s="162"/>
      <c r="J830" s="163"/>
      <c r="K830" s="163"/>
      <c r="L830" s="163"/>
      <c r="M830" s="160"/>
      <c r="N830" s="162"/>
      <c r="O830" s="164"/>
      <c r="P830" s="140"/>
      <c r="Q830" s="321"/>
      <c r="R830" s="140"/>
    </row>
    <row r="831" ht="29.25" hidden="1" customHeight="1">
      <c r="A831" s="189"/>
      <c r="B831" s="323"/>
      <c r="C831" s="324"/>
      <c r="D831" s="325"/>
      <c r="E831" s="326"/>
      <c r="F831" s="166"/>
      <c r="G831" s="161"/>
      <c r="H831" s="161"/>
      <c r="I831" s="162"/>
      <c r="J831" s="163"/>
      <c r="K831" s="163"/>
      <c r="L831" s="163"/>
      <c r="M831" s="160"/>
      <c r="N831" s="162"/>
      <c r="O831" s="164"/>
      <c r="P831" s="140"/>
      <c r="Q831" s="327"/>
      <c r="R831" s="140"/>
    </row>
    <row r="832" ht="29.25" hidden="1" customHeight="1">
      <c r="A832" s="189"/>
      <c r="B832" s="323"/>
      <c r="C832" s="324"/>
      <c r="D832" s="325"/>
      <c r="E832" s="314"/>
      <c r="F832" s="166"/>
      <c r="G832" s="161"/>
      <c r="H832" s="161"/>
      <c r="I832" s="162"/>
      <c r="J832" s="163"/>
      <c r="K832" s="163"/>
      <c r="L832" s="163"/>
      <c r="M832" s="160"/>
      <c r="N832" s="162"/>
      <c r="O832" s="164"/>
      <c r="P832" s="140"/>
      <c r="Q832" s="321"/>
      <c r="R832" s="140"/>
    </row>
    <row r="833" ht="29.25" hidden="1" customHeight="1">
      <c r="A833" s="189"/>
      <c r="B833" s="323"/>
      <c r="C833" s="324"/>
      <c r="D833" s="325"/>
      <c r="E833" s="326"/>
      <c r="F833" s="166"/>
      <c r="G833" s="161"/>
      <c r="H833" s="161"/>
      <c r="I833" s="162"/>
      <c r="J833" s="163"/>
      <c r="K833" s="163"/>
      <c r="L833" s="163"/>
      <c r="M833" s="160"/>
      <c r="N833" s="162"/>
      <c r="O833" s="164"/>
      <c r="P833" s="140"/>
      <c r="Q833" s="327"/>
      <c r="R833" s="140"/>
    </row>
    <row r="834" ht="29.25" hidden="1" customHeight="1">
      <c r="A834" s="189"/>
      <c r="B834" s="323"/>
      <c r="C834" s="324"/>
      <c r="D834" s="325"/>
      <c r="E834" s="314"/>
      <c r="F834" s="166"/>
      <c r="G834" s="161"/>
      <c r="H834" s="161"/>
      <c r="I834" s="162"/>
      <c r="J834" s="163"/>
      <c r="K834" s="163"/>
      <c r="L834" s="163"/>
      <c r="M834" s="160"/>
      <c r="N834" s="162"/>
      <c r="O834" s="164"/>
      <c r="P834" s="140"/>
      <c r="Q834" s="321"/>
      <c r="R834" s="140"/>
    </row>
    <row r="835" ht="29.25" hidden="1" customHeight="1">
      <c r="A835" s="189"/>
      <c r="B835" s="323"/>
      <c r="C835" s="324"/>
      <c r="D835" s="325"/>
      <c r="E835" s="326"/>
      <c r="F835" s="166"/>
      <c r="G835" s="161"/>
      <c r="H835" s="161"/>
      <c r="I835" s="162"/>
      <c r="J835" s="163"/>
      <c r="K835" s="163"/>
      <c r="L835" s="163"/>
      <c r="M835" s="160"/>
      <c r="N835" s="162"/>
      <c r="O835" s="164"/>
      <c r="P835" s="140"/>
      <c r="Q835" s="327"/>
      <c r="R835" s="140"/>
    </row>
    <row r="836" ht="29.25" hidden="1" customHeight="1">
      <c r="A836" s="189"/>
      <c r="B836" s="323"/>
      <c r="C836" s="324"/>
      <c r="D836" s="325"/>
      <c r="E836" s="314"/>
      <c r="F836" s="166"/>
      <c r="G836" s="161"/>
      <c r="H836" s="161"/>
      <c r="I836" s="162"/>
      <c r="J836" s="163"/>
      <c r="K836" s="163"/>
      <c r="L836" s="163"/>
      <c r="M836" s="160"/>
      <c r="N836" s="162"/>
      <c r="O836" s="164"/>
      <c r="P836" s="140"/>
      <c r="Q836" s="321"/>
      <c r="R836" s="140"/>
    </row>
    <row r="837" ht="29.25" hidden="1" customHeight="1">
      <c r="A837" s="189"/>
      <c r="B837" s="323"/>
      <c r="C837" s="324"/>
      <c r="D837" s="325"/>
      <c r="E837" s="326"/>
      <c r="F837" s="166"/>
      <c r="G837" s="161"/>
      <c r="H837" s="161"/>
      <c r="I837" s="162"/>
      <c r="J837" s="163"/>
      <c r="K837" s="163"/>
      <c r="L837" s="163"/>
      <c r="M837" s="160"/>
      <c r="N837" s="162"/>
      <c r="O837" s="164"/>
      <c r="P837" s="140"/>
      <c r="Q837" s="327"/>
      <c r="R837" s="140"/>
    </row>
    <row r="838" ht="29.25" hidden="1" customHeight="1">
      <c r="A838" s="189"/>
      <c r="B838" s="323"/>
      <c r="C838" s="324"/>
      <c r="D838" s="325"/>
      <c r="E838" s="314"/>
      <c r="F838" s="166"/>
      <c r="G838" s="161"/>
      <c r="H838" s="161"/>
      <c r="I838" s="162"/>
      <c r="J838" s="163"/>
      <c r="K838" s="163"/>
      <c r="L838" s="163"/>
      <c r="M838" s="160"/>
      <c r="N838" s="162"/>
      <c r="O838" s="164"/>
      <c r="P838" s="140"/>
      <c r="Q838" s="321"/>
      <c r="R838" s="140"/>
    </row>
    <row r="839" ht="29.25" hidden="1" customHeight="1">
      <c r="A839" s="189"/>
      <c r="B839" s="323"/>
      <c r="C839" s="324"/>
      <c r="D839" s="325"/>
      <c r="E839" s="326"/>
      <c r="F839" s="166"/>
      <c r="G839" s="161"/>
      <c r="H839" s="161"/>
      <c r="I839" s="162"/>
      <c r="J839" s="163"/>
      <c r="K839" s="163"/>
      <c r="L839" s="163"/>
      <c r="M839" s="160"/>
      <c r="N839" s="162"/>
      <c r="O839" s="164"/>
      <c r="P839" s="140"/>
      <c r="Q839" s="327"/>
      <c r="R839" s="140"/>
    </row>
    <row r="840" ht="29.25" hidden="1" customHeight="1">
      <c r="A840" s="189"/>
      <c r="B840" s="323"/>
      <c r="C840" s="324"/>
      <c r="D840" s="325"/>
      <c r="E840" s="314"/>
      <c r="F840" s="166"/>
      <c r="G840" s="161"/>
      <c r="H840" s="161"/>
      <c r="I840" s="162"/>
      <c r="J840" s="163"/>
      <c r="K840" s="163"/>
      <c r="L840" s="163"/>
      <c r="M840" s="160"/>
      <c r="N840" s="162"/>
      <c r="O840" s="164"/>
      <c r="P840" s="140"/>
      <c r="Q840" s="321"/>
      <c r="R840" s="140"/>
    </row>
    <row r="841" ht="29.25" hidden="1" customHeight="1">
      <c r="A841" s="189"/>
      <c r="B841" s="323"/>
      <c r="C841" s="324"/>
      <c r="D841" s="325"/>
      <c r="E841" s="326"/>
      <c r="F841" s="166"/>
      <c r="G841" s="161"/>
      <c r="H841" s="161"/>
      <c r="I841" s="162"/>
      <c r="J841" s="163"/>
      <c r="K841" s="163"/>
      <c r="L841" s="163"/>
      <c r="M841" s="160"/>
      <c r="N841" s="162"/>
      <c r="O841" s="164"/>
      <c r="P841" s="140"/>
      <c r="Q841" s="327"/>
      <c r="R841" s="140"/>
    </row>
    <row r="842" ht="29.25" hidden="1" customHeight="1">
      <c r="A842" s="189"/>
      <c r="B842" s="323"/>
      <c r="C842" s="324"/>
      <c r="D842" s="325"/>
      <c r="E842" s="314"/>
      <c r="F842" s="166"/>
      <c r="G842" s="161"/>
      <c r="H842" s="161"/>
      <c r="I842" s="162"/>
      <c r="J842" s="163"/>
      <c r="K842" s="163"/>
      <c r="L842" s="163"/>
      <c r="M842" s="160"/>
      <c r="N842" s="162"/>
      <c r="O842" s="164"/>
      <c r="P842" s="140"/>
      <c r="Q842" s="321"/>
      <c r="R842" s="140"/>
    </row>
    <row r="843" ht="29.25" hidden="1" customHeight="1">
      <c r="A843" s="189"/>
      <c r="B843" s="323"/>
      <c r="C843" s="324"/>
      <c r="D843" s="325"/>
      <c r="E843" s="326"/>
      <c r="F843" s="166"/>
      <c r="G843" s="161"/>
      <c r="H843" s="161"/>
      <c r="I843" s="162"/>
      <c r="J843" s="163"/>
      <c r="K843" s="163"/>
      <c r="L843" s="163"/>
      <c r="M843" s="160"/>
      <c r="N843" s="162"/>
      <c r="O843" s="164"/>
      <c r="P843" s="140"/>
      <c r="Q843" s="327"/>
      <c r="R843" s="140"/>
    </row>
    <row r="844" ht="29.25" hidden="1" customHeight="1">
      <c r="A844" s="189"/>
      <c r="B844" s="323"/>
      <c r="C844" s="324"/>
      <c r="D844" s="325"/>
      <c r="E844" s="314"/>
      <c r="F844" s="166"/>
      <c r="G844" s="161"/>
      <c r="H844" s="161"/>
      <c r="I844" s="162"/>
      <c r="J844" s="163"/>
      <c r="K844" s="163"/>
      <c r="L844" s="163"/>
      <c r="M844" s="160"/>
      <c r="N844" s="162"/>
      <c r="O844" s="164"/>
      <c r="P844" s="140"/>
      <c r="Q844" s="321"/>
      <c r="R844" s="140"/>
    </row>
    <row r="845" ht="29.25" hidden="1" customHeight="1">
      <c r="A845" s="189"/>
      <c r="B845" s="323"/>
      <c r="C845" s="324"/>
      <c r="D845" s="325"/>
      <c r="E845" s="326"/>
      <c r="F845" s="166"/>
      <c r="G845" s="161"/>
      <c r="H845" s="161"/>
      <c r="I845" s="162"/>
      <c r="J845" s="163"/>
      <c r="K845" s="163"/>
      <c r="L845" s="163"/>
      <c r="M845" s="160"/>
      <c r="N845" s="162"/>
      <c r="O845" s="164"/>
      <c r="P845" s="140"/>
      <c r="Q845" s="327"/>
      <c r="R845" s="140"/>
    </row>
    <row r="846" ht="29.25" hidden="1" customHeight="1">
      <c r="A846" s="189"/>
      <c r="B846" s="323"/>
      <c r="C846" s="324"/>
      <c r="D846" s="325"/>
      <c r="E846" s="314"/>
      <c r="F846" s="166"/>
      <c r="G846" s="161"/>
      <c r="H846" s="161"/>
      <c r="I846" s="162"/>
      <c r="J846" s="163"/>
      <c r="K846" s="163"/>
      <c r="L846" s="163"/>
      <c r="M846" s="160"/>
      <c r="N846" s="162"/>
      <c r="O846" s="164"/>
      <c r="P846" s="140"/>
      <c r="Q846" s="321"/>
      <c r="R846" s="140"/>
    </row>
    <row r="847" ht="29.25" hidden="1" customHeight="1">
      <c r="A847" s="189"/>
      <c r="B847" s="323"/>
      <c r="C847" s="324"/>
      <c r="D847" s="325"/>
      <c r="E847" s="326"/>
      <c r="F847" s="166"/>
      <c r="G847" s="161"/>
      <c r="H847" s="161"/>
      <c r="I847" s="162"/>
      <c r="J847" s="163"/>
      <c r="K847" s="163"/>
      <c r="L847" s="163"/>
      <c r="M847" s="160"/>
      <c r="N847" s="162"/>
      <c r="O847" s="164"/>
      <c r="P847" s="140"/>
      <c r="Q847" s="327"/>
      <c r="R847" s="140"/>
    </row>
    <row r="848" ht="29.25" hidden="1" customHeight="1">
      <c r="A848" s="189"/>
      <c r="B848" s="323"/>
      <c r="C848" s="324"/>
      <c r="D848" s="325"/>
      <c r="E848" s="314"/>
      <c r="F848" s="166"/>
      <c r="G848" s="161"/>
      <c r="H848" s="161"/>
      <c r="I848" s="162"/>
      <c r="J848" s="163"/>
      <c r="K848" s="163"/>
      <c r="L848" s="163"/>
      <c r="M848" s="160"/>
      <c r="N848" s="162"/>
      <c r="O848" s="164"/>
      <c r="P848" s="140"/>
      <c r="Q848" s="321"/>
      <c r="R848" s="140"/>
    </row>
    <row r="849" ht="29.25" hidden="1" customHeight="1">
      <c r="A849" s="189"/>
      <c r="B849" s="323"/>
      <c r="C849" s="324"/>
      <c r="D849" s="325"/>
      <c r="E849" s="326"/>
      <c r="F849" s="166"/>
      <c r="G849" s="161"/>
      <c r="H849" s="161"/>
      <c r="I849" s="162"/>
      <c r="J849" s="163"/>
      <c r="K849" s="163"/>
      <c r="L849" s="163"/>
      <c r="M849" s="160"/>
      <c r="N849" s="162"/>
      <c r="O849" s="164"/>
      <c r="P849" s="140"/>
      <c r="Q849" s="327"/>
      <c r="R849" s="140"/>
    </row>
    <row r="850" ht="29.25" hidden="1" customHeight="1">
      <c r="A850" s="189"/>
      <c r="B850" s="323"/>
      <c r="C850" s="324"/>
      <c r="D850" s="325"/>
      <c r="E850" s="314"/>
      <c r="F850" s="166"/>
      <c r="G850" s="161"/>
      <c r="H850" s="161"/>
      <c r="I850" s="162"/>
      <c r="J850" s="163"/>
      <c r="K850" s="163"/>
      <c r="L850" s="163"/>
      <c r="M850" s="160"/>
      <c r="N850" s="162"/>
      <c r="O850" s="164"/>
      <c r="P850" s="140"/>
      <c r="Q850" s="321"/>
      <c r="R850" s="140"/>
    </row>
    <row r="851" ht="29.25" hidden="1" customHeight="1">
      <c r="A851" s="189"/>
      <c r="B851" s="323"/>
      <c r="C851" s="324"/>
      <c r="D851" s="325"/>
      <c r="E851" s="326"/>
      <c r="F851" s="166"/>
      <c r="G851" s="161"/>
      <c r="H851" s="161"/>
      <c r="I851" s="162"/>
      <c r="J851" s="163"/>
      <c r="K851" s="163"/>
      <c r="L851" s="163"/>
      <c r="M851" s="160"/>
      <c r="N851" s="162"/>
      <c r="O851" s="164"/>
      <c r="P851" s="140"/>
      <c r="Q851" s="327"/>
      <c r="R851" s="140"/>
    </row>
    <row r="852" ht="29.25" hidden="1" customHeight="1">
      <c r="A852" s="189"/>
      <c r="B852" s="323"/>
      <c r="C852" s="324"/>
      <c r="D852" s="325"/>
      <c r="E852" s="314"/>
      <c r="F852" s="166"/>
      <c r="G852" s="161"/>
      <c r="H852" s="161"/>
      <c r="I852" s="162"/>
      <c r="J852" s="163"/>
      <c r="K852" s="163"/>
      <c r="L852" s="163"/>
      <c r="M852" s="160"/>
      <c r="N852" s="162"/>
      <c r="O852" s="164"/>
      <c r="P852" s="140"/>
      <c r="Q852" s="321"/>
      <c r="R852" s="140"/>
    </row>
    <row r="853" ht="29.25" hidden="1" customHeight="1">
      <c r="A853" s="189"/>
      <c r="B853" s="323"/>
      <c r="C853" s="324"/>
      <c r="D853" s="325"/>
      <c r="E853" s="326"/>
      <c r="F853" s="166"/>
      <c r="G853" s="161"/>
      <c r="H853" s="161"/>
      <c r="I853" s="162"/>
      <c r="J853" s="163"/>
      <c r="K853" s="163"/>
      <c r="L853" s="163"/>
      <c r="M853" s="160"/>
      <c r="N853" s="162"/>
      <c r="O853" s="164"/>
      <c r="P853" s="140"/>
      <c r="Q853" s="327"/>
      <c r="R853" s="140"/>
    </row>
    <row r="854" ht="29.25" hidden="1" customHeight="1">
      <c r="A854" s="189"/>
      <c r="B854" s="323"/>
      <c r="C854" s="324"/>
      <c r="D854" s="325"/>
      <c r="E854" s="314"/>
      <c r="F854" s="166"/>
      <c r="G854" s="161"/>
      <c r="H854" s="161"/>
      <c r="I854" s="162"/>
      <c r="J854" s="163"/>
      <c r="K854" s="163"/>
      <c r="L854" s="163"/>
      <c r="M854" s="160"/>
      <c r="N854" s="162"/>
      <c r="O854" s="164"/>
      <c r="P854" s="140"/>
      <c r="Q854" s="321"/>
      <c r="R854" s="140"/>
    </row>
    <row r="855" ht="29.25" hidden="1" customHeight="1">
      <c r="A855" s="189"/>
      <c r="B855" s="323"/>
      <c r="C855" s="324"/>
      <c r="D855" s="325"/>
      <c r="E855" s="326"/>
      <c r="F855" s="166"/>
      <c r="G855" s="161"/>
      <c r="H855" s="161"/>
      <c r="I855" s="162"/>
      <c r="J855" s="163"/>
      <c r="K855" s="163"/>
      <c r="L855" s="163"/>
      <c r="M855" s="160"/>
      <c r="N855" s="162"/>
      <c r="O855" s="164"/>
      <c r="P855" s="140"/>
      <c r="Q855" s="327"/>
      <c r="R855" s="140"/>
    </row>
    <row r="856" ht="29.25" hidden="1" customHeight="1">
      <c r="A856" s="189"/>
      <c r="B856" s="323"/>
      <c r="C856" s="324"/>
      <c r="D856" s="325"/>
      <c r="E856" s="314"/>
      <c r="F856" s="166"/>
      <c r="G856" s="161"/>
      <c r="H856" s="161"/>
      <c r="I856" s="162"/>
      <c r="J856" s="163"/>
      <c r="K856" s="163"/>
      <c r="L856" s="163"/>
      <c r="M856" s="160"/>
      <c r="N856" s="162"/>
      <c r="O856" s="164"/>
      <c r="P856" s="140"/>
      <c r="Q856" s="321"/>
      <c r="R856" s="140"/>
    </row>
    <row r="857" ht="29.25" hidden="1" customHeight="1">
      <c r="A857" s="189"/>
      <c r="B857" s="323"/>
      <c r="C857" s="324"/>
      <c r="D857" s="325"/>
      <c r="E857" s="326"/>
      <c r="F857" s="166"/>
      <c r="G857" s="161"/>
      <c r="H857" s="161"/>
      <c r="I857" s="162"/>
      <c r="J857" s="163"/>
      <c r="K857" s="163"/>
      <c r="L857" s="163"/>
      <c r="M857" s="160"/>
      <c r="N857" s="162"/>
      <c r="O857" s="164"/>
      <c r="P857" s="140"/>
      <c r="Q857" s="327"/>
      <c r="R857" s="140"/>
    </row>
    <row r="858" ht="29.25" hidden="1" customHeight="1">
      <c r="A858" s="189"/>
      <c r="B858" s="323"/>
      <c r="C858" s="324"/>
      <c r="D858" s="325"/>
      <c r="E858" s="314"/>
      <c r="F858" s="166"/>
      <c r="G858" s="161"/>
      <c r="H858" s="161"/>
      <c r="I858" s="162"/>
      <c r="J858" s="163"/>
      <c r="K858" s="163"/>
      <c r="L858" s="163"/>
      <c r="M858" s="160"/>
      <c r="N858" s="162"/>
      <c r="O858" s="164"/>
      <c r="P858" s="140"/>
      <c r="Q858" s="321"/>
      <c r="R858" s="140"/>
    </row>
    <row r="859" ht="29.25" hidden="1" customHeight="1">
      <c r="A859" s="189"/>
      <c r="B859" s="323"/>
      <c r="C859" s="324"/>
      <c r="D859" s="325"/>
      <c r="E859" s="326"/>
      <c r="F859" s="166"/>
      <c r="G859" s="161"/>
      <c r="H859" s="161"/>
      <c r="I859" s="162"/>
      <c r="J859" s="163"/>
      <c r="K859" s="163"/>
      <c r="L859" s="163"/>
      <c r="M859" s="160"/>
      <c r="N859" s="162"/>
      <c r="O859" s="164"/>
      <c r="P859" s="140"/>
      <c r="Q859" s="327"/>
      <c r="R859" s="140"/>
    </row>
    <row r="860" ht="29.25" hidden="1" customHeight="1">
      <c r="A860" s="189"/>
      <c r="B860" s="323"/>
      <c r="C860" s="324"/>
      <c r="D860" s="325"/>
      <c r="E860" s="314"/>
      <c r="F860" s="166"/>
      <c r="G860" s="161"/>
      <c r="H860" s="161"/>
      <c r="I860" s="162"/>
      <c r="J860" s="163"/>
      <c r="K860" s="163"/>
      <c r="L860" s="163"/>
      <c r="M860" s="160"/>
      <c r="N860" s="162"/>
      <c r="O860" s="164"/>
      <c r="P860" s="140"/>
      <c r="Q860" s="321"/>
      <c r="R860" s="140"/>
    </row>
    <row r="861" ht="29.25" hidden="1" customHeight="1">
      <c r="A861" s="189"/>
      <c r="B861" s="323"/>
      <c r="C861" s="324"/>
      <c r="D861" s="325"/>
      <c r="E861" s="326"/>
      <c r="F861" s="166"/>
      <c r="G861" s="161"/>
      <c r="H861" s="161"/>
      <c r="I861" s="162"/>
      <c r="J861" s="163"/>
      <c r="K861" s="163"/>
      <c r="L861" s="163"/>
      <c r="M861" s="160"/>
      <c r="N861" s="162"/>
      <c r="O861" s="164"/>
      <c r="P861" s="140"/>
      <c r="Q861" s="327"/>
      <c r="R861" s="140"/>
    </row>
    <row r="862" ht="29.25" hidden="1" customHeight="1">
      <c r="A862" s="189"/>
      <c r="B862" s="323"/>
      <c r="C862" s="324"/>
      <c r="D862" s="325"/>
      <c r="E862" s="314"/>
      <c r="F862" s="166"/>
      <c r="G862" s="161"/>
      <c r="H862" s="161"/>
      <c r="I862" s="162"/>
      <c r="J862" s="163"/>
      <c r="K862" s="163"/>
      <c r="L862" s="163"/>
      <c r="M862" s="160"/>
      <c r="N862" s="162"/>
      <c r="O862" s="164"/>
      <c r="P862" s="140"/>
      <c r="Q862" s="321"/>
      <c r="R862" s="140"/>
    </row>
    <row r="863" ht="29.25" hidden="1" customHeight="1">
      <c r="A863" s="189"/>
      <c r="B863" s="323"/>
      <c r="C863" s="324"/>
      <c r="D863" s="325"/>
      <c r="E863" s="326"/>
      <c r="F863" s="166"/>
      <c r="G863" s="161"/>
      <c r="H863" s="161"/>
      <c r="I863" s="162"/>
      <c r="J863" s="163"/>
      <c r="K863" s="163"/>
      <c r="L863" s="163"/>
      <c r="M863" s="160"/>
      <c r="N863" s="162"/>
      <c r="O863" s="164"/>
      <c r="P863" s="140"/>
      <c r="Q863" s="327"/>
      <c r="R863" s="140"/>
    </row>
    <row r="864" ht="29.25" hidden="1" customHeight="1">
      <c r="A864" s="189"/>
      <c r="B864" s="323"/>
      <c r="C864" s="324"/>
      <c r="D864" s="325"/>
      <c r="E864" s="314"/>
      <c r="F864" s="166"/>
      <c r="G864" s="161"/>
      <c r="H864" s="161"/>
      <c r="I864" s="162"/>
      <c r="J864" s="163"/>
      <c r="K864" s="163"/>
      <c r="L864" s="163"/>
      <c r="M864" s="160"/>
      <c r="N864" s="162"/>
      <c r="O864" s="164"/>
      <c r="P864" s="140"/>
      <c r="Q864" s="321"/>
      <c r="R864" s="140"/>
    </row>
    <row r="865" ht="29.25" hidden="1" customHeight="1">
      <c r="A865" s="189"/>
      <c r="B865" s="323"/>
      <c r="C865" s="324"/>
      <c r="D865" s="325"/>
      <c r="E865" s="326"/>
      <c r="F865" s="166"/>
      <c r="G865" s="161"/>
      <c r="H865" s="161"/>
      <c r="I865" s="162"/>
      <c r="J865" s="163"/>
      <c r="K865" s="163"/>
      <c r="L865" s="163"/>
      <c r="M865" s="160"/>
      <c r="N865" s="162"/>
      <c r="O865" s="164"/>
      <c r="P865" s="140"/>
      <c r="Q865" s="327"/>
      <c r="R865" s="140"/>
    </row>
    <row r="866" ht="29.25" hidden="1" customHeight="1">
      <c r="A866" s="189"/>
      <c r="B866" s="323"/>
      <c r="C866" s="324"/>
      <c r="D866" s="325"/>
      <c r="E866" s="314"/>
      <c r="F866" s="166"/>
      <c r="G866" s="161"/>
      <c r="H866" s="161"/>
      <c r="I866" s="162"/>
      <c r="J866" s="163"/>
      <c r="K866" s="163"/>
      <c r="L866" s="163"/>
      <c r="M866" s="160"/>
      <c r="N866" s="162"/>
      <c r="O866" s="164"/>
      <c r="P866" s="140"/>
      <c r="Q866" s="321"/>
      <c r="R866" s="140"/>
    </row>
    <row r="867" ht="29.25" hidden="1" customHeight="1">
      <c r="A867" s="189"/>
      <c r="B867" s="323"/>
      <c r="C867" s="324"/>
      <c r="D867" s="325"/>
      <c r="E867" s="326"/>
      <c r="F867" s="166"/>
      <c r="G867" s="161"/>
      <c r="H867" s="161"/>
      <c r="I867" s="162"/>
      <c r="J867" s="163"/>
      <c r="K867" s="163"/>
      <c r="L867" s="163"/>
      <c r="M867" s="160"/>
      <c r="N867" s="162"/>
      <c r="O867" s="164"/>
      <c r="P867" s="140"/>
      <c r="Q867" s="327"/>
      <c r="R867" s="140"/>
    </row>
    <row r="868" ht="29.25" hidden="1" customHeight="1">
      <c r="A868" s="189"/>
      <c r="B868" s="323"/>
      <c r="C868" s="324"/>
      <c r="D868" s="325"/>
      <c r="E868" s="314"/>
      <c r="F868" s="166"/>
      <c r="G868" s="161"/>
      <c r="H868" s="161"/>
      <c r="I868" s="162"/>
      <c r="J868" s="163"/>
      <c r="K868" s="163"/>
      <c r="L868" s="163"/>
      <c r="M868" s="160"/>
      <c r="N868" s="162"/>
      <c r="O868" s="164"/>
      <c r="P868" s="140"/>
      <c r="Q868" s="321"/>
      <c r="R868" s="140"/>
    </row>
    <row r="869" ht="29.25" hidden="1" customHeight="1">
      <c r="A869" s="189"/>
      <c r="B869" s="323"/>
      <c r="C869" s="324"/>
      <c r="D869" s="325"/>
      <c r="E869" s="326"/>
      <c r="F869" s="166"/>
      <c r="G869" s="161"/>
      <c r="H869" s="161"/>
      <c r="I869" s="162"/>
      <c r="J869" s="163"/>
      <c r="K869" s="163"/>
      <c r="L869" s="163"/>
      <c r="M869" s="160"/>
      <c r="N869" s="162"/>
      <c r="O869" s="164"/>
      <c r="P869" s="140"/>
      <c r="Q869" s="327"/>
      <c r="R869" s="140"/>
    </row>
    <row r="870" ht="29.25" hidden="1" customHeight="1">
      <c r="A870" s="189"/>
      <c r="B870" s="323"/>
      <c r="C870" s="324"/>
      <c r="D870" s="325"/>
      <c r="E870" s="314"/>
      <c r="F870" s="166"/>
      <c r="G870" s="161"/>
      <c r="H870" s="161"/>
      <c r="I870" s="162"/>
      <c r="J870" s="163"/>
      <c r="K870" s="163"/>
      <c r="L870" s="163"/>
      <c r="M870" s="160"/>
      <c r="N870" s="162"/>
      <c r="O870" s="164"/>
      <c r="P870" s="140"/>
      <c r="Q870" s="321"/>
      <c r="R870" s="140"/>
    </row>
    <row r="871" ht="29.25" hidden="1" customHeight="1">
      <c r="A871" s="189"/>
      <c r="B871" s="323"/>
      <c r="C871" s="324"/>
      <c r="D871" s="325"/>
      <c r="E871" s="326"/>
      <c r="F871" s="166"/>
      <c r="G871" s="161"/>
      <c r="H871" s="161"/>
      <c r="I871" s="162"/>
      <c r="J871" s="163"/>
      <c r="K871" s="163"/>
      <c r="L871" s="163"/>
      <c r="M871" s="160"/>
      <c r="N871" s="162"/>
      <c r="O871" s="164"/>
      <c r="P871" s="140"/>
      <c r="Q871" s="327"/>
      <c r="R871" s="140"/>
    </row>
    <row r="872" ht="29.25" hidden="1" customHeight="1">
      <c r="A872" s="189"/>
      <c r="B872" s="323"/>
      <c r="C872" s="324"/>
      <c r="D872" s="325"/>
      <c r="E872" s="314"/>
      <c r="F872" s="166"/>
      <c r="G872" s="161"/>
      <c r="H872" s="161"/>
      <c r="I872" s="162"/>
      <c r="J872" s="163"/>
      <c r="K872" s="163"/>
      <c r="L872" s="163"/>
      <c r="M872" s="160"/>
      <c r="N872" s="162"/>
      <c r="O872" s="164"/>
      <c r="P872" s="140"/>
      <c r="Q872" s="321"/>
      <c r="R872" s="140"/>
    </row>
    <row r="873" ht="29.25" hidden="1" customHeight="1">
      <c r="A873" s="189"/>
      <c r="B873" s="323"/>
      <c r="C873" s="324"/>
      <c r="D873" s="325"/>
      <c r="E873" s="326"/>
      <c r="F873" s="166"/>
      <c r="G873" s="161"/>
      <c r="H873" s="161"/>
      <c r="I873" s="162"/>
      <c r="J873" s="163"/>
      <c r="K873" s="163"/>
      <c r="L873" s="163"/>
      <c r="M873" s="160"/>
      <c r="N873" s="162"/>
      <c r="O873" s="164"/>
      <c r="P873" s="140"/>
      <c r="Q873" s="327"/>
      <c r="R873" s="140"/>
    </row>
    <row r="874" ht="29.25" hidden="1" customHeight="1">
      <c r="A874" s="189"/>
      <c r="B874" s="323"/>
      <c r="C874" s="324"/>
      <c r="D874" s="325"/>
      <c r="E874" s="314"/>
      <c r="F874" s="166"/>
      <c r="G874" s="161"/>
      <c r="H874" s="161"/>
      <c r="I874" s="162"/>
      <c r="J874" s="163"/>
      <c r="K874" s="163"/>
      <c r="L874" s="163"/>
      <c r="M874" s="160"/>
      <c r="N874" s="162"/>
      <c r="O874" s="164"/>
      <c r="P874" s="140"/>
      <c r="Q874" s="321"/>
      <c r="R874" s="140"/>
    </row>
    <row r="875" ht="29.25" hidden="1" customHeight="1">
      <c r="A875" s="189"/>
      <c r="B875" s="323"/>
      <c r="C875" s="324"/>
      <c r="D875" s="325"/>
      <c r="E875" s="326"/>
      <c r="F875" s="166"/>
      <c r="G875" s="161"/>
      <c r="H875" s="161"/>
      <c r="I875" s="162"/>
      <c r="J875" s="163"/>
      <c r="K875" s="163"/>
      <c r="L875" s="163"/>
      <c r="M875" s="160"/>
      <c r="N875" s="162"/>
      <c r="O875" s="164"/>
      <c r="P875" s="140"/>
      <c r="Q875" s="327"/>
      <c r="R875" s="140"/>
    </row>
    <row r="876" ht="29.25" hidden="1" customHeight="1">
      <c r="A876" s="189"/>
      <c r="B876" s="323"/>
      <c r="C876" s="324"/>
      <c r="D876" s="325"/>
      <c r="E876" s="314"/>
      <c r="F876" s="166"/>
      <c r="G876" s="161"/>
      <c r="H876" s="161"/>
      <c r="I876" s="162"/>
      <c r="J876" s="163"/>
      <c r="K876" s="163"/>
      <c r="L876" s="163"/>
      <c r="M876" s="160"/>
      <c r="N876" s="162"/>
      <c r="O876" s="164"/>
      <c r="P876" s="140"/>
      <c r="Q876" s="321"/>
      <c r="R876" s="140"/>
    </row>
    <row r="877" ht="29.25" hidden="1" customHeight="1">
      <c r="A877" s="189"/>
      <c r="B877" s="323"/>
      <c r="C877" s="324"/>
      <c r="D877" s="325"/>
      <c r="E877" s="326"/>
      <c r="F877" s="166"/>
      <c r="G877" s="161"/>
      <c r="H877" s="161"/>
      <c r="I877" s="162"/>
      <c r="J877" s="163"/>
      <c r="K877" s="163"/>
      <c r="L877" s="163"/>
      <c r="M877" s="160"/>
      <c r="N877" s="162"/>
      <c r="O877" s="164"/>
      <c r="P877" s="140"/>
      <c r="Q877" s="327"/>
      <c r="R877" s="140"/>
    </row>
    <row r="878" ht="29.25" hidden="1" customHeight="1">
      <c r="A878" s="189"/>
      <c r="B878" s="323"/>
      <c r="C878" s="324"/>
      <c r="D878" s="325"/>
      <c r="E878" s="314"/>
      <c r="F878" s="166"/>
      <c r="G878" s="161"/>
      <c r="H878" s="161"/>
      <c r="I878" s="162"/>
      <c r="J878" s="163"/>
      <c r="K878" s="163"/>
      <c r="L878" s="163"/>
      <c r="M878" s="160"/>
      <c r="N878" s="162"/>
      <c r="O878" s="164"/>
      <c r="P878" s="140"/>
      <c r="Q878" s="321"/>
      <c r="R878" s="140"/>
    </row>
    <row r="879" ht="29.25" hidden="1" customHeight="1">
      <c r="A879" s="189"/>
      <c r="B879" s="323"/>
      <c r="C879" s="324"/>
      <c r="D879" s="325"/>
      <c r="E879" s="326"/>
      <c r="F879" s="166"/>
      <c r="G879" s="161"/>
      <c r="H879" s="161"/>
      <c r="I879" s="162"/>
      <c r="J879" s="163"/>
      <c r="K879" s="163"/>
      <c r="L879" s="163"/>
      <c r="M879" s="160"/>
      <c r="N879" s="162"/>
      <c r="O879" s="164"/>
      <c r="P879" s="140"/>
      <c r="Q879" s="327"/>
      <c r="R879" s="140"/>
    </row>
    <row r="880" ht="29.25" hidden="1" customHeight="1">
      <c r="A880" s="189"/>
      <c r="B880" s="323"/>
      <c r="C880" s="324"/>
      <c r="D880" s="325"/>
      <c r="E880" s="314"/>
      <c r="F880" s="166"/>
      <c r="G880" s="161"/>
      <c r="H880" s="161"/>
      <c r="I880" s="162"/>
      <c r="J880" s="163"/>
      <c r="K880" s="163"/>
      <c r="L880" s="163"/>
      <c r="M880" s="160"/>
      <c r="N880" s="162"/>
      <c r="O880" s="164"/>
      <c r="P880" s="140"/>
      <c r="Q880" s="321"/>
      <c r="R880" s="140"/>
    </row>
    <row r="881" ht="29.25" hidden="1" customHeight="1">
      <c r="A881" s="189"/>
      <c r="B881" s="323"/>
      <c r="C881" s="324"/>
      <c r="D881" s="325"/>
      <c r="E881" s="326"/>
      <c r="F881" s="166"/>
      <c r="G881" s="161"/>
      <c r="H881" s="161"/>
      <c r="I881" s="162"/>
      <c r="J881" s="163"/>
      <c r="K881" s="163"/>
      <c r="L881" s="163"/>
      <c r="M881" s="160"/>
      <c r="N881" s="162"/>
      <c r="O881" s="164"/>
      <c r="P881" s="140"/>
      <c r="Q881" s="327"/>
      <c r="R881" s="140"/>
    </row>
    <row r="882" ht="29.25" hidden="1" customHeight="1">
      <c r="A882" s="189"/>
      <c r="B882" s="323"/>
      <c r="C882" s="324"/>
      <c r="D882" s="325"/>
      <c r="E882" s="314"/>
      <c r="F882" s="166"/>
      <c r="G882" s="161"/>
      <c r="H882" s="161"/>
      <c r="I882" s="162"/>
      <c r="J882" s="163"/>
      <c r="K882" s="163"/>
      <c r="L882" s="163"/>
      <c r="M882" s="160"/>
      <c r="N882" s="162"/>
      <c r="O882" s="164"/>
      <c r="P882" s="140"/>
      <c r="Q882" s="321"/>
      <c r="R882" s="140"/>
    </row>
    <row r="883" ht="29.25" hidden="1" customHeight="1">
      <c r="A883" s="189"/>
      <c r="B883" s="323"/>
      <c r="C883" s="324"/>
      <c r="D883" s="325"/>
      <c r="E883" s="326"/>
      <c r="F883" s="166"/>
      <c r="G883" s="161"/>
      <c r="H883" s="161"/>
      <c r="I883" s="162"/>
      <c r="J883" s="163"/>
      <c r="K883" s="163"/>
      <c r="L883" s="163"/>
      <c r="M883" s="160"/>
      <c r="N883" s="162"/>
      <c r="O883" s="164"/>
      <c r="P883" s="140"/>
      <c r="Q883" s="327"/>
      <c r="R883" s="140"/>
    </row>
    <row r="884" ht="29.25" hidden="1" customHeight="1">
      <c r="A884" s="189"/>
      <c r="B884" s="323"/>
      <c r="C884" s="324"/>
      <c r="D884" s="325"/>
      <c r="E884" s="314"/>
      <c r="F884" s="166"/>
      <c r="G884" s="161"/>
      <c r="H884" s="161"/>
      <c r="I884" s="162"/>
      <c r="J884" s="163"/>
      <c r="K884" s="163"/>
      <c r="L884" s="163"/>
      <c r="M884" s="160"/>
      <c r="N884" s="162"/>
      <c r="O884" s="164"/>
      <c r="P884" s="140"/>
      <c r="Q884" s="321"/>
      <c r="R884" s="140"/>
    </row>
    <row r="885" ht="29.25" hidden="1" customHeight="1">
      <c r="A885" s="189"/>
      <c r="B885" s="323"/>
      <c r="C885" s="324"/>
      <c r="D885" s="325"/>
      <c r="E885" s="326"/>
      <c r="F885" s="166"/>
      <c r="G885" s="161"/>
      <c r="H885" s="161"/>
      <c r="I885" s="162"/>
      <c r="J885" s="163"/>
      <c r="K885" s="163"/>
      <c r="L885" s="163"/>
      <c r="M885" s="160"/>
      <c r="N885" s="162"/>
      <c r="O885" s="164"/>
      <c r="P885" s="140"/>
      <c r="Q885" s="327"/>
      <c r="R885" s="140"/>
    </row>
    <row r="886" ht="29.25" hidden="1" customHeight="1">
      <c r="A886" s="189"/>
      <c r="B886" s="323"/>
      <c r="C886" s="324"/>
      <c r="D886" s="325"/>
      <c r="E886" s="314"/>
      <c r="F886" s="166"/>
      <c r="G886" s="161"/>
      <c r="H886" s="161"/>
      <c r="I886" s="162"/>
      <c r="J886" s="163"/>
      <c r="K886" s="163"/>
      <c r="L886" s="163"/>
      <c r="M886" s="160"/>
      <c r="N886" s="162"/>
      <c r="O886" s="164"/>
      <c r="P886" s="140"/>
      <c r="Q886" s="321"/>
      <c r="R886" s="140"/>
    </row>
    <row r="887" ht="29.25" hidden="1" customHeight="1">
      <c r="A887" s="189"/>
      <c r="B887" s="323"/>
      <c r="C887" s="324"/>
      <c r="D887" s="325"/>
      <c r="E887" s="326"/>
      <c r="F887" s="166"/>
      <c r="G887" s="161"/>
      <c r="H887" s="161"/>
      <c r="I887" s="162"/>
      <c r="J887" s="163"/>
      <c r="K887" s="163"/>
      <c r="L887" s="163"/>
      <c r="M887" s="160"/>
      <c r="N887" s="162"/>
      <c r="O887" s="164"/>
      <c r="P887" s="140"/>
      <c r="Q887" s="327"/>
      <c r="R887" s="140"/>
    </row>
    <row r="888" ht="29.25" hidden="1" customHeight="1">
      <c r="A888" s="189"/>
      <c r="B888" s="323"/>
      <c r="C888" s="324"/>
      <c r="D888" s="325"/>
      <c r="E888" s="314"/>
      <c r="F888" s="166"/>
      <c r="G888" s="161"/>
      <c r="H888" s="161"/>
      <c r="I888" s="162"/>
      <c r="J888" s="163"/>
      <c r="K888" s="163"/>
      <c r="L888" s="163"/>
      <c r="M888" s="160"/>
      <c r="N888" s="162"/>
      <c r="O888" s="164"/>
      <c r="P888" s="140"/>
      <c r="Q888" s="321"/>
      <c r="R888" s="140"/>
    </row>
    <row r="889" ht="29.25" hidden="1" customHeight="1">
      <c r="A889" s="189"/>
      <c r="B889" s="323"/>
      <c r="C889" s="324"/>
      <c r="D889" s="325"/>
      <c r="E889" s="326"/>
      <c r="F889" s="166"/>
      <c r="G889" s="161"/>
      <c r="H889" s="161"/>
      <c r="I889" s="162"/>
      <c r="J889" s="163"/>
      <c r="K889" s="163"/>
      <c r="L889" s="163"/>
      <c r="M889" s="160"/>
      <c r="N889" s="162"/>
      <c r="O889" s="164"/>
      <c r="P889" s="140"/>
      <c r="Q889" s="327"/>
      <c r="R889" s="140"/>
    </row>
    <row r="890" ht="29.25" hidden="1" customHeight="1">
      <c r="A890" s="189"/>
      <c r="B890" s="323"/>
      <c r="C890" s="324"/>
      <c r="D890" s="325"/>
      <c r="E890" s="314"/>
      <c r="F890" s="166"/>
      <c r="G890" s="161"/>
      <c r="H890" s="161"/>
      <c r="I890" s="162"/>
      <c r="J890" s="163"/>
      <c r="K890" s="163"/>
      <c r="L890" s="163"/>
      <c r="M890" s="160"/>
      <c r="N890" s="162"/>
      <c r="O890" s="164"/>
      <c r="P890" s="140"/>
      <c r="Q890" s="321"/>
      <c r="R890" s="140"/>
    </row>
    <row r="891" ht="29.25" hidden="1" customHeight="1">
      <c r="A891" s="189"/>
      <c r="B891" s="323"/>
      <c r="C891" s="324"/>
      <c r="D891" s="325"/>
      <c r="E891" s="326"/>
      <c r="F891" s="166"/>
      <c r="G891" s="161"/>
      <c r="H891" s="161"/>
      <c r="I891" s="162"/>
      <c r="J891" s="163"/>
      <c r="K891" s="163"/>
      <c r="L891" s="163"/>
      <c r="M891" s="160"/>
      <c r="N891" s="162"/>
      <c r="O891" s="164"/>
      <c r="P891" s="140"/>
      <c r="Q891" s="327"/>
      <c r="R891" s="140"/>
    </row>
    <row r="892" ht="29.25" hidden="1" customHeight="1">
      <c r="A892" s="189"/>
      <c r="B892" s="323"/>
      <c r="C892" s="324"/>
      <c r="D892" s="325"/>
      <c r="E892" s="314"/>
      <c r="F892" s="166"/>
      <c r="G892" s="161"/>
      <c r="H892" s="161"/>
      <c r="I892" s="162"/>
      <c r="J892" s="163"/>
      <c r="K892" s="163"/>
      <c r="L892" s="163"/>
      <c r="M892" s="160"/>
      <c r="N892" s="162"/>
      <c r="O892" s="164"/>
      <c r="P892" s="140"/>
      <c r="Q892" s="321"/>
      <c r="R892" s="140"/>
    </row>
    <row r="893" ht="29.25" hidden="1" customHeight="1">
      <c r="A893" s="189"/>
      <c r="B893" s="323"/>
      <c r="C893" s="324"/>
      <c r="D893" s="325"/>
      <c r="E893" s="326"/>
      <c r="F893" s="166"/>
      <c r="G893" s="161"/>
      <c r="H893" s="161"/>
      <c r="I893" s="162"/>
      <c r="J893" s="163"/>
      <c r="K893" s="163"/>
      <c r="L893" s="163"/>
      <c r="M893" s="160"/>
      <c r="N893" s="162"/>
      <c r="O893" s="164"/>
      <c r="P893" s="140"/>
      <c r="Q893" s="327"/>
      <c r="R893" s="140"/>
    </row>
    <row r="894" ht="29.25" hidden="1" customHeight="1">
      <c r="A894" s="189"/>
      <c r="B894" s="323"/>
      <c r="C894" s="324"/>
      <c r="D894" s="325"/>
      <c r="E894" s="314"/>
      <c r="F894" s="166"/>
      <c r="G894" s="161"/>
      <c r="H894" s="161"/>
      <c r="I894" s="162"/>
      <c r="J894" s="163"/>
      <c r="K894" s="163"/>
      <c r="L894" s="163"/>
      <c r="M894" s="160"/>
      <c r="N894" s="162"/>
      <c r="O894" s="164"/>
      <c r="P894" s="140"/>
      <c r="Q894" s="321"/>
      <c r="R894" s="140"/>
    </row>
    <row r="895" ht="29.25" hidden="1" customHeight="1">
      <c r="A895" s="189"/>
      <c r="B895" s="323"/>
      <c r="C895" s="324"/>
      <c r="D895" s="325"/>
      <c r="E895" s="326"/>
      <c r="F895" s="166"/>
      <c r="G895" s="161"/>
      <c r="H895" s="161"/>
      <c r="I895" s="162"/>
      <c r="J895" s="163"/>
      <c r="K895" s="163"/>
      <c r="L895" s="163"/>
      <c r="M895" s="160"/>
      <c r="N895" s="162"/>
      <c r="O895" s="164"/>
      <c r="P895" s="140"/>
      <c r="Q895" s="327"/>
      <c r="R895" s="140"/>
    </row>
    <row r="896" ht="29.25" hidden="1" customHeight="1">
      <c r="A896" s="189"/>
      <c r="B896" s="323"/>
      <c r="C896" s="324"/>
      <c r="D896" s="325"/>
      <c r="E896" s="314"/>
      <c r="F896" s="166"/>
      <c r="G896" s="161"/>
      <c r="H896" s="161"/>
      <c r="I896" s="162"/>
      <c r="J896" s="163"/>
      <c r="K896" s="163"/>
      <c r="L896" s="163"/>
      <c r="M896" s="160"/>
      <c r="N896" s="162"/>
      <c r="O896" s="164"/>
      <c r="P896" s="140"/>
      <c r="Q896" s="321"/>
      <c r="R896" s="140"/>
    </row>
    <row r="897" ht="29.25" hidden="1" customHeight="1">
      <c r="A897" s="189"/>
      <c r="B897" s="323"/>
      <c r="C897" s="324"/>
      <c r="D897" s="325"/>
      <c r="E897" s="326"/>
      <c r="F897" s="166"/>
      <c r="G897" s="161"/>
      <c r="H897" s="161"/>
      <c r="I897" s="162"/>
      <c r="J897" s="163"/>
      <c r="K897" s="163"/>
      <c r="L897" s="163"/>
      <c r="M897" s="160"/>
      <c r="N897" s="162"/>
      <c r="O897" s="164"/>
      <c r="P897" s="140"/>
      <c r="Q897" s="327"/>
      <c r="R897" s="140"/>
    </row>
    <row r="898" ht="29.25" hidden="1" customHeight="1">
      <c r="A898" s="189"/>
      <c r="B898" s="323"/>
      <c r="C898" s="324"/>
      <c r="D898" s="325"/>
      <c r="E898" s="314"/>
      <c r="F898" s="166"/>
      <c r="G898" s="161"/>
      <c r="H898" s="161"/>
      <c r="I898" s="162"/>
      <c r="J898" s="163"/>
      <c r="K898" s="163"/>
      <c r="L898" s="163"/>
      <c r="M898" s="160"/>
      <c r="N898" s="162"/>
      <c r="O898" s="164"/>
      <c r="P898" s="140"/>
      <c r="Q898" s="321"/>
      <c r="R898" s="140"/>
    </row>
    <row r="899" ht="29.25" hidden="1" customHeight="1">
      <c r="A899" s="189"/>
      <c r="B899" s="323"/>
      <c r="C899" s="324"/>
      <c r="D899" s="325"/>
      <c r="E899" s="326"/>
      <c r="F899" s="166"/>
      <c r="G899" s="161"/>
      <c r="H899" s="161"/>
      <c r="I899" s="162"/>
      <c r="J899" s="163"/>
      <c r="K899" s="163"/>
      <c r="L899" s="163"/>
      <c r="M899" s="160"/>
      <c r="N899" s="162"/>
      <c r="O899" s="164"/>
      <c r="P899" s="140"/>
      <c r="Q899" s="327"/>
      <c r="R899" s="140"/>
    </row>
    <row r="900" ht="29.25" hidden="1" customHeight="1">
      <c r="A900" s="189"/>
      <c r="B900" s="323"/>
      <c r="C900" s="324"/>
      <c r="D900" s="325"/>
      <c r="E900" s="314"/>
      <c r="F900" s="166"/>
      <c r="G900" s="161"/>
      <c r="H900" s="161"/>
      <c r="I900" s="162"/>
      <c r="J900" s="163"/>
      <c r="K900" s="163"/>
      <c r="L900" s="163"/>
      <c r="M900" s="160"/>
      <c r="N900" s="162"/>
      <c r="O900" s="164"/>
      <c r="P900" s="140"/>
      <c r="Q900" s="321"/>
      <c r="R900" s="140"/>
    </row>
    <row r="901" ht="29.25" hidden="1" customHeight="1">
      <c r="A901" s="189"/>
      <c r="B901" s="323"/>
      <c r="C901" s="324"/>
      <c r="D901" s="325"/>
      <c r="E901" s="326"/>
      <c r="F901" s="166"/>
      <c r="G901" s="161"/>
      <c r="H901" s="161"/>
      <c r="I901" s="162"/>
      <c r="J901" s="163"/>
      <c r="K901" s="163"/>
      <c r="L901" s="163"/>
      <c r="M901" s="160"/>
      <c r="N901" s="162"/>
      <c r="O901" s="164"/>
      <c r="P901" s="140"/>
      <c r="Q901" s="327"/>
      <c r="R901" s="140"/>
    </row>
    <row r="902" ht="29.25" hidden="1" customHeight="1">
      <c r="A902" s="189"/>
      <c r="B902" s="323"/>
      <c r="C902" s="324"/>
      <c r="D902" s="325"/>
      <c r="E902" s="314"/>
      <c r="F902" s="166"/>
      <c r="G902" s="161"/>
      <c r="H902" s="161"/>
      <c r="I902" s="162"/>
      <c r="J902" s="163"/>
      <c r="K902" s="163"/>
      <c r="L902" s="163"/>
      <c r="M902" s="160"/>
      <c r="N902" s="162"/>
      <c r="O902" s="164"/>
      <c r="P902" s="140"/>
      <c r="Q902" s="321"/>
      <c r="R902" s="140"/>
    </row>
    <row r="903" ht="29.25" hidden="1" customHeight="1">
      <c r="A903" s="189"/>
      <c r="B903" s="323"/>
      <c r="C903" s="324"/>
      <c r="D903" s="325"/>
      <c r="E903" s="326"/>
      <c r="F903" s="166"/>
      <c r="G903" s="161"/>
      <c r="H903" s="161"/>
      <c r="I903" s="162"/>
      <c r="J903" s="163"/>
      <c r="K903" s="163"/>
      <c r="L903" s="163"/>
      <c r="M903" s="160"/>
      <c r="N903" s="162"/>
      <c r="O903" s="164"/>
      <c r="P903" s="140"/>
      <c r="Q903" s="327"/>
      <c r="R903" s="140"/>
    </row>
    <row r="904" ht="29.25" hidden="1" customHeight="1">
      <c r="A904" s="189"/>
      <c r="B904" s="323"/>
      <c r="C904" s="324"/>
      <c r="D904" s="325"/>
      <c r="E904" s="314"/>
      <c r="F904" s="166"/>
      <c r="G904" s="161"/>
      <c r="H904" s="161"/>
      <c r="I904" s="162"/>
      <c r="J904" s="163"/>
      <c r="K904" s="163"/>
      <c r="L904" s="163"/>
      <c r="M904" s="160"/>
      <c r="N904" s="162"/>
      <c r="O904" s="164"/>
      <c r="P904" s="140"/>
      <c r="Q904" s="321"/>
      <c r="R904" s="140"/>
    </row>
    <row r="905" ht="29.25" hidden="1" customHeight="1">
      <c r="A905" s="189"/>
      <c r="B905" s="323"/>
      <c r="C905" s="324"/>
      <c r="D905" s="325"/>
      <c r="E905" s="326"/>
      <c r="F905" s="166"/>
      <c r="G905" s="161"/>
      <c r="H905" s="161"/>
      <c r="I905" s="162"/>
      <c r="J905" s="163"/>
      <c r="K905" s="163"/>
      <c r="L905" s="163"/>
      <c r="M905" s="160"/>
      <c r="N905" s="162"/>
      <c r="O905" s="164"/>
      <c r="P905" s="140"/>
      <c r="Q905" s="327"/>
      <c r="R905" s="140"/>
    </row>
    <row r="906" ht="29.25" hidden="1" customHeight="1">
      <c r="A906" s="189"/>
      <c r="B906" s="323"/>
      <c r="C906" s="324"/>
      <c r="D906" s="325"/>
      <c r="E906" s="314"/>
      <c r="F906" s="166"/>
      <c r="G906" s="161"/>
      <c r="H906" s="161"/>
      <c r="I906" s="162"/>
      <c r="J906" s="163"/>
      <c r="K906" s="163"/>
      <c r="L906" s="163"/>
      <c r="M906" s="160"/>
      <c r="N906" s="162"/>
      <c r="O906" s="164"/>
      <c r="P906" s="140"/>
      <c r="Q906" s="321"/>
      <c r="R906" s="140"/>
    </row>
    <row r="907" ht="29.25" hidden="1" customHeight="1">
      <c r="A907" s="189"/>
      <c r="B907" s="323"/>
      <c r="C907" s="324"/>
      <c r="D907" s="325"/>
      <c r="E907" s="326"/>
      <c r="F907" s="166"/>
      <c r="G907" s="161"/>
      <c r="H907" s="161"/>
      <c r="I907" s="162"/>
      <c r="J907" s="163"/>
      <c r="K907" s="163"/>
      <c r="L907" s="163"/>
      <c r="M907" s="160"/>
      <c r="N907" s="162"/>
      <c r="O907" s="164"/>
      <c r="P907" s="140"/>
      <c r="Q907" s="327"/>
      <c r="R907" s="140"/>
    </row>
    <row r="908" ht="29.25" hidden="1" customHeight="1">
      <c r="A908" s="189"/>
      <c r="B908" s="323"/>
      <c r="C908" s="324"/>
      <c r="D908" s="325"/>
      <c r="E908" s="314"/>
      <c r="F908" s="166"/>
      <c r="G908" s="161"/>
      <c r="H908" s="161"/>
      <c r="I908" s="162"/>
      <c r="J908" s="163"/>
      <c r="K908" s="163"/>
      <c r="L908" s="163"/>
      <c r="M908" s="160"/>
      <c r="N908" s="162"/>
      <c r="O908" s="164"/>
      <c r="P908" s="140"/>
      <c r="Q908" s="321"/>
      <c r="R908" s="140"/>
    </row>
    <row r="909" ht="29.25" hidden="1" customHeight="1">
      <c r="A909" s="189"/>
      <c r="B909" s="323"/>
      <c r="C909" s="324"/>
      <c r="D909" s="325"/>
      <c r="E909" s="326"/>
      <c r="F909" s="166"/>
      <c r="G909" s="161"/>
      <c r="H909" s="161"/>
      <c r="I909" s="162"/>
      <c r="J909" s="163"/>
      <c r="K909" s="163"/>
      <c r="L909" s="163"/>
      <c r="M909" s="160"/>
      <c r="N909" s="162"/>
      <c r="O909" s="164"/>
      <c r="P909" s="140"/>
      <c r="Q909" s="327"/>
      <c r="R909" s="140"/>
    </row>
    <row r="910" ht="29.25" hidden="1" customHeight="1">
      <c r="A910" s="189"/>
      <c r="B910" s="323"/>
      <c r="C910" s="324"/>
      <c r="D910" s="325"/>
      <c r="E910" s="314"/>
      <c r="F910" s="166"/>
      <c r="G910" s="161"/>
      <c r="H910" s="161"/>
      <c r="I910" s="162"/>
      <c r="J910" s="163"/>
      <c r="K910" s="163"/>
      <c r="L910" s="163"/>
      <c r="M910" s="160"/>
      <c r="N910" s="162"/>
      <c r="O910" s="164"/>
      <c r="P910" s="140"/>
      <c r="Q910" s="321"/>
      <c r="R910" s="140"/>
    </row>
    <row r="911" ht="29.25" hidden="1" customHeight="1">
      <c r="A911" s="189"/>
      <c r="B911" s="323"/>
      <c r="C911" s="324"/>
      <c r="D911" s="325"/>
      <c r="E911" s="326"/>
      <c r="F911" s="166"/>
      <c r="G911" s="161"/>
      <c r="H911" s="161"/>
      <c r="I911" s="162"/>
      <c r="J911" s="163"/>
      <c r="K911" s="163"/>
      <c r="L911" s="163"/>
      <c r="M911" s="160"/>
      <c r="N911" s="162"/>
      <c r="O911" s="164"/>
      <c r="P911" s="140"/>
      <c r="Q911" s="327"/>
      <c r="R911" s="140"/>
    </row>
    <row r="912" ht="29.25" hidden="1" customHeight="1">
      <c r="A912" s="189"/>
      <c r="B912" s="323"/>
      <c r="C912" s="324"/>
      <c r="D912" s="325"/>
      <c r="E912" s="314"/>
      <c r="F912" s="166"/>
      <c r="G912" s="161"/>
      <c r="H912" s="161"/>
      <c r="I912" s="162"/>
      <c r="J912" s="163"/>
      <c r="K912" s="163"/>
      <c r="L912" s="163"/>
      <c r="M912" s="160"/>
      <c r="N912" s="162"/>
      <c r="O912" s="164"/>
      <c r="P912" s="140"/>
      <c r="Q912" s="321"/>
      <c r="R912" s="140"/>
    </row>
    <row r="913" ht="29.25" hidden="1" customHeight="1">
      <c r="A913" s="189"/>
      <c r="B913" s="323"/>
      <c r="C913" s="324"/>
      <c r="D913" s="325"/>
      <c r="E913" s="326"/>
      <c r="F913" s="166"/>
      <c r="G913" s="161"/>
      <c r="H913" s="161"/>
      <c r="I913" s="162"/>
      <c r="J913" s="163"/>
      <c r="K913" s="163"/>
      <c r="L913" s="163"/>
      <c r="M913" s="160"/>
      <c r="N913" s="162"/>
      <c r="O913" s="164"/>
      <c r="P913" s="140"/>
      <c r="Q913" s="327"/>
      <c r="R913" s="140"/>
    </row>
    <row r="914" ht="29.25" hidden="1" customHeight="1">
      <c r="A914" s="189"/>
      <c r="B914" s="323"/>
      <c r="C914" s="324"/>
      <c r="D914" s="325"/>
      <c r="E914" s="314"/>
      <c r="F914" s="166"/>
      <c r="G914" s="161"/>
      <c r="H914" s="161"/>
      <c r="I914" s="162"/>
      <c r="J914" s="163"/>
      <c r="K914" s="163"/>
      <c r="L914" s="163"/>
      <c r="M914" s="160"/>
      <c r="N914" s="162"/>
      <c r="O914" s="164"/>
      <c r="P914" s="140"/>
      <c r="Q914" s="321"/>
      <c r="R914" s="140"/>
    </row>
    <row r="915" ht="29.25" hidden="1" customHeight="1">
      <c r="A915" s="189"/>
      <c r="B915" s="323"/>
      <c r="C915" s="324"/>
      <c r="D915" s="325"/>
      <c r="E915" s="326"/>
      <c r="F915" s="166"/>
      <c r="G915" s="161"/>
      <c r="H915" s="161"/>
      <c r="I915" s="162"/>
      <c r="J915" s="163"/>
      <c r="K915" s="163"/>
      <c r="L915" s="163"/>
      <c r="M915" s="160"/>
      <c r="N915" s="162"/>
      <c r="O915" s="164"/>
      <c r="P915" s="140"/>
      <c r="Q915" s="327"/>
      <c r="R915" s="140"/>
    </row>
    <row r="916" ht="29.25" hidden="1" customHeight="1">
      <c r="A916" s="189"/>
      <c r="B916" s="323"/>
      <c r="C916" s="324"/>
      <c r="D916" s="325"/>
      <c r="E916" s="314"/>
      <c r="F916" s="166"/>
      <c r="G916" s="161"/>
      <c r="H916" s="161"/>
      <c r="I916" s="162"/>
      <c r="J916" s="163"/>
      <c r="K916" s="163"/>
      <c r="L916" s="163"/>
      <c r="M916" s="160"/>
      <c r="N916" s="162"/>
      <c r="O916" s="164"/>
      <c r="P916" s="140"/>
      <c r="Q916" s="321"/>
      <c r="R916" s="140"/>
    </row>
    <row r="917" ht="29.25" hidden="1" customHeight="1">
      <c r="A917" s="189"/>
      <c r="B917" s="323"/>
      <c r="C917" s="324"/>
      <c r="D917" s="325"/>
      <c r="E917" s="326"/>
      <c r="F917" s="166"/>
      <c r="G917" s="161"/>
      <c r="H917" s="161"/>
      <c r="I917" s="162"/>
      <c r="J917" s="163"/>
      <c r="K917" s="163"/>
      <c r="L917" s="163"/>
      <c r="M917" s="160"/>
      <c r="N917" s="162"/>
      <c r="O917" s="164"/>
      <c r="P917" s="140"/>
      <c r="Q917" s="327"/>
      <c r="R917" s="140"/>
    </row>
    <row r="918" ht="29.25" hidden="1" customHeight="1">
      <c r="A918" s="189"/>
      <c r="B918" s="323"/>
      <c r="C918" s="324"/>
      <c r="D918" s="325"/>
      <c r="E918" s="314"/>
      <c r="F918" s="166"/>
      <c r="G918" s="161"/>
      <c r="H918" s="161"/>
      <c r="I918" s="162"/>
      <c r="J918" s="163"/>
      <c r="K918" s="163"/>
      <c r="L918" s="163"/>
      <c r="M918" s="160"/>
      <c r="N918" s="162"/>
      <c r="O918" s="164"/>
      <c r="P918" s="140"/>
      <c r="Q918" s="321"/>
      <c r="R918" s="140"/>
    </row>
    <row r="919" ht="29.25" hidden="1" customHeight="1">
      <c r="A919" s="189"/>
      <c r="B919" s="323"/>
      <c r="C919" s="324"/>
      <c r="D919" s="325"/>
      <c r="E919" s="326"/>
      <c r="F919" s="166"/>
      <c r="G919" s="161"/>
      <c r="H919" s="161"/>
      <c r="I919" s="162"/>
      <c r="J919" s="163"/>
      <c r="K919" s="163"/>
      <c r="L919" s="163"/>
      <c r="M919" s="160"/>
      <c r="N919" s="162"/>
      <c r="O919" s="164"/>
      <c r="P919" s="140"/>
      <c r="Q919" s="327"/>
      <c r="R919" s="140"/>
    </row>
    <row r="920" ht="29.25" hidden="1" customHeight="1">
      <c r="A920" s="189"/>
      <c r="B920" s="323"/>
      <c r="C920" s="324"/>
      <c r="D920" s="325"/>
      <c r="E920" s="314"/>
      <c r="F920" s="166"/>
      <c r="G920" s="161"/>
      <c r="H920" s="161"/>
      <c r="I920" s="162"/>
      <c r="J920" s="163"/>
      <c r="K920" s="163"/>
      <c r="L920" s="163"/>
      <c r="M920" s="160"/>
      <c r="N920" s="162"/>
      <c r="O920" s="164"/>
      <c r="P920" s="140"/>
      <c r="Q920" s="321"/>
      <c r="R920" s="140"/>
    </row>
    <row r="921" ht="29.25" hidden="1" customHeight="1">
      <c r="A921" s="189"/>
      <c r="B921" s="323"/>
      <c r="C921" s="324"/>
      <c r="D921" s="325"/>
      <c r="E921" s="326"/>
      <c r="F921" s="166"/>
      <c r="G921" s="161"/>
      <c r="H921" s="161"/>
      <c r="I921" s="162"/>
      <c r="J921" s="163"/>
      <c r="K921" s="163"/>
      <c r="L921" s="163"/>
      <c r="M921" s="160"/>
      <c r="N921" s="162"/>
      <c r="O921" s="164"/>
      <c r="P921" s="140"/>
      <c r="Q921" s="327"/>
      <c r="R921" s="140"/>
    </row>
    <row r="922" ht="29.25" hidden="1" customHeight="1">
      <c r="A922" s="189"/>
      <c r="B922" s="323"/>
      <c r="C922" s="324"/>
      <c r="D922" s="325"/>
      <c r="E922" s="314"/>
      <c r="F922" s="166"/>
      <c r="G922" s="161"/>
      <c r="H922" s="161"/>
      <c r="I922" s="162"/>
      <c r="J922" s="163"/>
      <c r="K922" s="163"/>
      <c r="L922" s="163"/>
      <c r="M922" s="160"/>
      <c r="N922" s="162"/>
      <c r="O922" s="164"/>
      <c r="P922" s="140"/>
      <c r="Q922" s="321"/>
      <c r="R922" s="140"/>
    </row>
    <row r="923" ht="29.25" hidden="1" customHeight="1">
      <c r="A923" s="189"/>
      <c r="B923" s="323"/>
      <c r="C923" s="324"/>
      <c r="D923" s="325"/>
      <c r="E923" s="326"/>
      <c r="F923" s="166"/>
      <c r="G923" s="161"/>
      <c r="H923" s="161"/>
      <c r="I923" s="162"/>
      <c r="J923" s="163"/>
      <c r="K923" s="163"/>
      <c r="L923" s="163"/>
      <c r="M923" s="160"/>
      <c r="N923" s="162"/>
      <c r="O923" s="164"/>
      <c r="P923" s="140"/>
      <c r="Q923" s="327"/>
      <c r="R923" s="140"/>
    </row>
    <row r="924" ht="29.25" hidden="1" customHeight="1">
      <c r="A924" s="189"/>
      <c r="B924" s="323"/>
      <c r="C924" s="324"/>
      <c r="D924" s="325"/>
      <c r="E924" s="314"/>
      <c r="F924" s="166"/>
      <c r="G924" s="161"/>
      <c r="H924" s="161"/>
      <c r="I924" s="162"/>
      <c r="J924" s="163"/>
      <c r="K924" s="163"/>
      <c r="L924" s="163"/>
      <c r="M924" s="160"/>
      <c r="N924" s="162"/>
      <c r="O924" s="164"/>
      <c r="P924" s="140"/>
      <c r="Q924" s="321"/>
      <c r="R924" s="140"/>
    </row>
    <row r="925" ht="29.25" hidden="1" customHeight="1">
      <c r="A925" s="189"/>
      <c r="B925" s="323"/>
      <c r="C925" s="324"/>
      <c r="D925" s="325"/>
      <c r="E925" s="326"/>
      <c r="F925" s="166"/>
      <c r="G925" s="161"/>
      <c r="H925" s="161"/>
      <c r="I925" s="162"/>
      <c r="J925" s="163"/>
      <c r="K925" s="163"/>
      <c r="L925" s="163"/>
      <c r="M925" s="160"/>
      <c r="N925" s="162"/>
      <c r="O925" s="164"/>
      <c r="P925" s="140"/>
      <c r="Q925" s="327"/>
      <c r="R925" s="140"/>
    </row>
    <row r="926" ht="29.25" hidden="1" customHeight="1">
      <c r="A926" s="189"/>
      <c r="B926" s="323"/>
      <c r="C926" s="324"/>
      <c r="D926" s="325"/>
      <c r="E926" s="314"/>
      <c r="F926" s="166"/>
      <c r="G926" s="161"/>
      <c r="H926" s="161"/>
      <c r="I926" s="162"/>
      <c r="J926" s="163"/>
      <c r="K926" s="163"/>
      <c r="L926" s="163"/>
      <c r="M926" s="160"/>
      <c r="N926" s="162"/>
      <c r="O926" s="164"/>
      <c r="P926" s="140"/>
      <c r="Q926" s="321"/>
      <c r="R926" s="140"/>
    </row>
    <row r="927" ht="29.25" hidden="1" customHeight="1">
      <c r="A927" s="189"/>
      <c r="B927" s="323"/>
      <c r="C927" s="324"/>
      <c r="D927" s="325"/>
      <c r="E927" s="326"/>
      <c r="F927" s="166"/>
      <c r="G927" s="161"/>
      <c r="H927" s="161"/>
      <c r="I927" s="162"/>
      <c r="J927" s="163"/>
      <c r="K927" s="163"/>
      <c r="L927" s="163"/>
      <c r="M927" s="160"/>
      <c r="N927" s="162"/>
      <c r="O927" s="164"/>
      <c r="P927" s="140"/>
      <c r="Q927" s="327"/>
      <c r="R927" s="140"/>
    </row>
    <row r="928" ht="29.25" hidden="1" customHeight="1">
      <c r="A928" s="189"/>
      <c r="B928" s="323"/>
      <c r="C928" s="324"/>
      <c r="D928" s="325"/>
      <c r="E928" s="314"/>
      <c r="F928" s="166"/>
      <c r="G928" s="161"/>
      <c r="H928" s="161"/>
      <c r="I928" s="162"/>
      <c r="J928" s="163"/>
      <c r="K928" s="163"/>
      <c r="L928" s="163"/>
      <c r="M928" s="160"/>
      <c r="N928" s="162"/>
      <c r="O928" s="164"/>
      <c r="P928" s="140"/>
      <c r="Q928" s="321"/>
      <c r="R928" s="140"/>
    </row>
    <row r="929" ht="29.25" hidden="1" customHeight="1">
      <c r="A929" s="189"/>
      <c r="B929" s="323"/>
      <c r="C929" s="324"/>
      <c r="D929" s="325"/>
      <c r="E929" s="326"/>
      <c r="F929" s="166"/>
      <c r="G929" s="161"/>
      <c r="H929" s="161"/>
      <c r="I929" s="162"/>
      <c r="J929" s="163"/>
      <c r="K929" s="163"/>
      <c r="L929" s="163"/>
      <c r="M929" s="160"/>
      <c r="N929" s="162"/>
      <c r="O929" s="164"/>
      <c r="P929" s="140"/>
      <c r="Q929" s="327"/>
      <c r="R929" s="140"/>
    </row>
    <row r="930" ht="29.25" hidden="1" customHeight="1">
      <c r="A930" s="189"/>
      <c r="B930" s="323"/>
      <c r="C930" s="324"/>
      <c r="D930" s="325"/>
      <c r="E930" s="314"/>
      <c r="F930" s="166"/>
      <c r="G930" s="161"/>
      <c r="H930" s="161"/>
      <c r="I930" s="162"/>
      <c r="J930" s="163"/>
      <c r="K930" s="163"/>
      <c r="L930" s="163"/>
      <c r="M930" s="160"/>
      <c r="N930" s="162"/>
      <c r="O930" s="164"/>
      <c r="P930" s="140"/>
      <c r="Q930" s="321"/>
      <c r="R930" s="140"/>
    </row>
    <row r="931" ht="29.25" hidden="1" customHeight="1">
      <c r="A931" s="189"/>
      <c r="B931" s="323"/>
      <c r="C931" s="324"/>
      <c r="D931" s="325"/>
      <c r="E931" s="326"/>
      <c r="F931" s="166"/>
      <c r="G931" s="161"/>
      <c r="H931" s="161"/>
      <c r="I931" s="162"/>
      <c r="J931" s="163"/>
      <c r="K931" s="163"/>
      <c r="L931" s="163"/>
      <c r="M931" s="160"/>
      <c r="N931" s="162"/>
      <c r="O931" s="164"/>
      <c r="P931" s="140"/>
      <c r="Q931" s="327"/>
      <c r="R931" s="140"/>
    </row>
    <row r="932" ht="29.25" hidden="1" customHeight="1">
      <c r="A932" s="189"/>
      <c r="B932" s="323"/>
      <c r="C932" s="324"/>
      <c r="D932" s="325"/>
      <c r="E932" s="314"/>
      <c r="F932" s="166"/>
      <c r="G932" s="161"/>
      <c r="H932" s="161"/>
      <c r="I932" s="162"/>
      <c r="J932" s="163"/>
      <c r="K932" s="163"/>
      <c r="L932" s="163"/>
      <c r="M932" s="160"/>
      <c r="N932" s="162"/>
      <c r="O932" s="164"/>
      <c r="P932" s="140"/>
      <c r="Q932" s="321"/>
      <c r="R932" s="140"/>
    </row>
    <row r="933" ht="29.25" hidden="1" customHeight="1">
      <c r="A933" s="189"/>
      <c r="B933" s="323"/>
      <c r="C933" s="324"/>
      <c r="D933" s="325"/>
      <c r="E933" s="326"/>
      <c r="F933" s="166"/>
      <c r="G933" s="161"/>
      <c r="H933" s="161"/>
      <c r="I933" s="162"/>
      <c r="J933" s="163"/>
      <c r="K933" s="163"/>
      <c r="L933" s="163"/>
      <c r="M933" s="160"/>
      <c r="N933" s="162"/>
      <c r="O933" s="164"/>
      <c r="P933" s="140"/>
      <c r="Q933" s="327"/>
      <c r="R933" s="140"/>
    </row>
    <row r="934" ht="29.25" hidden="1" customHeight="1">
      <c r="A934" s="189"/>
      <c r="B934" s="323"/>
      <c r="C934" s="324"/>
      <c r="D934" s="325"/>
      <c r="E934" s="314"/>
      <c r="F934" s="166"/>
      <c r="G934" s="161"/>
      <c r="H934" s="161"/>
      <c r="I934" s="162"/>
      <c r="J934" s="163"/>
      <c r="K934" s="163"/>
      <c r="L934" s="163"/>
      <c r="M934" s="160"/>
      <c r="N934" s="162"/>
      <c r="O934" s="164"/>
      <c r="P934" s="140"/>
      <c r="Q934" s="321"/>
      <c r="R934" s="140"/>
    </row>
    <row r="935" ht="29.25" hidden="1" customHeight="1">
      <c r="A935" s="189"/>
      <c r="B935" s="323"/>
      <c r="C935" s="324"/>
      <c r="D935" s="325"/>
      <c r="E935" s="326"/>
      <c r="F935" s="166"/>
      <c r="G935" s="161"/>
      <c r="H935" s="161"/>
      <c r="I935" s="162"/>
      <c r="J935" s="163"/>
      <c r="K935" s="163"/>
      <c r="L935" s="163"/>
      <c r="M935" s="160"/>
      <c r="N935" s="162"/>
      <c r="O935" s="164"/>
      <c r="P935" s="140"/>
      <c r="Q935" s="327"/>
      <c r="R935" s="140"/>
    </row>
    <row r="936" ht="29.25" hidden="1" customHeight="1">
      <c r="A936" s="189"/>
      <c r="B936" s="323"/>
      <c r="C936" s="324"/>
      <c r="D936" s="325"/>
      <c r="E936" s="314"/>
      <c r="F936" s="166"/>
      <c r="G936" s="161"/>
      <c r="H936" s="161"/>
      <c r="I936" s="162"/>
      <c r="J936" s="163"/>
      <c r="K936" s="163"/>
      <c r="L936" s="163"/>
      <c r="M936" s="160"/>
      <c r="N936" s="162"/>
      <c r="O936" s="164"/>
      <c r="P936" s="140"/>
      <c r="Q936" s="321"/>
      <c r="R936" s="140"/>
    </row>
    <row r="937" ht="29.25" hidden="1" customHeight="1">
      <c r="A937" s="189"/>
      <c r="B937" s="323"/>
      <c r="C937" s="324"/>
      <c r="D937" s="325"/>
      <c r="E937" s="326"/>
      <c r="F937" s="166"/>
      <c r="G937" s="161"/>
      <c r="H937" s="161"/>
      <c r="I937" s="162"/>
      <c r="J937" s="163"/>
      <c r="K937" s="163"/>
      <c r="L937" s="163"/>
      <c r="M937" s="160"/>
      <c r="N937" s="162"/>
      <c r="O937" s="164"/>
      <c r="P937" s="140"/>
      <c r="Q937" s="327"/>
      <c r="R937" s="140"/>
    </row>
    <row r="938" ht="29.25" hidden="1" customHeight="1">
      <c r="A938" s="189"/>
      <c r="B938" s="323"/>
      <c r="C938" s="324"/>
      <c r="D938" s="325"/>
      <c r="E938" s="314"/>
      <c r="F938" s="166"/>
      <c r="G938" s="161"/>
      <c r="H938" s="161"/>
      <c r="I938" s="162"/>
      <c r="J938" s="163"/>
      <c r="K938" s="163"/>
      <c r="L938" s="163"/>
      <c r="M938" s="160"/>
      <c r="N938" s="162"/>
      <c r="O938" s="164"/>
      <c r="P938" s="140"/>
      <c r="Q938" s="321"/>
      <c r="R938" s="140"/>
    </row>
    <row r="939" ht="29.25" hidden="1" customHeight="1">
      <c r="A939" s="189"/>
      <c r="B939" s="323"/>
      <c r="C939" s="324"/>
      <c r="D939" s="325"/>
      <c r="E939" s="326"/>
      <c r="F939" s="166"/>
      <c r="G939" s="161"/>
      <c r="H939" s="161"/>
      <c r="I939" s="162"/>
      <c r="J939" s="163"/>
      <c r="K939" s="163"/>
      <c r="L939" s="163"/>
      <c r="M939" s="160"/>
      <c r="N939" s="162"/>
      <c r="O939" s="164"/>
      <c r="P939" s="140"/>
      <c r="Q939" s="327"/>
      <c r="R939" s="140"/>
    </row>
    <row r="940" ht="29.25" hidden="1" customHeight="1">
      <c r="A940" s="189"/>
      <c r="B940" s="323"/>
      <c r="C940" s="324"/>
      <c r="D940" s="325"/>
      <c r="E940" s="314"/>
      <c r="F940" s="166"/>
      <c r="G940" s="161"/>
      <c r="H940" s="161"/>
      <c r="I940" s="162"/>
      <c r="J940" s="163"/>
      <c r="K940" s="163"/>
      <c r="L940" s="163"/>
      <c r="M940" s="160"/>
      <c r="N940" s="162"/>
      <c r="O940" s="164"/>
      <c r="P940" s="140"/>
      <c r="Q940" s="321"/>
      <c r="R940" s="140"/>
    </row>
    <row r="941" ht="29.25" hidden="1" customHeight="1">
      <c r="A941" s="189"/>
      <c r="B941" s="323"/>
      <c r="C941" s="324"/>
      <c r="D941" s="325"/>
      <c r="E941" s="326"/>
      <c r="F941" s="166"/>
      <c r="G941" s="161"/>
      <c r="H941" s="161"/>
      <c r="I941" s="162"/>
      <c r="J941" s="163"/>
      <c r="K941" s="163"/>
      <c r="L941" s="163"/>
      <c r="M941" s="160"/>
      <c r="N941" s="162"/>
      <c r="O941" s="164"/>
      <c r="P941" s="140"/>
      <c r="Q941" s="327"/>
      <c r="R941" s="140"/>
    </row>
    <row r="942" ht="29.25" hidden="1" customHeight="1">
      <c r="A942" s="189"/>
      <c r="B942" s="323"/>
      <c r="C942" s="324"/>
      <c r="D942" s="325"/>
      <c r="E942" s="314"/>
      <c r="F942" s="166"/>
      <c r="G942" s="161"/>
      <c r="H942" s="161"/>
      <c r="I942" s="162"/>
      <c r="J942" s="163"/>
      <c r="K942" s="163"/>
      <c r="L942" s="163"/>
      <c r="M942" s="160"/>
      <c r="N942" s="162"/>
      <c r="O942" s="164"/>
      <c r="P942" s="140"/>
      <c r="Q942" s="321"/>
      <c r="R942" s="140"/>
    </row>
    <row r="943" ht="29.25" hidden="1" customHeight="1">
      <c r="A943" s="189"/>
      <c r="B943" s="323"/>
      <c r="C943" s="324"/>
      <c r="D943" s="325"/>
      <c r="E943" s="326"/>
      <c r="F943" s="166"/>
      <c r="G943" s="161"/>
      <c r="H943" s="161"/>
      <c r="I943" s="162"/>
      <c r="J943" s="163"/>
      <c r="K943" s="163"/>
      <c r="L943" s="163"/>
      <c r="M943" s="160"/>
      <c r="N943" s="162"/>
      <c r="O943" s="164"/>
      <c r="P943" s="140"/>
      <c r="Q943" s="327"/>
      <c r="R943" s="140"/>
    </row>
    <row r="944" ht="29.25" hidden="1" customHeight="1">
      <c r="A944" s="189"/>
      <c r="B944" s="323"/>
      <c r="C944" s="324"/>
      <c r="D944" s="325"/>
      <c r="E944" s="314"/>
      <c r="F944" s="166"/>
      <c r="G944" s="161"/>
      <c r="H944" s="161"/>
      <c r="I944" s="162"/>
      <c r="J944" s="163"/>
      <c r="K944" s="163"/>
      <c r="L944" s="163"/>
      <c r="M944" s="160"/>
      <c r="N944" s="162"/>
      <c r="O944" s="164"/>
      <c r="P944" s="140"/>
      <c r="Q944" s="321"/>
      <c r="R944" s="140"/>
    </row>
    <row r="945" ht="29.25" hidden="1" customHeight="1">
      <c r="A945" s="189"/>
      <c r="B945" s="323"/>
      <c r="C945" s="324"/>
      <c r="D945" s="325"/>
      <c r="E945" s="326"/>
      <c r="F945" s="166"/>
      <c r="G945" s="161"/>
      <c r="H945" s="161"/>
      <c r="I945" s="162"/>
      <c r="J945" s="163"/>
      <c r="K945" s="163"/>
      <c r="L945" s="163"/>
      <c r="M945" s="160"/>
      <c r="N945" s="162"/>
      <c r="O945" s="164"/>
      <c r="P945" s="140"/>
      <c r="Q945" s="327"/>
      <c r="R945" s="140"/>
    </row>
    <row r="946" ht="29.25" hidden="1" customHeight="1">
      <c r="A946" s="189"/>
      <c r="B946" s="323"/>
      <c r="C946" s="324"/>
      <c r="D946" s="325"/>
      <c r="E946" s="314"/>
      <c r="F946" s="166"/>
      <c r="G946" s="161"/>
      <c r="H946" s="161"/>
      <c r="I946" s="162"/>
      <c r="J946" s="163"/>
      <c r="K946" s="163"/>
      <c r="L946" s="163"/>
      <c r="M946" s="160"/>
      <c r="N946" s="162"/>
      <c r="O946" s="164"/>
      <c r="P946" s="140"/>
      <c r="Q946" s="321"/>
      <c r="R946" s="140"/>
    </row>
    <row r="947" ht="29.25" hidden="1" customHeight="1">
      <c r="A947" s="189"/>
      <c r="B947" s="323"/>
      <c r="C947" s="324"/>
      <c r="D947" s="325"/>
      <c r="E947" s="326"/>
      <c r="F947" s="166"/>
      <c r="G947" s="161"/>
      <c r="H947" s="161"/>
      <c r="I947" s="162"/>
      <c r="J947" s="163"/>
      <c r="K947" s="163"/>
      <c r="L947" s="163"/>
      <c r="M947" s="160"/>
      <c r="N947" s="162"/>
      <c r="O947" s="164"/>
      <c r="P947" s="140"/>
      <c r="Q947" s="327"/>
      <c r="R947" s="140"/>
    </row>
    <row r="948" ht="29.25" hidden="1" customHeight="1">
      <c r="A948" s="189"/>
      <c r="B948" s="323"/>
      <c r="C948" s="324"/>
      <c r="D948" s="325"/>
      <c r="E948" s="314"/>
      <c r="F948" s="166"/>
      <c r="G948" s="161"/>
      <c r="H948" s="161"/>
      <c r="I948" s="162"/>
      <c r="J948" s="163"/>
      <c r="K948" s="163"/>
      <c r="L948" s="163"/>
      <c r="M948" s="160"/>
      <c r="N948" s="162"/>
      <c r="O948" s="164"/>
      <c r="P948" s="140"/>
      <c r="Q948" s="321"/>
      <c r="R948" s="140"/>
    </row>
    <row r="949" ht="29.25" hidden="1" customHeight="1">
      <c r="A949" s="189"/>
      <c r="B949" s="323"/>
      <c r="C949" s="324"/>
      <c r="D949" s="325"/>
      <c r="E949" s="326"/>
      <c r="F949" s="166"/>
      <c r="G949" s="161"/>
      <c r="H949" s="161"/>
      <c r="I949" s="162"/>
      <c r="J949" s="163"/>
      <c r="K949" s="163"/>
      <c r="L949" s="163"/>
      <c r="M949" s="160"/>
      <c r="N949" s="162"/>
      <c r="O949" s="164"/>
      <c r="P949" s="140"/>
      <c r="Q949" s="327"/>
      <c r="R949" s="140"/>
    </row>
    <row r="950" ht="29.25" hidden="1" customHeight="1">
      <c r="A950" s="189"/>
      <c r="B950" s="323"/>
      <c r="C950" s="324"/>
      <c r="D950" s="325"/>
      <c r="E950" s="314"/>
      <c r="F950" s="166"/>
      <c r="G950" s="161"/>
      <c r="H950" s="161"/>
      <c r="I950" s="162"/>
      <c r="J950" s="163"/>
      <c r="K950" s="163"/>
      <c r="L950" s="163"/>
      <c r="M950" s="160"/>
      <c r="N950" s="162"/>
      <c r="O950" s="164"/>
      <c r="P950" s="140"/>
      <c r="Q950" s="321"/>
      <c r="R950" s="140"/>
    </row>
    <row r="951" ht="29.25" hidden="1" customHeight="1">
      <c r="A951" s="189"/>
      <c r="B951" s="323"/>
      <c r="C951" s="324"/>
      <c r="D951" s="325"/>
      <c r="E951" s="326"/>
      <c r="F951" s="166"/>
      <c r="G951" s="161"/>
      <c r="H951" s="161"/>
      <c r="I951" s="162"/>
      <c r="J951" s="163"/>
      <c r="K951" s="163"/>
      <c r="L951" s="163"/>
      <c r="M951" s="160"/>
      <c r="N951" s="162"/>
      <c r="O951" s="164"/>
      <c r="P951" s="140"/>
      <c r="Q951" s="327"/>
      <c r="R951" s="140"/>
    </row>
    <row r="952" ht="29.25" hidden="1" customHeight="1">
      <c r="A952" s="189"/>
      <c r="B952" s="323"/>
      <c r="C952" s="324"/>
      <c r="D952" s="325"/>
      <c r="E952" s="314"/>
      <c r="F952" s="166"/>
      <c r="G952" s="161"/>
      <c r="H952" s="161"/>
      <c r="I952" s="162"/>
      <c r="J952" s="163"/>
      <c r="K952" s="163"/>
      <c r="L952" s="163"/>
      <c r="M952" s="160"/>
      <c r="N952" s="162"/>
      <c r="O952" s="164"/>
      <c r="P952" s="140"/>
      <c r="Q952" s="321"/>
      <c r="R952" s="140"/>
    </row>
    <row r="953" ht="29.25" hidden="1" customHeight="1">
      <c r="A953" s="189"/>
      <c r="B953" s="323"/>
      <c r="C953" s="324"/>
      <c r="D953" s="325"/>
      <c r="E953" s="326"/>
      <c r="F953" s="166"/>
      <c r="G953" s="161"/>
      <c r="H953" s="161"/>
      <c r="I953" s="162"/>
      <c r="J953" s="163"/>
      <c r="K953" s="163"/>
      <c r="L953" s="163"/>
      <c r="M953" s="160"/>
      <c r="N953" s="162"/>
      <c r="O953" s="164"/>
      <c r="P953" s="140"/>
      <c r="Q953" s="327"/>
      <c r="R953" s="140"/>
    </row>
    <row r="954" ht="29.25" hidden="1" customHeight="1">
      <c r="A954" s="189"/>
      <c r="B954" s="323"/>
      <c r="C954" s="324"/>
      <c r="D954" s="325"/>
      <c r="E954" s="314"/>
      <c r="F954" s="166"/>
      <c r="G954" s="161"/>
      <c r="H954" s="161"/>
      <c r="I954" s="162"/>
      <c r="J954" s="163"/>
      <c r="K954" s="163"/>
      <c r="L954" s="163"/>
      <c r="M954" s="160"/>
      <c r="N954" s="162"/>
      <c r="O954" s="164"/>
      <c r="P954" s="140"/>
      <c r="Q954" s="321"/>
      <c r="R954" s="140"/>
    </row>
    <row r="955" ht="29.25" hidden="1" customHeight="1">
      <c r="A955" s="189"/>
      <c r="B955" s="323"/>
      <c r="C955" s="324"/>
      <c r="D955" s="325"/>
      <c r="E955" s="326"/>
      <c r="F955" s="166"/>
      <c r="G955" s="161"/>
      <c r="H955" s="161"/>
      <c r="I955" s="162"/>
      <c r="J955" s="163"/>
      <c r="K955" s="163"/>
      <c r="L955" s="163"/>
      <c r="M955" s="160"/>
      <c r="N955" s="162"/>
      <c r="O955" s="164"/>
      <c r="P955" s="140"/>
      <c r="Q955" s="327"/>
      <c r="R955" s="140"/>
    </row>
    <row r="956" ht="29.25" hidden="1" customHeight="1">
      <c r="A956" s="189"/>
      <c r="B956" s="323"/>
      <c r="C956" s="324"/>
      <c r="D956" s="325"/>
      <c r="E956" s="314"/>
      <c r="F956" s="166"/>
      <c r="G956" s="161"/>
      <c r="H956" s="161"/>
      <c r="I956" s="162"/>
      <c r="J956" s="163"/>
      <c r="K956" s="163"/>
      <c r="L956" s="163"/>
      <c r="M956" s="160"/>
      <c r="N956" s="162"/>
      <c r="O956" s="164"/>
      <c r="P956" s="140"/>
      <c r="Q956" s="321"/>
      <c r="R956" s="140"/>
    </row>
    <row r="957" ht="29.25" hidden="1" customHeight="1">
      <c r="A957" s="189"/>
      <c r="B957" s="323"/>
      <c r="C957" s="324"/>
      <c r="D957" s="325"/>
      <c r="E957" s="326"/>
      <c r="F957" s="166"/>
      <c r="G957" s="161"/>
      <c r="H957" s="161"/>
      <c r="I957" s="162"/>
      <c r="J957" s="163"/>
      <c r="K957" s="163"/>
      <c r="L957" s="163"/>
      <c r="M957" s="160"/>
      <c r="N957" s="162"/>
      <c r="O957" s="164"/>
      <c r="P957" s="140"/>
      <c r="Q957" s="327"/>
      <c r="R957" s="140"/>
    </row>
    <row r="958" ht="29.25" hidden="1" customHeight="1">
      <c r="A958" s="189"/>
      <c r="B958" s="323"/>
      <c r="C958" s="324"/>
      <c r="D958" s="325"/>
      <c r="E958" s="314"/>
      <c r="F958" s="166"/>
      <c r="G958" s="161"/>
      <c r="H958" s="161"/>
      <c r="I958" s="162"/>
      <c r="J958" s="163"/>
      <c r="K958" s="163"/>
      <c r="L958" s="163"/>
      <c r="M958" s="160"/>
      <c r="N958" s="162"/>
      <c r="O958" s="164"/>
      <c r="P958" s="140"/>
      <c r="Q958" s="321"/>
      <c r="R958" s="140"/>
    </row>
    <row r="959" ht="29.25" hidden="1" customHeight="1">
      <c r="A959" s="189"/>
      <c r="B959" s="323"/>
      <c r="C959" s="324"/>
      <c r="D959" s="325"/>
      <c r="E959" s="326"/>
      <c r="F959" s="166"/>
      <c r="G959" s="161"/>
      <c r="H959" s="161"/>
      <c r="I959" s="162"/>
      <c r="J959" s="163"/>
      <c r="K959" s="163"/>
      <c r="L959" s="163"/>
      <c r="M959" s="160"/>
      <c r="N959" s="162"/>
      <c r="O959" s="164"/>
      <c r="P959" s="140"/>
      <c r="Q959" s="327"/>
      <c r="R959" s="140"/>
    </row>
    <row r="960" ht="29.25" hidden="1" customHeight="1">
      <c r="A960" s="189"/>
      <c r="B960" s="323"/>
      <c r="C960" s="324"/>
      <c r="D960" s="325"/>
      <c r="E960" s="314"/>
      <c r="F960" s="166"/>
      <c r="G960" s="161"/>
      <c r="H960" s="161"/>
      <c r="I960" s="162"/>
      <c r="J960" s="163"/>
      <c r="K960" s="163"/>
      <c r="L960" s="163"/>
      <c r="M960" s="160"/>
      <c r="N960" s="162"/>
      <c r="O960" s="164"/>
      <c r="P960" s="140"/>
      <c r="Q960" s="321"/>
      <c r="R960" s="140"/>
    </row>
    <row r="961" ht="29.25" hidden="1" customHeight="1">
      <c r="A961" s="189"/>
      <c r="B961" s="323"/>
      <c r="C961" s="324"/>
      <c r="D961" s="325"/>
      <c r="E961" s="326"/>
      <c r="F961" s="166"/>
      <c r="G961" s="161"/>
      <c r="H961" s="161"/>
      <c r="I961" s="162"/>
      <c r="J961" s="163"/>
      <c r="K961" s="163"/>
      <c r="L961" s="163"/>
      <c r="M961" s="160"/>
      <c r="N961" s="162"/>
      <c r="O961" s="164"/>
      <c r="P961" s="140"/>
      <c r="Q961" s="327"/>
      <c r="R961" s="140"/>
    </row>
    <row r="962" ht="29.25" hidden="1" customHeight="1">
      <c r="A962" s="189"/>
      <c r="B962" s="323"/>
      <c r="C962" s="324"/>
      <c r="D962" s="325"/>
      <c r="E962" s="314"/>
      <c r="F962" s="166"/>
      <c r="G962" s="161"/>
      <c r="H962" s="161"/>
      <c r="I962" s="162"/>
      <c r="J962" s="163"/>
      <c r="K962" s="163"/>
      <c r="L962" s="163"/>
      <c r="M962" s="160"/>
      <c r="N962" s="162"/>
      <c r="O962" s="164"/>
      <c r="P962" s="140"/>
      <c r="Q962" s="321"/>
      <c r="R962" s="140"/>
    </row>
    <row r="963" ht="29.25" hidden="1" customHeight="1">
      <c r="A963" s="189"/>
      <c r="B963" s="323"/>
      <c r="C963" s="324"/>
      <c r="D963" s="325"/>
      <c r="E963" s="326"/>
      <c r="F963" s="166"/>
      <c r="G963" s="161"/>
      <c r="H963" s="161"/>
      <c r="I963" s="162"/>
      <c r="J963" s="163"/>
      <c r="K963" s="163"/>
      <c r="L963" s="163"/>
      <c r="M963" s="160"/>
      <c r="N963" s="162"/>
      <c r="O963" s="164"/>
      <c r="P963" s="140"/>
      <c r="Q963" s="327"/>
      <c r="R963" s="140"/>
    </row>
    <row r="964" ht="29.25" hidden="1" customHeight="1">
      <c r="A964" s="189"/>
      <c r="B964" s="323"/>
      <c r="C964" s="324"/>
      <c r="D964" s="325"/>
      <c r="E964" s="314"/>
      <c r="F964" s="166"/>
      <c r="G964" s="161"/>
      <c r="H964" s="161"/>
      <c r="I964" s="162"/>
      <c r="J964" s="163"/>
      <c r="K964" s="163"/>
      <c r="L964" s="163"/>
      <c r="M964" s="160"/>
      <c r="N964" s="162"/>
      <c r="O964" s="164"/>
      <c r="P964" s="140"/>
      <c r="Q964" s="321"/>
      <c r="R964" s="140"/>
    </row>
    <row r="965" ht="29.25" hidden="1" customHeight="1">
      <c r="A965" s="189"/>
      <c r="B965" s="323"/>
      <c r="C965" s="324"/>
      <c r="D965" s="325"/>
      <c r="E965" s="326"/>
      <c r="F965" s="166"/>
      <c r="G965" s="161"/>
      <c r="H965" s="161"/>
      <c r="I965" s="162"/>
      <c r="J965" s="163"/>
      <c r="K965" s="163"/>
      <c r="L965" s="163"/>
      <c r="M965" s="160"/>
      <c r="N965" s="162"/>
      <c r="O965" s="164"/>
      <c r="P965" s="140"/>
      <c r="Q965" s="327"/>
      <c r="R965" s="140"/>
    </row>
    <row r="966" ht="29.25" hidden="1" customHeight="1">
      <c r="A966" s="189"/>
      <c r="B966" s="323"/>
      <c r="C966" s="324"/>
      <c r="D966" s="325"/>
      <c r="E966" s="314"/>
      <c r="F966" s="166"/>
      <c r="G966" s="161"/>
      <c r="H966" s="161"/>
      <c r="I966" s="162"/>
      <c r="J966" s="163"/>
      <c r="K966" s="163"/>
      <c r="L966" s="163"/>
      <c r="M966" s="160"/>
      <c r="N966" s="162"/>
      <c r="O966" s="164"/>
      <c r="P966" s="140"/>
      <c r="Q966" s="321"/>
      <c r="R966" s="140"/>
    </row>
    <row r="967" ht="29.25" hidden="1" customHeight="1">
      <c r="A967" s="189"/>
      <c r="B967" s="323"/>
      <c r="C967" s="324"/>
      <c r="D967" s="325"/>
      <c r="E967" s="326"/>
      <c r="F967" s="166"/>
      <c r="G967" s="161"/>
      <c r="H967" s="161"/>
      <c r="I967" s="162"/>
      <c r="J967" s="163"/>
      <c r="K967" s="163"/>
      <c r="L967" s="163"/>
      <c r="M967" s="160"/>
      <c r="N967" s="162"/>
      <c r="O967" s="164"/>
      <c r="P967" s="140"/>
      <c r="Q967" s="327"/>
      <c r="R967" s="140"/>
    </row>
    <row r="968" ht="29.25" hidden="1" customHeight="1">
      <c r="A968" s="189"/>
      <c r="B968" s="323"/>
      <c r="C968" s="324"/>
      <c r="D968" s="325"/>
      <c r="E968" s="314"/>
      <c r="F968" s="166"/>
      <c r="G968" s="161"/>
      <c r="H968" s="161"/>
      <c r="I968" s="162"/>
      <c r="J968" s="163"/>
      <c r="K968" s="163"/>
      <c r="L968" s="163"/>
      <c r="M968" s="160"/>
      <c r="N968" s="162"/>
      <c r="O968" s="164"/>
      <c r="P968" s="140"/>
      <c r="Q968" s="321"/>
      <c r="R968" s="140"/>
    </row>
    <row r="969" ht="29.25" hidden="1" customHeight="1">
      <c r="A969" s="189"/>
      <c r="B969" s="323"/>
      <c r="C969" s="324"/>
      <c r="D969" s="325"/>
      <c r="E969" s="326"/>
      <c r="F969" s="166"/>
      <c r="G969" s="161"/>
      <c r="H969" s="161"/>
      <c r="I969" s="162"/>
      <c r="J969" s="163"/>
      <c r="K969" s="163"/>
      <c r="L969" s="163"/>
      <c r="M969" s="160"/>
      <c r="N969" s="162"/>
      <c r="O969" s="164"/>
      <c r="P969" s="140"/>
      <c r="Q969" s="327"/>
      <c r="R969" s="140"/>
    </row>
    <row r="970" ht="29.25" hidden="1" customHeight="1">
      <c r="A970" s="189"/>
      <c r="B970" s="323"/>
      <c r="C970" s="324"/>
      <c r="D970" s="325"/>
      <c r="E970" s="314"/>
      <c r="F970" s="166"/>
      <c r="G970" s="161"/>
      <c r="H970" s="161"/>
      <c r="I970" s="162"/>
      <c r="J970" s="163"/>
      <c r="K970" s="163"/>
      <c r="L970" s="163"/>
      <c r="M970" s="160"/>
      <c r="N970" s="162"/>
      <c r="O970" s="164"/>
      <c r="P970" s="140"/>
      <c r="Q970" s="321"/>
      <c r="R970" s="140"/>
    </row>
    <row r="971" ht="29.25" hidden="1" customHeight="1">
      <c r="A971" s="189"/>
      <c r="B971" s="323"/>
      <c r="C971" s="324"/>
      <c r="D971" s="325"/>
      <c r="E971" s="326"/>
      <c r="F971" s="166"/>
      <c r="G971" s="161"/>
      <c r="H971" s="161"/>
      <c r="I971" s="162"/>
      <c r="J971" s="163"/>
      <c r="K971" s="163"/>
      <c r="L971" s="163"/>
      <c r="M971" s="160"/>
      <c r="N971" s="162"/>
      <c r="O971" s="164"/>
      <c r="P971" s="140"/>
      <c r="Q971" s="327"/>
      <c r="R971" s="140"/>
    </row>
    <row r="972" ht="29.25" hidden="1" customHeight="1">
      <c r="A972" s="189"/>
      <c r="B972" s="323"/>
      <c r="C972" s="324"/>
      <c r="D972" s="325"/>
      <c r="E972" s="314"/>
      <c r="F972" s="166"/>
      <c r="G972" s="161"/>
      <c r="H972" s="161"/>
      <c r="I972" s="162"/>
      <c r="J972" s="163"/>
      <c r="K972" s="163"/>
      <c r="L972" s="163"/>
      <c r="M972" s="160"/>
      <c r="N972" s="162"/>
      <c r="O972" s="164"/>
      <c r="P972" s="140"/>
      <c r="Q972" s="321"/>
      <c r="R972" s="140"/>
    </row>
    <row r="973" ht="29.25" hidden="1" customHeight="1">
      <c r="A973" s="189"/>
      <c r="B973" s="323"/>
      <c r="C973" s="324"/>
      <c r="D973" s="325"/>
      <c r="E973" s="326"/>
      <c r="F973" s="166"/>
      <c r="G973" s="161"/>
      <c r="H973" s="161"/>
      <c r="I973" s="162"/>
      <c r="J973" s="163"/>
      <c r="K973" s="163"/>
      <c r="L973" s="163"/>
      <c r="M973" s="160"/>
      <c r="N973" s="162"/>
      <c r="O973" s="164"/>
      <c r="P973" s="140"/>
      <c r="Q973" s="327"/>
      <c r="R973" s="140"/>
    </row>
    <row r="974" ht="29.25" hidden="1" customHeight="1">
      <c r="A974" s="189"/>
      <c r="B974" s="323"/>
      <c r="C974" s="324"/>
      <c r="D974" s="325"/>
      <c r="E974" s="314"/>
      <c r="F974" s="166"/>
      <c r="G974" s="161"/>
      <c r="H974" s="161"/>
      <c r="I974" s="162"/>
      <c r="J974" s="163"/>
      <c r="K974" s="163"/>
      <c r="L974" s="163"/>
      <c r="M974" s="160"/>
      <c r="N974" s="162"/>
      <c r="O974" s="164"/>
      <c r="P974" s="140"/>
      <c r="Q974" s="321"/>
      <c r="R974" s="140"/>
    </row>
    <row r="975" ht="29.25" hidden="1" customHeight="1">
      <c r="A975" s="189"/>
      <c r="B975" s="323"/>
      <c r="C975" s="324"/>
      <c r="D975" s="325"/>
      <c r="E975" s="326"/>
      <c r="F975" s="166"/>
      <c r="G975" s="161"/>
      <c r="H975" s="161"/>
      <c r="I975" s="162"/>
      <c r="J975" s="163"/>
      <c r="K975" s="163"/>
      <c r="L975" s="163"/>
      <c r="M975" s="160"/>
      <c r="N975" s="162"/>
      <c r="O975" s="164"/>
      <c r="P975" s="140"/>
      <c r="Q975" s="327"/>
      <c r="R975" s="140"/>
    </row>
    <row r="976" ht="29.25" hidden="1" customHeight="1">
      <c r="A976" s="189"/>
      <c r="B976" s="323"/>
      <c r="C976" s="324"/>
      <c r="D976" s="325"/>
      <c r="E976" s="314"/>
      <c r="F976" s="166"/>
      <c r="G976" s="161"/>
      <c r="H976" s="161"/>
      <c r="I976" s="162"/>
      <c r="J976" s="163"/>
      <c r="K976" s="163"/>
      <c r="L976" s="163"/>
      <c r="M976" s="160"/>
      <c r="N976" s="162"/>
      <c r="O976" s="164"/>
      <c r="P976" s="140"/>
      <c r="Q976" s="321"/>
      <c r="R976" s="140"/>
    </row>
    <row r="977" ht="29.25" hidden="1" customHeight="1">
      <c r="A977" s="189"/>
      <c r="B977" s="323"/>
      <c r="C977" s="324"/>
      <c r="D977" s="325"/>
      <c r="E977" s="326"/>
      <c r="F977" s="166"/>
      <c r="G977" s="161"/>
      <c r="H977" s="161"/>
      <c r="I977" s="162"/>
      <c r="J977" s="163"/>
      <c r="K977" s="163"/>
      <c r="L977" s="163"/>
      <c r="M977" s="160"/>
      <c r="N977" s="162"/>
      <c r="O977" s="164"/>
      <c r="P977" s="140"/>
      <c r="Q977" s="327"/>
      <c r="R977" s="140"/>
    </row>
    <row r="978" ht="29.25" hidden="1" customHeight="1">
      <c r="A978" s="189"/>
      <c r="B978" s="323"/>
      <c r="C978" s="324"/>
      <c r="D978" s="325"/>
      <c r="E978" s="314"/>
      <c r="F978" s="166"/>
      <c r="G978" s="161"/>
      <c r="H978" s="161"/>
      <c r="I978" s="162"/>
      <c r="J978" s="163"/>
      <c r="K978" s="163"/>
      <c r="L978" s="163"/>
      <c r="M978" s="160"/>
      <c r="N978" s="162"/>
      <c r="O978" s="164"/>
      <c r="P978" s="140"/>
      <c r="Q978" s="321"/>
      <c r="R978" s="140"/>
    </row>
    <row r="979" ht="29.25" hidden="1" customHeight="1">
      <c r="A979" s="189"/>
      <c r="B979" s="323"/>
      <c r="C979" s="324"/>
      <c r="D979" s="325"/>
      <c r="E979" s="326"/>
      <c r="F979" s="166"/>
      <c r="G979" s="161"/>
      <c r="H979" s="161"/>
      <c r="I979" s="162"/>
      <c r="J979" s="163"/>
      <c r="K979" s="163"/>
      <c r="L979" s="163"/>
      <c r="M979" s="160"/>
      <c r="N979" s="162"/>
      <c r="O979" s="164"/>
      <c r="P979" s="140"/>
      <c r="Q979" s="327"/>
      <c r="R979" s="140"/>
    </row>
    <row r="980" ht="29.25" hidden="1" customHeight="1">
      <c r="A980" s="189"/>
      <c r="B980" s="323"/>
      <c r="C980" s="324"/>
      <c r="D980" s="325"/>
      <c r="E980" s="314"/>
      <c r="F980" s="166"/>
      <c r="G980" s="161"/>
      <c r="H980" s="161"/>
      <c r="I980" s="162"/>
      <c r="J980" s="163"/>
      <c r="K980" s="163"/>
      <c r="L980" s="163"/>
      <c r="M980" s="160"/>
      <c r="N980" s="162"/>
      <c r="O980" s="164"/>
      <c r="P980" s="140"/>
      <c r="Q980" s="321"/>
      <c r="R980" s="140"/>
    </row>
    <row r="981" ht="29.25" hidden="1" customHeight="1">
      <c r="A981" s="189"/>
      <c r="B981" s="323"/>
      <c r="C981" s="324"/>
      <c r="D981" s="325"/>
      <c r="E981" s="326"/>
      <c r="F981" s="166"/>
      <c r="G981" s="161"/>
      <c r="H981" s="161"/>
      <c r="I981" s="162"/>
      <c r="J981" s="163"/>
      <c r="K981" s="163"/>
      <c r="L981" s="163"/>
      <c r="M981" s="160"/>
      <c r="N981" s="162"/>
      <c r="O981" s="164"/>
      <c r="P981" s="140"/>
      <c r="Q981" s="327"/>
      <c r="R981" s="140"/>
    </row>
    <row r="982" ht="29.25" hidden="1" customHeight="1">
      <c r="A982" s="189"/>
      <c r="B982" s="323"/>
      <c r="C982" s="324"/>
      <c r="D982" s="325"/>
      <c r="E982" s="314"/>
      <c r="F982" s="166"/>
      <c r="G982" s="161"/>
      <c r="H982" s="161"/>
      <c r="I982" s="162"/>
      <c r="J982" s="163"/>
      <c r="K982" s="163"/>
      <c r="L982" s="163"/>
      <c r="M982" s="160"/>
      <c r="N982" s="162"/>
      <c r="O982" s="164"/>
      <c r="P982" s="140"/>
      <c r="Q982" s="321"/>
      <c r="R982" s="140"/>
    </row>
    <row r="983" ht="29.25" hidden="1" customHeight="1">
      <c r="A983" s="189"/>
      <c r="B983" s="323"/>
      <c r="C983" s="324"/>
      <c r="D983" s="325"/>
      <c r="E983" s="326"/>
      <c r="F983" s="166"/>
      <c r="G983" s="161"/>
      <c r="H983" s="161"/>
      <c r="I983" s="162"/>
      <c r="J983" s="163"/>
      <c r="K983" s="163"/>
      <c r="L983" s="163"/>
      <c r="M983" s="160"/>
      <c r="N983" s="162"/>
      <c r="O983" s="164"/>
      <c r="P983" s="140"/>
      <c r="Q983" s="327"/>
      <c r="R983" s="140"/>
    </row>
    <row r="984" ht="29.25" hidden="1" customHeight="1">
      <c r="A984" s="189"/>
      <c r="B984" s="323"/>
      <c r="C984" s="324"/>
      <c r="D984" s="325"/>
      <c r="E984" s="314"/>
      <c r="F984" s="166"/>
      <c r="G984" s="161"/>
      <c r="H984" s="161"/>
      <c r="I984" s="162"/>
      <c r="J984" s="163"/>
      <c r="K984" s="163"/>
      <c r="L984" s="163"/>
      <c r="M984" s="160"/>
      <c r="N984" s="162"/>
      <c r="O984" s="164"/>
      <c r="P984" s="140"/>
      <c r="Q984" s="321"/>
      <c r="R984" s="140"/>
    </row>
    <row r="985" ht="29.25" hidden="1" customHeight="1">
      <c r="A985" s="189"/>
      <c r="B985" s="323"/>
      <c r="C985" s="324"/>
      <c r="D985" s="325"/>
      <c r="E985" s="326"/>
      <c r="F985" s="166"/>
      <c r="G985" s="161"/>
      <c r="H985" s="161"/>
      <c r="I985" s="162"/>
      <c r="J985" s="163"/>
      <c r="K985" s="163"/>
      <c r="L985" s="163"/>
      <c r="M985" s="160"/>
      <c r="N985" s="162"/>
      <c r="O985" s="164"/>
      <c r="P985" s="140"/>
      <c r="Q985" s="327"/>
      <c r="R985" s="140"/>
    </row>
    <row r="986" ht="29.25" hidden="1" customHeight="1">
      <c r="A986" s="189"/>
      <c r="B986" s="323"/>
      <c r="C986" s="324"/>
      <c r="D986" s="325"/>
      <c r="E986" s="314"/>
      <c r="F986" s="166"/>
      <c r="G986" s="161"/>
      <c r="H986" s="161"/>
      <c r="I986" s="162"/>
      <c r="J986" s="163"/>
      <c r="K986" s="163"/>
      <c r="L986" s="163"/>
      <c r="M986" s="160"/>
      <c r="N986" s="162"/>
      <c r="O986" s="164"/>
      <c r="P986" s="140"/>
      <c r="Q986" s="321"/>
      <c r="R986" s="140"/>
    </row>
    <row r="987" ht="29.25" hidden="1" customHeight="1">
      <c r="A987" s="189"/>
      <c r="B987" s="323"/>
      <c r="C987" s="324"/>
      <c r="D987" s="325"/>
      <c r="E987" s="326"/>
      <c r="F987" s="166"/>
      <c r="G987" s="161"/>
      <c r="H987" s="161"/>
      <c r="I987" s="162"/>
      <c r="J987" s="163"/>
      <c r="K987" s="163"/>
      <c r="L987" s="163"/>
      <c r="M987" s="160"/>
      <c r="N987" s="162"/>
      <c r="O987" s="164"/>
      <c r="P987" s="140"/>
      <c r="Q987" s="327"/>
      <c r="R987" s="140"/>
    </row>
    <row r="988" ht="29.25" hidden="1" customHeight="1">
      <c r="A988" s="189"/>
      <c r="B988" s="323"/>
      <c r="C988" s="324"/>
      <c r="D988" s="325"/>
      <c r="E988" s="314"/>
      <c r="F988" s="166"/>
      <c r="G988" s="161"/>
      <c r="H988" s="161"/>
      <c r="I988" s="162"/>
      <c r="J988" s="163"/>
      <c r="K988" s="163"/>
      <c r="L988" s="163"/>
      <c r="M988" s="160"/>
      <c r="N988" s="162"/>
      <c r="O988" s="164"/>
      <c r="P988" s="140"/>
      <c r="Q988" s="321"/>
      <c r="R988" s="140"/>
    </row>
    <row r="989" ht="29.25" hidden="1" customHeight="1">
      <c r="A989" s="189"/>
      <c r="B989" s="323"/>
      <c r="C989" s="324"/>
      <c r="D989" s="325"/>
      <c r="E989" s="326"/>
      <c r="F989" s="166"/>
      <c r="G989" s="161"/>
      <c r="H989" s="161"/>
      <c r="I989" s="162"/>
      <c r="J989" s="163"/>
      <c r="K989" s="163"/>
      <c r="L989" s="163"/>
      <c r="M989" s="160"/>
      <c r="N989" s="162"/>
      <c r="O989" s="164"/>
      <c r="P989" s="140"/>
      <c r="Q989" s="327"/>
      <c r="R989" s="140"/>
    </row>
    <row r="990" ht="29.25" hidden="1" customHeight="1">
      <c r="A990" s="189"/>
      <c r="B990" s="323"/>
      <c r="C990" s="324"/>
      <c r="D990" s="325"/>
      <c r="E990" s="314"/>
      <c r="F990" s="166"/>
      <c r="G990" s="161"/>
      <c r="H990" s="161"/>
      <c r="I990" s="162"/>
      <c r="J990" s="163"/>
      <c r="K990" s="163"/>
      <c r="L990" s="163"/>
      <c r="M990" s="160"/>
      <c r="N990" s="162"/>
      <c r="O990" s="164"/>
      <c r="P990" s="140"/>
      <c r="Q990" s="321"/>
      <c r="R990" s="140"/>
    </row>
    <row r="991" ht="29.25" hidden="1" customHeight="1">
      <c r="A991" s="189"/>
      <c r="B991" s="323"/>
      <c r="C991" s="324"/>
      <c r="D991" s="325"/>
      <c r="E991" s="326"/>
      <c r="F991" s="166"/>
      <c r="G991" s="161"/>
      <c r="H991" s="161"/>
      <c r="I991" s="162"/>
      <c r="J991" s="163"/>
      <c r="K991" s="163"/>
      <c r="L991" s="163"/>
      <c r="M991" s="160"/>
      <c r="N991" s="162"/>
      <c r="O991" s="164"/>
      <c r="P991" s="140"/>
      <c r="Q991" s="327"/>
      <c r="R991" s="140"/>
    </row>
    <row r="992" ht="29.25" hidden="1" customHeight="1">
      <c r="A992" s="189"/>
      <c r="B992" s="323"/>
      <c r="C992" s="324"/>
      <c r="D992" s="325"/>
      <c r="E992" s="314"/>
      <c r="F992" s="166"/>
      <c r="G992" s="161"/>
      <c r="H992" s="161"/>
      <c r="I992" s="162"/>
      <c r="J992" s="163"/>
      <c r="K992" s="163"/>
      <c r="L992" s="163"/>
      <c r="M992" s="160"/>
      <c r="N992" s="162"/>
      <c r="O992" s="164"/>
      <c r="P992" s="140"/>
      <c r="Q992" s="321"/>
      <c r="R992" s="140"/>
    </row>
    <row r="993" ht="29.25" hidden="1" customHeight="1">
      <c r="A993" s="189"/>
      <c r="B993" s="323"/>
      <c r="C993" s="324"/>
      <c r="D993" s="325"/>
      <c r="E993" s="326"/>
      <c r="F993" s="166"/>
      <c r="G993" s="161"/>
      <c r="H993" s="161"/>
      <c r="I993" s="162"/>
      <c r="J993" s="163"/>
      <c r="K993" s="163"/>
      <c r="L993" s="163"/>
      <c r="M993" s="160"/>
      <c r="N993" s="162"/>
      <c r="O993" s="164"/>
      <c r="P993" s="140"/>
      <c r="Q993" s="327"/>
      <c r="R993" s="140"/>
    </row>
    <row r="994" ht="29.25" hidden="1" customHeight="1">
      <c r="A994" s="189"/>
      <c r="B994" s="323"/>
      <c r="C994" s="324"/>
      <c r="D994" s="325"/>
      <c r="E994" s="314"/>
      <c r="F994" s="166"/>
      <c r="G994" s="161"/>
      <c r="H994" s="161"/>
      <c r="I994" s="162"/>
      <c r="J994" s="163"/>
      <c r="K994" s="163"/>
      <c r="L994" s="163"/>
      <c r="M994" s="160"/>
      <c r="N994" s="162"/>
      <c r="O994" s="164"/>
      <c r="P994" s="140"/>
      <c r="Q994" s="321"/>
      <c r="R994" s="140"/>
    </row>
    <row r="995" ht="29.25" hidden="1" customHeight="1">
      <c r="A995" s="189"/>
      <c r="B995" s="323"/>
      <c r="C995" s="324"/>
      <c r="D995" s="325"/>
      <c r="E995" s="326"/>
      <c r="F995" s="166"/>
      <c r="G995" s="161"/>
      <c r="H995" s="161"/>
      <c r="I995" s="162"/>
      <c r="J995" s="163"/>
      <c r="K995" s="163"/>
      <c r="L995" s="163"/>
      <c r="M995" s="160"/>
      <c r="N995" s="162"/>
      <c r="O995" s="164"/>
      <c r="P995" s="140"/>
      <c r="Q995" s="327"/>
      <c r="R995" s="140"/>
    </row>
    <row r="996" ht="29.25" hidden="1" customHeight="1">
      <c r="A996" s="189"/>
      <c r="B996" s="323"/>
      <c r="C996" s="324"/>
      <c r="D996" s="325"/>
      <c r="E996" s="314"/>
      <c r="F996" s="166"/>
      <c r="G996" s="161"/>
      <c r="H996" s="161"/>
      <c r="I996" s="162"/>
      <c r="J996" s="163"/>
      <c r="K996" s="163"/>
      <c r="L996" s="163"/>
      <c r="M996" s="160"/>
      <c r="N996" s="162"/>
      <c r="O996" s="164"/>
      <c r="P996" s="140"/>
      <c r="Q996" s="321"/>
      <c r="R996" s="140"/>
    </row>
    <row r="997" ht="29.25" hidden="1" customHeight="1">
      <c r="A997" s="189"/>
      <c r="B997" s="323"/>
      <c r="C997" s="324"/>
      <c r="D997" s="325"/>
      <c r="E997" s="326"/>
      <c r="F997" s="166"/>
      <c r="G997" s="161"/>
      <c r="H997" s="161"/>
      <c r="I997" s="162"/>
      <c r="J997" s="163"/>
      <c r="K997" s="163"/>
      <c r="L997" s="163"/>
      <c r="M997" s="160"/>
      <c r="N997" s="162"/>
      <c r="O997" s="164"/>
      <c r="P997" s="140"/>
      <c r="Q997" s="327"/>
      <c r="R997" s="140"/>
    </row>
    <row r="998" ht="29.25" hidden="1" customHeight="1">
      <c r="A998" s="189"/>
      <c r="B998" s="323"/>
      <c r="C998" s="324"/>
      <c r="D998" s="325"/>
      <c r="E998" s="314"/>
      <c r="F998" s="166"/>
      <c r="G998" s="161"/>
      <c r="H998" s="161"/>
      <c r="I998" s="162"/>
      <c r="J998" s="163"/>
      <c r="K998" s="163"/>
      <c r="L998" s="163"/>
      <c r="M998" s="160"/>
      <c r="N998" s="162"/>
      <c r="O998" s="164"/>
      <c r="P998" s="140"/>
      <c r="Q998" s="321"/>
      <c r="R998" s="140"/>
    </row>
    <row r="999" ht="29.25" hidden="1" customHeight="1">
      <c r="A999" s="189"/>
      <c r="B999" s="323"/>
      <c r="C999" s="324"/>
      <c r="D999" s="325"/>
      <c r="E999" s="326"/>
      <c r="F999" s="166"/>
      <c r="G999" s="161"/>
      <c r="H999" s="161"/>
      <c r="I999" s="162"/>
      <c r="J999" s="163"/>
      <c r="K999" s="163"/>
      <c r="L999" s="163"/>
      <c r="M999" s="160"/>
      <c r="N999" s="162"/>
      <c r="O999" s="164"/>
      <c r="P999" s="140"/>
      <c r="Q999" s="327"/>
      <c r="R999" s="140"/>
    </row>
    <row r="1000" ht="29.25" hidden="1" customHeight="1">
      <c r="A1000" s="189"/>
      <c r="B1000" s="323"/>
      <c r="C1000" s="324"/>
      <c r="D1000" s="325"/>
      <c r="E1000" s="314"/>
      <c r="F1000" s="166"/>
      <c r="G1000" s="161"/>
      <c r="H1000" s="161"/>
      <c r="I1000" s="162"/>
      <c r="J1000" s="163"/>
      <c r="K1000" s="163"/>
      <c r="L1000" s="163"/>
      <c r="M1000" s="160"/>
      <c r="N1000" s="162"/>
      <c r="O1000" s="164"/>
      <c r="P1000" s="140"/>
      <c r="Q1000" s="321"/>
      <c r="R1000" s="140"/>
    </row>
    <row r="1001" ht="29.25" hidden="1" customHeight="1">
      <c r="A1001" s="189"/>
      <c r="B1001" s="323"/>
      <c r="C1001" s="324"/>
      <c r="D1001" s="325"/>
      <c r="E1001" s="326"/>
      <c r="F1001" s="166"/>
      <c r="G1001" s="161"/>
      <c r="H1001" s="161"/>
      <c r="I1001" s="162"/>
      <c r="J1001" s="163"/>
      <c r="K1001" s="163"/>
      <c r="L1001" s="163"/>
      <c r="M1001" s="160"/>
      <c r="N1001" s="162"/>
      <c r="O1001" s="164"/>
      <c r="P1001" s="140"/>
      <c r="Q1001" s="327"/>
      <c r="R1001" s="140"/>
    </row>
    <row r="1002" ht="29.25" hidden="1" customHeight="1">
      <c r="A1002" s="189"/>
      <c r="B1002" s="323"/>
      <c r="C1002" s="324"/>
      <c r="D1002" s="325"/>
      <c r="E1002" s="314"/>
      <c r="F1002" s="166"/>
      <c r="G1002" s="161"/>
      <c r="H1002" s="161"/>
      <c r="I1002" s="162"/>
      <c r="J1002" s="163"/>
      <c r="K1002" s="163"/>
      <c r="L1002" s="163"/>
      <c r="M1002" s="160"/>
      <c r="N1002" s="162"/>
      <c r="O1002" s="164"/>
      <c r="P1002" s="140"/>
      <c r="Q1002" s="321"/>
      <c r="R1002" s="140"/>
    </row>
    <row r="1003" ht="29.25" hidden="1" customHeight="1">
      <c r="A1003" s="189"/>
      <c r="B1003" s="323"/>
      <c r="C1003" s="324"/>
      <c r="D1003" s="325"/>
      <c r="E1003" s="326"/>
      <c r="F1003" s="166"/>
      <c r="G1003" s="161"/>
      <c r="H1003" s="161"/>
      <c r="I1003" s="162"/>
      <c r="J1003" s="163"/>
      <c r="K1003" s="163"/>
      <c r="L1003" s="163"/>
      <c r="M1003" s="160"/>
      <c r="N1003" s="162"/>
      <c r="O1003" s="164"/>
      <c r="P1003" s="140"/>
      <c r="Q1003" s="327"/>
      <c r="R1003" s="140"/>
    </row>
    <row r="1004" ht="29.25" hidden="1" customHeight="1">
      <c r="A1004" s="189"/>
      <c r="B1004" s="323"/>
      <c r="C1004" s="324"/>
      <c r="D1004" s="325"/>
      <c r="E1004" s="328"/>
      <c r="F1004" s="166"/>
      <c r="G1004" s="161"/>
      <c r="H1004" s="161"/>
      <c r="I1004" s="162"/>
      <c r="J1004" s="163"/>
      <c r="K1004" s="163"/>
      <c r="L1004" s="163"/>
      <c r="M1004" s="160"/>
      <c r="N1004" s="162"/>
      <c r="O1004" s="164"/>
      <c r="P1004" s="140"/>
      <c r="Q1004" s="329"/>
      <c r="R1004" s="140"/>
    </row>
    <row r="1005" ht="29.25" hidden="1" customHeight="1">
      <c r="A1005" s="189"/>
      <c r="B1005" s="323"/>
      <c r="C1005" s="324"/>
      <c r="D1005" s="325"/>
      <c r="E1005" s="330"/>
      <c r="F1005" s="166"/>
      <c r="G1005" s="161"/>
      <c r="H1005" s="161"/>
      <c r="I1005" s="162"/>
      <c r="J1005" s="163"/>
      <c r="K1005" s="163"/>
      <c r="L1005" s="163"/>
      <c r="M1005" s="160"/>
      <c r="N1005" s="162"/>
      <c r="O1005" s="164"/>
      <c r="P1005" s="140"/>
      <c r="Q1005" s="331"/>
      <c r="R1005" s="140"/>
    </row>
    <row r="1006" ht="29.25" hidden="1" customHeight="1">
      <c r="A1006" s="189"/>
      <c r="B1006" s="323"/>
      <c r="C1006" s="324"/>
      <c r="D1006" s="325"/>
      <c r="E1006" s="330"/>
      <c r="F1006" s="166"/>
      <c r="G1006" s="161"/>
      <c r="H1006" s="161"/>
      <c r="I1006" s="162"/>
      <c r="J1006" s="163"/>
      <c r="K1006" s="163"/>
      <c r="L1006" s="163"/>
      <c r="M1006" s="160"/>
      <c r="N1006" s="162"/>
      <c r="O1006" s="164"/>
      <c r="P1006" s="140"/>
      <c r="Q1006" s="331"/>
      <c r="R1006" s="140"/>
    </row>
    <row r="1007" ht="29.25" customHeight="1"/>
  </sheetData>
  <conditionalFormatting sqref="B2:B1007">
    <cfRule type="expression" dxfId="0" priority="1">
      <formula>COUNTIF($B$2:$B$997,B2)&gt;1</formula>
    </cfRule>
  </conditionalFormatting>
  <dataValidations>
    <dataValidation type="list" allowBlank="1" sqref="F2:F1006">
      <formula1>"FINALIZADO,EN PROCESO,PAUSADO,EN TEST,PENDIENTE,PRUEBAS CLIENTE,PENDIENTE CLIENTE,PRUEBAS IMAGINE,PASO A PRODUCCION"</formula1>
    </dataValidation>
    <dataValidation type="custom" allowBlank="1" showDropDown="1" sqref="I2:L1006 N2:O1006">
      <formula1>OR(NOT(ISERROR(DATEVALUE(I2))), AND(ISNUMBER(I2), LEFT(CELL("format", I2))="D"))</formula1>
    </dataValidation>
    <dataValidation allowBlank="1" showDropDown="1" sqref="Q2:Q100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32" t="s">
        <v>1409</v>
      </c>
      <c r="B1" s="332" t="s">
        <v>2</v>
      </c>
      <c r="C1" s="332" t="s">
        <v>4</v>
      </c>
      <c r="D1" s="332" t="s">
        <v>5</v>
      </c>
      <c r="E1" s="333" t="s">
        <v>8</v>
      </c>
      <c r="F1" s="333" t="s">
        <v>9</v>
      </c>
      <c r="G1" s="334" t="s">
        <v>1109</v>
      </c>
      <c r="H1" s="333" t="s">
        <v>11</v>
      </c>
      <c r="I1" s="333" t="s">
        <v>12</v>
      </c>
      <c r="J1" s="335" t="s">
        <v>13</v>
      </c>
      <c r="K1" s="332" t="s">
        <v>14</v>
      </c>
      <c r="L1" s="336" t="s">
        <v>1410</v>
      </c>
      <c r="M1" s="337"/>
      <c r="N1" s="337"/>
      <c r="O1" s="337"/>
      <c r="P1" s="337"/>
      <c r="Q1" s="337"/>
      <c r="R1" s="337"/>
      <c r="S1" s="337"/>
      <c r="T1" s="337"/>
      <c r="U1" s="337"/>
      <c r="V1" s="337"/>
      <c r="W1" s="337"/>
      <c r="X1" s="337"/>
      <c r="Y1" s="337"/>
      <c r="Z1" s="337"/>
    </row>
    <row r="2">
      <c r="A2" s="338" t="s">
        <v>1411</v>
      </c>
      <c r="B2" s="339" t="s">
        <v>1412</v>
      </c>
      <c r="C2" s="340"/>
      <c r="D2" s="341" t="s">
        <v>1413</v>
      </c>
      <c r="E2" s="342">
        <v>45526.0</v>
      </c>
      <c r="F2" s="342">
        <v>45526.0</v>
      </c>
      <c r="G2" s="340"/>
      <c r="H2" s="340"/>
      <c r="I2" s="340"/>
      <c r="J2" s="340"/>
      <c r="K2" s="340"/>
      <c r="L2" s="340" t="s">
        <v>1414</v>
      </c>
      <c r="M2" s="343"/>
      <c r="N2" s="343"/>
      <c r="O2" s="343"/>
      <c r="P2" s="343"/>
      <c r="Q2" s="343"/>
      <c r="R2" s="343"/>
      <c r="S2" s="343"/>
      <c r="T2" s="343"/>
      <c r="U2" s="343"/>
      <c r="V2" s="343"/>
      <c r="W2" s="343"/>
      <c r="X2" s="343"/>
      <c r="Y2" s="343"/>
      <c r="Z2" s="343"/>
    </row>
    <row r="3">
      <c r="A3" s="344" t="s">
        <v>1411</v>
      </c>
      <c r="B3" s="345" t="s">
        <v>1415</v>
      </c>
      <c r="C3" s="346" t="s">
        <v>1416</v>
      </c>
      <c r="D3" s="346" t="s">
        <v>73</v>
      </c>
      <c r="E3" s="347">
        <v>45560.0</v>
      </c>
      <c r="F3" s="347">
        <v>45560.0</v>
      </c>
      <c r="G3" s="348"/>
      <c r="H3" s="347">
        <v>45567.0</v>
      </c>
      <c r="I3" s="349">
        <f>IF(ISBLANK(H3), NETWORKDAYS(F3, TODAY(),Hoja2!$A$1:$A$18), NETWORKDAYS(F3, H3, Hoja2!$A$1:$A$18))</f>
        <v>6</v>
      </c>
      <c r="J3" s="347">
        <v>45567.0</v>
      </c>
      <c r="K3" s="348"/>
      <c r="L3" s="350" t="s">
        <v>1417</v>
      </c>
      <c r="M3" s="337"/>
      <c r="N3" s="337"/>
      <c r="O3" s="337"/>
      <c r="P3" s="337"/>
      <c r="Q3" s="337"/>
      <c r="R3" s="337"/>
      <c r="S3" s="337"/>
      <c r="T3" s="337"/>
      <c r="U3" s="337"/>
      <c r="V3" s="337"/>
      <c r="W3" s="337"/>
      <c r="X3" s="337"/>
      <c r="Y3" s="337"/>
      <c r="Z3" s="337"/>
    </row>
    <row r="4">
      <c r="A4" s="351" t="s">
        <v>1418</v>
      </c>
      <c r="B4" s="352" t="s">
        <v>1419</v>
      </c>
      <c r="C4" s="353" t="s">
        <v>1420</v>
      </c>
      <c r="D4" s="354" t="s">
        <v>1421</v>
      </c>
      <c r="E4" s="355">
        <v>45581.0</v>
      </c>
      <c r="F4" s="355">
        <v>45581.0</v>
      </c>
      <c r="G4" s="355">
        <v>45582.0</v>
      </c>
      <c r="H4" s="356">
        <v>45590.0</v>
      </c>
      <c r="I4" s="357">
        <f>IF(ISBLANK(H4), NETWORKDAYS(F4, TODAY(),Hoja2!$A$1:$A$18), NETWORKDAYS(F4, H4, Hoja2!$A$1:$A$18))</f>
        <v>8</v>
      </c>
      <c r="J4" s="356">
        <v>45590.0</v>
      </c>
      <c r="K4" s="355"/>
      <c r="L4" s="351" t="s">
        <v>1422</v>
      </c>
      <c r="M4" s="358"/>
      <c r="N4" s="358"/>
      <c r="O4" s="358"/>
      <c r="P4" s="358"/>
      <c r="Q4" s="358"/>
      <c r="R4" s="358"/>
      <c r="S4" s="358"/>
      <c r="T4" s="358"/>
      <c r="U4" s="358"/>
      <c r="V4" s="358"/>
      <c r="W4" s="358"/>
      <c r="X4" s="358"/>
      <c r="Y4" s="358"/>
      <c r="Z4" s="358"/>
    </row>
    <row r="5">
      <c r="A5" s="336" t="s">
        <v>1411</v>
      </c>
      <c r="B5" s="352" t="s">
        <v>1423</v>
      </c>
      <c r="C5" s="346" t="s">
        <v>1424</v>
      </c>
      <c r="D5" s="359" t="s">
        <v>695</v>
      </c>
      <c r="E5" s="347">
        <v>45572.0</v>
      </c>
      <c r="F5" s="347">
        <v>45590.0</v>
      </c>
      <c r="G5" s="347"/>
      <c r="H5" s="347">
        <v>45594.0</v>
      </c>
      <c r="I5" s="349">
        <f>IF(ISBLANK(H5), NETWORKDAYS(F5, TODAY(),Hoja2!$A$1:$A$18), NETWORKDAYS(F5, H5, Hoja2!$A$1:$A$18))</f>
        <v>3</v>
      </c>
      <c r="J5" s="347">
        <v>45594.0</v>
      </c>
      <c r="K5" s="347"/>
      <c r="L5" s="350" t="s">
        <v>1425</v>
      </c>
      <c r="M5" s="337"/>
      <c r="N5" s="337"/>
      <c r="O5" s="337"/>
      <c r="P5" s="337"/>
      <c r="Q5" s="337"/>
      <c r="R5" s="337"/>
      <c r="S5" s="337"/>
      <c r="T5" s="337"/>
      <c r="U5" s="337"/>
      <c r="V5" s="337"/>
      <c r="W5" s="337"/>
      <c r="X5" s="337"/>
      <c r="Y5" s="337"/>
      <c r="Z5" s="337"/>
    </row>
    <row r="6">
      <c r="A6" s="360" t="s">
        <v>1426</v>
      </c>
      <c r="B6" s="360" t="s">
        <v>1427</v>
      </c>
      <c r="C6" s="354" t="s">
        <v>1428</v>
      </c>
      <c r="D6" s="360" t="s">
        <v>1429</v>
      </c>
      <c r="E6" s="361">
        <v>45602.0</v>
      </c>
      <c r="F6" s="361">
        <v>45602.0</v>
      </c>
      <c r="G6" s="360"/>
      <c r="H6" s="361">
        <v>45602.0</v>
      </c>
      <c r="I6" s="357">
        <f>IF(ISBLANK(H6), NETWORKDAYS(F6, TODAY(),Hoja2!$A$1:$A$18), NETWORKDAYS(F6, H6, Hoja2!$A$1:$A$18))</f>
        <v>1</v>
      </c>
      <c r="J6" s="361"/>
      <c r="K6" s="361">
        <v>45602.0</v>
      </c>
      <c r="L6" s="362" t="s">
        <v>1430</v>
      </c>
      <c r="M6" s="363"/>
      <c r="N6" s="364"/>
      <c r="O6" s="364"/>
      <c r="P6" s="364"/>
      <c r="Q6" s="364"/>
      <c r="R6" s="364"/>
      <c r="S6" s="364"/>
      <c r="T6" s="364"/>
      <c r="U6" s="364"/>
      <c r="V6" s="364"/>
      <c r="W6" s="364"/>
      <c r="X6" s="364"/>
      <c r="Y6" s="364"/>
      <c r="Z6" s="364"/>
    </row>
    <row r="7">
      <c r="A7" s="336" t="s">
        <v>1411</v>
      </c>
      <c r="B7" s="345" t="s">
        <v>1415</v>
      </c>
      <c r="C7" s="365" t="s">
        <v>1431</v>
      </c>
      <c r="D7" s="359" t="s">
        <v>695</v>
      </c>
      <c r="E7" s="347">
        <v>45589.0</v>
      </c>
      <c r="F7" s="347">
        <v>45589.0</v>
      </c>
      <c r="G7" s="359"/>
      <c r="H7" s="366">
        <v>45603.0</v>
      </c>
      <c r="I7" s="349">
        <f>IF(ISBLANK(H7), NETWORKDAYS(F7, TODAY(),Hoja2!$A$1:$A$18), NETWORKDAYS(F7, H7, Hoja2!$A$1:$A$18))</f>
        <v>10</v>
      </c>
      <c r="J7" s="366">
        <v>45603.0</v>
      </c>
      <c r="K7" s="359"/>
      <c r="L7" s="367" t="s">
        <v>1432</v>
      </c>
      <c r="M7" s="368"/>
      <c r="N7" s="368"/>
      <c r="O7" s="368"/>
      <c r="P7" s="368"/>
      <c r="Q7" s="368"/>
      <c r="R7" s="368"/>
      <c r="S7" s="368"/>
      <c r="T7" s="368"/>
      <c r="U7" s="368"/>
      <c r="V7" s="368"/>
      <c r="W7" s="368"/>
      <c r="X7" s="368"/>
      <c r="Y7" s="368"/>
      <c r="Z7" s="368"/>
    </row>
    <row r="8">
      <c r="A8" s="369" t="s">
        <v>1411</v>
      </c>
      <c r="B8" s="370" t="s">
        <v>1433</v>
      </c>
      <c r="C8" s="371"/>
      <c r="D8" s="371" t="s">
        <v>1434</v>
      </c>
      <c r="E8" s="372">
        <v>45603.0</v>
      </c>
      <c r="F8" s="372">
        <v>45603.0</v>
      </c>
      <c r="G8" s="372"/>
      <c r="H8" s="372">
        <v>45610.0</v>
      </c>
      <c r="I8" s="373">
        <f>IF(ISBLANK(H8), NETWORKDAYS(F8, TODAY(),Hoja2!$A$1:$A$18), NETWORKDAYS(F8, H8, Hoja2!$A$1:$A$18))</f>
        <v>5</v>
      </c>
      <c r="J8" s="372">
        <v>45610.0</v>
      </c>
      <c r="K8" s="372"/>
      <c r="L8" s="374" t="s">
        <v>1435</v>
      </c>
      <c r="M8" s="337"/>
      <c r="N8" s="337"/>
      <c r="O8" s="337"/>
      <c r="P8" s="337"/>
      <c r="Q8" s="337"/>
      <c r="R8" s="337"/>
      <c r="S8" s="337"/>
      <c r="T8" s="337"/>
      <c r="U8" s="337"/>
      <c r="V8" s="337"/>
      <c r="W8" s="337"/>
      <c r="X8" s="337"/>
      <c r="Y8" s="337"/>
      <c r="Z8" s="337"/>
    </row>
    <row r="9">
      <c r="A9" s="375" t="s">
        <v>1436</v>
      </c>
      <c r="B9" s="376" t="s">
        <v>1437</v>
      </c>
      <c r="C9" s="377" t="s">
        <v>1438</v>
      </c>
      <c r="D9" s="378" t="s">
        <v>1439</v>
      </c>
      <c r="E9" s="379">
        <v>45671.0</v>
      </c>
      <c r="F9" s="380">
        <v>45673.0</v>
      </c>
      <c r="G9" s="377" t="s">
        <v>1440</v>
      </c>
      <c r="H9" s="379">
        <v>45680.0</v>
      </c>
      <c r="I9" s="357">
        <f>IF(ISBLANK(H9), NETWORKDAYS(F9, TODAY(),Hoja2!$A$1:$A$18), NETWORKDAYS(F9, H9, Hoja2!$A$1:$A$18))</f>
        <v>6</v>
      </c>
      <c r="J9" s="379">
        <v>45680.0</v>
      </c>
      <c r="K9" s="377"/>
      <c r="L9" s="381" t="s">
        <v>1441</v>
      </c>
      <c r="M9" s="382"/>
      <c r="N9" s="382"/>
      <c r="O9" s="382"/>
      <c r="P9" s="382"/>
      <c r="Q9" s="382"/>
      <c r="R9" s="382"/>
      <c r="S9" s="382"/>
      <c r="T9" s="382"/>
      <c r="U9" s="382"/>
      <c r="V9" s="382"/>
      <c r="W9" s="382"/>
      <c r="X9" s="382"/>
      <c r="Y9" s="382"/>
      <c r="Z9" s="382"/>
    </row>
    <row r="10">
      <c r="A10" s="375" t="s">
        <v>1436</v>
      </c>
      <c r="B10" s="383"/>
      <c r="C10" s="381" t="s">
        <v>1442</v>
      </c>
      <c r="D10" s="378" t="s">
        <v>1439</v>
      </c>
      <c r="E10" s="379">
        <v>45671.0</v>
      </c>
      <c r="F10" s="380">
        <v>45673.0</v>
      </c>
      <c r="G10" s="377"/>
      <c r="H10" s="379">
        <v>45674.0</v>
      </c>
      <c r="I10" s="357">
        <f>IF(ISBLANK(H10), NETWORKDAYS(F10, TODAY(),Hoja2!$A$1:$A$18), NETWORKDAYS(F10, H10, Hoja2!$A$1:$A$18))</f>
        <v>2</v>
      </c>
      <c r="J10" s="377"/>
      <c r="K10" s="377"/>
      <c r="L10" s="381" t="s">
        <v>1443</v>
      </c>
      <c r="M10" s="382"/>
      <c r="N10" s="382"/>
      <c r="O10" s="382"/>
      <c r="P10" s="382"/>
      <c r="Q10" s="382"/>
      <c r="R10" s="382"/>
      <c r="S10" s="382"/>
      <c r="T10" s="382"/>
      <c r="U10" s="382"/>
      <c r="V10" s="382"/>
      <c r="W10" s="382"/>
      <c r="X10" s="382"/>
      <c r="Y10" s="382"/>
      <c r="Z10" s="382"/>
    </row>
    <row r="11">
      <c r="A11" s="375" t="s">
        <v>1436</v>
      </c>
      <c r="B11" s="383"/>
      <c r="C11" s="381" t="s">
        <v>1444</v>
      </c>
      <c r="D11" s="378" t="s">
        <v>1439</v>
      </c>
      <c r="E11" s="379">
        <v>45671.0</v>
      </c>
      <c r="F11" s="380">
        <v>45673.0</v>
      </c>
      <c r="G11" s="377"/>
      <c r="H11" s="379">
        <v>45674.0</v>
      </c>
      <c r="I11" s="357">
        <f>IF(ISBLANK(H11), NETWORKDAYS(F11, TODAY(),Hoja2!$A$1:$A$18), NETWORKDAYS(F11, H11, Hoja2!$A$1:$A$18))</f>
        <v>2</v>
      </c>
      <c r="J11" s="377"/>
      <c r="K11" s="377"/>
      <c r="L11" s="381" t="s">
        <v>1443</v>
      </c>
      <c r="M11" s="382"/>
      <c r="N11" s="382"/>
      <c r="O11" s="382"/>
      <c r="P11" s="382"/>
      <c r="Q11" s="382"/>
      <c r="R11" s="382"/>
      <c r="S11" s="382"/>
      <c r="T11" s="382"/>
      <c r="U11" s="382"/>
      <c r="V11" s="382"/>
      <c r="W11" s="382"/>
      <c r="X11" s="382"/>
      <c r="Y11" s="382"/>
      <c r="Z11" s="382"/>
    </row>
    <row r="12">
      <c r="A12" s="375" t="s">
        <v>1436</v>
      </c>
      <c r="B12" s="383"/>
      <c r="C12" s="381" t="s">
        <v>1445</v>
      </c>
      <c r="D12" s="378" t="s">
        <v>1439</v>
      </c>
      <c r="E12" s="379">
        <v>45671.0</v>
      </c>
      <c r="F12" s="380">
        <v>45673.0</v>
      </c>
      <c r="G12" s="377"/>
      <c r="H12" s="379">
        <v>45674.0</v>
      </c>
      <c r="I12" s="357">
        <f>IF(ISBLANK(H12), NETWORKDAYS(F12, TODAY(),Hoja2!$A$1:$A$18), NETWORKDAYS(F12, H12, Hoja2!$A$1:$A$18))</f>
        <v>2</v>
      </c>
      <c r="J12" s="377"/>
      <c r="K12" s="377"/>
      <c r="L12" s="381" t="s">
        <v>1443</v>
      </c>
      <c r="M12" s="382"/>
      <c r="N12" s="382"/>
      <c r="O12" s="382"/>
      <c r="P12" s="382"/>
      <c r="Q12" s="382"/>
      <c r="R12" s="382"/>
      <c r="S12" s="382"/>
      <c r="T12" s="382"/>
      <c r="U12" s="382"/>
      <c r="V12" s="382"/>
      <c r="W12" s="382"/>
      <c r="X12" s="382"/>
      <c r="Y12" s="382"/>
      <c r="Z12" s="382"/>
    </row>
    <row r="13">
      <c r="A13" s="375" t="s">
        <v>1436</v>
      </c>
      <c r="B13" s="383"/>
      <c r="C13" s="381" t="s">
        <v>1446</v>
      </c>
      <c r="D13" s="378" t="s">
        <v>1439</v>
      </c>
      <c r="E13" s="379">
        <v>45671.0</v>
      </c>
      <c r="F13" s="380">
        <v>45673.0</v>
      </c>
      <c r="G13" s="377"/>
      <c r="H13" s="379">
        <v>45677.0</v>
      </c>
      <c r="I13" s="357">
        <f>IF(ISBLANK(H13), NETWORKDAYS(F13, TODAY(),Hoja2!$A$1:$A$18), NETWORKDAYS(F13, H13, Hoja2!$A$1:$A$18))</f>
        <v>3</v>
      </c>
      <c r="J13" s="377"/>
      <c r="K13" s="377"/>
      <c r="L13" s="381" t="s">
        <v>1443</v>
      </c>
      <c r="M13" s="382"/>
      <c r="N13" s="382"/>
      <c r="O13" s="382"/>
      <c r="P13" s="382"/>
      <c r="Q13" s="382"/>
      <c r="R13" s="382"/>
      <c r="S13" s="382"/>
      <c r="T13" s="382"/>
      <c r="U13" s="382"/>
      <c r="V13" s="382"/>
      <c r="W13" s="382"/>
      <c r="X13" s="382"/>
      <c r="Y13" s="382"/>
      <c r="Z13" s="382"/>
    </row>
    <row r="14">
      <c r="A14" s="375" t="s">
        <v>1436</v>
      </c>
      <c r="B14" s="383"/>
      <c r="C14" s="381" t="s">
        <v>1447</v>
      </c>
      <c r="D14" s="378" t="s">
        <v>1439</v>
      </c>
      <c r="E14" s="379">
        <v>45671.0</v>
      </c>
      <c r="F14" s="380">
        <v>45678.0</v>
      </c>
      <c r="G14" s="377"/>
      <c r="H14" s="380">
        <v>45678.0</v>
      </c>
      <c r="I14" s="357">
        <f>IF(ISBLANK(H14), NETWORKDAYS(F14, TODAY(),Hoja2!$A$1:$A$18), NETWORKDAYS(F14, H14, Hoja2!$A$1:$A$18))</f>
        <v>1</v>
      </c>
      <c r="J14" s="377"/>
      <c r="K14" s="377"/>
      <c r="L14" s="377" t="s">
        <v>1448</v>
      </c>
      <c r="M14" s="382"/>
      <c r="N14" s="382"/>
      <c r="O14" s="382"/>
      <c r="P14" s="382"/>
      <c r="Q14" s="382"/>
      <c r="R14" s="382"/>
      <c r="S14" s="382"/>
      <c r="T14" s="382"/>
      <c r="U14" s="382"/>
      <c r="V14" s="382"/>
      <c r="W14" s="382"/>
      <c r="X14" s="382"/>
      <c r="Y14" s="382"/>
      <c r="Z14" s="382"/>
    </row>
    <row r="15">
      <c r="A15" s="375" t="s">
        <v>1436</v>
      </c>
      <c r="B15" s="383"/>
      <c r="C15" s="381" t="s">
        <v>1449</v>
      </c>
      <c r="D15" s="378" t="s">
        <v>1439</v>
      </c>
      <c r="E15" s="379">
        <v>45671.0</v>
      </c>
      <c r="F15" s="380">
        <v>45679.0</v>
      </c>
      <c r="G15" s="377"/>
      <c r="H15" s="380">
        <v>45679.0</v>
      </c>
      <c r="I15" s="357">
        <f>IF(ISBLANK(H15), NETWORKDAYS(F15, TODAY(),Hoja2!$A$1:$A$18), NETWORKDAYS(F15, H15, Hoja2!$A$1:$A$18))</f>
        <v>1</v>
      </c>
      <c r="J15" s="377"/>
      <c r="K15" s="377"/>
      <c r="L15" s="377" t="s">
        <v>1448</v>
      </c>
      <c r="M15" s="382"/>
      <c r="N15" s="382"/>
      <c r="O15" s="382"/>
      <c r="P15" s="382"/>
      <c r="Q15" s="382"/>
      <c r="R15" s="382"/>
      <c r="S15" s="382"/>
      <c r="T15" s="382"/>
      <c r="U15" s="382"/>
      <c r="V15" s="382"/>
      <c r="W15" s="382"/>
      <c r="X15" s="382"/>
      <c r="Y15" s="382"/>
      <c r="Z15" s="382"/>
    </row>
    <row r="16">
      <c r="A16" s="375" t="s">
        <v>1436</v>
      </c>
      <c r="B16" s="384"/>
      <c r="C16" s="385" t="s">
        <v>1450</v>
      </c>
      <c r="D16" s="378" t="s">
        <v>1439</v>
      </c>
      <c r="E16" s="379">
        <v>45681.0</v>
      </c>
      <c r="F16" s="380">
        <v>45684.0</v>
      </c>
      <c r="G16" s="377"/>
      <c r="H16" s="379">
        <v>45685.0</v>
      </c>
      <c r="I16" s="357">
        <f>IF(ISBLANK(H16), NETWORKDAYS(F16, TODAY(),Hoja2!$A$1:$A$18), NETWORKDAYS(F16, H16, Hoja2!$A$1:$A$18))</f>
        <v>2</v>
      </c>
      <c r="J16" s="377"/>
      <c r="K16" s="377"/>
      <c r="L16" s="381" t="s">
        <v>1451</v>
      </c>
      <c r="M16" s="382"/>
      <c r="N16" s="382"/>
      <c r="O16" s="382"/>
      <c r="P16" s="382"/>
      <c r="Q16" s="382"/>
      <c r="R16" s="382"/>
      <c r="S16" s="382"/>
      <c r="T16" s="382"/>
      <c r="U16" s="382"/>
      <c r="V16" s="382"/>
      <c r="W16" s="382"/>
      <c r="X16" s="382"/>
      <c r="Y16" s="382"/>
      <c r="Z16" s="382"/>
    </row>
    <row r="17" ht="15.75" customHeight="1">
      <c r="A17" s="343"/>
      <c r="B17" s="343"/>
      <c r="C17" s="343"/>
      <c r="D17" s="343"/>
      <c r="E17" s="343"/>
      <c r="F17" s="343"/>
      <c r="G17" s="343"/>
      <c r="H17" s="343"/>
      <c r="I17" s="343"/>
      <c r="J17" s="343"/>
      <c r="K17" s="343"/>
      <c r="L17" s="343"/>
      <c r="M17" s="343"/>
      <c r="N17" s="343"/>
      <c r="O17" s="343"/>
      <c r="P17" s="343"/>
      <c r="Q17" s="343"/>
      <c r="R17" s="343"/>
      <c r="S17" s="343"/>
      <c r="T17" s="343"/>
      <c r="U17" s="343"/>
      <c r="V17" s="343"/>
      <c r="W17" s="343"/>
      <c r="X17" s="343"/>
      <c r="Y17" s="343"/>
      <c r="Z17" s="343"/>
    </row>
    <row r="18" ht="15.75" customHeight="1">
      <c r="A18" s="343"/>
      <c r="B18" s="343"/>
      <c r="C18" s="343"/>
      <c r="D18" s="343"/>
      <c r="E18" s="343"/>
      <c r="F18" s="343"/>
      <c r="G18" s="343"/>
      <c r="H18" s="343"/>
      <c r="I18" s="343"/>
      <c r="J18" s="343"/>
      <c r="K18" s="343"/>
      <c r="L18" s="343"/>
      <c r="M18" s="343"/>
      <c r="N18" s="343"/>
      <c r="O18" s="343"/>
      <c r="P18" s="343"/>
      <c r="Q18" s="343"/>
      <c r="R18" s="343"/>
      <c r="S18" s="343"/>
      <c r="T18" s="343"/>
      <c r="U18" s="343"/>
      <c r="V18" s="343"/>
      <c r="W18" s="343"/>
      <c r="X18" s="343"/>
      <c r="Y18" s="343"/>
      <c r="Z18" s="343"/>
    </row>
    <row r="19" ht="15.75" customHeight="1">
      <c r="A19" s="343"/>
      <c r="B19" s="343"/>
      <c r="C19" s="343"/>
      <c r="D19" s="343"/>
      <c r="E19" s="343"/>
      <c r="F19" s="343"/>
      <c r="G19" s="343"/>
      <c r="H19" s="343"/>
      <c r="I19" s="343"/>
      <c r="J19" s="343"/>
      <c r="K19" s="343"/>
      <c r="L19" s="343"/>
      <c r="M19" s="343"/>
      <c r="N19" s="343"/>
      <c r="O19" s="343"/>
      <c r="P19" s="343"/>
      <c r="Q19" s="343"/>
      <c r="R19" s="343"/>
      <c r="S19" s="343"/>
      <c r="T19" s="343"/>
      <c r="U19" s="343"/>
      <c r="V19" s="343"/>
      <c r="W19" s="343"/>
      <c r="X19" s="343"/>
      <c r="Y19" s="343"/>
      <c r="Z19" s="343"/>
    </row>
    <row r="20" ht="15.75" customHeight="1">
      <c r="A20" s="343"/>
      <c r="B20" s="343"/>
      <c r="C20" s="343"/>
      <c r="D20" s="343"/>
      <c r="E20" s="343"/>
      <c r="F20" s="343"/>
      <c r="G20" s="343"/>
      <c r="H20" s="343"/>
      <c r="I20" s="343"/>
      <c r="J20" s="343"/>
      <c r="K20" s="343"/>
      <c r="L20" s="343"/>
      <c r="M20" s="343"/>
      <c r="N20" s="343"/>
      <c r="O20" s="343"/>
      <c r="P20" s="343"/>
      <c r="Q20" s="343"/>
      <c r="R20" s="343"/>
      <c r="S20" s="343"/>
      <c r="T20" s="343"/>
      <c r="U20" s="343"/>
      <c r="V20" s="343"/>
      <c r="W20" s="343"/>
      <c r="X20" s="343"/>
      <c r="Y20" s="343"/>
      <c r="Z20" s="343"/>
    </row>
    <row r="21" ht="15.75" customHeight="1">
      <c r="A21" s="343"/>
      <c r="B21" s="343"/>
      <c r="C21" s="343"/>
      <c r="D21" s="343"/>
      <c r="E21" s="343"/>
      <c r="F21" s="343"/>
      <c r="G21" s="343"/>
      <c r="H21" s="343"/>
      <c r="I21" s="343"/>
      <c r="J21" s="343"/>
      <c r="K21" s="343"/>
      <c r="L21" s="343"/>
      <c r="M21" s="343"/>
      <c r="N21" s="343"/>
      <c r="O21" s="343"/>
      <c r="P21" s="343"/>
      <c r="Q21" s="343"/>
      <c r="R21" s="343"/>
      <c r="S21" s="343"/>
      <c r="T21" s="343"/>
      <c r="U21" s="343"/>
      <c r="V21" s="343"/>
      <c r="W21" s="343"/>
      <c r="X21" s="343"/>
      <c r="Y21" s="343"/>
      <c r="Z21" s="343"/>
    </row>
    <row r="22" ht="15.75" customHeight="1">
      <c r="A22" s="343"/>
      <c r="B22" s="343"/>
      <c r="C22" s="343"/>
      <c r="D22" s="343"/>
      <c r="E22" s="343"/>
      <c r="F22" s="343"/>
      <c r="G22" s="343"/>
      <c r="H22" s="343"/>
      <c r="I22" s="343"/>
      <c r="J22" s="343"/>
      <c r="K22" s="343"/>
      <c r="L22" s="343"/>
      <c r="M22" s="343"/>
      <c r="N22" s="343"/>
      <c r="O22" s="343"/>
      <c r="P22" s="343"/>
      <c r="Q22" s="343"/>
      <c r="R22" s="343"/>
      <c r="S22" s="343"/>
      <c r="T22" s="343"/>
      <c r="U22" s="343"/>
      <c r="V22" s="343"/>
      <c r="W22" s="343"/>
      <c r="X22" s="343"/>
      <c r="Y22" s="343"/>
      <c r="Z22" s="343"/>
    </row>
    <row r="23" ht="15.75" customHeight="1">
      <c r="A23" s="343"/>
      <c r="B23" s="343"/>
      <c r="C23" s="343"/>
      <c r="D23" s="343"/>
      <c r="E23" s="343"/>
      <c r="F23" s="343"/>
      <c r="G23" s="343"/>
      <c r="H23" s="343"/>
      <c r="I23" s="343"/>
      <c r="J23" s="343"/>
      <c r="K23" s="343"/>
      <c r="L23" s="343"/>
      <c r="M23" s="343"/>
      <c r="N23" s="343"/>
      <c r="O23" s="343"/>
      <c r="P23" s="343"/>
      <c r="Q23" s="343"/>
      <c r="R23" s="343"/>
      <c r="S23" s="343"/>
      <c r="T23" s="343"/>
      <c r="U23" s="343"/>
      <c r="V23" s="343"/>
      <c r="W23" s="343"/>
      <c r="X23" s="343"/>
      <c r="Y23" s="343"/>
      <c r="Z23" s="343"/>
    </row>
    <row r="24" ht="15.75" customHeight="1">
      <c r="A24" s="343"/>
      <c r="B24" s="343"/>
      <c r="C24" s="343"/>
      <c r="D24" s="343"/>
      <c r="E24" s="343"/>
      <c r="F24" s="343"/>
      <c r="G24" s="343"/>
      <c r="H24" s="343"/>
      <c r="I24" s="343"/>
      <c r="J24" s="343"/>
      <c r="K24" s="343"/>
      <c r="L24" s="343"/>
      <c r="M24" s="343"/>
      <c r="N24" s="343"/>
      <c r="O24" s="343"/>
      <c r="P24" s="343"/>
      <c r="Q24" s="343"/>
      <c r="R24" s="343"/>
      <c r="S24" s="343"/>
      <c r="T24" s="343"/>
      <c r="U24" s="343"/>
      <c r="V24" s="343"/>
      <c r="W24" s="343"/>
      <c r="X24" s="343"/>
      <c r="Y24" s="343"/>
      <c r="Z24" s="343"/>
    </row>
    <row r="25" ht="15.75" customHeight="1">
      <c r="A25" s="343"/>
      <c r="B25" s="343"/>
      <c r="C25" s="343"/>
      <c r="D25" s="343"/>
      <c r="E25" s="343"/>
      <c r="F25" s="343"/>
      <c r="G25" s="343"/>
      <c r="H25" s="343"/>
      <c r="I25" s="343"/>
      <c r="J25" s="343"/>
      <c r="K25" s="343"/>
      <c r="L25" s="343"/>
      <c r="M25" s="343"/>
      <c r="N25" s="343"/>
      <c r="O25" s="343"/>
      <c r="P25" s="343"/>
      <c r="Q25" s="343"/>
      <c r="R25" s="343"/>
      <c r="S25" s="343"/>
      <c r="T25" s="343"/>
      <c r="U25" s="343"/>
      <c r="V25" s="343"/>
      <c r="W25" s="343"/>
      <c r="X25" s="343"/>
      <c r="Y25" s="343"/>
      <c r="Z25" s="343"/>
    </row>
    <row r="26" ht="15.75" customHeight="1">
      <c r="A26" s="343"/>
      <c r="B26" s="343"/>
      <c r="C26" s="343"/>
      <c r="D26" s="343"/>
      <c r="E26" s="343"/>
      <c r="F26" s="343"/>
      <c r="G26" s="343"/>
      <c r="H26" s="343"/>
      <c r="I26" s="343"/>
      <c r="J26" s="343"/>
      <c r="K26" s="343"/>
      <c r="L26" s="343"/>
      <c r="M26" s="343"/>
      <c r="N26" s="343"/>
      <c r="O26" s="343"/>
      <c r="P26" s="343"/>
      <c r="Q26" s="343"/>
      <c r="R26" s="343"/>
      <c r="S26" s="343"/>
      <c r="T26" s="343"/>
      <c r="U26" s="343"/>
      <c r="V26" s="343"/>
      <c r="W26" s="343"/>
      <c r="X26" s="343"/>
      <c r="Y26" s="343"/>
      <c r="Z26" s="343"/>
    </row>
    <row r="27" ht="15.75" customHeight="1">
      <c r="A27" s="343"/>
      <c r="B27" s="343"/>
      <c r="C27" s="343"/>
      <c r="D27" s="343"/>
      <c r="E27" s="343"/>
      <c r="F27" s="343"/>
      <c r="G27" s="343"/>
      <c r="H27" s="343"/>
      <c r="I27" s="343"/>
      <c r="J27" s="343"/>
      <c r="K27" s="343"/>
      <c r="L27" s="343"/>
      <c r="M27" s="343"/>
      <c r="N27" s="343"/>
      <c r="O27" s="343"/>
      <c r="P27" s="343"/>
      <c r="Q27" s="343"/>
      <c r="R27" s="343"/>
      <c r="S27" s="343"/>
      <c r="T27" s="343"/>
      <c r="U27" s="343"/>
      <c r="V27" s="343"/>
      <c r="W27" s="343"/>
      <c r="X27" s="343"/>
      <c r="Y27" s="343"/>
      <c r="Z27" s="343"/>
    </row>
    <row r="28" ht="15.75" customHeight="1">
      <c r="A28" s="343"/>
      <c r="B28" s="343"/>
      <c r="C28" s="343"/>
      <c r="D28" s="343"/>
      <c r="E28" s="343"/>
      <c r="F28" s="343"/>
      <c r="G28" s="343"/>
      <c r="H28" s="343"/>
      <c r="I28" s="343"/>
      <c r="J28" s="343"/>
      <c r="K28" s="343"/>
      <c r="L28" s="343"/>
      <c r="M28" s="343"/>
      <c r="N28" s="343"/>
      <c r="O28" s="343"/>
      <c r="P28" s="343"/>
      <c r="Q28" s="343"/>
      <c r="R28" s="343"/>
      <c r="S28" s="343"/>
      <c r="T28" s="343"/>
      <c r="U28" s="343"/>
      <c r="V28" s="343"/>
      <c r="W28" s="343"/>
      <c r="X28" s="343"/>
      <c r="Y28" s="343"/>
      <c r="Z28" s="343"/>
    </row>
    <row r="29" ht="15.75" customHeight="1">
      <c r="A29" s="343"/>
      <c r="B29" s="343"/>
      <c r="C29" s="343"/>
      <c r="D29" s="343"/>
      <c r="E29" s="343"/>
      <c r="F29" s="343"/>
      <c r="G29" s="343"/>
      <c r="H29" s="343"/>
      <c r="I29" s="343"/>
      <c r="J29" s="343"/>
      <c r="K29" s="343"/>
      <c r="L29" s="343"/>
      <c r="M29" s="343"/>
      <c r="N29" s="343"/>
      <c r="O29" s="343"/>
      <c r="P29" s="343"/>
      <c r="Q29" s="343"/>
      <c r="R29" s="343"/>
      <c r="S29" s="343"/>
      <c r="T29" s="343"/>
      <c r="U29" s="343"/>
      <c r="V29" s="343"/>
      <c r="W29" s="343"/>
      <c r="X29" s="343"/>
      <c r="Y29" s="343"/>
      <c r="Z29" s="343"/>
    </row>
    <row r="30" ht="15.75" customHeight="1">
      <c r="A30" s="343"/>
      <c r="B30" s="343"/>
      <c r="C30" s="343"/>
      <c r="D30" s="343"/>
      <c r="E30" s="343"/>
      <c r="F30" s="343"/>
      <c r="G30" s="343"/>
      <c r="H30" s="343"/>
      <c r="I30" s="343"/>
      <c r="J30" s="343"/>
      <c r="K30" s="343"/>
      <c r="L30" s="343"/>
      <c r="M30" s="343"/>
      <c r="N30" s="343"/>
      <c r="O30" s="343"/>
      <c r="P30" s="343"/>
      <c r="Q30" s="343"/>
      <c r="R30" s="343"/>
      <c r="S30" s="343"/>
      <c r="T30" s="343"/>
      <c r="U30" s="343"/>
      <c r="V30" s="343"/>
      <c r="W30" s="343"/>
      <c r="X30" s="343"/>
      <c r="Y30" s="343"/>
      <c r="Z30" s="343"/>
    </row>
    <row r="31" ht="15.75" customHeight="1">
      <c r="A31" s="343"/>
      <c r="B31" s="343"/>
      <c r="C31" s="343"/>
      <c r="D31" s="343"/>
      <c r="E31" s="343"/>
      <c r="F31" s="343"/>
      <c r="G31" s="343"/>
      <c r="H31" s="343"/>
      <c r="I31" s="343"/>
      <c r="J31" s="343"/>
      <c r="K31" s="343"/>
      <c r="L31" s="343"/>
      <c r="M31" s="343"/>
      <c r="N31" s="343"/>
      <c r="O31" s="343"/>
      <c r="P31" s="343"/>
      <c r="Q31" s="343"/>
      <c r="R31" s="343"/>
      <c r="S31" s="343"/>
      <c r="T31" s="343"/>
      <c r="U31" s="343"/>
      <c r="V31" s="343"/>
      <c r="W31" s="343"/>
      <c r="X31" s="343"/>
      <c r="Y31" s="343"/>
      <c r="Z31" s="343"/>
    </row>
    <row r="32" ht="15.75" customHeight="1">
      <c r="A32" s="343"/>
      <c r="B32" s="343"/>
      <c r="C32" s="343"/>
      <c r="D32" s="343"/>
      <c r="E32" s="343"/>
      <c r="F32" s="343"/>
      <c r="G32" s="343"/>
      <c r="H32" s="343"/>
      <c r="I32" s="343"/>
      <c r="J32" s="343"/>
      <c r="K32" s="343"/>
      <c r="L32" s="343"/>
      <c r="M32" s="343"/>
      <c r="N32" s="343"/>
      <c r="O32" s="343"/>
      <c r="P32" s="343"/>
      <c r="Q32" s="343"/>
      <c r="R32" s="343"/>
      <c r="S32" s="343"/>
      <c r="T32" s="343"/>
      <c r="U32" s="343"/>
      <c r="V32" s="343"/>
      <c r="W32" s="343"/>
      <c r="X32" s="343"/>
      <c r="Y32" s="343"/>
      <c r="Z32" s="343"/>
    </row>
    <row r="33" ht="15.75" customHeight="1">
      <c r="A33" s="343"/>
      <c r="B33" s="343"/>
      <c r="C33" s="343"/>
      <c r="D33" s="343"/>
      <c r="E33" s="343"/>
      <c r="F33" s="343"/>
      <c r="G33" s="343"/>
      <c r="H33" s="343"/>
      <c r="I33" s="343"/>
      <c r="J33" s="343"/>
      <c r="K33" s="343"/>
      <c r="L33" s="343"/>
      <c r="M33" s="343"/>
      <c r="N33" s="343"/>
      <c r="O33" s="343"/>
      <c r="P33" s="343"/>
      <c r="Q33" s="343"/>
      <c r="R33" s="343"/>
      <c r="S33" s="343"/>
      <c r="T33" s="343"/>
      <c r="U33" s="343"/>
      <c r="V33" s="343"/>
      <c r="W33" s="343"/>
      <c r="X33" s="343"/>
      <c r="Y33" s="343"/>
      <c r="Z33" s="343"/>
    </row>
    <row r="34" ht="15.75" customHeight="1">
      <c r="A34" s="343"/>
      <c r="B34" s="343"/>
      <c r="C34" s="343"/>
      <c r="D34" s="343"/>
      <c r="E34" s="343"/>
      <c r="F34" s="343"/>
      <c r="G34" s="343"/>
      <c r="H34" s="343"/>
      <c r="I34" s="343"/>
      <c r="J34" s="343"/>
      <c r="K34" s="343"/>
      <c r="L34" s="343"/>
      <c r="M34" s="343"/>
      <c r="N34" s="343"/>
      <c r="O34" s="343"/>
      <c r="P34" s="343"/>
      <c r="Q34" s="343"/>
      <c r="R34" s="343"/>
      <c r="S34" s="343"/>
      <c r="T34" s="343"/>
      <c r="U34" s="343"/>
      <c r="V34" s="343"/>
      <c r="W34" s="343"/>
      <c r="X34" s="343"/>
      <c r="Y34" s="343"/>
      <c r="Z34" s="343"/>
    </row>
    <row r="35" ht="15.75" customHeight="1">
      <c r="A35" s="343"/>
      <c r="B35" s="343"/>
      <c r="C35" s="343"/>
      <c r="D35" s="343"/>
      <c r="E35" s="343"/>
      <c r="F35" s="343"/>
      <c r="G35" s="343"/>
      <c r="H35" s="343"/>
      <c r="I35" s="343"/>
      <c r="J35" s="343"/>
      <c r="K35" s="343"/>
      <c r="L35" s="343"/>
      <c r="M35" s="343"/>
      <c r="N35" s="343"/>
      <c r="O35" s="343"/>
      <c r="P35" s="343"/>
      <c r="Q35" s="343"/>
      <c r="R35" s="343"/>
      <c r="S35" s="343"/>
      <c r="T35" s="343"/>
      <c r="U35" s="343"/>
      <c r="V35" s="343"/>
      <c r="W35" s="343"/>
      <c r="X35" s="343"/>
      <c r="Y35" s="343"/>
      <c r="Z35" s="343"/>
    </row>
    <row r="36" ht="15.75" customHeight="1">
      <c r="A36" s="343"/>
      <c r="B36" s="343"/>
      <c r="C36" s="343"/>
      <c r="D36" s="343"/>
      <c r="E36" s="343"/>
      <c r="F36" s="343"/>
      <c r="G36" s="343"/>
      <c r="H36" s="343"/>
      <c r="I36" s="343"/>
      <c r="J36" s="343"/>
      <c r="K36" s="343"/>
      <c r="L36" s="343"/>
      <c r="M36" s="343"/>
      <c r="N36" s="343"/>
      <c r="O36" s="343"/>
      <c r="P36" s="343"/>
      <c r="Q36" s="343"/>
      <c r="R36" s="343"/>
      <c r="S36" s="343"/>
      <c r="T36" s="343"/>
      <c r="U36" s="343"/>
      <c r="V36" s="343"/>
      <c r="W36" s="343"/>
      <c r="X36" s="343"/>
      <c r="Y36" s="343"/>
      <c r="Z36" s="343"/>
    </row>
    <row r="37" ht="15.75" customHeight="1">
      <c r="A37" s="343"/>
      <c r="B37" s="343"/>
      <c r="C37" s="343"/>
      <c r="D37" s="343"/>
      <c r="E37" s="343"/>
      <c r="F37" s="343"/>
      <c r="G37" s="343"/>
      <c r="H37" s="343"/>
      <c r="I37" s="343"/>
      <c r="J37" s="343"/>
      <c r="K37" s="343"/>
      <c r="L37" s="343"/>
      <c r="M37" s="343"/>
      <c r="N37" s="343"/>
      <c r="O37" s="343"/>
      <c r="P37" s="343"/>
      <c r="Q37" s="343"/>
      <c r="R37" s="343"/>
      <c r="S37" s="343"/>
      <c r="T37" s="343"/>
      <c r="U37" s="343"/>
      <c r="V37" s="343"/>
      <c r="W37" s="343"/>
      <c r="X37" s="343"/>
      <c r="Y37" s="343"/>
      <c r="Z37" s="343"/>
    </row>
    <row r="38" ht="15.75" customHeight="1">
      <c r="A38" s="343"/>
      <c r="B38" s="343"/>
      <c r="C38" s="343"/>
      <c r="D38" s="343"/>
      <c r="E38" s="343"/>
      <c r="F38" s="343"/>
      <c r="G38" s="343"/>
      <c r="H38" s="343"/>
      <c r="I38" s="343"/>
      <c r="J38" s="343"/>
      <c r="K38" s="343"/>
      <c r="L38" s="343"/>
      <c r="M38" s="343"/>
      <c r="N38" s="343"/>
      <c r="O38" s="343"/>
      <c r="P38" s="343"/>
      <c r="Q38" s="343"/>
      <c r="R38" s="343"/>
      <c r="S38" s="343"/>
      <c r="T38" s="343"/>
      <c r="U38" s="343"/>
      <c r="V38" s="343"/>
      <c r="W38" s="343"/>
      <c r="X38" s="343"/>
      <c r="Y38" s="343"/>
      <c r="Z38" s="343"/>
    </row>
    <row r="39" ht="15.75" customHeight="1">
      <c r="A39" s="343"/>
      <c r="B39" s="343"/>
      <c r="C39" s="343"/>
      <c r="D39" s="343"/>
      <c r="E39" s="343"/>
      <c r="F39" s="343"/>
      <c r="G39" s="343"/>
      <c r="H39" s="343"/>
      <c r="I39" s="343"/>
      <c r="J39" s="343"/>
      <c r="K39" s="343"/>
      <c r="L39" s="343"/>
      <c r="M39" s="343"/>
      <c r="N39" s="343"/>
      <c r="O39" s="343"/>
      <c r="P39" s="343"/>
      <c r="Q39" s="343"/>
      <c r="R39" s="343"/>
      <c r="S39" s="343"/>
      <c r="T39" s="343"/>
      <c r="U39" s="343"/>
      <c r="V39" s="343"/>
      <c r="W39" s="343"/>
      <c r="X39" s="343"/>
      <c r="Y39" s="343"/>
      <c r="Z39" s="343"/>
    </row>
    <row r="40" ht="15.75" customHeight="1">
      <c r="A40" s="343"/>
      <c r="B40" s="343"/>
      <c r="C40" s="343"/>
      <c r="D40" s="343"/>
      <c r="E40" s="343"/>
      <c r="F40" s="343"/>
      <c r="G40" s="343"/>
      <c r="H40" s="343"/>
      <c r="I40" s="343"/>
      <c r="J40" s="343"/>
      <c r="K40" s="343"/>
      <c r="L40" s="343"/>
      <c r="M40" s="343"/>
      <c r="N40" s="343"/>
      <c r="O40" s="343"/>
      <c r="P40" s="343"/>
      <c r="Q40" s="343"/>
      <c r="R40" s="343"/>
      <c r="S40" s="343"/>
      <c r="T40" s="343"/>
      <c r="U40" s="343"/>
      <c r="V40" s="343"/>
      <c r="W40" s="343"/>
      <c r="X40" s="343"/>
      <c r="Y40" s="343"/>
      <c r="Z40" s="343"/>
    </row>
    <row r="41" ht="15.75" customHeight="1">
      <c r="A41" s="343"/>
      <c r="B41" s="343"/>
      <c r="C41" s="343"/>
      <c r="D41" s="343"/>
      <c r="E41" s="343"/>
      <c r="F41" s="343"/>
      <c r="G41" s="343"/>
      <c r="H41" s="343"/>
      <c r="I41" s="343"/>
      <c r="J41" s="343"/>
      <c r="K41" s="343"/>
      <c r="L41" s="343"/>
      <c r="M41" s="343"/>
      <c r="N41" s="343"/>
      <c r="O41" s="343"/>
      <c r="P41" s="343"/>
      <c r="Q41" s="343"/>
      <c r="R41" s="343"/>
      <c r="S41" s="343"/>
      <c r="T41" s="343"/>
      <c r="U41" s="343"/>
      <c r="V41" s="343"/>
      <c r="W41" s="343"/>
      <c r="X41" s="343"/>
      <c r="Y41" s="343"/>
      <c r="Z41" s="343"/>
    </row>
    <row r="42" ht="15.75" customHeight="1">
      <c r="A42" s="343"/>
      <c r="B42" s="343"/>
      <c r="C42" s="343"/>
      <c r="D42" s="343"/>
      <c r="E42" s="343"/>
      <c r="F42" s="343"/>
      <c r="G42" s="343"/>
      <c r="H42" s="343"/>
      <c r="I42" s="343"/>
      <c r="J42" s="343"/>
      <c r="K42" s="343"/>
      <c r="L42" s="343"/>
      <c r="M42" s="343"/>
      <c r="N42" s="343"/>
      <c r="O42" s="343"/>
      <c r="P42" s="343"/>
      <c r="Q42" s="343"/>
      <c r="R42" s="343"/>
      <c r="S42" s="343"/>
      <c r="T42" s="343"/>
      <c r="U42" s="343"/>
      <c r="V42" s="343"/>
      <c r="W42" s="343"/>
      <c r="X42" s="343"/>
      <c r="Y42" s="343"/>
      <c r="Z42" s="343"/>
    </row>
    <row r="43" ht="15.75" customHeight="1">
      <c r="A43" s="343"/>
      <c r="B43" s="343"/>
      <c r="C43" s="343"/>
      <c r="D43" s="343"/>
      <c r="E43" s="343"/>
      <c r="F43" s="343"/>
      <c r="G43" s="343"/>
      <c r="H43" s="343"/>
      <c r="I43" s="343"/>
      <c r="J43" s="343"/>
      <c r="K43" s="343"/>
      <c r="L43" s="343"/>
      <c r="M43" s="343"/>
      <c r="N43" s="343"/>
      <c r="O43" s="343"/>
      <c r="P43" s="343"/>
      <c r="Q43" s="343"/>
      <c r="R43" s="343"/>
      <c r="S43" s="343"/>
      <c r="T43" s="343"/>
      <c r="U43" s="343"/>
      <c r="V43" s="343"/>
      <c r="W43" s="343"/>
      <c r="X43" s="343"/>
      <c r="Y43" s="343"/>
      <c r="Z43" s="343"/>
    </row>
    <row r="44" ht="15.75" customHeight="1">
      <c r="A44" s="343"/>
      <c r="B44" s="343"/>
      <c r="C44" s="343"/>
      <c r="D44" s="343"/>
      <c r="E44" s="343"/>
      <c r="F44" s="343"/>
      <c r="G44" s="343"/>
      <c r="H44" s="343"/>
      <c r="I44" s="343"/>
      <c r="J44" s="343"/>
      <c r="K44" s="343"/>
      <c r="L44" s="343"/>
      <c r="M44" s="343"/>
      <c r="N44" s="343"/>
      <c r="O44" s="343"/>
      <c r="P44" s="343"/>
      <c r="Q44" s="343"/>
      <c r="R44" s="343"/>
      <c r="S44" s="343"/>
      <c r="T44" s="343"/>
      <c r="U44" s="343"/>
      <c r="V44" s="343"/>
      <c r="W44" s="343"/>
      <c r="X44" s="343"/>
      <c r="Y44" s="343"/>
      <c r="Z44" s="343"/>
    </row>
    <row r="45" ht="15.75" customHeight="1">
      <c r="A45" s="343"/>
      <c r="B45" s="343"/>
      <c r="C45" s="343"/>
      <c r="D45" s="343"/>
      <c r="E45" s="343"/>
      <c r="F45" s="343"/>
      <c r="G45" s="343"/>
      <c r="H45" s="343"/>
      <c r="I45" s="343"/>
      <c r="J45" s="343"/>
      <c r="K45" s="343"/>
      <c r="L45" s="343"/>
      <c r="M45" s="343"/>
      <c r="N45" s="343"/>
      <c r="O45" s="343"/>
      <c r="P45" s="343"/>
      <c r="Q45" s="343"/>
      <c r="R45" s="343"/>
      <c r="S45" s="343"/>
      <c r="T45" s="343"/>
      <c r="U45" s="343"/>
      <c r="V45" s="343"/>
      <c r="W45" s="343"/>
      <c r="X45" s="343"/>
      <c r="Y45" s="343"/>
      <c r="Z45" s="343"/>
    </row>
    <row r="46" ht="15.75" customHeight="1">
      <c r="A46" s="343"/>
      <c r="B46" s="343"/>
      <c r="C46" s="343"/>
      <c r="D46" s="343"/>
      <c r="E46" s="343"/>
      <c r="F46" s="343"/>
      <c r="G46" s="343"/>
      <c r="H46" s="343"/>
      <c r="I46" s="343"/>
      <c r="J46" s="343"/>
      <c r="K46" s="343"/>
      <c r="L46" s="343"/>
      <c r="M46" s="343"/>
      <c r="N46" s="343"/>
      <c r="O46" s="343"/>
      <c r="P46" s="343"/>
      <c r="Q46" s="343"/>
      <c r="R46" s="343"/>
      <c r="S46" s="343"/>
      <c r="T46" s="343"/>
      <c r="U46" s="343"/>
      <c r="V46" s="343"/>
      <c r="W46" s="343"/>
      <c r="X46" s="343"/>
      <c r="Y46" s="343"/>
      <c r="Z46" s="343"/>
    </row>
    <row r="47" ht="15.75" customHeight="1">
      <c r="A47" s="343"/>
      <c r="B47" s="343"/>
      <c r="C47" s="343"/>
      <c r="D47" s="343"/>
      <c r="E47" s="343"/>
      <c r="F47" s="343"/>
      <c r="G47" s="343"/>
      <c r="H47" s="343"/>
      <c r="I47" s="343"/>
      <c r="J47" s="343"/>
      <c r="K47" s="343"/>
      <c r="L47" s="343"/>
      <c r="M47" s="343"/>
      <c r="N47" s="343"/>
      <c r="O47" s="343"/>
      <c r="P47" s="343"/>
      <c r="Q47" s="343"/>
      <c r="R47" s="343"/>
      <c r="S47" s="343"/>
      <c r="T47" s="343"/>
      <c r="U47" s="343"/>
      <c r="V47" s="343"/>
      <c r="W47" s="343"/>
      <c r="X47" s="343"/>
      <c r="Y47" s="343"/>
      <c r="Z47" s="343"/>
    </row>
    <row r="48" ht="15.75" customHeight="1">
      <c r="A48" s="343"/>
      <c r="B48" s="343"/>
      <c r="C48" s="343"/>
      <c r="D48" s="343"/>
      <c r="E48" s="343"/>
      <c r="F48" s="343"/>
      <c r="G48" s="343"/>
      <c r="H48" s="343"/>
      <c r="I48" s="343"/>
      <c r="J48" s="343"/>
      <c r="K48" s="343"/>
      <c r="L48" s="343"/>
      <c r="M48" s="343"/>
      <c r="N48" s="343"/>
      <c r="O48" s="343"/>
      <c r="P48" s="343"/>
      <c r="Q48" s="343"/>
      <c r="R48" s="343"/>
      <c r="S48" s="343"/>
      <c r="T48" s="343"/>
      <c r="U48" s="343"/>
      <c r="V48" s="343"/>
      <c r="W48" s="343"/>
      <c r="X48" s="343"/>
      <c r="Y48" s="343"/>
      <c r="Z48" s="343"/>
    </row>
    <row r="49" ht="15.75" customHeight="1">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row>
    <row r="50" ht="15.75" customHeight="1">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row>
    <row r="51" ht="15.75" customHeight="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row>
    <row r="52" ht="15.75" customHeight="1">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row>
    <row r="53" ht="15.75" customHeight="1">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row>
    <row r="54" ht="15.75" customHeight="1">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row>
    <row r="55" ht="15.75" customHeight="1">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row>
    <row r="56" ht="15.75" customHeight="1">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row>
    <row r="57" ht="15.75" customHeight="1">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row>
    <row r="58" ht="15.75" customHeight="1">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row>
    <row r="59" ht="15.75" customHeight="1">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row>
    <row r="60" ht="15.75" customHeight="1">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row>
    <row r="61" ht="15.75" customHeight="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row>
    <row r="62" ht="15.75" customHeight="1">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row>
    <row r="63" ht="15.75" customHeight="1">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row>
    <row r="64" ht="15.75" customHeight="1">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row>
    <row r="65" ht="15.75" customHeight="1">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row>
    <row r="66" ht="15.75" customHeight="1">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row>
    <row r="67" ht="15.75" customHeight="1">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row>
    <row r="68" ht="15.75" customHeight="1">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row>
    <row r="69" ht="15.75" customHeight="1">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row>
    <row r="70" ht="15.75" customHeight="1">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row>
    <row r="71" ht="15.75" customHeight="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row>
    <row r="72" ht="15.75" customHeight="1">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row>
    <row r="73" ht="15.75" customHeight="1">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row>
    <row r="74" ht="15.75" customHeight="1">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row>
    <row r="75" ht="15.75" customHeight="1">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row>
    <row r="76" ht="15.75" customHeight="1">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row>
    <row r="77" ht="15.75" customHeight="1">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row>
    <row r="78" ht="15.75" customHeight="1">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row>
    <row r="79" ht="15.75" customHeight="1">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row>
    <row r="80" ht="15.75" customHeight="1">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row>
    <row r="81" ht="15.75" customHeight="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row>
    <row r="82" ht="15.75" customHeight="1">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row>
    <row r="83" ht="15.75" customHeight="1">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row>
    <row r="84" ht="15.75" customHeight="1">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row>
    <row r="85" ht="15.75" customHeight="1">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row>
    <row r="86" ht="15.75" customHeight="1">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row>
    <row r="87" ht="15.75" customHeight="1">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row>
    <row r="88" ht="15.75" customHeight="1">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row>
    <row r="89" ht="15.75" customHeight="1">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row>
    <row r="90" ht="15.75" customHeight="1">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row>
    <row r="91" ht="15.75" customHeight="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row>
    <row r="92" ht="15.75" customHeight="1">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row>
    <row r="93" ht="15.75" customHeight="1">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row>
    <row r="94" ht="15.75" customHeight="1">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row>
    <row r="95" ht="15.75" customHeight="1">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row>
    <row r="96" ht="15.75" customHeight="1">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row>
    <row r="97" ht="15.75" customHeight="1">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row>
    <row r="98" ht="15.75" customHeight="1">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row>
    <row r="99" ht="15.75" customHeight="1">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row>
    <row r="100" ht="15.75" customHeight="1">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row>
    <row r="101" ht="15.75" customHeight="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row>
    <row r="102" ht="15.75" customHeight="1">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row>
    <row r="103" ht="15.75" customHeight="1">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row>
    <row r="104" ht="15.75" customHeight="1">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row>
    <row r="105" ht="15.75" customHeight="1">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row>
    <row r="106" ht="15.75" customHeight="1">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row>
    <row r="107" ht="15.75" customHeight="1">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row>
    <row r="108" ht="15.75" customHeight="1">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row>
    <row r="109" ht="15.75" customHeight="1">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row>
    <row r="110" ht="15.75" customHeight="1">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row>
    <row r="111" ht="15.75" customHeight="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row>
    <row r="112" ht="15.75" customHeight="1">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row>
    <row r="113" ht="15.75" customHeight="1">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row>
    <row r="114" ht="15.75" customHeight="1">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row>
    <row r="115" ht="15.75" customHeight="1">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row>
    <row r="116" ht="15.75" customHeight="1">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row>
    <row r="117" ht="15.75" customHeight="1">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row>
    <row r="118" ht="15.75" customHeight="1">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row>
    <row r="119" ht="15.75" customHeight="1">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row>
    <row r="120" ht="15.75" customHeight="1">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row>
    <row r="121" ht="15.75" customHeight="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row>
    <row r="122" ht="15.75" customHeight="1">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row>
    <row r="123" ht="15.75" customHeight="1">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row>
    <row r="124" ht="15.75" customHeight="1">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row>
    <row r="125" ht="15.75" customHeight="1">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row>
    <row r="126" ht="15.75" customHeight="1">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row>
    <row r="127" ht="15.75" customHeight="1">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row>
    <row r="128" ht="15.75" customHeight="1">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row>
    <row r="129" ht="15.75" customHeight="1">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row>
    <row r="130" ht="15.75" customHeight="1">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row>
    <row r="131" ht="15.75" customHeight="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row>
    <row r="132" ht="15.75" customHeight="1">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row>
    <row r="133" ht="15.75" customHeight="1">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row>
    <row r="134" ht="15.75" customHeight="1">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row>
    <row r="135" ht="15.75" customHeight="1">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row>
    <row r="136" ht="15.75" customHeight="1">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row>
    <row r="137" ht="15.75" customHeight="1">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row>
    <row r="138" ht="15.75" customHeight="1">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row>
    <row r="139" ht="15.75" customHeight="1">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row>
    <row r="140" ht="15.75" customHeight="1">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row>
    <row r="141" ht="15.75" customHeight="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row>
    <row r="142" ht="15.75" customHeight="1">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row>
    <row r="143" ht="15.75" customHeight="1">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row>
    <row r="144" ht="15.75" customHeight="1">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row>
    <row r="145" ht="15.75" customHeight="1">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row>
    <row r="146" ht="15.75" customHeight="1">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row>
    <row r="147" ht="15.75" customHeight="1">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row>
    <row r="148" ht="15.75" customHeight="1">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row>
    <row r="149" ht="15.75" customHeight="1">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row>
    <row r="150" ht="15.75" customHeight="1">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row>
    <row r="151" ht="15.75" customHeight="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row>
    <row r="152" ht="15.75" customHeight="1">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row>
    <row r="153" ht="15.75" customHeight="1">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row>
    <row r="154" ht="15.75" customHeight="1">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row>
    <row r="155" ht="15.75" customHeight="1">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row>
    <row r="156" ht="15.75" customHeight="1">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row>
    <row r="157" ht="15.75" customHeight="1">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row>
    <row r="158" ht="15.75" customHeight="1">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row>
    <row r="159" ht="15.75" customHeight="1">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row>
    <row r="160" ht="15.75" customHeight="1">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row>
    <row r="161" ht="15.75" customHeight="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row>
    <row r="162" ht="15.75" customHeight="1">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row>
    <row r="163" ht="15.75" customHeight="1">
      <c r="A163" s="343"/>
      <c r="B163" s="343"/>
      <c r="C163" s="343"/>
      <c r="D163" s="343"/>
      <c r="E163" s="343"/>
      <c r="F163" s="343"/>
      <c r="G163" s="343"/>
      <c r="H163" s="343"/>
      <c r="I163" s="343"/>
      <c r="J163" s="343"/>
      <c r="K163" s="343"/>
      <c r="L163" s="343"/>
      <c r="M163" s="343"/>
      <c r="N163" s="343"/>
      <c r="O163" s="343"/>
      <c r="P163" s="343"/>
      <c r="Q163" s="343"/>
      <c r="R163" s="343"/>
      <c r="S163" s="343"/>
      <c r="T163" s="343"/>
      <c r="U163" s="343"/>
      <c r="V163" s="343"/>
      <c r="W163" s="343"/>
      <c r="X163" s="343"/>
      <c r="Y163" s="343"/>
      <c r="Z163" s="343"/>
    </row>
    <row r="164" ht="15.75" customHeight="1">
      <c r="A164" s="343"/>
      <c r="B164" s="343"/>
      <c r="C164" s="343"/>
      <c r="D164" s="343"/>
      <c r="E164" s="343"/>
      <c r="F164" s="343"/>
      <c r="G164" s="343"/>
      <c r="H164" s="343"/>
      <c r="I164" s="343"/>
      <c r="J164" s="343"/>
      <c r="K164" s="343"/>
      <c r="L164" s="343"/>
      <c r="M164" s="343"/>
      <c r="N164" s="343"/>
      <c r="O164" s="343"/>
      <c r="P164" s="343"/>
      <c r="Q164" s="343"/>
      <c r="R164" s="343"/>
      <c r="S164" s="343"/>
      <c r="T164" s="343"/>
      <c r="U164" s="343"/>
      <c r="V164" s="343"/>
      <c r="W164" s="343"/>
      <c r="X164" s="343"/>
      <c r="Y164" s="343"/>
      <c r="Z164" s="343"/>
    </row>
    <row r="165" ht="15.75" customHeight="1">
      <c r="A165" s="343"/>
      <c r="B165" s="343"/>
      <c r="C165" s="343"/>
      <c r="D165" s="343"/>
      <c r="E165" s="343"/>
      <c r="F165" s="343"/>
      <c r="G165" s="343"/>
      <c r="H165" s="343"/>
      <c r="I165" s="343"/>
      <c r="J165" s="343"/>
      <c r="K165" s="343"/>
      <c r="L165" s="343"/>
      <c r="M165" s="343"/>
      <c r="N165" s="343"/>
      <c r="O165" s="343"/>
      <c r="P165" s="343"/>
      <c r="Q165" s="343"/>
      <c r="R165" s="343"/>
      <c r="S165" s="343"/>
      <c r="T165" s="343"/>
      <c r="U165" s="343"/>
      <c r="V165" s="343"/>
      <c r="W165" s="343"/>
      <c r="X165" s="343"/>
      <c r="Y165" s="343"/>
      <c r="Z165" s="343"/>
    </row>
    <row r="166" ht="15.75" customHeight="1">
      <c r="A166" s="343"/>
      <c r="B166" s="343"/>
      <c r="C166" s="343"/>
      <c r="D166" s="343"/>
      <c r="E166" s="343"/>
      <c r="F166" s="343"/>
      <c r="G166" s="343"/>
      <c r="H166" s="343"/>
      <c r="I166" s="343"/>
      <c r="J166" s="343"/>
      <c r="K166" s="343"/>
      <c r="L166" s="343"/>
      <c r="M166" s="343"/>
      <c r="N166" s="343"/>
      <c r="O166" s="343"/>
      <c r="P166" s="343"/>
      <c r="Q166" s="343"/>
      <c r="R166" s="343"/>
      <c r="S166" s="343"/>
      <c r="T166" s="343"/>
      <c r="U166" s="343"/>
      <c r="V166" s="343"/>
      <c r="W166" s="343"/>
      <c r="X166" s="343"/>
      <c r="Y166" s="343"/>
      <c r="Z166" s="343"/>
    </row>
    <row r="167" ht="15.75" customHeight="1">
      <c r="A167" s="343"/>
      <c r="B167" s="343"/>
      <c r="C167" s="343"/>
      <c r="D167" s="343"/>
      <c r="E167" s="343"/>
      <c r="F167" s="343"/>
      <c r="G167" s="343"/>
      <c r="H167" s="343"/>
      <c r="I167" s="343"/>
      <c r="J167" s="343"/>
      <c r="K167" s="343"/>
      <c r="L167" s="343"/>
      <c r="M167" s="343"/>
      <c r="N167" s="343"/>
      <c r="O167" s="343"/>
      <c r="P167" s="343"/>
      <c r="Q167" s="343"/>
      <c r="R167" s="343"/>
      <c r="S167" s="343"/>
      <c r="T167" s="343"/>
      <c r="U167" s="343"/>
      <c r="V167" s="343"/>
      <c r="W167" s="343"/>
      <c r="X167" s="343"/>
      <c r="Y167" s="343"/>
      <c r="Z167" s="343"/>
    </row>
    <row r="168" ht="15.75" customHeight="1">
      <c r="A168" s="343"/>
      <c r="B168" s="343"/>
      <c r="C168" s="343"/>
      <c r="D168" s="343"/>
      <c r="E168" s="343"/>
      <c r="F168" s="343"/>
      <c r="G168" s="343"/>
      <c r="H168" s="343"/>
      <c r="I168" s="343"/>
      <c r="J168" s="343"/>
      <c r="K168" s="343"/>
      <c r="L168" s="343"/>
      <c r="M168" s="343"/>
      <c r="N168" s="343"/>
      <c r="O168" s="343"/>
      <c r="P168" s="343"/>
      <c r="Q168" s="343"/>
      <c r="R168" s="343"/>
      <c r="S168" s="343"/>
      <c r="T168" s="343"/>
      <c r="U168" s="343"/>
      <c r="V168" s="343"/>
      <c r="W168" s="343"/>
      <c r="X168" s="343"/>
      <c r="Y168" s="343"/>
      <c r="Z168" s="343"/>
    </row>
    <row r="169" ht="15.75" customHeight="1">
      <c r="A169" s="343"/>
      <c r="B169" s="343"/>
      <c r="C169" s="343"/>
      <c r="D169" s="343"/>
      <c r="E169" s="343"/>
      <c r="F169" s="343"/>
      <c r="G169" s="343"/>
      <c r="H169" s="343"/>
      <c r="I169" s="343"/>
      <c r="J169" s="343"/>
      <c r="K169" s="343"/>
      <c r="L169" s="343"/>
      <c r="M169" s="343"/>
      <c r="N169" s="343"/>
      <c r="O169" s="343"/>
      <c r="P169" s="343"/>
      <c r="Q169" s="343"/>
      <c r="R169" s="343"/>
      <c r="S169" s="343"/>
      <c r="T169" s="343"/>
      <c r="U169" s="343"/>
      <c r="V169" s="343"/>
      <c r="W169" s="343"/>
      <c r="X169" s="343"/>
      <c r="Y169" s="343"/>
      <c r="Z169" s="343"/>
    </row>
    <row r="170" ht="15.75" customHeight="1">
      <c r="A170" s="343"/>
      <c r="B170" s="343"/>
      <c r="C170" s="343"/>
      <c r="D170" s="343"/>
      <c r="E170" s="343"/>
      <c r="F170" s="343"/>
      <c r="G170" s="343"/>
      <c r="H170" s="343"/>
      <c r="I170" s="343"/>
      <c r="J170" s="343"/>
      <c r="K170" s="343"/>
      <c r="L170" s="343"/>
      <c r="M170" s="343"/>
      <c r="N170" s="343"/>
      <c r="O170" s="343"/>
      <c r="P170" s="343"/>
      <c r="Q170" s="343"/>
      <c r="R170" s="343"/>
      <c r="S170" s="343"/>
      <c r="T170" s="343"/>
      <c r="U170" s="343"/>
      <c r="V170" s="343"/>
      <c r="W170" s="343"/>
      <c r="X170" s="343"/>
      <c r="Y170" s="343"/>
      <c r="Z170" s="343"/>
    </row>
    <row r="171" ht="15.75" customHeight="1">
      <c r="A171" s="343"/>
      <c r="B171" s="343"/>
      <c r="C171" s="343"/>
      <c r="D171" s="343"/>
      <c r="E171" s="343"/>
      <c r="F171" s="343"/>
      <c r="G171" s="343"/>
      <c r="H171" s="343"/>
      <c r="I171" s="343"/>
      <c r="J171" s="343"/>
      <c r="K171" s="343"/>
      <c r="L171" s="343"/>
      <c r="M171" s="343"/>
      <c r="N171" s="343"/>
      <c r="O171" s="343"/>
      <c r="P171" s="343"/>
      <c r="Q171" s="343"/>
      <c r="R171" s="343"/>
      <c r="S171" s="343"/>
      <c r="T171" s="343"/>
      <c r="U171" s="343"/>
      <c r="V171" s="343"/>
      <c r="W171" s="343"/>
      <c r="X171" s="343"/>
      <c r="Y171" s="343"/>
      <c r="Z171" s="343"/>
    </row>
    <row r="172" ht="15.75" customHeight="1">
      <c r="A172" s="343"/>
      <c r="B172" s="343"/>
      <c r="C172" s="343"/>
      <c r="D172" s="343"/>
      <c r="E172" s="343"/>
      <c r="F172" s="343"/>
      <c r="G172" s="343"/>
      <c r="H172" s="343"/>
      <c r="I172" s="343"/>
      <c r="J172" s="343"/>
      <c r="K172" s="343"/>
      <c r="L172" s="343"/>
      <c r="M172" s="343"/>
      <c r="N172" s="343"/>
      <c r="O172" s="343"/>
      <c r="P172" s="343"/>
      <c r="Q172" s="343"/>
      <c r="R172" s="343"/>
      <c r="S172" s="343"/>
      <c r="T172" s="343"/>
      <c r="U172" s="343"/>
      <c r="V172" s="343"/>
      <c r="W172" s="343"/>
      <c r="X172" s="343"/>
      <c r="Y172" s="343"/>
      <c r="Z172" s="343"/>
    </row>
    <row r="173" ht="15.75" customHeight="1">
      <c r="A173" s="343"/>
      <c r="B173" s="343"/>
      <c r="C173" s="343"/>
      <c r="D173" s="343"/>
      <c r="E173" s="343"/>
      <c r="F173" s="343"/>
      <c r="G173" s="343"/>
      <c r="H173" s="343"/>
      <c r="I173" s="343"/>
      <c r="J173" s="343"/>
      <c r="K173" s="343"/>
      <c r="L173" s="343"/>
      <c r="M173" s="343"/>
      <c r="N173" s="343"/>
      <c r="O173" s="343"/>
      <c r="P173" s="343"/>
      <c r="Q173" s="343"/>
      <c r="R173" s="343"/>
      <c r="S173" s="343"/>
      <c r="T173" s="343"/>
      <c r="U173" s="343"/>
      <c r="V173" s="343"/>
      <c r="W173" s="343"/>
      <c r="X173" s="343"/>
      <c r="Y173" s="343"/>
      <c r="Z173" s="343"/>
    </row>
    <row r="174" ht="15.75" customHeight="1">
      <c r="A174" s="343"/>
      <c r="B174" s="343"/>
      <c r="C174" s="343"/>
      <c r="D174" s="343"/>
      <c r="E174" s="343"/>
      <c r="F174" s="343"/>
      <c r="G174" s="343"/>
      <c r="H174" s="343"/>
      <c r="I174" s="343"/>
      <c r="J174" s="343"/>
      <c r="K174" s="343"/>
      <c r="L174" s="343"/>
      <c r="M174" s="343"/>
      <c r="N174" s="343"/>
      <c r="O174" s="343"/>
      <c r="P174" s="343"/>
      <c r="Q174" s="343"/>
      <c r="R174" s="343"/>
      <c r="S174" s="343"/>
      <c r="T174" s="343"/>
      <c r="U174" s="343"/>
      <c r="V174" s="343"/>
      <c r="W174" s="343"/>
      <c r="X174" s="343"/>
      <c r="Y174" s="343"/>
      <c r="Z174" s="343"/>
    </row>
    <row r="175" ht="15.75" customHeight="1">
      <c r="A175" s="343"/>
      <c r="B175" s="343"/>
      <c r="C175" s="343"/>
      <c r="D175" s="343"/>
      <c r="E175" s="343"/>
      <c r="F175" s="343"/>
      <c r="G175" s="343"/>
      <c r="H175" s="343"/>
      <c r="I175" s="343"/>
      <c r="J175" s="343"/>
      <c r="K175" s="343"/>
      <c r="L175" s="343"/>
      <c r="M175" s="343"/>
      <c r="N175" s="343"/>
      <c r="O175" s="343"/>
      <c r="P175" s="343"/>
      <c r="Q175" s="343"/>
      <c r="R175" s="343"/>
      <c r="S175" s="343"/>
      <c r="T175" s="343"/>
      <c r="U175" s="343"/>
      <c r="V175" s="343"/>
      <c r="W175" s="343"/>
      <c r="X175" s="343"/>
      <c r="Y175" s="343"/>
      <c r="Z175" s="343"/>
    </row>
    <row r="176" ht="15.75" customHeight="1">
      <c r="A176" s="343"/>
      <c r="B176" s="343"/>
      <c r="C176" s="343"/>
      <c r="D176" s="343"/>
      <c r="E176" s="343"/>
      <c r="F176" s="343"/>
      <c r="G176" s="343"/>
      <c r="H176" s="343"/>
      <c r="I176" s="343"/>
      <c r="J176" s="343"/>
      <c r="K176" s="343"/>
      <c r="L176" s="343"/>
      <c r="M176" s="343"/>
      <c r="N176" s="343"/>
      <c r="O176" s="343"/>
      <c r="P176" s="343"/>
      <c r="Q176" s="343"/>
      <c r="R176" s="343"/>
      <c r="S176" s="343"/>
      <c r="T176" s="343"/>
      <c r="U176" s="343"/>
      <c r="V176" s="343"/>
      <c r="W176" s="343"/>
      <c r="X176" s="343"/>
      <c r="Y176" s="343"/>
      <c r="Z176" s="343"/>
    </row>
    <row r="177" ht="15.75" customHeight="1">
      <c r="A177" s="343"/>
      <c r="B177" s="343"/>
      <c r="C177" s="343"/>
      <c r="D177" s="343"/>
      <c r="E177" s="343"/>
      <c r="F177" s="343"/>
      <c r="G177" s="343"/>
      <c r="H177" s="343"/>
      <c r="I177" s="343"/>
      <c r="J177" s="343"/>
      <c r="K177" s="343"/>
      <c r="L177" s="343"/>
      <c r="M177" s="343"/>
      <c r="N177" s="343"/>
      <c r="O177" s="343"/>
      <c r="P177" s="343"/>
      <c r="Q177" s="343"/>
      <c r="R177" s="343"/>
      <c r="S177" s="343"/>
      <c r="T177" s="343"/>
      <c r="U177" s="343"/>
      <c r="V177" s="343"/>
      <c r="W177" s="343"/>
      <c r="X177" s="343"/>
      <c r="Y177" s="343"/>
      <c r="Z177" s="343"/>
    </row>
    <row r="178" ht="15.75" customHeight="1">
      <c r="A178" s="343"/>
      <c r="B178" s="343"/>
      <c r="C178" s="343"/>
      <c r="D178" s="343"/>
      <c r="E178" s="343"/>
      <c r="F178" s="343"/>
      <c r="G178" s="343"/>
      <c r="H178" s="343"/>
      <c r="I178" s="343"/>
      <c r="J178" s="343"/>
      <c r="K178" s="343"/>
      <c r="L178" s="343"/>
      <c r="M178" s="343"/>
      <c r="N178" s="343"/>
      <c r="O178" s="343"/>
      <c r="P178" s="343"/>
      <c r="Q178" s="343"/>
      <c r="R178" s="343"/>
      <c r="S178" s="343"/>
      <c r="T178" s="343"/>
      <c r="U178" s="343"/>
      <c r="V178" s="343"/>
      <c r="W178" s="343"/>
      <c r="X178" s="343"/>
      <c r="Y178" s="343"/>
      <c r="Z178" s="343"/>
    </row>
    <row r="179" ht="15.75" customHeight="1">
      <c r="A179" s="343"/>
      <c r="B179" s="343"/>
      <c r="C179" s="343"/>
      <c r="D179" s="343"/>
      <c r="E179" s="343"/>
      <c r="F179" s="343"/>
      <c r="G179" s="343"/>
      <c r="H179" s="343"/>
      <c r="I179" s="343"/>
      <c r="J179" s="343"/>
      <c r="K179" s="343"/>
      <c r="L179" s="343"/>
      <c r="M179" s="343"/>
      <c r="N179" s="343"/>
      <c r="O179" s="343"/>
      <c r="P179" s="343"/>
      <c r="Q179" s="343"/>
      <c r="R179" s="343"/>
      <c r="S179" s="343"/>
      <c r="T179" s="343"/>
      <c r="U179" s="343"/>
      <c r="V179" s="343"/>
      <c r="W179" s="343"/>
      <c r="X179" s="343"/>
      <c r="Y179" s="343"/>
      <c r="Z179" s="343"/>
    </row>
    <row r="180" ht="15.75" customHeight="1">
      <c r="A180" s="343"/>
      <c r="B180" s="343"/>
      <c r="C180" s="343"/>
      <c r="D180" s="343"/>
      <c r="E180" s="343"/>
      <c r="F180" s="343"/>
      <c r="G180" s="343"/>
      <c r="H180" s="343"/>
      <c r="I180" s="343"/>
      <c r="J180" s="343"/>
      <c r="K180" s="343"/>
      <c r="L180" s="343"/>
      <c r="M180" s="343"/>
      <c r="N180" s="343"/>
      <c r="O180" s="343"/>
      <c r="P180" s="343"/>
      <c r="Q180" s="343"/>
      <c r="R180" s="343"/>
      <c r="S180" s="343"/>
      <c r="T180" s="343"/>
      <c r="U180" s="343"/>
      <c r="V180" s="343"/>
      <c r="W180" s="343"/>
      <c r="X180" s="343"/>
      <c r="Y180" s="343"/>
      <c r="Z180" s="343"/>
    </row>
    <row r="181" ht="15.75" customHeight="1">
      <c r="A181" s="343"/>
      <c r="B181" s="343"/>
      <c r="C181" s="343"/>
      <c r="D181" s="343"/>
      <c r="E181" s="343"/>
      <c r="F181" s="343"/>
      <c r="G181" s="343"/>
      <c r="H181" s="343"/>
      <c r="I181" s="343"/>
      <c r="J181" s="343"/>
      <c r="K181" s="343"/>
      <c r="L181" s="343"/>
      <c r="M181" s="343"/>
      <c r="N181" s="343"/>
      <c r="O181" s="343"/>
      <c r="P181" s="343"/>
      <c r="Q181" s="343"/>
      <c r="R181" s="343"/>
      <c r="S181" s="343"/>
      <c r="T181" s="343"/>
      <c r="U181" s="343"/>
      <c r="V181" s="343"/>
      <c r="W181" s="343"/>
      <c r="X181" s="343"/>
      <c r="Y181" s="343"/>
      <c r="Z181" s="343"/>
    </row>
    <row r="182" ht="15.75" customHeight="1">
      <c r="A182" s="343"/>
      <c r="B182" s="343"/>
      <c r="C182" s="343"/>
      <c r="D182" s="343"/>
      <c r="E182" s="343"/>
      <c r="F182" s="343"/>
      <c r="G182" s="343"/>
      <c r="H182" s="343"/>
      <c r="I182" s="343"/>
      <c r="J182" s="343"/>
      <c r="K182" s="343"/>
      <c r="L182" s="343"/>
      <c r="M182" s="343"/>
      <c r="N182" s="343"/>
      <c r="O182" s="343"/>
      <c r="P182" s="343"/>
      <c r="Q182" s="343"/>
      <c r="R182" s="343"/>
      <c r="S182" s="343"/>
      <c r="T182" s="343"/>
      <c r="U182" s="343"/>
      <c r="V182" s="343"/>
      <c r="W182" s="343"/>
      <c r="X182" s="343"/>
      <c r="Y182" s="343"/>
      <c r="Z182" s="343"/>
    </row>
    <row r="183" ht="15.75" customHeight="1">
      <c r="A183" s="343"/>
      <c r="B183" s="343"/>
      <c r="C183" s="343"/>
      <c r="D183" s="343"/>
      <c r="E183" s="343"/>
      <c r="F183" s="343"/>
      <c r="G183" s="343"/>
      <c r="H183" s="343"/>
      <c r="I183" s="343"/>
      <c r="J183" s="343"/>
      <c r="K183" s="343"/>
      <c r="L183" s="343"/>
      <c r="M183" s="343"/>
      <c r="N183" s="343"/>
      <c r="O183" s="343"/>
      <c r="P183" s="343"/>
      <c r="Q183" s="343"/>
      <c r="R183" s="343"/>
      <c r="S183" s="343"/>
      <c r="T183" s="343"/>
      <c r="U183" s="343"/>
      <c r="V183" s="343"/>
      <c r="W183" s="343"/>
      <c r="X183" s="343"/>
      <c r="Y183" s="343"/>
      <c r="Z183" s="343"/>
    </row>
    <row r="184" ht="15.75" customHeight="1">
      <c r="A184" s="343"/>
      <c r="B184" s="343"/>
      <c r="C184" s="343"/>
      <c r="D184" s="343"/>
      <c r="E184" s="343"/>
      <c r="F184" s="343"/>
      <c r="G184" s="343"/>
      <c r="H184" s="343"/>
      <c r="I184" s="343"/>
      <c r="J184" s="343"/>
      <c r="K184" s="343"/>
      <c r="L184" s="343"/>
      <c r="M184" s="343"/>
      <c r="N184" s="343"/>
      <c r="O184" s="343"/>
      <c r="P184" s="343"/>
      <c r="Q184" s="343"/>
      <c r="R184" s="343"/>
      <c r="S184" s="343"/>
      <c r="T184" s="343"/>
      <c r="U184" s="343"/>
      <c r="V184" s="343"/>
      <c r="W184" s="343"/>
      <c r="X184" s="343"/>
      <c r="Y184" s="343"/>
      <c r="Z184" s="343"/>
    </row>
    <row r="185" ht="15.75" customHeight="1">
      <c r="A185" s="343"/>
      <c r="B185" s="343"/>
      <c r="C185" s="343"/>
      <c r="D185" s="343"/>
      <c r="E185" s="343"/>
      <c r="F185" s="343"/>
      <c r="G185" s="343"/>
      <c r="H185" s="343"/>
      <c r="I185" s="343"/>
      <c r="J185" s="343"/>
      <c r="K185" s="343"/>
      <c r="L185" s="343"/>
      <c r="M185" s="343"/>
      <c r="N185" s="343"/>
      <c r="O185" s="343"/>
      <c r="P185" s="343"/>
      <c r="Q185" s="343"/>
      <c r="R185" s="343"/>
      <c r="S185" s="343"/>
      <c r="T185" s="343"/>
      <c r="U185" s="343"/>
      <c r="V185" s="343"/>
      <c r="W185" s="343"/>
      <c r="X185" s="343"/>
      <c r="Y185" s="343"/>
      <c r="Z185" s="343"/>
    </row>
    <row r="186" ht="15.75" customHeight="1">
      <c r="A186" s="343"/>
      <c r="B186" s="343"/>
      <c r="C186" s="343"/>
      <c r="D186" s="343"/>
      <c r="E186" s="343"/>
      <c r="F186" s="343"/>
      <c r="G186" s="343"/>
      <c r="H186" s="343"/>
      <c r="I186" s="343"/>
      <c r="J186" s="343"/>
      <c r="K186" s="343"/>
      <c r="L186" s="343"/>
      <c r="M186" s="343"/>
      <c r="N186" s="343"/>
      <c r="O186" s="343"/>
      <c r="P186" s="343"/>
      <c r="Q186" s="343"/>
      <c r="R186" s="343"/>
      <c r="S186" s="343"/>
      <c r="T186" s="343"/>
      <c r="U186" s="343"/>
      <c r="V186" s="343"/>
      <c r="W186" s="343"/>
      <c r="X186" s="343"/>
      <c r="Y186" s="343"/>
      <c r="Z186" s="343"/>
    </row>
    <row r="187" ht="15.75" customHeight="1">
      <c r="A187" s="343"/>
      <c r="B187" s="343"/>
      <c r="C187" s="343"/>
      <c r="D187" s="343"/>
      <c r="E187" s="343"/>
      <c r="F187" s="343"/>
      <c r="G187" s="343"/>
      <c r="H187" s="343"/>
      <c r="I187" s="343"/>
      <c r="J187" s="343"/>
      <c r="K187" s="343"/>
      <c r="L187" s="343"/>
      <c r="M187" s="343"/>
      <c r="N187" s="343"/>
      <c r="O187" s="343"/>
      <c r="P187" s="343"/>
      <c r="Q187" s="343"/>
      <c r="R187" s="343"/>
      <c r="S187" s="343"/>
      <c r="T187" s="343"/>
      <c r="U187" s="343"/>
      <c r="V187" s="343"/>
      <c r="W187" s="343"/>
      <c r="X187" s="343"/>
      <c r="Y187" s="343"/>
      <c r="Z187" s="343"/>
    </row>
    <row r="188" ht="15.75" customHeight="1">
      <c r="A188" s="343"/>
      <c r="B188" s="343"/>
      <c r="C188" s="343"/>
      <c r="D188" s="343"/>
      <c r="E188" s="343"/>
      <c r="F188" s="343"/>
      <c r="G188" s="343"/>
      <c r="H188" s="343"/>
      <c r="I188" s="343"/>
      <c r="J188" s="343"/>
      <c r="K188" s="343"/>
      <c r="L188" s="343"/>
      <c r="M188" s="343"/>
      <c r="N188" s="343"/>
      <c r="O188" s="343"/>
      <c r="P188" s="343"/>
      <c r="Q188" s="343"/>
      <c r="R188" s="343"/>
      <c r="S188" s="343"/>
      <c r="T188" s="343"/>
      <c r="U188" s="343"/>
      <c r="V188" s="343"/>
      <c r="W188" s="343"/>
      <c r="X188" s="343"/>
      <c r="Y188" s="343"/>
      <c r="Z188" s="343"/>
    </row>
    <row r="189" ht="15.75" customHeight="1">
      <c r="A189" s="343"/>
      <c r="B189" s="343"/>
      <c r="C189" s="343"/>
      <c r="D189" s="343"/>
      <c r="E189" s="343"/>
      <c r="F189" s="343"/>
      <c r="G189" s="343"/>
      <c r="H189" s="343"/>
      <c r="I189" s="343"/>
      <c r="J189" s="343"/>
      <c r="K189" s="343"/>
      <c r="L189" s="343"/>
      <c r="M189" s="343"/>
      <c r="N189" s="343"/>
      <c r="O189" s="343"/>
      <c r="P189" s="343"/>
      <c r="Q189" s="343"/>
      <c r="R189" s="343"/>
      <c r="S189" s="343"/>
      <c r="T189" s="343"/>
      <c r="U189" s="343"/>
      <c r="V189" s="343"/>
      <c r="W189" s="343"/>
      <c r="X189" s="343"/>
      <c r="Y189" s="343"/>
      <c r="Z189" s="343"/>
    </row>
    <row r="190" ht="15.75" customHeight="1">
      <c r="A190" s="343"/>
      <c r="B190" s="343"/>
      <c r="C190" s="343"/>
      <c r="D190" s="343"/>
      <c r="E190" s="343"/>
      <c r="F190" s="343"/>
      <c r="G190" s="343"/>
      <c r="H190" s="343"/>
      <c r="I190" s="343"/>
      <c r="J190" s="343"/>
      <c r="K190" s="343"/>
      <c r="L190" s="343"/>
      <c r="M190" s="343"/>
      <c r="N190" s="343"/>
      <c r="O190" s="343"/>
      <c r="P190" s="343"/>
      <c r="Q190" s="343"/>
      <c r="R190" s="343"/>
      <c r="S190" s="343"/>
      <c r="T190" s="343"/>
      <c r="U190" s="343"/>
      <c r="V190" s="343"/>
      <c r="W190" s="343"/>
      <c r="X190" s="343"/>
      <c r="Y190" s="343"/>
      <c r="Z190" s="343"/>
    </row>
    <row r="191" ht="15.75" customHeight="1">
      <c r="A191" s="343"/>
      <c r="B191" s="343"/>
      <c r="C191" s="343"/>
      <c r="D191" s="343"/>
      <c r="E191" s="343"/>
      <c r="F191" s="343"/>
      <c r="G191" s="343"/>
      <c r="H191" s="343"/>
      <c r="I191" s="343"/>
      <c r="J191" s="343"/>
      <c r="K191" s="343"/>
      <c r="L191" s="343"/>
      <c r="M191" s="343"/>
      <c r="N191" s="343"/>
      <c r="O191" s="343"/>
      <c r="P191" s="343"/>
      <c r="Q191" s="343"/>
      <c r="R191" s="343"/>
      <c r="S191" s="343"/>
      <c r="T191" s="343"/>
      <c r="U191" s="343"/>
      <c r="V191" s="343"/>
      <c r="W191" s="343"/>
      <c r="X191" s="343"/>
      <c r="Y191" s="343"/>
      <c r="Z191" s="343"/>
    </row>
    <row r="192" ht="15.75" customHeight="1">
      <c r="A192" s="343"/>
      <c r="B192" s="343"/>
      <c r="C192" s="343"/>
      <c r="D192" s="343"/>
      <c r="E192" s="343"/>
      <c r="F192" s="343"/>
      <c r="G192" s="343"/>
      <c r="H192" s="343"/>
      <c r="I192" s="343"/>
      <c r="J192" s="343"/>
      <c r="K192" s="343"/>
      <c r="L192" s="343"/>
      <c r="M192" s="343"/>
      <c r="N192" s="343"/>
      <c r="O192" s="343"/>
      <c r="P192" s="343"/>
      <c r="Q192" s="343"/>
      <c r="R192" s="343"/>
      <c r="S192" s="343"/>
      <c r="T192" s="343"/>
      <c r="U192" s="343"/>
      <c r="V192" s="343"/>
      <c r="W192" s="343"/>
      <c r="X192" s="343"/>
      <c r="Y192" s="343"/>
      <c r="Z192" s="343"/>
    </row>
    <row r="193" ht="15.75" customHeight="1">
      <c r="A193" s="343"/>
      <c r="B193" s="343"/>
      <c r="C193" s="343"/>
      <c r="D193" s="343"/>
      <c r="E193" s="343"/>
      <c r="F193" s="343"/>
      <c r="G193" s="343"/>
      <c r="H193" s="343"/>
      <c r="I193" s="343"/>
      <c r="J193" s="343"/>
      <c r="K193" s="343"/>
      <c r="L193" s="343"/>
      <c r="M193" s="343"/>
      <c r="N193" s="343"/>
      <c r="O193" s="343"/>
      <c r="P193" s="343"/>
      <c r="Q193" s="343"/>
      <c r="R193" s="343"/>
      <c r="S193" s="343"/>
      <c r="T193" s="343"/>
      <c r="U193" s="343"/>
      <c r="V193" s="343"/>
      <c r="W193" s="343"/>
      <c r="X193" s="343"/>
      <c r="Y193" s="343"/>
      <c r="Z193" s="343"/>
    </row>
    <row r="194" ht="15.75" customHeight="1">
      <c r="A194" s="343"/>
      <c r="B194" s="343"/>
      <c r="C194" s="343"/>
      <c r="D194" s="343"/>
      <c r="E194" s="343"/>
      <c r="F194" s="343"/>
      <c r="G194" s="343"/>
      <c r="H194" s="343"/>
      <c r="I194" s="343"/>
      <c r="J194" s="343"/>
      <c r="K194" s="343"/>
      <c r="L194" s="343"/>
      <c r="M194" s="343"/>
      <c r="N194" s="343"/>
      <c r="O194" s="343"/>
      <c r="P194" s="343"/>
      <c r="Q194" s="343"/>
      <c r="R194" s="343"/>
      <c r="S194" s="343"/>
      <c r="T194" s="343"/>
      <c r="U194" s="343"/>
      <c r="V194" s="343"/>
      <c r="W194" s="343"/>
      <c r="X194" s="343"/>
      <c r="Y194" s="343"/>
      <c r="Z194" s="343"/>
    </row>
    <row r="195" ht="15.75" customHeight="1">
      <c r="A195" s="343"/>
      <c r="B195" s="343"/>
      <c r="C195" s="343"/>
      <c r="D195" s="343"/>
      <c r="E195" s="343"/>
      <c r="F195" s="343"/>
      <c r="G195" s="343"/>
      <c r="H195" s="343"/>
      <c r="I195" s="343"/>
      <c r="J195" s="343"/>
      <c r="K195" s="343"/>
      <c r="L195" s="343"/>
      <c r="M195" s="343"/>
      <c r="N195" s="343"/>
      <c r="O195" s="343"/>
      <c r="P195" s="343"/>
      <c r="Q195" s="343"/>
      <c r="R195" s="343"/>
      <c r="S195" s="343"/>
      <c r="T195" s="343"/>
      <c r="U195" s="343"/>
      <c r="V195" s="343"/>
      <c r="W195" s="343"/>
      <c r="X195" s="343"/>
      <c r="Y195" s="343"/>
      <c r="Z195" s="343"/>
    </row>
    <row r="196" ht="15.75" customHeight="1">
      <c r="A196" s="343"/>
      <c r="B196" s="343"/>
      <c r="C196" s="343"/>
      <c r="D196" s="343"/>
      <c r="E196" s="343"/>
      <c r="F196" s="343"/>
      <c r="G196" s="343"/>
      <c r="H196" s="343"/>
      <c r="I196" s="343"/>
      <c r="J196" s="343"/>
      <c r="K196" s="343"/>
      <c r="L196" s="343"/>
      <c r="M196" s="343"/>
      <c r="N196" s="343"/>
      <c r="O196" s="343"/>
      <c r="P196" s="343"/>
      <c r="Q196" s="343"/>
      <c r="R196" s="343"/>
      <c r="S196" s="343"/>
      <c r="T196" s="343"/>
      <c r="U196" s="343"/>
      <c r="V196" s="343"/>
      <c r="W196" s="343"/>
      <c r="X196" s="343"/>
      <c r="Y196" s="343"/>
      <c r="Z196" s="343"/>
    </row>
    <row r="197" ht="15.75" customHeight="1">
      <c r="A197" s="343"/>
      <c r="B197" s="343"/>
      <c r="C197" s="343"/>
      <c r="D197" s="343"/>
      <c r="E197" s="343"/>
      <c r="F197" s="343"/>
      <c r="G197" s="343"/>
      <c r="H197" s="343"/>
      <c r="I197" s="343"/>
      <c r="J197" s="343"/>
      <c r="K197" s="343"/>
      <c r="L197" s="343"/>
      <c r="M197" s="343"/>
      <c r="N197" s="343"/>
      <c r="O197" s="343"/>
      <c r="P197" s="343"/>
      <c r="Q197" s="343"/>
      <c r="R197" s="343"/>
      <c r="S197" s="343"/>
      <c r="T197" s="343"/>
      <c r="U197" s="343"/>
      <c r="V197" s="343"/>
      <c r="W197" s="343"/>
      <c r="X197" s="343"/>
      <c r="Y197" s="343"/>
      <c r="Z197" s="343"/>
    </row>
    <row r="198" ht="15.75" customHeight="1">
      <c r="A198" s="343"/>
      <c r="B198" s="343"/>
      <c r="C198" s="343"/>
      <c r="D198" s="343"/>
      <c r="E198" s="343"/>
      <c r="F198" s="343"/>
      <c r="G198" s="343"/>
      <c r="H198" s="343"/>
      <c r="I198" s="343"/>
      <c r="J198" s="343"/>
      <c r="K198" s="343"/>
      <c r="L198" s="343"/>
      <c r="M198" s="343"/>
      <c r="N198" s="343"/>
      <c r="O198" s="343"/>
      <c r="P198" s="343"/>
      <c r="Q198" s="343"/>
      <c r="R198" s="343"/>
      <c r="S198" s="343"/>
      <c r="T198" s="343"/>
      <c r="U198" s="343"/>
      <c r="V198" s="343"/>
      <c r="W198" s="343"/>
      <c r="X198" s="343"/>
      <c r="Y198" s="343"/>
      <c r="Z198" s="343"/>
    </row>
    <row r="199" ht="15.75" customHeight="1">
      <c r="A199" s="343"/>
      <c r="B199" s="343"/>
      <c r="C199" s="343"/>
      <c r="D199" s="343"/>
      <c r="E199" s="343"/>
      <c r="F199" s="343"/>
      <c r="G199" s="343"/>
      <c r="H199" s="343"/>
      <c r="I199" s="343"/>
      <c r="J199" s="343"/>
      <c r="K199" s="343"/>
      <c r="L199" s="343"/>
      <c r="M199" s="343"/>
      <c r="N199" s="343"/>
      <c r="O199" s="343"/>
      <c r="P199" s="343"/>
      <c r="Q199" s="343"/>
      <c r="R199" s="343"/>
      <c r="S199" s="343"/>
      <c r="T199" s="343"/>
      <c r="U199" s="343"/>
      <c r="V199" s="343"/>
      <c r="W199" s="343"/>
      <c r="X199" s="343"/>
      <c r="Y199" s="343"/>
      <c r="Z199" s="343"/>
    </row>
    <row r="200" ht="15.75" customHeight="1">
      <c r="A200" s="343"/>
      <c r="B200" s="343"/>
      <c r="C200" s="343"/>
      <c r="D200" s="343"/>
      <c r="E200" s="343"/>
      <c r="F200" s="343"/>
      <c r="G200" s="343"/>
      <c r="H200" s="343"/>
      <c r="I200" s="343"/>
      <c r="J200" s="343"/>
      <c r="K200" s="343"/>
      <c r="L200" s="343"/>
      <c r="M200" s="343"/>
      <c r="N200" s="343"/>
      <c r="O200" s="343"/>
      <c r="P200" s="343"/>
      <c r="Q200" s="343"/>
      <c r="R200" s="343"/>
      <c r="S200" s="343"/>
      <c r="T200" s="343"/>
      <c r="U200" s="343"/>
      <c r="V200" s="343"/>
      <c r="W200" s="343"/>
      <c r="X200" s="343"/>
      <c r="Y200" s="343"/>
      <c r="Z200" s="343"/>
    </row>
    <row r="201" ht="15.75" customHeight="1">
      <c r="A201" s="343"/>
      <c r="B201" s="343"/>
      <c r="C201" s="343"/>
      <c r="D201" s="343"/>
      <c r="E201" s="343"/>
      <c r="F201" s="343"/>
      <c r="G201" s="343"/>
      <c r="H201" s="343"/>
      <c r="I201" s="343"/>
      <c r="J201" s="343"/>
      <c r="K201" s="343"/>
      <c r="L201" s="343"/>
      <c r="M201" s="343"/>
      <c r="N201" s="343"/>
      <c r="O201" s="343"/>
      <c r="P201" s="343"/>
      <c r="Q201" s="343"/>
      <c r="R201" s="343"/>
      <c r="S201" s="343"/>
      <c r="T201" s="343"/>
      <c r="U201" s="343"/>
      <c r="V201" s="343"/>
      <c r="W201" s="343"/>
      <c r="X201" s="343"/>
      <c r="Y201" s="343"/>
      <c r="Z201" s="343"/>
    </row>
    <row r="202" ht="15.75" customHeight="1">
      <c r="A202" s="343"/>
      <c r="B202" s="343"/>
      <c r="C202" s="343"/>
      <c r="D202" s="343"/>
      <c r="E202" s="343"/>
      <c r="F202" s="343"/>
      <c r="G202" s="343"/>
      <c r="H202" s="343"/>
      <c r="I202" s="343"/>
      <c r="J202" s="343"/>
      <c r="K202" s="343"/>
      <c r="L202" s="343"/>
      <c r="M202" s="343"/>
      <c r="N202" s="343"/>
      <c r="O202" s="343"/>
      <c r="P202" s="343"/>
      <c r="Q202" s="343"/>
      <c r="R202" s="343"/>
      <c r="S202" s="343"/>
      <c r="T202" s="343"/>
      <c r="U202" s="343"/>
      <c r="V202" s="343"/>
      <c r="W202" s="343"/>
      <c r="X202" s="343"/>
      <c r="Y202" s="343"/>
      <c r="Z202" s="343"/>
    </row>
    <row r="203" ht="15.75" customHeight="1">
      <c r="A203" s="343"/>
      <c r="B203" s="343"/>
      <c r="C203" s="343"/>
      <c r="D203" s="343"/>
      <c r="E203" s="343"/>
      <c r="F203" s="343"/>
      <c r="G203" s="343"/>
      <c r="H203" s="343"/>
      <c r="I203" s="343"/>
      <c r="J203" s="343"/>
      <c r="K203" s="343"/>
      <c r="L203" s="343"/>
      <c r="M203" s="343"/>
      <c r="N203" s="343"/>
      <c r="O203" s="343"/>
      <c r="P203" s="343"/>
      <c r="Q203" s="343"/>
      <c r="R203" s="343"/>
      <c r="S203" s="343"/>
      <c r="T203" s="343"/>
      <c r="U203" s="343"/>
      <c r="V203" s="343"/>
      <c r="W203" s="343"/>
      <c r="X203" s="343"/>
      <c r="Y203" s="343"/>
      <c r="Z203" s="343"/>
    </row>
    <row r="204" ht="15.75" customHeight="1">
      <c r="A204" s="343"/>
      <c r="B204" s="343"/>
      <c r="C204" s="343"/>
      <c r="D204" s="343"/>
      <c r="E204" s="343"/>
      <c r="F204" s="343"/>
      <c r="G204" s="343"/>
      <c r="H204" s="343"/>
      <c r="I204" s="343"/>
      <c r="J204" s="343"/>
      <c r="K204" s="343"/>
      <c r="L204" s="343"/>
      <c r="M204" s="343"/>
      <c r="N204" s="343"/>
      <c r="O204" s="343"/>
      <c r="P204" s="343"/>
      <c r="Q204" s="343"/>
      <c r="R204" s="343"/>
      <c r="S204" s="343"/>
      <c r="T204" s="343"/>
      <c r="U204" s="343"/>
      <c r="V204" s="343"/>
      <c r="W204" s="343"/>
      <c r="X204" s="343"/>
      <c r="Y204" s="343"/>
      <c r="Z204" s="343"/>
    </row>
    <row r="205" ht="15.75" customHeight="1">
      <c r="A205" s="343"/>
      <c r="B205" s="343"/>
      <c r="C205" s="343"/>
      <c r="D205" s="343"/>
      <c r="E205" s="343"/>
      <c r="F205" s="343"/>
      <c r="G205" s="343"/>
      <c r="H205" s="343"/>
      <c r="I205" s="343"/>
      <c r="J205" s="343"/>
      <c r="K205" s="343"/>
      <c r="L205" s="343"/>
      <c r="M205" s="343"/>
      <c r="N205" s="343"/>
      <c r="O205" s="343"/>
      <c r="P205" s="343"/>
      <c r="Q205" s="343"/>
      <c r="R205" s="343"/>
      <c r="S205" s="343"/>
      <c r="T205" s="343"/>
      <c r="U205" s="343"/>
      <c r="V205" s="343"/>
      <c r="W205" s="343"/>
      <c r="X205" s="343"/>
      <c r="Y205" s="343"/>
      <c r="Z205" s="343"/>
    </row>
    <row r="206" ht="15.75" customHeight="1">
      <c r="A206" s="343"/>
      <c r="B206" s="343"/>
      <c r="C206" s="343"/>
      <c r="D206" s="343"/>
      <c r="E206" s="343"/>
      <c r="F206" s="343"/>
      <c r="G206" s="343"/>
      <c r="H206" s="343"/>
      <c r="I206" s="343"/>
      <c r="J206" s="343"/>
      <c r="K206" s="343"/>
      <c r="L206" s="343"/>
      <c r="M206" s="343"/>
      <c r="N206" s="343"/>
      <c r="O206" s="343"/>
      <c r="P206" s="343"/>
      <c r="Q206" s="343"/>
      <c r="R206" s="343"/>
      <c r="S206" s="343"/>
      <c r="T206" s="343"/>
      <c r="U206" s="343"/>
      <c r="V206" s="343"/>
      <c r="W206" s="343"/>
      <c r="X206" s="343"/>
      <c r="Y206" s="343"/>
      <c r="Z206" s="343"/>
    </row>
    <row r="207" ht="15.75" customHeight="1">
      <c r="A207" s="343"/>
      <c r="B207" s="343"/>
      <c r="C207" s="343"/>
      <c r="D207" s="343"/>
      <c r="E207" s="343"/>
      <c r="F207" s="343"/>
      <c r="G207" s="343"/>
      <c r="H207" s="343"/>
      <c r="I207" s="343"/>
      <c r="J207" s="343"/>
      <c r="K207" s="343"/>
      <c r="L207" s="343"/>
      <c r="M207" s="343"/>
      <c r="N207" s="343"/>
      <c r="O207" s="343"/>
      <c r="P207" s="343"/>
      <c r="Q207" s="343"/>
      <c r="R207" s="343"/>
      <c r="S207" s="343"/>
      <c r="T207" s="343"/>
      <c r="U207" s="343"/>
      <c r="V207" s="343"/>
      <c r="W207" s="343"/>
      <c r="X207" s="343"/>
      <c r="Y207" s="343"/>
      <c r="Z207" s="343"/>
    </row>
    <row r="208" ht="15.75" customHeight="1">
      <c r="A208" s="343"/>
      <c r="B208" s="343"/>
      <c r="C208" s="343"/>
      <c r="D208" s="343"/>
      <c r="E208" s="343"/>
      <c r="F208" s="343"/>
      <c r="G208" s="343"/>
      <c r="H208" s="343"/>
      <c r="I208" s="343"/>
      <c r="J208" s="343"/>
      <c r="K208" s="343"/>
      <c r="L208" s="343"/>
      <c r="M208" s="343"/>
      <c r="N208" s="343"/>
      <c r="O208" s="343"/>
      <c r="P208" s="343"/>
      <c r="Q208" s="343"/>
      <c r="R208" s="343"/>
      <c r="S208" s="343"/>
      <c r="T208" s="343"/>
      <c r="U208" s="343"/>
      <c r="V208" s="343"/>
      <c r="W208" s="343"/>
      <c r="X208" s="343"/>
      <c r="Y208" s="343"/>
      <c r="Z208" s="343"/>
    </row>
    <row r="209" ht="15.75" customHeight="1">
      <c r="A209" s="343"/>
      <c r="B209" s="343"/>
      <c r="C209" s="343"/>
      <c r="D209" s="343"/>
      <c r="E209" s="343"/>
      <c r="F209" s="343"/>
      <c r="G209" s="343"/>
      <c r="H209" s="343"/>
      <c r="I209" s="343"/>
      <c r="J209" s="343"/>
      <c r="K209" s="343"/>
      <c r="L209" s="343"/>
      <c r="M209" s="343"/>
      <c r="N209" s="343"/>
      <c r="O209" s="343"/>
      <c r="P209" s="343"/>
      <c r="Q209" s="343"/>
      <c r="R209" s="343"/>
      <c r="S209" s="343"/>
      <c r="T209" s="343"/>
      <c r="U209" s="343"/>
      <c r="V209" s="343"/>
      <c r="W209" s="343"/>
      <c r="X209" s="343"/>
      <c r="Y209" s="343"/>
      <c r="Z209" s="343"/>
    </row>
    <row r="210" ht="15.75" customHeight="1">
      <c r="A210" s="343"/>
      <c r="B210" s="343"/>
      <c r="C210" s="343"/>
      <c r="D210" s="343"/>
      <c r="E210" s="343"/>
      <c r="F210" s="343"/>
      <c r="G210" s="343"/>
      <c r="H210" s="343"/>
      <c r="I210" s="343"/>
      <c r="J210" s="343"/>
      <c r="K210" s="343"/>
      <c r="L210" s="343"/>
      <c r="M210" s="343"/>
      <c r="N210" s="343"/>
      <c r="O210" s="343"/>
      <c r="P210" s="343"/>
      <c r="Q210" s="343"/>
      <c r="R210" s="343"/>
      <c r="S210" s="343"/>
      <c r="T210" s="343"/>
      <c r="U210" s="343"/>
      <c r="V210" s="343"/>
      <c r="W210" s="343"/>
      <c r="X210" s="343"/>
      <c r="Y210" s="343"/>
      <c r="Z210" s="343"/>
    </row>
    <row r="211" ht="15.75" customHeight="1">
      <c r="A211" s="343"/>
      <c r="B211" s="343"/>
      <c r="C211" s="343"/>
      <c r="D211" s="343"/>
      <c r="E211" s="343"/>
      <c r="F211" s="343"/>
      <c r="G211" s="343"/>
      <c r="H211" s="343"/>
      <c r="I211" s="343"/>
      <c r="J211" s="343"/>
      <c r="K211" s="343"/>
      <c r="L211" s="343"/>
      <c r="M211" s="343"/>
      <c r="N211" s="343"/>
      <c r="O211" s="343"/>
      <c r="P211" s="343"/>
      <c r="Q211" s="343"/>
      <c r="R211" s="343"/>
      <c r="S211" s="343"/>
      <c r="T211" s="343"/>
      <c r="U211" s="343"/>
      <c r="V211" s="343"/>
      <c r="W211" s="343"/>
      <c r="X211" s="343"/>
      <c r="Y211" s="343"/>
      <c r="Z211" s="343"/>
    </row>
    <row r="212" ht="15.75" customHeight="1">
      <c r="A212" s="343"/>
      <c r="B212" s="343"/>
      <c r="C212" s="343"/>
      <c r="D212" s="343"/>
      <c r="E212" s="343"/>
      <c r="F212" s="343"/>
      <c r="G212" s="343"/>
      <c r="H212" s="343"/>
      <c r="I212" s="343"/>
      <c r="J212" s="343"/>
      <c r="K212" s="343"/>
      <c r="L212" s="343"/>
      <c r="M212" s="343"/>
      <c r="N212" s="343"/>
      <c r="O212" s="343"/>
      <c r="P212" s="343"/>
      <c r="Q212" s="343"/>
      <c r="R212" s="343"/>
      <c r="S212" s="343"/>
      <c r="T212" s="343"/>
      <c r="U212" s="343"/>
      <c r="V212" s="343"/>
      <c r="W212" s="343"/>
      <c r="X212" s="343"/>
      <c r="Y212" s="343"/>
      <c r="Z212" s="343"/>
    </row>
    <row r="213" ht="15.75" customHeight="1">
      <c r="A213" s="343"/>
      <c r="B213" s="343"/>
      <c r="C213" s="343"/>
      <c r="D213" s="343"/>
      <c r="E213" s="343"/>
      <c r="F213" s="343"/>
      <c r="G213" s="343"/>
      <c r="H213" s="343"/>
      <c r="I213" s="343"/>
      <c r="J213" s="343"/>
      <c r="K213" s="343"/>
      <c r="L213" s="343"/>
      <c r="M213" s="343"/>
      <c r="N213" s="343"/>
      <c r="O213" s="343"/>
      <c r="P213" s="343"/>
      <c r="Q213" s="343"/>
      <c r="R213" s="343"/>
      <c r="S213" s="343"/>
      <c r="T213" s="343"/>
      <c r="U213" s="343"/>
      <c r="V213" s="343"/>
      <c r="W213" s="343"/>
      <c r="X213" s="343"/>
      <c r="Y213" s="343"/>
      <c r="Z213" s="343"/>
    </row>
    <row r="214" ht="15.75" customHeight="1">
      <c r="A214" s="343"/>
      <c r="B214" s="343"/>
      <c r="C214" s="343"/>
      <c r="D214" s="343"/>
      <c r="E214" s="343"/>
      <c r="F214" s="343"/>
      <c r="G214" s="343"/>
      <c r="H214" s="343"/>
      <c r="I214" s="343"/>
      <c r="J214" s="343"/>
      <c r="K214" s="343"/>
      <c r="L214" s="343"/>
      <c r="M214" s="343"/>
      <c r="N214" s="343"/>
      <c r="O214" s="343"/>
      <c r="P214" s="343"/>
      <c r="Q214" s="343"/>
      <c r="R214" s="343"/>
      <c r="S214" s="343"/>
      <c r="T214" s="343"/>
      <c r="U214" s="343"/>
      <c r="V214" s="343"/>
      <c r="W214" s="343"/>
      <c r="X214" s="343"/>
      <c r="Y214" s="343"/>
      <c r="Z214" s="343"/>
    </row>
    <row r="215" ht="15.75" customHeight="1">
      <c r="A215" s="343"/>
      <c r="B215" s="343"/>
      <c r="C215" s="343"/>
      <c r="D215" s="343"/>
      <c r="E215" s="343"/>
      <c r="F215" s="343"/>
      <c r="G215" s="343"/>
      <c r="H215" s="343"/>
      <c r="I215" s="343"/>
      <c r="J215" s="343"/>
      <c r="K215" s="343"/>
      <c r="L215" s="343"/>
      <c r="M215" s="343"/>
      <c r="N215" s="343"/>
      <c r="O215" s="343"/>
      <c r="P215" s="343"/>
      <c r="Q215" s="343"/>
      <c r="R215" s="343"/>
      <c r="S215" s="343"/>
      <c r="T215" s="343"/>
      <c r="U215" s="343"/>
      <c r="V215" s="343"/>
      <c r="W215" s="343"/>
      <c r="X215" s="343"/>
      <c r="Y215" s="343"/>
      <c r="Z215" s="343"/>
    </row>
    <row r="216" ht="15.75" customHeight="1">
      <c r="A216" s="343"/>
      <c r="B216" s="343"/>
      <c r="C216" s="343"/>
      <c r="D216" s="343"/>
      <c r="E216" s="343"/>
      <c r="F216" s="343"/>
      <c r="G216" s="343"/>
      <c r="H216" s="343"/>
      <c r="I216" s="343"/>
      <c r="J216" s="343"/>
      <c r="K216" s="343"/>
      <c r="L216" s="343"/>
      <c r="M216" s="343"/>
      <c r="N216" s="343"/>
      <c r="O216" s="343"/>
      <c r="P216" s="343"/>
      <c r="Q216" s="343"/>
      <c r="R216" s="343"/>
      <c r="S216" s="343"/>
      <c r="T216" s="343"/>
      <c r="U216" s="343"/>
      <c r="V216" s="343"/>
      <c r="W216" s="343"/>
      <c r="X216" s="343"/>
      <c r="Y216" s="343"/>
      <c r="Z216" s="343"/>
    </row>
    <row r="217" ht="15.75" customHeight="1">
      <c r="A217" s="343"/>
      <c r="B217" s="343"/>
      <c r="C217" s="343"/>
      <c r="D217" s="343"/>
      <c r="E217" s="343"/>
      <c r="F217" s="343"/>
      <c r="G217" s="343"/>
      <c r="H217" s="343"/>
      <c r="I217" s="343"/>
      <c r="J217" s="343"/>
      <c r="K217" s="343"/>
      <c r="L217" s="343"/>
      <c r="M217" s="343"/>
      <c r="N217" s="343"/>
      <c r="O217" s="343"/>
      <c r="P217" s="343"/>
      <c r="Q217" s="343"/>
      <c r="R217" s="343"/>
      <c r="S217" s="343"/>
      <c r="T217" s="343"/>
      <c r="U217" s="343"/>
      <c r="V217" s="343"/>
      <c r="W217" s="343"/>
      <c r="X217" s="343"/>
      <c r="Y217" s="343"/>
      <c r="Z217" s="343"/>
    </row>
    <row r="218" ht="15.75" customHeight="1">
      <c r="A218" s="343"/>
      <c r="B218" s="343"/>
      <c r="C218" s="343"/>
      <c r="D218" s="343"/>
      <c r="E218" s="343"/>
      <c r="F218" s="343"/>
      <c r="G218" s="343"/>
      <c r="H218" s="343"/>
      <c r="I218" s="343"/>
      <c r="J218" s="343"/>
      <c r="K218" s="343"/>
      <c r="L218" s="343"/>
      <c r="M218" s="343"/>
      <c r="N218" s="343"/>
      <c r="O218" s="343"/>
      <c r="P218" s="343"/>
      <c r="Q218" s="343"/>
      <c r="R218" s="343"/>
      <c r="S218" s="343"/>
      <c r="T218" s="343"/>
      <c r="U218" s="343"/>
      <c r="V218" s="343"/>
      <c r="W218" s="343"/>
      <c r="X218" s="343"/>
      <c r="Y218" s="343"/>
      <c r="Z218" s="343"/>
    </row>
    <row r="219" ht="15.75" customHeight="1">
      <c r="A219" s="343"/>
      <c r="B219" s="343"/>
      <c r="C219" s="343"/>
      <c r="D219" s="343"/>
      <c r="E219" s="343"/>
      <c r="F219" s="343"/>
      <c r="G219" s="343"/>
      <c r="H219" s="343"/>
      <c r="I219" s="343"/>
      <c r="J219" s="343"/>
      <c r="K219" s="343"/>
      <c r="L219" s="343"/>
      <c r="M219" s="343"/>
      <c r="N219" s="343"/>
      <c r="O219" s="343"/>
      <c r="P219" s="343"/>
      <c r="Q219" s="343"/>
      <c r="R219" s="343"/>
      <c r="S219" s="343"/>
      <c r="T219" s="343"/>
      <c r="U219" s="343"/>
      <c r="V219" s="343"/>
      <c r="W219" s="343"/>
      <c r="X219" s="343"/>
      <c r="Y219" s="343"/>
      <c r="Z219" s="343"/>
    </row>
    <row r="220" ht="15.75" customHeight="1">
      <c r="A220" s="343"/>
      <c r="B220" s="343"/>
      <c r="C220" s="343"/>
      <c r="D220" s="343"/>
      <c r="E220" s="343"/>
      <c r="F220" s="343"/>
      <c r="G220" s="343"/>
      <c r="H220" s="343"/>
      <c r="I220" s="343"/>
      <c r="J220" s="343"/>
      <c r="K220" s="343"/>
      <c r="L220" s="343"/>
      <c r="M220" s="343"/>
      <c r="N220" s="343"/>
      <c r="O220" s="343"/>
      <c r="P220" s="343"/>
      <c r="Q220" s="343"/>
      <c r="R220" s="343"/>
      <c r="S220" s="343"/>
      <c r="T220" s="343"/>
      <c r="U220" s="343"/>
      <c r="V220" s="343"/>
      <c r="W220" s="343"/>
      <c r="X220" s="343"/>
      <c r="Y220" s="343"/>
      <c r="Z220" s="3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86" t="s">
        <v>0</v>
      </c>
      <c r="B1" s="387" t="s">
        <v>1</v>
      </c>
      <c r="C1" s="388" t="s">
        <v>2</v>
      </c>
      <c r="D1" s="389" t="s">
        <v>5</v>
      </c>
      <c r="E1" s="7" t="s">
        <v>6</v>
      </c>
      <c r="F1" s="8" t="s">
        <v>7</v>
      </c>
      <c r="G1" s="9" t="s">
        <v>8</v>
      </c>
      <c r="H1" s="9" t="s">
        <v>9</v>
      </c>
      <c r="I1" s="10" t="s">
        <v>1109</v>
      </c>
      <c r="J1" s="10" t="s">
        <v>11</v>
      </c>
      <c r="K1" s="9" t="s">
        <v>12</v>
      </c>
      <c r="L1" s="7" t="s">
        <v>18</v>
      </c>
      <c r="M1" s="9" t="s">
        <v>13</v>
      </c>
      <c r="N1" s="7" t="s">
        <v>19</v>
      </c>
      <c r="O1" s="9" t="s">
        <v>14</v>
      </c>
      <c r="P1" s="11" t="s">
        <v>15</v>
      </c>
      <c r="Q1" s="14" t="s">
        <v>1452</v>
      </c>
      <c r="R1" s="14" t="s">
        <v>1452</v>
      </c>
      <c r="S1" s="14" t="s">
        <v>21</v>
      </c>
      <c r="T1" s="14" t="s">
        <v>22</v>
      </c>
      <c r="U1" s="14" t="s">
        <v>23</v>
      </c>
      <c r="V1" s="14" t="s">
        <v>23</v>
      </c>
      <c r="W1" s="14" t="s">
        <v>24</v>
      </c>
      <c r="X1" s="390" t="s">
        <v>25</v>
      </c>
      <c r="Y1" s="390" t="s">
        <v>26</v>
      </c>
      <c r="Z1" s="390" t="s">
        <v>27</v>
      </c>
      <c r="AA1" s="390" t="s">
        <v>28</v>
      </c>
      <c r="AB1" s="390" t="s">
        <v>29</v>
      </c>
      <c r="AC1" s="390" t="s">
        <v>30</v>
      </c>
      <c r="AD1" s="390" t="s">
        <v>31</v>
      </c>
      <c r="AE1" s="390" t="s">
        <v>32</v>
      </c>
      <c r="AF1" s="390" t="s">
        <v>33</v>
      </c>
      <c r="AG1" s="390" t="s">
        <v>34</v>
      </c>
      <c r="AH1" s="390" t="s">
        <v>35</v>
      </c>
      <c r="AI1" s="390" t="s">
        <v>36</v>
      </c>
      <c r="AJ1" s="14" t="s">
        <v>37</v>
      </c>
      <c r="AK1" s="14" t="s">
        <v>38</v>
      </c>
      <c r="AL1" s="14" t="s">
        <v>39</v>
      </c>
      <c r="AM1" s="14" t="s">
        <v>1453</v>
      </c>
      <c r="AN1" s="14" t="s">
        <v>1454</v>
      </c>
    </row>
    <row r="2">
      <c r="A2" s="391" t="s">
        <v>1426</v>
      </c>
      <c r="B2" s="392" t="s">
        <v>1455</v>
      </c>
      <c r="C2" s="96" t="s">
        <v>1456</v>
      </c>
      <c r="D2" s="98" t="s">
        <v>73</v>
      </c>
      <c r="E2" s="29"/>
      <c r="F2" s="50"/>
      <c r="G2" s="22">
        <v>45751.0</v>
      </c>
      <c r="H2" s="23">
        <v>45756.0</v>
      </c>
      <c r="I2" s="51">
        <v>45760.0</v>
      </c>
      <c r="J2" s="23"/>
      <c r="K2" s="25">
        <f>IF(ISBLANK(J2), NETWORKDAYS(H2, TODAY(),Hoja2!$A$1:$A$18), NETWORKDAYS(H2, J2, Hoja2!$A$1:$A$18))</f>
        <v>146</v>
      </c>
      <c r="L2" s="25"/>
      <c r="M2" s="22"/>
      <c r="N2" s="393"/>
      <c r="O2" s="26"/>
      <c r="P2" s="394" t="s">
        <v>1457</v>
      </c>
      <c r="Q2" s="395"/>
      <c r="R2" s="395"/>
      <c r="S2" s="395"/>
      <c r="T2" s="395"/>
      <c r="U2" s="395"/>
      <c r="V2" s="395"/>
      <c r="W2" s="395"/>
    </row>
    <row r="3">
      <c r="A3" s="391" t="s">
        <v>1426</v>
      </c>
      <c r="B3" s="396"/>
      <c r="C3" s="96" t="s">
        <v>1458</v>
      </c>
      <c r="D3" s="98" t="s">
        <v>73</v>
      </c>
      <c r="E3" s="20">
        <v>90.0</v>
      </c>
      <c r="F3" s="50"/>
      <c r="G3" s="22">
        <v>45749.0</v>
      </c>
      <c r="H3" s="23">
        <v>45754.0</v>
      </c>
      <c r="I3" s="35">
        <v>45772.0</v>
      </c>
      <c r="J3" s="35">
        <v>45783.0</v>
      </c>
      <c r="K3" s="25">
        <f>IF(ISBLANK(J3), NETWORKDAYS(H3, TODAY(),Hoja2!$A$1:$A$18), NETWORKDAYS(H3, J3, Hoja2!$A$1:$A$18))</f>
        <v>22</v>
      </c>
      <c r="L3" s="29"/>
      <c r="M3" s="22">
        <v>45755.0</v>
      </c>
      <c r="N3" s="393"/>
      <c r="O3" s="26"/>
      <c r="P3" s="52" t="s">
        <v>1459</v>
      </c>
      <c r="Q3" s="34" t="s">
        <v>1460</v>
      </c>
      <c r="R3" s="34" t="s">
        <v>1461</v>
      </c>
      <c r="S3" s="34" t="s">
        <v>1462</v>
      </c>
      <c r="T3" s="34" t="s">
        <v>1463</v>
      </c>
      <c r="U3" s="33"/>
      <c r="V3" s="33"/>
      <c r="W3" s="33"/>
    </row>
    <row r="4">
      <c r="A4" s="391" t="s">
        <v>1426</v>
      </c>
      <c r="B4" s="396"/>
      <c r="C4" s="96" t="s">
        <v>1464</v>
      </c>
      <c r="D4" s="98" t="s">
        <v>73</v>
      </c>
      <c r="E4" s="20">
        <v>60.0</v>
      </c>
      <c r="F4" s="50"/>
      <c r="G4" s="22">
        <v>45749.0</v>
      </c>
      <c r="H4" s="23">
        <v>45749.0</v>
      </c>
      <c r="I4" s="35">
        <v>45779.0</v>
      </c>
      <c r="J4" s="35">
        <v>45783.0</v>
      </c>
      <c r="K4" s="25">
        <f>IF(ISBLANK(J4), NETWORKDAYS(H4, TODAY(),Hoja2!$A$1:$A$18), NETWORKDAYS(H4, J4, Hoja2!$A$1:$A$18))</f>
        <v>25</v>
      </c>
      <c r="L4" s="29"/>
      <c r="M4" s="22">
        <v>45754.0</v>
      </c>
      <c r="N4" s="393"/>
      <c r="O4" s="26"/>
      <c r="P4" s="52" t="s">
        <v>1465</v>
      </c>
      <c r="Q4" s="34" t="s">
        <v>1460</v>
      </c>
      <c r="R4" s="34" t="s">
        <v>1466</v>
      </c>
      <c r="S4" s="34" t="s">
        <v>1462</v>
      </c>
      <c r="T4" s="34" t="s">
        <v>1467</v>
      </c>
      <c r="U4" s="33"/>
      <c r="V4" s="33"/>
      <c r="W4" s="33"/>
    </row>
    <row r="5">
      <c r="A5" s="391" t="s">
        <v>1426</v>
      </c>
      <c r="B5" s="396"/>
      <c r="C5" s="397" t="s">
        <v>1468</v>
      </c>
      <c r="D5" s="98" t="s">
        <v>73</v>
      </c>
      <c r="E5" s="57">
        <v>100.0</v>
      </c>
      <c r="F5" s="50"/>
      <c r="G5" s="83">
        <v>45770.0</v>
      </c>
      <c r="H5" s="60">
        <v>45770.0</v>
      </c>
      <c r="I5" s="60">
        <v>45770.0</v>
      </c>
      <c r="J5" s="60">
        <v>45770.0</v>
      </c>
      <c r="K5" s="25">
        <f>IF(ISBLANK(J5), NETWORKDAYS(H5, TODAY(),Hoja2!$A$1:$A$18), NETWORKDAYS(H5, J5, Hoja2!$A$1:$A$18))</f>
        <v>1</v>
      </c>
      <c r="L5" s="25"/>
      <c r="M5" s="22"/>
      <c r="N5" s="393"/>
      <c r="O5" s="26"/>
      <c r="P5" s="52" t="s">
        <v>1469</v>
      </c>
      <c r="Q5" s="140"/>
      <c r="R5" s="140"/>
      <c r="S5" s="140"/>
      <c r="T5" s="140"/>
      <c r="U5" s="140"/>
      <c r="V5" s="140"/>
      <c r="W5" s="140"/>
    </row>
    <row r="6">
      <c r="A6" s="391" t="s">
        <v>1426</v>
      </c>
      <c r="B6" s="201" t="s">
        <v>1470</v>
      </c>
      <c r="C6" s="398" t="s">
        <v>1471</v>
      </c>
      <c r="D6" s="399" t="s">
        <v>73</v>
      </c>
      <c r="E6" s="400">
        <v>50.0</v>
      </c>
      <c r="F6" s="401"/>
      <c r="G6" s="402"/>
      <c r="H6" s="403"/>
      <c r="I6" s="403"/>
      <c r="J6" s="403"/>
      <c r="K6" s="25">
        <f>IF(ISBLANK(J6), NETWORKDAYS(H6, TODAY(),Hoja2!$A$1:$A$18), NETWORKDAYS(H6, J6, Hoja2!$A$1:$A$18))</f>
        <v>32812</v>
      </c>
      <c r="L6" s="404"/>
      <c r="M6" s="402"/>
      <c r="N6" s="401"/>
      <c r="O6" s="405"/>
      <c r="P6" s="401"/>
      <c r="Q6" s="406" t="s">
        <v>1472</v>
      </c>
      <c r="R6" s="406" t="s">
        <v>1473</v>
      </c>
      <c r="S6" s="407"/>
      <c r="T6" s="407"/>
      <c r="U6" s="407"/>
      <c r="V6" s="407"/>
      <c r="W6" s="407"/>
    </row>
    <row r="7">
      <c r="A7" s="391" t="s">
        <v>1426</v>
      </c>
      <c r="B7" s="201" t="s">
        <v>1470</v>
      </c>
      <c r="C7" s="408" t="s">
        <v>1474</v>
      </c>
      <c r="D7" s="98" t="s">
        <v>73</v>
      </c>
      <c r="E7" s="99"/>
      <c r="F7" s="72"/>
      <c r="G7" s="59">
        <v>45666.0</v>
      </c>
      <c r="H7" s="51">
        <v>45684.0</v>
      </c>
      <c r="I7" s="69"/>
      <c r="J7" s="51">
        <v>45685.0</v>
      </c>
      <c r="K7" s="25">
        <f>IF(ISBLANK(J7), NETWORKDAYS(H7, TODAY(),Hoja2!$A$1:$A$18), NETWORKDAYS(H7, J7, Hoja2!$A$1:$A$18))</f>
        <v>2</v>
      </c>
      <c r="L7" s="50"/>
      <c r="M7" s="215">
        <v>45685.0</v>
      </c>
      <c r="N7" s="393"/>
      <c r="O7" s="26"/>
      <c r="P7" s="409" t="s">
        <v>1475</v>
      </c>
      <c r="Q7" s="93" t="s">
        <v>1476</v>
      </c>
      <c r="R7" s="406" t="s">
        <v>1473</v>
      </c>
      <c r="S7" s="407"/>
      <c r="T7" s="407"/>
      <c r="U7" s="407"/>
      <c r="V7" s="407"/>
      <c r="W7" s="407"/>
    </row>
    <row r="8" ht="29.25" customHeight="1">
      <c r="A8" s="410" t="s">
        <v>1411</v>
      </c>
      <c r="B8" s="411"/>
      <c r="C8" s="412" t="s">
        <v>1477</v>
      </c>
      <c r="D8" s="98" t="s">
        <v>73</v>
      </c>
      <c r="E8" s="413"/>
      <c r="F8" s="413"/>
      <c r="G8" s="414">
        <v>45756.0</v>
      </c>
      <c r="H8" s="415">
        <v>45756.0</v>
      </c>
      <c r="I8" s="415"/>
      <c r="J8" s="415">
        <v>45756.0</v>
      </c>
      <c r="K8" s="416">
        <f>IF(ISBLANK(J8), NETWORKDAYS(H8, TODAY(),Hoja2!$A$1:$A$18), NETWORKDAYS(H8, J8, Hoja2!$A$1:$A$18))</f>
        <v>1</v>
      </c>
      <c r="L8" s="413"/>
      <c r="M8" s="414"/>
      <c r="N8" s="413"/>
      <c r="O8" s="417"/>
      <c r="P8" s="418" t="s">
        <v>1478</v>
      </c>
      <c r="Q8" s="419"/>
      <c r="R8" s="419"/>
      <c r="S8" s="419"/>
      <c r="T8" s="419"/>
      <c r="U8" s="419"/>
      <c r="V8" s="419"/>
      <c r="W8" s="419"/>
      <c r="X8" s="420"/>
      <c r="Y8" s="420"/>
      <c r="Z8" s="420"/>
      <c r="AA8" s="420"/>
      <c r="AB8" s="420"/>
      <c r="AC8" s="420"/>
      <c r="AD8" s="420"/>
      <c r="AE8" s="420"/>
      <c r="AF8" s="420"/>
      <c r="AG8" s="420"/>
      <c r="AH8" s="420"/>
      <c r="AI8" s="420"/>
      <c r="AJ8" s="420"/>
      <c r="AK8" s="420"/>
      <c r="AL8" s="420"/>
      <c r="AM8" s="420"/>
      <c r="AN8" s="420"/>
    </row>
    <row r="9" ht="29.25" customHeight="1">
      <c r="A9" s="410" t="s">
        <v>1411</v>
      </c>
      <c r="B9" s="411"/>
      <c r="C9" s="412" t="s">
        <v>1479</v>
      </c>
      <c r="D9" s="421" t="s">
        <v>73</v>
      </c>
      <c r="E9" s="413"/>
      <c r="F9" s="413"/>
      <c r="G9" s="414">
        <v>45750.0</v>
      </c>
      <c r="H9" s="415">
        <v>45750.0</v>
      </c>
      <c r="I9" s="415"/>
      <c r="J9" s="415">
        <v>45755.0</v>
      </c>
      <c r="K9" s="416">
        <f>IF(ISBLANK(J9), NETWORKDAYS(H9, TODAY(),Hoja2!$A$1:$A$18), NETWORKDAYS(H9, J9, Hoja2!$A$1:$A$18))</f>
        <v>4</v>
      </c>
      <c r="L9" s="413"/>
      <c r="M9" s="414">
        <v>45755.0</v>
      </c>
      <c r="N9" s="413"/>
      <c r="O9" s="417">
        <v>45761.0</v>
      </c>
      <c r="P9" s="422" t="s">
        <v>1480</v>
      </c>
      <c r="Q9" s="423"/>
      <c r="R9" s="423"/>
      <c r="S9" s="423"/>
      <c r="T9" s="423"/>
      <c r="U9" s="423"/>
      <c r="V9" s="423"/>
      <c r="W9" s="423"/>
      <c r="X9" s="420"/>
      <c r="Y9" s="420"/>
      <c r="Z9" s="420"/>
      <c r="AA9" s="420"/>
      <c r="AB9" s="420"/>
      <c r="AC9" s="420"/>
      <c r="AD9" s="420"/>
      <c r="AE9" s="420"/>
      <c r="AF9" s="420"/>
      <c r="AG9" s="420"/>
      <c r="AH9" s="420"/>
      <c r="AI9" s="420"/>
      <c r="AJ9" s="420"/>
      <c r="AK9" s="420"/>
      <c r="AL9" s="420"/>
      <c r="AM9" s="420"/>
      <c r="AN9" s="420"/>
    </row>
    <row r="10" ht="29.25" customHeight="1">
      <c r="A10" s="410" t="s">
        <v>1411</v>
      </c>
      <c r="B10" s="411"/>
      <c r="C10" s="424" t="s">
        <v>1481</v>
      </c>
      <c r="D10" s="98" t="s">
        <v>73</v>
      </c>
      <c r="E10" s="413"/>
      <c r="F10" s="413"/>
      <c r="G10" s="414">
        <v>45750.0</v>
      </c>
      <c r="H10" s="415">
        <v>45751.0</v>
      </c>
      <c r="I10" s="415"/>
      <c r="J10" s="415"/>
      <c r="K10" s="416">
        <f>IF(ISBLANK(J10), NETWORKDAYS(H10, TODAY(),Hoja2!$A$1:$A$18), NETWORKDAYS(H10, J10, Hoja2!$A$1:$A$18))</f>
        <v>149</v>
      </c>
      <c r="L10" s="413"/>
      <c r="M10" s="414"/>
      <c r="N10" s="425" t="s">
        <v>1482</v>
      </c>
      <c r="O10" s="417"/>
      <c r="P10" s="422" t="s">
        <v>1483</v>
      </c>
      <c r="Q10" s="423"/>
      <c r="R10" s="426"/>
      <c r="S10" s="426"/>
      <c r="T10" s="426"/>
      <c r="U10" s="426"/>
      <c r="V10" s="426"/>
      <c r="W10" s="426"/>
      <c r="X10" s="427"/>
      <c r="Y10" s="427"/>
      <c r="Z10" s="427"/>
      <c r="AA10" s="427"/>
      <c r="AB10" s="427"/>
      <c r="AC10" s="427"/>
      <c r="AD10" s="427"/>
      <c r="AE10" s="427"/>
      <c r="AF10" s="427"/>
      <c r="AG10" s="427"/>
      <c r="AH10" s="427"/>
      <c r="AI10" s="427"/>
      <c r="AJ10" s="427"/>
      <c r="AK10" s="427"/>
      <c r="AL10" s="427"/>
      <c r="AM10" s="427"/>
      <c r="AN10" s="427"/>
    </row>
    <row r="11" ht="29.25" customHeight="1">
      <c r="A11" s="410" t="s">
        <v>1411</v>
      </c>
      <c r="B11" s="428" t="s">
        <v>1484</v>
      </c>
      <c r="C11" s="429" t="s">
        <v>1485</v>
      </c>
      <c r="D11" s="98" t="s">
        <v>73</v>
      </c>
      <c r="E11" s="425">
        <v>99.0</v>
      </c>
      <c r="F11" s="413"/>
      <c r="G11" s="414">
        <v>45726.0</v>
      </c>
      <c r="H11" s="415">
        <v>45726.0</v>
      </c>
      <c r="I11" s="430">
        <v>45775.0</v>
      </c>
      <c r="J11" s="430">
        <v>45779.0</v>
      </c>
      <c r="K11" s="431">
        <f>IF(ISBLANK(J11), NETWORKDAYS(H11, TODAY(),Hoja2!$A$1:$A$18), NETWORKDAYS(H11, J11, Hoja2!$A$1:$A$18))</f>
        <v>40</v>
      </c>
      <c r="L11" s="413"/>
      <c r="M11" s="414"/>
      <c r="N11" s="413"/>
      <c r="O11" s="417">
        <v>45757.0</v>
      </c>
      <c r="P11" s="418" t="s">
        <v>1486</v>
      </c>
      <c r="Q11" s="432" t="s">
        <v>1487</v>
      </c>
      <c r="R11" s="432" t="s">
        <v>1488</v>
      </c>
      <c r="S11" s="432" t="s">
        <v>1489</v>
      </c>
      <c r="T11" s="433"/>
      <c r="U11" s="433"/>
      <c r="V11" s="433"/>
      <c r="W11" s="433"/>
      <c r="X11" s="434"/>
      <c r="Y11" s="434"/>
      <c r="Z11" s="434"/>
      <c r="AA11" s="434"/>
      <c r="AB11" s="434"/>
      <c r="AC11" s="434"/>
      <c r="AD11" s="434"/>
      <c r="AE11" s="434"/>
      <c r="AF11" s="434"/>
      <c r="AG11" s="434"/>
      <c r="AH11" s="434"/>
      <c r="AI11" s="434"/>
      <c r="AJ11" s="434"/>
      <c r="AK11" s="434"/>
      <c r="AL11" s="434"/>
      <c r="AM11" s="434"/>
      <c r="AN11" s="434"/>
    </row>
    <row r="12" ht="29.25" customHeight="1">
      <c r="A12" s="410" t="s">
        <v>1436</v>
      </c>
      <c r="B12" s="435" t="s">
        <v>1490</v>
      </c>
      <c r="C12" s="424" t="s">
        <v>1491</v>
      </c>
      <c r="D12" s="421" t="s">
        <v>73</v>
      </c>
      <c r="E12" s="413"/>
      <c r="F12" s="436"/>
      <c r="G12" s="414">
        <v>45751.0</v>
      </c>
      <c r="H12" s="415">
        <v>45755.0</v>
      </c>
      <c r="I12" s="437"/>
      <c r="J12" s="438">
        <v>45758.0</v>
      </c>
      <c r="K12" s="416">
        <f>IF(ISBLANK(J12), NETWORKDAYS(H12, TODAY(),Hoja2!$A$1:$A$18), NETWORKDAYS(H12, J12, Hoja2!$A$1:$A$18))</f>
        <v>4</v>
      </c>
      <c r="L12" s="439"/>
      <c r="M12" s="440"/>
      <c r="N12" s="441"/>
      <c r="O12" s="442"/>
      <c r="P12" s="443" t="s">
        <v>1492</v>
      </c>
      <c r="Q12" s="419"/>
      <c r="R12" s="444"/>
      <c r="S12" s="444"/>
      <c r="T12" s="444"/>
      <c r="U12" s="444"/>
      <c r="V12" s="444"/>
      <c r="W12" s="444"/>
      <c r="X12" s="427"/>
      <c r="Y12" s="427"/>
      <c r="Z12" s="427"/>
      <c r="AA12" s="427"/>
      <c r="AB12" s="427"/>
      <c r="AC12" s="427"/>
      <c r="AD12" s="427"/>
      <c r="AE12" s="427"/>
      <c r="AF12" s="427"/>
      <c r="AG12" s="427"/>
      <c r="AH12" s="427"/>
      <c r="AI12" s="427"/>
      <c r="AJ12" s="427"/>
      <c r="AK12" s="427"/>
      <c r="AL12" s="427"/>
      <c r="AM12" s="427"/>
      <c r="AN12" s="427"/>
    </row>
    <row r="13" ht="29.25" customHeight="1">
      <c r="A13" s="410" t="s">
        <v>1436</v>
      </c>
      <c r="B13" s="411"/>
      <c r="C13" s="412" t="s">
        <v>1493</v>
      </c>
      <c r="D13" s="98" t="s">
        <v>73</v>
      </c>
      <c r="E13" s="413"/>
      <c r="F13" s="445"/>
      <c r="G13" s="414">
        <v>45757.0</v>
      </c>
      <c r="H13" s="446"/>
      <c r="I13" s="447"/>
      <c r="J13" s="447"/>
      <c r="K13" s="416">
        <f>IF(ISBLANK(J13), NETWORKDAYS(H13, TODAY(),Hoja2!$A$1:$A$18), NETWORKDAYS(H13, J13, Hoja2!$A$1:$A$18))</f>
        <v>32812</v>
      </c>
      <c r="L13" s="448"/>
      <c r="M13" s="449"/>
      <c r="N13" s="450"/>
      <c r="O13" s="451"/>
      <c r="P13" s="441" t="s">
        <v>1494</v>
      </c>
      <c r="Q13" s="452"/>
      <c r="R13" s="452"/>
      <c r="S13" s="452"/>
      <c r="T13" s="452"/>
      <c r="U13" s="452"/>
      <c r="V13" s="452"/>
      <c r="W13" s="452"/>
      <c r="X13" s="427"/>
      <c r="Y13" s="427"/>
      <c r="Z13" s="427"/>
      <c r="AA13" s="427"/>
      <c r="AB13" s="427"/>
      <c r="AC13" s="427"/>
      <c r="AD13" s="427"/>
      <c r="AE13" s="427"/>
      <c r="AF13" s="427"/>
      <c r="AG13" s="427"/>
      <c r="AH13" s="427"/>
      <c r="AI13" s="427"/>
      <c r="AJ13" s="427"/>
      <c r="AK13" s="427"/>
      <c r="AL13" s="427"/>
      <c r="AM13" s="427"/>
      <c r="AN13" s="427"/>
    </row>
    <row r="14" ht="29.25" customHeight="1">
      <c r="A14" s="410" t="s">
        <v>1436</v>
      </c>
      <c r="B14" s="428" t="s">
        <v>1495</v>
      </c>
      <c r="C14" s="429" t="s">
        <v>1496</v>
      </c>
      <c r="D14" s="98" t="s">
        <v>73</v>
      </c>
      <c r="E14" s="413"/>
      <c r="F14" s="436"/>
      <c r="G14" s="414">
        <v>45748.0</v>
      </c>
      <c r="H14" s="415">
        <v>45749.0</v>
      </c>
      <c r="I14" s="437"/>
      <c r="J14" s="437">
        <v>45755.0</v>
      </c>
      <c r="K14" s="416">
        <f>IF(ISBLANK(J14), NETWORKDAYS(H14, TODAY(),Hoja2!$A$1:$A$18), NETWORKDAYS(H14, J14, Hoja2!$A$1:$A$18))</f>
        <v>5</v>
      </c>
      <c r="L14" s="453"/>
      <c r="M14" s="440">
        <v>45755.0</v>
      </c>
      <c r="N14" s="441"/>
      <c r="O14" s="442"/>
      <c r="P14" s="454" t="s">
        <v>1497</v>
      </c>
      <c r="Q14" s="455"/>
      <c r="R14" s="456"/>
      <c r="S14" s="456"/>
      <c r="T14" s="456"/>
      <c r="U14" s="456"/>
      <c r="V14" s="456"/>
      <c r="W14" s="456"/>
      <c r="X14" s="434"/>
      <c r="Y14" s="434"/>
      <c r="Z14" s="434"/>
      <c r="AA14" s="434"/>
      <c r="AB14" s="434"/>
      <c r="AC14" s="434"/>
      <c r="AD14" s="434"/>
      <c r="AE14" s="434"/>
      <c r="AF14" s="434"/>
      <c r="AG14" s="434"/>
      <c r="AH14" s="434"/>
      <c r="AI14" s="434"/>
      <c r="AJ14" s="434"/>
      <c r="AK14" s="434"/>
      <c r="AL14" s="434"/>
      <c r="AM14" s="434"/>
      <c r="AN14" s="434"/>
    </row>
    <row r="15" ht="29.25" customHeight="1">
      <c r="A15" s="410" t="s">
        <v>1411</v>
      </c>
      <c r="B15" s="425" t="s">
        <v>1498</v>
      </c>
      <c r="C15" s="429" t="s">
        <v>1499</v>
      </c>
      <c r="D15" s="421" t="s">
        <v>73</v>
      </c>
      <c r="E15" s="413"/>
      <c r="F15" s="413"/>
      <c r="G15" s="414">
        <v>45754.0</v>
      </c>
      <c r="H15" s="415">
        <v>45757.0</v>
      </c>
      <c r="I15" s="415"/>
      <c r="J15" s="415">
        <v>45761.0</v>
      </c>
      <c r="K15" s="416">
        <f>IF(ISBLANK(J15), NETWORKDAYS(H15, TODAY(),Hoja2!$A$1:$A$18), NETWORKDAYS(H15, J15, Hoja2!$A$1:$A$18))</f>
        <v>3</v>
      </c>
      <c r="L15" s="413"/>
      <c r="M15" s="414"/>
      <c r="N15" s="413"/>
      <c r="O15" s="417">
        <v>45761.0</v>
      </c>
      <c r="P15" s="418" t="s">
        <v>1500</v>
      </c>
      <c r="Q15" s="419"/>
      <c r="R15" s="419"/>
      <c r="S15" s="419"/>
      <c r="T15" s="419"/>
      <c r="U15" s="419"/>
      <c r="V15" s="419"/>
      <c r="W15" s="419"/>
      <c r="X15" s="420"/>
      <c r="Y15" s="420"/>
      <c r="Z15" s="420"/>
      <c r="AA15" s="420"/>
      <c r="AB15" s="420"/>
      <c r="AC15" s="420"/>
      <c r="AD15" s="420"/>
      <c r="AE15" s="420"/>
      <c r="AF15" s="420"/>
      <c r="AG15" s="420"/>
      <c r="AH15" s="420"/>
      <c r="AI15" s="420"/>
      <c r="AJ15" s="420"/>
      <c r="AK15" s="420"/>
      <c r="AL15" s="420"/>
      <c r="AM15" s="420"/>
      <c r="AN15" s="420"/>
    </row>
    <row r="16" ht="29.25" customHeight="1">
      <c r="A16" s="410" t="s">
        <v>1411</v>
      </c>
      <c r="B16" s="425" t="s">
        <v>1501</v>
      </c>
      <c r="C16" s="429" t="s">
        <v>1502</v>
      </c>
      <c r="D16" s="421" t="s">
        <v>73</v>
      </c>
      <c r="E16" s="413"/>
      <c r="F16" s="413"/>
      <c r="G16" s="414">
        <v>45754.0</v>
      </c>
      <c r="H16" s="415">
        <v>45757.0</v>
      </c>
      <c r="I16" s="415"/>
      <c r="J16" s="415">
        <v>45761.0</v>
      </c>
      <c r="K16" s="416">
        <f>IF(ISBLANK(J16), NETWORKDAYS(H16, TODAY(),Hoja2!$A$1:$A$18), NETWORKDAYS(H16, J16, Hoja2!$A$1:$A$18))</f>
        <v>3</v>
      </c>
      <c r="L16" s="413"/>
      <c r="M16" s="414"/>
      <c r="N16" s="413"/>
      <c r="O16" s="417">
        <v>45761.0</v>
      </c>
      <c r="P16" s="418" t="s">
        <v>1503</v>
      </c>
      <c r="Q16" s="419"/>
      <c r="R16" s="419"/>
      <c r="S16" s="419"/>
      <c r="T16" s="419"/>
      <c r="U16" s="419"/>
      <c r="V16" s="419"/>
      <c r="W16" s="419"/>
      <c r="X16" s="420"/>
      <c r="Y16" s="420"/>
      <c r="Z16" s="420"/>
      <c r="AA16" s="420"/>
      <c r="AB16" s="420"/>
      <c r="AC16" s="420"/>
      <c r="AD16" s="420"/>
      <c r="AE16" s="420"/>
      <c r="AF16" s="420"/>
      <c r="AG16" s="420"/>
      <c r="AH16" s="420"/>
      <c r="AI16" s="420"/>
      <c r="AJ16" s="420"/>
      <c r="AK16" s="420"/>
      <c r="AL16" s="420"/>
      <c r="AM16" s="420"/>
      <c r="AN16" s="420"/>
    </row>
    <row r="17" ht="29.25" customHeight="1">
      <c r="A17" s="410" t="s">
        <v>1411</v>
      </c>
      <c r="B17" s="425" t="s">
        <v>1504</v>
      </c>
      <c r="C17" s="429" t="s">
        <v>1505</v>
      </c>
      <c r="D17" s="421" t="s">
        <v>73</v>
      </c>
      <c r="E17" s="413"/>
      <c r="F17" s="413"/>
      <c r="G17" s="414">
        <v>45754.0</v>
      </c>
      <c r="H17" s="415">
        <v>45761.0</v>
      </c>
      <c r="I17" s="415"/>
      <c r="J17" s="415">
        <v>45761.0</v>
      </c>
      <c r="K17" s="416">
        <f>IF(ISBLANK(J17), NETWORKDAYS(H17, TODAY(),Hoja2!$A$1:$A$18), NETWORKDAYS(H17, J17, Hoja2!$A$1:$A$18))</f>
        <v>1</v>
      </c>
      <c r="L17" s="413"/>
      <c r="M17" s="414"/>
      <c r="N17" s="413"/>
      <c r="O17" s="417">
        <v>45761.0</v>
      </c>
      <c r="P17" s="418" t="s">
        <v>1506</v>
      </c>
      <c r="Q17" s="419"/>
      <c r="R17" s="419"/>
      <c r="S17" s="419"/>
      <c r="T17" s="419"/>
      <c r="U17" s="419"/>
      <c r="V17" s="419"/>
      <c r="W17" s="419"/>
      <c r="X17" s="420"/>
      <c r="Y17" s="420"/>
      <c r="Z17" s="420"/>
      <c r="AA17" s="420"/>
      <c r="AB17" s="420"/>
      <c r="AC17" s="420"/>
      <c r="AD17" s="420"/>
      <c r="AE17" s="420"/>
      <c r="AF17" s="420"/>
      <c r="AG17" s="420"/>
      <c r="AH17" s="420"/>
      <c r="AI17" s="420"/>
      <c r="AJ17" s="420"/>
      <c r="AK17" s="420"/>
      <c r="AL17" s="420"/>
      <c r="AM17" s="420"/>
      <c r="AN17" s="420"/>
    </row>
    <row r="18" ht="29.25" customHeight="1">
      <c r="A18" s="410" t="s">
        <v>1411</v>
      </c>
      <c r="B18" s="425" t="s">
        <v>1507</v>
      </c>
      <c r="C18" s="429" t="s">
        <v>1508</v>
      </c>
      <c r="D18" s="421" t="s">
        <v>73</v>
      </c>
      <c r="E18" s="413"/>
      <c r="F18" s="413"/>
      <c r="G18" s="414">
        <v>45754.0</v>
      </c>
      <c r="H18" s="415">
        <v>45757.0</v>
      </c>
      <c r="I18" s="415"/>
      <c r="J18" s="415">
        <v>45761.0</v>
      </c>
      <c r="K18" s="416">
        <f>IF(ISBLANK(J18), NETWORKDAYS(H18, TODAY(),Hoja2!$A$1:$A$18), NETWORKDAYS(H18, J18, Hoja2!$A$1:$A$18))</f>
        <v>3</v>
      </c>
      <c r="L18" s="413"/>
      <c r="M18" s="414"/>
      <c r="N18" s="413"/>
      <c r="O18" s="417">
        <v>45761.0</v>
      </c>
      <c r="P18" s="418" t="s">
        <v>1509</v>
      </c>
      <c r="Q18" s="419"/>
      <c r="R18" s="419"/>
      <c r="S18" s="419"/>
      <c r="T18" s="419"/>
      <c r="U18" s="419"/>
      <c r="V18" s="419"/>
      <c r="W18" s="419"/>
      <c r="X18" s="420"/>
      <c r="Y18" s="420"/>
      <c r="Z18" s="420"/>
      <c r="AA18" s="420"/>
      <c r="AB18" s="420"/>
      <c r="AC18" s="420"/>
      <c r="AD18" s="420"/>
      <c r="AE18" s="420"/>
      <c r="AF18" s="420"/>
      <c r="AG18" s="420"/>
      <c r="AH18" s="420"/>
      <c r="AI18" s="420"/>
      <c r="AJ18" s="420"/>
      <c r="AK18" s="420"/>
      <c r="AL18" s="420"/>
      <c r="AM18" s="420"/>
      <c r="AN18" s="420"/>
    </row>
    <row r="19" ht="29.25" customHeight="1">
      <c r="A19" s="457" t="s">
        <v>1411</v>
      </c>
      <c r="B19" s="425" t="s">
        <v>1510</v>
      </c>
      <c r="C19" s="429" t="s">
        <v>1511</v>
      </c>
      <c r="D19" s="421" t="s">
        <v>73</v>
      </c>
      <c r="E19" s="458"/>
      <c r="F19" s="458"/>
      <c r="G19" s="459">
        <v>45793.0</v>
      </c>
      <c r="H19" s="430">
        <v>45793.0</v>
      </c>
      <c r="I19" s="430">
        <v>45793.0</v>
      </c>
      <c r="J19" s="430">
        <v>45793.0</v>
      </c>
      <c r="K19" s="425">
        <v>1.0</v>
      </c>
      <c r="L19" s="413"/>
      <c r="M19" s="414"/>
      <c r="N19" s="413"/>
      <c r="O19" s="417"/>
      <c r="P19" s="422"/>
      <c r="Q19" s="423"/>
      <c r="R19" s="423"/>
      <c r="S19" s="423"/>
      <c r="T19" s="423"/>
      <c r="U19" s="423"/>
      <c r="V19" s="423"/>
      <c r="W19" s="423"/>
      <c r="X19" s="420"/>
      <c r="Y19" s="420"/>
      <c r="Z19" s="420"/>
      <c r="AA19" s="420"/>
      <c r="AB19" s="420"/>
      <c r="AC19" s="420"/>
      <c r="AD19" s="420"/>
      <c r="AE19" s="420"/>
      <c r="AF19" s="420"/>
      <c r="AG19" s="420"/>
      <c r="AH19" s="420"/>
      <c r="AI19" s="420"/>
      <c r="AJ19" s="420"/>
      <c r="AK19" s="420"/>
      <c r="AL19" s="420"/>
      <c r="AM19" s="420"/>
      <c r="AN19" s="420"/>
    </row>
    <row r="20" ht="29.25" customHeight="1">
      <c r="A20" s="457" t="s">
        <v>1512</v>
      </c>
      <c r="B20" s="460" t="s">
        <v>1513</v>
      </c>
      <c r="C20" s="429" t="s">
        <v>1514</v>
      </c>
      <c r="D20" s="461" t="s">
        <v>73</v>
      </c>
      <c r="E20" s="462"/>
      <c r="F20" s="462"/>
      <c r="G20" s="459">
        <v>45763.0</v>
      </c>
      <c r="H20" s="430">
        <v>45763.0</v>
      </c>
      <c r="I20" s="430">
        <v>45763.0</v>
      </c>
      <c r="J20" s="430">
        <v>45763.0</v>
      </c>
      <c r="K20" s="425">
        <v>1.0</v>
      </c>
      <c r="L20" s="413"/>
      <c r="M20" s="459">
        <v>45763.0</v>
      </c>
      <c r="N20" s="462"/>
      <c r="O20" s="463">
        <v>45763.0</v>
      </c>
      <c r="P20" s="423"/>
      <c r="Q20" s="423"/>
      <c r="R20" s="423"/>
      <c r="S20" s="423"/>
      <c r="T20" s="423"/>
      <c r="U20" s="423"/>
      <c r="V20" s="423"/>
      <c r="W20" s="423"/>
      <c r="X20" s="420"/>
      <c r="Y20" s="420"/>
      <c r="Z20" s="420"/>
      <c r="AA20" s="420"/>
      <c r="AB20" s="420"/>
      <c r="AC20" s="420"/>
      <c r="AD20" s="420"/>
      <c r="AE20" s="420"/>
      <c r="AF20" s="420"/>
      <c r="AG20" s="420"/>
      <c r="AH20" s="420"/>
      <c r="AI20" s="420"/>
      <c r="AJ20" s="420"/>
      <c r="AK20" s="420"/>
      <c r="AL20" s="420"/>
      <c r="AM20" s="420"/>
      <c r="AN20" s="420"/>
    </row>
    <row r="21" ht="29.25" customHeight="1">
      <c r="A21" s="457" t="s">
        <v>1512</v>
      </c>
      <c r="B21" s="460" t="s">
        <v>1515</v>
      </c>
      <c r="C21" s="429" t="s">
        <v>1514</v>
      </c>
      <c r="D21" s="461" t="s">
        <v>73</v>
      </c>
      <c r="E21" s="462"/>
      <c r="F21" s="462"/>
      <c r="G21" s="459">
        <v>45763.0</v>
      </c>
      <c r="H21" s="430">
        <v>45763.0</v>
      </c>
      <c r="I21" s="430">
        <v>45763.0</v>
      </c>
      <c r="J21" s="430">
        <v>45763.0</v>
      </c>
      <c r="K21" s="425">
        <v>1.0</v>
      </c>
      <c r="L21" s="413"/>
      <c r="M21" s="459">
        <v>45763.0</v>
      </c>
      <c r="N21" s="462"/>
      <c r="O21" s="463">
        <v>45763.0</v>
      </c>
      <c r="P21" s="423"/>
      <c r="Q21" s="423"/>
      <c r="R21" s="423"/>
      <c r="S21" s="423"/>
      <c r="T21" s="423"/>
      <c r="U21" s="423"/>
      <c r="V21" s="423"/>
      <c r="W21" s="423"/>
      <c r="X21" s="420"/>
      <c r="Y21" s="420"/>
      <c r="Z21" s="420"/>
      <c r="AA21" s="420"/>
      <c r="AB21" s="420"/>
      <c r="AC21" s="420"/>
      <c r="AD21" s="420"/>
      <c r="AE21" s="420"/>
      <c r="AF21" s="420"/>
      <c r="AG21" s="420"/>
      <c r="AH21" s="420"/>
      <c r="AI21" s="420"/>
      <c r="AJ21" s="420"/>
      <c r="AK21" s="420"/>
      <c r="AL21" s="420"/>
      <c r="AM21" s="420"/>
      <c r="AN21" s="420"/>
    </row>
    <row r="22" ht="29.25" customHeight="1">
      <c r="A22" s="457" t="s">
        <v>1512</v>
      </c>
      <c r="B22" s="460" t="s">
        <v>1516</v>
      </c>
      <c r="C22" s="429" t="s">
        <v>1514</v>
      </c>
      <c r="D22" s="461" t="s">
        <v>73</v>
      </c>
      <c r="E22" s="462"/>
      <c r="F22" s="462"/>
      <c r="G22" s="459">
        <v>45763.0</v>
      </c>
      <c r="H22" s="430">
        <v>45763.0</v>
      </c>
      <c r="I22" s="430">
        <v>45763.0</v>
      </c>
      <c r="J22" s="430">
        <v>45763.0</v>
      </c>
      <c r="K22" s="425">
        <v>1.0</v>
      </c>
      <c r="L22" s="413"/>
      <c r="M22" s="459">
        <v>45763.0</v>
      </c>
      <c r="N22" s="462"/>
      <c r="O22" s="463">
        <v>45763.0</v>
      </c>
      <c r="P22" s="423"/>
      <c r="Q22" s="423"/>
      <c r="R22" s="423"/>
      <c r="S22" s="423"/>
      <c r="T22" s="423"/>
      <c r="U22" s="423"/>
      <c r="V22" s="423"/>
      <c r="W22" s="423"/>
      <c r="X22" s="420"/>
      <c r="Y22" s="420"/>
      <c r="Z22" s="420"/>
      <c r="AA22" s="420"/>
      <c r="AB22" s="420"/>
      <c r="AC22" s="420"/>
      <c r="AD22" s="420"/>
      <c r="AE22" s="420"/>
      <c r="AF22" s="420"/>
      <c r="AG22" s="420"/>
      <c r="AH22" s="420"/>
      <c r="AI22" s="420"/>
      <c r="AJ22" s="420"/>
      <c r="AK22" s="420"/>
      <c r="AL22" s="420"/>
      <c r="AM22" s="420"/>
      <c r="AN22" s="420"/>
    </row>
    <row r="23" ht="29.25" customHeight="1">
      <c r="A23" s="457" t="s">
        <v>1512</v>
      </c>
      <c r="B23" s="460" t="s">
        <v>1517</v>
      </c>
      <c r="C23" s="429" t="s">
        <v>1514</v>
      </c>
      <c r="D23" s="461" t="s">
        <v>73</v>
      </c>
      <c r="E23" s="462"/>
      <c r="F23" s="462"/>
      <c r="G23" s="459">
        <v>45763.0</v>
      </c>
      <c r="H23" s="430">
        <v>45763.0</v>
      </c>
      <c r="I23" s="430">
        <v>45763.0</v>
      </c>
      <c r="J23" s="430">
        <v>45763.0</v>
      </c>
      <c r="K23" s="425">
        <v>1.0</v>
      </c>
      <c r="L23" s="413"/>
      <c r="M23" s="459">
        <v>45763.0</v>
      </c>
      <c r="N23" s="462"/>
      <c r="O23" s="463">
        <v>45763.0</v>
      </c>
      <c r="P23" s="423"/>
      <c r="Q23" s="423"/>
      <c r="R23" s="423"/>
      <c r="S23" s="423"/>
      <c r="T23" s="423"/>
      <c r="U23" s="423"/>
      <c r="V23" s="423"/>
      <c r="W23" s="423"/>
      <c r="X23" s="420"/>
      <c r="Y23" s="420"/>
      <c r="Z23" s="420"/>
      <c r="AA23" s="420"/>
      <c r="AB23" s="420"/>
      <c r="AC23" s="420"/>
      <c r="AD23" s="420"/>
      <c r="AE23" s="420"/>
      <c r="AF23" s="420"/>
      <c r="AG23" s="420"/>
      <c r="AH23" s="420"/>
      <c r="AI23" s="420"/>
      <c r="AJ23" s="420"/>
      <c r="AK23" s="420"/>
      <c r="AL23" s="420"/>
      <c r="AM23" s="420"/>
      <c r="AN23" s="420"/>
    </row>
    <row r="24" ht="29.25" customHeight="1">
      <c r="A24" s="457" t="s">
        <v>1512</v>
      </c>
      <c r="B24" s="460" t="s">
        <v>1518</v>
      </c>
      <c r="C24" s="429" t="s">
        <v>1514</v>
      </c>
      <c r="D24" s="461" t="s">
        <v>73</v>
      </c>
      <c r="E24" s="462"/>
      <c r="F24" s="462"/>
      <c r="G24" s="459">
        <v>45763.0</v>
      </c>
      <c r="H24" s="430">
        <v>45763.0</v>
      </c>
      <c r="I24" s="430">
        <v>45763.0</v>
      </c>
      <c r="J24" s="430">
        <v>45763.0</v>
      </c>
      <c r="K24" s="425">
        <v>1.0</v>
      </c>
      <c r="L24" s="413"/>
      <c r="M24" s="459">
        <v>45763.0</v>
      </c>
      <c r="N24" s="462"/>
      <c r="O24" s="463">
        <v>45763.0</v>
      </c>
      <c r="P24" s="423"/>
      <c r="Q24" s="423"/>
      <c r="R24" s="423"/>
      <c r="S24" s="423"/>
      <c r="T24" s="423"/>
      <c r="U24" s="423"/>
      <c r="V24" s="423"/>
      <c r="W24" s="423"/>
      <c r="X24" s="420"/>
      <c r="Y24" s="420"/>
      <c r="Z24" s="420"/>
      <c r="AA24" s="420"/>
      <c r="AB24" s="420"/>
      <c r="AC24" s="420"/>
      <c r="AD24" s="420"/>
      <c r="AE24" s="420"/>
      <c r="AF24" s="420"/>
      <c r="AG24" s="420"/>
      <c r="AH24" s="420"/>
      <c r="AI24" s="420"/>
      <c r="AJ24" s="420"/>
      <c r="AK24" s="420"/>
      <c r="AL24" s="420"/>
      <c r="AM24" s="420"/>
      <c r="AN24" s="420"/>
    </row>
    <row r="25" ht="29.25" customHeight="1">
      <c r="A25" s="457" t="s">
        <v>1512</v>
      </c>
      <c r="B25" s="460" t="s">
        <v>1519</v>
      </c>
      <c r="C25" s="429" t="s">
        <v>1514</v>
      </c>
      <c r="D25" s="461" t="s">
        <v>73</v>
      </c>
      <c r="E25" s="462"/>
      <c r="F25" s="462"/>
      <c r="G25" s="459">
        <v>45763.0</v>
      </c>
      <c r="H25" s="430">
        <v>45763.0</v>
      </c>
      <c r="I25" s="430">
        <v>45763.0</v>
      </c>
      <c r="J25" s="430">
        <v>45763.0</v>
      </c>
      <c r="K25" s="425">
        <v>1.0</v>
      </c>
      <c r="L25" s="413"/>
      <c r="M25" s="459">
        <v>45763.0</v>
      </c>
      <c r="N25" s="462"/>
      <c r="O25" s="463">
        <v>45763.0</v>
      </c>
      <c r="P25" s="423"/>
      <c r="Q25" s="423"/>
      <c r="R25" s="423"/>
      <c r="S25" s="423"/>
      <c r="T25" s="423"/>
      <c r="U25" s="423"/>
      <c r="V25" s="423"/>
      <c r="W25" s="423"/>
      <c r="X25" s="420"/>
      <c r="Y25" s="420"/>
      <c r="Z25" s="420"/>
      <c r="AA25" s="420"/>
      <c r="AB25" s="420"/>
      <c r="AC25" s="420"/>
      <c r="AD25" s="420"/>
      <c r="AE25" s="420"/>
      <c r="AF25" s="420"/>
      <c r="AG25" s="420"/>
      <c r="AH25" s="420"/>
      <c r="AI25" s="420"/>
      <c r="AJ25" s="420"/>
      <c r="AK25" s="420"/>
      <c r="AL25" s="420"/>
      <c r="AM25" s="420"/>
      <c r="AN25" s="420"/>
    </row>
    <row r="26" ht="29.25" customHeight="1">
      <c r="A26" s="457" t="s">
        <v>1512</v>
      </c>
      <c r="B26" s="460" t="s">
        <v>1520</v>
      </c>
      <c r="C26" s="429" t="s">
        <v>1514</v>
      </c>
      <c r="D26" s="461" t="s">
        <v>73</v>
      </c>
      <c r="E26" s="462"/>
      <c r="F26" s="462"/>
      <c r="G26" s="459">
        <v>45763.0</v>
      </c>
      <c r="H26" s="430">
        <v>45763.0</v>
      </c>
      <c r="I26" s="430">
        <v>45763.0</v>
      </c>
      <c r="J26" s="430">
        <v>45763.0</v>
      </c>
      <c r="K26" s="425">
        <v>1.0</v>
      </c>
      <c r="L26" s="413"/>
      <c r="M26" s="459">
        <v>45763.0</v>
      </c>
      <c r="N26" s="462"/>
      <c r="O26" s="463">
        <v>45763.0</v>
      </c>
      <c r="P26" s="423"/>
      <c r="Q26" s="423"/>
      <c r="R26" s="423"/>
      <c r="S26" s="423"/>
      <c r="T26" s="423"/>
      <c r="U26" s="423"/>
      <c r="V26" s="423"/>
      <c r="W26" s="423"/>
      <c r="X26" s="420"/>
      <c r="Y26" s="420"/>
      <c r="Z26" s="420"/>
      <c r="AA26" s="420"/>
      <c r="AB26" s="420"/>
      <c r="AC26" s="420"/>
      <c r="AD26" s="420"/>
      <c r="AE26" s="420"/>
      <c r="AF26" s="420"/>
      <c r="AG26" s="420"/>
      <c r="AH26" s="420"/>
      <c r="AI26" s="420"/>
      <c r="AJ26" s="420"/>
      <c r="AK26" s="420"/>
      <c r="AL26" s="420"/>
      <c r="AM26" s="420"/>
      <c r="AN26" s="420"/>
    </row>
    <row r="27" ht="29.25" customHeight="1">
      <c r="A27" s="457" t="s">
        <v>1512</v>
      </c>
      <c r="B27" s="460" t="s">
        <v>1521</v>
      </c>
      <c r="C27" s="429" t="s">
        <v>1514</v>
      </c>
      <c r="D27" s="461" t="s">
        <v>73</v>
      </c>
      <c r="E27" s="462"/>
      <c r="F27" s="462"/>
      <c r="G27" s="459">
        <v>45763.0</v>
      </c>
      <c r="H27" s="430">
        <v>45763.0</v>
      </c>
      <c r="I27" s="430">
        <v>45763.0</v>
      </c>
      <c r="J27" s="430">
        <v>45763.0</v>
      </c>
      <c r="K27" s="425">
        <v>1.0</v>
      </c>
      <c r="L27" s="413"/>
      <c r="M27" s="459">
        <v>45763.0</v>
      </c>
      <c r="N27" s="462"/>
      <c r="O27" s="463">
        <v>45763.0</v>
      </c>
      <c r="P27" s="423"/>
      <c r="Q27" s="423"/>
      <c r="R27" s="423"/>
      <c r="S27" s="423"/>
      <c r="T27" s="423"/>
      <c r="U27" s="423"/>
      <c r="V27" s="423"/>
      <c r="W27" s="423"/>
      <c r="X27" s="420"/>
      <c r="Y27" s="420"/>
      <c r="Z27" s="420"/>
      <c r="AA27" s="420"/>
      <c r="AB27" s="420"/>
      <c r="AC27" s="420"/>
      <c r="AD27" s="420"/>
      <c r="AE27" s="420"/>
      <c r="AF27" s="420"/>
      <c r="AG27" s="420"/>
      <c r="AH27" s="420"/>
      <c r="AI27" s="420"/>
      <c r="AJ27" s="420"/>
      <c r="AK27" s="420"/>
      <c r="AL27" s="420"/>
      <c r="AM27" s="420"/>
      <c r="AN27" s="420"/>
    </row>
    <row r="28" ht="29.25" customHeight="1">
      <c r="A28" s="457" t="s">
        <v>1512</v>
      </c>
      <c r="B28" s="460" t="s">
        <v>1510</v>
      </c>
      <c r="C28" s="429" t="s">
        <v>1514</v>
      </c>
      <c r="D28" s="461" t="s">
        <v>73</v>
      </c>
      <c r="E28" s="462"/>
      <c r="F28" s="462"/>
      <c r="G28" s="459">
        <v>45763.0</v>
      </c>
      <c r="H28" s="430">
        <v>45763.0</v>
      </c>
      <c r="I28" s="430">
        <v>45763.0</v>
      </c>
      <c r="J28" s="430">
        <v>45763.0</v>
      </c>
      <c r="K28" s="425">
        <v>1.0</v>
      </c>
      <c r="L28" s="413"/>
      <c r="M28" s="459">
        <v>45763.0</v>
      </c>
      <c r="N28" s="462"/>
      <c r="O28" s="463">
        <v>45763.0</v>
      </c>
      <c r="P28" s="423"/>
      <c r="Q28" s="423"/>
      <c r="R28" s="423"/>
      <c r="S28" s="423"/>
      <c r="T28" s="423"/>
      <c r="U28" s="423"/>
      <c r="V28" s="423"/>
      <c r="W28" s="423"/>
      <c r="X28" s="420"/>
      <c r="Y28" s="420"/>
      <c r="Z28" s="420"/>
      <c r="AA28" s="420"/>
      <c r="AB28" s="420"/>
      <c r="AC28" s="420"/>
      <c r="AD28" s="420"/>
      <c r="AE28" s="420"/>
      <c r="AF28" s="420"/>
      <c r="AG28" s="420"/>
      <c r="AH28" s="420"/>
      <c r="AI28" s="420"/>
      <c r="AJ28" s="420"/>
      <c r="AK28" s="420"/>
      <c r="AL28" s="420"/>
      <c r="AM28" s="420"/>
      <c r="AN28" s="420"/>
    </row>
    <row r="29" ht="29.25" customHeight="1">
      <c r="A29" s="457" t="s">
        <v>1512</v>
      </c>
      <c r="B29" s="460" t="s">
        <v>1522</v>
      </c>
      <c r="C29" s="429" t="s">
        <v>1523</v>
      </c>
      <c r="D29" s="461" t="s">
        <v>73</v>
      </c>
      <c r="E29" s="462"/>
      <c r="F29" s="462"/>
      <c r="G29" s="459">
        <v>45770.0</v>
      </c>
      <c r="H29" s="430">
        <v>45771.0</v>
      </c>
      <c r="I29" s="430">
        <v>45772.0</v>
      </c>
      <c r="J29" s="430"/>
      <c r="K29" s="425"/>
      <c r="L29" s="413"/>
      <c r="M29" s="459"/>
      <c r="N29" s="464"/>
      <c r="O29" s="465"/>
      <c r="P29" s="423"/>
      <c r="Q29" s="466" t="s">
        <v>1524</v>
      </c>
      <c r="R29" s="467"/>
      <c r="S29" s="467"/>
      <c r="T29" s="467"/>
      <c r="U29" s="467"/>
      <c r="V29" s="467"/>
      <c r="W29" s="467"/>
      <c r="X29" s="420"/>
      <c r="Y29" s="420"/>
      <c r="Z29" s="420"/>
      <c r="AA29" s="420"/>
      <c r="AB29" s="420"/>
      <c r="AC29" s="420"/>
      <c r="AD29" s="420"/>
      <c r="AE29" s="420"/>
      <c r="AF29" s="420"/>
      <c r="AG29" s="420"/>
      <c r="AH29" s="420"/>
      <c r="AI29" s="420"/>
      <c r="AJ29" s="420"/>
      <c r="AK29" s="420"/>
      <c r="AL29" s="420"/>
      <c r="AM29" s="420"/>
      <c r="AN29" s="420"/>
    </row>
    <row r="30" ht="29.25" customHeight="1">
      <c r="A30" s="457" t="s">
        <v>1512</v>
      </c>
      <c r="B30" s="468" t="s">
        <v>1525</v>
      </c>
      <c r="C30" s="429" t="s">
        <v>1526</v>
      </c>
      <c r="D30" s="461" t="s">
        <v>73</v>
      </c>
      <c r="E30" s="462"/>
      <c r="F30" s="425">
        <v>1.0</v>
      </c>
      <c r="G30" s="459">
        <v>45775.0</v>
      </c>
      <c r="H30" s="430">
        <v>45775.0</v>
      </c>
      <c r="I30" s="430">
        <v>45775.0</v>
      </c>
      <c r="J30" s="430">
        <v>45775.0</v>
      </c>
      <c r="K30" s="425"/>
      <c r="L30" s="413"/>
      <c r="M30" s="459"/>
      <c r="N30" s="464"/>
      <c r="O30" s="465"/>
      <c r="P30" s="423"/>
      <c r="Q30" s="466" t="s">
        <v>1527</v>
      </c>
      <c r="R30" s="467"/>
      <c r="S30" s="467"/>
      <c r="T30" s="467"/>
      <c r="U30" s="467"/>
      <c r="V30" s="467"/>
      <c r="W30" s="467"/>
      <c r="X30" s="420"/>
      <c r="Y30" s="420"/>
      <c r="Z30" s="420"/>
      <c r="AA30" s="420"/>
      <c r="AB30" s="420"/>
      <c r="AC30" s="420"/>
      <c r="AD30" s="420"/>
      <c r="AE30" s="420"/>
      <c r="AF30" s="420"/>
      <c r="AG30" s="420"/>
      <c r="AH30" s="420"/>
      <c r="AI30" s="420"/>
      <c r="AJ30" s="420"/>
      <c r="AK30" s="420"/>
      <c r="AL30" s="420"/>
      <c r="AM30" s="420"/>
      <c r="AN30" s="420"/>
    </row>
    <row r="31" ht="29.25" customHeight="1">
      <c r="A31" s="457" t="s">
        <v>1512</v>
      </c>
      <c r="B31" s="468" t="s">
        <v>1522</v>
      </c>
      <c r="C31" s="429" t="s">
        <v>1528</v>
      </c>
      <c r="D31" s="461" t="s">
        <v>73</v>
      </c>
      <c r="E31" s="425">
        <v>100.0</v>
      </c>
      <c r="F31" s="462"/>
      <c r="G31" s="459">
        <v>45770.0</v>
      </c>
      <c r="H31" s="430">
        <v>45770.0</v>
      </c>
      <c r="I31" s="430">
        <v>45770.0</v>
      </c>
      <c r="J31" s="430">
        <v>45770.0</v>
      </c>
      <c r="K31" s="425">
        <v>1.0</v>
      </c>
      <c r="L31" s="413"/>
      <c r="M31" s="459"/>
      <c r="N31" s="464"/>
      <c r="O31" s="465"/>
      <c r="P31" s="423"/>
      <c r="Q31" s="423"/>
      <c r="R31" s="423"/>
      <c r="S31" s="423"/>
      <c r="T31" s="423"/>
      <c r="U31" s="423"/>
      <c r="V31" s="423"/>
      <c r="W31" s="423"/>
      <c r="X31" s="420"/>
      <c r="Y31" s="420"/>
      <c r="Z31" s="420"/>
      <c r="AA31" s="420"/>
      <c r="AB31" s="420"/>
      <c r="AC31" s="420"/>
      <c r="AD31" s="420"/>
      <c r="AE31" s="420"/>
      <c r="AF31" s="420"/>
      <c r="AG31" s="420"/>
      <c r="AH31" s="420"/>
      <c r="AI31" s="420"/>
      <c r="AJ31" s="420"/>
      <c r="AK31" s="420"/>
      <c r="AL31" s="420"/>
      <c r="AM31" s="420"/>
      <c r="AN31" s="420"/>
    </row>
    <row r="32" ht="29.25" customHeight="1">
      <c r="A32" s="457" t="s">
        <v>1512</v>
      </c>
      <c r="B32" s="468" t="s">
        <v>1522</v>
      </c>
      <c r="C32" s="429" t="s">
        <v>1529</v>
      </c>
      <c r="D32" s="461" t="s">
        <v>73</v>
      </c>
      <c r="E32" s="425">
        <v>100.0</v>
      </c>
      <c r="F32" s="462"/>
      <c r="G32" s="459">
        <v>45770.0</v>
      </c>
      <c r="H32" s="430">
        <v>45770.0</v>
      </c>
      <c r="I32" s="430">
        <v>45770.0</v>
      </c>
      <c r="J32" s="430">
        <v>45770.0</v>
      </c>
      <c r="K32" s="425">
        <v>1.0</v>
      </c>
      <c r="L32" s="413"/>
      <c r="M32" s="459"/>
      <c r="N32" s="464"/>
      <c r="O32" s="465"/>
      <c r="P32" s="423"/>
      <c r="Q32" s="423"/>
      <c r="R32" s="423"/>
      <c r="S32" s="423"/>
      <c r="T32" s="423"/>
      <c r="U32" s="423"/>
      <c r="V32" s="423"/>
      <c r="W32" s="423"/>
      <c r="X32" s="420"/>
      <c r="Y32" s="420"/>
      <c r="Z32" s="420"/>
      <c r="AA32" s="420"/>
      <c r="AB32" s="420"/>
      <c r="AC32" s="420"/>
      <c r="AD32" s="420"/>
      <c r="AE32" s="420"/>
      <c r="AF32" s="420"/>
      <c r="AG32" s="420"/>
      <c r="AH32" s="420"/>
      <c r="AI32" s="420"/>
      <c r="AJ32" s="420"/>
      <c r="AK32" s="420"/>
      <c r="AL32" s="420"/>
      <c r="AM32" s="420"/>
      <c r="AN32" s="420"/>
    </row>
    <row r="33" ht="29.25" customHeight="1">
      <c r="A33" s="469" t="s">
        <v>1530</v>
      </c>
      <c r="B33" s="468" t="s">
        <v>1531</v>
      </c>
      <c r="C33" s="429" t="s">
        <v>1532</v>
      </c>
      <c r="D33" s="461" t="s">
        <v>73</v>
      </c>
      <c r="E33" s="425">
        <v>90.0</v>
      </c>
      <c r="F33" s="425">
        <v>2.0</v>
      </c>
      <c r="G33" s="459">
        <v>45773.0</v>
      </c>
      <c r="H33" s="430">
        <v>45776.0</v>
      </c>
      <c r="I33" s="430">
        <v>45783.0</v>
      </c>
      <c r="J33" s="430">
        <v>45785.0</v>
      </c>
      <c r="K33" s="425"/>
      <c r="L33" s="413"/>
      <c r="M33" s="459"/>
      <c r="N33" s="464"/>
      <c r="O33" s="465"/>
      <c r="P33" s="423"/>
      <c r="Q33" s="423"/>
      <c r="R33" s="423"/>
      <c r="S33" s="423"/>
      <c r="T33" s="423"/>
      <c r="U33" s="423"/>
      <c r="V33" s="466" t="s">
        <v>1533</v>
      </c>
      <c r="W33" s="467"/>
      <c r="X33" s="420"/>
      <c r="Y33" s="420"/>
      <c r="Z33" s="420"/>
      <c r="AA33" s="420"/>
      <c r="AB33" s="420"/>
      <c r="AC33" s="420"/>
      <c r="AD33" s="420"/>
      <c r="AE33" s="420"/>
      <c r="AF33" s="420"/>
      <c r="AG33" s="420"/>
      <c r="AH33" s="420"/>
      <c r="AI33" s="420"/>
      <c r="AJ33" s="420"/>
      <c r="AK33" s="420"/>
      <c r="AL33" s="420"/>
      <c r="AM33" s="420"/>
      <c r="AN33" s="420"/>
    </row>
    <row r="34" ht="29.25" customHeight="1">
      <c r="A34" s="410" t="s">
        <v>1411</v>
      </c>
      <c r="B34" s="468" t="s">
        <v>1531</v>
      </c>
      <c r="C34" s="429" t="s">
        <v>1534</v>
      </c>
      <c r="D34" s="461" t="s">
        <v>73</v>
      </c>
      <c r="E34" s="462"/>
      <c r="F34" s="462"/>
      <c r="G34" s="459">
        <v>45779.0</v>
      </c>
      <c r="H34" s="430">
        <v>45779.0</v>
      </c>
      <c r="I34" s="430">
        <v>45782.0</v>
      </c>
      <c r="J34" s="430">
        <v>45782.0</v>
      </c>
      <c r="K34" s="425"/>
      <c r="L34" s="413"/>
      <c r="M34" s="459"/>
      <c r="N34" s="464"/>
      <c r="O34" s="465"/>
      <c r="P34" s="423"/>
      <c r="Q34" s="423"/>
      <c r="R34" s="423"/>
      <c r="S34" s="466" t="s">
        <v>1535</v>
      </c>
      <c r="T34" s="466" t="s">
        <v>1536</v>
      </c>
      <c r="U34" s="467"/>
      <c r="V34" s="467"/>
      <c r="W34" s="467"/>
      <c r="X34" s="420"/>
      <c r="Y34" s="420"/>
      <c r="Z34" s="420"/>
      <c r="AA34" s="420"/>
      <c r="AB34" s="420"/>
      <c r="AC34" s="420"/>
      <c r="AD34" s="420"/>
      <c r="AE34" s="420"/>
      <c r="AF34" s="420"/>
      <c r="AG34" s="420"/>
      <c r="AH34" s="420"/>
      <c r="AI34" s="420"/>
      <c r="AJ34" s="420"/>
      <c r="AK34" s="420"/>
      <c r="AL34" s="420"/>
      <c r="AM34" s="420"/>
      <c r="AN34" s="420"/>
    </row>
    <row r="35" ht="29.25" customHeight="1">
      <c r="A35" s="470" t="s">
        <v>1537</v>
      </c>
      <c r="B35" s="471"/>
      <c r="C35" s="412" t="s">
        <v>1538</v>
      </c>
      <c r="D35" s="98" t="s">
        <v>73</v>
      </c>
      <c r="E35" s="413"/>
      <c r="F35" s="413"/>
      <c r="G35" s="414">
        <v>45714.0</v>
      </c>
      <c r="H35" s="430">
        <v>45784.0</v>
      </c>
      <c r="I35" s="415"/>
      <c r="J35" s="430">
        <v>45785.0</v>
      </c>
      <c r="K35" s="472"/>
      <c r="L35" s="413"/>
      <c r="M35" s="414"/>
      <c r="N35" s="413"/>
      <c r="O35" s="417"/>
      <c r="P35" s="418" t="s">
        <v>1539</v>
      </c>
      <c r="Q35" s="419"/>
      <c r="R35" s="419"/>
      <c r="S35" s="419"/>
      <c r="T35" s="419"/>
      <c r="U35" s="419"/>
      <c r="V35" s="419"/>
      <c r="W35" s="419"/>
      <c r="X35" s="420"/>
      <c r="Y35" s="420"/>
      <c r="Z35" s="420"/>
      <c r="AA35" s="420"/>
      <c r="AB35" s="420"/>
      <c r="AC35" s="420"/>
      <c r="AD35" s="420"/>
      <c r="AE35" s="420"/>
      <c r="AF35" s="420"/>
      <c r="AG35" s="420"/>
      <c r="AH35" s="420"/>
      <c r="AI35" s="420"/>
      <c r="AJ35" s="420"/>
      <c r="AK35" s="420"/>
      <c r="AL35" s="420"/>
      <c r="AM35" s="420"/>
      <c r="AN35" s="420"/>
    </row>
    <row r="36" ht="29.25" customHeight="1">
      <c r="A36" s="469" t="s">
        <v>1426</v>
      </c>
      <c r="B36" s="468" t="s">
        <v>1531</v>
      </c>
      <c r="C36" s="429" t="s">
        <v>1540</v>
      </c>
      <c r="D36" s="461" t="s">
        <v>73</v>
      </c>
      <c r="E36" s="425">
        <v>80.0</v>
      </c>
      <c r="F36" s="425">
        <v>15.0</v>
      </c>
      <c r="G36" s="459">
        <v>45778.0</v>
      </c>
      <c r="H36" s="430">
        <v>45778.0</v>
      </c>
      <c r="I36" s="430"/>
      <c r="J36" s="430">
        <v>45793.0</v>
      </c>
      <c r="K36" s="416">
        <f>IF(ISBLANK(J36), NETWORKDAYS(H36, TODAY(),Hoja2!$A$1:$A$18), NETWORKDAYS(H36, J36, Hoja2!$A$1:$A$18))</f>
        <v>12</v>
      </c>
      <c r="L36" s="413"/>
      <c r="M36" s="459"/>
      <c r="N36" s="473"/>
      <c r="O36" s="465"/>
      <c r="P36" s="423"/>
      <c r="Q36" s="423"/>
      <c r="R36" s="423"/>
      <c r="S36" s="423"/>
      <c r="T36" s="423"/>
      <c r="U36" s="423"/>
      <c r="V36" s="466" t="s">
        <v>1541</v>
      </c>
      <c r="W36" s="466" t="s">
        <v>1542</v>
      </c>
      <c r="X36" s="432" t="s">
        <v>1543</v>
      </c>
      <c r="Y36" s="433"/>
      <c r="Z36" s="432" t="s">
        <v>1544</v>
      </c>
      <c r="AA36" s="433"/>
      <c r="AB36" s="433"/>
      <c r="AC36" s="432" t="s">
        <v>1545</v>
      </c>
      <c r="AD36" s="433"/>
      <c r="AE36" s="433"/>
      <c r="AF36" s="433"/>
      <c r="AG36" s="433"/>
      <c r="AH36" s="433"/>
      <c r="AI36" s="433"/>
      <c r="AJ36" s="433"/>
      <c r="AK36" s="433"/>
      <c r="AL36" s="433"/>
      <c r="AM36" s="433"/>
      <c r="AN36" s="433"/>
    </row>
    <row r="37" ht="29.25" customHeight="1">
      <c r="A37" s="469" t="s">
        <v>1426</v>
      </c>
      <c r="B37" s="468" t="s">
        <v>1531</v>
      </c>
      <c r="C37" s="429" t="s">
        <v>1546</v>
      </c>
      <c r="D37" s="461" t="s">
        <v>73</v>
      </c>
      <c r="E37" s="462"/>
      <c r="F37" s="425">
        <v>1.0</v>
      </c>
      <c r="G37" s="459">
        <v>45785.0</v>
      </c>
      <c r="H37" s="430">
        <v>45785.0</v>
      </c>
      <c r="I37" s="430">
        <v>45786.0</v>
      </c>
      <c r="J37" s="430">
        <v>45786.0</v>
      </c>
      <c r="K37" s="416">
        <f>IF(ISBLANK(J37), NETWORKDAYS(H37, TODAY(),Hoja2!$A$1:$A$18), NETWORKDAYS(H37, J37, Hoja2!$A$1:$A$18))</f>
        <v>2</v>
      </c>
      <c r="L37" s="413"/>
      <c r="M37" s="459"/>
      <c r="N37" s="473"/>
      <c r="O37" s="463">
        <v>45786.0</v>
      </c>
      <c r="P37" s="423"/>
      <c r="Q37" s="423"/>
      <c r="R37" s="423"/>
      <c r="S37" s="423"/>
      <c r="T37" s="423"/>
      <c r="U37" s="423"/>
      <c r="V37" s="466" t="s">
        <v>1547</v>
      </c>
      <c r="W37" s="466" t="s">
        <v>1548</v>
      </c>
      <c r="X37" s="467"/>
      <c r="Y37" s="467"/>
      <c r="Z37" s="467"/>
      <c r="AA37" s="467"/>
      <c r="AB37" s="467"/>
      <c r="AC37" s="467"/>
      <c r="AD37" s="467"/>
      <c r="AE37" s="467"/>
      <c r="AF37" s="467"/>
      <c r="AG37" s="467"/>
      <c r="AH37" s="467"/>
      <c r="AI37" s="467"/>
      <c r="AJ37" s="467"/>
      <c r="AK37" s="467"/>
      <c r="AL37" s="467"/>
      <c r="AM37" s="467"/>
      <c r="AN37" s="467"/>
    </row>
    <row r="38" ht="29.25" customHeight="1">
      <c r="A38" s="469" t="s">
        <v>1426</v>
      </c>
      <c r="B38" s="468" t="s">
        <v>1531</v>
      </c>
      <c r="C38" s="474" t="s">
        <v>1549</v>
      </c>
      <c r="D38" s="475" t="s">
        <v>73</v>
      </c>
      <c r="E38" s="464"/>
      <c r="F38" s="464"/>
      <c r="G38" s="459">
        <v>45791.0</v>
      </c>
      <c r="H38" s="430">
        <v>45791.0</v>
      </c>
      <c r="I38" s="430"/>
      <c r="J38" s="430">
        <v>45791.0</v>
      </c>
      <c r="K38" s="416">
        <f>IF(ISBLANK(J38), NETWORKDAYS(H38, TODAY(),Hoja2!$A$1:$A$18), NETWORKDAYS(H38, J38, Hoja2!$A$1:$A$18))</f>
        <v>1</v>
      </c>
      <c r="L38" s="476"/>
      <c r="M38" s="477"/>
      <c r="N38" s="478"/>
      <c r="O38" s="479"/>
      <c r="P38" s="423"/>
      <c r="Q38" s="423"/>
      <c r="R38" s="426"/>
      <c r="S38" s="426"/>
      <c r="T38" s="426"/>
      <c r="U38" s="426"/>
      <c r="V38" s="426"/>
      <c r="W38" s="426"/>
      <c r="X38" s="466" t="s">
        <v>1550</v>
      </c>
      <c r="Y38" s="426"/>
      <c r="Z38" s="466" t="s">
        <v>1551</v>
      </c>
      <c r="AA38" s="480"/>
      <c r="AB38" s="480"/>
      <c r="AC38" s="480"/>
      <c r="AD38" s="480"/>
      <c r="AE38" s="480"/>
      <c r="AF38" s="480"/>
      <c r="AG38" s="480"/>
      <c r="AH38" s="480"/>
      <c r="AI38" s="480"/>
      <c r="AJ38" s="480"/>
      <c r="AK38" s="480"/>
      <c r="AL38" s="480"/>
      <c r="AM38" s="480"/>
      <c r="AN38" s="480"/>
    </row>
    <row r="39" ht="29.25" customHeight="1">
      <c r="A39" s="410" t="s">
        <v>1436</v>
      </c>
      <c r="B39" s="481" t="s">
        <v>1552</v>
      </c>
      <c r="C39" s="424" t="s">
        <v>1553</v>
      </c>
      <c r="D39" s="461" t="s">
        <v>73</v>
      </c>
      <c r="E39" s="413"/>
      <c r="F39" s="425">
        <v>1.0</v>
      </c>
      <c r="G39" s="459">
        <v>45779.0</v>
      </c>
      <c r="H39" s="430">
        <v>45779.0</v>
      </c>
      <c r="I39" s="430">
        <v>45779.0</v>
      </c>
      <c r="J39" s="430">
        <v>45779.0</v>
      </c>
      <c r="K39" s="431">
        <f>IF(ISBLANK(J39), NETWORKDAYS(H39, TODAY(),Hoja2!$A$1:$A$18), NETWORKDAYS(H39, J39, Hoja2!$A$1:$A$18))</f>
        <v>1</v>
      </c>
      <c r="L39" s="413"/>
      <c r="M39" s="459">
        <v>45782.0</v>
      </c>
      <c r="N39" s="482"/>
      <c r="O39" s="463">
        <v>45789.0</v>
      </c>
      <c r="P39" s="418"/>
      <c r="Q39" s="419"/>
      <c r="R39" s="419"/>
      <c r="S39" s="432" t="s">
        <v>259</v>
      </c>
      <c r="T39" s="433"/>
      <c r="U39" s="433"/>
      <c r="V39" s="433"/>
      <c r="W39" s="432" t="s">
        <v>1554</v>
      </c>
      <c r="X39" s="432" t="s">
        <v>1555</v>
      </c>
      <c r="Y39" s="433"/>
      <c r="Z39" s="433"/>
      <c r="AA39" s="433"/>
      <c r="AB39" s="433"/>
      <c r="AC39" s="433"/>
      <c r="AD39" s="433"/>
      <c r="AE39" s="433"/>
      <c r="AF39" s="433"/>
      <c r="AG39" s="433"/>
      <c r="AH39" s="433"/>
      <c r="AI39" s="433"/>
      <c r="AJ39" s="433"/>
      <c r="AK39" s="433"/>
      <c r="AL39" s="433"/>
      <c r="AM39" s="433"/>
      <c r="AN39" s="433"/>
    </row>
    <row r="40" ht="29.25" customHeight="1">
      <c r="A40" s="483" t="s">
        <v>1512</v>
      </c>
      <c r="B40" s="468" t="s">
        <v>1556</v>
      </c>
      <c r="C40" s="429" t="s">
        <v>1557</v>
      </c>
      <c r="D40" s="461" t="s">
        <v>73</v>
      </c>
      <c r="E40" s="462"/>
      <c r="F40" s="462"/>
      <c r="G40" s="459">
        <v>45789.0</v>
      </c>
      <c r="H40" s="430">
        <v>45789.0</v>
      </c>
      <c r="I40" s="430"/>
      <c r="J40" s="430">
        <v>45790.0</v>
      </c>
      <c r="K40" s="416">
        <f>IF(ISBLANK(J40), NETWORKDAYS(H40, TODAY(),Hoja2!$A$1:$A$18), NETWORKDAYS(H40, J40, Hoja2!$A$1:$A$18))</f>
        <v>2</v>
      </c>
      <c r="L40" s="413"/>
      <c r="M40" s="459"/>
      <c r="N40" s="473"/>
      <c r="O40" s="463"/>
      <c r="P40" s="423"/>
      <c r="Q40" s="423"/>
      <c r="R40" s="423"/>
      <c r="S40" s="423"/>
      <c r="T40" s="423"/>
      <c r="U40" s="423"/>
      <c r="V40" s="423"/>
      <c r="W40" s="466" t="s">
        <v>1558</v>
      </c>
      <c r="X40" s="466" t="s">
        <v>1559</v>
      </c>
      <c r="Y40" s="467"/>
      <c r="Z40" s="467"/>
      <c r="AA40" s="467"/>
      <c r="AB40" s="467"/>
      <c r="AC40" s="467"/>
      <c r="AD40" s="467"/>
      <c r="AE40" s="467"/>
      <c r="AF40" s="467"/>
      <c r="AG40" s="467"/>
      <c r="AH40" s="467"/>
      <c r="AI40" s="467"/>
      <c r="AJ40" s="467"/>
      <c r="AK40" s="467"/>
      <c r="AL40" s="467"/>
      <c r="AM40" s="467"/>
      <c r="AN40" s="467"/>
    </row>
    <row r="41" ht="29.25" customHeight="1">
      <c r="A41" s="457" t="s">
        <v>1560</v>
      </c>
      <c r="B41" s="468" t="s">
        <v>1561</v>
      </c>
      <c r="C41" s="424" t="s">
        <v>1562</v>
      </c>
      <c r="D41" s="461" t="s">
        <v>73</v>
      </c>
      <c r="E41" s="462"/>
      <c r="F41" s="462"/>
      <c r="G41" s="459">
        <v>45789.0</v>
      </c>
      <c r="H41" s="430">
        <v>45789.0</v>
      </c>
      <c r="I41" s="430"/>
      <c r="J41" s="430">
        <v>45790.0</v>
      </c>
      <c r="K41" s="416">
        <f>IF(ISBLANK(J41), NETWORKDAYS(H41, TODAY(),Hoja2!$A$1:$A$18), NETWORKDAYS(H41, J41, Hoja2!$A$1:$A$18))</f>
        <v>2</v>
      </c>
      <c r="L41" s="413"/>
      <c r="M41" s="459"/>
      <c r="N41" s="473"/>
      <c r="O41" s="463"/>
      <c r="P41" s="423"/>
      <c r="Q41" s="423"/>
      <c r="R41" s="423"/>
      <c r="S41" s="423"/>
      <c r="T41" s="423"/>
      <c r="U41" s="423"/>
      <c r="V41" s="423"/>
      <c r="W41" s="466" t="s">
        <v>1558</v>
      </c>
      <c r="X41" s="466" t="s">
        <v>1563</v>
      </c>
      <c r="Y41" s="467"/>
      <c r="Z41" s="467"/>
      <c r="AA41" s="467"/>
      <c r="AB41" s="467"/>
      <c r="AC41" s="467"/>
      <c r="AD41" s="467"/>
      <c r="AE41" s="467"/>
      <c r="AF41" s="467"/>
      <c r="AG41" s="467"/>
      <c r="AH41" s="467"/>
      <c r="AI41" s="467"/>
      <c r="AJ41" s="467"/>
      <c r="AK41" s="467"/>
      <c r="AL41" s="467"/>
      <c r="AM41" s="467"/>
      <c r="AN41" s="467"/>
    </row>
    <row r="42" ht="29.25" customHeight="1">
      <c r="A42" s="457" t="s">
        <v>1512</v>
      </c>
      <c r="B42" s="484" t="s">
        <v>1564</v>
      </c>
      <c r="C42" s="429" t="s">
        <v>1565</v>
      </c>
      <c r="D42" s="461" t="s">
        <v>73</v>
      </c>
      <c r="E42" s="425">
        <v>90.0</v>
      </c>
      <c r="F42" s="462"/>
      <c r="G42" s="459">
        <v>45791.0</v>
      </c>
      <c r="H42" s="430">
        <v>45792.0</v>
      </c>
      <c r="I42" s="430">
        <v>45793.0</v>
      </c>
      <c r="J42" s="430">
        <v>45793.0</v>
      </c>
      <c r="K42" s="416">
        <f>IF(ISBLANK(J42), NETWORKDAYS(H42, TODAY(),Hoja2!$A$1:$A$18), NETWORKDAYS(H42, J42, Hoja2!$A$1:$A$18))</f>
        <v>2</v>
      </c>
      <c r="L42" s="413"/>
      <c r="M42" s="459">
        <v>45793.0</v>
      </c>
      <c r="N42" s="473"/>
      <c r="O42" s="465"/>
      <c r="P42" s="423"/>
      <c r="Q42" s="423"/>
      <c r="R42" s="423"/>
      <c r="S42" s="423"/>
      <c r="T42" s="423"/>
      <c r="U42" s="423"/>
      <c r="V42" s="423"/>
      <c r="W42" s="423"/>
      <c r="X42" s="423"/>
      <c r="Y42" s="423"/>
      <c r="Z42" s="466" t="s">
        <v>1566</v>
      </c>
      <c r="AA42" s="466" t="s">
        <v>1567</v>
      </c>
      <c r="AB42" s="467"/>
      <c r="AC42" s="467"/>
      <c r="AD42" s="467"/>
      <c r="AE42" s="467"/>
      <c r="AF42" s="467"/>
      <c r="AG42" s="467"/>
      <c r="AH42" s="467"/>
      <c r="AI42" s="467"/>
      <c r="AJ42" s="467"/>
      <c r="AK42" s="467"/>
      <c r="AL42" s="467"/>
      <c r="AM42" s="467"/>
      <c r="AN42" s="467"/>
    </row>
    <row r="43" ht="29.25" customHeight="1">
      <c r="A43" s="457" t="s">
        <v>1512</v>
      </c>
      <c r="B43" s="485" t="s">
        <v>1568</v>
      </c>
      <c r="C43" s="429" t="s">
        <v>1569</v>
      </c>
      <c r="D43" s="461" t="s">
        <v>73</v>
      </c>
      <c r="E43" s="425">
        <v>0.0</v>
      </c>
      <c r="F43" s="462"/>
      <c r="G43" s="459">
        <v>45796.0</v>
      </c>
      <c r="H43" s="430">
        <v>45796.0</v>
      </c>
      <c r="I43" s="430"/>
      <c r="J43" s="430">
        <v>45796.0</v>
      </c>
      <c r="K43" s="416">
        <f>IF(ISBLANK(J43), NETWORKDAYS(H43, TODAY(),Hoja2!$A$1:$A$18), NETWORKDAYS(H43, J43, Hoja2!$A$1:$A$18))</f>
        <v>1</v>
      </c>
      <c r="L43" s="413"/>
      <c r="M43" s="459"/>
      <c r="N43" s="473"/>
      <c r="O43" s="465"/>
      <c r="P43" s="423"/>
      <c r="Q43" s="423"/>
      <c r="R43" s="423"/>
      <c r="S43" s="423"/>
      <c r="T43" s="423"/>
      <c r="U43" s="423"/>
      <c r="V43" s="423"/>
      <c r="W43" s="423"/>
      <c r="X43" s="423"/>
      <c r="Y43" s="423"/>
      <c r="Z43" s="466"/>
      <c r="AA43" s="466" t="s">
        <v>1570</v>
      </c>
      <c r="AB43" s="467"/>
      <c r="AC43" s="467"/>
      <c r="AD43" s="467"/>
      <c r="AE43" s="467"/>
      <c r="AF43" s="467"/>
      <c r="AG43" s="467"/>
      <c r="AH43" s="467"/>
      <c r="AI43" s="467"/>
      <c r="AJ43" s="467"/>
      <c r="AK43" s="467"/>
      <c r="AL43" s="467"/>
      <c r="AM43" s="467"/>
      <c r="AN43" s="467"/>
    </row>
    <row r="44" ht="29.25" customHeight="1">
      <c r="A44" s="457" t="s">
        <v>1512</v>
      </c>
      <c r="B44" s="485" t="s">
        <v>1571</v>
      </c>
      <c r="C44" s="429" t="s">
        <v>1572</v>
      </c>
      <c r="D44" s="461" t="s">
        <v>73</v>
      </c>
      <c r="E44" s="425">
        <v>80.0</v>
      </c>
      <c r="F44" s="462"/>
      <c r="G44" s="459">
        <v>45796.0</v>
      </c>
      <c r="H44" s="430">
        <v>45796.0</v>
      </c>
      <c r="I44" s="430"/>
      <c r="J44" s="430">
        <v>45796.0</v>
      </c>
      <c r="K44" s="416">
        <f>IF(ISBLANK(J44), NETWORKDAYS(H44, TODAY(),Hoja2!$A$1:$A$18), NETWORKDAYS(H44, J44, Hoja2!$A$1:$A$18))</f>
        <v>1</v>
      </c>
      <c r="L44" s="413"/>
      <c r="M44" s="459"/>
      <c r="N44" s="473"/>
      <c r="O44" s="465"/>
      <c r="P44" s="423"/>
      <c r="Q44" s="423"/>
      <c r="R44" s="423"/>
      <c r="S44" s="423"/>
      <c r="T44" s="423"/>
      <c r="U44" s="423"/>
      <c r="V44" s="423"/>
      <c r="W44" s="423"/>
      <c r="X44" s="423"/>
      <c r="Y44" s="423"/>
      <c r="Z44" s="466"/>
      <c r="AA44" s="466" t="s">
        <v>1573</v>
      </c>
      <c r="AB44" s="466" t="s">
        <v>1574</v>
      </c>
      <c r="AC44" s="467"/>
      <c r="AD44" s="467"/>
      <c r="AE44" s="467"/>
      <c r="AF44" s="467"/>
      <c r="AG44" s="467"/>
      <c r="AH44" s="467"/>
      <c r="AI44" s="467"/>
      <c r="AJ44" s="467"/>
      <c r="AK44" s="467"/>
      <c r="AL44" s="467"/>
      <c r="AM44" s="467"/>
      <c r="AN44" s="467"/>
    </row>
    <row r="45" ht="29.25" customHeight="1">
      <c r="A45" s="457" t="s">
        <v>1512</v>
      </c>
      <c r="B45" s="485" t="s">
        <v>1575</v>
      </c>
      <c r="C45" s="424" t="s">
        <v>1576</v>
      </c>
      <c r="D45" s="461" t="s">
        <v>73</v>
      </c>
      <c r="E45" s="425"/>
      <c r="F45" s="462"/>
      <c r="G45" s="459">
        <v>45797.0</v>
      </c>
      <c r="H45" s="430">
        <v>45798.0</v>
      </c>
      <c r="I45" s="430"/>
      <c r="J45" s="430">
        <v>45799.0</v>
      </c>
      <c r="K45" s="416">
        <f>IF(ISBLANK(J45), NETWORKDAYS(H45, TODAY(),Hoja2!$A$1:$A$18), NETWORKDAYS(H45, J45, Hoja2!$A$1:$A$18))</f>
        <v>2</v>
      </c>
      <c r="L45" s="413"/>
      <c r="M45" s="459">
        <v>45799.0</v>
      </c>
      <c r="N45" s="473"/>
      <c r="O45" s="465"/>
      <c r="P45" s="423"/>
      <c r="Q45" s="423"/>
      <c r="R45" s="423"/>
      <c r="S45" s="423"/>
      <c r="T45" s="423"/>
      <c r="U45" s="423"/>
      <c r="V45" s="423"/>
      <c r="W45" s="423"/>
      <c r="X45" s="423"/>
      <c r="Y45" s="423"/>
      <c r="Z45" s="466"/>
      <c r="AA45" s="466"/>
      <c r="AB45" s="466" t="s">
        <v>1577</v>
      </c>
      <c r="AC45" s="466" t="s">
        <v>1578</v>
      </c>
    </row>
    <row r="46" ht="29.25" customHeight="1">
      <c r="A46" s="457" t="s">
        <v>1512</v>
      </c>
      <c r="B46" s="485" t="s">
        <v>1575</v>
      </c>
      <c r="C46" s="424" t="s">
        <v>1579</v>
      </c>
      <c r="D46" s="461" t="s">
        <v>73</v>
      </c>
      <c r="E46" s="425"/>
      <c r="F46" s="462"/>
      <c r="G46" s="459">
        <v>45797.0</v>
      </c>
      <c r="H46" s="430">
        <v>45797.0</v>
      </c>
      <c r="I46" s="430"/>
      <c r="J46" s="430">
        <v>45799.0</v>
      </c>
      <c r="K46" s="416">
        <f>IF(ISBLANK(J46), NETWORKDAYS(H46, TODAY(),Hoja2!$A$1:$A$18), NETWORKDAYS(H46, J46, Hoja2!$A$1:$A$18))</f>
        <v>3</v>
      </c>
      <c r="L46" s="413"/>
      <c r="M46" s="459"/>
      <c r="N46" s="473"/>
      <c r="O46" s="465"/>
      <c r="P46" s="423"/>
      <c r="Q46" s="423"/>
      <c r="R46" s="423"/>
      <c r="S46" s="423"/>
      <c r="T46" s="423"/>
      <c r="U46" s="423"/>
      <c r="V46" s="423"/>
      <c r="W46" s="423"/>
      <c r="X46" s="423"/>
      <c r="Y46" s="423"/>
      <c r="Z46" s="466"/>
      <c r="AA46" s="466"/>
      <c r="AB46" s="466" t="s">
        <v>1580</v>
      </c>
      <c r="AC46" s="466" t="s">
        <v>1581</v>
      </c>
      <c r="AD46" s="467"/>
      <c r="AE46" s="467"/>
      <c r="AF46" s="467"/>
      <c r="AG46" s="467"/>
      <c r="AH46" s="467"/>
      <c r="AI46" s="467"/>
      <c r="AJ46" s="467"/>
      <c r="AK46" s="467"/>
      <c r="AL46" s="467"/>
      <c r="AM46" s="467"/>
      <c r="AN46" s="467"/>
    </row>
    <row r="47" ht="29.25" customHeight="1">
      <c r="A47" s="457" t="s">
        <v>1512</v>
      </c>
      <c r="B47" s="485" t="s">
        <v>1582</v>
      </c>
      <c r="C47" s="424" t="s">
        <v>1583</v>
      </c>
      <c r="D47" s="461" t="s">
        <v>73</v>
      </c>
      <c r="E47" s="425"/>
      <c r="F47" s="462"/>
      <c r="G47" s="459">
        <v>45799.0</v>
      </c>
      <c r="H47" s="430">
        <v>45799.0</v>
      </c>
      <c r="I47" s="430"/>
      <c r="J47" s="430">
        <v>45799.0</v>
      </c>
      <c r="K47" s="416">
        <f>IF(ISBLANK(J47), NETWORKDAYS(H47, TODAY(),Hoja2!$A$1:$A$18), NETWORKDAYS(H47, J47, Hoja2!$A$1:$A$18))</f>
        <v>1</v>
      </c>
      <c r="L47" s="413"/>
      <c r="M47" s="459"/>
      <c r="N47" s="473"/>
      <c r="O47" s="465"/>
      <c r="P47" s="423"/>
      <c r="Q47" s="423"/>
      <c r="R47" s="423"/>
      <c r="S47" s="423"/>
      <c r="T47" s="423"/>
      <c r="U47" s="423"/>
      <c r="V47" s="423"/>
      <c r="W47" s="423"/>
      <c r="X47" s="423"/>
      <c r="Y47" s="423"/>
      <c r="Z47" s="466"/>
      <c r="AA47" s="466"/>
      <c r="AB47" s="466"/>
      <c r="AC47" s="466" t="s">
        <v>1584</v>
      </c>
      <c r="AD47" s="467"/>
      <c r="AE47" s="467"/>
      <c r="AF47" s="467"/>
      <c r="AG47" s="467"/>
      <c r="AH47" s="467"/>
      <c r="AI47" s="467"/>
      <c r="AJ47" s="467"/>
      <c r="AK47" s="467"/>
      <c r="AL47" s="467"/>
      <c r="AM47" s="467"/>
      <c r="AN47" s="467"/>
    </row>
    <row r="48" ht="29.25" customHeight="1">
      <c r="A48" s="457" t="s">
        <v>1512</v>
      </c>
      <c r="B48" s="485" t="s">
        <v>1585</v>
      </c>
      <c r="C48" s="424" t="s">
        <v>1586</v>
      </c>
      <c r="D48" s="461" t="s">
        <v>73</v>
      </c>
      <c r="E48" s="425"/>
      <c r="F48" s="462"/>
      <c r="G48" s="459">
        <v>45798.0</v>
      </c>
      <c r="H48" s="430">
        <v>45799.0</v>
      </c>
      <c r="I48" s="430"/>
      <c r="J48" s="430">
        <v>45799.0</v>
      </c>
      <c r="K48" s="416">
        <f>IF(ISBLANK(J48), NETWORKDAYS(H48, TODAY(),Hoja2!$A$1:$A$18), NETWORKDAYS(H48, J48, Hoja2!$A$1:$A$18))</f>
        <v>1</v>
      </c>
      <c r="L48" s="413"/>
      <c r="M48" s="459"/>
      <c r="N48" s="473"/>
      <c r="O48" s="465"/>
      <c r="P48" s="423"/>
      <c r="Q48" s="423"/>
      <c r="R48" s="423"/>
      <c r="S48" s="423"/>
      <c r="T48" s="423"/>
      <c r="U48" s="423"/>
      <c r="V48" s="423"/>
      <c r="W48" s="423"/>
      <c r="X48" s="423"/>
      <c r="Y48" s="423"/>
      <c r="Z48" s="466"/>
      <c r="AA48" s="466"/>
      <c r="AB48" s="466"/>
      <c r="AC48" s="467"/>
      <c r="AD48" s="467"/>
      <c r="AE48" s="467"/>
      <c r="AF48" s="467"/>
      <c r="AG48" s="467"/>
      <c r="AH48" s="467"/>
      <c r="AI48" s="467"/>
      <c r="AJ48" s="467"/>
      <c r="AK48" s="467"/>
      <c r="AL48" s="467"/>
      <c r="AM48" s="467"/>
      <c r="AN48" s="467"/>
    </row>
    <row r="49" ht="29.25" customHeight="1">
      <c r="A49" s="457" t="s">
        <v>1512</v>
      </c>
      <c r="B49" s="485" t="s">
        <v>1587</v>
      </c>
      <c r="C49" s="424" t="s">
        <v>1588</v>
      </c>
      <c r="D49" s="461" t="s">
        <v>73</v>
      </c>
      <c r="E49" s="425"/>
      <c r="F49" s="462"/>
      <c r="G49" s="459">
        <v>45799.0</v>
      </c>
      <c r="H49" s="430">
        <v>45799.0</v>
      </c>
      <c r="I49" s="430"/>
      <c r="J49" s="430">
        <v>45799.0</v>
      </c>
      <c r="K49" s="416">
        <f>IF(ISBLANK(J49), NETWORKDAYS(H49, TODAY(),Hoja2!$A$1:$A$18), NETWORKDAYS(H49, J49, Hoja2!$A$1:$A$18))</f>
        <v>1</v>
      </c>
      <c r="L49" s="413"/>
      <c r="M49" s="459"/>
      <c r="N49" s="473"/>
      <c r="O49" s="465"/>
      <c r="P49" s="423"/>
      <c r="Q49" s="423"/>
      <c r="R49" s="423"/>
      <c r="S49" s="423"/>
      <c r="T49" s="423"/>
      <c r="U49" s="423"/>
      <c r="V49" s="423"/>
      <c r="W49" s="423"/>
      <c r="X49" s="423"/>
      <c r="Y49" s="423"/>
      <c r="Z49" s="466"/>
      <c r="AA49" s="466"/>
      <c r="AB49" s="466"/>
      <c r="AC49" s="467"/>
      <c r="AD49" s="467"/>
      <c r="AE49" s="467"/>
      <c r="AF49" s="467"/>
      <c r="AG49" s="467"/>
      <c r="AH49" s="467"/>
      <c r="AI49" s="467"/>
      <c r="AJ49" s="467"/>
      <c r="AK49" s="467"/>
      <c r="AL49" s="467"/>
      <c r="AM49" s="467"/>
      <c r="AN49" s="467"/>
    </row>
    <row r="50" ht="29.25" customHeight="1">
      <c r="A50" s="457" t="s">
        <v>1512</v>
      </c>
      <c r="B50" s="485" t="s">
        <v>1522</v>
      </c>
      <c r="C50" s="424" t="s">
        <v>1589</v>
      </c>
      <c r="D50" s="461" t="s">
        <v>73</v>
      </c>
      <c r="E50" s="425"/>
      <c r="F50" s="462"/>
      <c r="G50" s="459">
        <v>45796.0</v>
      </c>
      <c r="H50" s="430">
        <v>45798.0</v>
      </c>
      <c r="I50" s="430"/>
      <c r="J50" s="430">
        <v>45798.0</v>
      </c>
      <c r="K50" s="416">
        <f>IF(ISBLANK(J50), NETWORKDAYS(H50, TODAY(),Hoja2!$A$1:$A$18), NETWORKDAYS(H50, J50, Hoja2!$A$1:$A$18))</f>
        <v>1</v>
      </c>
      <c r="L50" s="413"/>
      <c r="M50" s="459"/>
      <c r="N50" s="473"/>
      <c r="O50" s="465"/>
      <c r="P50" s="423"/>
      <c r="Q50" s="423"/>
      <c r="R50" s="423"/>
      <c r="S50" s="423"/>
      <c r="T50" s="423"/>
      <c r="U50" s="423"/>
      <c r="V50" s="423"/>
      <c r="W50" s="423"/>
      <c r="X50" s="423"/>
      <c r="Y50" s="423"/>
      <c r="Z50" s="466"/>
      <c r="AA50" s="466"/>
      <c r="AB50" s="466" t="s">
        <v>1590</v>
      </c>
      <c r="AC50" s="467"/>
      <c r="AD50" s="467"/>
      <c r="AE50" s="467"/>
      <c r="AF50" s="467"/>
      <c r="AG50" s="467"/>
      <c r="AH50" s="467"/>
      <c r="AI50" s="467"/>
      <c r="AJ50" s="467"/>
      <c r="AK50" s="467"/>
      <c r="AL50" s="467"/>
      <c r="AM50" s="467"/>
      <c r="AN50" s="467"/>
    </row>
    <row r="51" ht="29.25" customHeight="1">
      <c r="A51" s="457" t="s">
        <v>1512</v>
      </c>
      <c r="B51" s="468" t="s">
        <v>1591</v>
      </c>
      <c r="C51" s="429" t="s">
        <v>1592</v>
      </c>
      <c r="D51" s="461" t="s">
        <v>73</v>
      </c>
      <c r="E51" s="462"/>
      <c r="F51" s="462"/>
      <c r="G51" s="459">
        <v>45791.0</v>
      </c>
      <c r="H51" s="430">
        <v>45792.0</v>
      </c>
      <c r="I51" s="430"/>
      <c r="J51" s="430">
        <v>45792.0</v>
      </c>
      <c r="K51" s="416">
        <f>IF(ISBLANK(J51), NETWORKDAYS(H51, TODAY(),Hoja2!$A$1:$A$18), NETWORKDAYS(H51, J51, Hoja2!$A$1:$A$18))</f>
        <v>1</v>
      </c>
      <c r="L51" s="413"/>
      <c r="M51" s="459"/>
      <c r="N51" s="473"/>
      <c r="O51" s="465"/>
      <c r="P51" s="423"/>
      <c r="Q51" s="423"/>
      <c r="R51" s="423"/>
      <c r="S51" s="423"/>
      <c r="T51" s="423"/>
      <c r="U51" s="423"/>
      <c r="V51" s="423"/>
      <c r="W51" s="423"/>
      <c r="X51" s="423"/>
      <c r="Y51" s="466" t="s">
        <v>1593</v>
      </c>
      <c r="Z51" s="467"/>
      <c r="AA51" s="467"/>
      <c r="AB51" s="467"/>
      <c r="AC51" s="467"/>
      <c r="AD51" s="467"/>
      <c r="AE51" s="467"/>
      <c r="AF51" s="467"/>
      <c r="AG51" s="467"/>
      <c r="AH51" s="467"/>
      <c r="AI51" s="467"/>
      <c r="AJ51" s="467"/>
      <c r="AK51" s="467"/>
      <c r="AL51" s="467"/>
      <c r="AM51" s="467"/>
      <c r="AN51" s="467"/>
    </row>
    <row r="52" ht="29.25" customHeight="1">
      <c r="A52" s="410" t="s">
        <v>1411</v>
      </c>
      <c r="B52" s="425" t="s">
        <v>1594</v>
      </c>
      <c r="C52" s="429" t="s">
        <v>1595</v>
      </c>
      <c r="D52" s="461" t="s">
        <v>73</v>
      </c>
      <c r="E52" s="425">
        <v>80.0</v>
      </c>
      <c r="F52" s="413"/>
      <c r="G52" s="459">
        <v>45763.0</v>
      </c>
      <c r="H52" s="430">
        <v>45779.0</v>
      </c>
      <c r="I52" s="430">
        <v>45776.0</v>
      </c>
      <c r="J52" s="430">
        <v>45799.0</v>
      </c>
      <c r="K52" s="416">
        <f>IF(ISBLANK(J52), NETWORKDAYS(H52, TODAY(),Hoja2!$A$1:$A$18), NETWORKDAYS(H52, J52, Hoja2!$A$1:$A$18))</f>
        <v>15</v>
      </c>
      <c r="L52" s="486" t="s">
        <v>1596</v>
      </c>
      <c r="M52" s="459">
        <v>45777.0</v>
      </c>
      <c r="N52" s="461" t="s">
        <v>1597</v>
      </c>
      <c r="O52" s="463">
        <v>45799.0</v>
      </c>
      <c r="P52" s="422"/>
      <c r="Q52" s="466" t="s">
        <v>1598</v>
      </c>
      <c r="R52" s="466" t="s">
        <v>1599</v>
      </c>
      <c r="S52" s="466" t="s">
        <v>1600</v>
      </c>
      <c r="T52" s="467"/>
      <c r="U52" s="467"/>
      <c r="V52" s="467"/>
      <c r="W52" s="466" t="s">
        <v>1601</v>
      </c>
      <c r="X52" s="466" t="s">
        <v>1602</v>
      </c>
      <c r="Y52" s="467"/>
      <c r="Z52" s="466" t="s">
        <v>1603</v>
      </c>
      <c r="AA52" s="466" t="s">
        <v>1604</v>
      </c>
      <c r="AB52" s="466" t="s">
        <v>1605</v>
      </c>
      <c r="AC52" s="466" t="s">
        <v>1606</v>
      </c>
      <c r="AD52" s="467"/>
      <c r="AE52" s="467"/>
      <c r="AF52" s="467"/>
      <c r="AG52" s="467"/>
      <c r="AH52" s="467"/>
      <c r="AI52" s="467"/>
      <c r="AJ52" s="467"/>
      <c r="AK52" s="467"/>
      <c r="AL52" s="467"/>
      <c r="AM52" s="467"/>
      <c r="AN52" s="467"/>
    </row>
    <row r="53" ht="29.25" customHeight="1">
      <c r="A53" s="470" t="s">
        <v>1537</v>
      </c>
      <c r="B53" s="471"/>
      <c r="C53" s="412" t="s">
        <v>1538</v>
      </c>
      <c r="D53" s="98" t="s">
        <v>73</v>
      </c>
      <c r="E53" s="413"/>
      <c r="F53" s="413"/>
      <c r="G53" s="414">
        <v>45714.0</v>
      </c>
      <c r="H53" s="430">
        <v>45784.0</v>
      </c>
      <c r="I53" s="415"/>
      <c r="J53" s="430">
        <v>45785.0</v>
      </c>
      <c r="K53" s="472"/>
      <c r="L53" s="413"/>
      <c r="M53" s="414"/>
      <c r="N53" s="482"/>
      <c r="O53" s="417"/>
      <c r="P53" s="418" t="s">
        <v>1539</v>
      </c>
      <c r="Q53" s="419"/>
      <c r="R53" s="419"/>
      <c r="S53" s="419"/>
      <c r="T53" s="419"/>
      <c r="U53" s="419"/>
      <c r="V53" s="419"/>
      <c r="W53" s="419"/>
      <c r="X53" s="419"/>
      <c r="Y53" s="419"/>
      <c r="Z53" s="419"/>
      <c r="AA53" s="419"/>
      <c r="AB53" s="419"/>
      <c r="AC53" s="419"/>
      <c r="AD53" s="419"/>
      <c r="AE53" s="419"/>
      <c r="AF53" s="419"/>
      <c r="AG53" s="419"/>
      <c r="AH53" s="419"/>
      <c r="AI53" s="419"/>
      <c r="AJ53" s="419"/>
      <c r="AK53" s="419"/>
      <c r="AL53" s="419"/>
      <c r="AM53" s="419"/>
      <c r="AN53" s="419"/>
    </row>
    <row r="54" ht="29.25" customHeight="1">
      <c r="A54" s="487" t="s">
        <v>1411</v>
      </c>
      <c r="B54" s="488" t="s">
        <v>1607</v>
      </c>
      <c r="C54" s="489" t="s">
        <v>1608</v>
      </c>
      <c r="D54" s="490" t="s">
        <v>73</v>
      </c>
      <c r="E54" s="425">
        <v>100.0</v>
      </c>
      <c r="F54" s="425"/>
      <c r="G54" s="491">
        <v>45800.0</v>
      </c>
      <c r="H54" s="430"/>
      <c r="I54" s="430"/>
      <c r="J54" s="430">
        <v>45804.0</v>
      </c>
      <c r="K54" s="425"/>
      <c r="L54" s="413"/>
      <c r="M54" s="459"/>
      <c r="N54" s="473"/>
      <c r="O54" s="465"/>
      <c r="P54" s="492"/>
      <c r="Q54" s="492"/>
      <c r="R54" s="492"/>
      <c r="S54" s="493"/>
      <c r="T54" s="494"/>
      <c r="U54" s="494"/>
      <c r="V54" s="493"/>
      <c r="W54" s="493"/>
      <c r="X54" s="493"/>
      <c r="Y54" s="494"/>
      <c r="Z54" s="494"/>
      <c r="AA54" s="493"/>
      <c r="AB54" s="493"/>
      <c r="AC54" s="493" t="s">
        <v>1609</v>
      </c>
      <c r="AD54" s="494"/>
      <c r="AE54" s="466" t="s">
        <v>1610</v>
      </c>
      <c r="AF54" s="466"/>
      <c r="AG54" s="466"/>
      <c r="AH54" s="466"/>
      <c r="AI54" s="466"/>
      <c r="AJ54" s="466"/>
      <c r="AK54" s="466"/>
      <c r="AL54" s="466"/>
      <c r="AM54" s="466"/>
      <c r="AN54" s="466"/>
    </row>
    <row r="55" ht="29.25" customHeight="1">
      <c r="A55" s="495" t="s">
        <v>1512</v>
      </c>
      <c r="B55" s="496" t="s">
        <v>1575</v>
      </c>
      <c r="C55" s="497" t="s">
        <v>1611</v>
      </c>
      <c r="D55" s="490" t="s">
        <v>73</v>
      </c>
      <c r="E55" s="425">
        <v>100.0</v>
      </c>
      <c r="F55" s="462"/>
      <c r="G55" s="459">
        <v>45798.0</v>
      </c>
      <c r="H55" s="430">
        <v>45803.0</v>
      </c>
      <c r="I55" s="430"/>
      <c r="J55" s="430">
        <v>45803.0</v>
      </c>
      <c r="K55" s="416">
        <f>IF(ISBLANK(J55), NETWORKDAYS(H55, TODAY(),Hoja2!$A$1:$A$18), NETWORKDAYS(H55, J55, Hoja2!$A$1:$A$18))</f>
        <v>1</v>
      </c>
      <c r="L55" s="413"/>
      <c r="M55" s="459"/>
      <c r="N55" s="473"/>
      <c r="O55" s="465">
        <v>45803.0</v>
      </c>
      <c r="P55" s="492"/>
      <c r="Q55" s="492"/>
      <c r="R55" s="492"/>
      <c r="S55" s="492"/>
      <c r="T55" s="492"/>
      <c r="U55" s="492"/>
      <c r="V55" s="492"/>
      <c r="W55" s="492"/>
      <c r="X55" s="492"/>
      <c r="Y55" s="492"/>
      <c r="Z55" s="493"/>
      <c r="AA55" s="493"/>
      <c r="AB55" s="493"/>
      <c r="AC55" s="493" t="s">
        <v>1612</v>
      </c>
      <c r="AD55" s="493" t="s">
        <v>1613</v>
      </c>
      <c r="AE55" s="466" t="s">
        <v>1614</v>
      </c>
      <c r="AF55" s="466"/>
      <c r="AG55" s="466"/>
      <c r="AH55" s="466"/>
      <c r="AI55" s="466"/>
      <c r="AJ55" s="466"/>
      <c r="AK55" s="466"/>
      <c r="AL55" s="466"/>
      <c r="AM55" s="466"/>
      <c r="AN55" s="466"/>
    </row>
    <row r="56" ht="29.25" customHeight="1">
      <c r="A56" s="495" t="s">
        <v>1512</v>
      </c>
      <c r="B56" s="498" t="s">
        <v>1615</v>
      </c>
      <c r="C56" s="497" t="s">
        <v>1616</v>
      </c>
      <c r="D56" s="490" t="s">
        <v>73</v>
      </c>
      <c r="E56" s="462"/>
      <c r="F56" s="462"/>
      <c r="G56" s="459">
        <v>45804.0</v>
      </c>
      <c r="H56" s="430">
        <v>45804.0</v>
      </c>
      <c r="I56" s="430"/>
      <c r="J56" s="430">
        <v>45804.0</v>
      </c>
      <c r="K56" s="416">
        <f>IF(ISBLANK(J56), NETWORKDAYS(H56, TODAY(),Hoja2!$A$1:$A$18), NETWORKDAYS(H56, J56, Hoja2!$A$1:$A$18))</f>
        <v>1</v>
      </c>
      <c r="L56" s="413"/>
      <c r="M56" s="459"/>
      <c r="N56" s="473"/>
      <c r="O56" s="465"/>
      <c r="P56" s="492"/>
      <c r="Q56" s="492"/>
      <c r="R56" s="492"/>
      <c r="S56" s="492"/>
      <c r="T56" s="492"/>
      <c r="U56" s="492"/>
      <c r="V56" s="492"/>
      <c r="W56" s="492"/>
      <c r="X56" s="492"/>
      <c r="Y56" s="492"/>
      <c r="Z56" s="492"/>
      <c r="AA56" s="492"/>
      <c r="AB56" s="492"/>
      <c r="AC56" s="492"/>
      <c r="AD56" s="492"/>
      <c r="AE56" s="466" t="s">
        <v>1617</v>
      </c>
      <c r="AF56" s="466"/>
      <c r="AG56" s="466"/>
      <c r="AH56" s="466"/>
      <c r="AI56" s="466"/>
      <c r="AJ56" s="466"/>
      <c r="AK56" s="466"/>
      <c r="AL56" s="466"/>
      <c r="AM56" s="466"/>
      <c r="AN56" s="466"/>
    </row>
    <row r="57" ht="29.25" customHeight="1">
      <c r="A57" s="495" t="s">
        <v>1512</v>
      </c>
      <c r="B57" s="468" t="s">
        <v>1522</v>
      </c>
      <c r="C57" s="429" t="s">
        <v>1618</v>
      </c>
      <c r="D57" s="461" t="s">
        <v>73</v>
      </c>
      <c r="E57" s="462"/>
      <c r="F57" s="462"/>
      <c r="G57" s="459">
        <v>45805.0</v>
      </c>
      <c r="H57" s="430">
        <v>45806.0</v>
      </c>
      <c r="I57" s="430"/>
      <c r="J57" s="430">
        <v>45806.0</v>
      </c>
      <c r="K57" s="416">
        <f>IF(ISBLANK(J57), NETWORKDAYS(H57, TODAY(),Hoja2!$A$1:$A$18), NETWORKDAYS(H57, J57, Hoja2!$A$1:$A$18))</f>
        <v>1</v>
      </c>
      <c r="L57" s="413"/>
      <c r="M57" s="459"/>
      <c r="N57" s="473"/>
      <c r="O57" s="465"/>
      <c r="P57" s="492"/>
      <c r="Q57" s="492"/>
      <c r="R57" s="492"/>
      <c r="S57" s="492"/>
      <c r="T57" s="492"/>
      <c r="U57" s="492"/>
      <c r="V57" s="492"/>
      <c r="W57" s="492"/>
      <c r="X57" s="492"/>
      <c r="Y57" s="492"/>
      <c r="Z57" s="492"/>
      <c r="AA57" s="492"/>
      <c r="AB57" s="492"/>
      <c r="AC57" s="492"/>
      <c r="AD57" s="492"/>
      <c r="AE57" s="423"/>
      <c r="AF57" s="466" t="s">
        <v>1619</v>
      </c>
      <c r="AG57" s="466"/>
      <c r="AH57" s="466"/>
      <c r="AI57" s="466"/>
      <c r="AJ57" s="466"/>
      <c r="AK57" s="466"/>
      <c r="AL57" s="466"/>
      <c r="AM57" s="466"/>
      <c r="AN57" s="466"/>
    </row>
    <row r="58" ht="29.25" customHeight="1">
      <c r="A58" s="495" t="s">
        <v>1512</v>
      </c>
      <c r="B58" s="468" t="s">
        <v>1620</v>
      </c>
      <c r="C58" s="429" t="s">
        <v>1621</v>
      </c>
      <c r="D58" s="461" t="s">
        <v>73</v>
      </c>
      <c r="E58" s="462"/>
      <c r="F58" s="462"/>
      <c r="G58" s="459">
        <v>45807.0</v>
      </c>
      <c r="H58" s="430">
        <v>45807.0</v>
      </c>
      <c r="I58" s="430"/>
      <c r="J58" s="430">
        <v>45811.0</v>
      </c>
      <c r="K58" s="416">
        <f>IF(ISBLANK(J58), NETWORKDAYS(H58, TODAY(),Hoja2!$A$1:$A$18), NETWORKDAYS(H58, J58, Hoja2!$A$1:$A$18))</f>
        <v>3</v>
      </c>
      <c r="L58" s="413"/>
      <c r="M58" s="459"/>
      <c r="N58" s="473"/>
      <c r="O58" s="465"/>
      <c r="P58" s="492"/>
      <c r="Q58" s="492"/>
      <c r="R58" s="492"/>
      <c r="S58" s="492"/>
      <c r="T58" s="492"/>
      <c r="U58" s="492"/>
      <c r="V58" s="492"/>
      <c r="W58" s="492"/>
      <c r="X58" s="492"/>
      <c r="Y58" s="492"/>
      <c r="Z58" s="492"/>
      <c r="AA58" s="492"/>
      <c r="AB58" s="492"/>
      <c r="AC58" s="492"/>
      <c r="AD58" s="492"/>
      <c r="AE58" s="492"/>
      <c r="AF58" s="493" t="s">
        <v>1622</v>
      </c>
      <c r="AG58" s="466"/>
      <c r="AH58" s="466"/>
      <c r="AI58" s="466"/>
      <c r="AJ58" s="466"/>
      <c r="AK58" s="466"/>
      <c r="AL58" s="466"/>
      <c r="AM58" s="466"/>
      <c r="AN58" s="466"/>
    </row>
    <row r="59" ht="29.25" customHeight="1">
      <c r="A59" s="495" t="s">
        <v>1512</v>
      </c>
      <c r="B59" s="468" t="s">
        <v>1522</v>
      </c>
      <c r="C59" s="429" t="s">
        <v>1623</v>
      </c>
      <c r="D59" s="461" t="s">
        <v>73</v>
      </c>
      <c r="E59" s="462"/>
      <c r="F59" s="462"/>
      <c r="G59" s="459">
        <v>45811.0</v>
      </c>
      <c r="H59" s="430">
        <v>45812.0</v>
      </c>
      <c r="I59" s="430"/>
      <c r="J59" s="430">
        <v>45812.0</v>
      </c>
      <c r="K59" s="416">
        <f>IF(ISBLANK(J59), NETWORKDAYS(H59, TODAY(),Hoja2!$A$1:$A$18), NETWORKDAYS(H59, J59, Hoja2!$A$1:$A$18))</f>
        <v>1</v>
      </c>
      <c r="L59" s="413"/>
      <c r="M59" s="459"/>
      <c r="N59" s="473"/>
      <c r="O59" s="465"/>
      <c r="P59" s="492"/>
      <c r="Q59" s="492"/>
      <c r="R59" s="492"/>
      <c r="S59" s="492"/>
      <c r="T59" s="492"/>
      <c r="U59" s="492"/>
      <c r="V59" s="492"/>
      <c r="W59" s="492"/>
      <c r="X59" s="492"/>
      <c r="Y59" s="492"/>
      <c r="Z59" s="492"/>
      <c r="AA59" s="492"/>
      <c r="AB59" s="492"/>
      <c r="AC59" s="492"/>
      <c r="AD59" s="492"/>
      <c r="AE59" s="492"/>
      <c r="AF59" s="492"/>
      <c r="AG59" s="466" t="s">
        <v>1624</v>
      </c>
      <c r="AH59" s="466"/>
      <c r="AI59" s="466"/>
      <c r="AJ59" s="466"/>
      <c r="AK59" s="466"/>
      <c r="AL59" s="466"/>
      <c r="AM59" s="466"/>
      <c r="AN59" s="466"/>
    </row>
    <row r="60" ht="29.25" customHeight="1">
      <c r="A60" s="495" t="s">
        <v>1512</v>
      </c>
      <c r="B60" s="498" t="s">
        <v>284</v>
      </c>
      <c r="C60" s="497" t="s">
        <v>1625</v>
      </c>
      <c r="D60" s="461" t="s">
        <v>73</v>
      </c>
      <c r="E60" s="462"/>
      <c r="F60" s="462"/>
      <c r="G60" s="459">
        <v>45811.0</v>
      </c>
      <c r="H60" s="430">
        <v>45811.0</v>
      </c>
      <c r="I60" s="430"/>
      <c r="J60" s="430">
        <v>45814.0</v>
      </c>
      <c r="K60" s="416">
        <f>IF(ISBLANK(J60), NETWORKDAYS(H60, TODAY(),Hoja2!$A$1:$A$18), NETWORKDAYS(H60, J60, Hoja2!$A$1:$A$18))</f>
        <v>4</v>
      </c>
      <c r="L60" s="413"/>
      <c r="M60" s="459">
        <v>45811.0</v>
      </c>
      <c r="N60" s="473"/>
      <c r="O60" s="465">
        <v>45814.0</v>
      </c>
      <c r="P60" s="492"/>
      <c r="Q60" s="492"/>
      <c r="R60" s="492"/>
      <c r="S60" s="492"/>
      <c r="T60" s="492"/>
      <c r="U60" s="492"/>
      <c r="V60" s="492"/>
      <c r="W60" s="492"/>
      <c r="X60" s="492"/>
      <c r="Y60" s="492"/>
      <c r="Z60" s="492"/>
      <c r="AA60" s="492"/>
      <c r="AB60" s="492"/>
      <c r="AC60" s="492"/>
      <c r="AD60" s="492"/>
      <c r="AE60" s="423"/>
      <c r="AF60" s="466" t="s">
        <v>1626</v>
      </c>
      <c r="AG60" s="466" t="s">
        <v>1627</v>
      </c>
      <c r="AH60" s="466" t="s">
        <v>1628</v>
      </c>
      <c r="AI60" s="466" t="s">
        <v>1629</v>
      </c>
      <c r="AJ60" s="466"/>
      <c r="AK60" s="466"/>
      <c r="AL60" s="466"/>
      <c r="AM60" s="466"/>
      <c r="AN60" s="466"/>
    </row>
    <row r="61" ht="29.25" customHeight="1">
      <c r="A61" s="495" t="s">
        <v>1436</v>
      </c>
      <c r="B61" s="499" t="s">
        <v>1630</v>
      </c>
      <c r="C61" s="489" t="s">
        <v>1631</v>
      </c>
      <c r="D61" s="490" t="s">
        <v>73</v>
      </c>
      <c r="E61" s="425">
        <v>95.0</v>
      </c>
      <c r="F61" s="425">
        <v>3.0</v>
      </c>
      <c r="G61" s="459">
        <v>45784.0</v>
      </c>
      <c r="H61" s="430">
        <v>45784.0</v>
      </c>
      <c r="I61" s="430">
        <v>45786.0</v>
      </c>
      <c r="J61" s="430">
        <v>45803.0</v>
      </c>
      <c r="K61" s="431">
        <f>IF(ISBLANK(J61), NETWORKDAYS(H61, TODAY(),Hoja2!$A$1:$A$18), NETWORKDAYS(H61, J61, Hoja2!$A$1:$A$18))</f>
        <v>14</v>
      </c>
      <c r="L61" s="413"/>
      <c r="M61" s="459">
        <v>45786.0</v>
      </c>
      <c r="N61" s="482"/>
      <c r="O61" s="463">
        <v>45814.0</v>
      </c>
      <c r="P61" s="418"/>
      <c r="Q61" s="500"/>
      <c r="R61" s="500"/>
      <c r="S61" s="500"/>
      <c r="T61" s="501" t="s">
        <v>1632</v>
      </c>
      <c r="U61" s="502"/>
      <c r="V61" s="501" t="s">
        <v>1633</v>
      </c>
      <c r="W61" s="501" t="s">
        <v>1634</v>
      </c>
      <c r="X61" s="501" t="s">
        <v>1635</v>
      </c>
      <c r="Y61" s="502"/>
      <c r="Z61" s="502"/>
      <c r="AA61" s="502"/>
      <c r="AB61" s="502"/>
      <c r="AC61" s="502"/>
      <c r="AD61" s="502"/>
      <c r="AE61" s="433"/>
      <c r="AF61" s="433"/>
      <c r="AG61" s="432" t="s">
        <v>1636</v>
      </c>
      <c r="AH61" s="432" t="s">
        <v>1637</v>
      </c>
      <c r="AI61" s="432" t="s">
        <v>1638</v>
      </c>
      <c r="AJ61" s="432"/>
      <c r="AK61" s="432"/>
      <c r="AL61" s="432"/>
      <c r="AM61" s="432"/>
      <c r="AN61" s="432"/>
    </row>
    <row r="62" ht="29.25" customHeight="1">
      <c r="A62" s="495" t="s">
        <v>1512</v>
      </c>
      <c r="B62" s="468" t="s">
        <v>1639</v>
      </c>
      <c r="C62" s="429" t="s">
        <v>1640</v>
      </c>
      <c r="D62" s="461" t="s">
        <v>73</v>
      </c>
      <c r="E62" s="462"/>
      <c r="F62" s="462"/>
      <c r="G62" s="459">
        <v>45818.0</v>
      </c>
      <c r="H62" s="430">
        <v>45818.0</v>
      </c>
      <c r="I62" s="430"/>
      <c r="J62" s="430">
        <v>45818.0</v>
      </c>
      <c r="K62" s="416">
        <f>IF(ISBLANK(J62), NETWORKDAYS(H62, TODAY(),Hoja2!$A$1:$A$18), NETWORKDAYS(H62, J62, Hoja2!$A$1:$A$18))</f>
        <v>1</v>
      </c>
      <c r="L62" s="413"/>
      <c r="M62" s="459"/>
      <c r="N62" s="473"/>
      <c r="O62" s="465"/>
      <c r="P62" s="492"/>
      <c r="Q62" s="492"/>
      <c r="R62" s="492"/>
      <c r="S62" s="492"/>
      <c r="T62" s="492"/>
      <c r="U62" s="492"/>
      <c r="V62" s="492"/>
      <c r="W62" s="492"/>
      <c r="X62" s="492"/>
      <c r="Y62" s="492"/>
      <c r="Z62" s="492"/>
      <c r="AA62" s="492"/>
      <c r="AB62" s="492"/>
      <c r="AC62" s="492"/>
      <c r="AD62" s="492"/>
      <c r="AE62" s="492"/>
      <c r="AF62" s="492"/>
      <c r="AG62" s="492"/>
      <c r="AH62" s="492"/>
      <c r="AI62" s="492"/>
      <c r="AJ62" s="466" t="s">
        <v>1641</v>
      </c>
      <c r="AK62" s="466"/>
      <c r="AL62" s="466"/>
      <c r="AM62" s="466"/>
      <c r="AN62" s="466"/>
    </row>
    <row r="63" ht="29.25" customHeight="1">
      <c r="A63" s="457" t="s">
        <v>1426</v>
      </c>
      <c r="B63" s="468" t="s">
        <v>428</v>
      </c>
      <c r="C63" s="424" t="s">
        <v>1642</v>
      </c>
      <c r="D63" s="461" t="s">
        <v>73</v>
      </c>
      <c r="E63" s="425">
        <v>100.0</v>
      </c>
      <c r="F63" s="425">
        <v>1.0</v>
      </c>
      <c r="G63" s="459">
        <v>45818.0</v>
      </c>
      <c r="H63" s="430">
        <v>45819.0</v>
      </c>
      <c r="I63" s="430">
        <v>45819.0</v>
      </c>
      <c r="J63" s="430">
        <v>45819.0</v>
      </c>
      <c r="K63" s="416">
        <f>IF(ISBLANK(J63), NETWORKDAYS(H63, TODAY(),Hoja2!$A$1:$A$18), NETWORKDAYS(H63, J63, Hoja2!$A$1:$A$18))</f>
        <v>1</v>
      </c>
      <c r="L63" s="413"/>
      <c r="M63" s="459"/>
      <c r="N63" s="473"/>
      <c r="O63" s="465"/>
      <c r="P63" s="492"/>
      <c r="Q63" s="492"/>
      <c r="R63" s="492"/>
      <c r="S63" s="492"/>
      <c r="T63" s="492"/>
      <c r="U63" s="492"/>
      <c r="V63" s="492"/>
      <c r="W63" s="492"/>
      <c r="X63" s="492"/>
      <c r="Y63" s="492"/>
      <c r="Z63" s="492"/>
      <c r="AA63" s="492"/>
      <c r="AB63" s="492"/>
      <c r="AC63" s="492"/>
      <c r="AD63" s="492"/>
      <c r="AE63" s="492"/>
      <c r="AF63" s="492"/>
      <c r="AG63" s="492"/>
      <c r="AH63" s="492"/>
      <c r="AI63" s="492"/>
      <c r="AJ63" s="493" t="s">
        <v>1643</v>
      </c>
      <c r="AK63" s="466" t="s">
        <v>1644</v>
      </c>
      <c r="AL63" s="466"/>
      <c r="AM63" s="466"/>
      <c r="AN63" s="466"/>
    </row>
    <row r="64" ht="29.25" customHeight="1">
      <c r="A64" s="457" t="s">
        <v>1426</v>
      </c>
      <c r="B64" s="468" t="s">
        <v>428</v>
      </c>
      <c r="C64" s="424" t="s">
        <v>1645</v>
      </c>
      <c r="D64" s="461" t="s">
        <v>73</v>
      </c>
      <c r="E64" s="425">
        <v>100.0</v>
      </c>
      <c r="F64" s="425">
        <v>1.0</v>
      </c>
      <c r="G64" s="459">
        <v>45818.0</v>
      </c>
      <c r="H64" s="430">
        <v>45820.0</v>
      </c>
      <c r="I64" s="430">
        <v>45820.0</v>
      </c>
      <c r="J64" s="430">
        <v>45821.0</v>
      </c>
      <c r="K64" s="416">
        <f>IF(ISBLANK(J64), NETWORKDAYS(H64, TODAY(),Hoja2!$A$1:$A$18), NETWORKDAYS(H64, J64, Hoja2!$A$1:$A$18))</f>
        <v>2</v>
      </c>
      <c r="L64" s="413"/>
      <c r="M64" s="459"/>
      <c r="N64" s="473"/>
      <c r="O64" s="465"/>
      <c r="P64" s="492"/>
      <c r="Q64" s="492"/>
      <c r="R64" s="492"/>
      <c r="S64" s="492"/>
      <c r="T64" s="492"/>
      <c r="U64" s="492"/>
      <c r="V64" s="492"/>
      <c r="W64" s="492"/>
      <c r="X64" s="492"/>
      <c r="Y64" s="492"/>
      <c r="Z64" s="492"/>
      <c r="AA64" s="492"/>
      <c r="AB64" s="492"/>
      <c r="AC64" s="492"/>
      <c r="AD64" s="492"/>
      <c r="AE64" s="492"/>
      <c r="AF64" s="492"/>
      <c r="AG64" s="492"/>
      <c r="AH64" s="492"/>
      <c r="AI64" s="492"/>
      <c r="AJ64" s="493" t="s">
        <v>1646</v>
      </c>
      <c r="AK64" s="466" t="s">
        <v>1647</v>
      </c>
      <c r="AL64" s="466"/>
      <c r="AM64" s="466"/>
      <c r="AN64" s="466"/>
    </row>
    <row r="65" ht="29.25" customHeight="1">
      <c r="A65" s="487" t="s">
        <v>1411</v>
      </c>
      <c r="B65" s="498" t="s">
        <v>1531</v>
      </c>
      <c r="C65" s="503" t="s">
        <v>1648</v>
      </c>
      <c r="D65" s="490" t="s">
        <v>73</v>
      </c>
      <c r="E65" s="425">
        <v>100.0</v>
      </c>
      <c r="F65" s="504">
        <v>1.0</v>
      </c>
      <c r="G65" s="459">
        <v>45786.0</v>
      </c>
      <c r="H65" s="430">
        <v>45786.0</v>
      </c>
      <c r="I65" s="430"/>
      <c r="J65" s="430">
        <v>45825.0</v>
      </c>
      <c r="K65" s="416">
        <f>IF(ISBLANK(J65), NETWORKDAYS(H65, TODAY(),Hoja2!$A$1:$A$18), NETWORKDAYS(H65, J65, Hoja2!$A$1:$A$18))</f>
        <v>28</v>
      </c>
      <c r="L65" s="413"/>
      <c r="M65" s="459"/>
      <c r="N65" s="473"/>
      <c r="O65" s="465"/>
      <c r="P65" s="492"/>
      <c r="Q65" s="492"/>
      <c r="R65" s="492"/>
      <c r="S65" s="493" t="s">
        <v>1649</v>
      </c>
      <c r="T65" s="494"/>
      <c r="U65" s="494"/>
      <c r="V65" s="493" t="s">
        <v>1650</v>
      </c>
      <c r="W65" s="493" t="s">
        <v>1651</v>
      </c>
      <c r="X65" s="493" t="s">
        <v>1652</v>
      </c>
      <c r="Y65" s="494"/>
      <c r="Z65" s="494"/>
      <c r="AA65" s="493" t="s">
        <v>1653</v>
      </c>
      <c r="AB65" s="493" t="s">
        <v>1654</v>
      </c>
      <c r="AC65" s="493" t="s">
        <v>1655</v>
      </c>
      <c r="AD65" s="493" t="s">
        <v>1656</v>
      </c>
      <c r="AE65" s="466" t="s">
        <v>234</v>
      </c>
      <c r="AF65" s="466" t="s">
        <v>1657</v>
      </c>
      <c r="AG65" s="466"/>
      <c r="AH65" s="466"/>
      <c r="AI65" s="466"/>
      <c r="AJ65" s="466" t="s">
        <v>1658</v>
      </c>
      <c r="AK65" s="466" t="s">
        <v>1659</v>
      </c>
      <c r="AL65" s="466" t="s">
        <v>1660</v>
      </c>
      <c r="AM65" s="466" t="s">
        <v>1661</v>
      </c>
      <c r="AN65" s="466"/>
    </row>
    <row r="66" ht="29.25" customHeight="1">
      <c r="A66" s="495" t="s">
        <v>1512</v>
      </c>
      <c r="B66" s="468" t="s">
        <v>1662</v>
      </c>
      <c r="C66" s="505" t="s">
        <v>1663</v>
      </c>
      <c r="D66" s="461" t="s">
        <v>73</v>
      </c>
      <c r="E66" s="425">
        <v>100.0</v>
      </c>
      <c r="F66" s="462"/>
      <c r="G66" s="459">
        <v>45805.0</v>
      </c>
      <c r="H66" s="430">
        <v>45825.0</v>
      </c>
      <c r="I66" s="430"/>
      <c r="J66" s="430">
        <v>45825.0</v>
      </c>
      <c r="K66" s="416">
        <f>IF(ISBLANK(J66), NETWORKDAYS(H66, TODAY(),Hoja2!$A$1:$A$18), NETWORKDAYS(H66, J66, Hoja2!$A$1:$A$18))</f>
        <v>1</v>
      </c>
      <c r="L66" s="413"/>
      <c r="M66" s="459"/>
      <c r="N66" s="473"/>
      <c r="O66" s="465"/>
      <c r="P66" s="492"/>
      <c r="Q66" s="492"/>
      <c r="R66" s="492"/>
      <c r="S66" s="492"/>
      <c r="T66" s="492"/>
      <c r="U66" s="492"/>
      <c r="V66" s="492"/>
      <c r="W66" s="492"/>
      <c r="X66" s="492"/>
      <c r="Y66" s="492"/>
      <c r="Z66" s="492"/>
      <c r="AA66" s="492"/>
      <c r="AB66" s="492"/>
      <c r="AC66" s="492"/>
      <c r="AD66" s="492"/>
      <c r="AE66" s="423"/>
      <c r="AF66" s="466" t="s">
        <v>1664</v>
      </c>
      <c r="AG66" s="466"/>
      <c r="AH66" s="466"/>
      <c r="AI66" s="466"/>
      <c r="AJ66" s="466"/>
      <c r="AK66" s="466"/>
      <c r="AL66" s="466" t="s">
        <v>1665</v>
      </c>
      <c r="AM66" s="466" t="s">
        <v>1666</v>
      </c>
      <c r="AN66" s="466"/>
    </row>
    <row r="67" ht="29.25" customHeight="1">
      <c r="A67" s="495" t="s">
        <v>1512</v>
      </c>
      <c r="B67" s="460"/>
      <c r="C67" s="424" t="s">
        <v>1667</v>
      </c>
      <c r="D67" s="461" t="s">
        <v>73</v>
      </c>
      <c r="E67" s="462"/>
      <c r="F67" s="425">
        <v>1.0</v>
      </c>
      <c r="G67" s="459">
        <v>45825.0</v>
      </c>
      <c r="H67" s="430">
        <v>45825.0</v>
      </c>
      <c r="I67" s="430">
        <v>45825.0</v>
      </c>
      <c r="J67" s="430"/>
      <c r="K67" s="416">
        <f>IF(ISBLANK(J67), NETWORKDAYS(H67, TODAY(),Hoja2!$A$1:$A$18), NETWORKDAYS(H67, J67, Hoja2!$A$1:$A$18))</f>
        <v>97</v>
      </c>
      <c r="L67" s="413"/>
      <c r="M67" s="459"/>
      <c r="N67" s="473"/>
      <c r="O67" s="465"/>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3" t="s">
        <v>1668</v>
      </c>
      <c r="AN67" s="466"/>
    </row>
    <row r="68" ht="29.25" customHeight="1">
      <c r="A68" s="506" t="s">
        <v>1411</v>
      </c>
      <c r="B68" s="468" t="s">
        <v>1522</v>
      </c>
      <c r="C68" s="429" t="s">
        <v>1669</v>
      </c>
      <c r="D68" s="461" t="s">
        <v>73</v>
      </c>
      <c r="E68" s="425">
        <v>100.0</v>
      </c>
      <c r="F68" s="507"/>
      <c r="G68" s="459">
        <v>45825.0</v>
      </c>
      <c r="H68" s="430">
        <v>45825.0</v>
      </c>
      <c r="I68" s="430"/>
      <c r="J68" s="430">
        <v>45825.0</v>
      </c>
      <c r="K68" s="416">
        <f>IF(ISBLANK(J68), NETWORKDAYS(H68, TODAY(),Hoja2!$A$1:$A$18), NETWORKDAYS(H68, J68, Hoja2!$A$1:$A$18))</f>
        <v>1</v>
      </c>
      <c r="L68" s="413"/>
      <c r="M68" s="459"/>
      <c r="N68" s="473"/>
      <c r="O68" s="465">
        <v>45825.0</v>
      </c>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3" t="s">
        <v>1670</v>
      </c>
      <c r="AN68" s="466"/>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08" t="s">
        <v>1409</v>
      </c>
      <c r="B1" s="508" t="s">
        <v>2</v>
      </c>
      <c r="C1" s="508" t="s">
        <v>4</v>
      </c>
      <c r="D1" s="508" t="s">
        <v>5</v>
      </c>
      <c r="E1" s="509" t="s">
        <v>8</v>
      </c>
      <c r="F1" s="509" t="s">
        <v>9</v>
      </c>
      <c r="G1" s="510" t="s">
        <v>1671</v>
      </c>
      <c r="H1" s="509" t="s">
        <v>11</v>
      </c>
      <c r="I1" s="509" t="s">
        <v>12</v>
      </c>
      <c r="J1" s="511" t="s">
        <v>13</v>
      </c>
      <c r="K1" s="512" t="s">
        <v>14</v>
      </c>
      <c r="L1" s="513" t="s">
        <v>1410</v>
      </c>
      <c r="M1" s="434"/>
      <c r="N1" s="434"/>
      <c r="O1" s="434"/>
      <c r="P1" s="434"/>
      <c r="Q1" s="434"/>
      <c r="R1" s="434"/>
      <c r="S1" s="434"/>
      <c r="T1" s="434"/>
      <c r="U1" s="434"/>
      <c r="V1" s="434"/>
      <c r="W1" s="434"/>
      <c r="X1" s="434"/>
      <c r="Y1" s="434"/>
      <c r="Z1" s="434"/>
    </row>
    <row r="2" ht="15.0" customHeight="1">
      <c r="A2" s="514" t="s">
        <v>1426</v>
      </c>
      <c r="B2" s="515" t="s">
        <v>1672</v>
      </c>
      <c r="C2" s="516" t="s">
        <v>1673</v>
      </c>
      <c r="D2" s="517"/>
      <c r="E2" s="518">
        <v>45561.0</v>
      </c>
      <c r="F2" s="518">
        <v>45561.0</v>
      </c>
      <c r="G2" s="517"/>
      <c r="H2" s="519">
        <v>45565.0</v>
      </c>
      <c r="I2" s="520">
        <f>IF(ISBLANK(H2), NETWORKDAYS(F2, TODAY(),Hoja2!$A$1:$A$18), NETWORKDAYS(F2, H2, Hoja2!$A$1:$A$18))</f>
        <v>3</v>
      </c>
      <c r="J2" s="518">
        <v>45565.0</v>
      </c>
      <c r="K2" s="518">
        <v>45566.0</v>
      </c>
      <c r="L2" s="521" t="s">
        <v>1674</v>
      </c>
      <c r="M2" s="434"/>
      <c r="N2" s="434"/>
      <c r="O2" s="434"/>
      <c r="P2" s="434"/>
      <c r="Q2" s="434"/>
      <c r="R2" s="434"/>
      <c r="S2" s="434"/>
      <c r="T2" s="434"/>
      <c r="U2" s="434"/>
      <c r="V2" s="434"/>
      <c r="W2" s="434"/>
      <c r="X2" s="434"/>
      <c r="Y2" s="434"/>
      <c r="Z2" s="434"/>
    </row>
    <row r="3" ht="15.0" customHeight="1">
      <c r="A3" s="514" t="s">
        <v>1426</v>
      </c>
      <c r="B3" s="522"/>
      <c r="C3" s="516" t="s">
        <v>1675</v>
      </c>
      <c r="D3" s="517"/>
      <c r="E3" s="518">
        <v>45561.0</v>
      </c>
      <c r="F3" s="518">
        <v>45562.0</v>
      </c>
      <c r="G3" s="517"/>
      <c r="H3" s="518">
        <v>45565.0</v>
      </c>
      <c r="I3" s="520">
        <f>IF(ISBLANK(H3), NETWORKDAYS(F3, TODAY(),Hoja2!$A$1:$A$18), NETWORKDAYS(F3, H3, Hoja2!$A$1:$A$18))</f>
        <v>2</v>
      </c>
      <c r="J3" s="518">
        <v>45565.0</v>
      </c>
      <c r="K3" s="518">
        <v>45566.0</v>
      </c>
      <c r="L3" s="521" t="s">
        <v>1676</v>
      </c>
      <c r="M3" s="434"/>
      <c r="N3" s="434"/>
      <c r="O3" s="434"/>
      <c r="P3" s="434"/>
      <c r="Q3" s="434"/>
      <c r="R3" s="434"/>
      <c r="S3" s="434"/>
      <c r="T3" s="434"/>
      <c r="U3" s="434"/>
      <c r="V3" s="434"/>
      <c r="W3" s="434"/>
      <c r="X3" s="434"/>
      <c r="Y3" s="434"/>
      <c r="Z3" s="434"/>
    </row>
    <row r="4" ht="15.0" customHeight="1">
      <c r="A4" s="514" t="s">
        <v>1426</v>
      </c>
      <c r="B4" s="523" t="s">
        <v>1677</v>
      </c>
      <c r="C4" s="516" t="s">
        <v>1678</v>
      </c>
      <c r="D4" s="517"/>
      <c r="E4" s="518">
        <v>45566.0</v>
      </c>
      <c r="F4" s="518">
        <v>45566.0</v>
      </c>
      <c r="G4" s="517"/>
      <c r="H4" s="518">
        <v>45566.0</v>
      </c>
      <c r="I4" s="520">
        <f>IF(ISBLANK(H4), NETWORKDAYS(F4, TODAY(),Hoja2!$A$1:$A$18), NETWORKDAYS(F4, H4, Hoja2!$A$1:$A$18))</f>
        <v>1</v>
      </c>
      <c r="J4" s="518">
        <v>45566.0</v>
      </c>
      <c r="K4" s="518">
        <v>45566.0</v>
      </c>
      <c r="L4" s="521" t="s">
        <v>1679</v>
      </c>
      <c r="M4" s="434"/>
      <c r="N4" s="434"/>
      <c r="O4" s="434"/>
      <c r="P4" s="434"/>
      <c r="Q4" s="434"/>
      <c r="R4" s="434"/>
      <c r="S4" s="434"/>
      <c r="T4" s="434"/>
      <c r="U4" s="434"/>
      <c r="V4" s="434"/>
      <c r="W4" s="434"/>
      <c r="X4" s="434"/>
      <c r="Y4" s="434"/>
      <c r="Z4" s="434"/>
    </row>
    <row r="5" ht="15.0" customHeight="1">
      <c r="A5" s="514" t="s">
        <v>1426</v>
      </c>
      <c r="B5" s="524"/>
      <c r="C5" s="516" t="s">
        <v>1680</v>
      </c>
      <c r="D5" s="517"/>
      <c r="E5" s="518">
        <v>45566.0</v>
      </c>
      <c r="F5" s="518">
        <v>45566.0</v>
      </c>
      <c r="G5" s="517"/>
      <c r="H5" s="518">
        <v>45566.0</v>
      </c>
      <c r="I5" s="520">
        <f>IF(ISBLANK(H5), NETWORKDAYS(F5, TODAY(),Hoja2!$A$1:$A$18), NETWORKDAYS(F5, H5, Hoja2!$A$1:$A$18))</f>
        <v>1</v>
      </c>
      <c r="J5" s="518">
        <v>45566.0</v>
      </c>
      <c r="K5" s="518">
        <v>45566.0</v>
      </c>
      <c r="L5" s="521" t="s">
        <v>1679</v>
      </c>
      <c r="M5" s="434"/>
      <c r="N5" s="434"/>
      <c r="O5" s="434"/>
      <c r="P5" s="434"/>
      <c r="Q5" s="434"/>
      <c r="R5" s="434"/>
      <c r="S5" s="434"/>
      <c r="T5" s="434"/>
      <c r="U5" s="434"/>
      <c r="V5" s="434"/>
      <c r="W5" s="434"/>
      <c r="X5" s="434"/>
      <c r="Y5" s="434"/>
      <c r="Z5" s="434"/>
    </row>
    <row r="6" ht="15.0" customHeight="1">
      <c r="A6" s="514" t="s">
        <v>1426</v>
      </c>
      <c r="B6" s="524"/>
      <c r="C6" s="516" t="s">
        <v>1681</v>
      </c>
      <c r="D6" s="517"/>
      <c r="E6" s="518">
        <v>45566.0</v>
      </c>
      <c r="F6" s="518">
        <v>45566.0</v>
      </c>
      <c r="G6" s="517"/>
      <c r="H6" s="518">
        <v>45566.0</v>
      </c>
      <c r="I6" s="520">
        <f>IF(ISBLANK(H6), NETWORKDAYS(F6, TODAY(),Hoja2!$A$1:$A$18), NETWORKDAYS(F6, H6, Hoja2!$A$1:$A$18))</f>
        <v>1</v>
      </c>
      <c r="J6" s="518">
        <v>45566.0</v>
      </c>
      <c r="K6" s="518">
        <v>45566.0</v>
      </c>
      <c r="L6" s="521" t="s">
        <v>1679</v>
      </c>
      <c r="M6" s="434"/>
      <c r="N6" s="434"/>
      <c r="O6" s="434"/>
      <c r="P6" s="434"/>
      <c r="Q6" s="434"/>
      <c r="R6" s="434"/>
      <c r="S6" s="434"/>
      <c r="T6" s="434"/>
      <c r="U6" s="434"/>
      <c r="V6" s="434"/>
      <c r="W6" s="434"/>
      <c r="X6" s="434"/>
      <c r="Y6" s="434"/>
      <c r="Z6" s="434"/>
    </row>
    <row r="7" ht="15.0" customHeight="1">
      <c r="A7" s="516" t="s">
        <v>1411</v>
      </c>
      <c r="B7" s="525" t="s">
        <v>1682</v>
      </c>
      <c r="C7" s="516"/>
      <c r="D7" s="517" t="s">
        <v>73</v>
      </c>
      <c r="E7" s="518">
        <v>45566.0</v>
      </c>
      <c r="F7" s="518">
        <v>45566.0</v>
      </c>
      <c r="G7" s="517"/>
      <c r="H7" s="518">
        <v>45567.0</v>
      </c>
      <c r="I7" s="520">
        <f>IF(ISBLANK(H7), NETWORKDAYS(F7, TODAY(),Hoja2!$A$1:$A$18), NETWORKDAYS(F7, H7, Hoja2!$A$1:$A$18))</f>
        <v>2</v>
      </c>
      <c r="J7" s="517"/>
      <c r="K7" s="517"/>
      <c r="L7" s="521" t="s">
        <v>1683</v>
      </c>
      <c r="M7" s="420"/>
      <c r="N7" s="420"/>
      <c r="O7" s="420"/>
      <c r="P7" s="420"/>
      <c r="Q7" s="420"/>
      <c r="R7" s="420"/>
      <c r="S7" s="420"/>
      <c r="T7" s="420"/>
      <c r="U7" s="420"/>
      <c r="V7" s="420"/>
      <c r="W7" s="420"/>
      <c r="X7" s="420"/>
      <c r="Y7" s="420"/>
      <c r="Z7" s="420"/>
    </row>
    <row r="8" ht="15.0" customHeight="1">
      <c r="A8" s="517" t="s">
        <v>1418</v>
      </c>
      <c r="B8" s="526" t="s">
        <v>1684</v>
      </c>
      <c r="C8" s="516"/>
      <c r="D8" s="517" t="s">
        <v>73</v>
      </c>
      <c r="E8" s="518">
        <v>45566.0</v>
      </c>
      <c r="F8" s="518">
        <v>45566.0</v>
      </c>
      <c r="G8" s="517"/>
      <c r="H8" s="518">
        <v>45566.0</v>
      </c>
      <c r="I8" s="520">
        <f>IF(ISBLANK(H8), NETWORKDAYS(F8, TODAY(),Hoja2!$A$1:$A$18), NETWORKDAYS(F8, H8, Hoja2!$A$1:$A$18))</f>
        <v>1</v>
      </c>
      <c r="J8" s="517"/>
      <c r="K8" s="518">
        <v>45566.0</v>
      </c>
      <c r="L8" s="521" t="s">
        <v>1685</v>
      </c>
      <c r="M8" s="420"/>
      <c r="N8" s="420"/>
      <c r="O8" s="420"/>
      <c r="P8" s="420"/>
      <c r="Q8" s="420"/>
      <c r="R8" s="420"/>
      <c r="S8" s="420"/>
      <c r="T8" s="420"/>
      <c r="U8" s="420"/>
      <c r="V8" s="420"/>
      <c r="W8" s="420"/>
      <c r="X8" s="420"/>
      <c r="Y8" s="420"/>
      <c r="Z8" s="420"/>
    </row>
    <row r="9" ht="15.0" customHeight="1">
      <c r="A9" s="517" t="s">
        <v>1418</v>
      </c>
      <c r="B9" s="526" t="s">
        <v>1686</v>
      </c>
      <c r="C9" s="516"/>
      <c r="D9" s="517" t="s">
        <v>1687</v>
      </c>
      <c r="E9" s="518">
        <v>45566.0</v>
      </c>
      <c r="F9" s="518">
        <v>45566.0</v>
      </c>
      <c r="G9" s="518">
        <v>45567.0</v>
      </c>
      <c r="H9" s="518">
        <v>45566.0</v>
      </c>
      <c r="I9" s="520">
        <f>IF(ISBLANK(H9), NETWORKDAYS(F9, TODAY(),Hoja2!$A$1:$A$18), NETWORKDAYS(F9, H9, Hoja2!$A$1:$A$18))</f>
        <v>1</v>
      </c>
      <c r="J9" s="518">
        <v>45568.0</v>
      </c>
      <c r="K9" s="517"/>
      <c r="L9" s="521" t="s">
        <v>1688</v>
      </c>
      <c r="M9" s="420"/>
      <c r="N9" s="420"/>
      <c r="O9" s="420"/>
      <c r="P9" s="420"/>
      <c r="Q9" s="420"/>
      <c r="R9" s="420"/>
      <c r="S9" s="420"/>
      <c r="T9" s="420"/>
      <c r="U9" s="420"/>
      <c r="V9" s="420"/>
      <c r="W9" s="420"/>
      <c r="X9" s="420"/>
      <c r="Y9" s="420"/>
      <c r="Z9" s="420"/>
    </row>
    <row r="10" ht="15.0" customHeight="1">
      <c r="A10" s="527" t="s">
        <v>1689</v>
      </c>
      <c r="B10" s="526" t="s">
        <v>1690</v>
      </c>
      <c r="C10" s="516"/>
      <c r="D10" s="517" t="s">
        <v>73</v>
      </c>
      <c r="E10" s="518">
        <v>45567.0</v>
      </c>
      <c r="F10" s="518">
        <v>45567.0</v>
      </c>
      <c r="G10" s="517"/>
      <c r="H10" s="518">
        <v>45567.0</v>
      </c>
      <c r="I10" s="520">
        <f>IF(ISBLANK(H10), NETWORKDAYS(F10, TODAY(),Hoja2!$A$1:$A$18), NETWORKDAYS(F10, H10, Hoja2!$A$1:$A$18))</f>
        <v>1</v>
      </c>
      <c r="J10" s="517"/>
      <c r="K10" s="518">
        <v>45568.0</v>
      </c>
      <c r="L10" s="521" t="s">
        <v>1691</v>
      </c>
      <c r="M10" s="420"/>
      <c r="N10" s="420"/>
      <c r="O10" s="420"/>
      <c r="P10" s="420"/>
      <c r="Q10" s="420"/>
      <c r="R10" s="420"/>
      <c r="S10" s="420"/>
      <c r="T10" s="420"/>
      <c r="U10" s="420"/>
      <c r="V10" s="420"/>
      <c r="W10" s="420"/>
      <c r="X10" s="420"/>
      <c r="Y10" s="420"/>
      <c r="Z10" s="420"/>
    </row>
    <row r="11" ht="15.0" customHeight="1">
      <c r="A11" s="517" t="s">
        <v>1436</v>
      </c>
      <c r="B11" s="528" t="s">
        <v>1677</v>
      </c>
      <c r="C11" s="516" t="s">
        <v>1692</v>
      </c>
      <c r="D11" s="517" t="s">
        <v>73</v>
      </c>
      <c r="E11" s="518">
        <v>45566.0</v>
      </c>
      <c r="F11" s="518">
        <v>45566.0</v>
      </c>
      <c r="G11" s="518">
        <v>45567.0</v>
      </c>
      <c r="H11" s="518">
        <v>45567.0</v>
      </c>
      <c r="I11" s="520">
        <f>IF(ISBLANK(H11), NETWORKDAYS(F11, TODAY(),Hoja2!$A$1:$A$18), NETWORKDAYS(F11, H11, Hoja2!$A$1:$A$18))</f>
        <v>2</v>
      </c>
      <c r="J11" s="518">
        <v>45567.0</v>
      </c>
      <c r="K11" s="518">
        <v>45568.0</v>
      </c>
      <c r="L11" s="521" t="s">
        <v>1693</v>
      </c>
      <c r="M11" s="420"/>
      <c r="N11" s="420"/>
      <c r="O11" s="420"/>
      <c r="P11" s="420"/>
      <c r="Q11" s="420"/>
      <c r="R11" s="420"/>
      <c r="S11" s="420"/>
      <c r="T11" s="420"/>
      <c r="U11" s="420"/>
      <c r="V11" s="420"/>
      <c r="W11" s="420"/>
      <c r="X11" s="420"/>
      <c r="Y11" s="420"/>
      <c r="Z11" s="420"/>
    </row>
    <row r="12" ht="15.0" customHeight="1">
      <c r="A12" s="517" t="s">
        <v>1436</v>
      </c>
      <c r="B12" s="529" t="s">
        <v>1672</v>
      </c>
      <c r="C12" s="516" t="s">
        <v>1694</v>
      </c>
      <c r="D12" s="517" t="s">
        <v>73</v>
      </c>
      <c r="E12" s="518">
        <v>45566.0</v>
      </c>
      <c r="F12" s="518">
        <v>45566.0</v>
      </c>
      <c r="G12" s="518">
        <v>45567.0</v>
      </c>
      <c r="H12" s="518">
        <v>45567.0</v>
      </c>
      <c r="I12" s="520">
        <f>IF(ISBLANK(H12), NETWORKDAYS(F12, TODAY(),Hoja2!$A$1:$A$18), NETWORKDAYS(F12, H12, Hoja2!$A$1:$A$18))</f>
        <v>2</v>
      </c>
      <c r="J12" s="518">
        <v>45567.0</v>
      </c>
      <c r="K12" s="518">
        <v>45568.0</v>
      </c>
      <c r="L12" s="521" t="s">
        <v>1693</v>
      </c>
      <c r="M12" s="420"/>
      <c r="N12" s="420"/>
      <c r="O12" s="420"/>
      <c r="P12" s="420"/>
      <c r="Q12" s="420"/>
      <c r="R12" s="420"/>
      <c r="S12" s="420"/>
      <c r="T12" s="420"/>
      <c r="U12" s="420"/>
      <c r="V12" s="420"/>
      <c r="W12" s="420"/>
      <c r="X12" s="420"/>
      <c r="Y12" s="420"/>
      <c r="Z12" s="420"/>
    </row>
    <row r="13" ht="15.0" customHeight="1">
      <c r="A13" s="530" t="s">
        <v>1689</v>
      </c>
      <c r="B13" s="531" t="s">
        <v>1695</v>
      </c>
      <c r="C13" s="516"/>
      <c r="D13" s="517" t="s">
        <v>212</v>
      </c>
      <c r="E13" s="518">
        <v>45567.0</v>
      </c>
      <c r="F13" s="518"/>
      <c r="G13" s="517"/>
      <c r="H13" s="518">
        <v>45569.0</v>
      </c>
      <c r="I13" s="520">
        <f>IF(ISBLANK(H13), NETWORKDAYS(F13, TODAY(),Hoja2!$A$1:$A$18), NETWORKDAYS(F13, H13, Hoja2!$A$1:$A$18))</f>
        <v>32538</v>
      </c>
      <c r="J13" s="517"/>
      <c r="K13" s="517"/>
      <c r="L13" s="532" t="s">
        <v>1696</v>
      </c>
      <c r="M13" s="420"/>
      <c r="N13" s="420"/>
      <c r="O13" s="420"/>
      <c r="P13" s="420"/>
      <c r="Q13" s="420"/>
      <c r="R13" s="420"/>
      <c r="S13" s="420"/>
      <c r="T13" s="420"/>
      <c r="U13" s="420"/>
      <c r="V13" s="420"/>
      <c r="W13" s="420"/>
      <c r="X13" s="420"/>
      <c r="Y13" s="420"/>
      <c r="Z13" s="420"/>
    </row>
    <row r="14" ht="15.0" customHeight="1">
      <c r="A14" s="514" t="s">
        <v>1436</v>
      </c>
      <c r="B14" s="533" t="s">
        <v>1697</v>
      </c>
      <c r="C14" s="534"/>
      <c r="D14" s="527" t="s">
        <v>1413</v>
      </c>
      <c r="E14" s="535">
        <v>45561.0</v>
      </c>
      <c r="F14" s="535">
        <v>45561.0</v>
      </c>
      <c r="G14" s="534"/>
      <c r="H14" s="535">
        <v>45562.0</v>
      </c>
      <c r="I14" s="520">
        <f>IF(ISBLANK(H14), NETWORKDAYS(F14, TODAY(),Hoja2!$A$1:$A$18), NETWORKDAYS(F14, H14, Hoja2!$A$1:$A$18))</f>
        <v>2</v>
      </c>
      <c r="J14" s="535">
        <v>45562.0</v>
      </c>
      <c r="K14" s="535">
        <v>45569.0</v>
      </c>
      <c r="L14" s="536" t="s">
        <v>1698</v>
      </c>
      <c r="M14" s="537" t="s">
        <v>1699</v>
      </c>
      <c r="N14" s="434"/>
      <c r="O14" s="434"/>
      <c r="P14" s="434"/>
      <c r="Q14" s="434"/>
      <c r="R14" s="434"/>
      <c r="S14" s="434"/>
      <c r="T14" s="434"/>
      <c r="U14" s="434"/>
      <c r="V14" s="434"/>
      <c r="W14" s="434"/>
      <c r="X14" s="434"/>
      <c r="Y14" s="434"/>
      <c r="Z14" s="434"/>
    </row>
    <row r="15" ht="15.0" customHeight="1">
      <c r="A15" s="527" t="s">
        <v>1537</v>
      </c>
      <c r="B15" s="526" t="s">
        <v>1690</v>
      </c>
      <c r="C15" s="529" t="s">
        <v>1700</v>
      </c>
      <c r="D15" s="517" t="s">
        <v>73</v>
      </c>
      <c r="E15" s="518">
        <v>45568.0</v>
      </c>
      <c r="F15" s="518">
        <v>45568.0</v>
      </c>
      <c r="G15" s="518">
        <v>45568.0</v>
      </c>
      <c r="H15" s="518">
        <v>45568.0</v>
      </c>
      <c r="I15" s="520">
        <f>IF(ISBLANK(H15), NETWORKDAYS(F15, TODAY(),Hoja2!$A$1:$A$18), NETWORKDAYS(F15, H15, Hoja2!$A$1:$A$18))</f>
        <v>1</v>
      </c>
      <c r="J15" s="517"/>
      <c r="K15" s="518"/>
      <c r="L15" s="521" t="s">
        <v>1701</v>
      </c>
      <c r="M15" s="420"/>
      <c r="N15" s="420"/>
      <c r="O15" s="420"/>
      <c r="P15" s="420"/>
      <c r="Q15" s="420"/>
      <c r="R15" s="420"/>
      <c r="S15" s="420"/>
      <c r="T15" s="420"/>
      <c r="U15" s="420"/>
      <c r="V15" s="420"/>
      <c r="W15" s="420"/>
      <c r="X15" s="420"/>
      <c r="Y15" s="420"/>
      <c r="Z15" s="420"/>
    </row>
    <row r="16" ht="15.0" customHeight="1">
      <c r="A16" s="538" t="s">
        <v>1426</v>
      </c>
      <c r="B16" s="539" t="s">
        <v>1702</v>
      </c>
      <c r="C16" s="526" t="s">
        <v>1703</v>
      </c>
      <c r="D16" s="527" t="s">
        <v>73</v>
      </c>
      <c r="E16" s="518">
        <v>45569.0</v>
      </c>
      <c r="F16" s="518">
        <v>45569.0</v>
      </c>
      <c r="G16" s="518"/>
      <c r="H16" s="518">
        <v>45569.0</v>
      </c>
      <c r="I16" s="520">
        <f>IF(ISBLANK(H16), NETWORKDAYS(F16, TODAY(),Hoja2!$A$1:$A$18), NETWORKDAYS(F16, H16, Hoja2!$A$1:$A$18))</f>
        <v>1</v>
      </c>
      <c r="J16" s="518"/>
      <c r="K16" s="518">
        <v>45569.0</v>
      </c>
      <c r="L16" s="521" t="s">
        <v>1704</v>
      </c>
      <c r="M16" s="420"/>
      <c r="N16" s="420"/>
      <c r="O16" s="420"/>
      <c r="P16" s="420"/>
      <c r="Q16" s="420"/>
      <c r="R16" s="420"/>
      <c r="S16" s="420"/>
      <c r="T16" s="420"/>
      <c r="U16" s="420"/>
      <c r="V16" s="420"/>
      <c r="W16" s="420"/>
      <c r="X16" s="420"/>
      <c r="Y16" s="420"/>
      <c r="Z16" s="420"/>
    </row>
    <row r="17" ht="15.0" customHeight="1">
      <c r="A17" s="538" t="s">
        <v>1426</v>
      </c>
      <c r="B17" s="522"/>
      <c r="C17" s="526" t="s">
        <v>1705</v>
      </c>
      <c r="D17" s="527" t="s">
        <v>73</v>
      </c>
      <c r="E17" s="518">
        <v>45569.0</v>
      </c>
      <c r="F17" s="518">
        <v>45569.0</v>
      </c>
      <c r="G17" s="518"/>
      <c r="H17" s="518">
        <v>45569.0</v>
      </c>
      <c r="I17" s="520">
        <f>IF(ISBLANK(H17), NETWORKDAYS(F17, TODAY(),Hoja2!$A$1:$A$18), NETWORKDAYS(F17, H17, Hoja2!$A$1:$A$18))</f>
        <v>1</v>
      </c>
      <c r="J17" s="518"/>
      <c r="K17" s="517"/>
      <c r="L17" s="521"/>
      <c r="M17" s="420"/>
      <c r="N17" s="420"/>
      <c r="O17" s="420"/>
      <c r="P17" s="420"/>
      <c r="Q17" s="420"/>
      <c r="R17" s="420"/>
      <c r="S17" s="420"/>
      <c r="T17" s="420"/>
      <c r="U17" s="420"/>
      <c r="V17" s="420"/>
      <c r="W17" s="420"/>
      <c r="X17" s="420"/>
      <c r="Y17" s="420"/>
      <c r="Z17" s="420"/>
    </row>
    <row r="18" ht="15.0" customHeight="1">
      <c r="A18" s="538" t="s">
        <v>1426</v>
      </c>
      <c r="B18" s="540" t="s">
        <v>1706</v>
      </c>
      <c r="C18" s="540" t="s">
        <v>1707</v>
      </c>
      <c r="D18" s="541" t="s">
        <v>383</v>
      </c>
      <c r="E18" s="542">
        <v>45567.0</v>
      </c>
      <c r="F18" s="542">
        <v>45567.0</v>
      </c>
      <c r="G18" s="542">
        <v>45568.0</v>
      </c>
      <c r="H18" s="542">
        <v>45568.0</v>
      </c>
      <c r="I18" s="543">
        <f>IF(ISBLANK(H18), NETWORKDAYS(F18, TODAY(),Hoja2!$A$1:$A$18), NETWORKDAYS(F18, H18, Hoja2!$A$1:$A$18))</f>
        <v>2</v>
      </c>
      <c r="J18" s="542">
        <v>45568.0</v>
      </c>
      <c r="K18" s="544"/>
      <c r="L18" s="545" t="s">
        <v>1708</v>
      </c>
      <c r="M18" s="420"/>
      <c r="N18" s="420"/>
      <c r="O18" s="420"/>
      <c r="P18" s="420"/>
      <c r="Q18" s="420"/>
      <c r="R18" s="420"/>
      <c r="S18" s="420"/>
      <c r="T18" s="420"/>
      <c r="U18" s="420"/>
      <c r="V18" s="420"/>
      <c r="W18" s="420"/>
      <c r="X18" s="420"/>
      <c r="Y18" s="420"/>
      <c r="Z18" s="420"/>
    </row>
    <row r="19" ht="15.0" customHeight="1">
      <c r="A19" s="530" t="s">
        <v>1689</v>
      </c>
      <c r="B19" s="546" t="s">
        <v>1709</v>
      </c>
      <c r="C19" s="532" t="s">
        <v>1710</v>
      </c>
      <c r="D19" s="527" t="s">
        <v>1711</v>
      </c>
      <c r="E19" s="518">
        <v>45566.0</v>
      </c>
      <c r="F19" s="518">
        <v>45566.0</v>
      </c>
      <c r="G19" s="518">
        <v>45567.0</v>
      </c>
      <c r="H19" s="518">
        <v>45567.0</v>
      </c>
      <c r="I19" s="520">
        <f>IF(ISBLANK(H19), NETWORKDAYS(F19, TODAY(),Hoja2!$A$1:$A$18), NETWORKDAYS(F19, H19, Hoja2!$A$1:$A$18))</f>
        <v>2</v>
      </c>
      <c r="J19" s="518">
        <v>45568.0</v>
      </c>
      <c r="K19" s="517"/>
      <c r="L19" s="521" t="s">
        <v>1712</v>
      </c>
      <c r="M19" s="420"/>
      <c r="N19" s="420"/>
      <c r="O19" s="420"/>
      <c r="P19" s="420"/>
      <c r="Q19" s="420"/>
      <c r="R19" s="420"/>
      <c r="S19" s="420"/>
      <c r="T19" s="420"/>
      <c r="U19" s="420"/>
      <c r="V19" s="420"/>
      <c r="W19" s="420"/>
      <c r="X19" s="420"/>
      <c r="Y19" s="420"/>
      <c r="Z19" s="420"/>
    </row>
    <row r="20" ht="15.0" customHeight="1">
      <c r="A20" s="530" t="s">
        <v>1689</v>
      </c>
      <c r="B20" s="382"/>
      <c r="C20" s="526" t="s">
        <v>1713</v>
      </c>
      <c r="D20" s="527" t="s">
        <v>1711</v>
      </c>
      <c r="E20" s="518">
        <v>45561.0</v>
      </c>
      <c r="F20" s="518">
        <v>45561.0</v>
      </c>
      <c r="G20" s="518">
        <v>45567.0</v>
      </c>
      <c r="H20" s="518">
        <v>45568.0</v>
      </c>
      <c r="I20" s="520">
        <f>IF(ISBLANK(H20), NETWORKDAYS(F20, TODAY(),Hoja2!$A$1:$A$18), NETWORKDAYS(F20, H20, Hoja2!$A$1:$A$18))</f>
        <v>6</v>
      </c>
      <c r="J20" s="518">
        <v>45568.0</v>
      </c>
      <c r="K20" s="517"/>
      <c r="L20" s="547" t="s">
        <v>1714</v>
      </c>
      <c r="M20" s="420"/>
      <c r="N20" s="420"/>
      <c r="O20" s="420"/>
      <c r="P20" s="420"/>
      <c r="Q20" s="420"/>
      <c r="R20" s="420"/>
      <c r="S20" s="420"/>
      <c r="T20" s="420"/>
      <c r="U20" s="420"/>
      <c r="V20" s="420"/>
      <c r="W20" s="420"/>
      <c r="X20" s="420"/>
      <c r="Y20" s="420"/>
      <c r="Z20" s="420"/>
    </row>
    <row r="21" ht="15.0" customHeight="1">
      <c r="A21" s="530" t="s">
        <v>1689</v>
      </c>
      <c r="B21" s="548"/>
      <c r="C21" s="529" t="s">
        <v>1715</v>
      </c>
      <c r="D21" s="517" t="s">
        <v>1711</v>
      </c>
      <c r="E21" s="518">
        <v>45561.0</v>
      </c>
      <c r="F21" s="518">
        <v>45568.0</v>
      </c>
      <c r="G21" s="517"/>
      <c r="H21" s="518">
        <v>45568.0</v>
      </c>
      <c r="I21" s="520">
        <f>IF(ISBLANK(H21), NETWORKDAYS(F21, TODAY(),Hoja2!$A$1:$A$18), NETWORKDAYS(F21, H21, Hoja2!$A$1:$A$18))</f>
        <v>1</v>
      </c>
      <c r="J21" s="518">
        <v>45568.0</v>
      </c>
      <c r="K21" s="517"/>
      <c r="L21" s="521" t="s">
        <v>1716</v>
      </c>
      <c r="M21" s="420"/>
      <c r="N21" s="420"/>
      <c r="O21" s="420"/>
      <c r="P21" s="420"/>
      <c r="Q21" s="420"/>
      <c r="R21" s="420"/>
      <c r="S21" s="420"/>
      <c r="T21" s="420"/>
      <c r="U21" s="420"/>
      <c r="V21" s="420"/>
      <c r="W21" s="420"/>
      <c r="X21" s="420"/>
      <c r="Y21" s="420"/>
      <c r="Z21" s="420"/>
    </row>
    <row r="22" ht="15.0" customHeight="1">
      <c r="A22" s="549" t="s">
        <v>1717</v>
      </c>
      <c r="B22" s="526" t="s">
        <v>1684</v>
      </c>
      <c r="C22" s="529" t="s">
        <v>1718</v>
      </c>
      <c r="D22" s="517" t="s">
        <v>73</v>
      </c>
      <c r="E22" s="518">
        <v>45567.0</v>
      </c>
      <c r="F22" s="518">
        <v>45567.0</v>
      </c>
      <c r="G22" s="518">
        <v>45567.0</v>
      </c>
      <c r="H22" s="518">
        <v>45569.0</v>
      </c>
      <c r="I22" s="520">
        <f>IF(ISBLANK(H22), NETWORKDAYS(F22, TODAY(),Hoja2!$A$1:$A$18), NETWORKDAYS(F22, H22, Hoja2!$A$1:$A$18))</f>
        <v>3</v>
      </c>
      <c r="J22" s="517"/>
      <c r="K22" s="517"/>
      <c r="L22" s="532" t="s">
        <v>1719</v>
      </c>
      <c r="M22" s="420"/>
      <c r="N22" s="420"/>
      <c r="O22" s="420"/>
      <c r="P22" s="420"/>
      <c r="Q22" s="420"/>
      <c r="R22" s="420"/>
      <c r="S22" s="420"/>
      <c r="T22" s="420"/>
      <c r="U22" s="420"/>
      <c r="V22" s="420"/>
      <c r="W22" s="420"/>
      <c r="X22" s="420"/>
      <c r="Y22" s="420"/>
      <c r="Z22" s="420"/>
    </row>
    <row r="23" ht="15.0" customHeight="1">
      <c r="A23" s="550" t="s">
        <v>1689</v>
      </c>
      <c r="B23" s="551" t="s">
        <v>1709</v>
      </c>
      <c r="C23" s="526" t="s">
        <v>1720</v>
      </c>
      <c r="D23" s="517" t="s">
        <v>73</v>
      </c>
      <c r="E23" s="518">
        <v>45569.0</v>
      </c>
      <c r="F23" s="518">
        <v>45572.0</v>
      </c>
      <c r="G23" s="518"/>
      <c r="H23" s="518">
        <v>45572.0</v>
      </c>
      <c r="I23" s="520">
        <f>IF(ISBLANK(H23), NETWORKDAYS(F23, TODAY(),Hoja2!$A$1:$A$18), NETWORKDAYS(F23, H23, Hoja2!$A$1:$A$18))</f>
        <v>1</v>
      </c>
      <c r="J23" s="518">
        <v>45572.0</v>
      </c>
      <c r="K23" s="518"/>
      <c r="L23" s="521"/>
      <c r="M23" s="434"/>
      <c r="N23" s="434"/>
      <c r="O23" s="434"/>
      <c r="P23" s="434"/>
      <c r="Q23" s="434"/>
      <c r="R23" s="434"/>
      <c r="S23" s="434"/>
      <c r="T23" s="434"/>
      <c r="U23" s="434"/>
      <c r="V23" s="434"/>
      <c r="W23" s="434"/>
      <c r="X23" s="434"/>
      <c r="Y23" s="434"/>
      <c r="Z23" s="434"/>
    </row>
    <row r="24" ht="15.0" customHeight="1">
      <c r="A24" s="517" t="s">
        <v>1537</v>
      </c>
      <c r="B24" s="526" t="s">
        <v>1686</v>
      </c>
      <c r="C24" s="529" t="s">
        <v>1721</v>
      </c>
      <c r="D24" s="517" t="s">
        <v>73</v>
      </c>
      <c r="E24" s="518">
        <v>45568.0</v>
      </c>
      <c r="F24" s="518">
        <v>45568.0</v>
      </c>
      <c r="G24" s="518">
        <v>45568.0</v>
      </c>
      <c r="H24" s="518">
        <v>45568.0</v>
      </c>
      <c r="I24" s="520">
        <f>IF(ISBLANK(H24), NETWORKDAYS(F24, TODAY(),Hoja2!$A$1:$A$18), NETWORKDAYS(F24, H24, Hoja2!$A$1:$A$18))</f>
        <v>1</v>
      </c>
      <c r="J24" s="518"/>
      <c r="K24" s="518"/>
      <c r="L24" s="521" t="s">
        <v>1722</v>
      </c>
      <c r="M24" s="420"/>
      <c r="N24" s="420"/>
      <c r="O24" s="420"/>
      <c r="P24" s="420"/>
      <c r="Q24" s="420"/>
      <c r="R24" s="420"/>
      <c r="S24" s="420"/>
      <c r="T24" s="420"/>
      <c r="U24" s="420"/>
      <c r="V24" s="420"/>
      <c r="W24" s="420"/>
      <c r="X24" s="420"/>
      <c r="Y24" s="420"/>
      <c r="Z24" s="420"/>
    </row>
    <row r="25" ht="15.0" customHeight="1">
      <c r="A25" s="552" t="s">
        <v>1436</v>
      </c>
      <c r="B25" s="539" t="s">
        <v>1723</v>
      </c>
      <c r="C25" s="553"/>
      <c r="D25" s="544" t="s">
        <v>212</v>
      </c>
      <c r="E25" s="542">
        <v>45572.0</v>
      </c>
      <c r="F25" s="542">
        <v>45573.0</v>
      </c>
      <c r="G25" s="544"/>
      <c r="H25" s="542">
        <v>45573.0</v>
      </c>
      <c r="I25" s="543">
        <f>IF(ISBLANK(H25), NETWORKDAYS(F25, TODAY(),Hoja2!$A$1:$A$18), NETWORKDAYS(F25, H25, Hoja2!$A$1:$A$18))</f>
        <v>1</v>
      </c>
      <c r="J25" s="542"/>
      <c r="K25" s="542">
        <v>45573.0</v>
      </c>
      <c r="L25" s="545" t="s">
        <v>1724</v>
      </c>
      <c r="M25" s="434"/>
      <c r="N25" s="434"/>
      <c r="O25" s="434"/>
      <c r="P25" s="434"/>
      <c r="Q25" s="434"/>
      <c r="R25" s="434"/>
      <c r="S25" s="434"/>
      <c r="T25" s="434"/>
      <c r="U25" s="434"/>
      <c r="V25" s="434"/>
      <c r="W25" s="434"/>
      <c r="X25" s="434"/>
      <c r="Y25" s="434"/>
      <c r="Z25" s="434"/>
    </row>
    <row r="26" ht="15.0" customHeight="1">
      <c r="A26" s="549" t="s">
        <v>1411</v>
      </c>
      <c r="B26" s="534"/>
      <c r="C26" s="516" t="s">
        <v>1725</v>
      </c>
      <c r="D26" s="517" t="s">
        <v>73</v>
      </c>
      <c r="E26" s="518">
        <v>45572.0</v>
      </c>
      <c r="F26" s="518">
        <v>45572.0</v>
      </c>
      <c r="G26" s="518"/>
      <c r="H26" s="518">
        <v>45572.0</v>
      </c>
      <c r="I26" s="520">
        <f>IF(ISBLANK(H26), NETWORKDAYS(F26, TODAY(),Hoja2!$A$1:$A$18), NETWORKDAYS(F26, H26, Hoja2!$A$1:$A$18))</f>
        <v>1</v>
      </c>
      <c r="J26" s="518">
        <v>45573.0</v>
      </c>
      <c r="K26" s="518"/>
      <c r="L26" s="532" t="s">
        <v>1726</v>
      </c>
      <c r="M26" s="420"/>
      <c r="N26" s="420"/>
      <c r="O26" s="420"/>
      <c r="P26" s="420"/>
      <c r="Q26" s="420"/>
      <c r="R26" s="420"/>
      <c r="S26" s="420"/>
      <c r="T26" s="420"/>
      <c r="U26" s="420"/>
      <c r="V26" s="420"/>
      <c r="W26" s="420"/>
      <c r="X26" s="420"/>
      <c r="Y26" s="420"/>
      <c r="Z26" s="420"/>
    </row>
    <row r="27" ht="15.0" customHeight="1">
      <c r="A27" s="554" t="s">
        <v>1418</v>
      </c>
      <c r="B27" s="555" t="s">
        <v>1727</v>
      </c>
      <c r="C27" s="556" t="s">
        <v>1728</v>
      </c>
      <c r="D27" s="348" t="s">
        <v>73</v>
      </c>
      <c r="E27" s="347">
        <v>45566.0</v>
      </c>
      <c r="F27" s="347">
        <v>45568.0</v>
      </c>
      <c r="G27" s="347">
        <v>45568.0</v>
      </c>
      <c r="H27" s="347">
        <v>45569.0</v>
      </c>
      <c r="I27" s="349">
        <f>IF(ISBLANK(H27), NETWORKDAYS(F27, TODAY(),Hoja2!$A$1:$A$18), NETWORKDAYS(F27, H27, Hoja2!$A$1:$A$18))</f>
        <v>2</v>
      </c>
      <c r="J27" s="347"/>
      <c r="K27" s="347"/>
      <c r="L27" s="350" t="s">
        <v>1729</v>
      </c>
      <c r="M27" s="337"/>
      <c r="N27" s="337"/>
      <c r="O27" s="337"/>
      <c r="P27" s="337"/>
      <c r="Q27" s="337"/>
      <c r="R27" s="337"/>
      <c r="S27" s="337"/>
      <c r="T27" s="337"/>
      <c r="U27" s="337"/>
      <c r="V27" s="337"/>
      <c r="W27" s="337"/>
      <c r="X27" s="337"/>
      <c r="Y27" s="337"/>
      <c r="Z27" s="337"/>
    </row>
    <row r="28" ht="15.0" customHeight="1">
      <c r="A28" s="557" t="s">
        <v>1689</v>
      </c>
      <c r="B28" s="558" t="s">
        <v>1730</v>
      </c>
      <c r="C28" s="559"/>
      <c r="D28" s="560" t="s">
        <v>73</v>
      </c>
      <c r="E28" s="561">
        <v>45572.0</v>
      </c>
      <c r="F28" s="562">
        <v>45573.0</v>
      </c>
      <c r="G28" s="561"/>
      <c r="H28" s="562">
        <v>45573.0</v>
      </c>
      <c r="I28" s="563">
        <f>IF(ISBLANK(H28), NETWORKDAYS(F28, TODAY(),Hoja2!$A$1:$A$18), NETWORKDAYS(F28, H28, Hoja2!$A$1:$A$18))</f>
        <v>1</v>
      </c>
      <c r="J28" s="561"/>
      <c r="K28" s="561"/>
      <c r="L28" s="564" t="s">
        <v>1731</v>
      </c>
      <c r="M28" s="337"/>
      <c r="N28" s="337"/>
      <c r="O28" s="337"/>
      <c r="P28" s="337"/>
      <c r="Q28" s="337"/>
      <c r="R28" s="337"/>
      <c r="S28" s="337"/>
      <c r="T28" s="337"/>
      <c r="U28" s="337"/>
      <c r="V28" s="337"/>
      <c r="W28" s="337"/>
      <c r="X28" s="337"/>
      <c r="Y28" s="337"/>
      <c r="Z28" s="337"/>
    </row>
    <row r="29" ht="15.0" customHeight="1">
      <c r="A29" s="557" t="s">
        <v>1689</v>
      </c>
      <c r="B29" s="565" t="s">
        <v>1709</v>
      </c>
      <c r="C29" s="566" t="s">
        <v>1732</v>
      </c>
      <c r="D29" s="348" t="s">
        <v>383</v>
      </c>
      <c r="E29" s="567">
        <v>45573.0</v>
      </c>
      <c r="F29" s="567">
        <v>45573.0</v>
      </c>
      <c r="G29" s="567">
        <v>45573.0</v>
      </c>
      <c r="H29" s="567">
        <v>45573.0</v>
      </c>
      <c r="I29" s="349">
        <f>IF(ISBLANK(H29), NETWORKDAYS(F29, TODAY(),Hoja2!$A$1:$A$18), NETWORKDAYS(F29, H29, Hoja2!$A$1:$A$18))</f>
        <v>1</v>
      </c>
      <c r="J29" s="567"/>
      <c r="K29" s="567"/>
      <c r="L29" s="568" t="s">
        <v>1733</v>
      </c>
      <c r="M29" s="343"/>
      <c r="N29" s="343"/>
      <c r="O29" s="343"/>
      <c r="P29" s="343"/>
      <c r="Q29" s="343"/>
      <c r="R29" s="343"/>
      <c r="S29" s="343"/>
      <c r="T29" s="343"/>
      <c r="U29" s="343"/>
      <c r="V29" s="343"/>
      <c r="W29" s="343"/>
      <c r="X29" s="343"/>
      <c r="Y29" s="343"/>
      <c r="Z29" s="343"/>
    </row>
    <row r="30" ht="15.75" customHeight="1">
      <c r="A30" s="569" t="s">
        <v>1426</v>
      </c>
      <c r="B30" s="566"/>
      <c r="C30" s="346" t="s">
        <v>1734</v>
      </c>
      <c r="D30" s="570" t="s">
        <v>1735</v>
      </c>
      <c r="E30" s="347">
        <v>45573.0</v>
      </c>
      <c r="F30" s="347">
        <v>45573.0</v>
      </c>
      <c r="G30" s="347"/>
      <c r="H30" s="347"/>
      <c r="I30" s="349"/>
      <c r="J30" s="347"/>
      <c r="K30" s="347"/>
      <c r="L30" s="571" t="s">
        <v>1736</v>
      </c>
      <c r="M30" s="337"/>
      <c r="N30" s="337"/>
      <c r="O30" s="337"/>
      <c r="P30" s="337"/>
      <c r="Q30" s="337"/>
      <c r="R30" s="337"/>
      <c r="S30" s="337"/>
      <c r="T30" s="337"/>
      <c r="U30" s="337"/>
      <c r="V30" s="337"/>
      <c r="W30" s="337"/>
      <c r="X30" s="337"/>
      <c r="Y30" s="337"/>
      <c r="Z30" s="337"/>
    </row>
    <row r="31" ht="15.75" customHeight="1">
      <c r="A31" s="554" t="s">
        <v>1436</v>
      </c>
      <c r="B31" s="572" t="s">
        <v>1737</v>
      </c>
      <c r="C31" s="556"/>
      <c r="D31" s="348" t="s">
        <v>73</v>
      </c>
      <c r="E31" s="347">
        <v>45574.0</v>
      </c>
      <c r="F31" s="347">
        <v>45574.0</v>
      </c>
      <c r="G31" s="347"/>
      <c r="H31" s="347">
        <v>45574.0</v>
      </c>
      <c r="I31" s="349">
        <f>IF(ISBLANK(H31), NETWORKDAYS(F31, TODAY(),Hoja2!$A$1:$A$18), NETWORKDAYS(F31, H31, Hoja2!$A$1:$A$18))</f>
        <v>1</v>
      </c>
      <c r="J31" s="347">
        <v>45574.0</v>
      </c>
      <c r="K31" s="347">
        <v>45574.0</v>
      </c>
      <c r="L31" s="350" t="s">
        <v>1738</v>
      </c>
      <c r="M31" s="573"/>
      <c r="N31" s="337"/>
      <c r="O31" s="337"/>
      <c r="P31" s="337"/>
      <c r="Q31" s="337"/>
      <c r="R31" s="337"/>
      <c r="S31" s="337"/>
      <c r="T31" s="337"/>
      <c r="U31" s="337"/>
      <c r="V31" s="337"/>
      <c r="W31" s="337"/>
      <c r="X31" s="337"/>
      <c r="Y31" s="337"/>
      <c r="Z31" s="337"/>
    </row>
    <row r="32" ht="15.75" customHeight="1">
      <c r="A32" s="554" t="s">
        <v>1436</v>
      </c>
      <c r="B32" s="566" t="s">
        <v>1739</v>
      </c>
      <c r="C32" s="556"/>
      <c r="D32" s="348" t="s">
        <v>73</v>
      </c>
      <c r="E32" s="347">
        <v>45574.0</v>
      </c>
      <c r="F32" s="347">
        <v>45574.0</v>
      </c>
      <c r="G32" s="347"/>
      <c r="H32" s="347">
        <v>45574.0</v>
      </c>
      <c r="I32" s="349">
        <f>IF(ISBLANK(H32), NETWORKDAYS(F32, TODAY(),Hoja2!$A$1:$A$18), NETWORKDAYS(F32, H32, Hoja2!$A$1:$A$18))</f>
        <v>1</v>
      </c>
      <c r="J32" s="347">
        <v>45574.0</v>
      </c>
      <c r="K32" s="347">
        <v>45574.0</v>
      </c>
      <c r="L32" s="350" t="s">
        <v>1740</v>
      </c>
      <c r="M32" s="574" t="s">
        <v>1741</v>
      </c>
      <c r="N32" s="337"/>
      <c r="O32" s="337"/>
      <c r="P32" s="337"/>
      <c r="Q32" s="337"/>
      <c r="R32" s="337"/>
      <c r="S32" s="337"/>
      <c r="T32" s="337"/>
      <c r="U32" s="337"/>
      <c r="V32" s="337"/>
      <c r="W32" s="337"/>
      <c r="X32" s="337"/>
      <c r="Y32" s="337"/>
      <c r="Z32" s="337"/>
    </row>
    <row r="33" ht="15.75" customHeight="1">
      <c r="A33" s="554" t="s">
        <v>1436</v>
      </c>
      <c r="B33" s="575" t="s">
        <v>1742</v>
      </c>
      <c r="C33" s="346" t="s">
        <v>1743</v>
      </c>
      <c r="D33" s="348" t="s">
        <v>73</v>
      </c>
      <c r="E33" s="347">
        <v>45572.0</v>
      </c>
      <c r="F33" s="347">
        <v>45572.0</v>
      </c>
      <c r="G33" s="347"/>
      <c r="H33" s="347">
        <v>45572.0</v>
      </c>
      <c r="I33" s="349">
        <f>IF(ISBLANK(H33), NETWORKDAYS(F33, TODAY(),Hoja2!$A$1:$A$18), NETWORKDAYS(F33, H33, Hoja2!$A$1:$A$18))</f>
        <v>1</v>
      </c>
      <c r="J33" s="347">
        <v>45574.0</v>
      </c>
      <c r="K33" s="347">
        <v>45574.0</v>
      </c>
      <c r="L33" s="350" t="s">
        <v>1744</v>
      </c>
      <c r="M33" s="574" t="s">
        <v>1745</v>
      </c>
      <c r="N33" s="337"/>
      <c r="O33" s="337"/>
      <c r="P33" s="337"/>
      <c r="Q33" s="337"/>
      <c r="R33" s="337"/>
      <c r="S33" s="337"/>
      <c r="T33" s="337"/>
      <c r="U33" s="337"/>
      <c r="V33" s="337"/>
      <c r="W33" s="337"/>
      <c r="X33" s="337"/>
      <c r="Y33" s="337"/>
      <c r="Z33" s="337"/>
    </row>
    <row r="34" ht="15.75" customHeight="1">
      <c r="A34" s="554" t="s">
        <v>1436</v>
      </c>
      <c r="B34" s="576" t="s">
        <v>1746</v>
      </c>
      <c r="C34" s="346" t="s">
        <v>1747</v>
      </c>
      <c r="D34" s="348" t="s">
        <v>73</v>
      </c>
      <c r="E34" s="347">
        <v>45567.0</v>
      </c>
      <c r="F34" s="347">
        <v>45567.0</v>
      </c>
      <c r="G34" s="347">
        <v>45569.0</v>
      </c>
      <c r="H34" s="347">
        <v>45568.0</v>
      </c>
      <c r="I34" s="349">
        <f>IF(ISBLANK(H34), NETWORKDAYS(F34, TODAY(),Hoja2!$A$1:$A$18), NETWORKDAYS(F34, H34, Hoja2!$A$1:$A$18))</f>
        <v>2</v>
      </c>
      <c r="J34" s="347">
        <v>45569.0</v>
      </c>
      <c r="K34" s="347"/>
      <c r="L34" s="350" t="s">
        <v>1748</v>
      </c>
      <c r="M34" s="573"/>
      <c r="N34" s="337"/>
      <c r="O34" s="337"/>
      <c r="P34" s="337"/>
      <c r="Q34" s="337"/>
      <c r="R34" s="337"/>
      <c r="S34" s="337"/>
      <c r="T34" s="337"/>
      <c r="U34" s="337"/>
      <c r="V34" s="337"/>
      <c r="W34" s="337"/>
      <c r="X34" s="337"/>
      <c r="Y34" s="337"/>
      <c r="Z34" s="337"/>
    </row>
    <row r="35" ht="15.75" customHeight="1">
      <c r="A35" s="577" t="s">
        <v>1436</v>
      </c>
      <c r="B35" s="578"/>
      <c r="C35" s="579" t="s">
        <v>1749</v>
      </c>
      <c r="D35" s="580" t="s">
        <v>73</v>
      </c>
      <c r="E35" s="581">
        <v>45567.0</v>
      </c>
      <c r="F35" s="581">
        <v>45567.0</v>
      </c>
      <c r="G35" s="581">
        <v>45569.0</v>
      </c>
      <c r="H35" s="581">
        <v>45568.0</v>
      </c>
      <c r="I35" s="582">
        <f>IF(ISBLANK(H35), NETWORKDAYS(F35, TODAY(),Hoja2!$A$1:$A$18), NETWORKDAYS(F35, H35, Hoja2!$A$1:$A$18))</f>
        <v>2</v>
      </c>
      <c r="J35" s="581">
        <v>45569.0</v>
      </c>
      <c r="K35" s="581"/>
      <c r="L35" s="583" t="s">
        <v>1750</v>
      </c>
      <c r="M35" s="573"/>
      <c r="N35" s="337"/>
      <c r="O35" s="337"/>
      <c r="P35" s="337"/>
      <c r="Q35" s="337"/>
      <c r="R35" s="337"/>
      <c r="S35" s="337"/>
      <c r="T35" s="337"/>
      <c r="U35" s="337"/>
      <c r="V35" s="337"/>
      <c r="W35" s="337"/>
      <c r="X35" s="337"/>
      <c r="Y35" s="337"/>
      <c r="Z35" s="337"/>
    </row>
    <row r="36" ht="15.75" customHeight="1">
      <c r="A36" s="554" t="s">
        <v>1436</v>
      </c>
      <c r="B36" s="336" t="s">
        <v>1677</v>
      </c>
      <c r="C36" s="556" t="s">
        <v>1751</v>
      </c>
      <c r="D36" s="348" t="s">
        <v>73</v>
      </c>
      <c r="E36" s="347">
        <v>45567.0</v>
      </c>
      <c r="F36" s="347">
        <v>45567.0</v>
      </c>
      <c r="G36" s="347">
        <v>45569.0</v>
      </c>
      <c r="H36" s="347">
        <v>45569.0</v>
      </c>
      <c r="I36" s="349">
        <f>IF(ISBLANK(H36), NETWORKDAYS(F36, TODAY(),Hoja2!$A$1:$A$18), NETWORKDAYS(F36, H36, Hoja2!$A$1:$A$18))</f>
        <v>3</v>
      </c>
      <c r="J36" s="347">
        <v>45569.0</v>
      </c>
      <c r="K36" s="347"/>
      <c r="L36" s="350" t="s">
        <v>1750</v>
      </c>
      <c r="M36" s="573"/>
      <c r="N36" s="337"/>
      <c r="O36" s="337"/>
      <c r="P36" s="337"/>
      <c r="Q36" s="337"/>
      <c r="R36" s="337"/>
      <c r="S36" s="337"/>
      <c r="T36" s="337"/>
      <c r="U36" s="337"/>
      <c r="V36" s="337"/>
      <c r="W36" s="337"/>
      <c r="X36" s="337"/>
      <c r="Y36" s="337"/>
      <c r="Z36" s="337"/>
    </row>
    <row r="37" ht="15.75" customHeight="1">
      <c r="A37" s="557" t="s">
        <v>1689</v>
      </c>
      <c r="B37" s="584" t="s">
        <v>1709</v>
      </c>
      <c r="C37" s="585" t="s">
        <v>1752</v>
      </c>
      <c r="D37" s="586" t="s">
        <v>73</v>
      </c>
      <c r="E37" s="587">
        <v>45572.0</v>
      </c>
      <c r="F37" s="587">
        <v>45572.0</v>
      </c>
      <c r="G37" s="562"/>
      <c r="H37" s="587">
        <v>45574.0</v>
      </c>
      <c r="I37" s="563">
        <f>IF(ISBLANK(H37), NETWORKDAYS(F37, TODAY(),Hoja2!$A$1:$A$18), NETWORKDAYS(F37, H37, Hoja2!$A$1:$A$18))</f>
        <v>3</v>
      </c>
      <c r="J37" s="587">
        <v>45574.0</v>
      </c>
      <c r="K37" s="562"/>
      <c r="L37" s="588" t="s">
        <v>1753</v>
      </c>
      <c r="M37" s="343"/>
      <c r="N37" s="343"/>
      <c r="O37" s="343"/>
      <c r="P37" s="343"/>
      <c r="Q37" s="343"/>
      <c r="R37" s="343"/>
      <c r="S37" s="343"/>
      <c r="T37" s="343"/>
      <c r="U37" s="343"/>
      <c r="V37" s="343"/>
      <c r="W37" s="343"/>
      <c r="X37" s="343"/>
      <c r="Y37" s="343"/>
      <c r="Z37" s="343"/>
    </row>
    <row r="38" ht="15.75" customHeight="1">
      <c r="A38" s="589" t="s">
        <v>1689</v>
      </c>
      <c r="B38" s="584" t="s">
        <v>1709</v>
      </c>
      <c r="C38" s="559" t="s">
        <v>1754</v>
      </c>
      <c r="D38" s="580" t="s">
        <v>73</v>
      </c>
      <c r="E38" s="342">
        <v>45572.0</v>
      </c>
      <c r="F38" s="342">
        <v>45572.0</v>
      </c>
      <c r="G38" s="342">
        <v>45573.0</v>
      </c>
      <c r="H38" s="342">
        <v>45575.0</v>
      </c>
      <c r="I38" s="582">
        <f>IF(ISBLANK(H38), NETWORKDAYS(F38, TODAY(),Hoja2!$A$1:$A$18), NETWORKDAYS(F38, H38, Hoja2!$A$1:$A$18))</f>
        <v>4</v>
      </c>
      <c r="J38" s="590"/>
      <c r="K38" s="590"/>
      <c r="L38" s="591" t="s">
        <v>1755</v>
      </c>
      <c r="M38" s="343"/>
      <c r="N38" s="343"/>
      <c r="O38" s="343"/>
      <c r="P38" s="343"/>
      <c r="Q38" s="343"/>
      <c r="R38" s="343"/>
      <c r="S38" s="343"/>
      <c r="T38" s="343"/>
      <c r="U38" s="343"/>
      <c r="V38" s="343"/>
      <c r="W38" s="343"/>
      <c r="X38" s="343"/>
      <c r="Y38" s="343"/>
      <c r="Z38" s="343"/>
    </row>
    <row r="39" ht="15.75" customHeight="1">
      <c r="A39" s="592" t="s">
        <v>1426</v>
      </c>
      <c r="B39" s="345" t="s">
        <v>1756</v>
      </c>
      <c r="C39" s="556" t="s">
        <v>1757</v>
      </c>
      <c r="D39" s="348" t="s">
        <v>73</v>
      </c>
      <c r="E39" s="347">
        <v>45574.0</v>
      </c>
      <c r="F39" s="347">
        <v>45576.0</v>
      </c>
      <c r="G39" s="347"/>
      <c r="H39" s="347">
        <v>45576.0</v>
      </c>
      <c r="I39" s="349">
        <f>IF(ISBLANK(H39), NETWORKDAYS(F39, TODAY(),Hoja2!$A$1:$A$18), NETWORKDAYS(F39, H39, Hoja2!$A$1:$A$18))</f>
        <v>1</v>
      </c>
      <c r="J39" s="347"/>
      <c r="K39" s="347"/>
      <c r="L39" s="350" t="s">
        <v>1758</v>
      </c>
      <c r="M39" s="337"/>
      <c r="N39" s="337"/>
      <c r="O39" s="337"/>
      <c r="P39" s="337"/>
      <c r="Q39" s="337"/>
      <c r="R39" s="337"/>
      <c r="S39" s="337"/>
      <c r="T39" s="337"/>
      <c r="U39" s="337"/>
      <c r="V39" s="337"/>
      <c r="W39" s="337"/>
      <c r="X39" s="337"/>
      <c r="Y39" s="337"/>
      <c r="Z39" s="337"/>
    </row>
    <row r="40" ht="15.75" customHeight="1">
      <c r="A40" s="554" t="s">
        <v>1411</v>
      </c>
      <c r="B40" s="345" t="s">
        <v>1415</v>
      </c>
      <c r="C40" s="556" t="s">
        <v>1759</v>
      </c>
      <c r="D40" s="570" t="s">
        <v>73</v>
      </c>
      <c r="E40" s="347">
        <v>45560.0</v>
      </c>
      <c r="F40" s="347">
        <v>45572.0</v>
      </c>
      <c r="G40" s="347"/>
      <c r="H40" s="347">
        <v>45573.0</v>
      </c>
      <c r="I40" s="349">
        <f>IF(ISBLANK(H40), NETWORKDAYS(F40, TODAY(),Hoja2!$A$1:$A$18), NETWORKDAYS(F40, H40, Hoja2!$A$1:$A$18))</f>
        <v>2</v>
      </c>
      <c r="J40" s="347">
        <v>45573.0</v>
      </c>
      <c r="K40" s="347"/>
      <c r="L40" s="571" t="s">
        <v>1760</v>
      </c>
      <c r="M40" s="337"/>
      <c r="N40" s="337"/>
      <c r="O40" s="337"/>
      <c r="P40" s="337"/>
      <c r="Q40" s="337"/>
      <c r="R40" s="337"/>
      <c r="S40" s="337"/>
      <c r="T40" s="337"/>
      <c r="U40" s="337"/>
      <c r="V40" s="337"/>
      <c r="W40" s="337"/>
      <c r="X40" s="337"/>
      <c r="Y40" s="337"/>
      <c r="Z40" s="337"/>
    </row>
    <row r="41" ht="15.75" customHeight="1">
      <c r="A41" s="554" t="s">
        <v>1411</v>
      </c>
      <c r="B41" s="593" t="s">
        <v>1761</v>
      </c>
      <c r="C41" s="346" t="s">
        <v>1762</v>
      </c>
      <c r="D41" s="594" t="s">
        <v>73</v>
      </c>
      <c r="E41" s="347">
        <v>45575.0</v>
      </c>
      <c r="F41" s="347">
        <v>45576.0</v>
      </c>
      <c r="G41" s="347">
        <v>45581.0</v>
      </c>
      <c r="H41" s="347">
        <v>45576.0</v>
      </c>
      <c r="I41" s="349">
        <f>IF(ISBLANK(H41), NETWORKDAYS(F41, TODAY(),Hoja2!$A$1:$A$18), NETWORKDAYS(F41, H41, Hoja2!$A$1:$A$18))</f>
        <v>1</v>
      </c>
      <c r="J41" s="347">
        <v>45576.0</v>
      </c>
      <c r="K41" s="347">
        <v>45576.0</v>
      </c>
      <c r="L41" s="350" t="s">
        <v>1763</v>
      </c>
      <c r="M41" s="337"/>
      <c r="N41" s="337"/>
      <c r="O41" s="337"/>
      <c r="P41" s="337"/>
      <c r="Q41" s="337"/>
      <c r="R41" s="337"/>
      <c r="S41" s="337"/>
      <c r="T41" s="337"/>
      <c r="U41" s="337"/>
      <c r="V41" s="337"/>
      <c r="W41" s="337"/>
      <c r="X41" s="337"/>
      <c r="Y41" s="337"/>
      <c r="Z41" s="337"/>
    </row>
    <row r="42" ht="15.75" customHeight="1">
      <c r="A42" s="557" t="s">
        <v>1689</v>
      </c>
      <c r="B42" s="595" t="s">
        <v>1764</v>
      </c>
      <c r="C42" s="596"/>
      <c r="D42" s="597" t="s">
        <v>1765</v>
      </c>
      <c r="E42" s="562">
        <v>45573.0</v>
      </c>
      <c r="F42" s="562">
        <v>45574.0</v>
      </c>
      <c r="G42" s="596"/>
      <c r="H42" s="562">
        <v>45574.0</v>
      </c>
      <c r="I42" s="563">
        <f>IF(ISBLANK(H42), NETWORKDAYS(F42, TODAY(),Hoja2!$A$1:$A$18), NETWORKDAYS(F42, H42, Hoja2!$A$1:$A$18))</f>
        <v>1</v>
      </c>
      <c r="J42" s="562">
        <v>45574.0</v>
      </c>
      <c r="K42" s="562">
        <v>45575.0</v>
      </c>
      <c r="L42" s="598" t="s">
        <v>1766</v>
      </c>
      <c r="M42" s="343"/>
      <c r="N42" s="343"/>
      <c r="O42" s="343"/>
      <c r="P42" s="343"/>
      <c r="Q42" s="343"/>
      <c r="R42" s="343"/>
      <c r="S42" s="343"/>
      <c r="T42" s="343"/>
      <c r="U42" s="343"/>
      <c r="V42" s="343"/>
      <c r="W42" s="343"/>
      <c r="X42" s="343"/>
      <c r="Y42" s="343"/>
      <c r="Z42" s="343"/>
    </row>
    <row r="43" ht="15.75" customHeight="1">
      <c r="A43" s="599" t="s">
        <v>1426</v>
      </c>
      <c r="B43" s="600" t="s">
        <v>1756</v>
      </c>
      <c r="C43" s="601" t="s">
        <v>1767</v>
      </c>
      <c r="D43" s="602" t="s">
        <v>73</v>
      </c>
      <c r="E43" s="379">
        <v>45576.0</v>
      </c>
      <c r="F43" s="379">
        <v>45576.0</v>
      </c>
      <c r="G43" s="379"/>
      <c r="H43" s="379">
        <v>45576.0</v>
      </c>
      <c r="I43" s="357">
        <f>IF(ISBLANK(H43), NETWORKDAYS(F43, TODAY(),Hoja2!$A$1:$A$18), NETWORKDAYS(F43, H43, Hoja2!$A$1:$A$18))</f>
        <v>1</v>
      </c>
      <c r="J43" s="379">
        <v>45580.0</v>
      </c>
      <c r="K43" s="379"/>
      <c r="L43" s="603" t="s">
        <v>1768</v>
      </c>
      <c r="M43" s="337"/>
      <c r="N43" s="337"/>
      <c r="O43" s="337"/>
      <c r="P43" s="337"/>
      <c r="Q43" s="337"/>
      <c r="R43" s="337"/>
      <c r="S43" s="337"/>
      <c r="T43" s="337"/>
      <c r="U43" s="337"/>
      <c r="V43" s="337"/>
      <c r="W43" s="337"/>
      <c r="X43" s="337"/>
      <c r="Y43" s="337"/>
      <c r="Z43" s="337"/>
    </row>
    <row r="44" ht="15.75" customHeight="1">
      <c r="A44" s="599" t="s">
        <v>1426</v>
      </c>
      <c r="B44" s="604" t="s">
        <v>1769</v>
      </c>
      <c r="C44" s="602" t="s">
        <v>1770</v>
      </c>
      <c r="D44" s="354" t="s">
        <v>73</v>
      </c>
      <c r="E44" s="379">
        <v>45561.0</v>
      </c>
      <c r="F44" s="379">
        <v>45569.0</v>
      </c>
      <c r="G44" s="379">
        <v>45572.0</v>
      </c>
      <c r="H44" s="379">
        <v>45572.0</v>
      </c>
      <c r="I44" s="357">
        <f>IF(ISBLANK(H44), NETWORKDAYS(F44, TODAY(),Hoja2!$A$1:$A$18), NETWORKDAYS(F44, H44, Hoja2!$A$1:$A$18))</f>
        <v>2</v>
      </c>
      <c r="J44" s="379">
        <v>45580.0</v>
      </c>
      <c r="K44" s="379"/>
      <c r="L44" s="603" t="s">
        <v>1771</v>
      </c>
      <c r="M44" s="337"/>
      <c r="N44" s="337"/>
      <c r="O44" s="337"/>
      <c r="P44" s="337"/>
      <c r="Q44" s="337"/>
      <c r="R44" s="337"/>
      <c r="S44" s="337"/>
      <c r="T44" s="337"/>
      <c r="U44" s="337"/>
      <c r="V44" s="337"/>
      <c r="W44" s="337"/>
      <c r="X44" s="337"/>
      <c r="Y44" s="337"/>
      <c r="Z44" s="337"/>
    </row>
    <row r="45" ht="15.75" customHeight="1">
      <c r="A45" s="592" t="s">
        <v>1689</v>
      </c>
      <c r="B45" s="605" t="s">
        <v>1709</v>
      </c>
      <c r="C45" s="346" t="s">
        <v>1772</v>
      </c>
      <c r="D45" s="348" t="s">
        <v>73</v>
      </c>
      <c r="E45" s="347">
        <v>45576.0</v>
      </c>
      <c r="F45" s="347">
        <v>45576.0</v>
      </c>
      <c r="G45" s="347">
        <v>45580.0</v>
      </c>
      <c r="H45" s="347">
        <v>45576.0</v>
      </c>
      <c r="I45" s="349">
        <f>IF(ISBLANK(H45), NETWORKDAYS(F45, TODAY(),Hoja2!$A$1:$A$18), NETWORKDAYS(F45, H45, Hoja2!$A$1:$A$18))</f>
        <v>1</v>
      </c>
      <c r="J45" s="347">
        <v>45580.0</v>
      </c>
      <c r="K45" s="347"/>
      <c r="L45" s="350"/>
      <c r="M45" s="573"/>
      <c r="N45" s="337"/>
      <c r="O45" s="337"/>
      <c r="P45" s="337"/>
      <c r="Q45" s="337"/>
      <c r="R45" s="337"/>
      <c r="S45" s="337"/>
      <c r="T45" s="337"/>
      <c r="U45" s="337"/>
      <c r="V45" s="337"/>
      <c r="W45" s="337"/>
      <c r="X45" s="337"/>
      <c r="Y45" s="337"/>
      <c r="Z45" s="337"/>
    </row>
    <row r="46" ht="15.75" customHeight="1">
      <c r="A46" s="592" t="s">
        <v>1689</v>
      </c>
      <c r="B46" s="605" t="s">
        <v>1709</v>
      </c>
      <c r="C46" s="606" t="s">
        <v>1773</v>
      </c>
      <c r="D46" s="348" t="s">
        <v>73</v>
      </c>
      <c r="E46" s="347">
        <v>45576.0</v>
      </c>
      <c r="F46" s="347">
        <v>45576.0</v>
      </c>
      <c r="G46" s="347">
        <v>45580.0</v>
      </c>
      <c r="H46" s="347">
        <v>45576.0</v>
      </c>
      <c r="I46" s="349">
        <f>IF(ISBLANK(H46), NETWORKDAYS(F46, TODAY(),Hoja2!$A$1:$A$18), NETWORKDAYS(F46, H46, Hoja2!$A$1:$A$18))</f>
        <v>1</v>
      </c>
      <c r="J46" s="567">
        <v>45580.0</v>
      </c>
      <c r="K46" s="607"/>
      <c r="L46" s="607" t="s">
        <v>1774</v>
      </c>
      <c r="M46" s="608"/>
      <c r="N46" s="343"/>
      <c r="O46" s="343"/>
      <c r="P46" s="343"/>
      <c r="Q46" s="343"/>
      <c r="R46" s="343"/>
      <c r="S46" s="343"/>
      <c r="T46" s="343"/>
      <c r="U46" s="343"/>
      <c r="V46" s="343"/>
      <c r="W46" s="343"/>
      <c r="X46" s="343"/>
      <c r="Y46" s="343"/>
      <c r="Z46" s="343"/>
    </row>
    <row r="47" ht="15.75" customHeight="1">
      <c r="A47" s="599" t="s">
        <v>1426</v>
      </c>
      <c r="B47" s="600" t="s">
        <v>1775</v>
      </c>
      <c r="C47" s="601" t="s">
        <v>1776</v>
      </c>
      <c r="D47" s="602" t="s">
        <v>73</v>
      </c>
      <c r="E47" s="379">
        <v>45580.0</v>
      </c>
      <c r="F47" s="379">
        <v>45580.0</v>
      </c>
      <c r="G47" s="379"/>
      <c r="H47" s="379">
        <v>45580.0</v>
      </c>
      <c r="I47" s="357">
        <f>IF(ISBLANK(H47), NETWORKDAYS(F47, TODAY(),Hoja2!$A$1:$A$18), NETWORKDAYS(F47, H47, Hoja2!$A$1:$A$18))</f>
        <v>1</v>
      </c>
      <c r="J47" s="379">
        <v>45580.0</v>
      </c>
      <c r="K47" s="379"/>
      <c r="L47" s="603" t="s">
        <v>1777</v>
      </c>
      <c r="M47" s="337"/>
      <c r="N47" s="337"/>
      <c r="O47" s="337"/>
      <c r="P47" s="337"/>
      <c r="Q47" s="337"/>
      <c r="R47" s="337"/>
      <c r="S47" s="337"/>
      <c r="T47" s="337"/>
      <c r="U47" s="337"/>
      <c r="V47" s="337"/>
      <c r="W47" s="337"/>
      <c r="X47" s="337"/>
      <c r="Y47" s="337"/>
      <c r="Z47" s="337"/>
    </row>
    <row r="48" ht="15.75" customHeight="1">
      <c r="A48" s="592" t="s">
        <v>1689</v>
      </c>
      <c r="B48" s="605" t="s">
        <v>1709</v>
      </c>
      <c r="C48" s="606" t="s">
        <v>1778</v>
      </c>
      <c r="D48" s="348" t="s">
        <v>73</v>
      </c>
      <c r="E48" s="581">
        <v>45576.0</v>
      </c>
      <c r="F48" s="581">
        <v>45576.0</v>
      </c>
      <c r="G48" s="581">
        <v>45580.0</v>
      </c>
      <c r="H48" s="581">
        <v>45576.0</v>
      </c>
      <c r="I48" s="582">
        <f>IF(ISBLANK(H48), NETWORKDAYS(F48, TODAY(),Hoja2!$A$1:$A$18), NETWORKDAYS(F48, H48, Hoja2!$A$1:$A$18))</f>
        <v>1</v>
      </c>
      <c r="J48" s="340"/>
      <c r="K48" s="340"/>
      <c r="L48" s="609" t="s">
        <v>1779</v>
      </c>
      <c r="M48" s="608"/>
      <c r="N48" s="343"/>
      <c r="O48" s="343"/>
      <c r="P48" s="343"/>
      <c r="Q48" s="343"/>
      <c r="R48" s="343"/>
      <c r="S48" s="343"/>
      <c r="T48" s="343"/>
      <c r="U48" s="343"/>
      <c r="V48" s="343"/>
      <c r="W48" s="343"/>
      <c r="X48" s="343"/>
      <c r="Y48" s="343"/>
      <c r="Z48" s="343"/>
    </row>
    <row r="49" ht="15.75" customHeight="1">
      <c r="A49" s="592" t="s">
        <v>1689</v>
      </c>
      <c r="B49" s="605" t="s">
        <v>1709</v>
      </c>
      <c r="C49" s="610" t="s">
        <v>1780</v>
      </c>
      <c r="D49" s="611" t="s">
        <v>73</v>
      </c>
      <c r="E49" s="347">
        <v>45580.0</v>
      </c>
      <c r="F49" s="347">
        <v>45580.0</v>
      </c>
      <c r="G49" s="347"/>
      <c r="H49" s="347">
        <v>45581.0</v>
      </c>
      <c r="I49" s="349">
        <f>IF(ISBLANK(H49), NETWORKDAYS(F49, TODAY(),Hoja2!$A$1:$A$18), NETWORKDAYS(F49, H49, Hoja2!$A$1:$A$18))</f>
        <v>2</v>
      </c>
      <c r="J49" s="607"/>
      <c r="K49" s="607"/>
      <c r="L49" s="607"/>
      <c r="M49" s="608"/>
      <c r="N49" s="343"/>
      <c r="O49" s="343"/>
      <c r="P49" s="343"/>
      <c r="Q49" s="343"/>
      <c r="R49" s="343"/>
      <c r="S49" s="343"/>
      <c r="T49" s="343"/>
      <c r="U49" s="343"/>
      <c r="V49" s="343"/>
      <c r="W49" s="343"/>
      <c r="X49" s="343"/>
      <c r="Y49" s="343"/>
      <c r="Z49" s="343"/>
    </row>
    <row r="50" ht="15.75" customHeight="1">
      <c r="A50" s="569" t="s">
        <v>1689</v>
      </c>
      <c r="B50" s="565" t="s">
        <v>1709</v>
      </c>
      <c r="C50" s="609" t="s">
        <v>1781</v>
      </c>
      <c r="D50" s="341" t="s">
        <v>73</v>
      </c>
      <c r="E50" s="581">
        <v>45576.0</v>
      </c>
      <c r="F50" s="581">
        <v>45581.0</v>
      </c>
      <c r="G50" s="581"/>
      <c r="H50" s="581">
        <v>45582.0</v>
      </c>
      <c r="I50" s="582">
        <f>IF(ISBLANK(H50), NETWORKDAYS(F50, TODAY(),Hoja2!$A$1:$A$18), NETWORKDAYS(F50, H50, Hoja2!$A$1:$A$18))</f>
        <v>2</v>
      </c>
      <c r="J50" s="581">
        <v>45582.0</v>
      </c>
      <c r="K50" s="340"/>
      <c r="L50" s="340" t="s">
        <v>1782</v>
      </c>
      <c r="M50" s="608"/>
      <c r="N50" s="343"/>
      <c r="O50" s="343"/>
      <c r="P50" s="343"/>
      <c r="Q50" s="343"/>
      <c r="R50" s="343"/>
      <c r="S50" s="343"/>
      <c r="T50" s="343"/>
      <c r="U50" s="343"/>
      <c r="V50" s="343"/>
      <c r="W50" s="343"/>
      <c r="X50" s="343"/>
      <c r="Y50" s="343"/>
      <c r="Z50" s="343"/>
      <c r="AA50" s="382"/>
      <c r="AB50" s="382"/>
      <c r="AC50" s="382"/>
      <c r="AD50" s="382"/>
      <c r="AE50" s="382"/>
      <c r="AF50" s="382"/>
      <c r="AG50" s="382"/>
    </row>
    <row r="51" ht="15.75" customHeight="1">
      <c r="A51" s="375" t="s">
        <v>1418</v>
      </c>
      <c r="B51" s="604" t="s">
        <v>1756</v>
      </c>
      <c r="C51" s="601" t="s">
        <v>1783</v>
      </c>
      <c r="D51" s="602" t="s">
        <v>73</v>
      </c>
      <c r="E51" s="379">
        <v>45581.0</v>
      </c>
      <c r="F51" s="379">
        <v>45582.0</v>
      </c>
      <c r="G51" s="379"/>
      <c r="H51" s="379">
        <v>45583.0</v>
      </c>
      <c r="I51" s="357">
        <f>IF(ISBLANK(H51), NETWORKDAYS(F51, TODAY(),Hoja2!$A$1:$A$18), NETWORKDAYS(F51, H51, Hoja2!$A$1:$A$18))</f>
        <v>2</v>
      </c>
      <c r="J51" s="379"/>
      <c r="K51" s="379"/>
      <c r="L51" s="603" t="s">
        <v>1784</v>
      </c>
      <c r="M51" s="573"/>
      <c r="N51" s="337"/>
      <c r="O51" s="337"/>
      <c r="P51" s="337"/>
      <c r="Q51" s="337"/>
      <c r="R51" s="337"/>
      <c r="S51" s="337"/>
      <c r="T51" s="337"/>
      <c r="U51" s="337"/>
      <c r="V51" s="337"/>
      <c r="W51" s="337"/>
      <c r="X51" s="337"/>
      <c r="Y51" s="337"/>
      <c r="Z51" s="337"/>
    </row>
    <row r="52" ht="15.75" customHeight="1">
      <c r="A52" s="336" t="s">
        <v>1411</v>
      </c>
      <c r="B52" s="555" t="s">
        <v>1415</v>
      </c>
      <c r="C52" s="612" t="s">
        <v>1785</v>
      </c>
      <c r="D52" s="613" t="s">
        <v>383</v>
      </c>
      <c r="E52" s="614">
        <v>45582.0</v>
      </c>
      <c r="F52" s="615">
        <v>45582.0</v>
      </c>
      <c r="G52" s="615"/>
      <c r="H52" s="615">
        <v>45582.0</v>
      </c>
      <c r="I52" s="563">
        <f>IF(ISBLANK(H52), NETWORKDAYS(F52, TODAY(),Hoja2!$A$1:$A$18), NETWORKDAYS(F52, H52, Hoja2!$A$1:$A$18))</f>
        <v>1</v>
      </c>
      <c r="J52" s="615">
        <v>45582.0</v>
      </c>
      <c r="K52" s="615"/>
      <c r="L52" s="616" t="s">
        <v>1786</v>
      </c>
      <c r="M52" s="337"/>
      <c r="N52" s="337"/>
      <c r="O52" s="337"/>
      <c r="P52" s="337"/>
      <c r="Q52" s="337"/>
      <c r="R52" s="337"/>
      <c r="S52" s="337"/>
      <c r="T52" s="337"/>
      <c r="U52" s="337"/>
      <c r="V52" s="337"/>
      <c r="W52" s="337"/>
      <c r="X52" s="337"/>
      <c r="Y52" s="337"/>
      <c r="Z52" s="337"/>
      <c r="AA52" s="382"/>
      <c r="AB52" s="382"/>
      <c r="AC52" s="382"/>
      <c r="AD52" s="382"/>
      <c r="AE52" s="382"/>
      <c r="AF52" s="382"/>
      <c r="AG52" s="382"/>
    </row>
    <row r="53" ht="15.75" customHeight="1">
      <c r="A53" s="336" t="s">
        <v>1411</v>
      </c>
      <c r="B53" s="555" t="s">
        <v>1415</v>
      </c>
      <c r="C53" s="612" t="s">
        <v>1787</v>
      </c>
      <c r="D53" s="586" t="s">
        <v>73</v>
      </c>
      <c r="E53" s="617">
        <v>45560.0</v>
      </c>
      <c r="F53" s="618">
        <v>45572.0</v>
      </c>
      <c r="G53" s="618"/>
      <c r="H53" s="618">
        <v>45574.0</v>
      </c>
      <c r="I53" s="563">
        <f>IF(ISBLANK(H53), NETWORKDAYS(F53, TODAY(),Hoja2!$A$1:$A$18), NETWORKDAYS(F53, H53, Hoja2!$A$1:$A$18))</f>
        <v>3</v>
      </c>
      <c r="J53" s="615">
        <v>45582.0</v>
      </c>
      <c r="K53" s="618"/>
      <c r="L53" s="619" t="s">
        <v>1788</v>
      </c>
      <c r="M53" s="337"/>
      <c r="N53" s="337"/>
      <c r="O53" s="337"/>
      <c r="P53" s="337"/>
      <c r="Q53" s="337"/>
      <c r="R53" s="337"/>
      <c r="S53" s="337"/>
      <c r="T53" s="337"/>
      <c r="U53" s="337"/>
      <c r="V53" s="337"/>
      <c r="W53" s="337"/>
      <c r="X53" s="337"/>
      <c r="Y53" s="337"/>
      <c r="Z53" s="337"/>
    </row>
    <row r="54" ht="15.75" customHeight="1">
      <c r="A54" s="572" t="s">
        <v>1689</v>
      </c>
      <c r="B54" s="345" t="s">
        <v>1709</v>
      </c>
      <c r="C54" s="598" t="s">
        <v>1789</v>
      </c>
      <c r="D54" s="570" t="s">
        <v>73</v>
      </c>
      <c r="E54" s="347">
        <v>45583.0</v>
      </c>
      <c r="F54" s="620">
        <v>45583.0</v>
      </c>
      <c r="G54" s="347"/>
      <c r="H54" s="347">
        <v>45586.0</v>
      </c>
      <c r="I54" s="349">
        <f>IF(ISBLANK(H54), NETWORKDAYS(F54, TODAY(),Hoja2!$A$1:$A$18), NETWORKDAYS(F54, H54, Hoja2!$A$1:$A$18))</f>
        <v>2</v>
      </c>
      <c r="J54" s="347">
        <v>45586.0</v>
      </c>
      <c r="K54" s="607"/>
      <c r="L54" s="607" t="s">
        <v>1790</v>
      </c>
      <c r="M54" s="608"/>
      <c r="N54" s="343"/>
      <c r="O54" s="343"/>
      <c r="P54" s="343"/>
      <c r="Q54" s="343"/>
      <c r="R54" s="343"/>
      <c r="S54" s="343"/>
      <c r="T54" s="343"/>
      <c r="U54" s="343"/>
      <c r="V54" s="343"/>
      <c r="W54" s="343"/>
      <c r="X54" s="343"/>
      <c r="Y54" s="343"/>
      <c r="Z54" s="343"/>
    </row>
    <row r="55" ht="15.75" customHeight="1">
      <c r="A55" s="575" t="s">
        <v>1689</v>
      </c>
      <c r="B55" s="605" t="s">
        <v>1709</v>
      </c>
      <c r="C55" s="621" t="s">
        <v>1791</v>
      </c>
      <c r="D55" s="341" t="s">
        <v>73</v>
      </c>
      <c r="E55" s="617">
        <v>45583.0</v>
      </c>
      <c r="F55" s="618">
        <v>45583.0</v>
      </c>
      <c r="G55" s="618"/>
      <c r="H55" s="618">
        <v>45583.0</v>
      </c>
      <c r="I55" s="563">
        <f>IF(ISBLANK(H55), NETWORKDAYS(F55, TODAY(),Hoja2!$A$1:$A$18), NETWORKDAYS(F55, H55, Hoja2!$A$1:$A$18))</f>
        <v>1</v>
      </c>
      <c r="J55" s="618">
        <v>45583.0</v>
      </c>
      <c r="K55" s="596"/>
      <c r="L55" s="596"/>
      <c r="M55" s="608"/>
      <c r="N55" s="343"/>
      <c r="O55" s="343"/>
      <c r="P55" s="343"/>
      <c r="Q55" s="343"/>
      <c r="R55" s="343"/>
      <c r="S55" s="343"/>
      <c r="T55" s="343"/>
      <c r="U55" s="343"/>
      <c r="V55" s="343"/>
      <c r="W55" s="343"/>
      <c r="X55" s="343"/>
      <c r="Y55" s="343"/>
      <c r="Z55" s="343"/>
      <c r="AA55" s="382"/>
      <c r="AB55" s="382"/>
      <c r="AC55" s="382"/>
      <c r="AD55" s="382"/>
      <c r="AE55" s="382"/>
      <c r="AF55" s="382"/>
      <c r="AG55" s="382"/>
    </row>
    <row r="56" ht="15.75" customHeight="1">
      <c r="A56" s="572" t="s">
        <v>1689</v>
      </c>
      <c r="B56" s="345" t="s">
        <v>1709</v>
      </c>
      <c r="C56" s="367" t="s">
        <v>1792</v>
      </c>
      <c r="D56" s="570" t="s">
        <v>73</v>
      </c>
      <c r="E56" s="617">
        <v>45586.0</v>
      </c>
      <c r="F56" s="617">
        <v>45586.0</v>
      </c>
      <c r="G56" s="618"/>
      <c r="H56" s="618">
        <v>45587.0</v>
      </c>
      <c r="I56" s="563">
        <f>IF(ISBLANK(H56), NETWORKDAYS(F56, TODAY(),Hoja2!$A$1:$A$18), NETWORKDAYS(F56, H56, Hoja2!$A$1:$A$18))</f>
        <v>2</v>
      </c>
      <c r="J56" s="618">
        <v>45587.0</v>
      </c>
      <c r="K56" s="596"/>
      <c r="L56" s="598" t="s">
        <v>1793</v>
      </c>
      <c r="M56" s="608"/>
      <c r="N56" s="343"/>
      <c r="O56" s="343"/>
      <c r="P56" s="343"/>
      <c r="Q56" s="343"/>
      <c r="R56" s="343"/>
      <c r="S56" s="343"/>
      <c r="T56" s="343"/>
      <c r="U56" s="343"/>
      <c r="V56" s="343"/>
      <c r="W56" s="343"/>
      <c r="X56" s="343"/>
      <c r="Y56" s="343"/>
      <c r="Z56" s="343"/>
      <c r="AA56" s="382"/>
      <c r="AB56" s="382"/>
      <c r="AC56" s="382"/>
      <c r="AD56" s="382"/>
      <c r="AE56" s="382"/>
      <c r="AF56" s="382"/>
      <c r="AG56" s="382"/>
    </row>
    <row r="57" ht="15.75" customHeight="1">
      <c r="A57" s="572" t="s">
        <v>1689</v>
      </c>
      <c r="B57" s="605" t="s">
        <v>1709</v>
      </c>
      <c r="C57" s="622" t="s">
        <v>1794</v>
      </c>
      <c r="D57" s="570" t="s">
        <v>73</v>
      </c>
      <c r="E57" s="617">
        <v>45586.0</v>
      </c>
      <c r="F57" s="617">
        <v>45587.0</v>
      </c>
      <c r="G57" s="618"/>
      <c r="H57" s="618">
        <v>45587.0</v>
      </c>
      <c r="I57" s="563">
        <f>IF(ISBLANK(H57), NETWORKDAYS(F57, TODAY(),Hoja2!$A$1:$A$18), NETWORKDAYS(F57, H57, Hoja2!$A$1:$A$18))</f>
        <v>1</v>
      </c>
      <c r="J57" s="618">
        <v>45587.0</v>
      </c>
      <c r="K57" s="596"/>
      <c r="L57" s="596" t="s">
        <v>1795</v>
      </c>
      <c r="M57" s="608"/>
      <c r="N57" s="343"/>
      <c r="O57" s="343"/>
      <c r="P57" s="343"/>
      <c r="Q57" s="343"/>
      <c r="R57" s="343"/>
      <c r="S57" s="343"/>
      <c r="T57" s="343"/>
      <c r="U57" s="343"/>
      <c r="V57" s="343"/>
      <c r="W57" s="343"/>
      <c r="X57" s="343"/>
      <c r="Y57" s="343"/>
      <c r="Z57" s="343"/>
      <c r="AA57" s="382"/>
      <c r="AB57" s="382"/>
      <c r="AC57" s="382"/>
      <c r="AD57" s="382"/>
      <c r="AE57" s="382"/>
      <c r="AF57" s="382"/>
      <c r="AG57" s="382"/>
    </row>
    <row r="58" ht="15.75" customHeight="1">
      <c r="A58" s="599" t="s">
        <v>1426</v>
      </c>
      <c r="B58" s="600" t="s">
        <v>1756</v>
      </c>
      <c r="C58" s="601" t="s">
        <v>1796</v>
      </c>
      <c r="D58" s="602" t="s">
        <v>73</v>
      </c>
      <c r="E58" s="379">
        <v>45561.0</v>
      </c>
      <c r="F58" s="379">
        <v>45572.0</v>
      </c>
      <c r="G58" s="379"/>
      <c r="H58" s="379">
        <v>45587.0</v>
      </c>
      <c r="I58" s="357">
        <f>IF(ISBLANK(H58), NETWORKDAYS(F58, TODAY(),Hoja2!$A$1:$A$18), NETWORKDAYS(F58, H58, Hoja2!$A$1:$A$18))</f>
        <v>11</v>
      </c>
      <c r="J58" s="379">
        <v>45587.0</v>
      </c>
      <c r="K58" s="379"/>
      <c r="L58" s="603" t="s">
        <v>1797</v>
      </c>
      <c r="M58" s="337"/>
      <c r="N58" s="337"/>
      <c r="O58" s="337"/>
      <c r="P58" s="337"/>
      <c r="Q58" s="337"/>
      <c r="R58" s="337"/>
      <c r="S58" s="337"/>
      <c r="T58" s="337"/>
      <c r="U58" s="337"/>
      <c r="V58" s="337"/>
      <c r="W58" s="337"/>
      <c r="X58" s="337"/>
      <c r="Y58" s="337"/>
      <c r="Z58" s="337"/>
    </row>
    <row r="59" ht="15.75" customHeight="1">
      <c r="A59" s="569" t="s">
        <v>1411</v>
      </c>
      <c r="B59" s="559" t="s">
        <v>1798</v>
      </c>
      <c r="C59" s="623" t="s">
        <v>1799</v>
      </c>
      <c r="D59" s="560" t="s">
        <v>73</v>
      </c>
      <c r="E59" s="561">
        <v>45576.0</v>
      </c>
      <c r="F59" s="561">
        <v>45576.0</v>
      </c>
      <c r="G59" s="561"/>
      <c r="H59" s="561">
        <v>45576.0</v>
      </c>
      <c r="I59" s="624">
        <f>IF(ISBLANK(H59), NETWORKDAYS(F59, TODAY(),Hoja2!$A$1:$A$18), NETWORKDAYS(F59, H59, Hoja2!$A$1:$A$18))</f>
        <v>1</v>
      </c>
      <c r="J59" s="561">
        <v>45576.0</v>
      </c>
      <c r="K59" s="561">
        <v>45587.0</v>
      </c>
      <c r="L59" s="625" t="s">
        <v>1800</v>
      </c>
      <c r="M59" s="337"/>
      <c r="N59" s="337"/>
      <c r="O59" s="337"/>
      <c r="P59" s="337"/>
      <c r="Q59" s="337"/>
      <c r="R59" s="337"/>
      <c r="S59" s="337"/>
      <c r="T59" s="337"/>
      <c r="U59" s="337"/>
      <c r="V59" s="337"/>
      <c r="W59" s="337"/>
      <c r="X59" s="337"/>
      <c r="Y59" s="337"/>
      <c r="Z59" s="337"/>
    </row>
    <row r="60" ht="15.75" customHeight="1">
      <c r="A60" s="599" t="s">
        <v>1426</v>
      </c>
      <c r="B60" s="599" t="s">
        <v>1801</v>
      </c>
      <c r="C60" s="599" t="s">
        <v>1802</v>
      </c>
      <c r="D60" s="599" t="s">
        <v>73</v>
      </c>
      <c r="E60" s="626">
        <v>45587.0</v>
      </c>
      <c r="F60" s="626">
        <v>45588.0</v>
      </c>
      <c r="G60" s="599"/>
      <c r="H60" s="626">
        <v>45588.0</v>
      </c>
      <c r="I60" s="357">
        <f>IF(ISBLANK(H60), NETWORKDAYS(F60, TODAY(),Hoja2!$A$1:$A$18), NETWORKDAYS(F60, H60, Hoja2!$A$1:$A$18))</f>
        <v>1</v>
      </c>
      <c r="J60" s="599"/>
      <c r="K60" s="599"/>
      <c r="L60" s="627" t="s">
        <v>1803</v>
      </c>
      <c r="M60" s="628"/>
      <c r="N60" s="628"/>
      <c r="O60" s="628"/>
      <c r="P60" s="628"/>
      <c r="Q60" s="628"/>
      <c r="R60" s="628"/>
      <c r="S60" s="628"/>
      <c r="T60" s="628"/>
      <c r="U60" s="628"/>
      <c r="V60" s="628"/>
      <c r="W60" s="628"/>
      <c r="X60" s="628"/>
      <c r="Y60" s="628"/>
      <c r="Z60" s="628"/>
      <c r="AA60" s="628"/>
      <c r="AB60" s="628"/>
      <c r="AC60" s="628"/>
      <c r="AD60" s="628"/>
      <c r="AE60" s="628"/>
      <c r="AF60" s="628"/>
      <c r="AG60" s="628"/>
    </row>
    <row r="61" ht="15.75" customHeight="1">
      <c r="A61" s="599" t="s">
        <v>1426</v>
      </c>
      <c r="B61" s="599" t="s">
        <v>1801</v>
      </c>
      <c r="C61" s="599" t="s">
        <v>1804</v>
      </c>
      <c r="D61" s="599" t="s">
        <v>73</v>
      </c>
      <c r="E61" s="626">
        <v>45587.0</v>
      </c>
      <c r="F61" s="626">
        <v>45588.0</v>
      </c>
      <c r="G61" s="599"/>
      <c r="H61" s="626">
        <v>45588.0</v>
      </c>
      <c r="I61" s="357">
        <f>IF(ISBLANK(H61), NETWORKDAYS(F61, TODAY(),Hoja2!$A$1:$A$18), NETWORKDAYS(F61, H61, Hoja2!$A$1:$A$18))</f>
        <v>1</v>
      </c>
      <c r="J61" s="599"/>
      <c r="K61" s="599"/>
      <c r="L61" s="627" t="s">
        <v>1805</v>
      </c>
      <c r="M61" s="628"/>
      <c r="N61" s="628"/>
      <c r="O61" s="628"/>
      <c r="P61" s="628"/>
      <c r="Q61" s="628"/>
      <c r="R61" s="628"/>
      <c r="S61" s="628"/>
      <c r="T61" s="628"/>
      <c r="U61" s="628"/>
      <c r="V61" s="628"/>
      <c r="W61" s="628"/>
      <c r="X61" s="628"/>
      <c r="Y61" s="628"/>
      <c r="Z61" s="628"/>
      <c r="AA61" s="628"/>
      <c r="AB61" s="628"/>
      <c r="AC61" s="628"/>
      <c r="AD61" s="628"/>
      <c r="AE61" s="628"/>
      <c r="AF61" s="628"/>
      <c r="AG61" s="628"/>
    </row>
    <row r="62" ht="15.75" customHeight="1">
      <c r="A62" s="599" t="s">
        <v>1426</v>
      </c>
      <c r="B62" s="599" t="s">
        <v>1801</v>
      </c>
      <c r="C62" s="599" t="s">
        <v>1806</v>
      </c>
      <c r="D62" s="599" t="s">
        <v>73</v>
      </c>
      <c r="E62" s="626">
        <v>45587.0</v>
      </c>
      <c r="F62" s="626">
        <v>45588.0</v>
      </c>
      <c r="G62" s="599"/>
      <c r="H62" s="626">
        <v>45588.0</v>
      </c>
      <c r="I62" s="357">
        <f>IF(ISBLANK(H62), NETWORKDAYS(F62, TODAY(),Hoja2!$A$1:$A$18), NETWORKDAYS(F62, H62, Hoja2!$A$1:$A$18))</f>
        <v>1</v>
      </c>
      <c r="J62" s="599"/>
      <c r="K62" s="599"/>
      <c r="L62" s="627" t="s">
        <v>1807</v>
      </c>
      <c r="M62" s="628"/>
      <c r="N62" s="628"/>
      <c r="O62" s="628"/>
      <c r="P62" s="628"/>
      <c r="Q62" s="628"/>
      <c r="R62" s="628"/>
      <c r="S62" s="628"/>
      <c r="T62" s="628"/>
      <c r="U62" s="628"/>
      <c r="V62" s="628"/>
      <c r="W62" s="628"/>
      <c r="X62" s="628"/>
      <c r="Y62" s="628"/>
      <c r="Z62" s="628"/>
      <c r="AA62" s="628"/>
      <c r="AB62" s="628"/>
      <c r="AC62" s="628"/>
      <c r="AD62" s="628"/>
      <c r="AE62" s="628"/>
      <c r="AF62" s="628"/>
      <c r="AG62" s="628"/>
    </row>
    <row r="63" ht="15.75" customHeight="1">
      <c r="A63" s="629" t="s">
        <v>1418</v>
      </c>
      <c r="B63" s="630" t="s">
        <v>1808</v>
      </c>
      <c r="C63" s="631" t="s">
        <v>1809</v>
      </c>
      <c r="D63" s="632" t="s">
        <v>1810</v>
      </c>
      <c r="E63" s="633">
        <v>45559.0</v>
      </c>
      <c r="F63" s="633">
        <v>45576.0</v>
      </c>
      <c r="G63" s="634"/>
      <c r="H63" s="635">
        <v>45581.0</v>
      </c>
      <c r="I63" s="636">
        <f>IF(ISBLANK(H63), NETWORKDAYS(F63, TODAY(),Hoja2!$A$1:$A$18), NETWORKDAYS(F63, H63, Hoja2!$A$1:$A$18))</f>
        <v>3</v>
      </c>
      <c r="J63" s="635">
        <v>45581.0</v>
      </c>
      <c r="K63" s="637">
        <v>45583.0</v>
      </c>
      <c r="L63" s="638" t="s">
        <v>1811</v>
      </c>
      <c r="M63" s="343"/>
      <c r="N63" s="343"/>
      <c r="O63" s="343"/>
      <c r="P63" s="343"/>
      <c r="Q63" s="343"/>
      <c r="R63" s="343"/>
      <c r="S63" s="343"/>
      <c r="T63" s="343"/>
      <c r="U63" s="343"/>
      <c r="V63" s="343"/>
      <c r="W63" s="343"/>
      <c r="X63" s="343"/>
      <c r="Y63" s="343"/>
      <c r="Z63" s="343"/>
    </row>
    <row r="64" ht="15.75" customHeight="1">
      <c r="A64" s="348" t="s">
        <v>1436</v>
      </c>
      <c r="B64" s="566" t="s">
        <v>1812</v>
      </c>
      <c r="C64" s="556"/>
      <c r="D64" s="527" t="s">
        <v>1813</v>
      </c>
      <c r="E64" s="347">
        <v>45562.0</v>
      </c>
      <c r="F64" s="347">
        <v>45562.0</v>
      </c>
      <c r="G64" s="348"/>
      <c r="H64" s="347">
        <v>45566.0</v>
      </c>
      <c r="I64" s="349">
        <f>IF(ISBLANK(H64), NETWORKDAYS(F64, TODAY(),Hoja2!$A$1:$A$18), NETWORKDAYS(F64, H64, Hoja2!$A$1:$A$18))</f>
        <v>3</v>
      </c>
      <c r="J64" s="347">
        <v>45566.0</v>
      </c>
      <c r="K64" s="347">
        <v>45590.0</v>
      </c>
      <c r="L64" s="350" t="s">
        <v>1814</v>
      </c>
      <c r="M64" s="337"/>
      <c r="N64" s="337"/>
      <c r="O64" s="337"/>
      <c r="P64" s="337"/>
      <c r="Q64" s="337"/>
      <c r="R64" s="337"/>
      <c r="S64" s="337"/>
      <c r="T64" s="337"/>
      <c r="U64" s="337"/>
      <c r="V64" s="337"/>
      <c r="W64" s="337"/>
      <c r="X64" s="337"/>
      <c r="Y64" s="337"/>
      <c r="Z64" s="337"/>
    </row>
    <row r="65" ht="15.75" customHeight="1">
      <c r="A65" s="576" t="s">
        <v>1411</v>
      </c>
      <c r="B65" s="555" t="s">
        <v>1415</v>
      </c>
      <c r="C65" s="639" t="s">
        <v>1815</v>
      </c>
      <c r="D65" s="560" t="s">
        <v>73</v>
      </c>
      <c r="E65" s="640">
        <v>45587.0</v>
      </c>
      <c r="F65" s="561">
        <v>45587.0</v>
      </c>
      <c r="G65" s="561"/>
      <c r="H65" s="561">
        <v>45589.0</v>
      </c>
      <c r="I65" s="624">
        <f>IF(ISBLANK(H65), NETWORKDAYS(F65, TODAY(),Hoja2!$A$1:$A$18), NETWORKDAYS(F65, H65, Hoja2!$A$1:$A$18))</f>
        <v>3</v>
      </c>
      <c r="J65" s="561">
        <v>45589.0</v>
      </c>
      <c r="K65" s="561"/>
      <c r="L65" s="564" t="s">
        <v>1816</v>
      </c>
      <c r="M65" s="337"/>
      <c r="N65" s="337"/>
      <c r="O65" s="337"/>
      <c r="P65" s="337"/>
      <c r="Q65" s="337"/>
      <c r="R65" s="337"/>
      <c r="S65" s="337"/>
      <c r="T65" s="337"/>
      <c r="U65" s="337"/>
      <c r="V65" s="337"/>
      <c r="W65" s="337"/>
      <c r="X65" s="337"/>
      <c r="Y65" s="337"/>
      <c r="Z65" s="337"/>
      <c r="AA65" s="382"/>
      <c r="AB65" s="382"/>
      <c r="AC65" s="382"/>
      <c r="AD65" s="382"/>
      <c r="AE65" s="382"/>
      <c r="AF65" s="382"/>
      <c r="AG65" s="382"/>
    </row>
    <row r="66" ht="15.75" customHeight="1">
      <c r="A66" s="336" t="s">
        <v>1411</v>
      </c>
      <c r="B66" s="345" t="s">
        <v>1423</v>
      </c>
      <c r="C66" s="346" t="s">
        <v>1817</v>
      </c>
      <c r="D66" s="570" t="s">
        <v>1818</v>
      </c>
      <c r="E66" s="347">
        <v>45572.0</v>
      </c>
      <c r="F66" s="347">
        <v>45574.0</v>
      </c>
      <c r="G66" s="347"/>
      <c r="H66" s="347">
        <v>45574.0</v>
      </c>
      <c r="I66" s="349">
        <f>IF(ISBLANK(H66), NETWORKDAYS(F66, TODAY(),Hoja2!$A$1:$A$18), NETWORKDAYS(F66, H66, Hoja2!$A$1:$A$18))</f>
        <v>1</v>
      </c>
      <c r="J66" s="347">
        <v>45574.0</v>
      </c>
      <c r="K66" s="347"/>
      <c r="L66" s="350" t="s">
        <v>1819</v>
      </c>
      <c r="M66" s="337"/>
      <c r="N66" s="337"/>
      <c r="O66" s="337"/>
      <c r="P66" s="337"/>
      <c r="Q66" s="337"/>
      <c r="R66" s="337"/>
      <c r="S66" s="337"/>
      <c r="T66" s="337"/>
      <c r="U66" s="337"/>
      <c r="V66" s="337"/>
      <c r="W66" s="337"/>
      <c r="X66" s="337"/>
      <c r="Y66" s="337"/>
      <c r="Z66" s="337"/>
    </row>
    <row r="67" ht="15.75" customHeight="1">
      <c r="A67" s="572" t="s">
        <v>1689</v>
      </c>
      <c r="B67" s="345" t="s">
        <v>1820</v>
      </c>
      <c r="C67" s="385" t="s">
        <v>1821</v>
      </c>
      <c r="D67" s="348" t="s">
        <v>73</v>
      </c>
      <c r="E67" s="347">
        <v>45588.0</v>
      </c>
      <c r="F67" s="620">
        <v>45589.0</v>
      </c>
      <c r="G67" s="347"/>
      <c r="H67" s="347">
        <v>45589.0</v>
      </c>
      <c r="I67" s="349">
        <f>IF(ISBLANK(H67), NETWORKDAYS(F67, TODAY(),Hoja2!$A$1:$A$18), NETWORKDAYS(F67, H67, Hoja2!$A$1:$A$18))</f>
        <v>1</v>
      </c>
      <c r="J67" s="607"/>
      <c r="K67" s="607"/>
      <c r="L67" s="641" t="s">
        <v>1822</v>
      </c>
      <c r="M67" s="608"/>
      <c r="N67" s="343"/>
      <c r="O67" s="343"/>
      <c r="P67" s="343"/>
      <c r="Q67" s="343"/>
      <c r="R67" s="343"/>
      <c r="S67" s="343"/>
      <c r="T67" s="343"/>
      <c r="U67" s="343"/>
      <c r="V67" s="343"/>
      <c r="W67" s="343"/>
      <c r="X67" s="343"/>
      <c r="Y67" s="343"/>
      <c r="Z67" s="343"/>
      <c r="AA67" s="382"/>
      <c r="AB67" s="382"/>
      <c r="AC67" s="382"/>
      <c r="AD67" s="382"/>
      <c r="AE67" s="382"/>
      <c r="AF67" s="382"/>
      <c r="AG67" s="382"/>
    </row>
    <row r="68" ht="15.75" customHeight="1">
      <c r="A68" s="577" t="s">
        <v>1823</v>
      </c>
      <c r="B68" s="642" t="s">
        <v>1824</v>
      </c>
      <c r="C68" s="642" t="s">
        <v>1825</v>
      </c>
      <c r="D68" s="580" t="s">
        <v>73</v>
      </c>
      <c r="E68" s="581">
        <v>45568.0</v>
      </c>
      <c r="F68" s="581">
        <v>45568.0</v>
      </c>
      <c r="H68" s="581">
        <v>45589.0</v>
      </c>
      <c r="I68" s="349">
        <f>IF(ISBLANK(H68), NETWORKDAYS(F68, TODAY(),Hoja2!$A$1:$A$18), NETWORKDAYS(F68, H68, Hoja2!$A$1:$A$18))</f>
        <v>15</v>
      </c>
      <c r="J68" s="581">
        <v>45589.0</v>
      </c>
      <c r="K68" s="581"/>
      <c r="L68" s="583" t="s">
        <v>1826</v>
      </c>
      <c r="M68" s="337"/>
      <c r="N68" s="337"/>
      <c r="O68" s="337"/>
      <c r="P68" s="337"/>
      <c r="Q68" s="337"/>
      <c r="R68" s="337"/>
      <c r="S68" s="337"/>
      <c r="T68" s="337"/>
      <c r="U68" s="337"/>
      <c r="V68" s="337"/>
      <c r="W68" s="337"/>
      <c r="X68" s="337"/>
      <c r="Y68" s="337"/>
      <c r="Z68" s="337"/>
    </row>
    <row r="69" ht="15.75" customHeight="1">
      <c r="A69" s="351" t="s">
        <v>1418</v>
      </c>
      <c r="B69" s="643" t="s">
        <v>1827</v>
      </c>
      <c r="C69" s="354" t="s">
        <v>1828</v>
      </c>
      <c r="D69" s="354" t="s">
        <v>73</v>
      </c>
      <c r="E69" s="379">
        <v>45588.0</v>
      </c>
      <c r="F69" s="379">
        <v>45588.0</v>
      </c>
      <c r="G69" s="379">
        <v>45590.0</v>
      </c>
      <c r="H69" s="379">
        <v>45590.0</v>
      </c>
      <c r="I69" s="357">
        <f>IF(ISBLANK(H69), NETWORKDAYS(F69, TODAY(),Hoja2!$A$1:$A$18), NETWORKDAYS(F69, H69, Hoja2!$A$1:$A$18))</f>
        <v>3</v>
      </c>
      <c r="J69" s="379">
        <v>45590.0</v>
      </c>
      <c r="K69" s="379"/>
      <c r="L69" s="603" t="s">
        <v>1829</v>
      </c>
      <c r="M69" s="573"/>
      <c r="N69" s="337"/>
      <c r="O69" s="337"/>
      <c r="P69" s="337"/>
      <c r="Q69" s="337"/>
      <c r="R69" s="337"/>
      <c r="S69" s="337"/>
      <c r="T69" s="337"/>
      <c r="U69" s="337"/>
      <c r="V69" s="337"/>
      <c r="W69" s="337"/>
      <c r="X69" s="337"/>
      <c r="Y69" s="337"/>
      <c r="Z69" s="337"/>
      <c r="AA69" s="382"/>
      <c r="AB69" s="382"/>
      <c r="AC69" s="382"/>
      <c r="AD69" s="382"/>
      <c r="AE69" s="382"/>
      <c r="AF69" s="382"/>
      <c r="AG69" s="382"/>
    </row>
    <row r="70" ht="15.75" customHeight="1">
      <c r="A70" s="351" t="s">
        <v>1418</v>
      </c>
      <c r="B70" s="643" t="s">
        <v>1827</v>
      </c>
      <c r="C70" s="354" t="s">
        <v>1830</v>
      </c>
      <c r="D70" s="354" t="s">
        <v>73</v>
      </c>
      <c r="E70" s="379">
        <v>45588.0</v>
      </c>
      <c r="F70" s="379">
        <v>45588.0</v>
      </c>
      <c r="G70" s="379">
        <v>45590.0</v>
      </c>
      <c r="H70" s="379">
        <v>45590.0</v>
      </c>
      <c r="I70" s="357">
        <f>IF(ISBLANK(H70), NETWORKDAYS(F70, TODAY(),Hoja2!$A$1:$A$18), NETWORKDAYS(F70, H70, Hoja2!$A$1:$A$18))</f>
        <v>3</v>
      </c>
      <c r="J70" s="379">
        <v>45593.0</v>
      </c>
      <c r="K70" s="379"/>
      <c r="L70" s="603" t="s">
        <v>1831</v>
      </c>
      <c r="M70" s="573"/>
      <c r="N70" s="337"/>
      <c r="O70" s="337"/>
      <c r="P70" s="337"/>
      <c r="Q70" s="337"/>
      <c r="R70" s="337"/>
      <c r="S70" s="337"/>
      <c r="T70" s="337"/>
      <c r="U70" s="337"/>
      <c r="V70" s="337"/>
      <c r="W70" s="337"/>
      <c r="X70" s="337"/>
      <c r="Y70" s="337"/>
      <c r="Z70" s="337"/>
      <c r="AA70" s="382"/>
      <c r="AB70" s="382"/>
      <c r="AC70" s="382"/>
      <c r="AD70" s="382"/>
      <c r="AE70" s="382"/>
      <c r="AF70" s="382"/>
      <c r="AG70" s="382"/>
    </row>
    <row r="71" ht="15.75" customHeight="1">
      <c r="A71" s="336" t="s">
        <v>1411</v>
      </c>
      <c r="B71" s="555" t="s">
        <v>1415</v>
      </c>
      <c r="C71" s="612" t="s">
        <v>1832</v>
      </c>
      <c r="D71" s="586" t="s">
        <v>73</v>
      </c>
      <c r="E71" s="617">
        <v>45588.0</v>
      </c>
      <c r="F71" s="617">
        <v>45588.0</v>
      </c>
      <c r="G71" s="618"/>
      <c r="H71" s="618">
        <v>45589.0</v>
      </c>
      <c r="I71" s="563">
        <f>IF(ISBLANK(H71), NETWORKDAYS(F71, TODAY(),Hoja2!$A$1:$A$18), NETWORKDAYS(F71, H71, Hoja2!$A$1:$A$18))</f>
        <v>2</v>
      </c>
      <c r="J71" s="618">
        <v>45589.0</v>
      </c>
      <c r="K71" s="618"/>
      <c r="L71" s="619" t="s">
        <v>1833</v>
      </c>
      <c r="M71" s="337"/>
      <c r="N71" s="337"/>
      <c r="O71" s="337"/>
      <c r="P71" s="337"/>
      <c r="Q71" s="337"/>
      <c r="R71" s="337"/>
      <c r="S71" s="337"/>
      <c r="T71" s="337"/>
      <c r="U71" s="337"/>
      <c r="V71" s="337"/>
      <c r="W71" s="337"/>
      <c r="X71" s="337"/>
      <c r="Y71" s="337"/>
      <c r="Z71" s="337"/>
      <c r="AA71" s="382"/>
      <c r="AB71" s="382"/>
      <c r="AC71" s="382"/>
      <c r="AD71" s="382"/>
      <c r="AE71" s="382"/>
      <c r="AF71" s="382"/>
      <c r="AG71" s="382"/>
    </row>
    <row r="72" ht="15.75" customHeight="1">
      <c r="A72" s="336" t="s">
        <v>1411</v>
      </c>
      <c r="B72" s="555" t="s">
        <v>1415</v>
      </c>
      <c r="C72" s="644" t="s">
        <v>1834</v>
      </c>
      <c r="D72" s="586" t="s">
        <v>73</v>
      </c>
      <c r="E72" s="617">
        <v>45589.0</v>
      </c>
      <c r="F72" s="618">
        <v>45589.0</v>
      </c>
      <c r="G72" s="618"/>
      <c r="H72" s="618">
        <v>45590.0</v>
      </c>
      <c r="I72" s="563">
        <f>IF(ISBLANK(H72), NETWORKDAYS(F72, TODAY(),Hoja2!$A$1:$A$18), NETWORKDAYS(F72, H72, Hoja2!$A$1:$A$18))</f>
        <v>2</v>
      </c>
      <c r="J72" s="618">
        <v>45590.0</v>
      </c>
      <c r="K72" s="618"/>
      <c r="L72" s="619" t="s">
        <v>1835</v>
      </c>
      <c r="M72" s="337"/>
      <c r="N72" s="337"/>
      <c r="O72" s="337"/>
      <c r="P72" s="337"/>
      <c r="Q72" s="337"/>
      <c r="R72" s="337"/>
      <c r="S72" s="337"/>
      <c r="T72" s="337"/>
      <c r="U72" s="337"/>
      <c r="V72" s="337"/>
      <c r="W72" s="337"/>
      <c r="X72" s="337"/>
      <c r="Y72" s="337"/>
      <c r="Z72" s="337"/>
      <c r="AA72" s="382"/>
      <c r="AB72" s="382"/>
      <c r="AC72" s="382"/>
      <c r="AD72" s="382"/>
      <c r="AE72" s="382"/>
      <c r="AF72" s="382"/>
      <c r="AG72" s="382"/>
    </row>
    <row r="73" ht="15.75" customHeight="1">
      <c r="A73" s="336" t="s">
        <v>1411</v>
      </c>
      <c r="B73" s="555" t="s">
        <v>1423</v>
      </c>
      <c r="C73" s="645" t="s">
        <v>1836</v>
      </c>
      <c r="D73" s="570" t="s">
        <v>73</v>
      </c>
      <c r="E73" s="347">
        <v>45572.0</v>
      </c>
      <c r="F73" s="347">
        <v>45574.0</v>
      </c>
      <c r="G73" s="646"/>
      <c r="H73" s="347">
        <v>45574.0</v>
      </c>
      <c r="I73" s="349">
        <f>IF(ISBLANK(H73), NETWORKDAYS(F73, TODAY(),Hoja2!$A$1:$A$18), NETWORKDAYS(F73, H73, Hoja2!$A$1:$A$18))</f>
        <v>1</v>
      </c>
      <c r="J73" s="347"/>
      <c r="K73" s="347"/>
      <c r="L73" s="350" t="s">
        <v>1837</v>
      </c>
      <c r="M73" s="337"/>
      <c r="N73" s="337"/>
      <c r="O73" s="337"/>
      <c r="P73" s="337"/>
      <c r="Q73" s="337"/>
      <c r="R73" s="337"/>
      <c r="S73" s="337"/>
      <c r="T73" s="337"/>
      <c r="U73" s="337"/>
      <c r="V73" s="337"/>
      <c r="W73" s="337"/>
      <c r="X73" s="337"/>
      <c r="Y73" s="337"/>
      <c r="Z73" s="337"/>
    </row>
    <row r="74" ht="15.75" customHeight="1">
      <c r="A74" s="599" t="s">
        <v>1426</v>
      </c>
      <c r="B74" s="600" t="s">
        <v>1756</v>
      </c>
      <c r="C74" s="378" t="s">
        <v>1838</v>
      </c>
      <c r="D74" s="354" t="s">
        <v>73</v>
      </c>
      <c r="E74" s="379">
        <v>45576.0</v>
      </c>
      <c r="F74" s="379">
        <v>45579.0</v>
      </c>
      <c r="G74" s="379"/>
      <c r="H74" s="379">
        <v>45590.0</v>
      </c>
      <c r="I74" s="357">
        <f>IF(ISBLANK(H74), NETWORKDAYS(F74, TODAY(),Hoja2!$A$1:$A$18), NETWORKDAYS(F74, H74, Hoja2!$A$1:$A$18))</f>
        <v>9</v>
      </c>
      <c r="J74" s="379">
        <v>45590.0</v>
      </c>
      <c r="K74" s="379"/>
      <c r="L74" s="603" t="s">
        <v>1839</v>
      </c>
      <c r="M74" s="337"/>
      <c r="N74" s="337"/>
      <c r="O74" s="337"/>
      <c r="P74" s="337"/>
      <c r="Q74" s="337"/>
      <c r="R74" s="337"/>
      <c r="S74" s="337"/>
      <c r="T74" s="337"/>
      <c r="U74" s="337"/>
      <c r="V74" s="337"/>
      <c r="W74" s="337"/>
      <c r="X74" s="337"/>
      <c r="Y74" s="337"/>
      <c r="Z74" s="337"/>
      <c r="AA74" s="382"/>
      <c r="AB74" s="382"/>
      <c r="AC74" s="382"/>
      <c r="AD74" s="382"/>
      <c r="AE74" s="382"/>
      <c r="AF74" s="382"/>
      <c r="AG74" s="382"/>
    </row>
    <row r="75" ht="15.75" customHeight="1">
      <c r="A75" s="599" t="s">
        <v>1426</v>
      </c>
      <c r="B75" s="600" t="s">
        <v>1827</v>
      </c>
      <c r="C75" s="378" t="s">
        <v>1840</v>
      </c>
      <c r="D75" s="602" t="s">
        <v>73</v>
      </c>
      <c r="E75" s="379">
        <v>45587.0</v>
      </c>
      <c r="F75" s="379">
        <v>45589.0</v>
      </c>
      <c r="G75" s="379"/>
      <c r="H75" s="379">
        <v>45593.0</v>
      </c>
      <c r="I75" s="357">
        <f>IF(ISBLANK(H75), NETWORKDAYS(F75, TODAY(),Hoja2!$A$1:$A$18), NETWORKDAYS(F75, H75, Hoja2!$A$1:$A$18))</f>
        <v>3</v>
      </c>
      <c r="J75" s="379">
        <v>45593.0</v>
      </c>
      <c r="K75" s="379"/>
      <c r="L75" s="603" t="s">
        <v>1841</v>
      </c>
      <c r="M75" s="337"/>
      <c r="N75" s="337"/>
      <c r="O75" s="337"/>
      <c r="P75" s="337"/>
      <c r="Q75" s="337"/>
      <c r="R75" s="337"/>
      <c r="S75" s="337"/>
      <c r="T75" s="337"/>
      <c r="U75" s="337"/>
      <c r="V75" s="337"/>
      <c r="W75" s="337"/>
      <c r="X75" s="337"/>
      <c r="Y75" s="337"/>
      <c r="Z75" s="337"/>
    </row>
    <row r="76" ht="15.75" customHeight="1">
      <c r="A76" s="375" t="s">
        <v>1436</v>
      </c>
      <c r="B76" s="601" t="s">
        <v>1827</v>
      </c>
      <c r="C76" s="354" t="s">
        <v>1842</v>
      </c>
      <c r="D76" s="354" t="s">
        <v>73</v>
      </c>
      <c r="E76" s="379">
        <v>45582.0</v>
      </c>
      <c r="F76" s="379">
        <v>45582.0</v>
      </c>
      <c r="G76" s="379"/>
      <c r="H76" s="379">
        <v>45582.0</v>
      </c>
      <c r="I76" s="357">
        <f>IF(ISBLANK(H76), NETWORKDAYS(F76, TODAY(),Hoja2!$A$1:$A$18), NETWORKDAYS(F76, H76, Hoja2!$A$1:$A$18))</f>
        <v>1</v>
      </c>
      <c r="J76" s="379">
        <v>45582.0</v>
      </c>
      <c r="K76" s="379"/>
      <c r="L76" s="603" t="s">
        <v>1843</v>
      </c>
      <c r="M76" s="573"/>
      <c r="N76" s="337"/>
      <c r="O76" s="337"/>
      <c r="P76" s="337"/>
      <c r="Q76" s="337"/>
      <c r="R76" s="337"/>
      <c r="S76" s="337"/>
      <c r="T76" s="337"/>
      <c r="U76" s="337"/>
      <c r="V76" s="337"/>
      <c r="W76" s="337"/>
      <c r="X76" s="337"/>
      <c r="Y76" s="337"/>
      <c r="Z76" s="337"/>
    </row>
    <row r="77" ht="15.75" customHeight="1">
      <c r="A77" s="599" t="s">
        <v>1426</v>
      </c>
      <c r="B77" s="600" t="s">
        <v>1844</v>
      </c>
      <c r="C77" s="378" t="s">
        <v>1845</v>
      </c>
      <c r="D77" s="354" t="s">
        <v>73</v>
      </c>
      <c r="E77" s="379">
        <v>45587.0</v>
      </c>
      <c r="F77" s="379">
        <v>45590.0</v>
      </c>
      <c r="G77" s="379"/>
      <c r="H77" s="379">
        <v>45593.0</v>
      </c>
      <c r="I77" s="357">
        <f>IF(ISBLANK(H77), NETWORKDAYS(F77, TODAY(),Hoja2!$A$1:$A$18), NETWORKDAYS(F77, H77, Hoja2!$A$1:$A$18))</f>
        <v>2</v>
      </c>
      <c r="J77" s="379"/>
      <c r="K77" s="379"/>
      <c r="L77" s="603"/>
      <c r="M77" s="337"/>
      <c r="N77" s="337"/>
      <c r="O77" s="337"/>
      <c r="P77" s="337"/>
      <c r="Q77" s="337"/>
      <c r="R77" s="337"/>
      <c r="S77" s="337"/>
      <c r="T77" s="337"/>
      <c r="U77" s="337"/>
      <c r="V77" s="337"/>
      <c r="W77" s="337"/>
      <c r="X77" s="337"/>
      <c r="Y77" s="337"/>
      <c r="Z77" s="337"/>
      <c r="AA77" s="382"/>
      <c r="AB77" s="382"/>
      <c r="AC77" s="382"/>
      <c r="AD77" s="382"/>
      <c r="AE77" s="382"/>
      <c r="AF77" s="382"/>
      <c r="AG77" s="382"/>
    </row>
    <row r="78" ht="15.75" customHeight="1">
      <c r="A78" s="336" t="s">
        <v>1411</v>
      </c>
      <c r="B78" s="566" t="s">
        <v>1846</v>
      </c>
      <c r="C78" s="556" t="s">
        <v>1847</v>
      </c>
      <c r="D78" s="348" t="s">
        <v>73</v>
      </c>
      <c r="E78" s="347">
        <v>45590.0</v>
      </c>
      <c r="F78" s="347">
        <v>45593.0</v>
      </c>
      <c r="G78" s="347"/>
      <c r="H78" s="347">
        <v>45593.0</v>
      </c>
      <c r="I78" s="349">
        <f>IF(ISBLANK(H78), NETWORKDAYS(F78, TODAY(),Hoja2!$A$1:$A$18), NETWORKDAYS(F78, H78, Hoja2!$A$1:$A$18))</f>
        <v>1</v>
      </c>
      <c r="J78" s="347"/>
      <c r="K78" s="347"/>
      <c r="L78" s="350"/>
      <c r="M78" s="337"/>
      <c r="N78" s="337"/>
      <c r="O78" s="337"/>
      <c r="P78" s="337"/>
      <c r="Q78" s="337"/>
      <c r="R78" s="337"/>
      <c r="S78" s="337"/>
      <c r="T78" s="337"/>
      <c r="U78" s="337"/>
      <c r="V78" s="337"/>
      <c r="W78" s="337"/>
      <c r="X78" s="337"/>
      <c r="Y78" s="337"/>
      <c r="Z78" s="337"/>
      <c r="AA78" s="382"/>
      <c r="AB78" s="382"/>
      <c r="AC78" s="382"/>
      <c r="AD78" s="382"/>
      <c r="AE78" s="382"/>
      <c r="AF78" s="382"/>
      <c r="AG78" s="382"/>
    </row>
    <row r="79" ht="15.75" customHeight="1">
      <c r="A79" s="572" t="s">
        <v>1689</v>
      </c>
      <c r="B79" s="345" t="s">
        <v>1709</v>
      </c>
      <c r="C79" s="570" t="s">
        <v>1848</v>
      </c>
      <c r="D79" s="570" t="s">
        <v>73</v>
      </c>
      <c r="E79" s="347">
        <v>45589.0</v>
      </c>
      <c r="F79" s="347">
        <v>45593.0</v>
      </c>
      <c r="G79" s="347"/>
      <c r="H79" s="347">
        <v>45593.0</v>
      </c>
      <c r="I79" s="349">
        <f>IF(ISBLANK(H79), NETWORKDAYS(F79, TODAY(),Hoja2!$A$1:$A$18), NETWORKDAYS(F79, H79, Hoja2!$A$1:$A$18))</f>
        <v>1</v>
      </c>
      <c r="J79" s="347">
        <v>45593.0</v>
      </c>
      <c r="K79" s="347"/>
      <c r="L79" s="350" t="s">
        <v>1849</v>
      </c>
      <c r="M79" s="573"/>
      <c r="N79" s="337"/>
      <c r="O79" s="337"/>
      <c r="P79" s="337"/>
      <c r="Q79" s="337"/>
      <c r="R79" s="337"/>
      <c r="S79" s="337"/>
      <c r="T79" s="337"/>
      <c r="U79" s="337"/>
      <c r="V79" s="337"/>
      <c r="W79" s="337"/>
      <c r="X79" s="337"/>
      <c r="Y79" s="337"/>
      <c r="Z79" s="337"/>
      <c r="AA79" s="382"/>
      <c r="AB79" s="382"/>
      <c r="AC79" s="382"/>
      <c r="AD79" s="382"/>
      <c r="AE79" s="382"/>
      <c r="AF79" s="382"/>
      <c r="AG79" s="382"/>
    </row>
    <row r="80" ht="15.75" customHeight="1">
      <c r="A80" s="336" t="s">
        <v>1411</v>
      </c>
      <c r="B80" s="345" t="s">
        <v>1415</v>
      </c>
      <c r="C80" s="556" t="s">
        <v>1850</v>
      </c>
      <c r="D80" s="348" t="s">
        <v>73</v>
      </c>
      <c r="E80" s="347">
        <v>45594.0</v>
      </c>
      <c r="F80" s="347">
        <v>45594.0</v>
      </c>
      <c r="G80" s="347">
        <v>45596.0</v>
      </c>
      <c r="H80" s="348"/>
      <c r="I80" s="349">
        <f>IF(ISBLANK(H80), NETWORKDAYS(F80, TODAY(),Hoja2!$A$1:$A$18), NETWORKDAYS(F80, H80, Hoja2!$A$1:$A$18))</f>
        <v>259</v>
      </c>
      <c r="J80" s="347">
        <v>45596.0</v>
      </c>
      <c r="K80" s="347"/>
      <c r="L80" s="350" t="s">
        <v>1851</v>
      </c>
      <c r="M80" s="337"/>
      <c r="N80" s="337"/>
      <c r="O80" s="337"/>
      <c r="P80" s="337"/>
      <c r="Q80" s="337"/>
      <c r="R80" s="337"/>
      <c r="S80" s="337"/>
      <c r="T80" s="337"/>
      <c r="U80" s="337"/>
      <c r="V80" s="337"/>
      <c r="W80" s="337"/>
      <c r="X80" s="337"/>
      <c r="Y80" s="337"/>
      <c r="Z80" s="337"/>
      <c r="AA80" s="382"/>
      <c r="AB80" s="382"/>
      <c r="AC80" s="382"/>
      <c r="AD80" s="382"/>
      <c r="AE80" s="382"/>
      <c r="AF80" s="382"/>
      <c r="AG80" s="382"/>
    </row>
    <row r="81" ht="15.75" customHeight="1">
      <c r="A81" s="575" t="s">
        <v>1689</v>
      </c>
      <c r="B81" s="555" t="s">
        <v>1820</v>
      </c>
      <c r="C81" s="647" t="s">
        <v>1852</v>
      </c>
      <c r="D81" s="648" t="s">
        <v>73</v>
      </c>
      <c r="E81" s="649">
        <v>45601.0</v>
      </c>
      <c r="F81" s="649">
        <v>45601.0</v>
      </c>
      <c r="G81" s="581"/>
      <c r="H81" s="581">
        <v>45602.0</v>
      </c>
      <c r="I81" s="582">
        <f>IF(ISBLANK(H81), NETWORKDAYS(F81, TODAY(),Hoja2!$A$1:$A$18), NETWORKDAYS(F81, H81, Hoja2!$A$1:$A$18))</f>
        <v>2</v>
      </c>
      <c r="J81" s="340"/>
      <c r="K81" s="340"/>
      <c r="L81" s="609"/>
      <c r="M81" s="608"/>
      <c r="N81" s="343"/>
      <c r="O81" s="343"/>
      <c r="P81" s="343"/>
      <c r="Q81" s="343"/>
      <c r="R81" s="343"/>
      <c r="S81" s="343"/>
      <c r="T81" s="343"/>
      <c r="U81" s="343"/>
      <c r="V81" s="343"/>
      <c r="W81" s="343"/>
      <c r="X81" s="343"/>
      <c r="Y81" s="343"/>
      <c r="Z81" s="343"/>
      <c r="AA81" s="382"/>
      <c r="AB81" s="382"/>
      <c r="AC81" s="382"/>
      <c r="AD81" s="382"/>
      <c r="AE81" s="382"/>
      <c r="AF81" s="382"/>
      <c r="AG81" s="382"/>
    </row>
    <row r="82" ht="15.75" customHeight="1">
      <c r="A82" s="375" t="s">
        <v>1436</v>
      </c>
      <c r="B82" s="566" t="s">
        <v>1853</v>
      </c>
      <c r="C82" s="650" t="s">
        <v>1854</v>
      </c>
      <c r="D82" s="570" t="s">
        <v>73</v>
      </c>
      <c r="E82" s="347">
        <v>45602.0</v>
      </c>
      <c r="F82" s="347">
        <v>45602.0</v>
      </c>
      <c r="G82" s="347"/>
      <c r="H82" s="347">
        <v>45603.0</v>
      </c>
      <c r="I82" s="357">
        <f>IF(ISBLANK(H82), NETWORKDAYS(F82, TODAY(),Hoja2!$A$1:$A$18), NETWORKDAYS(F82, H82, Hoja2!$A$1:$A$18))</f>
        <v>2</v>
      </c>
      <c r="J82" s="347">
        <v>45603.0</v>
      </c>
      <c r="K82" s="347">
        <v>45603.0</v>
      </c>
      <c r="L82" s="350" t="s">
        <v>1855</v>
      </c>
      <c r="M82" s="337"/>
      <c r="N82" s="337"/>
      <c r="O82" s="337"/>
      <c r="P82" s="337"/>
      <c r="Q82" s="337"/>
      <c r="R82" s="337"/>
      <c r="S82" s="337"/>
      <c r="T82" s="337"/>
      <c r="U82" s="337"/>
      <c r="V82" s="337"/>
      <c r="W82" s="337"/>
      <c r="X82" s="337"/>
      <c r="Y82" s="337"/>
      <c r="Z82" s="337"/>
      <c r="AA82" s="382"/>
      <c r="AB82" s="382"/>
      <c r="AC82" s="382"/>
      <c r="AD82" s="382"/>
      <c r="AE82" s="382"/>
      <c r="AF82" s="382"/>
      <c r="AG82" s="382"/>
    </row>
    <row r="83" ht="15.75" customHeight="1">
      <c r="A83" s="651" t="s">
        <v>1709</v>
      </c>
      <c r="B83" s="651" t="s">
        <v>1709</v>
      </c>
      <c r="C83" s="344" t="s">
        <v>1856</v>
      </c>
      <c r="D83" s="348" t="s">
        <v>73</v>
      </c>
      <c r="E83" s="347">
        <v>45576.0</v>
      </c>
      <c r="F83" s="347">
        <v>45576.0</v>
      </c>
      <c r="G83" s="344"/>
      <c r="H83" s="620">
        <v>45604.0</v>
      </c>
      <c r="I83" s="349">
        <f>IF(ISBLANK(H83), NETWORKDAYS(F83, TODAY(),Hoja2!$A$1:$A$18), NETWORKDAYS(F83, H83, Hoja2!$A$1:$A$18))</f>
        <v>19</v>
      </c>
      <c r="J83" s="344"/>
      <c r="K83" s="344"/>
      <c r="L83" s="344" t="s">
        <v>1857</v>
      </c>
      <c r="M83" s="358"/>
      <c r="N83" s="358"/>
      <c r="O83" s="358"/>
      <c r="P83" s="358"/>
      <c r="Q83" s="358"/>
      <c r="R83" s="358"/>
      <c r="S83" s="358"/>
      <c r="T83" s="358"/>
      <c r="U83" s="358"/>
      <c r="V83" s="358"/>
      <c r="W83" s="358"/>
      <c r="X83" s="358"/>
      <c r="Y83" s="358"/>
      <c r="Z83" s="358"/>
    </row>
    <row r="84" ht="15.75" customHeight="1">
      <c r="A84" s="599" t="s">
        <v>1426</v>
      </c>
      <c r="B84" s="576" t="s">
        <v>1858</v>
      </c>
      <c r="C84" s="575" t="s">
        <v>1859</v>
      </c>
      <c r="D84" s="576" t="s">
        <v>73</v>
      </c>
      <c r="E84" s="652">
        <v>45602.0</v>
      </c>
      <c r="F84" s="652">
        <v>45602.0</v>
      </c>
      <c r="G84" s="653">
        <v>45603.0</v>
      </c>
      <c r="H84" s="652">
        <v>45603.0</v>
      </c>
      <c r="I84" s="357">
        <f>IF(ISBLANK(H84), NETWORKDAYS(F84, TODAY(),Hoja2!$A$1:$A$18), NETWORKDAYS(F84, H84, Hoja2!$A$1:$A$18))</f>
        <v>2</v>
      </c>
      <c r="J84" s="576"/>
      <c r="K84" s="576"/>
      <c r="L84" s="654"/>
      <c r="M84" s="573"/>
      <c r="N84" s="337"/>
      <c r="O84" s="337"/>
      <c r="P84" s="337"/>
      <c r="Q84" s="337"/>
      <c r="R84" s="337"/>
      <c r="S84" s="337"/>
      <c r="T84" s="337"/>
      <c r="U84" s="337"/>
      <c r="V84" s="337"/>
      <c r="W84" s="337"/>
      <c r="X84" s="337"/>
      <c r="Y84" s="337"/>
      <c r="Z84" s="337"/>
      <c r="AA84" s="382"/>
      <c r="AB84" s="382"/>
      <c r="AC84" s="382"/>
      <c r="AD84" s="382"/>
      <c r="AE84" s="382"/>
      <c r="AF84" s="382"/>
      <c r="AG84" s="382"/>
    </row>
    <row r="85" ht="15.75" customHeight="1">
      <c r="A85" s="599" t="s">
        <v>1426</v>
      </c>
      <c r="B85" s="376" t="s">
        <v>1827</v>
      </c>
      <c r="C85" s="354" t="s">
        <v>1860</v>
      </c>
      <c r="D85" s="602" t="s">
        <v>383</v>
      </c>
      <c r="E85" s="379">
        <v>45587.0</v>
      </c>
      <c r="F85" s="379">
        <v>45587.0</v>
      </c>
      <c r="G85" s="379"/>
      <c r="H85" s="379">
        <v>45603.0</v>
      </c>
      <c r="I85" s="357">
        <f>IF(ISBLANK(H85), NETWORKDAYS(F85, TODAY(),Hoja2!$A$1:$A$18), NETWORKDAYS(F85, H85, Hoja2!$A$1:$A$18))</f>
        <v>12</v>
      </c>
      <c r="J85" s="379"/>
      <c r="K85" s="379"/>
      <c r="L85" s="603" t="s">
        <v>1861</v>
      </c>
      <c r="M85" s="337"/>
      <c r="N85" s="337"/>
      <c r="O85" s="337"/>
      <c r="P85" s="337"/>
      <c r="Q85" s="337"/>
      <c r="R85" s="337"/>
      <c r="S85" s="337"/>
      <c r="T85" s="337"/>
      <c r="U85" s="337"/>
      <c r="V85" s="337"/>
      <c r="W85" s="337"/>
      <c r="X85" s="337"/>
      <c r="Y85" s="337"/>
      <c r="Z85" s="337"/>
      <c r="AA85" s="382"/>
      <c r="AB85" s="382"/>
      <c r="AC85" s="382"/>
      <c r="AD85" s="382"/>
      <c r="AE85" s="382"/>
      <c r="AF85" s="382"/>
      <c r="AG85" s="382"/>
    </row>
    <row r="86" ht="15.75" customHeight="1">
      <c r="A86" s="655" t="s">
        <v>1418</v>
      </c>
      <c r="B86" s="656" t="s">
        <v>1862</v>
      </c>
      <c r="C86" s="657" t="s">
        <v>1863</v>
      </c>
      <c r="D86" s="632" t="s">
        <v>1810</v>
      </c>
      <c r="E86" s="658">
        <v>45569.0</v>
      </c>
      <c r="F86" s="658">
        <v>45572.0</v>
      </c>
      <c r="G86" s="658">
        <v>0.0</v>
      </c>
      <c r="H86" s="658">
        <v>45581.0</v>
      </c>
      <c r="I86" s="659">
        <f>IF(ISBLANK(H86), NETWORKDAYS(F86, TODAY(),Hoja2!$A$1:$A$18), NETWORKDAYS(F86, H86, Hoja2!$A$1:$A$18))</f>
        <v>7</v>
      </c>
      <c r="J86" s="658">
        <v>45587.0</v>
      </c>
      <c r="K86" s="658">
        <v>45609.0</v>
      </c>
      <c r="L86" s="660" t="s">
        <v>1864</v>
      </c>
      <c r="M86" s="337"/>
      <c r="N86" s="337"/>
      <c r="O86" s="337"/>
      <c r="P86" s="337"/>
      <c r="Q86" s="337"/>
      <c r="R86" s="337"/>
      <c r="S86" s="337"/>
      <c r="T86" s="337"/>
      <c r="U86" s="337"/>
      <c r="V86" s="337"/>
      <c r="W86" s="337"/>
      <c r="X86" s="337"/>
      <c r="Y86" s="337"/>
      <c r="Z86" s="337"/>
    </row>
    <row r="87" ht="15.75" customHeight="1">
      <c r="A87" s="360" t="s">
        <v>1426</v>
      </c>
      <c r="B87" s="360" t="s">
        <v>1865</v>
      </c>
      <c r="C87" s="375"/>
      <c r="D87" s="375" t="s">
        <v>73</v>
      </c>
      <c r="E87" s="361">
        <v>45596.0</v>
      </c>
      <c r="F87" s="361">
        <v>45596.0</v>
      </c>
      <c r="G87" s="360"/>
      <c r="H87" s="361">
        <v>45608.0</v>
      </c>
      <c r="I87" s="357">
        <f>IF(ISBLANK(H87), NETWORKDAYS(F87, TODAY(),Hoja2!$A$1:$A$18), NETWORKDAYS(F87, H87, Hoja2!$A$1:$A$18))</f>
        <v>7</v>
      </c>
      <c r="J87" s="375"/>
      <c r="K87" s="375"/>
      <c r="L87" s="661" t="s">
        <v>1866</v>
      </c>
      <c r="M87" s="573"/>
      <c r="N87" s="337"/>
      <c r="O87" s="337"/>
      <c r="P87" s="337"/>
      <c r="Q87" s="337"/>
      <c r="R87" s="337"/>
      <c r="S87" s="337"/>
      <c r="T87" s="337"/>
      <c r="U87" s="337"/>
      <c r="V87" s="337"/>
      <c r="W87" s="337"/>
      <c r="X87" s="337"/>
      <c r="Y87" s="337"/>
      <c r="Z87" s="337"/>
      <c r="AA87" s="382"/>
      <c r="AB87" s="382"/>
      <c r="AC87" s="382"/>
      <c r="AD87" s="382"/>
      <c r="AE87" s="382"/>
      <c r="AF87" s="382"/>
      <c r="AG87" s="382"/>
    </row>
    <row r="88" ht="15.75" customHeight="1">
      <c r="A88" s="599" t="s">
        <v>1426</v>
      </c>
      <c r="B88" s="655" t="s">
        <v>1867</v>
      </c>
      <c r="C88" s="662" t="s">
        <v>1868</v>
      </c>
      <c r="D88" s="655" t="s">
        <v>73</v>
      </c>
      <c r="E88" s="663">
        <v>45601.0</v>
      </c>
      <c r="F88" s="663">
        <v>45601.0</v>
      </c>
      <c r="G88" s="376"/>
      <c r="H88" s="663">
        <v>45608.0</v>
      </c>
      <c r="I88" s="357">
        <f>IF(ISBLANK(H88), NETWORKDAYS(F88, TODAY(),Hoja2!$A$1:$A$18), NETWORKDAYS(F88, H88, Hoja2!$A$1:$A$18))</f>
        <v>5</v>
      </c>
      <c r="J88" s="655"/>
      <c r="K88" s="655"/>
      <c r="L88" s="664" t="s">
        <v>1869</v>
      </c>
      <c r="M88" s="573"/>
      <c r="N88" s="337"/>
      <c r="O88" s="337"/>
      <c r="P88" s="337"/>
      <c r="Q88" s="337"/>
      <c r="R88" s="337"/>
      <c r="S88" s="337"/>
      <c r="T88" s="337"/>
      <c r="U88" s="337"/>
      <c r="V88" s="337"/>
      <c r="W88" s="337"/>
      <c r="X88" s="337"/>
      <c r="Y88" s="337"/>
      <c r="Z88" s="337"/>
      <c r="AA88" s="382"/>
      <c r="AB88" s="382"/>
      <c r="AC88" s="382"/>
      <c r="AD88" s="382"/>
      <c r="AE88" s="382"/>
      <c r="AF88" s="382"/>
      <c r="AG88" s="382"/>
    </row>
    <row r="89" ht="15.0" customHeight="1">
      <c r="A89" s="572" t="s">
        <v>1689</v>
      </c>
      <c r="B89" s="346" t="s">
        <v>1870</v>
      </c>
      <c r="C89" s="346" t="s">
        <v>1871</v>
      </c>
      <c r="D89" s="570" t="s">
        <v>73</v>
      </c>
      <c r="E89" s="347">
        <v>45608.0</v>
      </c>
      <c r="F89" s="347">
        <v>45608.0</v>
      </c>
      <c r="G89" s="347"/>
      <c r="H89" s="347">
        <v>45609.0</v>
      </c>
      <c r="I89" s="349">
        <f>IF(ISBLANK(H89), NETWORKDAYS(F89, TODAY(),Hoja2!$A$1:$A$18), NETWORKDAYS(F89, H89, Hoja2!$A$1:$A$18))</f>
        <v>2</v>
      </c>
      <c r="J89" s="347"/>
      <c r="K89" s="347">
        <v>45609.0</v>
      </c>
      <c r="L89" s="350"/>
    </row>
    <row r="90" ht="15.75" customHeight="1">
      <c r="A90" s="572" t="s">
        <v>1689</v>
      </c>
      <c r="B90" s="555" t="s">
        <v>1820</v>
      </c>
      <c r="C90" s="385" t="s">
        <v>1872</v>
      </c>
      <c r="D90" s="348" t="s">
        <v>73</v>
      </c>
      <c r="E90" s="347">
        <v>45602.0</v>
      </c>
      <c r="F90" s="665">
        <v>45602.0</v>
      </c>
      <c r="G90" s="666"/>
      <c r="H90" s="667">
        <v>45603.0</v>
      </c>
      <c r="I90" s="349">
        <f>IF(ISBLANK(H90), NETWORKDAYS(F90, TODAY(),Hoja2!$A$1:$A$18), NETWORKDAYS(F90, H90, Hoja2!$A$1:$A$18))</f>
        <v>2</v>
      </c>
      <c r="J90" s="666"/>
      <c r="K90" s="666"/>
      <c r="L90" s="568" t="s">
        <v>1873</v>
      </c>
    </row>
    <row r="91" ht="15.75" customHeight="1">
      <c r="A91" s="336" t="s">
        <v>1411</v>
      </c>
      <c r="B91" s="668" t="s">
        <v>1874</v>
      </c>
      <c r="C91" s="556"/>
      <c r="D91" s="570" t="s">
        <v>1810</v>
      </c>
      <c r="E91" s="347">
        <v>45336.0</v>
      </c>
      <c r="F91" s="347">
        <v>45336.0</v>
      </c>
      <c r="G91" s="347"/>
      <c r="H91" s="347">
        <v>45470.0</v>
      </c>
      <c r="I91" s="349">
        <f>IF(ISBLANK(H91), NETWORKDAYS(F91, TODAY(),Hoja2!$A$1:$A$18), NETWORKDAYS(F91, H91, Hoja2!$A$1:$A$18))</f>
        <v>90</v>
      </c>
      <c r="J91" s="347">
        <v>45470.0</v>
      </c>
      <c r="K91" s="347">
        <v>45610.0</v>
      </c>
      <c r="L91" s="571" t="s">
        <v>1875</v>
      </c>
      <c r="M91" s="337"/>
      <c r="N91" s="337"/>
      <c r="O91" s="337"/>
      <c r="P91" s="337"/>
      <c r="Q91" s="337"/>
      <c r="R91" s="337"/>
      <c r="S91" s="337"/>
      <c r="T91" s="337"/>
      <c r="U91" s="337"/>
      <c r="V91" s="337"/>
      <c r="W91" s="337"/>
      <c r="X91" s="337"/>
      <c r="Y91" s="337"/>
      <c r="Z91" s="337"/>
    </row>
    <row r="92" ht="15.75" customHeight="1">
      <c r="A92" s="360" t="s">
        <v>1426</v>
      </c>
      <c r="B92" s="604" t="s">
        <v>1876</v>
      </c>
      <c r="C92" s="601" t="s">
        <v>1877</v>
      </c>
      <c r="D92" s="354" t="s">
        <v>1813</v>
      </c>
      <c r="E92" s="379">
        <v>45545.0</v>
      </c>
      <c r="F92" s="379">
        <v>45546.0</v>
      </c>
      <c r="G92" s="379"/>
      <c r="H92" s="379">
        <v>45609.0</v>
      </c>
      <c r="I92" s="357">
        <f>IF(ISBLANK(H92), NETWORKDAYS(F92, TODAY(),Hoja2!$A$1:$A$18), NETWORKDAYS(F92, H92, Hoja2!$A$1:$A$18))</f>
        <v>43</v>
      </c>
      <c r="J92" s="379">
        <v>45609.0</v>
      </c>
      <c r="K92" s="379">
        <v>45610.0</v>
      </c>
      <c r="L92" s="603" t="s">
        <v>1878</v>
      </c>
      <c r="M92" s="337"/>
      <c r="N92" s="337"/>
      <c r="O92" s="337"/>
      <c r="P92" s="337"/>
      <c r="Q92" s="337"/>
      <c r="R92" s="337"/>
      <c r="S92" s="337"/>
      <c r="T92" s="337"/>
      <c r="U92" s="337"/>
      <c r="V92" s="337"/>
      <c r="W92" s="337"/>
      <c r="X92" s="337"/>
      <c r="Y92" s="337"/>
      <c r="Z92" s="337"/>
    </row>
    <row r="93" ht="15.75" customHeight="1">
      <c r="A93" s="572" t="s">
        <v>1689</v>
      </c>
      <c r="B93" s="346" t="s">
        <v>1870</v>
      </c>
      <c r="C93" s="346" t="s">
        <v>1879</v>
      </c>
      <c r="D93" s="570" t="s">
        <v>1813</v>
      </c>
      <c r="E93" s="347">
        <v>45610.0</v>
      </c>
      <c r="F93" s="347">
        <v>45610.0</v>
      </c>
      <c r="G93" s="347"/>
      <c r="H93" s="348"/>
      <c r="I93" s="582">
        <f>IF(ISBLANK(H93), NETWORKDAYS(F93, TODAY(),Hoja2!$A$1:$A$18), NETWORKDAYS(F93, H93, Hoja2!$A$1:$A$18))</f>
        <v>249</v>
      </c>
      <c r="J93" s="347"/>
      <c r="K93" s="347">
        <v>45611.0</v>
      </c>
      <c r="L93" s="350" t="s">
        <v>1880</v>
      </c>
      <c r="M93" s="573"/>
      <c r="N93" s="337"/>
      <c r="O93" s="337"/>
      <c r="P93" s="337"/>
      <c r="Q93" s="337"/>
      <c r="R93" s="337"/>
      <c r="S93" s="337"/>
      <c r="T93" s="337"/>
      <c r="U93" s="337"/>
      <c r="V93" s="337"/>
      <c r="W93" s="337"/>
      <c r="X93" s="337"/>
      <c r="Y93" s="337"/>
      <c r="Z93" s="337"/>
      <c r="AA93" s="382"/>
      <c r="AB93" s="382"/>
      <c r="AC93" s="382"/>
      <c r="AD93" s="382"/>
      <c r="AE93" s="382"/>
      <c r="AF93" s="382"/>
      <c r="AG93" s="382"/>
    </row>
    <row r="94" ht="15.75" customHeight="1">
      <c r="A94" s="360" t="s">
        <v>1426</v>
      </c>
      <c r="B94" s="669" t="s">
        <v>1881</v>
      </c>
      <c r="C94" s="369"/>
      <c r="D94" s="369" t="s">
        <v>73</v>
      </c>
      <c r="E94" s="670">
        <v>45615.0</v>
      </c>
      <c r="F94" s="670">
        <v>45615.0</v>
      </c>
      <c r="G94" s="669"/>
      <c r="H94" s="670">
        <v>45615.0</v>
      </c>
      <c r="I94" s="357">
        <f>IF(ISBLANK(H94), NETWORKDAYS(F94, TODAY(),Hoja2!$A$1:$A$18), NETWORKDAYS(F94, H94, Hoja2!$A$1:$A$18))</f>
        <v>1</v>
      </c>
      <c r="J94" s="369"/>
      <c r="K94" s="369"/>
      <c r="L94" s="671" t="s">
        <v>1882</v>
      </c>
      <c r="M94" s="672"/>
      <c r="N94" s="673"/>
      <c r="O94" s="673"/>
      <c r="P94" s="673"/>
      <c r="Q94" s="673"/>
      <c r="R94" s="673"/>
      <c r="S94" s="673"/>
      <c r="T94" s="673"/>
      <c r="U94" s="673"/>
      <c r="V94" s="673"/>
      <c r="W94" s="673"/>
      <c r="X94" s="673"/>
      <c r="Y94" s="673"/>
      <c r="Z94" s="673"/>
      <c r="AA94" s="674"/>
      <c r="AB94" s="674"/>
      <c r="AC94" s="674"/>
      <c r="AD94" s="674"/>
      <c r="AE94" s="674"/>
      <c r="AF94" s="674"/>
      <c r="AG94" s="674"/>
    </row>
    <row r="95" ht="15.75" customHeight="1">
      <c r="A95" s="572" t="s">
        <v>1689</v>
      </c>
      <c r="B95" s="346" t="s">
        <v>1870</v>
      </c>
      <c r="C95" s="385" t="s">
        <v>1883</v>
      </c>
      <c r="D95" s="570" t="s">
        <v>73</v>
      </c>
      <c r="E95" s="347">
        <v>45610.0</v>
      </c>
      <c r="F95" s="347">
        <v>45610.0</v>
      </c>
      <c r="G95" s="347"/>
      <c r="H95" s="347">
        <v>45610.0</v>
      </c>
      <c r="I95" s="582">
        <f>IF(ISBLANK(H95), NETWORKDAYS(F95, TODAY(),Hoja2!$A$1:$A$18), NETWORKDAYS(F95, H95, Hoja2!$A$1:$A$18))</f>
        <v>1</v>
      </c>
      <c r="J95" s="347"/>
      <c r="K95" s="347"/>
      <c r="L95" s="350"/>
      <c r="M95" s="573"/>
      <c r="N95" s="337"/>
      <c r="O95" s="337"/>
      <c r="P95" s="337"/>
      <c r="Q95" s="337"/>
      <c r="R95" s="337"/>
      <c r="S95" s="337"/>
      <c r="T95" s="337"/>
      <c r="U95" s="337"/>
      <c r="V95" s="337"/>
      <c r="W95" s="337"/>
      <c r="X95" s="337"/>
      <c r="Y95" s="337"/>
      <c r="Z95" s="337"/>
      <c r="AA95" s="382"/>
      <c r="AB95" s="382"/>
      <c r="AC95" s="382"/>
      <c r="AD95" s="382"/>
      <c r="AE95" s="382"/>
      <c r="AF95" s="382"/>
      <c r="AG95" s="382"/>
    </row>
    <row r="96" ht="15.75" customHeight="1">
      <c r="A96" s="572" t="s">
        <v>1689</v>
      </c>
      <c r="B96" s="346" t="s">
        <v>1870</v>
      </c>
      <c r="C96" s="346" t="s">
        <v>1884</v>
      </c>
      <c r="D96" s="570" t="s">
        <v>73</v>
      </c>
      <c r="E96" s="347">
        <v>45609.0</v>
      </c>
      <c r="F96" s="347">
        <v>45609.0</v>
      </c>
      <c r="G96" s="347"/>
      <c r="H96" s="347">
        <v>45610.0</v>
      </c>
      <c r="I96" s="349">
        <f>IF(ISBLANK(H96), NETWORKDAYS(F96, TODAY(),Hoja2!$A$1:$A$18), NETWORKDAYS(F96, H96, Hoja2!$A$1:$A$18))</f>
        <v>2</v>
      </c>
      <c r="J96" s="347"/>
      <c r="K96" s="347"/>
      <c r="L96" s="350" t="s">
        <v>1885</v>
      </c>
      <c r="M96" s="573"/>
      <c r="N96" s="337"/>
      <c r="O96" s="337"/>
      <c r="P96" s="337"/>
      <c r="Q96" s="337"/>
      <c r="R96" s="337"/>
      <c r="S96" s="337"/>
      <c r="T96" s="337"/>
      <c r="U96" s="337"/>
      <c r="V96" s="337"/>
      <c r="W96" s="337"/>
      <c r="X96" s="337"/>
      <c r="Y96" s="337"/>
      <c r="Z96" s="337"/>
      <c r="AA96" s="382"/>
      <c r="AB96" s="382"/>
      <c r="AC96" s="382"/>
      <c r="AD96" s="382"/>
      <c r="AE96" s="382"/>
      <c r="AF96" s="382"/>
      <c r="AG96" s="382"/>
    </row>
    <row r="97" ht="15.75" customHeight="1">
      <c r="A97" s="572" t="s">
        <v>1689</v>
      </c>
      <c r="B97" s="572" t="s">
        <v>1886</v>
      </c>
      <c r="C97" s="346"/>
      <c r="D97" s="570" t="s">
        <v>73</v>
      </c>
      <c r="E97" s="347">
        <v>45615.0</v>
      </c>
      <c r="F97" s="347">
        <v>45615.0</v>
      </c>
      <c r="G97" s="347"/>
      <c r="H97" s="347">
        <v>45615.0</v>
      </c>
      <c r="I97" s="349">
        <f>IF(ISBLANK(H97), NETWORKDAYS(F97, TODAY(),Hoja2!$A$1:$A$18), NETWORKDAYS(F97, H97, Hoja2!$A$1:$A$18))</f>
        <v>1</v>
      </c>
      <c r="J97" s="347"/>
      <c r="K97" s="347"/>
      <c r="L97" s="350" t="s">
        <v>1887</v>
      </c>
      <c r="M97" s="573"/>
      <c r="N97" s="337"/>
      <c r="O97" s="337"/>
      <c r="P97" s="337"/>
      <c r="Q97" s="337"/>
      <c r="R97" s="337"/>
      <c r="S97" s="337"/>
      <c r="T97" s="337"/>
      <c r="U97" s="337"/>
      <c r="V97" s="337"/>
      <c r="W97" s="337"/>
      <c r="X97" s="337"/>
      <c r="Y97" s="337"/>
      <c r="Z97" s="337"/>
      <c r="AA97" s="382"/>
      <c r="AB97" s="382"/>
      <c r="AC97" s="382"/>
      <c r="AD97" s="382"/>
      <c r="AE97" s="382"/>
      <c r="AF97" s="382"/>
      <c r="AG97" s="382"/>
    </row>
    <row r="98" ht="15.75" customHeight="1">
      <c r="A98" s="360" t="s">
        <v>1426</v>
      </c>
      <c r="B98" s="375" t="s">
        <v>1870</v>
      </c>
      <c r="C98" s="604" t="s">
        <v>1888</v>
      </c>
      <c r="D98" s="375" t="s">
        <v>73</v>
      </c>
      <c r="E98" s="361">
        <v>45610.0</v>
      </c>
      <c r="F98" s="361">
        <v>45610.0</v>
      </c>
      <c r="G98" s="360"/>
      <c r="H98" s="361">
        <v>45610.0</v>
      </c>
      <c r="I98" s="357">
        <f>IF(ISBLANK(H98), NETWORKDAYS(F98, TODAY(),Hoja2!$A$1:$A$18), NETWORKDAYS(F98, H98, Hoja2!$A$1:$A$18))</f>
        <v>1</v>
      </c>
      <c r="J98" s="375"/>
      <c r="K98" s="375"/>
      <c r="L98" s="661" t="s">
        <v>1889</v>
      </c>
      <c r="M98" s="573"/>
      <c r="N98" s="337"/>
      <c r="O98" s="337"/>
      <c r="P98" s="337"/>
      <c r="Q98" s="337"/>
      <c r="R98" s="337"/>
      <c r="S98" s="337"/>
      <c r="T98" s="337"/>
      <c r="U98" s="337"/>
      <c r="V98" s="337"/>
      <c r="W98" s="337"/>
      <c r="X98" s="337"/>
      <c r="Y98" s="337"/>
      <c r="Z98" s="337"/>
    </row>
    <row r="99" ht="15.75" customHeight="1">
      <c r="A99" s="360" t="s">
        <v>1426</v>
      </c>
      <c r="B99" s="655" t="s">
        <v>1890</v>
      </c>
      <c r="C99" s="632" t="s">
        <v>1891</v>
      </c>
      <c r="D99" s="375" t="s">
        <v>73</v>
      </c>
      <c r="E99" s="361">
        <v>45614.0</v>
      </c>
      <c r="F99" s="361">
        <v>45614.0</v>
      </c>
      <c r="G99" s="360"/>
      <c r="H99" s="361">
        <v>45618.0</v>
      </c>
      <c r="I99" s="357">
        <f>IF(ISBLANK(H99), NETWORKDAYS(F99, TODAY(),Hoja2!$A$1:$A$18), NETWORKDAYS(F99, H99, Hoja2!$A$1:$A$18))</f>
        <v>5</v>
      </c>
      <c r="J99" s="375"/>
      <c r="K99" s="375"/>
      <c r="L99" s="661" t="s">
        <v>1892</v>
      </c>
      <c r="M99" s="573"/>
      <c r="N99" s="337"/>
      <c r="O99" s="337"/>
      <c r="P99" s="337"/>
      <c r="Q99" s="337"/>
      <c r="R99" s="337"/>
      <c r="S99" s="337"/>
      <c r="T99" s="337"/>
      <c r="U99" s="337"/>
      <c r="V99" s="337"/>
      <c r="W99" s="337"/>
      <c r="X99" s="337"/>
      <c r="Y99" s="337"/>
      <c r="Z99" s="337"/>
    </row>
    <row r="100" ht="15.75" customHeight="1">
      <c r="A100" s="675" t="s">
        <v>1411</v>
      </c>
      <c r="B100" s="575" t="s">
        <v>1893</v>
      </c>
      <c r="C100" s="336"/>
      <c r="D100" s="570" t="s">
        <v>1810</v>
      </c>
      <c r="E100" s="347">
        <v>45621.0</v>
      </c>
      <c r="F100" s="347">
        <v>45621.0</v>
      </c>
      <c r="G100" s="676"/>
      <c r="H100" s="347">
        <v>45621.0</v>
      </c>
      <c r="I100" s="677">
        <f>IF(ISBLANK(H100), NETWORKDAYS(F100, TODAY(),Hoja2!$A$1:$A$18), NETWORKDAYS(F100, H100, Hoja2!$A$1:$A$18))</f>
        <v>1</v>
      </c>
      <c r="J100" s="347">
        <v>45621.0</v>
      </c>
      <c r="K100" s="678">
        <v>45621.0</v>
      </c>
      <c r="L100" s="571" t="s">
        <v>1894</v>
      </c>
      <c r="M100" s="337"/>
      <c r="N100" s="337"/>
      <c r="O100" s="337"/>
      <c r="P100" s="337"/>
      <c r="Q100" s="337"/>
      <c r="R100" s="337"/>
      <c r="S100" s="337"/>
      <c r="T100" s="337"/>
      <c r="U100" s="337"/>
      <c r="V100" s="337"/>
      <c r="W100" s="337"/>
      <c r="X100" s="337"/>
      <c r="Y100" s="337"/>
      <c r="Z100" s="337"/>
    </row>
    <row r="101" ht="15.75" customHeight="1">
      <c r="A101" s="675" t="s">
        <v>1411</v>
      </c>
      <c r="B101" s="679" t="s">
        <v>1895</v>
      </c>
      <c r="C101" s="680" t="s">
        <v>1896</v>
      </c>
      <c r="D101" s="681" t="s">
        <v>73</v>
      </c>
      <c r="E101" s="682">
        <v>45610.0</v>
      </c>
      <c r="F101" s="682">
        <v>45610.0</v>
      </c>
      <c r="G101" s="683"/>
      <c r="H101" s="684">
        <v>45622.0</v>
      </c>
      <c r="I101" s="677">
        <f>IF(ISBLANK(H101), NETWORKDAYS(F101, TODAY(),Hoja2!$A$1:$A$18), NETWORKDAYS(F101, H101, Hoja2!$A$1:$A$18))</f>
        <v>9</v>
      </c>
      <c r="J101" s="684"/>
      <c r="K101" s="684"/>
      <c r="L101" s="685" t="s">
        <v>1897</v>
      </c>
      <c r="M101" s="337"/>
      <c r="N101" s="337"/>
      <c r="O101" s="337"/>
      <c r="P101" s="337"/>
      <c r="Q101" s="337"/>
      <c r="R101" s="337"/>
      <c r="S101" s="337"/>
      <c r="T101" s="337"/>
      <c r="U101" s="337"/>
      <c r="V101" s="337"/>
      <c r="W101" s="337"/>
      <c r="X101" s="337"/>
      <c r="Y101" s="337"/>
      <c r="Z101" s="337"/>
    </row>
    <row r="102" ht="15.75" customHeight="1">
      <c r="A102" s="675" t="s">
        <v>1411</v>
      </c>
      <c r="B102" s="679" t="s">
        <v>1895</v>
      </c>
      <c r="C102" s="680" t="s">
        <v>1898</v>
      </c>
      <c r="D102" s="681" t="s">
        <v>1899</v>
      </c>
      <c r="E102" s="682">
        <v>45610.0</v>
      </c>
      <c r="F102" s="682"/>
      <c r="G102" s="683"/>
      <c r="H102" s="675">
        <v>0.0</v>
      </c>
      <c r="I102" s="677">
        <f>IF(ISBLANK(H102), NETWORKDAYS(F102, TODAY(),Hoja2!$A$1:$A$18), NETWORKDAYS(F102, H102, Hoja2!$A$1:$A$18))</f>
        <v>0</v>
      </c>
      <c r="J102" s="684"/>
      <c r="K102" s="684"/>
      <c r="L102" s="685" t="s">
        <v>1900</v>
      </c>
      <c r="M102" s="337"/>
      <c r="N102" s="337"/>
      <c r="O102" s="337"/>
      <c r="P102" s="337"/>
      <c r="Q102" s="337"/>
      <c r="R102" s="337"/>
      <c r="S102" s="337"/>
      <c r="T102" s="337"/>
      <c r="U102" s="337"/>
      <c r="V102" s="337"/>
      <c r="W102" s="337"/>
      <c r="X102" s="337"/>
      <c r="Y102" s="337"/>
      <c r="Z102" s="337"/>
    </row>
    <row r="103" ht="15.75" customHeight="1">
      <c r="A103" s="336" t="s">
        <v>1901</v>
      </c>
      <c r="B103" s="566" t="s">
        <v>1902</v>
      </c>
      <c r="C103" s="556"/>
      <c r="D103" s="348" t="s">
        <v>73</v>
      </c>
      <c r="E103" s="347">
        <v>45611.0</v>
      </c>
      <c r="F103" s="347">
        <v>45616.0</v>
      </c>
      <c r="G103" s="347"/>
      <c r="H103" s="347">
        <v>45616.0</v>
      </c>
      <c r="I103" s="349">
        <f>IF(ISBLANK(H103), NETWORKDAYS(F103, TODAY(),Hoja2!$A$1:$A$18), NETWORKDAYS(F103, H103, Hoja2!$A$1:$A$18))</f>
        <v>1</v>
      </c>
      <c r="J103" s="347"/>
      <c r="K103" s="347"/>
      <c r="L103" s="350" t="s">
        <v>1903</v>
      </c>
      <c r="M103" s="573"/>
      <c r="N103" s="337"/>
      <c r="O103" s="337"/>
      <c r="P103" s="337"/>
      <c r="Q103" s="337"/>
      <c r="R103" s="337"/>
      <c r="S103" s="337"/>
      <c r="T103" s="337"/>
      <c r="U103" s="337"/>
      <c r="V103" s="337"/>
      <c r="W103" s="337"/>
      <c r="X103" s="337"/>
      <c r="Y103" s="337"/>
      <c r="Z103" s="337"/>
    </row>
    <row r="104" ht="15.75" customHeight="1">
      <c r="A104" s="376" t="s">
        <v>1418</v>
      </c>
      <c r="B104" s="600" t="s">
        <v>1904</v>
      </c>
      <c r="C104" s="686" t="s">
        <v>1905</v>
      </c>
      <c r="D104" s="632" t="s">
        <v>1810</v>
      </c>
      <c r="E104" s="658">
        <v>45603.0</v>
      </c>
      <c r="F104" s="658">
        <v>45603.0</v>
      </c>
      <c r="G104" s="658">
        <v>45603.0</v>
      </c>
      <c r="H104" s="658">
        <v>45621.0</v>
      </c>
      <c r="I104" s="659">
        <f>IF(ISBLANK(H104), NETWORKDAYS(F104, TODAY(),Hoja2!$A$1:$A$18), NETWORKDAYS(F104, H104, Hoja2!$A$1:$A$18))</f>
        <v>12</v>
      </c>
      <c r="J104" s="658">
        <v>45621.0</v>
      </c>
      <c r="K104" s="658">
        <v>45622.0</v>
      </c>
      <c r="L104" s="660" t="s">
        <v>1906</v>
      </c>
      <c r="M104" s="337"/>
      <c r="N104" s="337"/>
      <c r="O104" s="337"/>
      <c r="P104" s="337"/>
      <c r="Q104" s="337"/>
      <c r="R104" s="337"/>
      <c r="S104" s="337"/>
      <c r="T104" s="337"/>
      <c r="U104" s="337"/>
      <c r="V104" s="337"/>
      <c r="W104" s="337"/>
      <c r="X104" s="337"/>
      <c r="Y104" s="337"/>
      <c r="Z104" s="337"/>
    </row>
    <row r="105" ht="15.75" customHeight="1">
      <c r="A105" s="675" t="s">
        <v>1411</v>
      </c>
      <c r="B105" s="687" t="s">
        <v>1895</v>
      </c>
      <c r="C105" s="680" t="s">
        <v>1907</v>
      </c>
      <c r="D105" s="688" t="s">
        <v>1810</v>
      </c>
      <c r="E105" s="682">
        <v>45610.0</v>
      </c>
      <c r="F105" s="682">
        <v>45610.0</v>
      </c>
      <c r="G105" s="683">
        <v>45611.0</v>
      </c>
      <c r="H105" s="689">
        <v>45621.0</v>
      </c>
      <c r="I105" s="677">
        <f>IF(ISBLANK(H105), NETWORKDAYS(F105, TODAY(),Hoja2!$A$1:$A$18), NETWORKDAYS(F105, H105, Hoja2!$A$1:$A$18))</f>
        <v>8</v>
      </c>
      <c r="J105" s="684">
        <v>45621.0</v>
      </c>
      <c r="K105" s="684">
        <v>45624.0</v>
      </c>
      <c r="L105" s="685" t="s">
        <v>1908</v>
      </c>
      <c r="M105" s="337"/>
      <c r="N105" s="337"/>
      <c r="O105" s="337"/>
      <c r="P105" s="337"/>
      <c r="Q105" s="337"/>
      <c r="R105" s="337"/>
      <c r="S105" s="337"/>
      <c r="T105" s="337"/>
      <c r="U105" s="337"/>
      <c r="V105" s="337"/>
      <c r="W105" s="337"/>
      <c r="X105" s="337"/>
      <c r="Y105" s="337"/>
      <c r="Z105" s="337"/>
    </row>
    <row r="106" ht="15.75" customHeight="1">
      <c r="A106" s="572" t="s">
        <v>1689</v>
      </c>
      <c r="B106" s="690" t="s">
        <v>1709</v>
      </c>
      <c r="C106" s="570" t="s">
        <v>1909</v>
      </c>
      <c r="D106" s="570" t="s">
        <v>1910</v>
      </c>
      <c r="E106" s="347">
        <v>45593.0</v>
      </c>
      <c r="F106" s="347">
        <v>45593.0</v>
      </c>
      <c r="G106" s="347"/>
      <c r="H106" s="347"/>
      <c r="I106" s="349">
        <f>IF(ISBLANK(H106), NETWORKDAYS(F106, TODAY(),Hoja2!$A$1:$A$18), NETWORKDAYS(F106, H106, Hoja2!$A$1:$A$18))</f>
        <v>260</v>
      </c>
      <c r="J106" s="347">
        <v>45611.0</v>
      </c>
      <c r="K106" s="347">
        <v>45611.0</v>
      </c>
      <c r="L106" s="350" t="s">
        <v>1911</v>
      </c>
      <c r="M106" s="573"/>
      <c r="N106" s="337"/>
      <c r="O106" s="337"/>
      <c r="P106" s="337"/>
      <c r="Q106" s="337"/>
      <c r="R106" s="337"/>
      <c r="S106" s="337"/>
      <c r="T106" s="337"/>
      <c r="U106" s="337"/>
      <c r="V106" s="337"/>
      <c r="W106" s="337"/>
      <c r="X106" s="337"/>
      <c r="Y106" s="337"/>
      <c r="Z106" s="337"/>
    </row>
    <row r="107" ht="15.75" customHeight="1">
      <c r="A107" s="360" t="s">
        <v>1426</v>
      </c>
      <c r="B107" s="599" t="s">
        <v>1912</v>
      </c>
      <c r="C107" s="375"/>
      <c r="D107" s="691" t="s">
        <v>73</v>
      </c>
      <c r="E107" s="379">
        <v>45623.0</v>
      </c>
      <c r="F107" s="361">
        <v>45623.0</v>
      </c>
      <c r="G107" s="360"/>
      <c r="H107" s="361">
        <v>45625.0</v>
      </c>
      <c r="I107" s="357">
        <f>IF(ISBLANK(H107), NETWORKDAYS(F107, TODAY(),Hoja2!$A$1:$A$18), NETWORKDAYS(F107, H107, Hoja2!$A$1:$A$18))</f>
        <v>3</v>
      </c>
      <c r="J107" s="361">
        <v>45625.0</v>
      </c>
      <c r="K107" s="375"/>
      <c r="L107" s="661" t="s">
        <v>1913</v>
      </c>
      <c r="M107" s="573"/>
      <c r="N107" s="337"/>
      <c r="O107" s="337"/>
      <c r="P107" s="337"/>
      <c r="Q107" s="337"/>
      <c r="R107" s="337"/>
      <c r="S107" s="337"/>
      <c r="T107" s="337"/>
      <c r="U107" s="337"/>
      <c r="V107" s="337"/>
      <c r="W107" s="337"/>
      <c r="X107" s="337"/>
      <c r="Y107" s="337"/>
      <c r="Z107" s="337"/>
    </row>
    <row r="108" ht="15.75" customHeight="1">
      <c r="A108" s="692" t="s">
        <v>1411</v>
      </c>
      <c r="B108" s="679" t="s">
        <v>1914</v>
      </c>
      <c r="C108" s="693"/>
      <c r="D108" s="694" t="s">
        <v>1810</v>
      </c>
      <c r="E108" s="695">
        <v>45624.0</v>
      </c>
      <c r="F108" s="695">
        <v>45625.0</v>
      </c>
      <c r="G108" s="683"/>
      <c r="H108" s="682">
        <v>45625.0</v>
      </c>
      <c r="I108" s="677">
        <f>IF(ISBLANK(H108), NETWORKDAYS(F108, TODAY(),Hoja2!$A$1:$A$18), NETWORKDAYS(F108, H108, Hoja2!$A$1:$A$18))</f>
        <v>1</v>
      </c>
      <c r="J108" s="682">
        <v>45625.0</v>
      </c>
      <c r="K108" s="682">
        <v>45625.0</v>
      </c>
      <c r="L108" s="685" t="s">
        <v>1915</v>
      </c>
      <c r="M108" s="337"/>
      <c r="N108" s="337"/>
      <c r="O108" s="337"/>
      <c r="P108" s="337"/>
      <c r="Q108" s="337"/>
      <c r="R108" s="337"/>
      <c r="S108" s="337"/>
      <c r="T108" s="337"/>
      <c r="U108" s="337"/>
      <c r="V108" s="337"/>
      <c r="W108" s="337"/>
      <c r="X108" s="337"/>
      <c r="Y108" s="337"/>
      <c r="Z108" s="337"/>
    </row>
    <row r="109" ht="15.75" customHeight="1">
      <c r="A109" s="375" t="s">
        <v>1418</v>
      </c>
      <c r="B109" s="696" t="s">
        <v>1916</v>
      </c>
      <c r="C109" s="601" t="s">
        <v>1917</v>
      </c>
      <c r="D109" s="354" t="s">
        <v>1765</v>
      </c>
      <c r="E109" s="379">
        <v>45618.0</v>
      </c>
      <c r="F109" s="379">
        <v>45618.0</v>
      </c>
      <c r="G109" s="697"/>
      <c r="H109" s="379">
        <v>45625.0</v>
      </c>
      <c r="I109" s="357">
        <f>IF(ISBLANK(H109), NETWORKDAYS(F109, TODAY(),Hoja2!$A$1:$A$18), NETWORKDAYS(F109, H109, Hoja2!$A$1:$A$18))</f>
        <v>6</v>
      </c>
      <c r="J109" s="379">
        <v>45625.0</v>
      </c>
      <c r="K109" s="379">
        <v>45625.0</v>
      </c>
      <c r="L109" s="698" t="s">
        <v>1918</v>
      </c>
      <c r="M109" s="337"/>
      <c r="N109" s="337"/>
      <c r="O109" s="337"/>
      <c r="P109" s="337"/>
      <c r="Q109" s="337"/>
      <c r="R109" s="337"/>
      <c r="S109" s="337"/>
      <c r="T109" s="337"/>
      <c r="U109" s="337"/>
      <c r="V109" s="337"/>
      <c r="W109" s="337"/>
      <c r="X109" s="337"/>
      <c r="Y109" s="337"/>
      <c r="Z109" s="337"/>
    </row>
    <row r="110" ht="15.75" customHeight="1">
      <c r="A110" s="699" t="s">
        <v>1689</v>
      </c>
      <c r="B110" s="557" t="s">
        <v>1919</v>
      </c>
      <c r="C110" s="644" t="s">
        <v>1920</v>
      </c>
      <c r="D110" s="594" t="s">
        <v>1921</v>
      </c>
      <c r="E110" s="618">
        <v>45616.0</v>
      </c>
      <c r="F110" s="618">
        <v>45616.0</v>
      </c>
      <c r="G110" s="618"/>
      <c r="H110" s="586"/>
      <c r="I110" s="563">
        <f>IF(ISBLANK(H110), NETWORKDAYS(F110, TODAY(),Hoja2!$A$1:$A$18), NETWORKDAYS(F110, H110, Hoja2!$A$1:$A$18))</f>
        <v>245</v>
      </c>
      <c r="J110" s="618"/>
      <c r="K110" s="618"/>
      <c r="L110" s="619" t="s">
        <v>1922</v>
      </c>
      <c r="M110" s="573"/>
      <c r="N110" s="337"/>
      <c r="O110" s="337"/>
      <c r="P110" s="337"/>
      <c r="Q110" s="337"/>
      <c r="R110" s="337"/>
      <c r="S110" s="337"/>
      <c r="T110" s="337"/>
      <c r="U110" s="337"/>
      <c r="V110" s="337"/>
      <c r="W110" s="337"/>
      <c r="X110" s="337"/>
      <c r="Y110" s="337"/>
      <c r="Z110" s="337"/>
    </row>
    <row r="111" ht="15.75" customHeight="1">
      <c r="A111" s="572" t="s">
        <v>1689</v>
      </c>
      <c r="B111" s="346" t="s">
        <v>1870</v>
      </c>
      <c r="C111" s="700" t="s">
        <v>1923</v>
      </c>
      <c r="D111" s="570" t="s">
        <v>1810</v>
      </c>
      <c r="E111" s="667">
        <v>45616.0</v>
      </c>
      <c r="F111" s="701">
        <v>45617.0</v>
      </c>
      <c r="G111" s="666"/>
      <c r="H111" s="347">
        <v>45618.0</v>
      </c>
      <c r="I111" s="349">
        <f>IF(ISBLANK(H111), NETWORKDAYS(F111, TODAY(),Hoja2!$A$1:$A$18), NETWORKDAYS(F111, H111, Hoja2!$A$1:$A$18))</f>
        <v>2</v>
      </c>
      <c r="J111" s="347">
        <v>45618.0</v>
      </c>
      <c r="K111" s="667">
        <v>45630.0</v>
      </c>
      <c r="L111" s="702" t="s">
        <v>1924</v>
      </c>
    </row>
    <row r="112" ht="15.75" customHeight="1">
      <c r="A112" s="572" t="s">
        <v>1689</v>
      </c>
      <c r="B112" s="346" t="s">
        <v>1870</v>
      </c>
      <c r="C112" s="700" t="s">
        <v>1925</v>
      </c>
      <c r="D112" s="570" t="s">
        <v>1810</v>
      </c>
      <c r="E112" s="667">
        <v>45618.0</v>
      </c>
      <c r="F112" s="701">
        <v>45618.0</v>
      </c>
      <c r="G112" s="666"/>
      <c r="H112" s="701">
        <v>45618.0</v>
      </c>
      <c r="I112" s="349">
        <f>IF(ISBLANK(H112), NETWORKDAYS(F112, TODAY(),Hoja2!$A$1:$A$18), NETWORKDAYS(F112, H112, Hoja2!$A$1:$A$18))</f>
        <v>1</v>
      </c>
      <c r="J112" s="701">
        <v>45618.0</v>
      </c>
      <c r="K112" s="667">
        <v>45630.0</v>
      </c>
      <c r="L112" s="702" t="s">
        <v>1926</v>
      </c>
    </row>
    <row r="113" ht="15.75" customHeight="1">
      <c r="A113" s="572" t="s">
        <v>1689</v>
      </c>
      <c r="B113" s="346" t="s">
        <v>1870</v>
      </c>
      <c r="C113" s="650" t="s">
        <v>1927</v>
      </c>
      <c r="D113" s="570" t="s">
        <v>1810</v>
      </c>
      <c r="E113" s="667">
        <v>45616.0</v>
      </c>
      <c r="F113" s="701">
        <v>45616.0</v>
      </c>
      <c r="G113" s="666"/>
      <c r="H113" s="347">
        <v>45618.0</v>
      </c>
      <c r="I113" s="349">
        <f>IF(ISBLANK(H113), NETWORKDAYS(F113, TODAY(),Hoja2!$A$1:$A$18), NETWORKDAYS(F113, H113, Hoja2!$A$1:$A$18))</f>
        <v>3</v>
      </c>
      <c r="J113" s="347">
        <v>45618.0</v>
      </c>
      <c r="K113" s="667">
        <v>45630.0</v>
      </c>
      <c r="L113" s="606" t="s">
        <v>1928</v>
      </c>
    </row>
    <row r="114" ht="15.75" customHeight="1">
      <c r="A114" s="360" t="s">
        <v>1426</v>
      </c>
      <c r="B114" s="703" t="s">
        <v>1929</v>
      </c>
      <c r="C114" s="655"/>
      <c r="D114" s="655" t="s">
        <v>73</v>
      </c>
      <c r="E114" s="663">
        <v>45629.0</v>
      </c>
      <c r="F114" s="663">
        <v>45629.0</v>
      </c>
      <c r="G114" s="376"/>
      <c r="H114" s="663">
        <v>45629.0</v>
      </c>
      <c r="I114" s="357">
        <f>IF(ISBLANK(H114), NETWORKDAYS(F114, TODAY(),Hoja2!$A$1:$A$18), NETWORKDAYS(F114, H114, Hoja2!$A$1:$A$18))</f>
        <v>1</v>
      </c>
      <c r="J114" s="655"/>
      <c r="K114" s="663">
        <v>45630.0</v>
      </c>
      <c r="L114" s="704" t="s">
        <v>1930</v>
      </c>
      <c r="M114" s="573"/>
      <c r="N114" s="337"/>
      <c r="O114" s="337"/>
      <c r="P114" s="337"/>
      <c r="Q114" s="337"/>
      <c r="R114" s="337"/>
      <c r="S114" s="337"/>
      <c r="T114" s="337"/>
      <c r="U114" s="337"/>
      <c r="V114" s="337"/>
      <c r="W114" s="337"/>
      <c r="X114" s="337"/>
      <c r="Y114" s="337"/>
      <c r="Z114" s="337"/>
      <c r="AA114" s="382"/>
      <c r="AB114" s="382"/>
      <c r="AC114" s="382"/>
      <c r="AD114" s="382"/>
      <c r="AE114" s="382"/>
      <c r="AF114" s="382"/>
      <c r="AG114" s="382"/>
    </row>
    <row r="115" ht="15.75" customHeight="1">
      <c r="A115" s="572" t="s">
        <v>1689</v>
      </c>
      <c r="B115" s="572" t="s">
        <v>1931</v>
      </c>
      <c r="C115" s="346"/>
      <c r="D115" s="570" t="s">
        <v>1810</v>
      </c>
      <c r="E115" s="347">
        <v>45628.0</v>
      </c>
      <c r="F115" s="347">
        <v>45630.0</v>
      </c>
      <c r="G115" s="347"/>
      <c r="H115" s="347">
        <v>45631.0</v>
      </c>
      <c r="I115" s="349">
        <f>IF(ISBLANK(H115), NETWORKDAYS(F115, TODAY(),Hoja2!$A$1:$A$18), NETWORKDAYS(F115, H115, Hoja2!$A$1:$A$18))</f>
        <v>2</v>
      </c>
      <c r="J115" s="347"/>
      <c r="K115" s="347">
        <v>45631.0</v>
      </c>
      <c r="L115" s="350" t="s">
        <v>1932</v>
      </c>
      <c r="M115" s="573"/>
      <c r="N115" s="337"/>
      <c r="O115" s="337"/>
      <c r="P115" s="337"/>
      <c r="Q115" s="337"/>
      <c r="R115" s="337"/>
      <c r="S115" s="337"/>
      <c r="T115" s="337"/>
      <c r="U115" s="337"/>
      <c r="V115" s="337"/>
      <c r="W115" s="337"/>
      <c r="X115" s="337"/>
      <c r="Y115" s="337"/>
      <c r="Z115" s="337"/>
    </row>
    <row r="116" ht="15.75" customHeight="1">
      <c r="A116" s="360" t="s">
        <v>1426</v>
      </c>
      <c r="B116" s="705" t="s">
        <v>1933</v>
      </c>
      <c r="C116" s="655"/>
      <c r="D116" s="655" t="s">
        <v>73</v>
      </c>
      <c r="E116" s="663">
        <v>45628.0</v>
      </c>
      <c r="F116" s="663">
        <v>45630.0</v>
      </c>
      <c r="G116" s="376"/>
      <c r="H116" s="663">
        <v>45632.0</v>
      </c>
      <c r="I116" s="357">
        <f>IF(ISBLANK(H116), NETWORKDAYS(F116, TODAY(),Hoja2!$A$1:$A$18), NETWORKDAYS(F116, H116, Hoja2!$A$1:$A$18))</f>
        <v>3</v>
      </c>
      <c r="J116" s="655"/>
      <c r="K116" s="655"/>
      <c r="L116" s="664" t="s">
        <v>1934</v>
      </c>
      <c r="M116" s="573"/>
      <c r="N116" s="337"/>
      <c r="O116" s="337"/>
      <c r="P116" s="337"/>
      <c r="Q116" s="337"/>
      <c r="R116" s="337"/>
      <c r="S116" s="337"/>
      <c r="T116" s="337"/>
      <c r="U116" s="337"/>
      <c r="V116" s="337"/>
      <c r="W116" s="337"/>
      <c r="X116" s="337"/>
      <c r="Y116" s="337"/>
      <c r="Z116" s="337"/>
      <c r="AA116" s="382"/>
      <c r="AB116" s="382"/>
      <c r="AC116" s="382"/>
      <c r="AD116" s="382"/>
      <c r="AE116" s="382"/>
      <c r="AF116" s="382"/>
      <c r="AG116" s="382"/>
    </row>
    <row r="117" ht="15.75" customHeight="1">
      <c r="A117" s="360" t="s">
        <v>1426</v>
      </c>
      <c r="B117" s="705" t="s">
        <v>1935</v>
      </c>
      <c r="C117" s="655"/>
      <c r="D117" s="655" t="s">
        <v>73</v>
      </c>
      <c r="E117" s="663">
        <v>45635.0</v>
      </c>
      <c r="F117" s="663">
        <v>45635.0</v>
      </c>
      <c r="G117" s="376"/>
      <c r="H117" s="663">
        <v>45635.0</v>
      </c>
      <c r="I117" s="357">
        <f>IF(ISBLANK(H117), NETWORKDAYS(F117, TODAY(),Hoja2!$A$1:$A$18), NETWORKDAYS(F117, H117, Hoja2!$A$1:$A$18))</f>
        <v>1</v>
      </c>
      <c r="J117" s="663">
        <v>45635.0</v>
      </c>
      <c r="K117" s="655"/>
      <c r="L117" s="664"/>
      <c r="M117" s="573"/>
      <c r="N117" s="337"/>
      <c r="O117" s="337"/>
      <c r="P117" s="337"/>
      <c r="Q117" s="337"/>
      <c r="R117" s="337"/>
      <c r="S117" s="337"/>
      <c r="T117" s="337"/>
      <c r="U117" s="337"/>
      <c r="V117" s="337"/>
      <c r="W117" s="337"/>
      <c r="X117" s="337"/>
      <c r="Y117" s="337"/>
      <c r="Z117" s="337"/>
      <c r="AA117" s="382"/>
      <c r="AB117" s="382"/>
      <c r="AC117" s="382"/>
      <c r="AD117" s="382"/>
      <c r="AE117" s="382"/>
      <c r="AF117" s="382"/>
      <c r="AG117" s="382"/>
    </row>
    <row r="118" ht="15.75" customHeight="1">
      <c r="A118" s="375" t="s">
        <v>1436</v>
      </c>
      <c r="B118" s="352" t="s">
        <v>1936</v>
      </c>
      <c r="C118" s="706"/>
      <c r="D118" s="602" t="s">
        <v>73</v>
      </c>
      <c r="E118" s="379">
        <v>45630.0</v>
      </c>
      <c r="F118" s="379">
        <v>45631.0</v>
      </c>
      <c r="G118" s="614"/>
      <c r="H118" s="615">
        <v>45635.0</v>
      </c>
      <c r="I118" s="707">
        <f>IF(ISBLANK(H118), NETWORKDAYS(F118, TODAY(),Hoja2!$A$1:$A$18), NETWORKDAYS(F118, H118, Hoja2!$A$1:$A$18))</f>
        <v>3</v>
      </c>
      <c r="J118" s="615"/>
      <c r="K118" s="615"/>
      <c r="L118" s="708" t="s">
        <v>1937</v>
      </c>
      <c r="M118" s="573"/>
      <c r="N118" s="337"/>
      <c r="O118" s="337"/>
      <c r="P118" s="337"/>
      <c r="Q118" s="337"/>
      <c r="R118" s="337"/>
      <c r="S118" s="337"/>
      <c r="T118" s="337"/>
      <c r="U118" s="337"/>
      <c r="V118" s="337"/>
      <c r="W118" s="337"/>
      <c r="X118" s="337"/>
      <c r="Y118" s="337"/>
      <c r="Z118" s="337"/>
    </row>
    <row r="119" ht="15.75" customHeight="1">
      <c r="A119" s="360" t="s">
        <v>1426</v>
      </c>
      <c r="B119" s="360" t="s">
        <v>1938</v>
      </c>
      <c r="C119" s="375"/>
      <c r="D119" s="375" t="s">
        <v>73</v>
      </c>
      <c r="E119" s="361">
        <v>45635.0</v>
      </c>
      <c r="F119" s="361">
        <v>45636.0</v>
      </c>
      <c r="G119" s="360"/>
      <c r="H119" s="361">
        <v>45636.0</v>
      </c>
      <c r="I119" s="357">
        <f>IF(ISBLANK(H119), NETWORKDAYS(F119, TODAY(),Hoja2!$A$1:$A$18), NETWORKDAYS(F119, H119, Hoja2!$A$1:$A$18))</f>
        <v>1</v>
      </c>
      <c r="J119" s="375"/>
      <c r="K119" s="361">
        <v>45636.0</v>
      </c>
      <c r="L119" s="661" t="s">
        <v>1939</v>
      </c>
      <c r="M119" s="573"/>
      <c r="N119" s="337"/>
      <c r="O119" s="337"/>
      <c r="P119" s="337"/>
      <c r="Q119" s="337"/>
      <c r="R119" s="337"/>
      <c r="S119" s="337"/>
      <c r="T119" s="337"/>
      <c r="U119" s="337"/>
      <c r="V119" s="337"/>
      <c r="W119" s="337"/>
      <c r="X119" s="337"/>
      <c r="Y119" s="337"/>
      <c r="Z119" s="337"/>
      <c r="AA119" s="382"/>
      <c r="AB119" s="382"/>
      <c r="AC119" s="382"/>
      <c r="AD119" s="382"/>
      <c r="AE119" s="382"/>
      <c r="AF119" s="382"/>
      <c r="AG119" s="382"/>
    </row>
    <row r="120" ht="15.75" customHeight="1">
      <c r="A120" s="375" t="s">
        <v>1436</v>
      </c>
      <c r="B120" s="709" t="s">
        <v>1940</v>
      </c>
      <c r="C120" s="706"/>
      <c r="D120" s="354" t="s">
        <v>1810</v>
      </c>
      <c r="E120" s="379">
        <v>45631.0</v>
      </c>
      <c r="F120" s="379">
        <v>45635.0</v>
      </c>
      <c r="G120" s="379"/>
      <c r="H120" s="379">
        <v>45636.0</v>
      </c>
      <c r="I120" s="357">
        <f>IF(ISBLANK(H120), NETWORKDAYS(F120, TODAY(),Hoja2!$A$1:$A$18), NETWORKDAYS(F120, H120, Hoja2!$A$1:$A$18))</f>
        <v>2</v>
      </c>
      <c r="J120" s="379"/>
      <c r="K120" s="379"/>
      <c r="L120" s="698" t="s">
        <v>1941</v>
      </c>
      <c r="M120" s="573"/>
      <c r="N120" s="337"/>
      <c r="O120" s="337"/>
      <c r="P120" s="337"/>
      <c r="Q120" s="337"/>
      <c r="R120" s="337"/>
      <c r="S120" s="337"/>
      <c r="T120" s="337"/>
      <c r="U120" s="337"/>
      <c r="V120" s="337"/>
      <c r="W120" s="337"/>
      <c r="X120" s="337"/>
      <c r="Y120" s="337"/>
      <c r="Z120" s="337"/>
    </row>
    <row r="121" ht="15.75" customHeight="1">
      <c r="A121" s="336" t="s">
        <v>1411</v>
      </c>
      <c r="B121" s="575" t="s">
        <v>1942</v>
      </c>
      <c r="C121" s="675"/>
      <c r="D121" s="681" t="s">
        <v>73</v>
      </c>
      <c r="E121" s="682">
        <v>45632.0</v>
      </c>
      <c r="F121" s="682">
        <v>45632.0</v>
      </c>
      <c r="G121" s="683"/>
      <c r="H121" s="684">
        <v>45637.0</v>
      </c>
      <c r="I121" s="349">
        <f>IF(ISBLANK(H121), NETWORKDAYS(F121, TODAY(),Hoja2!$A$1:$A$18), NETWORKDAYS(F121, H121, Hoja2!$A$1:$A$18))</f>
        <v>4</v>
      </c>
      <c r="J121" s="684"/>
      <c r="K121" s="684">
        <v>45636.0</v>
      </c>
      <c r="L121" s="685" t="s">
        <v>1943</v>
      </c>
      <c r="M121" s="710"/>
      <c r="N121" s="710"/>
      <c r="O121" s="710"/>
      <c r="P121" s="710"/>
      <c r="Q121" s="710"/>
      <c r="R121" s="710"/>
      <c r="S121" s="710"/>
      <c r="T121" s="710"/>
      <c r="U121" s="710"/>
      <c r="V121" s="710"/>
      <c r="W121" s="710"/>
      <c r="X121" s="710"/>
      <c r="Y121" s="710"/>
      <c r="Z121" s="710"/>
      <c r="AA121" s="711"/>
      <c r="AB121" s="711"/>
      <c r="AC121" s="711"/>
      <c r="AD121" s="711"/>
      <c r="AE121" s="711"/>
      <c r="AF121" s="711"/>
      <c r="AG121" s="711"/>
    </row>
    <row r="122" ht="15.75" customHeight="1">
      <c r="A122" s="336" t="s">
        <v>1411</v>
      </c>
      <c r="B122" s="522"/>
      <c r="C122" s="554" t="s">
        <v>1944</v>
      </c>
      <c r="D122" s="681" t="s">
        <v>73</v>
      </c>
      <c r="E122" s="682">
        <v>45637.0</v>
      </c>
      <c r="F122" s="682">
        <v>45638.0</v>
      </c>
      <c r="G122" s="683"/>
      <c r="H122" s="678">
        <v>45639.0</v>
      </c>
      <c r="I122" s="349">
        <f>IF(ISBLANK(H122), NETWORKDAYS(F122, TODAY(),Hoja2!$A$1:$A$18), NETWORKDAYS(F122, H122, Hoja2!$A$1:$A$18))</f>
        <v>2</v>
      </c>
      <c r="J122" s="684"/>
      <c r="K122" s="684"/>
      <c r="L122" s="685" t="s">
        <v>1945</v>
      </c>
      <c r="M122" s="710"/>
      <c r="N122" s="710"/>
      <c r="O122" s="710"/>
      <c r="P122" s="710"/>
      <c r="Q122" s="710"/>
      <c r="R122" s="710"/>
      <c r="S122" s="710"/>
      <c r="T122" s="710"/>
      <c r="U122" s="710"/>
      <c r="V122" s="710"/>
      <c r="W122" s="710"/>
      <c r="X122" s="710"/>
      <c r="Y122" s="710"/>
      <c r="Z122" s="710"/>
      <c r="AA122" s="711"/>
      <c r="AB122" s="711"/>
      <c r="AC122" s="711"/>
      <c r="AD122" s="711"/>
      <c r="AE122" s="711"/>
      <c r="AF122" s="711"/>
      <c r="AG122" s="711"/>
    </row>
    <row r="123" ht="15.75" customHeight="1">
      <c r="A123" s="376" t="s">
        <v>1418</v>
      </c>
      <c r="B123" s="712" t="s">
        <v>1946</v>
      </c>
      <c r="C123" s="713" t="s">
        <v>1947</v>
      </c>
      <c r="D123" s="602" t="s">
        <v>1810</v>
      </c>
      <c r="E123" s="658">
        <v>45636.0</v>
      </c>
      <c r="F123" s="658">
        <v>45636.0</v>
      </c>
      <c r="G123" s="658"/>
      <c r="H123" s="658"/>
      <c r="I123" s="659">
        <f>IF(ISBLANK(H123), NETWORKDAYS(F123, TODAY(),Hoja2!$A$1:$A$18), NETWORKDAYS(F123, H123, Hoja2!$A$1:$A$18))</f>
        <v>231</v>
      </c>
      <c r="J123" s="714">
        <v>45637.0</v>
      </c>
      <c r="K123" s="658">
        <v>45638.0</v>
      </c>
      <c r="L123" s="660" t="s">
        <v>1948</v>
      </c>
      <c r="M123" s="337"/>
      <c r="N123" s="337"/>
      <c r="O123" s="337"/>
      <c r="P123" s="337"/>
      <c r="Q123" s="337"/>
      <c r="R123" s="337"/>
      <c r="S123" s="337"/>
      <c r="T123" s="337"/>
      <c r="U123" s="337"/>
      <c r="V123" s="337"/>
      <c r="W123" s="337"/>
      <c r="X123" s="337"/>
      <c r="Y123" s="337"/>
      <c r="Z123" s="337"/>
    </row>
    <row r="124" ht="15.75" customHeight="1">
      <c r="A124" s="360" t="s">
        <v>1418</v>
      </c>
      <c r="B124" s="370" t="s">
        <v>1949</v>
      </c>
      <c r="C124" s="378" t="s">
        <v>1950</v>
      </c>
      <c r="D124" s="602" t="s">
        <v>73</v>
      </c>
      <c r="E124" s="379">
        <v>45636.0</v>
      </c>
      <c r="F124" s="379">
        <v>45636.0</v>
      </c>
      <c r="G124" s="379"/>
      <c r="H124" s="379">
        <v>45638.0</v>
      </c>
      <c r="I124" s="357">
        <f>IF(ISBLANK(H124), NETWORKDAYS(F124, TODAY(),Hoja2!$A$1:$A$18), NETWORKDAYS(F124, H124, Hoja2!$A$1:$A$18))</f>
        <v>3</v>
      </c>
      <c r="J124" s="379">
        <v>45638.0</v>
      </c>
      <c r="K124" s="379">
        <v>45638.0</v>
      </c>
      <c r="L124" s="603" t="s">
        <v>1951</v>
      </c>
      <c r="M124" s="337"/>
      <c r="N124" s="337"/>
      <c r="O124" s="337"/>
      <c r="P124" s="337"/>
      <c r="Q124" s="337"/>
      <c r="R124" s="337"/>
      <c r="S124" s="337"/>
      <c r="T124" s="337"/>
      <c r="U124" s="337"/>
      <c r="V124" s="337"/>
      <c r="W124" s="337"/>
      <c r="X124" s="337"/>
      <c r="Y124" s="337"/>
      <c r="Z124" s="337"/>
    </row>
    <row r="125" ht="15.75" customHeight="1">
      <c r="A125" s="575" t="s">
        <v>1689</v>
      </c>
      <c r="B125" s="555" t="s">
        <v>1820</v>
      </c>
      <c r="C125" s="715" t="s">
        <v>1952</v>
      </c>
      <c r="D125" s="580" t="s">
        <v>73</v>
      </c>
      <c r="E125" s="649">
        <v>45630.0</v>
      </c>
      <c r="F125" s="649">
        <v>45631.0</v>
      </c>
      <c r="G125" s="581"/>
      <c r="H125" s="581">
        <v>45632.0</v>
      </c>
      <c r="I125" s="582">
        <f>IF(ISBLANK(H125), NETWORKDAYS(F125, TODAY(),Hoja2!$A$1:$A$18), NETWORKDAYS(F125, H125, Hoja2!$A$1:$A$18))</f>
        <v>2</v>
      </c>
      <c r="J125" s="340"/>
      <c r="K125" s="581">
        <v>45632.0</v>
      </c>
      <c r="L125" s="609"/>
      <c r="M125" s="608"/>
      <c r="N125" s="343"/>
      <c r="O125" s="343"/>
      <c r="P125" s="343"/>
      <c r="Q125" s="343"/>
      <c r="R125" s="343"/>
      <c r="S125" s="343"/>
      <c r="T125" s="343"/>
      <c r="U125" s="343"/>
      <c r="V125" s="343"/>
      <c r="W125" s="343"/>
      <c r="X125" s="343"/>
      <c r="Y125" s="343"/>
      <c r="Z125" s="343"/>
    </row>
    <row r="126" ht="15.75" customHeight="1">
      <c r="A126" s="572" t="s">
        <v>1689</v>
      </c>
      <c r="B126" s="555" t="s">
        <v>1820</v>
      </c>
      <c r="C126" s="716" t="s">
        <v>1953</v>
      </c>
      <c r="D126" s="648" t="s">
        <v>383</v>
      </c>
      <c r="E126" s="649">
        <v>45631.0</v>
      </c>
      <c r="F126" s="581">
        <v>45631.0</v>
      </c>
      <c r="G126" s="581"/>
      <c r="H126" s="580"/>
      <c r="I126" s="349">
        <f>IF(ISBLANK(H126), NETWORKDAYS(F126, TODAY(),Hoja2!$A$1:$A$18), NETWORKDAYS(F126, H126, Hoja2!$A$1:$A$18))</f>
        <v>234</v>
      </c>
      <c r="J126" s="340"/>
      <c r="K126" s="340"/>
      <c r="L126" s="717"/>
      <c r="M126" s="608"/>
      <c r="N126" s="343"/>
      <c r="O126" s="343"/>
      <c r="P126" s="343"/>
      <c r="Q126" s="343"/>
      <c r="R126" s="343"/>
      <c r="S126" s="343"/>
      <c r="T126" s="343"/>
      <c r="U126" s="343"/>
      <c r="V126" s="343"/>
      <c r="W126" s="343"/>
      <c r="X126" s="343"/>
      <c r="Y126" s="343"/>
      <c r="Z126" s="343"/>
    </row>
    <row r="127" ht="15.75" customHeight="1">
      <c r="A127" s="675" t="s">
        <v>1411</v>
      </c>
      <c r="B127" s="693" t="s">
        <v>1954</v>
      </c>
      <c r="C127" s="680" t="s">
        <v>1955</v>
      </c>
      <c r="D127" s="681" t="s">
        <v>73</v>
      </c>
      <c r="E127" s="682">
        <v>45642.0</v>
      </c>
      <c r="F127" s="682">
        <v>45642.0</v>
      </c>
      <c r="G127" s="683"/>
      <c r="H127" s="684">
        <v>45643.0</v>
      </c>
      <c r="I127" s="677">
        <f>IF(ISBLANK(H127), NETWORKDAYS(F127, TODAY(),Hoja2!$A$1:$A$18), NETWORKDAYS(F127, H127, Hoja2!$A$1:$A$18))</f>
        <v>2</v>
      </c>
      <c r="J127" s="684"/>
      <c r="K127" s="684">
        <v>45643.0</v>
      </c>
      <c r="L127" s="685"/>
      <c r="M127" s="710"/>
      <c r="N127" s="710"/>
      <c r="O127" s="710"/>
      <c r="P127" s="710"/>
      <c r="Q127" s="710"/>
      <c r="R127" s="710"/>
      <c r="S127" s="710"/>
      <c r="T127" s="710"/>
      <c r="U127" s="710"/>
      <c r="V127" s="710"/>
      <c r="W127" s="710"/>
      <c r="X127" s="710"/>
      <c r="Y127" s="710"/>
      <c r="Z127" s="710"/>
      <c r="AA127" s="711"/>
      <c r="AB127" s="711"/>
      <c r="AC127" s="711"/>
      <c r="AD127" s="711"/>
      <c r="AE127" s="711"/>
      <c r="AF127" s="711"/>
      <c r="AG127" s="711"/>
    </row>
    <row r="128" ht="15.75" customHeight="1">
      <c r="A128" s="675" t="s">
        <v>1411</v>
      </c>
      <c r="B128" s="693" t="s">
        <v>1956</v>
      </c>
      <c r="C128" s="680"/>
      <c r="D128" s="681" t="s">
        <v>73</v>
      </c>
      <c r="E128" s="682">
        <v>45642.0</v>
      </c>
      <c r="F128" s="682">
        <v>45642.0</v>
      </c>
      <c r="G128" s="683"/>
      <c r="H128" s="684">
        <v>45643.0</v>
      </c>
      <c r="I128" s="677">
        <f>IF(ISBLANK(H128), NETWORKDAYS(F128, TODAY(),Hoja2!$A$1:$A$18), NETWORKDAYS(F128, H128, Hoja2!$A$1:$A$18))</f>
        <v>2</v>
      </c>
      <c r="J128" s="684"/>
      <c r="K128" s="684">
        <v>45643.0</v>
      </c>
      <c r="L128" s="685"/>
      <c r="M128" s="710"/>
      <c r="N128" s="710"/>
      <c r="O128" s="710"/>
      <c r="P128" s="710"/>
      <c r="Q128" s="710"/>
      <c r="R128" s="710"/>
      <c r="S128" s="710"/>
      <c r="T128" s="710"/>
      <c r="U128" s="710"/>
      <c r="V128" s="710"/>
      <c r="W128" s="710"/>
      <c r="X128" s="710"/>
      <c r="Y128" s="710"/>
      <c r="Z128" s="710"/>
      <c r="AA128" s="711"/>
      <c r="AB128" s="711"/>
      <c r="AC128" s="711"/>
      <c r="AD128" s="711"/>
      <c r="AE128" s="711"/>
      <c r="AF128" s="711"/>
      <c r="AG128" s="711"/>
    </row>
    <row r="129" ht="15.75" customHeight="1">
      <c r="A129" s="575" t="s">
        <v>1689</v>
      </c>
      <c r="B129" s="555"/>
      <c r="C129" s="717" t="s">
        <v>1957</v>
      </c>
      <c r="D129" s="580" t="s">
        <v>73</v>
      </c>
      <c r="E129" s="649">
        <v>45643.0</v>
      </c>
      <c r="F129" s="649">
        <v>45643.0</v>
      </c>
      <c r="G129" s="581"/>
      <c r="H129" s="649">
        <v>45643.0</v>
      </c>
      <c r="I129" s="582">
        <f>IF(ISBLANK(H129), NETWORKDAYS(F129, TODAY(),Hoja2!$A$1:$A$18), NETWORKDAYS(F129, H129, Hoja2!$A$1:$A$18))</f>
        <v>1</v>
      </c>
      <c r="J129" s="581"/>
      <c r="K129" s="581"/>
      <c r="L129" s="609"/>
      <c r="M129" s="608"/>
      <c r="N129" s="343"/>
      <c r="O129" s="343"/>
      <c r="P129" s="343"/>
      <c r="Q129" s="343"/>
      <c r="R129" s="343"/>
      <c r="S129" s="343"/>
      <c r="T129" s="343"/>
      <c r="U129" s="343"/>
      <c r="V129" s="343"/>
      <c r="W129" s="343"/>
      <c r="X129" s="343"/>
      <c r="Y129" s="343"/>
      <c r="Z129" s="343"/>
    </row>
    <row r="130" ht="15.75" customHeight="1">
      <c r="A130" s="360" t="s">
        <v>1426</v>
      </c>
      <c r="B130" s="360" t="s">
        <v>1958</v>
      </c>
      <c r="C130" s="375"/>
      <c r="D130" s="375" t="s">
        <v>73</v>
      </c>
      <c r="E130" s="361">
        <v>45643.0</v>
      </c>
      <c r="F130" s="361">
        <v>45644.0</v>
      </c>
      <c r="G130" s="360"/>
      <c r="H130" s="361">
        <v>45644.0</v>
      </c>
      <c r="I130" s="357">
        <f>IF(ISBLANK(H130), NETWORKDAYS(F130, TODAY(),Hoja2!$A$1:$A$18), NETWORKDAYS(F130, H130, Hoja2!$A$1:$A$18))</f>
        <v>1</v>
      </c>
      <c r="J130" s="361">
        <v>45644.0</v>
      </c>
      <c r="K130" s="375"/>
      <c r="L130" s="661"/>
      <c r="M130" s="573"/>
      <c r="N130" s="337"/>
      <c r="O130" s="337"/>
      <c r="P130" s="337"/>
      <c r="Q130" s="337"/>
      <c r="R130" s="337"/>
      <c r="S130" s="337"/>
      <c r="T130" s="337"/>
      <c r="U130" s="337"/>
      <c r="V130" s="337"/>
      <c r="W130" s="337"/>
      <c r="X130" s="337"/>
      <c r="Y130" s="337"/>
      <c r="Z130" s="337"/>
      <c r="AA130" s="382"/>
      <c r="AB130" s="382"/>
      <c r="AC130" s="382"/>
      <c r="AD130" s="382"/>
      <c r="AE130" s="382"/>
      <c r="AF130" s="382"/>
      <c r="AG130" s="382"/>
    </row>
    <row r="131" ht="15.75" customHeight="1">
      <c r="A131" s="718" t="s">
        <v>1426</v>
      </c>
      <c r="B131" s="383" t="s">
        <v>1959</v>
      </c>
      <c r="C131" s="719" t="s">
        <v>1960</v>
      </c>
      <c r="D131" s="720" t="s">
        <v>73</v>
      </c>
      <c r="E131" s="615">
        <v>45631.0</v>
      </c>
      <c r="F131" s="615">
        <v>45631.0</v>
      </c>
      <c r="G131" s="615"/>
      <c r="H131" s="615">
        <v>45632.0</v>
      </c>
      <c r="I131" s="707">
        <f>IF(ISBLANK(H131), NETWORKDAYS(F131, TODAY(),Hoja2!$A$1:$A$18), NETWORKDAYS(F131, H131, Hoja2!$A$1:$A$18))</f>
        <v>2</v>
      </c>
      <c r="J131" s="615"/>
      <c r="K131" s="615">
        <v>45632.0</v>
      </c>
      <c r="L131" s="616" t="s">
        <v>1961</v>
      </c>
      <c r="M131" s="337"/>
      <c r="N131" s="337"/>
      <c r="O131" s="337"/>
      <c r="P131" s="337"/>
      <c r="Q131" s="337"/>
      <c r="R131" s="337"/>
      <c r="S131" s="337"/>
      <c r="T131" s="337"/>
      <c r="U131" s="337"/>
      <c r="V131" s="337"/>
      <c r="W131" s="337"/>
      <c r="X131" s="337"/>
      <c r="Y131" s="337"/>
      <c r="Z131" s="337"/>
    </row>
    <row r="132" ht="15.75" customHeight="1">
      <c r="A132" s="599" t="s">
        <v>1426</v>
      </c>
      <c r="B132" s="376" t="s">
        <v>1962</v>
      </c>
      <c r="C132" s="378" t="s">
        <v>1963</v>
      </c>
      <c r="D132" s="375" t="s">
        <v>73</v>
      </c>
      <c r="E132" s="379">
        <v>45631.0</v>
      </c>
      <c r="F132" s="379">
        <v>45631.0</v>
      </c>
      <c r="G132" s="379"/>
      <c r="H132" s="379">
        <v>45632.0</v>
      </c>
      <c r="I132" s="707">
        <f>IF(ISBLANK(H132), NETWORKDAYS(F132, TODAY(),Hoja2!$A$1:$A$18), NETWORKDAYS(F132, H132, Hoja2!$A$1:$A$18))</f>
        <v>2</v>
      </c>
      <c r="J132" s="379"/>
      <c r="K132" s="379">
        <v>45632.0</v>
      </c>
      <c r="L132" s="603" t="s">
        <v>1961</v>
      </c>
      <c r="M132" s="337"/>
      <c r="N132" s="337"/>
      <c r="O132" s="337"/>
      <c r="P132" s="337"/>
      <c r="Q132" s="337"/>
      <c r="R132" s="337"/>
      <c r="S132" s="337"/>
      <c r="T132" s="337"/>
      <c r="U132" s="337"/>
      <c r="V132" s="337"/>
      <c r="W132" s="337"/>
      <c r="X132" s="337"/>
      <c r="Y132" s="337"/>
      <c r="Z132" s="337"/>
    </row>
    <row r="133" ht="15.75" customHeight="1">
      <c r="A133" s="721" t="s">
        <v>1426</v>
      </c>
      <c r="B133" s="376" t="s">
        <v>1962</v>
      </c>
      <c r="C133" s="686" t="s">
        <v>1964</v>
      </c>
      <c r="D133" s="375" t="s">
        <v>73</v>
      </c>
      <c r="E133" s="379">
        <v>45631.0</v>
      </c>
      <c r="F133" s="379">
        <v>45631.0</v>
      </c>
      <c r="G133" s="658"/>
      <c r="H133" s="379">
        <v>45632.0</v>
      </c>
      <c r="I133" s="707">
        <f>IF(ISBLANK(H133), NETWORKDAYS(F133, TODAY(),Hoja2!$A$1:$A$18), NETWORKDAYS(F133, H133, Hoja2!$A$1:$A$18))</f>
        <v>2</v>
      </c>
      <c r="J133" s="658"/>
      <c r="K133" s="379">
        <v>45632.0</v>
      </c>
      <c r="L133" s="603" t="s">
        <v>1961</v>
      </c>
      <c r="M133" s="337"/>
      <c r="N133" s="337"/>
      <c r="O133" s="337"/>
      <c r="P133" s="337"/>
      <c r="Q133" s="337"/>
      <c r="R133" s="337"/>
      <c r="S133" s="337"/>
      <c r="T133" s="337"/>
      <c r="U133" s="337"/>
      <c r="V133" s="337"/>
      <c r="W133" s="337"/>
      <c r="X133" s="337"/>
      <c r="Y133" s="337"/>
      <c r="Z133" s="337"/>
    </row>
    <row r="134" ht="15.75" customHeight="1">
      <c r="A134" s="360" t="s">
        <v>1426</v>
      </c>
      <c r="B134" s="360" t="s">
        <v>1965</v>
      </c>
      <c r="C134" s="354" t="s">
        <v>1966</v>
      </c>
      <c r="D134" s="354" t="s">
        <v>73</v>
      </c>
      <c r="E134" s="379">
        <v>45637.0</v>
      </c>
      <c r="F134" s="379">
        <v>45637.0</v>
      </c>
      <c r="G134" s="379">
        <v>45642.0</v>
      </c>
      <c r="H134" s="379">
        <v>45642.0</v>
      </c>
      <c r="I134" s="357">
        <f>IF(ISBLANK(H134), NETWORKDAYS(F134, TODAY(),Hoja2!$A$1:$A$18), NETWORKDAYS(F134, H134, Hoja2!$A$1:$A$18))</f>
        <v>4</v>
      </c>
      <c r="J134" s="379">
        <v>45642.0</v>
      </c>
      <c r="K134" s="379">
        <v>45644.0</v>
      </c>
      <c r="L134" s="378" t="s">
        <v>1967</v>
      </c>
      <c r="M134" s="337"/>
      <c r="N134" s="337"/>
      <c r="O134" s="337"/>
      <c r="P134" s="337"/>
      <c r="Q134" s="337"/>
      <c r="R134" s="337"/>
      <c r="S134" s="337"/>
      <c r="T134" s="337"/>
      <c r="U134" s="337"/>
      <c r="V134" s="337"/>
      <c r="W134" s="337"/>
      <c r="X134" s="337"/>
      <c r="Y134" s="337"/>
      <c r="Z134" s="337"/>
      <c r="AA134" s="337"/>
      <c r="AB134" s="337"/>
      <c r="AC134" s="337"/>
      <c r="AD134" s="337"/>
      <c r="AE134" s="337"/>
      <c r="AF134" s="337"/>
      <c r="AG134" s="337"/>
    </row>
    <row r="135" ht="15.75" customHeight="1">
      <c r="A135" s="360" t="s">
        <v>1426</v>
      </c>
      <c r="B135" s="360" t="s">
        <v>1965</v>
      </c>
      <c r="C135" s="354" t="s">
        <v>1968</v>
      </c>
      <c r="D135" s="354" t="s">
        <v>73</v>
      </c>
      <c r="E135" s="379">
        <v>45637.0</v>
      </c>
      <c r="F135" s="379">
        <v>45638.0</v>
      </c>
      <c r="G135" s="379">
        <v>45642.0</v>
      </c>
      <c r="H135" s="379">
        <v>45642.0</v>
      </c>
      <c r="I135" s="357">
        <f>IF(ISBLANK(H135), NETWORKDAYS(F135, TODAY(),Hoja2!$A$1:$A$18), NETWORKDAYS(F135, H135, Hoja2!$A$1:$A$18))</f>
        <v>3</v>
      </c>
      <c r="J135" s="379">
        <v>45642.0</v>
      </c>
      <c r="K135" s="379">
        <v>45644.0</v>
      </c>
      <c r="L135" s="378" t="s">
        <v>1969</v>
      </c>
      <c r="M135" s="337"/>
      <c r="N135" s="337"/>
      <c r="O135" s="337"/>
      <c r="P135" s="337"/>
      <c r="Q135" s="337"/>
      <c r="R135" s="337"/>
      <c r="S135" s="337"/>
      <c r="T135" s="337"/>
      <c r="U135" s="337"/>
      <c r="V135" s="337"/>
      <c r="W135" s="337"/>
      <c r="X135" s="337"/>
      <c r="Y135" s="337"/>
      <c r="Z135" s="337"/>
      <c r="AA135" s="337"/>
      <c r="AB135" s="337"/>
      <c r="AC135" s="337"/>
      <c r="AD135" s="337"/>
      <c r="AE135" s="337"/>
      <c r="AF135" s="337"/>
      <c r="AG135" s="337"/>
    </row>
    <row r="136" ht="15.75" customHeight="1">
      <c r="A136" s="572" t="s">
        <v>1689</v>
      </c>
      <c r="B136" s="352" t="s">
        <v>1970</v>
      </c>
      <c r="C136" s="346"/>
      <c r="D136" s="348" t="s">
        <v>73</v>
      </c>
      <c r="E136" s="347">
        <v>45644.0</v>
      </c>
      <c r="F136" s="347">
        <v>45644.0</v>
      </c>
      <c r="G136" s="347"/>
      <c r="H136" s="347">
        <v>45644.0</v>
      </c>
      <c r="I136" s="349">
        <f>IF(ISBLANK(H136), NETWORKDAYS(F136, TODAY(),Hoja2!$A$1:$A$18), NETWORKDAYS(F136, H136, Hoja2!$A$1:$A$18))</f>
        <v>1</v>
      </c>
      <c r="J136" s="347"/>
      <c r="K136" s="347"/>
      <c r="L136" s="350"/>
      <c r="M136" s="573"/>
      <c r="N136" s="337"/>
      <c r="O136" s="337"/>
      <c r="P136" s="337"/>
      <c r="Q136" s="337"/>
      <c r="R136" s="337"/>
      <c r="S136" s="337"/>
      <c r="T136" s="337"/>
      <c r="U136" s="337"/>
      <c r="V136" s="337"/>
      <c r="W136" s="337"/>
      <c r="X136" s="337"/>
      <c r="Y136" s="337"/>
      <c r="Z136" s="337"/>
      <c r="AA136" s="382"/>
      <c r="AB136" s="382"/>
      <c r="AC136" s="382"/>
      <c r="AD136" s="382"/>
      <c r="AE136" s="382"/>
      <c r="AF136" s="382"/>
      <c r="AG136" s="382"/>
    </row>
    <row r="137" ht="15.75" customHeight="1">
      <c r="A137" s="575" t="s">
        <v>1689</v>
      </c>
      <c r="B137" s="575" t="s">
        <v>1820</v>
      </c>
      <c r="C137" s="717" t="s">
        <v>1971</v>
      </c>
      <c r="D137" s="580" t="s">
        <v>1810</v>
      </c>
      <c r="E137" s="649">
        <v>45643.0</v>
      </c>
      <c r="F137" s="649">
        <v>45643.0</v>
      </c>
      <c r="G137" s="581"/>
      <c r="H137" s="581"/>
      <c r="I137" s="582">
        <f>IF(ISBLANK(H137), NETWORKDAYS(F137, TODAY(),Hoja2!$A$1:$A$18), NETWORKDAYS(F137, H137, Hoja2!$A$1:$A$18))</f>
        <v>226</v>
      </c>
      <c r="J137" s="649">
        <v>45643.0</v>
      </c>
      <c r="K137" s="581">
        <v>45644.0</v>
      </c>
      <c r="L137" s="722" t="s">
        <v>1972</v>
      </c>
      <c r="M137" s="608"/>
      <c r="N137" s="343"/>
      <c r="O137" s="343"/>
      <c r="P137" s="343"/>
      <c r="Q137" s="343"/>
      <c r="R137" s="343"/>
      <c r="S137" s="343"/>
      <c r="T137" s="343"/>
      <c r="U137" s="343"/>
      <c r="V137" s="343"/>
      <c r="W137" s="343"/>
      <c r="X137" s="343"/>
      <c r="Y137" s="343"/>
      <c r="Z137" s="343"/>
    </row>
    <row r="138" ht="15.75" customHeight="1">
      <c r="A138" s="575" t="s">
        <v>1689</v>
      </c>
      <c r="B138" s="578"/>
      <c r="C138" s="717" t="s">
        <v>1973</v>
      </c>
      <c r="D138" s="580" t="s">
        <v>1810</v>
      </c>
      <c r="E138" s="649">
        <v>45643.0</v>
      </c>
      <c r="F138" s="649">
        <v>45643.0</v>
      </c>
      <c r="G138" s="581"/>
      <c r="H138" s="581"/>
      <c r="I138" s="582">
        <f>IF(ISBLANK(H138), NETWORKDAYS(F138, TODAY(),Hoja2!$A$1:$A$18), NETWORKDAYS(F138, H138, Hoja2!$A$1:$A$18))</f>
        <v>226</v>
      </c>
      <c r="J138" s="649">
        <v>45643.0</v>
      </c>
      <c r="K138" s="581">
        <v>45644.0</v>
      </c>
      <c r="L138" s="609" t="s">
        <v>1972</v>
      </c>
      <c r="M138" s="608"/>
      <c r="N138" s="343"/>
      <c r="O138" s="343"/>
      <c r="P138" s="343"/>
      <c r="Q138" s="343"/>
      <c r="R138" s="343"/>
      <c r="S138" s="343"/>
      <c r="T138" s="343"/>
      <c r="U138" s="343"/>
      <c r="V138" s="343"/>
      <c r="W138" s="343"/>
      <c r="X138" s="343"/>
      <c r="Y138" s="343"/>
      <c r="Z138" s="343"/>
    </row>
    <row r="139" ht="15.75" customHeight="1">
      <c r="A139" s="675" t="s">
        <v>1411</v>
      </c>
      <c r="B139" s="680" t="s">
        <v>1974</v>
      </c>
      <c r="C139" s="675"/>
      <c r="D139" s="688" t="s">
        <v>1810</v>
      </c>
      <c r="E139" s="682">
        <v>45644.0</v>
      </c>
      <c r="F139" s="682">
        <v>45645.0</v>
      </c>
      <c r="G139" s="683"/>
      <c r="H139" s="684">
        <v>45645.0</v>
      </c>
      <c r="I139" s="349">
        <f>IF(ISBLANK(H139), NETWORKDAYS(F139, TODAY(),Hoja2!$A$1:$A$18), NETWORKDAYS(F139, H139, Hoja2!$A$1:$A$18))</f>
        <v>1</v>
      </c>
      <c r="J139" s="684">
        <v>45645.0</v>
      </c>
      <c r="K139" s="684">
        <v>45645.0</v>
      </c>
      <c r="L139" s="685"/>
      <c r="M139" s="710"/>
      <c r="N139" s="710"/>
      <c r="O139" s="710"/>
      <c r="P139" s="710"/>
      <c r="Q139" s="710"/>
      <c r="R139" s="710"/>
      <c r="S139" s="710"/>
      <c r="T139" s="710"/>
      <c r="U139" s="710"/>
      <c r="V139" s="710"/>
      <c r="W139" s="710"/>
      <c r="X139" s="710"/>
      <c r="Y139" s="710"/>
      <c r="Z139" s="710"/>
      <c r="AA139" s="711"/>
      <c r="AB139" s="711"/>
      <c r="AC139" s="711"/>
      <c r="AD139" s="711"/>
      <c r="AE139" s="711"/>
      <c r="AF139" s="711"/>
      <c r="AG139" s="711"/>
    </row>
    <row r="140" ht="15.75" customHeight="1">
      <c r="A140" s="336" t="s">
        <v>1411</v>
      </c>
      <c r="B140" s="575" t="s">
        <v>1975</v>
      </c>
      <c r="C140" s="336" t="s">
        <v>1976</v>
      </c>
      <c r="D140" s="570" t="s">
        <v>1810</v>
      </c>
      <c r="E140" s="347">
        <v>45635.0</v>
      </c>
      <c r="F140" s="347">
        <v>45636.0</v>
      </c>
      <c r="G140" s="347">
        <v>45637.0</v>
      </c>
      <c r="H140" s="678">
        <v>45639.0</v>
      </c>
      <c r="I140" s="349">
        <f>IF(ISBLANK(H140), NETWORKDAYS(F140, TODAY(),Hoja2!$A$1:$A$18), NETWORKDAYS(F140, H140, Hoja2!$A$1:$A$18))</f>
        <v>4</v>
      </c>
      <c r="J140" s="678"/>
      <c r="K140" s="678"/>
      <c r="L140" s="571" t="s">
        <v>1977</v>
      </c>
      <c r="M140" s="337"/>
      <c r="N140" s="337"/>
      <c r="O140" s="337"/>
      <c r="P140" s="337"/>
      <c r="Q140" s="337"/>
      <c r="R140" s="337"/>
      <c r="S140" s="337"/>
      <c r="T140" s="337"/>
      <c r="U140" s="337"/>
      <c r="V140" s="337"/>
      <c r="W140" s="337"/>
      <c r="X140" s="337"/>
      <c r="Y140" s="337"/>
      <c r="Z140" s="337"/>
    </row>
    <row r="141" ht="15.75" customHeight="1">
      <c r="A141" s="336" t="s">
        <v>1411</v>
      </c>
      <c r="B141" s="578"/>
      <c r="C141" s="572" t="s">
        <v>1978</v>
      </c>
      <c r="D141" s="572" t="s">
        <v>1810</v>
      </c>
      <c r="E141" s="347">
        <v>45636.0</v>
      </c>
      <c r="F141" s="347">
        <v>45636.0</v>
      </c>
      <c r="G141" s="347"/>
      <c r="H141" s="347">
        <v>45636.0</v>
      </c>
      <c r="I141" s="349">
        <f>IF(ISBLANK(H141), NETWORKDAYS(F141, TODAY(),Hoja2!$A$1:$A$18), NETWORKDAYS(F141, H141, Hoja2!$A$1:$A$18))</f>
        <v>1</v>
      </c>
      <c r="J141" s="678"/>
      <c r="K141" s="347">
        <v>45636.0</v>
      </c>
      <c r="L141" s="723" t="s">
        <v>1979</v>
      </c>
      <c r="M141" s="337"/>
      <c r="N141" s="337"/>
      <c r="O141" s="337"/>
      <c r="P141" s="337"/>
      <c r="Q141" s="337"/>
      <c r="R141" s="337"/>
      <c r="S141" s="337"/>
      <c r="T141" s="337"/>
      <c r="U141" s="337"/>
      <c r="V141" s="337"/>
      <c r="W141" s="337"/>
      <c r="X141" s="337"/>
      <c r="Y141" s="337"/>
      <c r="Z141" s="337"/>
    </row>
    <row r="142" ht="15.75" customHeight="1">
      <c r="A142" s="336" t="s">
        <v>1411</v>
      </c>
      <c r="B142" s="578"/>
      <c r="C142" s="336" t="s">
        <v>1980</v>
      </c>
      <c r="D142" s="572" t="s">
        <v>1810</v>
      </c>
      <c r="E142" s="347">
        <v>45637.0</v>
      </c>
      <c r="F142" s="347">
        <v>45636.0</v>
      </c>
      <c r="G142" s="347"/>
      <c r="H142" s="678"/>
      <c r="I142" s="349">
        <f>IF(ISBLANK(H142), NETWORKDAYS(F142, TODAY(),Hoja2!$A$1:$A$18), NETWORKDAYS(F142, H142, Hoja2!$A$1:$A$18))</f>
        <v>231</v>
      </c>
      <c r="J142" s="678"/>
      <c r="K142" s="678"/>
      <c r="L142" s="571" t="s">
        <v>1981</v>
      </c>
      <c r="M142" s="337"/>
      <c r="N142" s="337"/>
      <c r="O142" s="337"/>
      <c r="P142" s="337"/>
      <c r="Q142" s="337"/>
      <c r="R142" s="337"/>
      <c r="S142" s="337"/>
      <c r="T142" s="337"/>
      <c r="U142" s="337"/>
      <c r="V142" s="337"/>
      <c r="W142" s="337"/>
      <c r="X142" s="337"/>
      <c r="Y142" s="337"/>
      <c r="Z142" s="337"/>
    </row>
    <row r="143" ht="15.75" customHeight="1">
      <c r="A143" s="336" t="s">
        <v>1411</v>
      </c>
      <c r="B143" s="522"/>
      <c r="C143" s="554" t="s">
        <v>1982</v>
      </c>
      <c r="D143" s="572" t="s">
        <v>1810</v>
      </c>
      <c r="E143" s="347">
        <v>45637.0</v>
      </c>
      <c r="F143" s="347">
        <v>45636.0</v>
      </c>
      <c r="G143" s="347"/>
      <c r="H143" s="678">
        <v>45639.0</v>
      </c>
      <c r="I143" s="349">
        <f>IF(ISBLANK(H143), NETWORKDAYS(F143, TODAY(),Hoja2!$A$1:$A$18), NETWORKDAYS(F143, H143, Hoja2!$A$1:$A$18))</f>
        <v>4</v>
      </c>
      <c r="J143" s="678"/>
      <c r="K143" s="678">
        <v>45639.0</v>
      </c>
      <c r="L143" s="571" t="s">
        <v>1983</v>
      </c>
      <c r="M143" s="337"/>
      <c r="N143" s="337"/>
      <c r="O143" s="337"/>
      <c r="P143" s="337"/>
      <c r="Q143" s="337"/>
      <c r="R143" s="337"/>
      <c r="S143" s="337"/>
      <c r="T143" s="337"/>
      <c r="U143" s="337"/>
      <c r="V143" s="337"/>
      <c r="W143" s="337"/>
      <c r="X143" s="337"/>
      <c r="Y143" s="337"/>
      <c r="Z143" s="337"/>
    </row>
    <row r="144" ht="15.75" customHeight="1">
      <c r="A144" s="360" t="s">
        <v>1426</v>
      </c>
      <c r="B144" s="360" t="s">
        <v>1984</v>
      </c>
      <c r="C144" s="375"/>
      <c r="D144" s="375" t="s">
        <v>11</v>
      </c>
      <c r="E144" s="361">
        <v>45644.0</v>
      </c>
      <c r="F144" s="361">
        <v>45644.0</v>
      </c>
      <c r="G144" s="360"/>
      <c r="H144" s="375"/>
      <c r="I144" s="357">
        <f>IF(ISBLANK(H144), NETWORKDAYS(F144, TODAY(),Hoja2!$A$1:$A$18), NETWORKDAYS(F144, H144, Hoja2!$A$1:$A$18))</f>
        <v>225</v>
      </c>
      <c r="J144" s="375"/>
      <c r="K144" s="375"/>
      <c r="L144" s="661" t="s">
        <v>1985</v>
      </c>
      <c r="M144" s="573"/>
      <c r="N144" s="337"/>
      <c r="O144" s="337"/>
      <c r="P144" s="337"/>
      <c r="Q144" s="337"/>
      <c r="R144" s="337"/>
      <c r="S144" s="337"/>
      <c r="T144" s="337"/>
      <c r="U144" s="337"/>
      <c r="V144" s="337"/>
      <c r="W144" s="337"/>
      <c r="X144" s="337"/>
      <c r="Y144" s="337"/>
      <c r="Z144" s="337"/>
      <c r="AA144" s="382"/>
      <c r="AB144" s="382"/>
      <c r="AC144" s="382"/>
      <c r="AD144" s="382"/>
      <c r="AE144" s="382"/>
      <c r="AF144" s="382"/>
      <c r="AG144" s="382"/>
    </row>
    <row r="145" ht="15.75" customHeight="1">
      <c r="A145" s="369" t="s">
        <v>1411</v>
      </c>
      <c r="B145" s="360" t="s">
        <v>1986</v>
      </c>
      <c r="C145" s="601"/>
      <c r="D145" s="602" t="s">
        <v>73</v>
      </c>
      <c r="E145" s="379">
        <v>45653.0</v>
      </c>
      <c r="F145" s="379">
        <v>45653.0</v>
      </c>
      <c r="G145" s="379"/>
      <c r="H145" s="379">
        <v>45653.0</v>
      </c>
      <c r="I145" s="373">
        <f>IF(ISBLANK(H145), NETWORKDAYS(F145, TODAY(),Hoja2!$A$1:$A$18), NETWORKDAYS(F145, H145, Hoja2!$A$1:$A$18))</f>
        <v>1</v>
      </c>
      <c r="J145" s="379"/>
      <c r="K145" s="379"/>
      <c r="L145" s="603"/>
      <c r="M145" s="337"/>
      <c r="N145" s="337"/>
      <c r="O145" s="337"/>
      <c r="P145" s="337"/>
      <c r="Q145" s="337"/>
      <c r="R145" s="337"/>
      <c r="S145" s="337"/>
      <c r="T145" s="337"/>
      <c r="U145" s="337"/>
      <c r="V145" s="337"/>
      <c r="W145" s="337"/>
      <c r="X145" s="337"/>
      <c r="Y145" s="337"/>
      <c r="Z145" s="337"/>
    </row>
    <row r="146" ht="15.75" customHeight="1">
      <c r="A146" s="369" t="s">
        <v>1411</v>
      </c>
      <c r="B146" s="360" t="s">
        <v>1987</v>
      </c>
      <c r="C146" s="601"/>
      <c r="D146" s="354" t="s">
        <v>1810</v>
      </c>
      <c r="E146" s="379">
        <v>45653.0</v>
      </c>
      <c r="F146" s="379">
        <v>45653.0</v>
      </c>
      <c r="G146" s="379"/>
      <c r="H146" s="379">
        <v>45653.0</v>
      </c>
      <c r="I146" s="373">
        <f>IF(ISBLANK(H146), NETWORKDAYS(F146, TODAY(),Hoja2!$A$1:$A$18), NETWORKDAYS(F146, H146, Hoja2!$A$1:$A$18))</f>
        <v>1</v>
      </c>
      <c r="J146" s="379"/>
      <c r="K146" s="379">
        <v>45653.0</v>
      </c>
      <c r="L146" s="603" t="s">
        <v>1988</v>
      </c>
      <c r="M146" s="337"/>
      <c r="N146" s="337"/>
      <c r="O146" s="337"/>
      <c r="P146" s="337"/>
      <c r="Q146" s="337"/>
      <c r="R146" s="337"/>
      <c r="S146" s="337"/>
      <c r="T146" s="337"/>
      <c r="U146" s="337"/>
      <c r="V146" s="337"/>
      <c r="W146" s="337"/>
      <c r="X146" s="337"/>
      <c r="Y146" s="337"/>
      <c r="Z146" s="337"/>
    </row>
    <row r="147" ht="15.75" customHeight="1">
      <c r="A147" s="360" t="s">
        <v>1426</v>
      </c>
      <c r="B147" s="360" t="s">
        <v>1989</v>
      </c>
      <c r="C147" s="354"/>
      <c r="D147" s="354" t="s">
        <v>73</v>
      </c>
      <c r="E147" s="379">
        <v>45660.0</v>
      </c>
      <c r="F147" s="379">
        <v>45660.0</v>
      </c>
      <c r="G147" s="602"/>
      <c r="H147" s="379">
        <v>45660.0</v>
      </c>
      <c r="I147" s="357">
        <f>IF(ISBLANK(H147), NETWORKDAYS(F147, TODAY(),Hoja2!$A$1:$A$18), NETWORKDAYS(F147, H147, Hoja2!$A$1:$A$18))</f>
        <v>1</v>
      </c>
      <c r="J147" s="602"/>
      <c r="K147" s="602"/>
      <c r="L147" s="378"/>
      <c r="M147" s="337"/>
      <c r="N147" s="337"/>
      <c r="O147" s="337"/>
      <c r="P147" s="337"/>
      <c r="Q147" s="337"/>
      <c r="R147" s="337"/>
      <c r="S147" s="337"/>
      <c r="T147" s="337"/>
      <c r="U147" s="337"/>
      <c r="V147" s="337"/>
      <c r="W147" s="337"/>
      <c r="X147" s="337"/>
      <c r="Y147" s="337"/>
      <c r="Z147" s="337"/>
      <c r="AA147" s="337"/>
      <c r="AB147" s="337"/>
      <c r="AC147" s="337"/>
      <c r="AD147" s="337"/>
      <c r="AE147" s="337"/>
      <c r="AF147" s="337"/>
      <c r="AG147" s="337"/>
    </row>
    <row r="148" ht="15.75" customHeight="1">
      <c r="A148" s="360" t="s">
        <v>1426</v>
      </c>
      <c r="B148" s="360" t="s">
        <v>1990</v>
      </c>
      <c r="C148" s="354"/>
      <c r="D148" s="354" t="s">
        <v>73</v>
      </c>
      <c r="E148" s="379">
        <v>45650.0</v>
      </c>
      <c r="F148" s="379">
        <v>45650.0</v>
      </c>
      <c r="G148" s="602"/>
      <c r="H148" s="379">
        <v>45656.0</v>
      </c>
      <c r="I148" s="357">
        <f>IF(ISBLANK(H148), NETWORKDAYS(F148, TODAY(),Hoja2!$A$1:$A$18), NETWORKDAYS(F148, H148, Hoja2!$A$1:$A$18))</f>
        <v>4</v>
      </c>
      <c r="J148" s="602"/>
      <c r="K148" s="602"/>
      <c r="L148" s="378"/>
      <c r="M148" s="337"/>
      <c r="N148" s="337"/>
      <c r="O148" s="337"/>
      <c r="P148" s="337"/>
      <c r="Q148" s="337"/>
      <c r="R148" s="337"/>
      <c r="S148" s="337"/>
      <c r="T148" s="337"/>
      <c r="U148" s="337"/>
      <c r="V148" s="337"/>
      <c r="W148" s="337"/>
      <c r="X148" s="337"/>
      <c r="Y148" s="337"/>
      <c r="Z148" s="337"/>
      <c r="AA148" s="337"/>
      <c r="AB148" s="337"/>
      <c r="AC148" s="337"/>
      <c r="AD148" s="337"/>
      <c r="AE148" s="337"/>
      <c r="AF148" s="337"/>
      <c r="AG148" s="337"/>
    </row>
    <row r="149" ht="15.75" customHeight="1">
      <c r="A149" s="360" t="s">
        <v>1426</v>
      </c>
      <c r="B149" s="360" t="s">
        <v>1991</v>
      </c>
      <c r="C149" s="354"/>
      <c r="D149" s="354" t="s">
        <v>73</v>
      </c>
      <c r="E149" s="379">
        <v>45656.0</v>
      </c>
      <c r="F149" s="379">
        <v>45659.0</v>
      </c>
      <c r="G149" s="602"/>
      <c r="H149" s="379">
        <v>45659.0</v>
      </c>
      <c r="I149" s="357">
        <f>IF(ISBLANK(H149), NETWORKDAYS(F149, TODAY(),Hoja2!$A$1:$A$18), NETWORKDAYS(F149, H149, Hoja2!$A$1:$A$18))</f>
        <v>1</v>
      </c>
      <c r="J149" s="602"/>
      <c r="K149" s="602"/>
      <c r="L149" s="378" t="s">
        <v>1992</v>
      </c>
      <c r="M149" s="337"/>
      <c r="N149" s="337"/>
      <c r="O149" s="337"/>
      <c r="P149" s="337"/>
      <c r="Q149" s="337"/>
      <c r="R149" s="337"/>
      <c r="S149" s="337"/>
      <c r="T149" s="337"/>
      <c r="U149" s="337"/>
      <c r="V149" s="337"/>
      <c r="W149" s="337"/>
      <c r="X149" s="337"/>
      <c r="Y149" s="337"/>
      <c r="Z149" s="337"/>
      <c r="AA149" s="337"/>
      <c r="AB149" s="337"/>
      <c r="AC149" s="337"/>
      <c r="AD149" s="337"/>
      <c r="AE149" s="337"/>
      <c r="AF149" s="337"/>
      <c r="AG149" s="337"/>
    </row>
    <row r="150" ht="15.75" customHeight="1">
      <c r="A150" s="360" t="s">
        <v>1418</v>
      </c>
      <c r="B150" s="724" t="s">
        <v>1993</v>
      </c>
      <c r="C150" s="725"/>
      <c r="D150" s="726" t="s">
        <v>73</v>
      </c>
      <c r="E150" s="727">
        <v>45639.0</v>
      </c>
      <c r="F150" s="727">
        <v>45642.0</v>
      </c>
      <c r="G150" s="725"/>
      <c r="H150" s="727">
        <v>45653.0</v>
      </c>
      <c r="I150" s="659">
        <f>IF(ISBLANK(H150), NETWORKDAYS(F150, TODAY(),Hoja2!$A$1:$A$18), NETWORKDAYS(F150, H150, Hoja2!$A$1:$A$18))</f>
        <v>9</v>
      </c>
      <c r="J150" s="725"/>
      <c r="K150" s="725"/>
      <c r="L150" s="728" t="s">
        <v>1994</v>
      </c>
      <c r="M150" s="368"/>
      <c r="N150" s="368"/>
      <c r="O150" s="368"/>
      <c r="P150" s="368"/>
      <c r="Q150" s="368"/>
      <c r="R150" s="368"/>
      <c r="S150" s="368"/>
      <c r="T150" s="368"/>
      <c r="U150" s="368"/>
      <c r="V150" s="368"/>
      <c r="W150" s="368"/>
      <c r="X150" s="368"/>
      <c r="Y150" s="368"/>
      <c r="Z150" s="368"/>
      <c r="AA150" s="368"/>
      <c r="AB150" s="368"/>
      <c r="AC150" s="368"/>
      <c r="AD150" s="368"/>
      <c r="AE150" s="368"/>
      <c r="AF150" s="368"/>
      <c r="AG150" s="368"/>
    </row>
    <row r="151" ht="15.75" customHeight="1">
      <c r="A151" s="375" t="s">
        <v>1436</v>
      </c>
      <c r="B151" s="729" t="s">
        <v>1995</v>
      </c>
      <c r="C151" s="377"/>
      <c r="D151" s="602" t="s">
        <v>73</v>
      </c>
      <c r="E151" s="379">
        <v>45656.0</v>
      </c>
      <c r="F151" s="379">
        <v>45656.0</v>
      </c>
      <c r="G151" s="377"/>
      <c r="H151" s="379">
        <v>45656.0</v>
      </c>
      <c r="I151" s="357">
        <f>IF(ISBLANK(H151), NETWORKDAYS(F151, TODAY(),Hoja2!$A$1:$A$18), NETWORKDAYS(F151, H151, Hoja2!$A$1:$A$18))</f>
        <v>1</v>
      </c>
      <c r="J151" s="377"/>
      <c r="K151" s="379">
        <v>45656.0</v>
      </c>
      <c r="L151" s="377"/>
      <c r="M151" s="382"/>
      <c r="N151" s="382"/>
      <c r="O151" s="382"/>
      <c r="P151" s="382"/>
      <c r="Q151" s="382"/>
      <c r="R151" s="382"/>
      <c r="S151" s="382"/>
      <c r="T151" s="382"/>
      <c r="U151" s="382"/>
      <c r="V151" s="382"/>
      <c r="W151" s="382"/>
      <c r="X151" s="382"/>
      <c r="Y151" s="382"/>
      <c r="Z151" s="382"/>
    </row>
    <row r="152" ht="15.75" customHeight="1">
      <c r="A152" s="360" t="s">
        <v>1426</v>
      </c>
      <c r="B152" s="360" t="s">
        <v>1996</v>
      </c>
      <c r="C152" s="354" t="s">
        <v>1997</v>
      </c>
      <c r="D152" s="354" t="s">
        <v>73</v>
      </c>
      <c r="E152" s="379">
        <v>45664.0</v>
      </c>
      <c r="F152" s="379">
        <v>45664.0</v>
      </c>
      <c r="G152" s="602"/>
      <c r="H152" s="379">
        <v>45664.0</v>
      </c>
      <c r="I152" s="357">
        <f>IF(ISBLANK(H152), NETWORKDAYS(F152, TODAY(),Hoja2!$A$1:$A$18), NETWORKDAYS(F152, H152, Hoja2!$A$1:$A$18))</f>
        <v>1</v>
      </c>
      <c r="J152" s="602"/>
      <c r="K152" s="602"/>
      <c r="L152" s="378" t="s">
        <v>1998</v>
      </c>
    </row>
    <row r="153" ht="15.75" customHeight="1">
      <c r="A153" s="360" t="s">
        <v>1426</v>
      </c>
      <c r="B153" s="376" t="s">
        <v>1999</v>
      </c>
      <c r="C153" s="354" t="s">
        <v>2000</v>
      </c>
      <c r="D153" s="354" t="s">
        <v>73</v>
      </c>
      <c r="E153" s="379">
        <v>45656.0</v>
      </c>
      <c r="F153" s="379">
        <v>45665.0</v>
      </c>
      <c r="G153" s="602"/>
      <c r="H153" s="379">
        <v>45665.0</v>
      </c>
      <c r="I153" s="357">
        <f>IF(ISBLANK(H153), NETWORKDAYS(F153, TODAY(),Hoja2!$A$1:$A$18), NETWORKDAYS(F153, H153, Hoja2!$A$1:$A$18))</f>
        <v>1</v>
      </c>
      <c r="J153" s="379">
        <v>45665.0</v>
      </c>
      <c r="K153" s="602"/>
      <c r="L153" s="378"/>
      <c r="M153" s="337"/>
      <c r="N153" s="337"/>
      <c r="O153" s="337"/>
      <c r="P153" s="337"/>
      <c r="Q153" s="337"/>
      <c r="R153" s="337"/>
      <c r="S153" s="337"/>
      <c r="T153" s="337"/>
      <c r="U153" s="337"/>
      <c r="V153" s="337"/>
      <c r="W153" s="337"/>
      <c r="X153" s="337"/>
      <c r="Y153" s="337"/>
      <c r="Z153" s="337"/>
      <c r="AA153" s="337"/>
      <c r="AB153" s="337"/>
      <c r="AC153" s="337"/>
      <c r="AD153" s="337"/>
      <c r="AE153" s="337"/>
      <c r="AF153" s="337"/>
      <c r="AG153" s="337"/>
    </row>
    <row r="154" ht="15.75" customHeight="1">
      <c r="A154" s="360" t="s">
        <v>1426</v>
      </c>
      <c r="B154" s="522"/>
      <c r="C154" s="354" t="s">
        <v>2001</v>
      </c>
      <c r="D154" s="354" t="s">
        <v>73</v>
      </c>
      <c r="E154" s="379">
        <v>45656.0</v>
      </c>
      <c r="F154" s="379">
        <v>45665.0</v>
      </c>
      <c r="G154" s="602"/>
      <c r="H154" s="379">
        <v>45665.0</v>
      </c>
      <c r="I154" s="357">
        <f>IF(ISBLANK(H154), NETWORKDAYS(F154, TODAY(),Hoja2!$A$1:$A$18), NETWORKDAYS(F154, H154, Hoja2!$A$1:$A$18))</f>
        <v>1</v>
      </c>
      <c r="J154" s="379">
        <v>45665.0</v>
      </c>
      <c r="K154" s="602"/>
      <c r="L154" s="378"/>
      <c r="M154" s="337"/>
      <c r="N154" s="337"/>
      <c r="O154" s="337"/>
      <c r="P154" s="337"/>
      <c r="Q154" s="337"/>
      <c r="R154" s="337"/>
      <c r="S154" s="337"/>
      <c r="T154" s="337"/>
      <c r="U154" s="337"/>
      <c r="V154" s="337"/>
      <c r="W154" s="337"/>
      <c r="X154" s="337"/>
      <c r="Y154" s="337"/>
      <c r="Z154" s="337"/>
      <c r="AA154" s="337"/>
      <c r="AB154" s="337"/>
      <c r="AC154" s="337"/>
      <c r="AD154" s="337"/>
      <c r="AE154" s="337"/>
      <c r="AF154" s="337"/>
      <c r="AG154" s="337"/>
    </row>
    <row r="155" ht="15.75" customHeight="1">
      <c r="A155" s="360" t="s">
        <v>1689</v>
      </c>
      <c r="B155" s="353" t="s">
        <v>2002</v>
      </c>
      <c r="C155" s="378"/>
      <c r="D155" s="602" t="s">
        <v>73</v>
      </c>
      <c r="E155" s="379">
        <v>45666.0</v>
      </c>
      <c r="F155" s="379">
        <v>45666.0</v>
      </c>
      <c r="G155" s="379"/>
      <c r="H155" s="379">
        <v>45666.0</v>
      </c>
      <c r="I155" s="357">
        <f>IF(ISBLANK(H155), NETWORKDAYS(F155, TODAY(),Hoja2!$A$1:$A$18), NETWORKDAYS(F155, H155, Hoja2!$A$1:$A$18))</f>
        <v>1</v>
      </c>
      <c r="J155" s="379"/>
      <c r="K155" s="379"/>
      <c r="L155" s="603"/>
      <c r="M155" s="730"/>
      <c r="N155" s="535"/>
      <c r="O155" s="536"/>
      <c r="P155" s="535"/>
      <c r="Q155" s="536"/>
      <c r="R155" s="535"/>
      <c r="S155" s="536"/>
      <c r="T155" s="535"/>
      <c r="U155" s="536"/>
      <c r="V155" s="535"/>
      <c r="W155" s="536"/>
      <c r="X155" s="535"/>
      <c r="Y155" s="536"/>
      <c r="Z155" s="535"/>
      <c r="AA155" s="536"/>
      <c r="AB155" s="535"/>
      <c r="AC155" s="536"/>
      <c r="AD155" s="535"/>
      <c r="AE155" s="536"/>
      <c r="AF155" s="535"/>
      <c r="AG155" s="536"/>
    </row>
    <row r="156" ht="15.75" customHeight="1">
      <c r="A156" s="360" t="s">
        <v>1689</v>
      </c>
      <c r="B156" s="731" t="s">
        <v>2003</v>
      </c>
      <c r="C156" s="378" t="s">
        <v>2004</v>
      </c>
      <c r="D156" s="354" t="s">
        <v>73</v>
      </c>
      <c r="E156" s="379">
        <v>45664.0</v>
      </c>
      <c r="F156" s="379">
        <v>45664.0</v>
      </c>
      <c r="G156" s="379"/>
      <c r="H156" s="379">
        <v>45667.0</v>
      </c>
      <c r="I156" s="357">
        <f>IF(ISBLANK(H156), NETWORKDAYS(F156, TODAY(),Hoja2!$A$1:$A$18), NETWORKDAYS(F156, H156, Hoja2!$A$1:$A$18))</f>
        <v>4</v>
      </c>
      <c r="J156" s="379"/>
      <c r="K156" s="379"/>
      <c r="L156" s="603" t="s">
        <v>2005</v>
      </c>
      <c r="M156" s="573"/>
      <c r="N156" s="337"/>
      <c r="O156" s="337"/>
      <c r="P156" s="337"/>
      <c r="Q156" s="337"/>
      <c r="R156" s="337"/>
      <c r="S156" s="337"/>
      <c r="T156" s="337"/>
      <c r="U156" s="337"/>
      <c r="V156" s="337"/>
      <c r="W156" s="337"/>
      <c r="X156" s="337"/>
      <c r="Y156" s="337"/>
      <c r="Z156" s="337"/>
    </row>
    <row r="157" ht="15.75" customHeight="1">
      <c r="A157" s="360" t="s">
        <v>1426</v>
      </c>
      <c r="B157" s="703" t="s">
        <v>2006</v>
      </c>
      <c r="C157" s="732"/>
      <c r="D157" s="354" t="s">
        <v>1413</v>
      </c>
      <c r="E157" s="379">
        <v>45609.0</v>
      </c>
      <c r="F157" s="379">
        <v>45610.0</v>
      </c>
      <c r="G157" s="355">
        <v>45622.0</v>
      </c>
      <c r="H157" s="355">
        <v>45623.0</v>
      </c>
      <c r="I157" s="357">
        <f>IF(ISBLANK(H157), NETWORKDAYS(F157, TODAY(),Hoja2!$A$1:$A$18), NETWORKDAYS(F157, H157, Hoja2!$A$1:$A$18))</f>
        <v>10</v>
      </c>
      <c r="J157" s="355">
        <v>45623.0</v>
      </c>
      <c r="K157" s="355">
        <v>45667.0</v>
      </c>
      <c r="L157" s="733" t="s">
        <v>2007</v>
      </c>
      <c r="M157" s="358"/>
      <c r="N157" s="358"/>
      <c r="O157" s="358"/>
      <c r="P157" s="358"/>
      <c r="Q157" s="358"/>
      <c r="R157" s="358"/>
      <c r="S157" s="358"/>
      <c r="T157" s="358"/>
      <c r="U157" s="358"/>
      <c r="V157" s="358"/>
      <c r="W157" s="358"/>
      <c r="X157" s="358"/>
      <c r="Y157" s="358"/>
      <c r="Z157" s="358"/>
    </row>
    <row r="158" ht="15.75" customHeight="1">
      <c r="A158" s="360" t="s">
        <v>1426</v>
      </c>
      <c r="B158" s="382"/>
      <c r="C158" s="351" t="s">
        <v>2008</v>
      </c>
      <c r="D158" s="354" t="s">
        <v>1413</v>
      </c>
      <c r="E158" s="658">
        <v>45610.0</v>
      </c>
      <c r="F158" s="734">
        <v>45611.0</v>
      </c>
      <c r="G158" s="633"/>
      <c r="H158" s="633">
        <v>45617.0</v>
      </c>
      <c r="I158" s="659">
        <f>IF(ISBLANK(H158), NETWORKDAYS(F158, TODAY(),Hoja2!$A$1:$A$18), NETWORKDAYS(F158, H158, Hoja2!$A$1:$A$18))</f>
        <v>5</v>
      </c>
      <c r="J158" s="633">
        <v>45622.0</v>
      </c>
      <c r="K158" s="355">
        <v>45667.0</v>
      </c>
      <c r="L158" s="735" t="s">
        <v>2009</v>
      </c>
      <c r="M158" s="358"/>
      <c r="N158" s="358"/>
      <c r="O158" s="358"/>
      <c r="P158" s="358"/>
      <c r="Q158" s="358"/>
      <c r="R158" s="358"/>
      <c r="S158" s="358"/>
      <c r="T158" s="358"/>
      <c r="U158" s="358"/>
      <c r="V158" s="358"/>
      <c r="W158" s="358"/>
      <c r="X158" s="358"/>
      <c r="Y158" s="358"/>
      <c r="Z158" s="358"/>
    </row>
    <row r="159" ht="15.75" customHeight="1">
      <c r="A159" s="360" t="s">
        <v>1426</v>
      </c>
      <c r="B159" s="382"/>
      <c r="C159" s="351" t="s">
        <v>2010</v>
      </c>
      <c r="D159" s="354" t="s">
        <v>1413</v>
      </c>
      <c r="E159" s="379">
        <v>45610.0</v>
      </c>
      <c r="F159" s="658">
        <v>45621.0</v>
      </c>
      <c r="G159" s="633">
        <v>45621.0</v>
      </c>
      <c r="H159" s="633">
        <v>45621.0</v>
      </c>
      <c r="I159" s="659">
        <f>IF(ISBLANK(H159), NETWORKDAYS(F159, TODAY(),Hoja2!$A$1:$A$18), NETWORKDAYS(F159, H159, Hoja2!$A$1:$A$18))</f>
        <v>1</v>
      </c>
      <c r="J159" s="633">
        <v>45622.0</v>
      </c>
      <c r="K159" s="355">
        <v>45667.0</v>
      </c>
      <c r="L159" s="736" t="s">
        <v>2011</v>
      </c>
      <c r="M159" s="358"/>
      <c r="N159" s="358"/>
      <c r="O159" s="358"/>
      <c r="P159" s="358"/>
      <c r="Q159" s="358"/>
      <c r="R159" s="358"/>
      <c r="S159" s="358"/>
      <c r="T159" s="358"/>
      <c r="U159" s="358"/>
      <c r="V159" s="358"/>
      <c r="W159" s="358"/>
      <c r="X159" s="358"/>
      <c r="Y159" s="358"/>
      <c r="Z159" s="358"/>
    </row>
    <row r="160" ht="15.75" customHeight="1">
      <c r="A160" s="376" t="s">
        <v>1426</v>
      </c>
      <c r="B160" s="382"/>
      <c r="C160" s="629" t="s">
        <v>2012</v>
      </c>
      <c r="D160" s="354" t="s">
        <v>1413</v>
      </c>
      <c r="E160" s="658">
        <v>45610.0</v>
      </c>
      <c r="F160" s="658">
        <v>45621.0</v>
      </c>
      <c r="G160" s="633"/>
      <c r="H160" s="633">
        <v>45622.0</v>
      </c>
      <c r="I160" s="659">
        <f>IF(ISBLANK(H160), NETWORKDAYS(F160, TODAY(),Hoja2!$A$1:$A$18), NETWORKDAYS(F160, H160, Hoja2!$A$1:$A$18))</f>
        <v>2</v>
      </c>
      <c r="J160" s="633">
        <v>45622.0</v>
      </c>
      <c r="K160" s="355">
        <v>45667.0</v>
      </c>
      <c r="L160" s="733" t="s">
        <v>2013</v>
      </c>
      <c r="M160" s="358"/>
      <c r="N160" s="358"/>
      <c r="O160" s="358"/>
      <c r="P160" s="358"/>
      <c r="Q160" s="358"/>
      <c r="R160" s="358"/>
      <c r="S160" s="358"/>
      <c r="T160" s="358"/>
      <c r="U160" s="358"/>
      <c r="V160" s="358"/>
      <c r="W160" s="358"/>
      <c r="X160" s="358"/>
      <c r="Y160" s="358"/>
      <c r="Z160" s="358"/>
    </row>
    <row r="161" ht="15.75" customHeight="1">
      <c r="A161" s="360" t="s">
        <v>1426</v>
      </c>
      <c r="B161" s="548"/>
      <c r="C161" s="353" t="s">
        <v>2014</v>
      </c>
      <c r="D161" s="354" t="s">
        <v>1413</v>
      </c>
      <c r="E161" s="379">
        <v>45624.0</v>
      </c>
      <c r="F161" s="379">
        <v>45628.0</v>
      </c>
      <c r="G161" s="355"/>
      <c r="H161" s="355">
        <v>45629.0</v>
      </c>
      <c r="I161" s="357">
        <f>IF(ISBLANK(H161), NETWORKDAYS(F161, TODAY(),Hoja2!$A$1:$A$18), NETWORKDAYS(F161, H161, Hoja2!$A$1:$A$18))</f>
        <v>2</v>
      </c>
      <c r="J161" s="355">
        <v>45629.0</v>
      </c>
      <c r="K161" s="355">
        <v>45667.0</v>
      </c>
      <c r="L161" s="735" t="s">
        <v>2015</v>
      </c>
      <c r="M161" s="358"/>
      <c r="N161" s="358"/>
      <c r="O161" s="358"/>
      <c r="P161" s="358"/>
      <c r="Q161" s="358"/>
      <c r="R161" s="358"/>
      <c r="S161" s="358"/>
      <c r="T161" s="358"/>
      <c r="U161" s="358"/>
      <c r="V161" s="358"/>
      <c r="W161" s="358"/>
      <c r="X161" s="358"/>
      <c r="Y161" s="358"/>
      <c r="Z161" s="358"/>
    </row>
    <row r="162" ht="15.75" customHeight="1">
      <c r="A162" s="718" t="s">
        <v>1426</v>
      </c>
      <c r="B162" s="360" t="s">
        <v>1962</v>
      </c>
      <c r="C162" s="650" t="s">
        <v>2016</v>
      </c>
      <c r="D162" s="737" t="s">
        <v>1810</v>
      </c>
      <c r="E162" s="379">
        <v>45631.0</v>
      </c>
      <c r="F162" s="379">
        <v>45635.0</v>
      </c>
      <c r="G162" s="379">
        <v>45649.0</v>
      </c>
      <c r="H162" s="379">
        <v>45645.0</v>
      </c>
      <c r="I162" s="357">
        <f>IF(ISBLANK(H162), NETWORKDAYS(F162, TODAY(),Hoja2!$A$1:$A$18), NETWORKDAYS(F162, H162, Hoja2!$A$1:$A$18))</f>
        <v>9</v>
      </c>
      <c r="J162" s="379">
        <v>45645.0</v>
      </c>
      <c r="K162" s="379">
        <v>45667.0</v>
      </c>
      <c r="L162" s="603" t="s">
        <v>2017</v>
      </c>
      <c r="M162" s="337"/>
      <c r="N162" s="337"/>
      <c r="O162" s="337"/>
      <c r="P162" s="337"/>
      <c r="Q162" s="337"/>
      <c r="R162" s="337"/>
      <c r="S162" s="337"/>
      <c r="T162" s="337"/>
      <c r="U162" s="337"/>
      <c r="V162" s="337"/>
      <c r="W162" s="337"/>
      <c r="X162" s="337"/>
      <c r="Y162" s="337"/>
      <c r="Z162" s="337"/>
    </row>
    <row r="163" ht="15.75" customHeight="1">
      <c r="A163" s="721" t="s">
        <v>1426</v>
      </c>
      <c r="B163" s="383" t="s">
        <v>1962</v>
      </c>
      <c r="C163" s="738" t="s">
        <v>2018</v>
      </c>
      <c r="D163" s="737" t="s">
        <v>1810</v>
      </c>
      <c r="E163" s="615">
        <v>45631.0</v>
      </c>
      <c r="F163" s="615">
        <v>45644.0</v>
      </c>
      <c r="G163" s="615">
        <v>45649.0</v>
      </c>
      <c r="H163" s="615">
        <v>45645.0</v>
      </c>
      <c r="I163" s="707">
        <f>IF(ISBLANK(H163), NETWORKDAYS(F163, TODAY(),Hoja2!$A$1:$A$18), NETWORKDAYS(F163, H163, Hoja2!$A$1:$A$18))</f>
        <v>2</v>
      </c>
      <c r="J163" s="615">
        <v>45645.0</v>
      </c>
      <c r="K163" s="615">
        <v>45667.0</v>
      </c>
      <c r="L163" s="616" t="s">
        <v>2019</v>
      </c>
      <c r="M163" s="337"/>
      <c r="N163" s="337"/>
      <c r="O163" s="337"/>
      <c r="P163" s="337"/>
      <c r="Q163" s="337"/>
      <c r="R163" s="337"/>
      <c r="S163" s="337"/>
      <c r="T163" s="337"/>
      <c r="U163" s="337"/>
      <c r="V163" s="337"/>
      <c r="W163" s="337"/>
      <c r="X163" s="337"/>
      <c r="Y163" s="337"/>
      <c r="Z163" s="337"/>
    </row>
    <row r="164" ht="15.75" customHeight="1">
      <c r="A164" s="721" t="s">
        <v>1426</v>
      </c>
      <c r="B164" s="376" t="s">
        <v>1962</v>
      </c>
      <c r="C164" s="739" t="s">
        <v>2020</v>
      </c>
      <c r="D164" s="737" t="s">
        <v>1810</v>
      </c>
      <c r="E164" s="379">
        <v>45631.0</v>
      </c>
      <c r="F164" s="379">
        <v>45644.0</v>
      </c>
      <c r="G164" s="379">
        <v>45649.0</v>
      </c>
      <c r="H164" s="658">
        <v>45650.0</v>
      </c>
      <c r="I164" s="707">
        <f>IF(ISBLANK(H164), NETWORKDAYS(F164, TODAY(),Hoja2!$A$1:$A$18), NETWORKDAYS(F164, H164, Hoja2!$A$1:$A$18))</f>
        <v>5</v>
      </c>
      <c r="J164" s="658">
        <v>45650.0</v>
      </c>
      <c r="K164" s="658">
        <v>45667.0</v>
      </c>
      <c r="L164" s="603" t="s">
        <v>2021</v>
      </c>
      <c r="M164" s="337"/>
      <c r="N164" s="337"/>
      <c r="O164" s="337"/>
      <c r="P164" s="337"/>
      <c r="Q164" s="337"/>
      <c r="R164" s="337"/>
      <c r="S164" s="337"/>
      <c r="T164" s="337"/>
      <c r="U164" s="337"/>
      <c r="V164" s="337"/>
      <c r="W164" s="337"/>
      <c r="X164" s="337"/>
      <c r="Y164" s="337"/>
      <c r="Z164" s="337"/>
    </row>
    <row r="165" ht="15.75" customHeight="1">
      <c r="A165" s="721" t="s">
        <v>1426</v>
      </c>
      <c r="B165" s="376" t="s">
        <v>1962</v>
      </c>
      <c r="C165" s="739" t="s">
        <v>2022</v>
      </c>
      <c r="D165" s="737" t="s">
        <v>1810</v>
      </c>
      <c r="E165" s="658">
        <v>45631.0</v>
      </c>
      <c r="F165" s="658">
        <v>45644.0</v>
      </c>
      <c r="G165" s="658">
        <v>45649.0</v>
      </c>
      <c r="H165" s="658">
        <v>45650.0</v>
      </c>
      <c r="I165" s="636">
        <f>IF(ISBLANK(H165), NETWORKDAYS(F165, TODAY(),Hoja2!$A$1:$A$18), NETWORKDAYS(F165, H165, Hoja2!$A$1:$A$18))</f>
        <v>5</v>
      </c>
      <c r="J165" s="658">
        <v>45650.0</v>
      </c>
      <c r="K165" s="658">
        <v>45667.0</v>
      </c>
      <c r="L165" s="660" t="s">
        <v>2023</v>
      </c>
      <c r="M165" s="337"/>
      <c r="N165" s="337"/>
      <c r="O165" s="337"/>
      <c r="P165" s="337"/>
      <c r="Q165" s="337"/>
      <c r="R165" s="337"/>
      <c r="S165" s="337"/>
      <c r="T165" s="337"/>
      <c r="U165" s="337"/>
      <c r="V165" s="337"/>
      <c r="W165" s="337"/>
      <c r="X165" s="337"/>
      <c r="Y165" s="337"/>
      <c r="Z165" s="337"/>
    </row>
    <row r="166" ht="15.75" customHeight="1">
      <c r="A166" s="375" t="s">
        <v>1436</v>
      </c>
      <c r="B166" s="360" t="s">
        <v>2024</v>
      </c>
      <c r="C166" s="370"/>
      <c r="D166" s="354" t="s">
        <v>73</v>
      </c>
      <c r="E166" s="379">
        <v>45667.0</v>
      </c>
      <c r="F166" s="379">
        <v>45667.0</v>
      </c>
      <c r="G166" s="379">
        <v>45670.0</v>
      </c>
      <c r="H166" s="379">
        <v>45667.0</v>
      </c>
      <c r="I166" s="357">
        <f>IF(ISBLANK(H166), NETWORKDAYS(F166, TODAY(),Hoja2!$A$1:$A$18), NETWORKDAYS(F166, H166, Hoja2!$A$1:$A$18))</f>
        <v>1</v>
      </c>
      <c r="J166" s="379"/>
      <c r="K166" s="379"/>
      <c r="L166" s="698"/>
      <c r="M166" s="573"/>
      <c r="N166" s="337"/>
      <c r="O166" s="337"/>
      <c r="P166" s="337"/>
      <c r="Q166" s="337"/>
      <c r="R166" s="337"/>
      <c r="S166" s="337"/>
      <c r="T166" s="337"/>
      <c r="U166" s="337"/>
      <c r="V166" s="337"/>
      <c r="W166" s="337"/>
      <c r="X166" s="337"/>
      <c r="Y166" s="337"/>
      <c r="Z166" s="337"/>
    </row>
    <row r="167" ht="15.75" customHeight="1">
      <c r="A167" s="360" t="s">
        <v>1689</v>
      </c>
      <c r="B167" s="353" t="s">
        <v>2025</v>
      </c>
      <c r="C167" s="378"/>
      <c r="D167" s="602" t="s">
        <v>73</v>
      </c>
      <c r="E167" s="379">
        <v>45667.0</v>
      </c>
      <c r="F167" s="379">
        <v>45667.0</v>
      </c>
      <c r="G167" s="379"/>
      <c r="H167" s="379">
        <v>45667.0</v>
      </c>
      <c r="I167" s="357">
        <f>IF(ISBLANK(H167), NETWORKDAYS(F167, TODAY(),Hoja2!$A$1:$A$18), NETWORKDAYS(F167, H167, Hoja2!$A$1:$A$18))</f>
        <v>1</v>
      </c>
      <c r="J167" s="379"/>
      <c r="K167" s="379"/>
      <c r="L167" s="603"/>
      <c r="M167" s="573"/>
      <c r="N167" s="337"/>
      <c r="O167" s="337"/>
      <c r="P167" s="337"/>
      <c r="Q167" s="337"/>
      <c r="R167" s="337"/>
      <c r="S167" s="337"/>
      <c r="T167" s="337"/>
      <c r="U167" s="337"/>
      <c r="V167" s="337"/>
      <c r="W167" s="337"/>
      <c r="X167" s="337"/>
      <c r="Y167" s="337"/>
      <c r="Z167" s="337"/>
    </row>
    <row r="168" ht="15.75" customHeight="1">
      <c r="A168" s="375" t="s">
        <v>1436</v>
      </c>
      <c r="B168" s="729" t="s">
        <v>2026</v>
      </c>
      <c r="C168" s="377"/>
      <c r="D168" s="602" t="s">
        <v>73</v>
      </c>
      <c r="E168" s="379">
        <v>45667.0</v>
      </c>
      <c r="F168" s="380">
        <v>45667.0</v>
      </c>
      <c r="G168" s="377"/>
      <c r="H168" s="379">
        <v>45671.0</v>
      </c>
      <c r="I168" s="357">
        <f>IF(ISBLANK(H168), NETWORKDAYS(F168, TODAY(),Hoja2!$A$1:$A$18), NETWORKDAYS(F168, H168, Hoja2!$A$1:$A$18))</f>
        <v>3</v>
      </c>
      <c r="J168" s="379">
        <v>45671.0</v>
      </c>
      <c r="K168" s="379">
        <v>45671.0</v>
      </c>
      <c r="L168" s="381" t="s">
        <v>2027</v>
      </c>
      <c r="M168" s="382"/>
      <c r="N168" s="382"/>
      <c r="O168" s="382"/>
      <c r="P168" s="382"/>
      <c r="Q168" s="382"/>
      <c r="R168" s="382"/>
      <c r="S168" s="382"/>
      <c r="T168" s="382"/>
      <c r="U168" s="382"/>
      <c r="V168" s="382"/>
      <c r="W168" s="382"/>
      <c r="X168" s="382"/>
      <c r="Y168" s="382"/>
      <c r="Z168" s="382"/>
    </row>
    <row r="169" ht="15.75" customHeight="1">
      <c r="A169" s="360" t="s">
        <v>1689</v>
      </c>
      <c r="B169" s="353" t="s">
        <v>2028</v>
      </c>
      <c r="C169" s="378"/>
      <c r="D169" s="602" t="s">
        <v>73</v>
      </c>
      <c r="E169" s="379">
        <v>45667.0</v>
      </c>
      <c r="F169" s="379">
        <v>45670.0</v>
      </c>
      <c r="G169" s="379"/>
      <c r="H169" s="379">
        <v>45670.0</v>
      </c>
      <c r="I169" s="357">
        <f>IF(ISBLANK(H169), NETWORKDAYS(F169, TODAY(),Hoja2!$A$1:$A$18), NETWORKDAYS(F169, H169, Hoja2!$A$1:$A$18))</f>
        <v>1</v>
      </c>
      <c r="J169" s="379">
        <v>45670.0</v>
      </c>
      <c r="K169" s="379">
        <v>45672.0</v>
      </c>
      <c r="L169" s="603"/>
      <c r="M169" s="573"/>
      <c r="N169" s="337"/>
      <c r="O169" s="337"/>
      <c r="P169" s="337"/>
      <c r="Q169" s="337"/>
      <c r="R169" s="337"/>
      <c r="S169" s="337"/>
      <c r="T169" s="337"/>
      <c r="U169" s="337"/>
      <c r="V169" s="337"/>
      <c r="W169" s="337"/>
      <c r="X169" s="337"/>
      <c r="Y169" s="337"/>
      <c r="Z169" s="337"/>
    </row>
    <row r="170" ht="15.75" customHeight="1">
      <c r="A170" s="360" t="s">
        <v>1689</v>
      </c>
      <c r="B170" s="731" t="s">
        <v>2029</v>
      </c>
      <c r="C170" s="378" t="s">
        <v>2030</v>
      </c>
      <c r="D170" s="602" t="s">
        <v>1810</v>
      </c>
      <c r="E170" s="379">
        <v>45672.0</v>
      </c>
      <c r="F170" s="379"/>
      <c r="G170" s="379"/>
      <c r="H170" s="602"/>
      <c r="I170" s="357"/>
      <c r="J170" s="379"/>
      <c r="K170" s="698">
        <v>45692.0</v>
      </c>
      <c r="L170" s="603" t="s">
        <v>2031</v>
      </c>
      <c r="M170" s="573"/>
      <c r="N170" s="337"/>
      <c r="O170" s="337"/>
      <c r="P170" s="337"/>
      <c r="Q170" s="337"/>
      <c r="R170" s="337"/>
      <c r="S170" s="337"/>
      <c r="T170" s="337"/>
      <c r="U170" s="337"/>
      <c r="V170" s="337"/>
      <c r="W170" s="337"/>
      <c r="X170" s="337"/>
      <c r="Y170" s="337"/>
      <c r="Z170" s="337"/>
    </row>
    <row r="171" ht="15.75" customHeight="1">
      <c r="A171" s="360" t="s">
        <v>1689</v>
      </c>
      <c r="B171" s="731" t="s">
        <v>2029</v>
      </c>
      <c r="C171" s="378" t="s">
        <v>2032</v>
      </c>
      <c r="D171" s="602" t="s">
        <v>1810</v>
      </c>
      <c r="E171" s="379">
        <v>45672.0</v>
      </c>
      <c r="F171" s="379">
        <v>45673.0</v>
      </c>
      <c r="G171" s="379"/>
      <c r="H171" s="379">
        <v>45673.0</v>
      </c>
      <c r="I171" s="357">
        <f>IF(ISBLANK(H171), NETWORKDAYS(F171, TODAY(),Hoja2!$A$1:$A$18), NETWORKDAYS(F171, H171, Hoja2!$A$1:$A$18))</f>
        <v>1</v>
      </c>
      <c r="J171" s="355">
        <v>45678.0</v>
      </c>
      <c r="K171" s="698">
        <v>45692.0</v>
      </c>
      <c r="L171" s="603"/>
      <c r="M171" s="573"/>
      <c r="N171" s="337"/>
      <c r="O171" s="337"/>
      <c r="P171" s="337"/>
      <c r="Q171" s="337"/>
      <c r="R171" s="337"/>
      <c r="S171" s="337"/>
      <c r="T171" s="337"/>
      <c r="U171" s="337"/>
      <c r="V171" s="337"/>
      <c r="W171" s="337"/>
      <c r="X171" s="337"/>
      <c r="Y171" s="337"/>
      <c r="Z171" s="337"/>
    </row>
    <row r="172" ht="15.75" customHeight="1">
      <c r="A172" s="360" t="s">
        <v>1689</v>
      </c>
      <c r="B172" s="353" t="s">
        <v>2033</v>
      </c>
      <c r="C172" s="378"/>
      <c r="D172" s="602" t="s">
        <v>73</v>
      </c>
      <c r="E172" s="379">
        <v>45673.0</v>
      </c>
      <c r="F172" s="379">
        <v>45673.0</v>
      </c>
      <c r="G172" s="379"/>
      <c r="H172" s="379">
        <v>45673.0</v>
      </c>
      <c r="I172" s="357">
        <f>IF(ISBLANK(H172), NETWORKDAYS(F172, TODAY(),Hoja2!$A$1:$A$18), NETWORKDAYS(F172, H172, Hoja2!$A$1:$A$18))</f>
        <v>1</v>
      </c>
      <c r="J172" s="379"/>
      <c r="K172" s="379"/>
      <c r="L172" s="698" t="s">
        <v>2034</v>
      </c>
      <c r="M172" s="573"/>
      <c r="N172" s="337"/>
      <c r="O172" s="337"/>
      <c r="P172" s="337"/>
      <c r="Q172" s="337"/>
      <c r="R172" s="337"/>
      <c r="S172" s="337"/>
      <c r="T172" s="337"/>
      <c r="U172" s="337"/>
      <c r="V172" s="337"/>
      <c r="W172" s="337"/>
      <c r="X172" s="337"/>
      <c r="Y172" s="337"/>
      <c r="Z172" s="337"/>
    </row>
    <row r="173" ht="15.75" customHeight="1">
      <c r="A173" s="360" t="s">
        <v>1689</v>
      </c>
      <c r="B173" s="353" t="s">
        <v>2035</v>
      </c>
      <c r="C173" s="378"/>
      <c r="D173" s="602" t="s">
        <v>73</v>
      </c>
      <c r="E173" s="379">
        <v>45671.0</v>
      </c>
      <c r="F173" s="379">
        <v>45671.0</v>
      </c>
      <c r="G173" s="379"/>
      <c r="H173" s="379">
        <v>45672.0</v>
      </c>
      <c r="I173" s="357">
        <f>IF(ISBLANK(H173), NETWORKDAYS(F173, TODAY(),Hoja2!$A$1:$A$18), NETWORKDAYS(F173, H173, Hoja2!$A$1:$A$18))</f>
        <v>2</v>
      </c>
      <c r="J173" s="379">
        <v>45672.0</v>
      </c>
      <c r="K173" s="379">
        <v>45674.0</v>
      </c>
      <c r="L173" s="603" t="s">
        <v>2036</v>
      </c>
      <c r="M173" s="573"/>
      <c r="N173" s="337"/>
      <c r="O173" s="337"/>
      <c r="P173" s="337"/>
      <c r="Q173" s="337"/>
      <c r="R173" s="337"/>
      <c r="S173" s="337"/>
      <c r="T173" s="337"/>
      <c r="U173" s="337"/>
      <c r="V173" s="337"/>
      <c r="W173" s="337"/>
      <c r="X173" s="337"/>
      <c r="Y173" s="337"/>
      <c r="Z173" s="337"/>
    </row>
    <row r="174" ht="15.75" customHeight="1">
      <c r="A174" s="360" t="s">
        <v>1689</v>
      </c>
      <c r="B174" s="353" t="s">
        <v>2037</v>
      </c>
      <c r="C174" s="378"/>
      <c r="D174" s="602" t="s">
        <v>11</v>
      </c>
      <c r="E174" s="379">
        <v>45667.0</v>
      </c>
      <c r="F174" s="379">
        <v>45667.0</v>
      </c>
      <c r="G174" s="379"/>
      <c r="H174" s="379">
        <v>45673.0</v>
      </c>
      <c r="I174" s="357">
        <f>IF(ISBLANK(H174), NETWORKDAYS(F174, TODAY(),Hoja2!$A$1:$A$18), NETWORKDAYS(F174, H174, Hoja2!$A$1:$A$18))</f>
        <v>5</v>
      </c>
      <c r="J174" s="379"/>
      <c r="K174" s="379"/>
      <c r="L174" s="603" t="s">
        <v>2038</v>
      </c>
      <c r="M174" s="573"/>
      <c r="N174" s="337"/>
      <c r="O174" s="337"/>
      <c r="P174" s="337"/>
      <c r="Q174" s="337"/>
      <c r="R174" s="337"/>
      <c r="S174" s="337"/>
      <c r="T174" s="337"/>
      <c r="U174" s="337"/>
      <c r="V174" s="337"/>
      <c r="W174" s="337"/>
      <c r="X174" s="337"/>
      <c r="Y174" s="337"/>
      <c r="Z174" s="337"/>
    </row>
    <row r="175" ht="15.75" customHeight="1">
      <c r="A175" s="360" t="s">
        <v>1689</v>
      </c>
      <c r="B175" s="731" t="s">
        <v>2039</v>
      </c>
      <c r="C175" s="378"/>
      <c r="D175" s="602" t="s">
        <v>11</v>
      </c>
      <c r="E175" s="379">
        <v>45677.0</v>
      </c>
      <c r="F175" s="379">
        <v>45677.0</v>
      </c>
      <c r="G175" s="379"/>
      <c r="H175" s="379">
        <v>45677.0</v>
      </c>
      <c r="I175" s="357">
        <f>IF(ISBLANK(H175), NETWORKDAYS(F175, TODAY(),Hoja2!$A$1:$A$18), NETWORKDAYS(F175, H175, Hoja2!$A$1:$A$18))</f>
        <v>1</v>
      </c>
      <c r="J175" s="379"/>
      <c r="K175" s="379">
        <v>45677.0</v>
      </c>
      <c r="L175" s="603"/>
      <c r="M175" s="573"/>
      <c r="N175" s="337"/>
      <c r="O175" s="337"/>
      <c r="P175" s="337"/>
      <c r="Q175" s="337"/>
      <c r="R175" s="337"/>
      <c r="S175" s="337"/>
      <c r="T175" s="337"/>
      <c r="U175" s="337"/>
      <c r="V175" s="337"/>
      <c r="W175" s="337"/>
      <c r="X175" s="337"/>
      <c r="Y175" s="337"/>
      <c r="Z175" s="337"/>
    </row>
    <row r="176" ht="45.0" customHeight="1">
      <c r="A176" s="336" t="s">
        <v>1411</v>
      </c>
      <c r="B176" s="575" t="s">
        <v>2040</v>
      </c>
      <c r="C176" s="607"/>
      <c r="D176" s="348" t="s">
        <v>383</v>
      </c>
      <c r="E176" s="347">
        <v>45611.0</v>
      </c>
      <c r="F176" s="347">
        <v>45622.0</v>
      </c>
      <c r="G176" s="347">
        <v>45624.0</v>
      </c>
      <c r="H176" s="348"/>
      <c r="I176" s="349">
        <f>IF(ISBLANK(H176), NETWORKDAYS(F176, TODAY(),Hoja2!$A$1:$A$18), NETWORKDAYS(F176, H176, Hoja2!$A$1:$A$18))</f>
        <v>241</v>
      </c>
      <c r="J176" s="607"/>
      <c r="K176" s="607"/>
      <c r="L176" s="367" t="s">
        <v>2041</v>
      </c>
    </row>
    <row r="177" ht="15.75" customHeight="1">
      <c r="A177" s="336" t="s">
        <v>1411</v>
      </c>
      <c r="B177" s="578"/>
      <c r="C177" s="344" t="s">
        <v>2042</v>
      </c>
      <c r="D177" s="348" t="s">
        <v>1810</v>
      </c>
      <c r="E177" s="347">
        <v>45611.0</v>
      </c>
      <c r="F177" s="347">
        <v>45624.0</v>
      </c>
      <c r="G177" s="347">
        <v>45624.0</v>
      </c>
      <c r="H177" s="347">
        <v>45628.0</v>
      </c>
      <c r="I177" s="349">
        <f>IF(ISBLANK(H177), NETWORKDAYS(F177, TODAY(),Hoja2!$A$1:$A$18), NETWORKDAYS(F177, H177, Hoja2!$A$1:$A$18))</f>
        <v>3</v>
      </c>
      <c r="J177" s="607"/>
      <c r="K177" s="567">
        <v>45631.0</v>
      </c>
      <c r="L177" s="740" t="s">
        <v>2043</v>
      </c>
    </row>
    <row r="178" ht="15.75" customHeight="1">
      <c r="A178" s="336" t="s">
        <v>1411</v>
      </c>
      <c r="B178" s="522"/>
      <c r="C178" s="741" t="s">
        <v>2044</v>
      </c>
      <c r="D178" s="348" t="s">
        <v>1810</v>
      </c>
      <c r="E178" s="347">
        <v>45611.0</v>
      </c>
      <c r="F178" s="347">
        <v>45629.0</v>
      </c>
      <c r="G178" s="347">
        <v>45631.0</v>
      </c>
      <c r="H178" s="347"/>
      <c r="I178" s="349">
        <f>IF(ISBLANK(H178), NETWORKDAYS(F178, TODAY(),Hoja2!$A$1:$A$18), NETWORKDAYS(F178, H178, Hoja2!$A$1:$A$18))</f>
        <v>236</v>
      </c>
      <c r="J178" s="607"/>
      <c r="K178" s="567">
        <v>45658.0</v>
      </c>
      <c r="L178" s="740" t="s">
        <v>2045</v>
      </c>
    </row>
    <row r="179" ht="15.75" customHeight="1">
      <c r="A179" s="675" t="s">
        <v>1411</v>
      </c>
      <c r="B179" s="693" t="s">
        <v>2046</v>
      </c>
      <c r="C179" s="675"/>
      <c r="D179" s="681" t="s">
        <v>73</v>
      </c>
      <c r="E179" s="682">
        <v>45644.0</v>
      </c>
      <c r="F179" s="682">
        <v>45644.0</v>
      </c>
      <c r="G179" s="683"/>
      <c r="H179" s="684">
        <v>45658.0</v>
      </c>
      <c r="I179" s="349">
        <f>IF(ISBLANK(H179), NETWORKDAYS(F179, TODAY(),Hoja2!$A$1:$A$18), NETWORKDAYS(F179, H179, Hoja2!$A$1:$A$18))</f>
        <v>10</v>
      </c>
      <c r="J179" s="684"/>
      <c r="K179" s="684"/>
      <c r="L179" s="685" t="s">
        <v>2047</v>
      </c>
      <c r="M179" s="710"/>
      <c r="N179" s="710"/>
      <c r="O179" s="710"/>
      <c r="P179" s="710"/>
      <c r="Q179" s="710"/>
      <c r="R179" s="710"/>
      <c r="S179" s="710"/>
      <c r="T179" s="710"/>
      <c r="U179" s="710"/>
      <c r="V179" s="710"/>
      <c r="W179" s="710"/>
      <c r="X179" s="710"/>
      <c r="Y179" s="710"/>
      <c r="Z179" s="710"/>
      <c r="AA179" s="711"/>
      <c r="AB179" s="711"/>
      <c r="AC179" s="711"/>
      <c r="AD179" s="711"/>
      <c r="AE179" s="711"/>
      <c r="AF179" s="711"/>
      <c r="AG179" s="711"/>
    </row>
    <row r="180" ht="15.75" customHeight="1">
      <c r="A180" s="375" t="s">
        <v>1436</v>
      </c>
      <c r="B180" s="360" t="s">
        <v>2048</v>
      </c>
      <c r="C180" s="370" t="s">
        <v>2049</v>
      </c>
      <c r="D180" s="354" t="s">
        <v>1810</v>
      </c>
      <c r="E180" s="379">
        <v>45667.0</v>
      </c>
      <c r="F180" s="379">
        <v>45667.0</v>
      </c>
      <c r="G180" s="379">
        <v>45670.0</v>
      </c>
      <c r="H180" s="379">
        <v>45672.0</v>
      </c>
      <c r="I180" s="357">
        <f>IF(ISBLANK(H180), NETWORKDAYS(F180, TODAY(),Hoja2!$A$1:$A$18), NETWORKDAYS(F180, H180, Hoja2!$A$1:$A$18))</f>
        <v>4</v>
      </c>
      <c r="J180" s="379">
        <v>45672.0</v>
      </c>
      <c r="K180" s="379">
        <v>45678.0</v>
      </c>
      <c r="L180" s="698" t="s">
        <v>2050</v>
      </c>
      <c r="M180" s="573"/>
      <c r="N180" s="337"/>
      <c r="O180" s="337"/>
      <c r="P180" s="337"/>
      <c r="Q180" s="337"/>
      <c r="R180" s="337"/>
      <c r="S180" s="337"/>
      <c r="T180" s="337"/>
      <c r="U180" s="337"/>
      <c r="V180" s="337"/>
      <c r="W180" s="337"/>
      <c r="X180" s="337"/>
      <c r="Y180" s="337"/>
      <c r="Z180" s="337"/>
    </row>
    <row r="181" ht="15.75" customHeight="1">
      <c r="A181" s="360" t="s">
        <v>1689</v>
      </c>
      <c r="B181" s="353" t="s">
        <v>2051</v>
      </c>
      <c r="C181" s="378"/>
      <c r="D181" s="602" t="s">
        <v>73</v>
      </c>
      <c r="E181" s="379">
        <v>45678.0</v>
      </c>
      <c r="F181" s="379">
        <v>45678.0</v>
      </c>
      <c r="G181" s="379"/>
      <c r="H181" s="379">
        <v>45679.0</v>
      </c>
      <c r="I181" s="357">
        <f>IF(ISBLANK(H181), NETWORKDAYS(F181, TODAY(),Hoja2!$A$1:$A$18), NETWORKDAYS(F181, H181, Hoja2!$A$1:$A$18))</f>
        <v>2</v>
      </c>
      <c r="J181" s="379"/>
      <c r="K181" s="379"/>
      <c r="L181" s="603" t="s">
        <v>2052</v>
      </c>
      <c r="M181" s="573"/>
      <c r="N181" s="337"/>
      <c r="O181" s="337"/>
      <c r="P181" s="337"/>
      <c r="Q181" s="337"/>
      <c r="R181" s="337"/>
      <c r="S181" s="337"/>
      <c r="T181" s="337"/>
      <c r="U181" s="337"/>
      <c r="V181" s="337"/>
      <c r="W181" s="337"/>
      <c r="X181" s="337"/>
      <c r="Y181" s="337"/>
      <c r="Z181" s="337"/>
    </row>
    <row r="182" ht="15.75" customHeight="1">
      <c r="A182" s="360" t="s">
        <v>1689</v>
      </c>
      <c r="B182" s="353" t="s">
        <v>2053</v>
      </c>
      <c r="C182" s="378"/>
      <c r="D182" s="602" t="s">
        <v>2054</v>
      </c>
      <c r="E182" s="379">
        <v>45671.0</v>
      </c>
      <c r="F182" s="379">
        <v>45671.0</v>
      </c>
      <c r="G182" s="379"/>
      <c r="H182" s="379">
        <v>45680.0</v>
      </c>
      <c r="I182" s="357">
        <f>IF(ISBLANK(H182), NETWORKDAYS(F182, TODAY(),Hoja2!$A$1:$A$18), NETWORKDAYS(F182, H182, Hoja2!$A$1:$A$18))</f>
        <v>8</v>
      </c>
      <c r="J182" s="379"/>
      <c r="K182" s="379">
        <v>45680.0</v>
      </c>
      <c r="L182" s="603" t="s">
        <v>2055</v>
      </c>
      <c r="M182" s="573"/>
      <c r="N182" s="337"/>
      <c r="O182" s="337"/>
      <c r="P182" s="337"/>
      <c r="Q182" s="337"/>
      <c r="R182" s="337"/>
      <c r="S182" s="337"/>
      <c r="T182" s="337"/>
      <c r="U182" s="337"/>
      <c r="V182" s="337"/>
      <c r="W182" s="337"/>
      <c r="X182" s="337"/>
      <c r="Y182" s="337"/>
      <c r="Z182" s="337"/>
    </row>
    <row r="183" ht="15.75" customHeight="1">
      <c r="A183" s="351" t="s">
        <v>1418</v>
      </c>
      <c r="B183" s="696" t="s">
        <v>2056</v>
      </c>
      <c r="C183" s="601"/>
      <c r="D183" s="354" t="s">
        <v>1810</v>
      </c>
      <c r="E183" s="379">
        <v>45664.0</v>
      </c>
      <c r="F183" s="379">
        <v>45664.0</v>
      </c>
      <c r="G183" s="379">
        <v>45665.0</v>
      </c>
      <c r="H183" s="379">
        <v>45666.0</v>
      </c>
      <c r="I183" s="357">
        <f>IF(ISBLANK(H183), NETWORKDAYS(F183, TODAY(),Hoja2!$A$1:$A$18), NETWORKDAYS(F183, H183, Hoja2!$A$1:$A$18))</f>
        <v>3</v>
      </c>
      <c r="J183" s="379">
        <v>45666.0</v>
      </c>
      <c r="K183" s="379">
        <v>45674.0</v>
      </c>
      <c r="L183" s="603" t="s">
        <v>2057</v>
      </c>
      <c r="M183" s="573"/>
      <c r="N183" s="337"/>
      <c r="O183" s="337"/>
      <c r="P183" s="337"/>
      <c r="Q183" s="337"/>
      <c r="R183" s="337"/>
      <c r="S183" s="337"/>
      <c r="T183" s="337"/>
      <c r="U183" s="337"/>
      <c r="V183" s="337"/>
      <c r="W183" s="337"/>
      <c r="X183" s="337"/>
      <c r="Y183" s="337"/>
      <c r="Z183" s="337"/>
    </row>
    <row r="184" ht="15.75" customHeight="1">
      <c r="A184" s="336" t="s">
        <v>1411</v>
      </c>
      <c r="B184" s="742" t="s">
        <v>2058</v>
      </c>
      <c r="C184" s="556"/>
      <c r="D184" s="570" t="s">
        <v>1810</v>
      </c>
      <c r="E184" s="347">
        <v>45307.0</v>
      </c>
      <c r="F184" s="347">
        <v>45677.0</v>
      </c>
      <c r="G184" s="347"/>
      <c r="H184" s="347">
        <v>45678.0</v>
      </c>
      <c r="I184" s="349">
        <f>IF(ISBLANK(H184), NETWORKDAYS(F184, TODAY(),Hoja2!$A$1:$A$18), NETWORKDAYS(F184, H184, Hoja2!$A$1:$A$18))</f>
        <v>2</v>
      </c>
      <c r="J184" s="347"/>
      <c r="K184" s="347">
        <v>45680.0</v>
      </c>
      <c r="L184" s="350"/>
      <c r="M184" s="337"/>
      <c r="N184" s="337"/>
      <c r="O184" s="337"/>
      <c r="P184" s="337"/>
      <c r="Q184" s="337"/>
      <c r="R184" s="337"/>
      <c r="S184" s="337"/>
      <c r="T184" s="337"/>
      <c r="U184" s="337"/>
      <c r="V184" s="337"/>
      <c r="W184" s="337"/>
      <c r="X184" s="337"/>
      <c r="Y184" s="337"/>
      <c r="Z184" s="337"/>
    </row>
    <row r="185" ht="15.75" customHeight="1">
      <c r="A185" s="336" t="s">
        <v>1411</v>
      </c>
      <c r="B185" s="743" t="s">
        <v>2059</v>
      </c>
      <c r="C185" s="556"/>
      <c r="D185" s="570" t="s">
        <v>1810</v>
      </c>
      <c r="E185" s="347">
        <v>45678.0</v>
      </c>
      <c r="F185" s="347">
        <v>45677.0</v>
      </c>
      <c r="G185" s="347"/>
      <c r="H185" s="347">
        <v>45680.0</v>
      </c>
      <c r="I185" s="349">
        <f>IF(ISBLANK(H185), NETWORKDAYS(F185, TODAY(),Hoja2!$A$1:$A$18), NETWORKDAYS(F185, H185, Hoja2!$A$1:$A$18))</f>
        <v>4</v>
      </c>
      <c r="J185" s="347"/>
      <c r="K185" s="347">
        <v>45680.0</v>
      </c>
      <c r="L185" s="350"/>
      <c r="M185" s="337"/>
      <c r="N185" s="337"/>
      <c r="O185" s="337"/>
      <c r="P185" s="337"/>
      <c r="Q185" s="337"/>
      <c r="R185" s="337"/>
      <c r="S185" s="337"/>
      <c r="T185" s="337"/>
      <c r="U185" s="337"/>
      <c r="V185" s="337"/>
      <c r="W185" s="337"/>
      <c r="X185" s="337"/>
      <c r="Y185" s="337"/>
      <c r="Z185" s="337"/>
    </row>
    <row r="186" ht="15.75" customHeight="1">
      <c r="A186" s="336" t="s">
        <v>1411</v>
      </c>
      <c r="B186" s="744" t="s">
        <v>2060</v>
      </c>
      <c r="C186" s="556" t="s">
        <v>2061</v>
      </c>
      <c r="D186" s="570" t="s">
        <v>1810</v>
      </c>
      <c r="E186" s="347">
        <v>45678.0</v>
      </c>
      <c r="F186" s="347">
        <v>45680.0</v>
      </c>
      <c r="G186" s="347"/>
      <c r="H186" s="347">
        <v>45680.0</v>
      </c>
      <c r="I186" s="349">
        <f>IF(ISBLANK(H186), NETWORKDAYS(F186, TODAY(),Hoja2!$A$1:$A$18), NETWORKDAYS(F186, H186, Hoja2!$A$1:$A$18))</f>
        <v>1</v>
      </c>
      <c r="J186" s="347"/>
      <c r="K186" s="347">
        <v>45680.0</v>
      </c>
      <c r="L186" s="350"/>
      <c r="M186" s="337"/>
      <c r="N186" s="337"/>
      <c r="O186" s="337"/>
      <c r="P186" s="337"/>
      <c r="Q186" s="337"/>
      <c r="R186" s="337"/>
      <c r="S186" s="337"/>
      <c r="T186" s="337"/>
      <c r="U186" s="337"/>
      <c r="V186" s="337"/>
      <c r="W186" s="337"/>
      <c r="X186" s="337"/>
      <c r="Y186" s="337"/>
      <c r="Z186" s="337"/>
    </row>
    <row r="187" ht="15.75" customHeight="1">
      <c r="A187" s="336" t="s">
        <v>1411</v>
      </c>
      <c r="B187" s="743" t="s">
        <v>2062</v>
      </c>
      <c r="C187" s="556"/>
      <c r="D187" s="570" t="s">
        <v>1810</v>
      </c>
      <c r="E187" s="347">
        <v>45678.0</v>
      </c>
      <c r="F187" s="347">
        <v>45680.0</v>
      </c>
      <c r="G187" s="347"/>
      <c r="H187" s="347">
        <v>45680.0</v>
      </c>
      <c r="I187" s="349">
        <f>IF(ISBLANK(H187), NETWORKDAYS(F187, TODAY(),Hoja2!$A$1:$A$18), NETWORKDAYS(F187, H187, Hoja2!$A$1:$A$18))</f>
        <v>1</v>
      </c>
      <c r="J187" s="347"/>
      <c r="K187" s="347">
        <v>45680.0</v>
      </c>
      <c r="L187" s="350"/>
      <c r="M187" s="337"/>
      <c r="N187" s="337"/>
      <c r="O187" s="337"/>
      <c r="P187" s="337"/>
      <c r="Q187" s="337"/>
      <c r="R187" s="337"/>
      <c r="S187" s="337"/>
      <c r="T187" s="337"/>
      <c r="U187" s="337"/>
      <c r="V187" s="337"/>
      <c r="W187" s="337"/>
      <c r="X187" s="337"/>
      <c r="Y187" s="337"/>
      <c r="Z187" s="337"/>
    </row>
    <row r="188" ht="15.75" customHeight="1">
      <c r="A188" s="336" t="s">
        <v>1411</v>
      </c>
      <c r="B188" s="743" t="s">
        <v>2063</v>
      </c>
      <c r="C188" s="556"/>
      <c r="D188" s="570" t="s">
        <v>1810</v>
      </c>
      <c r="E188" s="347">
        <v>45678.0</v>
      </c>
      <c r="F188" s="347">
        <v>45680.0</v>
      </c>
      <c r="G188" s="347"/>
      <c r="H188" s="347">
        <v>45680.0</v>
      </c>
      <c r="I188" s="349">
        <f>IF(ISBLANK(H188), NETWORKDAYS(F188, TODAY(),Hoja2!$A$1:$A$18), NETWORKDAYS(F188, H188, Hoja2!$A$1:$A$18))</f>
        <v>1</v>
      </c>
      <c r="J188" s="347"/>
      <c r="K188" s="347">
        <v>45680.0</v>
      </c>
      <c r="L188" s="350"/>
      <c r="M188" s="337"/>
      <c r="N188" s="337"/>
      <c r="O188" s="337"/>
      <c r="P188" s="337"/>
      <c r="Q188" s="337"/>
      <c r="R188" s="337"/>
      <c r="S188" s="337"/>
      <c r="T188" s="337"/>
      <c r="U188" s="337"/>
      <c r="V188" s="337"/>
      <c r="W188" s="337"/>
      <c r="X188" s="337"/>
      <c r="Y188" s="337"/>
      <c r="Z188" s="337"/>
    </row>
    <row r="189" ht="15.75" customHeight="1">
      <c r="A189" s="375" t="s">
        <v>1436</v>
      </c>
      <c r="B189" s="731" t="s">
        <v>2064</v>
      </c>
      <c r="C189" s="745" t="s">
        <v>2065</v>
      </c>
      <c r="D189" s="354" t="s">
        <v>2066</v>
      </c>
      <c r="E189" s="379">
        <v>45667.0</v>
      </c>
      <c r="F189" s="746">
        <v>45670.0</v>
      </c>
      <c r="G189" s="378"/>
      <c r="H189" s="746">
        <v>45674.0</v>
      </c>
      <c r="I189" s="357">
        <f>IF(ISBLANK(H189), NETWORKDAYS(F189, TODAY(),Hoja2!$A$1:$A$18), NETWORKDAYS(F189, H189, Hoja2!$A$1:$A$18))</f>
        <v>5</v>
      </c>
      <c r="J189" s="378"/>
      <c r="K189" s="378"/>
      <c r="L189" s="378" t="s">
        <v>2067</v>
      </c>
    </row>
    <row r="190" ht="15.75" customHeight="1">
      <c r="A190" s="336" t="s">
        <v>1411</v>
      </c>
      <c r="B190" s="743" t="s">
        <v>2068</v>
      </c>
      <c r="C190" s="556"/>
      <c r="D190" s="570" t="s">
        <v>1810</v>
      </c>
      <c r="E190" s="347">
        <v>45678.0</v>
      </c>
      <c r="F190" s="347">
        <v>45681.0</v>
      </c>
      <c r="G190" s="347"/>
      <c r="H190" s="347">
        <v>45681.0</v>
      </c>
      <c r="I190" s="349">
        <f>IF(ISBLANK(H190), NETWORKDAYS(F190, TODAY(),Hoja2!$A$1:$A$18), NETWORKDAYS(F190, H190, Hoja2!$A$1:$A$18))</f>
        <v>1</v>
      </c>
      <c r="J190" s="347">
        <v>45686.0</v>
      </c>
      <c r="K190" s="347">
        <v>45686.0</v>
      </c>
      <c r="L190" s="350" t="s">
        <v>2069</v>
      </c>
      <c r="M190" s="337"/>
      <c r="N190" s="337"/>
      <c r="O190" s="337"/>
      <c r="P190" s="337"/>
      <c r="Q190" s="337"/>
      <c r="R190" s="337"/>
      <c r="S190" s="337"/>
      <c r="T190" s="337"/>
      <c r="U190" s="337"/>
      <c r="V190" s="337"/>
      <c r="W190" s="337"/>
      <c r="X190" s="337"/>
      <c r="Y190" s="337"/>
      <c r="Z190" s="337"/>
    </row>
    <row r="191" ht="15.75" customHeight="1">
      <c r="A191" s="360" t="s">
        <v>1426</v>
      </c>
      <c r="B191" s="375" t="s">
        <v>2070</v>
      </c>
      <c r="C191" s="375"/>
      <c r="D191" s="354" t="s">
        <v>1810</v>
      </c>
      <c r="E191" s="379">
        <v>45666.0</v>
      </c>
      <c r="F191" s="361">
        <v>45685.0</v>
      </c>
      <c r="G191" s="354" t="s">
        <v>2071</v>
      </c>
      <c r="H191" s="361">
        <v>45686.0</v>
      </c>
      <c r="I191" s="357">
        <f>IF(ISBLANK(H191), NETWORKDAYS(F191, TODAY(),Hoja2!$A$1:$A$18), NETWORKDAYS(F191, H191, Hoja2!$A$1:$A$18))</f>
        <v>2</v>
      </c>
      <c r="J191" s="361">
        <v>45686.0</v>
      </c>
      <c r="K191" s="361">
        <v>45688.0</v>
      </c>
      <c r="L191" s="661" t="s">
        <v>2072</v>
      </c>
      <c r="M191" s="573"/>
      <c r="N191" s="337"/>
      <c r="O191" s="337"/>
      <c r="P191" s="337"/>
      <c r="Q191" s="337"/>
      <c r="R191" s="337"/>
      <c r="S191" s="337"/>
      <c r="T191" s="337"/>
      <c r="U191" s="337"/>
      <c r="V191" s="337"/>
      <c r="W191" s="337"/>
      <c r="X191" s="337"/>
      <c r="Y191" s="337"/>
      <c r="Z191" s="337"/>
    </row>
    <row r="192" ht="15.75" customHeight="1">
      <c r="A192" s="360" t="s">
        <v>1689</v>
      </c>
      <c r="B192" s="353" t="s">
        <v>2073</v>
      </c>
      <c r="C192" s="378"/>
      <c r="D192" s="602" t="s">
        <v>73</v>
      </c>
      <c r="E192" s="379">
        <v>45687.0</v>
      </c>
      <c r="F192" s="379">
        <v>45687.0</v>
      </c>
      <c r="G192" s="379"/>
      <c r="H192" s="379">
        <v>45687.0</v>
      </c>
      <c r="I192" s="357">
        <f>IF(ISBLANK(H192), NETWORKDAYS(F192, TODAY(),Hoja2!$A$1:$A$18), NETWORKDAYS(F192, H192, Hoja2!$A$1:$A$18))</f>
        <v>1</v>
      </c>
      <c r="J192" s="379"/>
      <c r="K192" s="379"/>
      <c r="L192" s="603" t="s">
        <v>2074</v>
      </c>
      <c r="M192" s="573"/>
      <c r="N192" s="337"/>
      <c r="O192" s="337"/>
      <c r="P192" s="337"/>
      <c r="Q192" s="337"/>
      <c r="R192" s="337"/>
      <c r="S192" s="337"/>
      <c r="T192" s="337"/>
      <c r="U192" s="337"/>
      <c r="V192" s="337"/>
      <c r="W192" s="337"/>
      <c r="X192" s="337"/>
      <c r="Y192" s="337"/>
      <c r="Z192" s="337"/>
    </row>
    <row r="193" ht="15.75" customHeight="1">
      <c r="A193" s="375" t="s">
        <v>1436</v>
      </c>
      <c r="B193" s="375" t="s">
        <v>2075</v>
      </c>
      <c r="C193" s="377"/>
      <c r="D193" s="602" t="s">
        <v>1810</v>
      </c>
      <c r="E193" s="379">
        <v>45685.0</v>
      </c>
      <c r="F193" s="380">
        <v>45685.0</v>
      </c>
      <c r="G193" s="377"/>
      <c r="H193" s="747">
        <v>45687.0</v>
      </c>
      <c r="I193" s="357">
        <f>IF(ISBLANK(H193), NETWORKDAYS(F193, TODAY(),Hoja2!$A$1:$A$18), NETWORKDAYS(F193, H193, Hoja2!$A$1:$A$18))</f>
        <v>3</v>
      </c>
      <c r="J193" s="747">
        <v>45687.0</v>
      </c>
      <c r="K193" s="747">
        <v>45687.0</v>
      </c>
      <c r="L193" s="381" t="s">
        <v>2076</v>
      </c>
      <c r="M193" s="382"/>
      <c r="N193" s="382"/>
      <c r="O193" s="382"/>
      <c r="P193" s="382"/>
      <c r="Q193" s="382"/>
      <c r="R193" s="382"/>
      <c r="S193" s="382"/>
      <c r="T193" s="382"/>
      <c r="U193" s="382"/>
      <c r="V193" s="382"/>
      <c r="W193" s="382"/>
      <c r="X193" s="382"/>
      <c r="Y193" s="382"/>
      <c r="Z193" s="382"/>
    </row>
    <row r="194" ht="15.0" customHeight="1">
      <c r="A194" s="375" t="s">
        <v>1436</v>
      </c>
      <c r="B194" s="731" t="s">
        <v>2064</v>
      </c>
      <c r="C194" s="650" t="s">
        <v>2077</v>
      </c>
      <c r="D194" s="354" t="s">
        <v>2066</v>
      </c>
      <c r="E194" s="379">
        <v>45681.0</v>
      </c>
      <c r="F194" s="379">
        <v>45681.0</v>
      </c>
      <c r="G194" s="379"/>
      <c r="H194" s="379">
        <v>45681.0</v>
      </c>
      <c r="I194" s="357">
        <f>IF(ISBLANK(H194), NETWORKDAYS(F194, TODAY(),Hoja2!$A$1:$A$18), NETWORKDAYS(F194, H194, Hoja2!$A$1:$A$18))</f>
        <v>1</v>
      </c>
      <c r="J194" s="379">
        <v>45681.0</v>
      </c>
      <c r="K194" s="379"/>
      <c r="L194" s="603"/>
    </row>
    <row r="195" ht="15.75" customHeight="1">
      <c r="A195" s="360" t="s">
        <v>1426</v>
      </c>
      <c r="B195" s="360" t="s">
        <v>2078</v>
      </c>
      <c r="C195" s="375"/>
      <c r="D195" s="354" t="s">
        <v>73</v>
      </c>
      <c r="E195" s="379">
        <v>45685.0</v>
      </c>
      <c r="F195" s="361">
        <v>45685.0</v>
      </c>
      <c r="G195" s="354"/>
      <c r="H195" s="361">
        <v>45688.0</v>
      </c>
      <c r="I195" s="357">
        <f>IF(ISBLANK(H195), NETWORKDAYS(F195, TODAY(),Hoja2!$A$1:$A$18), NETWORKDAYS(F195, H195, Hoja2!$A$1:$A$18))</f>
        <v>4</v>
      </c>
      <c r="J195" s="361">
        <v>45688.0</v>
      </c>
      <c r="K195" s="361">
        <v>45688.0</v>
      </c>
      <c r="L195" s="661" t="s">
        <v>2079</v>
      </c>
      <c r="M195" s="573"/>
      <c r="N195" s="337"/>
      <c r="O195" s="337"/>
      <c r="P195" s="337"/>
      <c r="Q195" s="337"/>
      <c r="R195" s="337"/>
      <c r="S195" s="337"/>
      <c r="T195" s="337"/>
      <c r="U195" s="337"/>
      <c r="V195" s="337"/>
      <c r="W195" s="337"/>
      <c r="X195" s="337"/>
      <c r="Y195" s="337"/>
      <c r="Z195" s="337"/>
    </row>
    <row r="196" ht="15.75" customHeight="1">
      <c r="A196" s="748" t="s">
        <v>1411</v>
      </c>
      <c r="B196" s="749" t="s">
        <v>2080</v>
      </c>
      <c r="C196" s="750"/>
      <c r="D196" s="751" t="s">
        <v>1810</v>
      </c>
      <c r="E196" s="752">
        <v>45610.0</v>
      </c>
      <c r="F196" s="752">
        <v>45629.0</v>
      </c>
      <c r="G196" s="752"/>
      <c r="H196" s="752">
        <v>45636.0</v>
      </c>
      <c r="I196" s="753">
        <f>IF(ISBLANK(H196), NETWORKDAYS(F196, TODAY(),Hoja2!$A$1:$A$18), NETWORKDAYS(F196, H196, Hoja2!$A$1:$A$18))</f>
        <v>6</v>
      </c>
      <c r="J196" s="752">
        <v>45636.0</v>
      </c>
      <c r="K196" s="752">
        <v>45691.0</v>
      </c>
      <c r="L196" s="754" t="s">
        <v>2081</v>
      </c>
      <c r="M196" s="337"/>
      <c r="N196" s="337"/>
      <c r="O196" s="337"/>
      <c r="P196" s="337"/>
      <c r="Q196" s="337"/>
      <c r="R196" s="337"/>
      <c r="S196" s="337"/>
      <c r="T196" s="337"/>
      <c r="U196" s="337"/>
      <c r="V196" s="337"/>
      <c r="W196" s="337"/>
      <c r="X196" s="337"/>
      <c r="Y196" s="337"/>
      <c r="Z196" s="337"/>
    </row>
    <row r="197" ht="15.75" customHeight="1">
      <c r="A197" s="755" t="s">
        <v>1411</v>
      </c>
      <c r="B197" s="575" t="s">
        <v>2082</v>
      </c>
      <c r="C197" s="585" t="s">
        <v>2083</v>
      </c>
      <c r="D197" s="586" t="s">
        <v>1810</v>
      </c>
      <c r="E197" s="618">
        <v>45688.0</v>
      </c>
      <c r="F197" s="618">
        <v>45688.0</v>
      </c>
      <c r="G197" s="618"/>
      <c r="H197" s="618">
        <v>45688.0</v>
      </c>
      <c r="I197" s="563">
        <f>IF(ISBLANK(H197), NETWORKDAYS(F197, TODAY(),Hoja2!$A$1:$A$18), NETWORKDAYS(F197, H197, Hoja2!$A$1:$A$18))</f>
        <v>1</v>
      </c>
      <c r="J197" s="618"/>
      <c r="K197" s="618">
        <v>45688.0</v>
      </c>
      <c r="L197" s="756" t="s">
        <v>2084</v>
      </c>
      <c r="M197" s="337"/>
      <c r="N197" s="337"/>
      <c r="O197" s="337"/>
      <c r="P197" s="337"/>
      <c r="Q197" s="337"/>
      <c r="R197" s="337"/>
      <c r="S197" s="337"/>
      <c r="T197" s="337"/>
      <c r="U197" s="337"/>
      <c r="V197" s="337"/>
      <c r="W197" s="337"/>
      <c r="X197" s="337"/>
      <c r="Y197" s="337"/>
      <c r="Z197" s="337"/>
    </row>
    <row r="198" ht="15.75" customHeight="1">
      <c r="A198" s="755" t="s">
        <v>1411</v>
      </c>
      <c r="B198" s="584"/>
      <c r="C198" s="757" t="s">
        <v>2085</v>
      </c>
      <c r="D198" s="586" t="s">
        <v>1810</v>
      </c>
      <c r="E198" s="618">
        <v>45555.0</v>
      </c>
      <c r="F198" s="618">
        <v>45555.0</v>
      </c>
      <c r="G198" s="618"/>
      <c r="H198" s="618">
        <v>45688.0</v>
      </c>
      <c r="I198" s="563">
        <f>IF(ISBLANK(H198), NETWORKDAYS(F198, TODAY(),Hoja2!$A$1:$A$18), NETWORKDAYS(F198, H198, Hoja2!$A$1:$A$18))</f>
        <v>92</v>
      </c>
      <c r="J198" s="618"/>
      <c r="K198" s="618">
        <v>45688.0</v>
      </c>
      <c r="L198" s="619" t="s">
        <v>2086</v>
      </c>
      <c r="M198" s="337"/>
      <c r="N198" s="337"/>
      <c r="O198" s="337"/>
      <c r="P198" s="337"/>
      <c r="Q198" s="337"/>
      <c r="R198" s="337"/>
      <c r="S198" s="337"/>
      <c r="T198" s="337"/>
      <c r="U198" s="337"/>
      <c r="V198" s="337"/>
      <c r="W198" s="337"/>
      <c r="X198" s="337"/>
      <c r="Y198" s="337"/>
      <c r="Z198" s="337"/>
    </row>
    <row r="199" ht="15.75" customHeight="1">
      <c r="A199" s="336" t="s">
        <v>1411</v>
      </c>
      <c r="B199" s="584"/>
      <c r="C199" s="758" t="s">
        <v>2087</v>
      </c>
      <c r="D199" s="586" t="s">
        <v>1810</v>
      </c>
      <c r="E199" s="347">
        <v>45566.0</v>
      </c>
      <c r="F199" s="347">
        <v>45568.0</v>
      </c>
      <c r="G199" s="347"/>
      <c r="H199" s="618">
        <v>45688.0</v>
      </c>
      <c r="I199" s="349">
        <f>IF(ISBLANK(H199), NETWORKDAYS(F199, TODAY(),Hoja2!$A$1:$A$18), NETWORKDAYS(F199, H199, Hoja2!$A$1:$A$18))</f>
        <v>83</v>
      </c>
      <c r="J199" s="347"/>
      <c r="K199" s="618">
        <v>45688.0</v>
      </c>
      <c r="L199" s="350" t="s">
        <v>2088</v>
      </c>
      <c r="M199" s="337"/>
      <c r="N199" s="337"/>
      <c r="O199" s="337"/>
      <c r="P199" s="337"/>
      <c r="Q199" s="337"/>
      <c r="R199" s="337"/>
      <c r="S199" s="337"/>
      <c r="T199" s="337"/>
      <c r="U199" s="337"/>
      <c r="V199" s="337"/>
      <c r="W199" s="337"/>
      <c r="X199" s="337"/>
      <c r="Y199" s="337"/>
      <c r="Z199" s="337"/>
    </row>
    <row r="200" ht="15.75" customHeight="1">
      <c r="A200" s="336" t="s">
        <v>1411</v>
      </c>
      <c r="B200" s="699"/>
      <c r="C200" s="758" t="s">
        <v>2089</v>
      </c>
      <c r="D200" s="586" t="s">
        <v>1810</v>
      </c>
      <c r="E200" s="347">
        <v>45566.0</v>
      </c>
      <c r="F200" s="347">
        <v>45566.0</v>
      </c>
      <c r="G200" s="347"/>
      <c r="H200" s="618">
        <v>45688.0</v>
      </c>
      <c r="I200" s="349">
        <f>IF(ISBLANK(H200), NETWORKDAYS(F200, TODAY(),Hoja2!$A$1:$A$18), NETWORKDAYS(F200, H200, Hoja2!$A$1:$A$18))</f>
        <v>85</v>
      </c>
      <c r="J200" s="347"/>
      <c r="K200" s="618">
        <v>45688.0</v>
      </c>
      <c r="L200" s="571" t="s">
        <v>2090</v>
      </c>
      <c r="M200" s="337"/>
      <c r="N200" s="337"/>
      <c r="O200" s="337"/>
      <c r="P200" s="337"/>
      <c r="Q200" s="337"/>
      <c r="R200" s="337"/>
      <c r="S200" s="337"/>
      <c r="T200" s="337"/>
      <c r="U200" s="337"/>
      <c r="V200" s="337"/>
      <c r="W200" s="337"/>
      <c r="X200" s="337"/>
      <c r="Y200" s="337"/>
      <c r="Z200" s="337"/>
    </row>
    <row r="201" ht="15.75" customHeight="1">
      <c r="A201" s="336" t="s">
        <v>1411</v>
      </c>
      <c r="B201" s="370" t="s">
        <v>2091</v>
      </c>
      <c r="C201" s="556"/>
      <c r="D201" s="570" t="s">
        <v>1810</v>
      </c>
      <c r="E201" s="347">
        <v>45386.0</v>
      </c>
      <c r="F201" s="347">
        <v>45386.0</v>
      </c>
      <c r="G201" s="347"/>
      <c r="H201" s="347">
        <v>45688.0</v>
      </c>
      <c r="I201" s="349">
        <f>IF(ISBLANK(H201), NETWORKDAYS(F201, TODAY(),Hoja2!$A$1:$A$18), NETWORKDAYS(F201, H201, Hoja2!$A$1:$A$18))</f>
        <v>206</v>
      </c>
      <c r="J201" s="347"/>
      <c r="K201" s="347">
        <v>45688.0</v>
      </c>
      <c r="L201" s="350" t="s">
        <v>2092</v>
      </c>
      <c r="M201" s="337"/>
      <c r="N201" s="337"/>
      <c r="O201" s="337"/>
      <c r="P201" s="337"/>
      <c r="Q201" s="337"/>
      <c r="R201" s="337"/>
      <c r="S201" s="337"/>
      <c r="T201" s="337"/>
      <c r="U201" s="337"/>
      <c r="V201" s="337"/>
      <c r="W201" s="337"/>
      <c r="X201" s="337"/>
      <c r="Y201" s="337"/>
      <c r="Z201" s="337"/>
    </row>
    <row r="202" ht="15.75" customHeight="1">
      <c r="A202" s="572" t="s">
        <v>1689</v>
      </c>
      <c r="B202" s="575" t="s">
        <v>2029</v>
      </c>
      <c r="C202" s="666"/>
      <c r="D202" s="602" t="s">
        <v>1810</v>
      </c>
      <c r="E202" s="347">
        <v>45602.0</v>
      </c>
      <c r="F202" s="620">
        <v>45624.0</v>
      </c>
      <c r="G202" s="347">
        <v>45630.0</v>
      </c>
      <c r="H202" s="347">
        <v>45646.0</v>
      </c>
      <c r="I202" s="349">
        <f>IF(ISBLANK(H202), NETWORKDAYS(F202, TODAY(),Hoja2!$A$1:$A$18), NETWORKDAYS(F202, H202, Hoja2!$A$1:$A$18))</f>
        <v>17</v>
      </c>
      <c r="J202" s="347">
        <v>45646.0</v>
      </c>
      <c r="K202" s="620">
        <v>45692.0</v>
      </c>
      <c r="L202" s="568" t="s">
        <v>2093</v>
      </c>
      <c r="M202" s="608"/>
      <c r="N202" s="343"/>
      <c r="O202" s="343"/>
      <c r="P202" s="343"/>
      <c r="Q202" s="343"/>
      <c r="R202" s="343"/>
      <c r="S202" s="343"/>
      <c r="T202" s="343"/>
      <c r="U202" s="343"/>
      <c r="V202" s="343"/>
      <c r="W202" s="343"/>
      <c r="X202" s="343"/>
      <c r="Y202" s="343"/>
      <c r="Z202" s="343"/>
    </row>
    <row r="203" ht="15.0" customHeight="1">
      <c r="A203" s="572" t="s">
        <v>1689</v>
      </c>
      <c r="B203" s="584"/>
      <c r="C203" s="522" t="s">
        <v>2094</v>
      </c>
      <c r="D203" s="586" t="s">
        <v>383</v>
      </c>
      <c r="E203" s="618">
        <v>45602.0</v>
      </c>
      <c r="F203" s="587">
        <v>45625.0</v>
      </c>
      <c r="G203" s="618"/>
      <c r="H203" s="586"/>
      <c r="I203" s="624">
        <f>IF(ISBLANK(H203), NETWORKDAYS(F203, TODAY(),Hoja2!$A$1:$A$18), NETWORKDAYS(F203, H203, Hoja2!$A$1:$A$18))</f>
        <v>238</v>
      </c>
      <c r="J203" s="596"/>
      <c r="K203" s="596"/>
      <c r="L203" s="588" t="s">
        <v>2095</v>
      </c>
      <c r="M203" s="608"/>
      <c r="N203" s="343"/>
      <c r="O203" s="343"/>
      <c r="P203" s="343"/>
      <c r="Q203" s="343"/>
      <c r="R203" s="343"/>
      <c r="S203" s="343"/>
      <c r="T203" s="343"/>
      <c r="U203" s="343"/>
      <c r="V203" s="343"/>
      <c r="W203" s="343"/>
      <c r="X203" s="343"/>
      <c r="Y203" s="343"/>
      <c r="Z203" s="343"/>
    </row>
    <row r="204" ht="15.75" customHeight="1">
      <c r="A204" s="572" t="s">
        <v>1689</v>
      </c>
      <c r="B204" s="584"/>
      <c r="C204" s="759" t="s">
        <v>2096</v>
      </c>
      <c r="D204" s="348" t="s">
        <v>73</v>
      </c>
      <c r="E204" s="646">
        <v>45632.0</v>
      </c>
      <c r="F204" s="620">
        <v>45642.0</v>
      </c>
      <c r="G204" s="347"/>
      <c r="H204" s="347">
        <v>45642.0</v>
      </c>
      <c r="I204" s="349">
        <f>IF(ISBLANK(H204), NETWORKDAYS(F204, TODAY(),Hoja2!$A$1:$A$18), NETWORKDAYS(F204, H204, Hoja2!$A$1:$A$18))</f>
        <v>1</v>
      </c>
      <c r="J204" s="347">
        <v>45643.0</v>
      </c>
      <c r="K204" s="607"/>
      <c r="L204" s="568"/>
      <c r="M204" s="608"/>
      <c r="N204" s="343"/>
      <c r="O204" s="343"/>
      <c r="P204" s="343"/>
      <c r="Q204" s="343"/>
      <c r="R204" s="343"/>
      <c r="S204" s="343"/>
      <c r="T204" s="343"/>
      <c r="U204" s="343"/>
      <c r="V204" s="343"/>
      <c r="W204" s="343"/>
      <c r="X204" s="343"/>
      <c r="Y204" s="343"/>
      <c r="Z204" s="343"/>
    </row>
    <row r="205" ht="15.75" customHeight="1">
      <c r="A205" s="572" t="s">
        <v>1689</v>
      </c>
      <c r="B205" s="584"/>
      <c r="C205" s="759" t="s">
        <v>2097</v>
      </c>
      <c r="D205" s="348" t="s">
        <v>73</v>
      </c>
      <c r="E205" s="646">
        <v>45632.0</v>
      </c>
      <c r="F205" s="620">
        <v>45642.0</v>
      </c>
      <c r="G205" s="347"/>
      <c r="H205" s="347">
        <v>45642.0</v>
      </c>
      <c r="I205" s="349">
        <f>IF(ISBLANK(H205), NETWORKDAYS(F205, TODAY(),Hoja2!$A$1:$A$18), NETWORKDAYS(F205, H205, Hoja2!$A$1:$A$18))</f>
        <v>1</v>
      </c>
      <c r="J205" s="347">
        <v>45643.0</v>
      </c>
      <c r="K205" s="607"/>
      <c r="L205" s="568"/>
      <c r="M205" s="608"/>
      <c r="N205" s="343"/>
      <c r="O205" s="343"/>
      <c r="P205" s="343"/>
      <c r="Q205" s="343"/>
      <c r="R205" s="343"/>
      <c r="S205" s="343"/>
      <c r="T205" s="343"/>
      <c r="U205" s="343"/>
      <c r="V205" s="343"/>
      <c r="W205" s="343"/>
      <c r="X205" s="343"/>
      <c r="Y205" s="343"/>
      <c r="Z205" s="343"/>
    </row>
    <row r="206" ht="15.75" customHeight="1">
      <c r="A206" s="572" t="s">
        <v>1689</v>
      </c>
      <c r="B206" s="584"/>
      <c r="C206" s="760" t="s">
        <v>2098</v>
      </c>
      <c r="D206" s="570" t="s">
        <v>1810</v>
      </c>
      <c r="E206" s="646">
        <v>45632.0</v>
      </c>
      <c r="F206" s="620">
        <v>45632.0</v>
      </c>
      <c r="G206" s="347"/>
      <c r="H206" s="567">
        <v>45635.0</v>
      </c>
      <c r="I206" s="349">
        <f>IF(ISBLANK(H206), NETWORKDAYS(F206, TODAY(),Hoja2!$A$1:$A$18), NETWORKDAYS(F206, H206, Hoja2!$A$1:$A$18))</f>
        <v>2</v>
      </c>
      <c r="J206" s="567">
        <v>45635.0</v>
      </c>
      <c r="K206" s="567">
        <v>45636.0</v>
      </c>
      <c r="L206" s="568" t="s">
        <v>2099</v>
      </c>
      <c r="M206" s="608"/>
      <c r="N206" s="343"/>
      <c r="O206" s="343"/>
      <c r="P206" s="343"/>
      <c r="Q206" s="343"/>
      <c r="R206" s="343"/>
      <c r="S206" s="343"/>
      <c r="T206" s="343"/>
      <c r="U206" s="343"/>
      <c r="V206" s="343"/>
      <c r="W206" s="343"/>
      <c r="X206" s="343"/>
      <c r="Y206" s="343"/>
      <c r="Z206" s="343"/>
    </row>
    <row r="207" ht="15.75" customHeight="1">
      <c r="A207" s="572" t="s">
        <v>1689</v>
      </c>
      <c r="B207" s="584"/>
      <c r="C207" s="385" t="s">
        <v>2100</v>
      </c>
      <c r="D207" s="570" t="s">
        <v>73</v>
      </c>
      <c r="E207" s="347">
        <v>45644.0</v>
      </c>
      <c r="F207" s="620">
        <v>45644.0</v>
      </c>
      <c r="G207" s="347"/>
      <c r="H207" s="567">
        <v>45646.0</v>
      </c>
      <c r="I207" s="349">
        <f>IF(ISBLANK(H207), NETWORKDAYS(F207, TODAY(),Hoja2!$A$1:$A$18), NETWORKDAYS(F207, H207, Hoja2!$A$1:$A$18))</f>
        <v>3</v>
      </c>
      <c r="J207" s="567"/>
      <c r="K207" s="567"/>
      <c r="L207" s="568" t="s">
        <v>2101</v>
      </c>
      <c r="M207" s="608"/>
      <c r="N207" s="343"/>
      <c r="O207" s="343"/>
      <c r="P207" s="343"/>
      <c r="Q207" s="343"/>
      <c r="R207" s="343"/>
      <c r="S207" s="343"/>
      <c r="T207" s="343"/>
      <c r="U207" s="343"/>
      <c r="V207" s="343"/>
      <c r="W207" s="343"/>
      <c r="X207" s="343"/>
      <c r="Y207" s="343"/>
      <c r="Z207" s="343"/>
    </row>
    <row r="208" ht="15.75" customHeight="1">
      <c r="A208" s="360" t="s">
        <v>1689</v>
      </c>
      <c r="B208" s="699"/>
      <c r="C208" s="353" t="s">
        <v>2102</v>
      </c>
      <c r="D208" s="602" t="s">
        <v>695</v>
      </c>
      <c r="E208" s="379">
        <v>45660.0</v>
      </c>
      <c r="F208" s="379">
        <v>45660.0</v>
      </c>
      <c r="G208" s="379"/>
      <c r="H208" s="379">
        <v>45664.0</v>
      </c>
      <c r="I208" s="357">
        <f>IF(ISBLANK(H208), NETWORKDAYS(F208, TODAY(),Hoja2!$A$1:$A$18), NETWORKDAYS(F208, H208, Hoja2!$A$1:$A$18))</f>
        <v>3</v>
      </c>
      <c r="J208" s="379">
        <v>45664.0</v>
      </c>
      <c r="K208" s="379"/>
      <c r="L208" s="603" t="s">
        <v>2103</v>
      </c>
      <c r="M208" s="573"/>
      <c r="N208" s="337"/>
      <c r="O208" s="337"/>
      <c r="P208" s="337"/>
      <c r="Q208" s="337"/>
      <c r="R208" s="337"/>
      <c r="S208" s="337"/>
      <c r="T208" s="337"/>
      <c r="U208" s="337"/>
      <c r="V208" s="337"/>
      <c r="W208" s="337"/>
      <c r="X208" s="337"/>
      <c r="Y208" s="337"/>
      <c r="Z208" s="337"/>
    </row>
    <row r="209" ht="15.75" customHeight="1">
      <c r="A209" s="720" t="s">
        <v>1436</v>
      </c>
      <c r="B209" s="761" t="s">
        <v>2064</v>
      </c>
      <c r="C209" s="762" t="s">
        <v>2104</v>
      </c>
      <c r="D209" s="354" t="s">
        <v>2066</v>
      </c>
      <c r="E209" s="615">
        <v>45572.0</v>
      </c>
      <c r="F209" s="615">
        <v>45573.0</v>
      </c>
      <c r="G209" s="615">
        <v>45572.0</v>
      </c>
      <c r="H209" s="615">
        <v>45574.0</v>
      </c>
      <c r="I209" s="707">
        <f>IF(ISBLANK(H209), NETWORKDAYS(F209, TODAY(),Hoja2!$A$1:$A$18), NETWORKDAYS(F209, H209, Hoja2!$A$1:$A$18))</f>
        <v>2</v>
      </c>
      <c r="J209" s="615">
        <v>45629.0</v>
      </c>
      <c r="K209" s="615"/>
      <c r="L209" s="616" t="s">
        <v>2105</v>
      </c>
      <c r="M209" s="573"/>
      <c r="N209" s="337"/>
      <c r="O209" s="337"/>
      <c r="P209" s="337"/>
      <c r="Q209" s="337"/>
      <c r="R209" s="337"/>
      <c r="S209" s="337"/>
      <c r="T209" s="337"/>
      <c r="U209" s="337"/>
      <c r="V209" s="337"/>
      <c r="W209" s="337"/>
      <c r="X209" s="337"/>
      <c r="Y209" s="337"/>
      <c r="Z209" s="337"/>
    </row>
    <row r="210" ht="15.75" customHeight="1">
      <c r="A210" s="375" t="s">
        <v>1436</v>
      </c>
      <c r="B210" s="761" t="s">
        <v>2064</v>
      </c>
      <c r="C210" s="378" t="s">
        <v>2106</v>
      </c>
      <c r="D210" s="354" t="s">
        <v>2066</v>
      </c>
      <c r="E210" s="379">
        <v>45574.0</v>
      </c>
      <c r="F210" s="379">
        <v>45574.0</v>
      </c>
      <c r="G210" s="379">
        <v>45582.0</v>
      </c>
      <c r="H210" s="658">
        <v>45596.0</v>
      </c>
      <c r="I210" s="357">
        <f>IF(ISBLANK(H210), NETWORKDAYS(F210, TODAY(),Hoja2!$A$1:$A$18), NETWORKDAYS(F210, H210, Hoja2!$A$1:$A$18))</f>
        <v>16</v>
      </c>
      <c r="J210" s="615">
        <v>45629.0</v>
      </c>
      <c r="K210" s="379"/>
      <c r="L210" s="603" t="s">
        <v>2107</v>
      </c>
      <c r="M210" s="573"/>
      <c r="N210" s="337"/>
      <c r="O210" s="337"/>
      <c r="P210" s="337"/>
      <c r="Q210" s="337"/>
      <c r="R210" s="337"/>
      <c r="S210" s="337"/>
      <c r="T210" s="337"/>
      <c r="U210" s="337"/>
      <c r="V210" s="337"/>
      <c r="W210" s="337"/>
      <c r="X210" s="337"/>
      <c r="Y210" s="337"/>
      <c r="Z210" s="337"/>
    </row>
    <row r="211" ht="15.75" customHeight="1">
      <c r="A211" s="655" t="s">
        <v>1436</v>
      </c>
      <c r="B211" s="761" t="s">
        <v>2064</v>
      </c>
      <c r="C211" s="686" t="s">
        <v>2108</v>
      </c>
      <c r="D211" s="354" t="s">
        <v>2066</v>
      </c>
      <c r="E211" s="658">
        <v>45574.0</v>
      </c>
      <c r="F211" s="658">
        <v>45574.0</v>
      </c>
      <c r="G211" s="658">
        <v>45582.0</v>
      </c>
      <c r="H211" s="658">
        <v>45596.0</v>
      </c>
      <c r="I211" s="659">
        <f>IF(ISBLANK(H211), NETWORKDAYS(F211, TODAY(),Hoja2!$A$1:$A$18), NETWORKDAYS(F211, H211, Hoja2!$A$1:$A$18))</f>
        <v>16</v>
      </c>
      <c r="J211" s="615">
        <v>45629.0</v>
      </c>
      <c r="K211" s="658"/>
      <c r="L211" s="660" t="s">
        <v>2109</v>
      </c>
      <c r="M211" s="573"/>
      <c r="N211" s="337"/>
      <c r="O211" s="337"/>
      <c r="P211" s="337"/>
      <c r="Q211" s="337"/>
      <c r="R211" s="337"/>
      <c r="S211" s="337"/>
      <c r="T211" s="337"/>
      <c r="U211" s="337"/>
      <c r="V211" s="337"/>
      <c r="W211" s="337"/>
      <c r="X211" s="337"/>
      <c r="Y211" s="337"/>
      <c r="Z211" s="337"/>
    </row>
    <row r="212" ht="15.75" customHeight="1">
      <c r="A212" s="655" t="s">
        <v>1436</v>
      </c>
      <c r="B212" s="761" t="s">
        <v>2064</v>
      </c>
      <c r="C212" s="713" t="s">
        <v>2110</v>
      </c>
      <c r="D212" s="354" t="s">
        <v>2066</v>
      </c>
      <c r="E212" s="658">
        <v>45574.0</v>
      </c>
      <c r="F212" s="658">
        <v>45594.0</v>
      </c>
      <c r="G212" s="658">
        <v>45595.0</v>
      </c>
      <c r="H212" s="658">
        <v>45596.0</v>
      </c>
      <c r="I212" s="659">
        <f>IF(ISBLANK(H212), NETWORKDAYS(F212, TODAY(),Hoja2!$A$1:$A$18), NETWORKDAYS(F212, H212, Hoja2!$A$1:$A$18))</f>
        <v>3</v>
      </c>
      <c r="J212" s="615">
        <v>45629.0</v>
      </c>
      <c r="K212" s="658"/>
      <c r="L212" s="660" t="s">
        <v>2111</v>
      </c>
      <c r="M212" s="573"/>
      <c r="N212" s="337"/>
      <c r="O212" s="337"/>
      <c r="P212" s="337"/>
      <c r="Q212" s="337"/>
      <c r="R212" s="337"/>
      <c r="S212" s="337"/>
      <c r="T212" s="337"/>
      <c r="U212" s="337"/>
      <c r="V212" s="337"/>
      <c r="W212" s="337"/>
      <c r="X212" s="337"/>
      <c r="Y212" s="337"/>
      <c r="Z212" s="337"/>
    </row>
    <row r="213" ht="15.75" customHeight="1">
      <c r="A213" s="375" t="s">
        <v>1436</v>
      </c>
      <c r="B213" s="761" t="s">
        <v>2064</v>
      </c>
      <c r="C213" s="378" t="s">
        <v>2112</v>
      </c>
      <c r="D213" s="354" t="s">
        <v>2066</v>
      </c>
      <c r="E213" s="379">
        <v>45574.0</v>
      </c>
      <c r="F213" s="379">
        <v>45597.0</v>
      </c>
      <c r="G213" s="379">
        <v>45601.0</v>
      </c>
      <c r="H213" s="379"/>
      <c r="I213" s="357">
        <f>IF(ISBLANK(H213), NETWORKDAYS(F213, TODAY(),Hoja2!$A$1:$A$18), NETWORKDAYS(F213, H213, Hoja2!$A$1:$A$18))</f>
        <v>256</v>
      </c>
      <c r="J213" s="615">
        <v>45629.0</v>
      </c>
      <c r="K213" s="379"/>
      <c r="L213" s="603" t="s">
        <v>2113</v>
      </c>
      <c r="M213" s="573"/>
      <c r="N213" s="337"/>
      <c r="O213" s="337"/>
      <c r="P213" s="337"/>
      <c r="Q213" s="337"/>
      <c r="R213" s="337"/>
      <c r="S213" s="337"/>
      <c r="T213" s="337"/>
      <c r="U213" s="337"/>
      <c r="V213" s="337"/>
      <c r="W213" s="337"/>
      <c r="X213" s="337"/>
      <c r="Y213" s="337"/>
      <c r="Z213" s="337"/>
    </row>
    <row r="214" ht="15.75" customHeight="1">
      <c r="A214" s="375" t="s">
        <v>1436</v>
      </c>
      <c r="B214" s="761" t="s">
        <v>2064</v>
      </c>
      <c r="C214" s="719" t="s">
        <v>2114</v>
      </c>
      <c r="D214" s="354" t="s">
        <v>2066</v>
      </c>
      <c r="E214" s="379">
        <v>45574.0</v>
      </c>
      <c r="F214" s="615">
        <v>45602.0</v>
      </c>
      <c r="G214" s="615">
        <v>45604.0</v>
      </c>
      <c r="H214" s="615">
        <v>45609.0</v>
      </c>
      <c r="I214" s="357">
        <f>IF(ISBLANK(H214), NETWORKDAYS(F214, TODAY(),Hoja2!$A$1:$A$18), NETWORKDAYS(F214, H214, Hoja2!$A$1:$A$18))</f>
        <v>5</v>
      </c>
      <c r="J214" s="615">
        <v>45629.0</v>
      </c>
      <c r="K214" s="615"/>
      <c r="L214" s="616" t="s">
        <v>2115</v>
      </c>
      <c r="M214" s="573"/>
      <c r="N214" s="337"/>
      <c r="O214" s="337"/>
      <c r="P214" s="337"/>
      <c r="Q214" s="337"/>
      <c r="R214" s="337"/>
      <c r="S214" s="337"/>
      <c r="T214" s="337"/>
      <c r="U214" s="337"/>
      <c r="V214" s="337"/>
      <c r="W214" s="337"/>
      <c r="X214" s="337"/>
      <c r="Y214" s="337"/>
      <c r="Z214" s="337"/>
    </row>
    <row r="215" ht="15.75" customHeight="1">
      <c r="A215" s="375" t="s">
        <v>1436</v>
      </c>
      <c r="B215" s="761" t="s">
        <v>2064</v>
      </c>
      <c r="C215" s="719" t="s">
        <v>2116</v>
      </c>
      <c r="D215" s="354" t="s">
        <v>2066</v>
      </c>
      <c r="E215" s="379">
        <v>45574.0</v>
      </c>
      <c r="F215" s="615">
        <v>45610.0</v>
      </c>
      <c r="G215" s="615">
        <v>45617.0</v>
      </c>
      <c r="H215" s="615">
        <v>45617.0</v>
      </c>
      <c r="I215" s="357">
        <f>IF(ISBLANK(H215), NETWORKDAYS(F215, TODAY(),Hoja2!$A$1:$A$18), NETWORKDAYS(F215, H215, Hoja2!$A$1:$A$18))</f>
        <v>6</v>
      </c>
      <c r="J215" s="615">
        <v>45629.0</v>
      </c>
      <c r="K215" s="615"/>
      <c r="L215" s="616" t="s">
        <v>2117</v>
      </c>
      <c r="M215" s="573"/>
      <c r="N215" s="337"/>
      <c r="O215" s="337"/>
      <c r="P215" s="337"/>
      <c r="Q215" s="337"/>
      <c r="R215" s="337"/>
      <c r="S215" s="337"/>
      <c r="T215" s="337"/>
      <c r="U215" s="337"/>
      <c r="V215" s="337"/>
      <c r="W215" s="337"/>
      <c r="X215" s="337"/>
      <c r="Y215" s="337"/>
      <c r="Z215" s="337"/>
    </row>
    <row r="216" ht="15.75" customHeight="1">
      <c r="A216" s="375" t="s">
        <v>1436</v>
      </c>
      <c r="B216" s="761" t="s">
        <v>2064</v>
      </c>
      <c r="C216" s="719" t="s">
        <v>2118</v>
      </c>
      <c r="D216" s="354" t="s">
        <v>2066</v>
      </c>
      <c r="E216" s="379">
        <v>45574.0</v>
      </c>
      <c r="F216" s="615">
        <v>45617.0</v>
      </c>
      <c r="G216" s="615">
        <v>45617.0</v>
      </c>
      <c r="H216" s="615">
        <v>45617.0</v>
      </c>
      <c r="I216" s="357">
        <f>IF(ISBLANK(H216), NETWORKDAYS(F216, TODAY(),Hoja2!$A$1:$A$18), NETWORKDAYS(F216, H216, Hoja2!$A$1:$A$18))</f>
        <v>1</v>
      </c>
      <c r="J216" s="615">
        <v>45629.0</v>
      </c>
      <c r="K216" s="615"/>
      <c r="L216" s="616" t="s">
        <v>2119</v>
      </c>
      <c r="M216" s="573"/>
      <c r="N216" s="337"/>
      <c r="O216" s="337"/>
      <c r="P216" s="337"/>
      <c r="Q216" s="337"/>
      <c r="R216" s="337"/>
      <c r="S216" s="337"/>
      <c r="T216" s="337"/>
      <c r="U216" s="337"/>
      <c r="V216" s="337"/>
      <c r="W216" s="337"/>
      <c r="X216" s="337"/>
      <c r="Y216" s="337"/>
      <c r="Z216" s="337"/>
    </row>
    <row r="217" ht="15.75" customHeight="1">
      <c r="A217" s="375" t="s">
        <v>1436</v>
      </c>
      <c r="B217" s="761" t="s">
        <v>2064</v>
      </c>
      <c r="C217" s="719" t="s">
        <v>2120</v>
      </c>
      <c r="D217" s="354" t="s">
        <v>2066</v>
      </c>
      <c r="E217" s="379">
        <v>45574.0</v>
      </c>
      <c r="F217" s="615">
        <v>45618.0</v>
      </c>
      <c r="G217" s="615">
        <v>45621.0</v>
      </c>
      <c r="H217" s="615">
        <v>45625.0</v>
      </c>
      <c r="I217" s="357">
        <f>IF(ISBLANK(H217), NETWORKDAYS(F217, TODAY(),Hoja2!$A$1:$A$18), NETWORKDAYS(F217, H217, Hoja2!$A$1:$A$18))</f>
        <v>6</v>
      </c>
      <c r="J217" s="615">
        <v>45629.0</v>
      </c>
      <c r="K217" s="615"/>
      <c r="L217" s="616" t="s">
        <v>2121</v>
      </c>
      <c r="M217" s="573"/>
      <c r="N217" s="337"/>
      <c r="O217" s="337"/>
      <c r="P217" s="337"/>
      <c r="Q217" s="337"/>
      <c r="R217" s="337"/>
      <c r="S217" s="337"/>
      <c r="T217" s="337"/>
      <c r="U217" s="337"/>
      <c r="V217" s="337"/>
      <c r="W217" s="337"/>
      <c r="X217" s="337"/>
      <c r="Y217" s="337"/>
      <c r="Z217" s="337"/>
    </row>
    <row r="218" ht="15.75" customHeight="1">
      <c r="A218" s="375" t="s">
        <v>1436</v>
      </c>
      <c r="B218" s="761" t="s">
        <v>2064</v>
      </c>
      <c r="C218" s="719" t="s">
        <v>2122</v>
      </c>
      <c r="D218" s="354" t="s">
        <v>2066</v>
      </c>
      <c r="E218" s="379">
        <v>45574.0</v>
      </c>
      <c r="F218" s="615">
        <v>45621.0</v>
      </c>
      <c r="G218" s="615">
        <v>45621.0</v>
      </c>
      <c r="H218" s="615">
        <v>45625.0</v>
      </c>
      <c r="I218" s="357">
        <f>IF(ISBLANK(H218), NETWORKDAYS(F218, TODAY(),Hoja2!$A$1:$A$18), NETWORKDAYS(F218, H218, Hoja2!$A$1:$A$18))</f>
        <v>5</v>
      </c>
      <c r="J218" s="615">
        <v>45629.0</v>
      </c>
      <c r="K218" s="615"/>
      <c r="L218" s="616" t="s">
        <v>2123</v>
      </c>
      <c r="M218" s="573"/>
      <c r="N218" s="337"/>
      <c r="O218" s="337"/>
      <c r="P218" s="337"/>
      <c r="Q218" s="337"/>
      <c r="R218" s="337"/>
      <c r="S218" s="337"/>
      <c r="T218" s="337"/>
      <c r="U218" s="337"/>
      <c r="V218" s="337"/>
      <c r="W218" s="337"/>
      <c r="X218" s="337"/>
      <c r="Y218" s="337"/>
      <c r="Z218" s="337"/>
    </row>
    <row r="219" ht="15.75" customHeight="1">
      <c r="A219" s="375" t="s">
        <v>1436</v>
      </c>
      <c r="B219" s="761" t="s">
        <v>2064</v>
      </c>
      <c r="C219" s="719" t="s">
        <v>2124</v>
      </c>
      <c r="D219" s="354" t="s">
        <v>2066</v>
      </c>
      <c r="E219" s="379">
        <v>45574.0</v>
      </c>
      <c r="F219" s="615">
        <v>45625.0</v>
      </c>
      <c r="G219" s="615"/>
      <c r="H219" s="615">
        <v>45629.0</v>
      </c>
      <c r="I219" s="357">
        <f>IF(ISBLANK(H219), NETWORKDAYS(F219, TODAY(),Hoja2!$A$1:$A$18), NETWORKDAYS(F219, H219, Hoja2!$A$1:$A$18))</f>
        <v>3</v>
      </c>
      <c r="J219" s="615">
        <v>45629.0</v>
      </c>
      <c r="K219" s="615"/>
      <c r="L219" s="616" t="s">
        <v>2125</v>
      </c>
      <c r="M219" s="573"/>
      <c r="N219" s="337"/>
      <c r="O219" s="337"/>
      <c r="P219" s="337"/>
      <c r="Q219" s="337"/>
      <c r="R219" s="337"/>
      <c r="S219" s="337"/>
      <c r="T219" s="337"/>
      <c r="U219" s="337"/>
      <c r="V219" s="337"/>
      <c r="W219" s="337"/>
      <c r="X219" s="337"/>
      <c r="Y219" s="337"/>
      <c r="Z219" s="337"/>
    </row>
    <row r="220" ht="15.0" hidden="1" customHeight="1">
      <c r="A220" s="375"/>
      <c r="B220" s="763"/>
      <c r="C220" s="764"/>
      <c r="D220" s="765"/>
      <c r="E220" s="734"/>
      <c r="F220" s="615"/>
      <c r="G220" s="615"/>
      <c r="H220" s="615"/>
      <c r="I220" s="357"/>
      <c r="J220" s="615"/>
      <c r="K220" s="615"/>
      <c r="L220" s="616"/>
      <c r="M220" s="573"/>
      <c r="N220" s="337"/>
      <c r="O220" s="337"/>
      <c r="P220" s="337"/>
      <c r="Q220" s="337"/>
      <c r="R220" s="337"/>
      <c r="S220" s="337"/>
      <c r="T220" s="337"/>
      <c r="U220" s="337"/>
      <c r="V220" s="337"/>
      <c r="W220" s="337"/>
      <c r="X220" s="337"/>
      <c r="Y220" s="337"/>
      <c r="Z220" s="337"/>
    </row>
    <row r="221" ht="15.75" hidden="1" customHeight="1">
      <c r="A221" s="375" t="s">
        <v>1436</v>
      </c>
      <c r="B221" s="763"/>
      <c r="C221" s="766" t="s">
        <v>2126</v>
      </c>
      <c r="D221" s="767" t="s">
        <v>1439</v>
      </c>
      <c r="E221" s="697">
        <v>45574.0</v>
      </c>
      <c r="F221" s="615">
        <v>45631.0</v>
      </c>
      <c r="G221" s="615"/>
      <c r="H221" s="615"/>
      <c r="I221" s="357">
        <f>IF(ISBLANK(H221), NETWORKDAYS(F221, TODAY(),Hoja2!$A$1:$A$18), NETWORKDAYS(F221, H221, Hoja2!$A$1:$A$18))</f>
        <v>234</v>
      </c>
      <c r="J221" s="615"/>
      <c r="K221" s="615"/>
      <c r="L221" s="708" t="s">
        <v>2127</v>
      </c>
      <c r="M221" s="573"/>
      <c r="N221" s="337"/>
      <c r="O221" s="337"/>
      <c r="P221" s="337"/>
      <c r="Q221" s="337"/>
      <c r="R221" s="337"/>
      <c r="S221" s="337"/>
      <c r="T221" s="337"/>
      <c r="U221" s="337"/>
      <c r="V221" s="337"/>
      <c r="W221" s="337"/>
      <c r="X221" s="337"/>
      <c r="Y221" s="337"/>
      <c r="Z221" s="337"/>
    </row>
    <row r="222" ht="15.75" hidden="1" customHeight="1">
      <c r="A222" s="375" t="s">
        <v>1436</v>
      </c>
      <c r="B222" s="763"/>
      <c r="C222" s="766" t="s">
        <v>2128</v>
      </c>
      <c r="D222" s="767" t="s">
        <v>1439</v>
      </c>
      <c r="E222" s="697">
        <v>45574.0</v>
      </c>
      <c r="F222" s="615">
        <v>45631.0</v>
      </c>
      <c r="G222" s="615"/>
      <c r="H222" s="615"/>
      <c r="I222" s="357">
        <f>IF(ISBLANK(H222), NETWORKDAYS(F222, TODAY(),Hoja2!$A$1:$A$18), NETWORKDAYS(F222, H222, Hoja2!$A$1:$A$18))</f>
        <v>234</v>
      </c>
      <c r="J222" s="615"/>
      <c r="K222" s="615"/>
      <c r="L222" s="708" t="s">
        <v>2127</v>
      </c>
      <c r="M222" s="573"/>
      <c r="N222" s="337"/>
      <c r="O222" s="337"/>
      <c r="P222" s="337"/>
      <c r="Q222" s="337"/>
      <c r="R222" s="337"/>
      <c r="S222" s="337"/>
      <c r="T222" s="337"/>
      <c r="U222" s="337"/>
      <c r="V222" s="337"/>
      <c r="W222" s="337"/>
      <c r="X222" s="337"/>
      <c r="Y222" s="337"/>
      <c r="Z222" s="337"/>
    </row>
    <row r="223" ht="15.75" hidden="1" customHeight="1">
      <c r="A223" s="375" t="s">
        <v>1436</v>
      </c>
      <c r="B223" s="763"/>
      <c r="C223" s="768" t="s">
        <v>2129</v>
      </c>
      <c r="D223" s="767" t="s">
        <v>1439</v>
      </c>
      <c r="E223" s="697">
        <v>45574.0</v>
      </c>
      <c r="F223" s="615">
        <v>45631.0</v>
      </c>
      <c r="G223" s="615"/>
      <c r="H223" s="615"/>
      <c r="I223" s="357">
        <f>IF(ISBLANK(H223), NETWORKDAYS(F223, TODAY(),Hoja2!$A$1:$A$18), NETWORKDAYS(F223, H223, Hoja2!$A$1:$A$18))</f>
        <v>234</v>
      </c>
      <c r="J223" s="615"/>
      <c r="K223" s="615"/>
      <c r="L223" s="708" t="s">
        <v>2130</v>
      </c>
      <c r="M223" s="573"/>
      <c r="N223" s="337"/>
      <c r="O223" s="337"/>
      <c r="P223" s="337"/>
      <c r="Q223" s="337"/>
      <c r="R223" s="337"/>
      <c r="S223" s="337"/>
      <c r="T223" s="337"/>
      <c r="U223" s="337"/>
      <c r="V223" s="337"/>
      <c r="W223" s="337"/>
      <c r="X223" s="337"/>
      <c r="Y223" s="337"/>
      <c r="Z223" s="337"/>
    </row>
    <row r="224" ht="15.75" hidden="1" customHeight="1">
      <c r="A224" s="655" t="s">
        <v>1436</v>
      </c>
      <c r="B224" s="763"/>
      <c r="C224" s="769" t="s">
        <v>2131</v>
      </c>
      <c r="D224" s="767" t="s">
        <v>1439</v>
      </c>
      <c r="E224" s="770">
        <v>45574.0</v>
      </c>
      <c r="F224" s="635">
        <v>45638.0</v>
      </c>
      <c r="G224" s="635"/>
      <c r="H224" s="635"/>
      <c r="I224" s="659">
        <f>IF(ISBLANK(H224), NETWORKDAYS(F224, TODAY(),Hoja2!$A$1:$A$18), NETWORKDAYS(F224, H224, Hoja2!$A$1:$A$18))</f>
        <v>229</v>
      </c>
      <c r="J224" s="635"/>
      <c r="K224" s="635"/>
      <c r="L224" s="771" t="s">
        <v>2132</v>
      </c>
      <c r="M224" s="573"/>
      <c r="N224" s="337"/>
      <c r="O224" s="337"/>
      <c r="P224" s="337"/>
      <c r="Q224" s="337"/>
      <c r="R224" s="337"/>
      <c r="S224" s="337"/>
      <c r="T224" s="337"/>
      <c r="U224" s="337"/>
      <c r="V224" s="337"/>
      <c r="W224" s="337"/>
      <c r="X224" s="337"/>
      <c r="Y224" s="337"/>
      <c r="Z224" s="337"/>
    </row>
    <row r="225" ht="15.75" hidden="1" customHeight="1">
      <c r="A225" s="375" t="s">
        <v>1436</v>
      </c>
      <c r="B225" s="763"/>
      <c r="C225" s="370" t="s">
        <v>2133</v>
      </c>
      <c r="D225" s="767" t="s">
        <v>1439</v>
      </c>
      <c r="E225" s="379">
        <v>45636.0</v>
      </c>
      <c r="F225" s="379">
        <v>45636.0</v>
      </c>
      <c r="G225" s="379"/>
      <c r="H225" s="379"/>
      <c r="I225" s="357">
        <f>IF(ISBLANK(H225), NETWORKDAYS(F225, TODAY(),Hoja2!$A$1:$A$18), NETWORKDAYS(F225, H225, Hoja2!$A$1:$A$18))</f>
        <v>231</v>
      </c>
      <c r="J225" s="379">
        <v>45645.0</v>
      </c>
      <c r="K225" s="379"/>
      <c r="L225" s="698" t="s">
        <v>2134</v>
      </c>
      <c r="M225" s="573"/>
      <c r="N225" s="337"/>
      <c r="O225" s="337"/>
      <c r="P225" s="337"/>
      <c r="Q225" s="337"/>
      <c r="R225" s="337"/>
      <c r="S225" s="337"/>
      <c r="T225" s="337"/>
      <c r="U225" s="337"/>
      <c r="V225" s="337"/>
      <c r="W225" s="337"/>
      <c r="X225" s="337"/>
      <c r="Y225" s="337"/>
      <c r="Z225" s="337"/>
    </row>
    <row r="226" ht="15.75" hidden="1" customHeight="1">
      <c r="A226" s="375" t="s">
        <v>1436</v>
      </c>
      <c r="B226" s="763"/>
      <c r="C226" s="370" t="s">
        <v>2135</v>
      </c>
      <c r="D226" s="602" t="s">
        <v>695</v>
      </c>
      <c r="E226" s="379">
        <v>45645.0</v>
      </c>
      <c r="F226" s="379">
        <v>45646.0</v>
      </c>
      <c r="G226" s="379"/>
      <c r="H226" s="379"/>
      <c r="I226" s="357">
        <f>IF(ISBLANK(H226), NETWORKDAYS(F226, TODAY(),Hoja2!$A$1:$A$18), NETWORKDAYS(F226, H226, Hoja2!$A$1:$A$18))</f>
        <v>223</v>
      </c>
      <c r="J226" s="379">
        <v>45664.0</v>
      </c>
      <c r="K226" s="379"/>
      <c r="L226" s="698" t="s">
        <v>2136</v>
      </c>
      <c r="M226" s="573"/>
      <c r="N226" s="337"/>
      <c r="O226" s="337"/>
      <c r="P226" s="337"/>
      <c r="Q226" s="337"/>
      <c r="R226" s="337"/>
      <c r="S226" s="337"/>
      <c r="T226" s="337"/>
      <c r="U226" s="337"/>
      <c r="V226" s="337"/>
      <c r="W226" s="337"/>
      <c r="X226" s="337"/>
      <c r="Y226" s="337"/>
      <c r="Z226" s="337"/>
    </row>
    <row r="227" ht="15.75" hidden="1" customHeight="1">
      <c r="A227" s="375" t="s">
        <v>1436</v>
      </c>
      <c r="B227" s="772"/>
      <c r="C227" s="370" t="s">
        <v>2137</v>
      </c>
      <c r="D227" s="602" t="s">
        <v>695</v>
      </c>
      <c r="E227" s="379">
        <v>45652.0</v>
      </c>
      <c r="F227" s="379">
        <v>45652.0</v>
      </c>
      <c r="G227" s="379"/>
      <c r="H227" s="379"/>
      <c r="I227" s="357">
        <f>IF(ISBLANK(H227), NETWORKDAYS(F227, TODAY(),Hoja2!$A$1:$A$18), NETWORKDAYS(F227, H227, Hoja2!$A$1:$A$18))</f>
        <v>220</v>
      </c>
      <c r="J227" s="379">
        <v>45664.0</v>
      </c>
      <c r="K227" s="379"/>
      <c r="L227" s="698" t="s">
        <v>2138</v>
      </c>
      <c r="M227" s="573"/>
      <c r="N227" s="337"/>
      <c r="O227" s="337"/>
      <c r="P227" s="337"/>
      <c r="Q227" s="337"/>
      <c r="R227" s="337"/>
      <c r="S227" s="337"/>
      <c r="T227" s="337"/>
      <c r="U227" s="337"/>
      <c r="V227" s="337"/>
      <c r="W227" s="337"/>
      <c r="X227" s="337"/>
      <c r="Y227" s="337"/>
      <c r="Z227" s="337"/>
    </row>
    <row r="228" ht="15.75" customHeight="1">
      <c r="A228" s="360" t="s">
        <v>1689</v>
      </c>
      <c r="B228" s="360" t="s">
        <v>2029</v>
      </c>
      <c r="C228" s="381" t="s">
        <v>2139</v>
      </c>
      <c r="D228" s="602" t="s">
        <v>1810</v>
      </c>
      <c r="E228" s="379">
        <v>45678.0</v>
      </c>
      <c r="F228" s="379">
        <v>45678.0</v>
      </c>
      <c r="G228" s="379"/>
      <c r="H228" s="379">
        <v>45678.0</v>
      </c>
      <c r="I228" s="773">
        <f>IF(ISBLANK(H228), NETWORKDAYS(F228, TODAY(),Hoja2!$A$1:$A$18), NETWORKDAYS(F228, H228, Hoja2!$A$1:$A$18))</f>
        <v>1</v>
      </c>
      <c r="J228" s="355">
        <v>45678.0</v>
      </c>
      <c r="K228" s="620">
        <v>45692.0</v>
      </c>
      <c r="L228" s="735" t="s">
        <v>2140</v>
      </c>
    </row>
    <row r="229" ht="15.75" customHeight="1">
      <c r="A229" s="360" t="s">
        <v>1689</v>
      </c>
      <c r="B229" s="353" t="s">
        <v>2141</v>
      </c>
      <c r="C229" s="378"/>
      <c r="D229" s="602" t="s">
        <v>11</v>
      </c>
      <c r="E229" s="379">
        <v>45687.0</v>
      </c>
      <c r="F229" s="379">
        <v>45688.0</v>
      </c>
      <c r="G229" s="379"/>
      <c r="H229" s="379">
        <v>45688.0</v>
      </c>
      <c r="I229" s="357">
        <f>IF(ISBLANK(H229), NETWORKDAYS(F229, TODAY(),Hoja2!$A$1:$A$18), NETWORKDAYS(F229, H229, Hoja2!$A$1:$A$18))</f>
        <v>1</v>
      </c>
      <c r="J229" s="379"/>
      <c r="K229" s="379"/>
      <c r="L229" s="603" t="s">
        <v>2142</v>
      </c>
      <c r="M229" s="573"/>
      <c r="N229" s="337"/>
      <c r="O229" s="337"/>
      <c r="P229" s="337"/>
      <c r="Q229" s="337"/>
      <c r="R229" s="337"/>
      <c r="S229" s="337"/>
      <c r="T229" s="337"/>
      <c r="U229" s="337"/>
      <c r="V229" s="337"/>
      <c r="W229" s="337"/>
      <c r="X229" s="337"/>
      <c r="Y229" s="337"/>
      <c r="Z229" s="337"/>
    </row>
    <row r="230" ht="15.75" customHeight="1">
      <c r="A230" s="375" t="s">
        <v>1436</v>
      </c>
      <c r="B230" s="604" t="s">
        <v>2143</v>
      </c>
      <c r="C230" s="377"/>
      <c r="D230" s="602" t="s">
        <v>73</v>
      </c>
      <c r="E230" s="379">
        <v>45692.0</v>
      </c>
      <c r="F230" s="380">
        <v>45693.0</v>
      </c>
      <c r="G230" s="747"/>
      <c r="H230" s="380">
        <v>45693.0</v>
      </c>
      <c r="I230" s="357">
        <f>IF(ISBLANK(H230), NETWORKDAYS(F230, TODAY(),Hoja2!$A$1:$A$18), NETWORKDAYS(F230, H230, Hoja2!$A$1:$A$18))</f>
        <v>1</v>
      </c>
      <c r="J230" s="377"/>
      <c r="K230" s="607"/>
      <c r="L230" s="567" t="s">
        <v>2144</v>
      </c>
      <c r="M230" s="382"/>
      <c r="N230" s="382"/>
      <c r="O230" s="382"/>
      <c r="P230" s="382"/>
      <c r="Q230" s="382"/>
      <c r="R230" s="382"/>
      <c r="S230" s="382"/>
      <c r="T230" s="382"/>
      <c r="U230" s="382"/>
      <c r="V230" s="382"/>
      <c r="W230" s="382"/>
      <c r="X230" s="382"/>
      <c r="Y230" s="382"/>
      <c r="Z230" s="382"/>
    </row>
    <row r="231" ht="15.75" customHeight="1">
      <c r="A231" s="360" t="s">
        <v>1689</v>
      </c>
      <c r="B231" s="353" t="s">
        <v>2145</v>
      </c>
      <c r="C231" s="378"/>
      <c r="D231" s="602" t="s">
        <v>73</v>
      </c>
      <c r="E231" s="379">
        <v>45692.0</v>
      </c>
      <c r="F231" s="379">
        <v>45693.0</v>
      </c>
      <c r="G231" s="379"/>
      <c r="H231" s="379">
        <v>45693.0</v>
      </c>
      <c r="I231" s="357">
        <f>IF(ISBLANK(H231), NETWORKDAYS(F231, TODAY(),Hoja2!$A$1:$A$18), NETWORKDAYS(F231, H231, Hoja2!$A$1:$A$18))</f>
        <v>1</v>
      </c>
      <c r="J231" s="379"/>
      <c r="K231" s="379">
        <v>45693.0</v>
      </c>
      <c r="L231" s="698" t="s">
        <v>2146</v>
      </c>
      <c r="M231" s="573"/>
      <c r="N231" s="337"/>
      <c r="O231" s="337"/>
      <c r="P231" s="337"/>
      <c r="Q231" s="337"/>
      <c r="R231" s="337"/>
      <c r="S231" s="337"/>
      <c r="T231" s="337"/>
      <c r="U231" s="337"/>
      <c r="V231" s="337"/>
      <c r="W231" s="337"/>
      <c r="X231" s="337"/>
      <c r="Y231" s="337"/>
      <c r="Z231" s="337"/>
    </row>
    <row r="232" ht="15.75" customHeight="1">
      <c r="A232" s="360" t="s">
        <v>1689</v>
      </c>
      <c r="B232" s="353" t="s">
        <v>2147</v>
      </c>
      <c r="C232" s="378"/>
      <c r="D232" s="602" t="s">
        <v>73</v>
      </c>
      <c r="E232" s="379">
        <v>45692.0</v>
      </c>
      <c r="F232" s="379">
        <v>45693.0</v>
      </c>
      <c r="G232" s="379"/>
      <c r="H232" s="379">
        <v>45693.0</v>
      </c>
      <c r="I232" s="357">
        <f>IF(ISBLANK(H232), NETWORKDAYS(F232, TODAY(),Hoja2!$A$1:$A$18), NETWORKDAYS(F232, H232, Hoja2!$A$1:$A$18))</f>
        <v>1</v>
      </c>
      <c r="J232" s="379"/>
      <c r="K232" s="379">
        <v>45693.0</v>
      </c>
      <c r="L232" s="698" t="s">
        <v>2146</v>
      </c>
      <c r="M232" s="573"/>
      <c r="N232" s="337"/>
      <c r="O232" s="337"/>
      <c r="P232" s="337"/>
      <c r="Q232" s="337"/>
      <c r="R232" s="337"/>
      <c r="S232" s="337"/>
      <c r="T232" s="337"/>
      <c r="U232" s="337"/>
      <c r="V232" s="337"/>
      <c r="W232" s="337"/>
      <c r="X232" s="337"/>
      <c r="Y232" s="337"/>
      <c r="Z232" s="337"/>
    </row>
    <row r="233" ht="15.75" customHeight="1">
      <c r="A233" s="375" t="s">
        <v>1436</v>
      </c>
      <c r="B233" s="604" t="s">
        <v>2148</v>
      </c>
      <c r="C233" s="735" t="s">
        <v>2149</v>
      </c>
      <c r="D233" s="354" t="s">
        <v>73</v>
      </c>
      <c r="E233" s="379">
        <v>45698.0</v>
      </c>
      <c r="F233" s="379">
        <v>45698.0</v>
      </c>
      <c r="G233" s="355"/>
      <c r="H233" s="602"/>
      <c r="I233" s="357">
        <f>IF(ISBLANK(H233), NETWORKDAYS(F233, TODAY(),Hoja2!$A$1:$A$18), NETWORKDAYS(F233, H233, Hoja2!$A$1:$A$18))</f>
        <v>188</v>
      </c>
      <c r="J233" s="377"/>
      <c r="K233" s="747"/>
      <c r="L233" s="774"/>
      <c r="M233" s="382"/>
      <c r="N233" s="382"/>
      <c r="O233" s="382"/>
      <c r="P233" s="382"/>
      <c r="Q233" s="382"/>
      <c r="R233" s="382"/>
      <c r="S233" s="382"/>
      <c r="T233" s="382"/>
      <c r="U233" s="382"/>
      <c r="V233" s="382"/>
      <c r="W233" s="382"/>
      <c r="X233" s="382"/>
      <c r="Y233" s="382"/>
      <c r="Z233" s="382"/>
    </row>
    <row r="234" ht="15.75" customHeight="1">
      <c r="A234" s="375" t="s">
        <v>1436</v>
      </c>
      <c r="B234" s="604" t="s">
        <v>2148</v>
      </c>
      <c r="C234" s="775" t="s">
        <v>2150</v>
      </c>
      <c r="D234" s="354" t="s">
        <v>73</v>
      </c>
      <c r="E234" s="379">
        <v>45698.0</v>
      </c>
      <c r="F234" s="379">
        <v>45698.0</v>
      </c>
      <c r="G234" s="355"/>
      <c r="H234" s="379">
        <v>45699.0</v>
      </c>
      <c r="I234" s="357">
        <f>IF(ISBLANK(H234), NETWORKDAYS(F234, TODAY(),Hoja2!$A$1:$A$18), NETWORKDAYS(F234, H234, Hoja2!$A$1:$A$18))</f>
        <v>2</v>
      </c>
      <c r="J234" s="377"/>
      <c r="K234" s="747"/>
      <c r="L234" s="774"/>
      <c r="M234" s="382"/>
      <c r="N234" s="382"/>
      <c r="O234" s="382"/>
      <c r="P234" s="382"/>
      <c r="Q234" s="382"/>
      <c r="R234" s="382"/>
      <c r="S234" s="382"/>
      <c r="T234" s="382"/>
      <c r="U234" s="382"/>
      <c r="V234" s="382"/>
      <c r="W234" s="382"/>
      <c r="X234" s="382"/>
      <c r="Y234" s="382"/>
      <c r="Z234" s="382"/>
    </row>
    <row r="235" ht="15.75" customHeight="1">
      <c r="A235" s="576" t="s">
        <v>1411</v>
      </c>
      <c r="B235" s="776" t="s">
        <v>2151</v>
      </c>
      <c r="C235" s="777" t="s">
        <v>2152</v>
      </c>
      <c r="D235" s="560" t="s">
        <v>1810</v>
      </c>
      <c r="E235" s="561">
        <v>45684.0</v>
      </c>
      <c r="F235" s="561">
        <v>45684.0</v>
      </c>
      <c r="G235" s="561"/>
      <c r="H235" s="561">
        <v>45700.0</v>
      </c>
      <c r="I235" s="582">
        <f>IF(ISBLANK(H235), NETWORKDAYS(F235, TODAY(),Hoja2!$A$1:$A$18), NETWORKDAYS(F235, H235, Hoja2!$A$1:$A$18))</f>
        <v>13</v>
      </c>
      <c r="J235" s="561"/>
      <c r="K235" s="561">
        <v>45700.0</v>
      </c>
      <c r="L235" s="564" t="s">
        <v>2153</v>
      </c>
      <c r="M235" s="337"/>
      <c r="N235" s="337"/>
      <c r="O235" s="337"/>
      <c r="P235" s="337"/>
      <c r="Q235" s="337"/>
      <c r="R235" s="337"/>
      <c r="S235" s="337"/>
      <c r="T235" s="337"/>
      <c r="U235" s="337"/>
      <c r="V235" s="337"/>
      <c r="W235" s="337"/>
      <c r="X235" s="337"/>
      <c r="Y235" s="337"/>
      <c r="Z235" s="337"/>
    </row>
    <row r="236" ht="15.75" customHeight="1">
      <c r="A236" s="375" t="s">
        <v>1436</v>
      </c>
      <c r="B236" s="604" t="s">
        <v>2154</v>
      </c>
      <c r="C236" s="377"/>
      <c r="D236" s="602" t="s">
        <v>73</v>
      </c>
      <c r="E236" s="379">
        <v>45700.0</v>
      </c>
      <c r="F236" s="379">
        <v>45700.0</v>
      </c>
      <c r="G236" s="355"/>
      <c r="H236" s="379">
        <v>45700.0</v>
      </c>
      <c r="I236" s="357">
        <f>IF(ISBLANK(H236), NETWORKDAYS(F236, TODAY(),Hoja2!$A$1:$A$18), NETWORKDAYS(F236, H236, Hoja2!$A$1:$A$18))</f>
        <v>1</v>
      </c>
      <c r="J236" s="377"/>
      <c r="K236" s="377"/>
      <c r="L236" s="698"/>
      <c r="M236" s="382"/>
      <c r="N236" s="382"/>
      <c r="O236" s="382"/>
      <c r="P236" s="382"/>
      <c r="Q236" s="382"/>
      <c r="R236" s="382"/>
      <c r="S236" s="382"/>
      <c r="T236" s="382"/>
      <c r="U236" s="382"/>
      <c r="V236" s="382"/>
      <c r="W236" s="382"/>
      <c r="X236" s="382"/>
      <c r="Y236" s="382"/>
      <c r="Z236" s="382"/>
    </row>
    <row r="237" ht="15.75" customHeight="1">
      <c r="A237" s="375" t="s">
        <v>1436</v>
      </c>
      <c r="B237" s="778" t="s">
        <v>2155</v>
      </c>
      <c r="C237" s="566" t="s">
        <v>1438</v>
      </c>
      <c r="D237" s="602" t="s">
        <v>2156</v>
      </c>
      <c r="E237" s="379">
        <v>45665.0</v>
      </c>
      <c r="F237" s="379">
        <v>45665.0</v>
      </c>
      <c r="G237" s="379">
        <v>45667.0</v>
      </c>
      <c r="H237" s="379">
        <v>45670.0</v>
      </c>
      <c r="I237" s="357">
        <f>IF(ISBLANK(H237), NETWORKDAYS(F237, TODAY(),Hoja2!$A$1:$A$18), NETWORKDAYS(F237, H237, Hoja2!$A$1:$A$18))</f>
        <v>4</v>
      </c>
      <c r="J237" s="379"/>
      <c r="K237" s="379"/>
      <c r="L237" s="698"/>
      <c r="M237" s="573"/>
      <c r="N237" s="337"/>
      <c r="O237" s="337"/>
      <c r="P237" s="337"/>
      <c r="Q237" s="337"/>
      <c r="R237" s="337"/>
      <c r="S237" s="337"/>
      <c r="T237" s="337"/>
      <c r="U237" s="337"/>
      <c r="V237" s="337"/>
      <c r="W237" s="337"/>
      <c r="X237" s="337"/>
      <c r="Y237" s="337"/>
      <c r="Z237" s="337"/>
    </row>
    <row r="238" ht="15.75" customHeight="1">
      <c r="A238" s="375" t="s">
        <v>1436</v>
      </c>
      <c r="B238" s="779"/>
      <c r="C238" s="566" t="s">
        <v>2157</v>
      </c>
      <c r="D238" s="354" t="s">
        <v>1810</v>
      </c>
      <c r="E238" s="379">
        <v>45665.0</v>
      </c>
      <c r="F238" s="379">
        <v>45666.0</v>
      </c>
      <c r="G238" s="379"/>
      <c r="H238" s="379">
        <v>45670.0</v>
      </c>
      <c r="I238" s="357">
        <f>IF(ISBLANK(H238), NETWORKDAYS(F238, TODAY(),Hoja2!$A$1:$A$18), NETWORKDAYS(F238, H238, Hoja2!$A$1:$A$18))</f>
        <v>3</v>
      </c>
      <c r="J238" s="379">
        <v>45670.0</v>
      </c>
      <c r="K238" s="379"/>
      <c r="L238" s="698" t="s">
        <v>2158</v>
      </c>
      <c r="M238" s="573"/>
      <c r="N238" s="337"/>
      <c r="O238" s="337"/>
      <c r="P238" s="337"/>
      <c r="Q238" s="337"/>
      <c r="R238" s="337"/>
      <c r="S238" s="337"/>
      <c r="T238" s="337"/>
      <c r="U238" s="337"/>
      <c r="V238" s="337"/>
      <c r="W238" s="337"/>
      <c r="X238" s="337"/>
      <c r="Y238" s="337"/>
      <c r="Z238" s="337"/>
    </row>
    <row r="239" ht="15.75" customHeight="1">
      <c r="A239" s="360" t="s">
        <v>1426</v>
      </c>
      <c r="B239" s="360" t="s">
        <v>2159</v>
      </c>
      <c r="C239" s="360" t="s">
        <v>2160</v>
      </c>
      <c r="D239" s="354" t="s">
        <v>73</v>
      </c>
      <c r="E239" s="379">
        <v>45692.0</v>
      </c>
      <c r="F239" s="361">
        <v>45701.0</v>
      </c>
      <c r="G239" s="354"/>
      <c r="H239" s="361">
        <v>45701.0</v>
      </c>
      <c r="I239" s="357">
        <f>IF(ISBLANK(H239), NETWORKDAYS(F239, TODAY(),Hoja2!$A$1:$A$18), NETWORKDAYS(F239, H239, Hoja2!$A$1:$A$18))</f>
        <v>1</v>
      </c>
      <c r="J239" s="375"/>
      <c r="K239" s="375"/>
      <c r="L239" s="780" t="s">
        <v>2161</v>
      </c>
      <c r="M239" s="573"/>
      <c r="N239" s="337"/>
      <c r="O239" s="337"/>
      <c r="P239" s="337"/>
      <c r="Q239" s="337"/>
      <c r="R239" s="337"/>
      <c r="S239" s="337"/>
      <c r="T239" s="337"/>
      <c r="U239" s="337"/>
      <c r="V239" s="337"/>
      <c r="W239" s="337"/>
      <c r="X239" s="337"/>
      <c r="Y239" s="337"/>
      <c r="Z239" s="337"/>
    </row>
    <row r="240" ht="15.75" customHeight="1">
      <c r="A240" s="575" t="s">
        <v>1689</v>
      </c>
      <c r="B240" s="584"/>
      <c r="C240" s="717" t="s">
        <v>2162</v>
      </c>
      <c r="D240" s="580" t="s">
        <v>73</v>
      </c>
      <c r="E240" s="649">
        <v>45588.0</v>
      </c>
      <c r="F240" s="581">
        <v>45631.0</v>
      </c>
      <c r="G240" s="581"/>
      <c r="H240" s="581">
        <v>45631.0</v>
      </c>
      <c r="I240" s="582">
        <f>IF(ISBLANK(H240), NETWORKDAYS(F240, TODAY(),Hoja2!$A$1:$A$18), NETWORKDAYS(F240, H240, Hoja2!$A$1:$A$18))</f>
        <v>1</v>
      </c>
      <c r="J240" s="581">
        <v>45631.0</v>
      </c>
      <c r="K240" s="581">
        <v>45631.0</v>
      </c>
      <c r="L240" s="609" t="s">
        <v>2163</v>
      </c>
      <c r="M240" s="608"/>
      <c r="N240" s="343"/>
      <c r="O240" s="343"/>
      <c r="P240" s="343"/>
      <c r="Q240" s="343"/>
      <c r="R240" s="343"/>
      <c r="S240" s="343"/>
      <c r="T240" s="343"/>
      <c r="U240" s="343"/>
      <c r="V240" s="343"/>
      <c r="W240" s="343"/>
      <c r="X240" s="343"/>
      <c r="Y240" s="343"/>
      <c r="Z240" s="343"/>
    </row>
    <row r="241" ht="15.75" customHeight="1">
      <c r="A241" s="575" t="s">
        <v>1689</v>
      </c>
      <c r="B241" s="584"/>
      <c r="C241" s="717" t="s">
        <v>2164</v>
      </c>
      <c r="D241" s="580" t="s">
        <v>73</v>
      </c>
      <c r="E241" s="649">
        <v>45643.0</v>
      </c>
      <c r="F241" s="581"/>
      <c r="G241" s="581"/>
      <c r="H241" s="581"/>
      <c r="I241" s="582">
        <f>IF(ISBLANK(H241), NETWORKDAYS(F241, TODAY(),Hoja2!$A$1:$A$18), NETWORKDAYS(F241, H241, Hoja2!$A$1:$A$18))</f>
        <v>32812</v>
      </c>
      <c r="J241" s="581"/>
      <c r="K241" s="581"/>
      <c r="L241" s="722" t="s">
        <v>2165</v>
      </c>
      <c r="M241" s="608"/>
      <c r="N241" s="343"/>
      <c r="O241" s="343"/>
      <c r="P241" s="343"/>
      <c r="Q241" s="343"/>
      <c r="R241" s="343"/>
      <c r="S241" s="343"/>
      <c r="T241" s="343"/>
      <c r="U241" s="343"/>
      <c r="V241" s="343"/>
      <c r="W241" s="343"/>
      <c r="X241" s="343"/>
      <c r="Y241" s="343"/>
      <c r="Z241" s="343"/>
    </row>
    <row r="242" ht="15.75" hidden="1" customHeight="1">
      <c r="D242" s="781"/>
    </row>
    <row r="243" ht="15.75" hidden="1" customHeight="1">
      <c r="A243" s="351" t="s">
        <v>1418</v>
      </c>
      <c r="B243" s="696" t="s">
        <v>2166</v>
      </c>
      <c r="C243" s="601"/>
      <c r="D243" s="602" t="s">
        <v>383</v>
      </c>
      <c r="E243" s="379">
        <v>45686.0</v>
      </c>
      <c r="F243" s="379">
        <v>45686.0</v>
      </c>
      <c r="G243" s="379"/>
      <c r="H243" s="379"/>
      <c r="I243" s="357">
        <f>IF(ISBLANK(H243), NETWORKDAYS(F243, TODAY(),Hoja2!$A$1:$A$18), NETWORKDAYS(F243, H243, Hoja2!$A$1:$A$18))</f>
        <v>196</v>
      </c>
      <c r="J243" s="379"/>
      <c r="K243" s="379"/>
      <c r="L243" s="603" t="s">
        <v>2167</v>
      </c>
    </row>
    <row r="244" ht="15.75" hidden="1" customHeight="1">
      <c r="A244" s="351" t="s">
        <v>1418</v>
      </c>
      <c r="B244" s="696" t="s">
        <v>2168</v>
      </c>
      <c r="C244" s="601"/>
      <c r="D244" s="602" t="s">
        <v>695</v>
      </c>
      <c r="E244" s="379">
        <v>45593.0</v>
      </c>
      <c r="F244" s="379">
        <v>45593.0</v>
      </c>
      <c r="G244" s="379">
        <v>45596.0</v>
      </c>
      <c r="H244" s="379">
        <v>45601.0</v>
      </c>
      <c r="I244" s="357">
        <f>IF(ISBLANK(H244), NETWORKDAYS(F244, TODAY(),Hoja2!$A$1:$A$18), NETWORKDAYS(F244, H244, Hoja2!$A$1:$A$18))</f>
        <v>6</v>
      </c>
      <c r="J244" s="379">
        <v>45660.0</v>
      </c>
      <c r="K244" s="379"/>
      <c r="L244" s="603" t="s">
        <v>2169</v>
      </c>
      <c r="M244" s="337"/>
      <c r="N244" s="337"/>
      <c r="O244" s="337"/>
      <c r="P244" s="337"/>
      <c r="Q244" s="337"/>
      <c r="R244" s="337"/>
      <c r="S244" s="337"/>
      <c r="T244" s="337"/>
      <c r="U244" s="337"/>
      <c r="V244" s="337"/>
      <c r="W244" s="337"/>
      <c r="X244" s="337"/>
      <c r="Y244" s="337"/>
      <c r="Z244" s="337"/>
    </row>
    <row r="245" ht="15.75" hidden="1" customHeight="1">
      <c r="A245" s="360" t="s">
        <v>1418</v>
      </c>
      <c r="B245" s="778" t="s">
        <v>2170</v>
      </c>
      <c r="C245" s="601" t="s">
        <v>2171</v>
      </c>
      <c r="D245" s="602" t="s">
        <v>2172</v>
      </c>
      <c r="E245" s="379">
        <v>45615.0</v>
      </c>
      <c r="F245" s="379">
        <v>45615.0</v>
      </c>
      <c r="G245" s="379"/>
      <c r="H245" s="379">
        <v>45632.0</v>
      </c>
      <c r="I245" s="357">
        <f>IF(ISBLANK(H245), NETWORKDAYS(F245, TODAY(),Hoja2!$A$1:$A$18), NETWORKDAYS(F245, H245, Hoja2!$A$1:$A$18))</f>
        <v>14</v>
      </c>
      <c r="J245" s="379"/>
      <c r="K245" s="379"/>
      <c r="L245" s="603" t="s">
        <v>2173</v>
      </c>
      <c r="M245" s="337"/>
      <c r="N245" s="337"/>
      <c r="O245" s="337"/>
      <c r="P245" s="337"/>
      <c r="Q245" s="337"/>
      <c r="R245" s="337"/>
      <c r="S245" s="337"/>
      <c r="T245" s="337"/>
      <c r="U245" s="337"/>
      <c r="V245" s="337"/>
      <c r="W245" s="337"/>
      <c r="X245" s="337"/>
      <c r="Y245" s="337"/>
      <c r="Z245" s="337"/>
    </row>
    <row r="246" ht="15.75" hidden="1" customHeight="1">
      <c r="A246" s="360" t="s">
        <v>1418</v>
      </c>
      <c r="B246" s="779"/>
      <c r="C246" s="378" t="s">
        <v>2174</v>
      </c>
      <c r="D246" s="602" t="s">
        <v>73</v>
      </c>
      <c r="E246" s="379">
        <v>45636.0</v>
      </c>
      <c r="F246" s="379">
        <v>45637.0</v>
      </c>
      <c r="G246" s="379">
        <v>45638.0</v>
      </c>
      <c r="H246" s="379">
        <v>45642.0</v>
      </c>
      <c r="I246" s="357">
        <f>IF(ISBLANK(H246), NETWORKDAYS(F246, TODAY(),Hoja2!$A$1:$A$18), NETWORKDAYS(F246, H246, Hoja2!$A$1:$A$18))</f>
        <v>4</v>
      </c>
      <c r="J246" s="379"/>
      <c r="K246" s="379"/>
      <c r="L246" s="603" t="s">
        <v>2175</v>
      </c>
      <c r="M246" s="337"/>
      <c r="N246" s="337"/>
      <c r="O246" s="337"/>
      <c r="P246" s="337"/>
      <c r="Q246" s="337"/>
      <c r="R246" s="337"/>
      <c r="S246" s="337"/>
      <c r="T246" s="337"/>
      <c r="U246" s="337"/>
      <c r="V246" s="337"/>
      <c r="W246" s="337"/>
      <c r="X246" s="337"/>
      <c r="Y246" s="337"/>
      <c r="Z246" s="337"/>
    </row>
    <row r="247" ht="30.0" hidden="1" customHeight="1">
      <c r="A247" s="360" t="s">
        <v>1418</v>
      </c>
      <c r="B247" s="353" t="s">
        <v>1904</v>
      </c>
      <c r="C247" s="650" t="s">
        <v>2176</v>
      </c>
      <c r="D247" s="354" t="s">
        <v>212</v>
      </c>
      <c r="E247" s="379"/>
      <c r="F247" s="379"/>
      <c r="G247" s="379"/>
      <c r="H247" s="602">
        <v>0.0</v>
      </c>
      <c r="I247" s="357">
        <f>IF(ISBLANK(H247), NETWORKDAYS(F247, TODAY(),Hoja2!$A$1:$A$18), NETWORKDAYS(F247, H247, Hoja2!$A$1:$A$18))</f>
        <v>0</v>
      </c>
      <c r="J247" s="379"/>
      <c r="K247" s="379"/>
      <c r="L247" s="603"/>
      <c r="M247" s="337"/>
      <c r="N247" s="337"/>
      <c r="O247" s="337"/>
      <c r="P247" s="337"/>
      <c r="Q247" s="337"/>
      <c r="R247" s="337"/>
      <c r="S247" s="337"/>
      <c r="T247" s="337"/>
      <c r="U247" s="337"/>
      <c r="V247" s="337"/>
      <c r="W247" s="337"/>
      <c r="X247" s="337"/>
      <c r="Y247" s="337"/>
      <c r="Z247" s="337"/>
    </row>
    <row r="248" ht="15.75" hidden="1" customHeight="1">
      <c r="A248" s="782" t="s">
        <v>2177</v>
      </c>
      <c r="B248" s="559" t="s">
        <v>2178</v>
      </c>
      <c r="C248" s="639" t="s">
        <v>2179</v>
      </c>
      <c r="D248" s="560" t="s">
        <v>212</v>
      </c>
      <c r="E248" s="561"/>
      <c r="F248" s="561"/>
      <c r="G248" s="561"/>
      <c r="H248" s="560">
        <v>0.0</v>
      </c>
      <c r="I248" s="624">
        <f>IF(ISBLANK(H248), NETWORKDAYS(F248, TODAY(),Hoja2!$A$1:$A$18), NETWORKDAYS(F248, H248, Hoja2!$A$1:$A$18))</f>
        <v>0</v>
      </c>
      <c r="J248" s="561"/>
      <c r="K248" s="561"/>
      <c r="L248" s="564" t="s">
        <v>2180</v>
      </c>
      <c r="M248" s="573"/>
      <c r="N248" s="337"/>
      <c r="O248" s="337"/>
      <c r="P248" s="337"/>
      <c r="Q248" s="337"/>
      <c r="R248" s="337"/>
      <c r="S248" s="337"/>
      <c r="T248" s="337"/>
      <c r="U248" s="337"/>
      <c r="V248" s="337"/>
      <c r="W248" s="337"/>
      <c r="X248" s="337"/>
      <c r="Y248" s="337"/>
      <c r="Z248" s="337"/>
    </row>
    <row r="249" ht="15.75" customHeight="1">
      <c r="A249" s="572" t="s">
        <v>1689</v>
      </c>
      <c r="B249" s="566" t="s">
        <v>2181</v>
      </c>
      <c r="C249" s="556"/>
      <c r="D249" s="348" t="s">
        <v>73</v>
      </c>
      <c r="E249" s="347">
        <v>45664.0</v>
      </c>
      <c r="F249" s="347"/>
      <c r="G249" s="347"/>
      <c r="H249" s="347">
        <v>45674.0</v>
      </c>
      <c r="I249" s="349">
        <f>IF(ISBLANK(H249), NETWORKDAYS(F249, TODAY(),Hoja2!$A$1:$A$18), NETWORKDAYS(F249, H249, Hoja2!$A$1:$A$18))</f>
        <v>32609</v>
      </c>
      <c r="J249" s="347"/>
      <c r="K249" s="347"/>
      <c r="L249" s="350"/>
      <c r="M249" s="573"/>
      <c r="N249" s="337"/>
      <c r="O249" s="337"/>
      <c r="P249" s="337"/>
      <c r="Q249" s="337"/>
      <c r="R249" s="337"/>
      <c r="S249" s="337"/>
      <c r="T249" s="337"/>
      <c r="U249" s="337"/>
      <c r="V249" s="337"/>
      <c r="W249" s="337"/>
      <c r="X249" s="337"/>
      <c r="Y249" s="337"/>
      <c r="Z249" s="337"/>
    </row>
    <row r="250" ht="15.75" customHeight="1">
      <c r="A250" s="360" t="s">
        <v>1426</v>
      </c>
      <c r="B250" s="384" t="s">
        <v>2182</v>
      </c>
      <c r="C250" s="354" t="s">
        <v>2183</v>
      </c>
      <c r="D250" s="360" t="s">
        <v>73</v>
      </c>
      <c r="E250" s="379">
        <v>45664.0</v>
      </c>
      <c r="F250" s="379">
        <v>45667.0</v>
      </c>
      <c r="G250" s="379">
        <v>45670.0</v>
      </c>
      <c r="H250" s="379">
        <v>45670.0</v>
      </c>
      <c r="I250" s="357">
        <f>IF(ISBLANK(H250), NETWORKDAYS(F250, TODAY(),Hoja2!$A$1:$A$18), NETWORKDAYS(F250, H250, Hoja2!$A$1:$A$18))</f>
        <v>2</v>
      </c>
      <c r="J250" s="602"/>
      <c r="K250" s="602"/>
      <c r="L250" s="378" t="s">
        <v>2184</v>
      </c>
      <c r="M250" s="337"/>
      <c r="N250" s="337"/>
      <c r="O250" s="337"/>
      <c r="P250" s="337"/>
      <c r="Q250" s="337"/>
      <c r="R250" s="337"/>
      <c r="S250" s="337"/>
      <c r="T250" s="337"/>
      <c r="U250" s="337"/>
      <c r="V250" s="337"/>
      <c r="W250" s="337"/>
      <c r="X250" s="337"/>
      <c r="Y250" s="337"/>
      <c r="Z250" s="337"/>
    </row>
    <row r="251" ht="15.75" customHeight="1">
      <c r="A251" s="599" t="s">
        <v>1426</v>
      </c>
      <c r="B251" s="360" t="s">
        <v>2185</v>
      </c>
      <c r="C251" s="375"/>
      <c r="D251" s="703" t="s">
        <v>1810</v>
      </c>
      <c r="E251" s="361">
        <v>45665.0</v>
      </c>
      <c r="F251" s="361">
        <v>45670.0</v>
      </c>
      <c r="G251" s="379">
        <v>45325.0</v>
      </c>
      <c r="H251" s="361">
        <v>45672.0</v>
      </c>
      <c r="I251" s="357">
        <f>IF(ISBLANK(H251), NETWORKDAYS(F251, TODAY(),Hoja2!$A$1:$A$18), NETWORKDAYS(F251, H251, Hoja2!$A$1:$A$18))</f>
        <v>3</v>
      </c>
      <c r="J251" s="361">
        <v>45672.0</v>
      </c>
      <c r="K251" s="361">
        <v>45673.0</v>
      </c>
      <c r="L251" s="603" t="s">
        <v>2186</v>
      </c>
      <c r="M251" s="573"/>
      <c r="N251" s="337"/>
      <c r="O251" s="337"/>
      <c r="P251" s="337"/>
      <c r="Q251" s="337"/>
      <c r="R251" s="337"/>
      <c r="S251" s="337"/>
      <c r="T251" s="337"/>
      <c r="U251" s="337"/>
      <c r="V251" s="337"/>
      <c r="W251" s="337"/>
      <c r="X251" s="337"/>
      <c r="Y251" s="337"/>
      <c r="Z251" s="337"/>
    </row>
    <row r="252" ht="15.75" customHeight="1">
      <c r="A252" s="360" t="s">
        <v>1689</v>
      </c>
      <c r="B252" s="731" t="s">
        <v>2029</v>
      </c>
      <c r="C252" s="378" t="s">
        <v>2187</v>
      </c>
      <c r="D252" s="602" t="s">
        <v>73</v>
      </c>
      <c r="E252" s="379">
        <v>45693.0</v>
      </c>
      <c r="F252" s="379">
        <v>45693.0</v>
      </c>
      <c r="G252" s="379"/>
      <c r="H252" s="602"/>
      <c r="I252" s="357">
        <f>IF(ISBLANK(H252), NETWORKDAYS(F252, TODAY(),Hoja2!$A$1:$A$18), NETWORKDAYS(F252, H252, Hoja2!$A$1:$A$18))</f>
        <v>191</v>
      </c>
      <c r="J252" s="379"/>
      <c r="K252" s="379"/>
      <c r="L252" s="603" t="s">
        <v>2188</v>
      </c>
      <c r="M252" s="573"/>
      <c r="N252" s="337"/>
      <c r="O252" s="337"/>
      <c r="P252" s="337"/>
      <c r="Q252" s="337"/>
      <c r="R252" s="337"/>
      <c r="S252" s="337"/>
      <c r="T252" s="337"/>
      <c r="U252" s="337"/>
      <c r="V252" s="337"/>
      <c r="W252" s="337"/>
      <c r="X252" s="337"/>
      <c r="Y252" s="337"/>
      <c r="Z252" s="337"/>
    </row>
    <row r="253" ht="15.75" customHeight="1">
      <c r="A253" s="360" t="s">
        <v>1426</v>
      </c>
      <c r="B253" s="376" t="s">
        <v>2189</v>
      </c>
      <c r="C253" s="354" t="s">
        <v>2190</v>
      </c>
      <c r="D253" s="354" t="s">
        <v>73</v>
      </c>
      <c r="E253" s="379">
        <v>45636.0</v>
      </c>
      <c r="F253" s="379">
        <v>45637.0</v>
      </c>
      <c r="G253" s="602"/>
      <c r="H253" s="602"/>
      <c r="I253" s="357">
        <f>IF(ISBLANK(H253), NETWORKDAYS(F253, TODAY(),Hoja2!$A$1:$A$18), NETWORKDAYS(F253, H253, Hoja2!$A$1:$A$18))</f>
        <v>230</v>
      </c>
      <c r="J253" s="602"/>
      <c r="K253" s="602"/>
      <c r="L253" s="378" t="s">
        <v>2191</v>
      </c>
      <c r="M253" s="337"/>
      <c r="N253" s="337"/>
      <c r="O253" s="337"/>
      <c r="P253" s="337"/>
      <c r="Q253" s="337"/>
      <c r="R253" s="337"/>
      <c r="S253" s="337"/>
      <c r="T253" s="337"/>
      <c r="U253" s="337"/>
      <c r="V253" s="337"/>
      <c r="W253" s="337"/>
      <c r="X253" s="337"/>
      <c r="Y253" s="337"/>
      <c r="Z253" s="337"/>
    </row>
    <row r="254" ht="15.75" customHeight="1">
      <c r="A254" s="360" t="s">
        <v>1426</v>
      </c>
      <c r="B254" s="384"/>
      <c r="C254" s="354" t="s">
        <v>2192</v>
      </c>
      <c r="D254" s="360" t="s">
        <v>383</v>
      </c>
      <c r="E254" s="379">
        <v>45660.0</v>
      </c>
      <c r="F254" s="379">
        <v>45666.0</v>
      </c>
      <c r="G254" s="379">
        <v>45667.0</v>
      </c>
      <c r="H254" s="379">
        <v>45702.0</v>
      </c>
      <c r="I254" s="357">
        <f>IF(ISBLANK(H254), NETWORKDAYS(F254, TODAY(),Hoja2!$A$1:$A$18), NETWORKDAYS(F254, H254, Hoja2!$A$1:$A$18))</f>
        <v>27</v>
      </c>
      <c r="J254" s="602"/>
      <c r="K254" s="602"/>
      <c r="L254" s="378" t="s">
        <v>2193</v>
      </c>
      <c r="M254" s="337"/>
      <c r="N254" s="337"/>
      <c r="O254" s="337"/>
      <c r="P254" s="337"/>
      <c r="Q254" s="337"/>
      <c r="R254" s="337"/>
      <c r="S254" s="337"/>
      <c r="T254" s="337"/>
      <c r="U254" s="337"/>
      <c r="V254" s="337"/>
      <c r="W254" s="337"/>
      <c r="X254" s="337"/>
      <c r="Y254" s="337"/>
      <c r="Z254" s="337"/>
    </row>
    <row r="255" ht="15.75" customHeight="1">
      <c r="A255" s="755" t="s">
        <v>1411</v>
      </c>
      <c r="B255" s="783" t="s">
        <v>2194</v>
      </c>
      <c r="C255" s="612"/>
      <c r="D255" s="594" t="s">
        <v>1765</v>
      </c>
      <c r="E255" s="618">
        <v>45678.0</v>
      </c>
      <c r="F255" s="618">
        <v>45680.0</v>
      </c>
      <c r="G255" s="618"/>
      <c r="H255" s="618">
        <v>45680.0</v>
      </c>
      <c r="I255" s="563">
        <f>IF(ISBLANK(H255), NETWORKDAYS(F255, TODAY(),Hoja2!$A$1:$A$18), NETWORKDAYS(F255, H255, Hoja2!$A$1:$A$18))</f>
        <v>1</v>
      </c>
      <c r="J255" s="618">
        <v>45686.0</v>
      </c>
      <c r="K255" s="618">
        <v>45706.0</v>
      </c>
      <c r="L255" s="619" t="s">
        <v>2195</v>
      </c>
      <c r="M255" s="337"/>
      <c r="N255" s="337"/>
      <c r="O255" s="337"/>
      <c r="P255" s="337"/>
      <c r="Q255" s="337"/>
      <c r="R255" s="337"/>
      <c r="S255" s="337"/>
      <c r="T255" s="337"/>
      <c r="U255" s="337"/>
      <c r="V255" s="337"/>
      <c r="W255" s="337"/>
      <c r="X255" s="337"/>
      <c r="Y255" s="337"/>
      <c r="Z255" s="337"/>
    </row>
    <row r="256" ht="15.75" customHeight="1">
      <c r="A256" s="360" t="s">
        <v>1689</v>
      </c>
      <c r="B256" s="353" t="s">
        <v>2196</v>
      </c>
      <c r="C256" s="378"/>
      <c r="D256" s="602" t="s">
        <v>73</v>
      </c>
      <c r="E256" s="379">
        <v>45707.0</v>
      </c>
      <c r="F256" s="379">
        <v>45707.0</v>
      </c>
      <c r="G256" s="379"/>
      <c r="H256" s="379">
        <v>45708.0</v>
      </c>
      <c r="I256" s="357">
        <f>IF(ISBLANK(H256), NETWORKDAYS(F256, TODAY(),Hoja2!$A$1:$A$18), NETWORKDAYS(F256, H256, Hoja2!$A$1:$A$18))</f>
        <v>2</v>
      </c>
      <c r="J256" s="379"/>
      <c r="K256" s="379">
        <v>45708.0</v>
      </c>
      <c r="L256" s="603" t="s">
        <v>2197</v>
      </c>
      <c r="M256" s="573"/>
      <c r="N256" s="337"/>
      <c r="O256" s="337"/>
      <c r="P256" s="337"/>
      <c r="Q256" s="337"/>
      <c r="R256" s="337"/>
      <c r="S256" s="337"/>
      <c r="T256" s="337"/>
      <c r="U256" s="337"/>
      <c r="V256" s="337"/>
      <c r="W256" s="337"/>
      <c r="X256" s="337"/>
      <c r="Y256" s="337"/>
      <c r="Z256" s="337"/>
    </row>
    <row r="257" ht="15.75" customHeight="1">
      <c r="A257" s="360" t="s">
        <v>1689</v>
      </c>
      <c r="B257" s="353" t="s">
        <v>2198</v>
      </c>
      <c r="C257" s="378"/>
      <c r="D257" s="602" t="s">
        <v>73</v>
      </c>
      <c r="E257" s="379">
        <v>45707.0</v>
      </c>
      <c r="F257" s="379">
        <v>45707.0</v>
      </c>
      <c r="G257" s="379"/>
      <c r="H257" s="379">
        <v>45708.0</v>
      </c>
      <c r="I257" s="357">
        <f>IF(ISBLANK(H257), NETWORKDAYS(F257, TODAY(),Hoja2!$A$1:$A$18), NETWORKDAYS(F257, H257, Hoja2!$A$1:$A$18))</f>
        <v>2</v>
      </c>
      <c r="J257" s="379"/>
      <c r="K257" s="379">
        <v>45708.0</v>
      </c>
      <c r="L257" s="698" t="s">
        <v>2199</v>
      </c>
      <c r="M257" s="573"/>
      <c r="N257" s="337"/>
      <c r="O257" s="337"/>
      <c r="P257" s="337"/>
      <c r="Q257" s="337"/>
      <c r="R257" s="337"/>
      <c r="S257" s="337"/>
      <c r="T257" s="337"/>
      <c r="U257" s="337"/>
      <c r="V257" s="337"/>
      <c r="W257" s="337"/>
      <c r="X257" s="337"/>
      <c r="Y257" s="337"/>
      <c r="Z257" s="337"/>
    </row>
    <row r="258" ht="15.75" customHeight="1">
      <c r="A258" s="360" t="s">
        <v>1689</v>
      </c>
      <c r="B258" s="353" t="s">
        <v>2200</v>
      </c>
      <c r="C258" s="378"/>
      <c r="D258" s="602" t="s">
        <v>73</v>
      </c>
      <c r="E258" s="379">
        <v>45707.0</v>
      </c>
      <c r="F258" s="379">
        <v>45707.0</v>
      </c>
      <c r="G258" s="379"/>
      <c r="H258" s="379">
        <v>45708.0</v>
      </c>
      <c r="I258" s="357">
        <f>IF(ISBLANK(H258), NETWORKDAYS(F258, TODAY(),Hoja2!$A$1:$A$18), NETWORKDAYS(F258, H258, Hoja2!$A$1:$A$18))</f>
        <v>2</v>
      </c>
      <c r="J258" s="379"/>
      <c r="K258" s="379"/>
      <c r="L258" s="698" t="s">
        <v>2201</v>
      </c>
      <c r="M258" s="573"/>
      <c r="N258" s="337"/>
      <c r="O258" s="337"/>
      <c r="P258" s="337"/>
      <c r="Q258" s="337"/>
      <c r="R258" s="337"/>
      <c r="S258" s="337"/>
      <c r="T258" s="337"/>
      <c r="U258" s="337"/>
      <c r="V258" s="337"/>
      <c r="W258" s="337"/>
      <c r="X258" s="337"/>
      <c r="Y258" s="337"/>
      <c r="Z258" s="337"/>
    </row>
    <row r="259" ht="15.75" customHeight="1">
      <c r="A259" s="375" t="s">
        <v>1411</v>
      </c>
      <c r="B259" s="604" t="s">
        <v>2202</v>
      </c>
      <c r="C259" s="601"/>
      <c r="D259" s="602" t="s">
        <v>73</v>
      </c>
      <c r="E259" s="379">
        <v>45706.0</v>
      </c>
      <c r="F259" s="379">
        <v>45706.0</v>
      </c>
      <c r="G259" s="379"/>
      <c r="H259" s="379">
        <v>45707.0</v>
      </c>
      <c r="I259" s="357">
        <f>IF(ISBLANK(H259), NETWORKDAYS(F259, TODAY(),Hoja2!$A$1:$A$18), NETWORKDAYS(F259, H259, Hoja2!$A$1:$A$18))</f>
        <v>2</v>
      </c>
      <c r="J259" s="379"/>
      <c r="K259" s="379">
        <v>45707.0</v>
      </c>
      <c r="L259" s="603" t="s">
        <v>2203</v>
      </c>
      <c r="M259" s="337"/>
      <c r="N259" s="337"/>
      <c r="O259" s="337"/>
      <c r="P259" s="337"/>
      <c r="Q259" s="337"/>
      <c r="R259" s="337"/>
      <c r="S259" s="337"/>
      <c r="T259" s="337"/>
      <c r="U259" s="337"/>
      <c r="V259" s="337"/>
      <c r="W259" s="337"/>
      <c r="X259" s="337"/>
      <c r="Y259" s="337"/>
      <c r="Z259" s="337"/>
    </row>
    <row r="260" ht="15.75" customHeight="1">
      <c r="A260" s="375" t="s">
        <v>1436</v>
      </c>
      <c r="B260" s="731" t="s">
        <v>2064</v>
      </c>
      <c r="C260" s="378" t="s">
        <v>2204</v>
      </c>
      <c r="D260" s="354" t="s">
        <v>73</v>
      </c>
      <c r="E260" s="379">
        <v>45597.0</v>
      </c>
      <c r="F260" s="379"/>
      <c r="G260" s="379"/>
      <c r="H260" s="602">
        <v>0.0</v>
      </c>
      <c r="I260" s="357">
        <f>IF(ISBLANK(H260), NETWORKDAYS(F260, TODAY(),Hoja2!$A$1:$A$18), NETWORKDAYS(F260, H260, Hoja2!$A$1:$A$18))</f>
        <v>0</v>
      </c>
      <c r="J260" s="379"/>
      <c r="K260" s="379"/>
      <c r="L260" s="603"/>
      <c r="M260" s="573"/>
      <c r="N260" s="337"/>
      <c r="O260" s="337"/>
      <c r="P260" s="337"/>
      <c r="Q260" s="337"/>
      <c r="R260" s="337"/>
      <c r="S260" s="337"/>
      <c r="T260" s="337"/>
      <c r="U260" s="337"/>
      <c r="V260" s="337"/>
      <c r="W260" s="337"/>
      <c r="X260" s="337"/>
      <c r="Y260" s="337"/>
      <c r="Z260" s="337"/>
    </row>
    <row r="261" ht="15.75" customHeight="1">
      <c r="A261" s="375" t="s">
        <v>1436</v>
      </c>
      <c r="B261" s="604" t="s">
        <v>2148</v>
      </c>
      <c r="C261" s="775" t="s">
        <v>2205</v>
      </c>
      <c r="D261" s="354" t="s">
        <v>1765</v>
      </c>
      <c r="E261" s="379">
        <v>45698.0</v>
      </c>
      <c r="F261" s="379">
        <v>45698.0</v>
      </c>
      <c r="G261" s="355"/>
      <c r="H261" s="602"/>
      <c r="I261" s="357">
        <f>IF(ISBLANK(H261), NETWORKDAYS(F261, TODAY(),Hoja2!$A$1:$A$18), NETWORKDAYS(F261, H261, Hoja2!$A$1:$A$18))</f>
        <v>188</v>
      </c>
      <c r="J261" s="377"/>
      <c r="K261" s="747">
        <v>45698.0</v>
      </c>
      <c r="L261" s="774" t="s">
        <v>2206</v>
      </c>
      <c r="M261" s="382"/>
      <c r="N261" s="382"/>
      <c r="O261" s="382"/>
      <c r="P261" s="382"/>
      <c r="Q261" s="382"/>
      <c r="R261" s="382"/>
      <c r="S261" s="382"/>
      <c r="T261" s="382"/>
      <c r="U261" s="382"/>
      <c r="V261" s="382"/>
      <c r="W261" s="382"/>
      <c r="X261" s="382"/>
      <c r="Y261" s="382"/>
      <c r="Z261" s="382"/>
    </row>
    <row r="262" ht="15.75" customHeight="1">
      <c r="A262" s="375" t="s">
        <v>1436</v>
      </c>
      <c r="B262" s="604" t="s">
        <v>2148</v>
      </c>
      <c r="C262" s="568" t="s">
        <v>2207</v>
      </c>
      <c r="D262" s="354" t="s">
        <v>73</v>
      </c>
      <c r="E262" s="379">
        <v>45707.0</v>
      </c>
      <c r="F262" s="379">
        <v>45708.0</v>
      </c>
      <c r="G262" s="355"/>
      <c r="H262" s="379">
        <v>45709.0</v>
      </c>
      <c r="I262" s="357">
        <f>IF(ISBLANK(H262), NETWORKDAYS(F262, TODAY(),Hoja2!$A$1:$A$18), NETWORKDAYS(F262, H262, Hoja2!$A$1:$A$18))</f>
        <v>2</v>
      </c>
      <c r="J262" s="377"/>
      <c r="K262" s="747"/>
      <c r="L262" s="774" t="s">
        <v>2208</v>
      </c>
      <c r="M262" s="382"/>
      <c r="N262" s="382"/>
      <c r="O262" s="382"/>
      <c r="P262" s="382"/>
      <c r="Q262" s="382"/>
      <c r="R262" s="382"/>
      <c r="S262" s="382"/>
      <c r="T262" s="382"/>
      <c r="U262" s="382"/>
      <c r="V262" s="382"/>
      <c r="W262" s="382"/>
      <c r="X262" s="382"/>
      <c r="Y262" s="382"/>
      <c r="Z262" s="382"/>
    </row>
    <row r="263" ht="15.75" customHeight="1">
      <c r="A263" s="375" t="s">
        <v>1436</v>
      </c>
      <c r="B263" s="604" t="s">
        <v>2148</v>
      </c>
      <c r="C263" s="784" t="s">
        <v>2209</v>
      </c>
      <c r="D263" s="354" t="s">
        <v>383</v>
      </c>
      <c r="E263" s="379">
        <v>45698.0</v>
      </c>
      <c r="F263" s="379">
        <v>45698.0</v>
      </c>
      <c r="G263" s="355"/>
      <c r="H263" s="602"/>
      <c r="I263" s="357">
        <f>IF(ISBLANK(H263), NETWORKDAYS(F263, TODAY(),Hoja2!$A$1:$A$18), NETWORKDAYS(F263, H263, Hoja2!$A$1:$A$18))</f>
        <v>188</v>
      </c>
      <c r="J263" s="377"/>
      <c r="K263" s="747"/>
      <c r="L263" s="736" t="s">
        <v>2210</v>
      </c>
      <c r="M263" s="382"/>
      <c r="N263" s="382"/>
      <c r="O263" s="382"/>
      <c r="P263" s="382"/>
      <c r="Q263" s="382"/>
      <c r="R263" s="382"/>
      <c r="S263" s="382"/>
      <c r="T263" s="382"/>
      <c r="U263" s="382"/>
      <c r="V263" s="382"/>
      <c r="W263" s="382"/>
      <c r="X263" s="382"/>
      <c r="Y263" s="382"/>
      <c r="Z263" s="382"/>
    </row>
    <row r="264" ht="15.75" customHeight="1">
      <c r="A264" s="375" t="s">
        <v>1436</v>
      </c>
      <c r="B264" s="604" t="s">
        <v>2148</v>
      </c>
      <c r="C264" s="735" t="s">
        <v>2211</v>
      </c>
      <c r="D264" s="354" t="s">
        <v>73</v>
      </c>
      <c r="E264" s="379">
        <v>45700.0</v>
      </c>
      <c r="F264" s="379">
        <v>45701.0</v>
      </c>
      <c r="G264" s="355"/>
      <c r="H264" s="602"/>
      <c r="I264" s="357">
        <f>IF(ISBLANK(H264), NETWORKDAYS(F264, TODAY(),Hoja2!$A$1:$A$18), NETWORKDAYS(F264, H264, Hoja2!$A$1:$A$18))</f>
        <v>185</v>
      </c>
      <c r="J264" s="377"/>
      <c r="K264" s="747"/>
      <c r="L264" s="736"/>
      <c r="M264" s="382"/>
      <c r="N264" s="382"/>
      <c r="O264" s="382"/>
      <c r="P264" s="382"/>
      <c r="Q264" s="382"/>
      <c r="R264" s="382"/>
      <c r="S264" s="382"/>
      <c r="T264" s="382"/>
      <c r="U264" s="382"/>
      <c r="V264" s="382"/>
      <c r="W264" s="382"/>
      <c r="X264" s="382"/>
      <c r="Y264" s="382"/>
      <c r="Z264" s="382"/>
    </row>
    <row r="265" ht="15.75" customHeight="1">
      <c r="A265" s="375" t="s">
        <v>1436</v>
      </c>
      <c r="B265" s="604" t="s">
        <v>2148</v>
      </c>
      <c r="C265" s="735" t="s">
        <v>2212</v>
      </c>
      <c r="D265" s="354" t="s">
        <v>73</v>
      </c>
      <c r="E265" s="379">
        <v>45701.0</v>
      </c>
      <c r="F265" s="379">
        <v>45701.0</v>
      </c>
      <c r="G265" s="355"/>
      <c r="H265" s="379">
        <v>45707.0</v>
      </c>
      <c r="I265" s="357">
        <f>IF(ISBLANK(H265), NETWORKDAYS(F265, TODAY(),Hoja2!$A$1:$A$18), NETWORKDAYS(F265, H265, Hoja2!$A$1:$A$18))</f>
        <v>5</v>
      </c>
      <c r="J265" s="377"/>
      <c r="K265" s="747"/>
      <c r="L265" s="736" t="s">
        <v>2213</v>
      </c>
      <c r="M265" s="382"/>
      <c r="N265" s="382"/>
      <c r="O265" s="382"/>
      <c r="P265" s="382"/>
      <c r="Q265" s="382"/>
      <c r="R265" s="382"/>
      <c r="S265" s="382"/>
      <c r="T265" s="382"/>
      <c r="U265" s="382"/>
      <c r="V265" s="382"/>
      <c r="W265" s="382"/>
      <c r="X265" s="382"/>
      <c r="Y265" s="382"/>
      <c r="Z265" s="382"/>
    </row>
    <row r="266" ht="15.75" customHeight="1">
      <c r="A266" s="375" t="s">
        <v>1436</v>
      </c>
      <c r="B266" s="604" t="s">
        <v>2148</v>
      </c>
      <c r="C266" s="735" t="s">
        <v>2214</v>
      </c>
      <c r="D266" s="354" t="s">
        <v>73</v>
      </c>
      <c r="E266" s="379">
        <v>45700.0</v>
      </c>
      <c r="F266" s="379"/>
      <c r="G266" s="355"/>
      <c r="H266" s="602"/>
      <c r="I266" s="357">
        <f>IF(ISBLANK(H266), NETWORKDAYS(F266, TODAY(),Hoja2!$A$1:$A$18), NETWORKDAYS(F266, H266, Hoja2!$A$1:$A$18))</f>
        <v>32812</v>
      </c>
      <c r="J266" s="377"/>
      <c r="K266" s="747"/>
      <c r="L266" s="736"/>
      <c r="M266" s="382"/>
      <c r="N266" s="382"/>
      <c r="O266" s="382"/>
      <c r="P266" s="382"/>
      <c r="Q266" s="382"/>
      <c r="R266" s="382"/>
      <c r="S266" s="382"/>
      <c r="T266" s="382"/>
      <c r="U266" s="382"/>
      <c r="V266" s="382"/>
      <c r="W266" s="382"/>
      <c r="X266" s="382"/>
      <c r="Y266" s="382"/>
      <c r="Z266" s="382"/>
    </row>
    <row r="267" ht="15.75" customHeight="1">
      <c r="A267" s="375" t="s">
        <v>1436</v>
      </c>
      <c r="B267" s="604" t="s">
        <v>2148</v>
      </c>
      <c r="C267" s="735" t="s">
        <v>2215</v>
      </c>
      <c r="D267" s="354" t="s">
        <v>73</v>
      </c>
      <c r="E267" s="379">
        <v>45699.0</v>
      </c>
      <c r="F267" s="379">
        <v>45700.0</v>
      </c>
      <c r="G267" s="355"/>
      <c r="H267" s="379">
        <v>45701.0</v>
      </c>
      <c r="I267" s="357">
        <f>IF(ISBLANK(H267), NETWORKDAYS(F267, TODAY(),Hoja2!$A$1:$A$18), NETWORKDAYS(F267, H267, Hoja2!$A$1:$A$18))</f>
        <v>2</v>
      </c>
      <c r="J267" s="377"/>
      <c r="K267" s="747">
        <v>45701.0</v>
      </c>
      <c r="L267" s="736" t="s">
        <v>2216</v>
      </c>
      <c r="M267" s="382"/>
      <c r="N267" s="382"/>
      <c r="O267" s="382"/>
      <c r="P267" s="382"/>
      <c r="Q267" s="382"/>
      <c r="R267" s="382"/>
      <c r="S267" s="382"/>
      <c r="T267" s="382"/>
      <c r="U267" s="382"/>
      <c r="V267" s="382"/>
      <c r="W267" s="382"/>
      <c r="X267" s="382"/>
      <c r="Y267" s="382"/>
      <c r="Z267" s="382"/>
    </row>
    <row r="268" ht="15.75" customHeight="1">
      <c r="A268" s="375" t="s">
        <v>1436</v>
      </c>
      <c r="B268" s="604" t="s">
        <v>2148</v>
      </c>
      <c r="C268" s="735" t="s">
        <v>2217</v>
      </c>
      <c r="D268" s="354" t="s">
        <v>73</v>
      </c>
      <c r="E268" s="379">
        <v>45702.0</v>
      </c>
      <c r="F268" s="379">
        <v>45702.0</v>
      </c>
      <c r="G268" s="355"/>
      <c r="H268" s="379">
        <v>45702.0</v>
      </c>
      <c r="I268" s="357">
        <f>IF(ISBLANK(H268), NETWORKDAYS(F268, TODAY(),Hoja2!$A$1:$A$18), NETWORKDAYS(F268, H268, Hoja2!$A$1:$A$18))</f>
        <v>1</v>
      </c>
      <c r="J268" s="377"/>
      <c r="K268" s="379">
        <v>45702.0</v>
      </c>
      <c r="L268" s="736"/>
      <c r="M268" s="382"/>
      <c r="N268" s="382"/>
      <c r="O268" s="382"/>
      <c r="P268" s="382"/>
      <c r="Q268" s="382"/>
      <c r="R268" s="382"/>
      <c r="S268" s="382"/>
      <c r="T268" s="382"/>
      <c r="U268" s="382"/>
      <c r="V268" s="382"/>
      <c r="W268" s="382"/>
      <c r="X268" s="382"/>
      <c r="Y268" s="382"/>
      <c r="Z268" s="382"/>
    </row>
    <row r="269" ht="15.75" customHeight="1">
      <c r="A269" s="360" t="s">
        <v>1426</v>
      </c>
      <c r="B269" s="604" t="s">
        <v>2218</v>
      </c>
      <c r="C269" s="592"/>
      <c r="D269" s="375" t="s">
        <v>73</v>
      </c>
      <c r="E269" s="785">
        <v>45712.0</v>
      </c>
      <c r="F269" s="785">
        <v>45712.0</v>
      </c>
      <c r="G269" s="361"/>
      <c r="H269" s="785">
        <v>45712.0</v>
      </c>
      <c r="I269" s="357">
        <f>IF(ISBLANK(H269), NETWORKDAYS(F269, TODAY(),Hoja2!$A$1:$A$18), NETWORKDAYS(F269, H269, Hoja2!$A$1:$A$18))</f>
        <v>1</v>
      </c>
      <c r="J269" s="357"/>
      <c r="K269" s="375"/>
      <c r="L269" s="780" t="s">
        <v>2219</v>
      </c>
      <c r="M269" s="573"/>
      <c r="N269" s="337"/>
      <c r="O269" s="337"/>
      <c r="P269" s="337"/>
      <c r="Q269" s="337"/>
      <c r="R269" s="337"/>
      <c r="S269" s="337"/>
      <c r="T269" s="337"/>
      <c r="U269" s="337"/>
      <c r="V269" s="337"/>
      <c r="W269" s="337"/>
      <c r="X269" s="337"/>
      <c r="Y269" s="337"/>
      <c r="Z269" s="337"/>
    </row>
    <row r="270" ht="15.75" customHeight="1">
      <c r="A270" s="375" t="s">
        <v>1436</v>
      </c>
      <c r="B270" s="604" t="s">
        <v>2220</v>
      </c>
      <c r="C270" s="786"/>
      <c r="D270" s="602" t="s">
        <v>73</v>
      </c>
      <c r="E270" s="379">
        <v>45698.0</v>
      </c>
      <c r="F270" s="379">
        <v>45699.0</v>
      </c>
      <c r="G270" s="355"/>
      <c r="H270" s="379">
        <v>45713.0</v>
      </c>
      <c r="I270" s="357">
        <f>IF(ISBLANK(H270), NETWORKDAYS(F270, TODAY(),Hoja2!$A$1:$A$18), NETWORKDAYS(F270, H270, Hoja2!$A$1:$A$18))</f>
        <v>11</v>
      </c>
      <c r="J270" s="377"/>
      <c r="K270" s="377"/>
      <c r="L270" s="698" t="s">
        <v>2221</v>
      </c>
      <c r="M270" s="382"/>
      <c r="N270" s="382"/>
      <c r="O270" s="382"/>
      <c r="P270" s="382"/>
      <c r="Q270" s="382"/>
      <c r="R270" s="382"/>
      <c r="S270" s="382"/>
      <c r="T270" s="382"/>
      <c r="U270" s="382"/>
      <c r="V270" s="382"/>
      <c r="W270" s="382"/>
      <c r="X270" s="382"/>
      <c r="Y270" s="382"/>
      <c r="Z270" s="382"/>
    </row>
    <row r="271" ht="15.75" customHeight="1">
      <c r="A271" s="375" t="s">
        <v>1436</v>
      </c>
      <c r="B271" s="604" t="s">
        <v>2148</v>
      </c>
      <c r="C271" s="651" t="s">
        <v>2222</v>
      </c>
      <c r="D271" s="354" t="s">
        <v>2223</v>
      </c>
      <c r="E271" s="379">
        <v>45705.0</v>
      </c>
      <c r="F271" s="379">
        <v>45705.0</v>
      </c>
      <c r="G271" s="355">
        <v>45706.0</v>
      </c>
      <c r="H271" s="602"/>
      <c r="I271" s="357">
        <f>IF(ISBLANK(H271), NETWORKDAYS(F271, TODAY(),Hoja2!$A$1:$A$18), NETWORKDAYS(F271, H271, Hoja2!$A$1:$A$18))</f>
        <v>183</v>
      </c>
      <c r="J271" s="377"/>
      <c r="K271" s="747"/>
      <c r="L271" s="736" t="s">
        <v>2224</v>
      </c>
      <c r="M271" s="382"/>
      <c r="N271" s="382"/>
      <c r="O271" s="382"/>
      <c r="P271" s="382"/>
      <c r="Q271" s="382"/>
      <c r="R271" s="382"/>
      <c r="S271" s="382"/>
      <c r="T271" s="382"/>
      <c r="U271" s="382"/>
      <c r="V271" s="382"/>
      <c r="W271" s="382"/>
      <c r="X271" s="382"/>
      <c r="Y271" s="382"/>
      <c r="Z271" s="382"/>
    </row>
    <row r="272" ht="15.75" customHeight="1">
      <c r="A272" s="651" t="s">
        <v>1537</v>
      </c>
      <c r="B272" s="787" t="s">
        <v>2225</v>
      </c>
      <c r="C272" s="788"/>
      <c r="D272" s="570" t="s">
        <v>73</v>
      </c>
      <c r="E272" s="366">
        <v>45712.0</v>
      </c>
      <c r="F272" s="366">
        <v>45713.0</v>
      </c>
      <c r="G272" s="359"/>
      <c r="H272" s="366">
        <v>45713.0</v>
      </c>
      <c r="I272" s="349">
        <f>IF(ISBLANK(H272), NETWORKDAYS(F272, TODAY(),Hoja2!$A$1:$A$18), NETWORKDAYS(F272, H272, Hoja2!$A$1:$A$18))</f>
        <v>1</v>
      </c>
      <c r="J272" s="359"/>
      <c r="K272" s="359"/>
      <c r="L272" s="787" t="s">
        <v>2226</v>
      </c>
      <c r="M272" s="368"/>
      <c r="N272" s="368"/>
      <c r="O272" s="368"/>
      <c r="P272" s="368"/>
      <c r="Q272" s="368"/>
      <c r="R272" s="368"/>
      <c r="S272" s="368"/>
      <c r="T272" s="368"/>
      <c r="U272" s="368"/>
      <c r="V272" s="368"/>
      <c r="W272" s="368"/>
      <c r="X272" s="368"/>
      <c r="Y272" s="368"/>
      <c r="Z272" s="368"/>
      <c r="AA272" s="368"/>
      <c r="AB272" s="368"/>
      <c r="AC272" s="368"/>
      <c r="AD272" s="368"/>
      <c r="AE272" s="368"/>
      <c r="AF272" s="368"/>
      <c r="AG272" s="368"/>
    </row>
    <row r="273" ht="15.75" customHeight="1">
      <c r="A273" s="375" t="s">
        <v>1436</v>
      </c>
      <c r="B273" s="604" t="s">
        <v>2148</v>
      </c>
      <c r="C273" s="385" t="s">
        <v>2227</v>
      </c>
      <c r="D273" s="354" t="s">
        <v>2228</v>
      </c>
      <c r="E273" s="379">
        <v>45712.0</v>
      </c>
      <c r="F273" s="379">
        <v>45712.0</v>
      </c>
      <c r="G273" s="355"/>
      <c r="H273" s="379">
        <v>45713.0</v>
      </c>
      <c r="I273" s="357">
        <f>IF(ISBLANK(H273), NETWORKDAYS(F273, TODAY(),Hoja2!$A$1:$A$18), NETWORKDAYS(F273, H273, Hoja2!$A$1:$A$18))</f>
        <v>2</v>
      </c>
      <c r="J273" s="377"/>
      <c r="K273" s="377"/>
      <c r="L273" s="774" t="s">
        <v>2229</v>
      </c>
      <c r="M273" s="382"/>
      <c r="N273" s="382"/>
      <c r="O273" s="382"/>
      <c r="P273" s="382"/>
      <c r="Q273" s="382"/>
      <c r="R273" s="382"/>
      <c r="S273" s="382"/>
      <c r="T273" s="382"/>
      <c r="U273" s="382"/>
      <c r="V273" s="382"/>
      <c r="W273" s="382"/>
      <c r="X273" s="382"/>
      <c r="Y273" s="382"/>
      <c r="Z273" s="382"/>
    </row>
    <row r="274" ht="15.75" customHeight="1">
      <c r="A274" s="375" t="s">
        <v>1411</v>
      </c>
      <c r="B274" s="789" t="s">
        <v>2230</v>
      </c>
      <c r="C274" s="788"/>
      <c r="D274" s="726" t="s">
        <v>73</v>
      </c>
      <c r="E274" s="727">
        <v>45714.0</v>
      </c>
      <c r="F274" s="727">
        <v>45715.0</v>
      </c>
      <c r="G274" s="725"/>
      <c r="H274" s="727">
        <v>45715.0</v>
      </c>
      <c r="I274" s="357">
        <f>IF(ISBLANK(H274), NETWORKDAYS(F274, TODAY(),Hoja2!$A$1:$A$18), NETWORKDAYS(F274, H274, Hoja2!$A$1:$A$18))</f>
        <v>1</v>
      </c>
      <c r="J274" s="725"/>
      <c r="K274" s="727"/>
      <c r="L274" s="790" t="s">
        <v>2231</v>
      </c>
      <c r="M274" s="337"/>
      <c r="N274" s="337"/>
      <c r="O274" s="337"/>
      <c r="P274" s="337"/>
      <c r="Q274" s="337"/>
      <c r="R274" s="337"/>
      <c r="S274" s="337"/>
      <c r="T274" s="337"/>
      <c r="U274" s="337"/>
      <c r="V274" s="337"/>
      <c r="W274" s="337"/>
      <c r="X274" s="337"/>
      <c r="Y274" s="337"/>
      <c r="Z274" s="337"/>
    </row>
    <row r="275" ht="15.75" customHeight="1">
      <c r="A275" s="375" t="s">
        <v>1436</v>
      </c>
      <c r="B275" s="604" t="s">
        <v>2232</v>
      </c>
      <c r="C275" s="786"/>
      <c r="D275" s="602" t="s">
        <v>73</v>
      </c>
      <c r="E275" s="379">
        <v>45716.0</v>
      </c>
      <c r="F275" s="379">
        <v>45716.0</v>
      </c>
      <c r="G275" s="355"/>
      <c r="H275" s="379">
        <v>45716.0</v>
      </c>
      <c r="I275" s="357">
        <f>IF(ISBLANK(H275), NETWORKDAYS(F275, TODAY(),Hoja2!$A$1:$A$18), NETWORKDAYS(F275, H275, Hoja2!$A$1:$A$18))</f>
        <v>1</v>
      </c>
      <c r="J275" s="377"/>
      <c r="K275" s="377"/>
      <c r="L275" s="698" t="s">
        <v>2233</v>
      </c>
      <c r="M275" s="382"/>
      <c r="N275" s="382"/>
      <c r="O275" s="382"/>
      <c r="P275" s="382"/>
      <c r="Q275" s="382"/>
      <c r="R275" s="382"/>
      <c r="S275" s="382"/>
      <c r="T275" s="382"/>
      <c r="U275" s="382"/>
      <c r="V275" s="382"/>
      <c r="W275" s="382"/>
      <c r="X275" s="382"/>
      <c r="Y275" s="382"/>
      <c r="Z275" s="382"/>
    </row>
    <row r="276" ht="15.75" customHeight="1">
      <c r="A276" s="336" t="s">
        <v>1537</v>
      </c>
      <c r="B276" s="336" t="s">
        <v>2234</v>
      </c>
      <c r="C276" s="791"/>
      <c r="D276" s="348" t="s">
        <v>73</v>
      </c>
      <c r="E276" s="792">
        <v>45712.0</v>
      </c>
      <c r="F276" s="792">
        <v>45713.0</v>
      </c>
      <c r="G276" s="793"/>
      <c r="H276" s="792">
        <v>45715.0</v>
      </c>
      <c r="I276" s="349">
        <f>IF(ISBLANK(H276), NETWORKDAYS(F276, TODAY(),Hoja2!$A$1:$A$18), NETWORKDAYS(F276, H276, Hoja2!$A$1:$A$18))</f>
        <v>3</v>
      </c>
      <c r="J276" s="793"/>
      <c r="K276" s="793"/>
      <c r="L276" s="743" t="s">
        <v>2235</v>
      </c>
      <c r="M276" s="794"/>
      <c r="N276" s="794"/>
      <c r="O276" s="794"/>
      <c r="P276" s="794"/>
      <c r="Q276" s="794"/>
      <c r="R276" s="794"/>
      <c r="S276" s="794"/>
      <c r="T276" s="794"/>
      <c r="U276" s="794"/>
      <c r="V276" s="794"/>
      <c r="W276" s="794"/>
      <c r="X276" s="794"/>
      <c r="Y276" s="794"/>
      <c r="Z276" s="794"/>
      <c r="AA276" s="794"/>
      <c r="AB276" s="794"/>
      <c r="AC276" s="794"/>
      <c r="AD276" s="794"/>
      <c r="AE276" s="794"/>
      <c r="AF276" s="794"/>
      <c r="AG276" s="794"/>
    </row>
    <row r="277" ht="15.75" customHeight="1">
      <c r="A277" s="375" t="s">
        <v>1436</v>
      </c>
      <c r="B277" s="604" t="s">
        <v>2236</v>
      </c>
      <c r="C277" s="786"/>
      <c r="D277" s="602" t="s">
        <v>73</v>
      </c>
      <c r="E277" s="379">
        <v>45716.0</v>
      </c>
      <c r="F277" s="379">
        <v>45716.0</v>
      </c>
      <c r="G277" s="355"/>
      <c r="H277" s="379">
        <v>45716.0</v>
      </c>
      <c r="I277" s="357">
        <f>IF(ISBLANK(H277), NETWORKDAYS(F277, TODAY(),Hoja2!$A$1:$A$18), NETWORKDAYS(F277, H277, Hoja2!$A$1:$A$18))</f>
        <v>1</v>
      </c>
      <c r="J277" s="377"/>
      <c r="K277" s="377"/>
      <c r="L277" s="698" t="s">
        <v>2237</v>
      </c>
      <c r="M277" s="382"/>
      <c r="N277" s="382"/>
      <c r="O277" s="382"/>
      <c r="P277" s="382"/>
      <c r="Q277" s="382"/>
      <c r="R277" s="382"/>
      <c r="S277" s="382"/>
      <c r="T277" s="382"/>
      <c r="U277" s="382"/>
      <c r="V277" s="382"/>
      <c r="W277" s="382"/>
      <c r="X277" s="382"/>
      <c r="Y277" s="382"/>
      <c r="Z277" s="382"/>
    </row>
    <row r="278" ht="15.75" customHeight="1">
      <c r="A278" s="375" t="s">
        <v>1436</v>
      </c>
      <c r="B278" s="604" t="s">
        <v>2238</v>
      </c>
      <c r="C278" s="786"/>
      <c r="D278" s="602" t="s">
        <v>73</v>
      </c>
      <c r="E278" s="379">
        <v>45712.0</v>
      </c>
      <c r="F278" s="379">
        <v>45712.0</v>
      </c>
      <c r="G278" s="355"/>
      <c r="H278" s="379">
        <v>45719.0</v>
      </c>
      <c r="I278" s="357">
        <f>IF(ISBLANK(H278), NETWORKDAYS(F278, TODAY(),Hoja2!$A$1:$A$18), NETWORKDAYS(F278, H278, Hoja2!$A$1:$A$18))</f>
        <v>6</v>
      </c>
      <c r="J278" s="377"/>
      <c r="K278" s="377"/>
      <c r="L278" s="698" t="s">
        <v>2239</v>
      </c>
      <c r="M278" s="382"/>
      <c r="N278" s="382"/>
      <c r="O278" s="382"/>
      <c r="P278" s="382"/>
      <c r="Q278" s="382"/>
      <c r="R278" s="382"/>
      <c r="S278" s="382"/>
      <c r="T278" s="382"/>
      <c r="U278" s="382"/>
      <c r="V278" s="382"/>
      <c r="W278" s="382"/>
      <c r="X278" s="382"/>
      <c r="Y278" s="382"/>
      <c r="Z278" s="382"/>
    </row>
    <row r="279" ht="15.75" customHeight="1">
      <c r="A279" s="651" t="s">
        <v>1537</v>
      </c>
      <c r="B279" s="556" t="s">
        <v>2240</v>
      </c>
      <c r="C279" s="795"/>
      <c r="D279" s="348" t="s">
        <v>73</v>
      </c>
      <c r="E279" s="347">
        <v>45715.0</v>
      </c>
      <c r="F279" s="347">
        <v>45715.0</v>
      </c>
      <c r="G279" s="347"/>
      <c r="H279" s="347">
        <v>45719.0</v>
      </c>
      <c r="I279" s="349">
        <f>IF(ISBLANK(H279), NETWORKDAYS(F279, TODAY(),Hoja2!$A$1:$A$18), NETWORKDAYS(F279, H279, Hoja2!$A$1:$A$18))</f>
        <v>3</v>
      </c>
      <c r="J279" s="347"/>
      <c r="K279" s="347"/>
      <c r="L279" s="350" t="s">
        <v>2241</v>
      </c>
      <c r="M279" s="573"/>
      <c r="N279" s="337"/>
      <c r="O279" s="337"/>
      <c r="P279" s="337"/>
      <c r="Q279" s="337"/>
      <c r="R279" s="337"/>
      <c r="S279" s="337"/>
      <c r="T279" s="337"/>
      <c r="U279" s="337"/>
      <c r="V279" s="337"/>
      <c r="W279" s="337"/>
      <c r="X279" s="337"/>
      <c r="Y279" s="337"/>
      <c r="Z279" s="337"/>
    </row>
    <row r="280" ht="15.75" customHeight="1">
      <c r="A280" s="651" t="s">
        <v>1537</v>
      </c>
      <c r="B280" s="556" t="s">
        <v>2242</v>
      </c>
      <c r="C280" s="795"/>
      <c r="D280" s="348" t="s">
        <v>73</v>
      </c>
      <c r="E280" s="347">
        <v>45715.0</v>
      </c>
      <c r="F280" s="347">
        <v>45719.0</v>
      </c>
      <c r="G280" s="347"/>
      <c r="H280" s="347">
        <v>45719.0</v>
      </c>
      <c r="I280" s="349">
        <f>IF(ISBLANK(H280), NETWORKDAYS(F280, TODAY(),Hoja2!$A$1:$A$18), NETWORKDAYS(F280, H280, Hoja2!$A$1:$A$18))</f>
        <v>1</v>
      </c>
      <c r="J280" s="347"/>
      <c r="K280" s="347"/>
      <c r="L280" s="350" t="s">
        <v>2243</v>
      </c>
      <c r="M280" s="573"/>
      <c r="N280" s="337"/>
      <c r="O280" s="337"/>
      <c r="P280" s="337"/>
      <c r="Q280" s="337"/>
      <c r="R280" s="337"/>
      <c r="S280" s="337"/>
      <c r="T280" s="337"/>
      <c r="U280" s="337"/>
      <c r="V280" s="337"/>
      <c r="W280" s="337"/>
      <c r="X280" s="337"/>
      <c r="Y280" s="337"/>
      <c r="Z280" s="337"/>
    </row>
    <row r="281" ht="15.75" hidden="1" customHeight="1">
      <c r="A281" s="651" t="s">
        <v>1537</v>
      </c>
      <c r="B281" s="556" t="s">
        <v>2244</v>
      </c>
      <c r="C281" s="556"/>
      <c r="D281" s="348" t="s">
        <v>212</v>
      </c>
      <c r="E281" s="347">
        <v>45715.0</v>
      </c>
      <c r="F281" s="347"/>
      <c r="G281" s="347"/>
      <c r="H281" s="347"/>
      <c r="I281" s="348"/>
      <c r="J281" s="347"/>
      <c r="K281" s="347"/>
      <c r="L281" s="350"/>
      <c r="M281" s="573"/>
      <c r="N281" s="337"/>
      <c r="O281" s="337"/>
      <c r="P281" s="337"/>
      <c r="Q281" s="337"/>
      <c r="R281" s="337"/>
      <c r="S281" s="337"/>
      <c r="T281" s="337"/>
      <c r="U281" s="337"/>
      <c r="V281" s="337"/>
      <c r="W281" s="337"/>
      <c r="X281" s="337"/>
      <c r="Y281" s="337"/>
      <c r="Z281" s="337"/>
    </row>
    <row r="282" ht="15.75" customHeight="1">
      <c r="A282" s="651" t="s">
        <v>1537</v>
      </c>
      <c r="B282" s="346" t="s">
        <v>2245</v>
      </c>
      <c r="C282" s="795"/>
      <c r="D282" s="570" t="s">
        <v>73</v>
      </c>
      <c r="E282" s="347">
        <v>45719.0</v>
      </c>
      <c r="F282" s="347">
        <v>45719.0</v>
      </c>
      <c r="G282" s="347"/>
      <c r="H282" s="347"/>
      <c r="I282" s="349">
        <f>IF(ISBLANK(H282), NETWORKDAYS(F282, TODAY(),Hoja2!$A$1:$A$18), NETWORKDAYS(F282, H282, Hoja2!$A$1:$A$18))</f>
        <v>173</v>
      </c>
      <c r="J282" s="347"/>
      <c r="K282" s="347"/>
      <c r="L282" s="350" t="s">
        <v>2246</v>
      </c>
      <c r="M282" s="573"/>
      <c r="N282" s="337"/>
      <c r="O282" s="337"/>
      <c r="P282" s="337"/>
      <c r="Q282" s="337"/>
      <c r="R282" s="337"/>
      <c r="S282" s="337"/>
      <c r="T282" s="337"/>
      <c r="U282" s="337"/>
      <c r="V282" s="337"/>
      <c r="W282" s="337"/>
      <c r="X282" s="337"/>
      <c r="Y282" s="337"/>
      <c r="Z282" s="337"/>
    </row>
    <row r="283" ht="15.75" customHeight="1">
      <c r="A283" s="651" t="s">
        <v>1537</v>
      </c>
      <c r="B283" s="758" t="s">
        <v>2247</v>
      </c>
      <c r="C283" s="556"/>
      <c r="D283" s="348" t="s">
        <v>73</v>
      </c>
      <c r="E283" s="347">
        <v>45700.0</v>
      </c>
      <c r="F283" s="347">
        <v>45701.0</v>
      </c>
      <c r="G283" s="347">
        <v>45714.0</v>
      </c>
      <c r="H283" s="347">
        <v>45714.0</v>
      </c>
      <c r="I283" s="349">
        <f>IF(ISBLANK(H283), NETWORKDAYS(F283, TODAY(),Hoja2!$A$1:$A$18), NETWORKDAYS(F283, H283, Hoja2!$A$1:$A$18))</f>
        <v>10</v>
      </c>
      <c r="J283" s="347"/>
      <c r="K283" s="347"/>
      <c r="L283" s="350" t="s">
        <v>2248</v>
      </c>
      <c r="M283" s="573"/>
      <c r="N283" s="337"/>
      <c r="O283" s="337"/>
      <c r="P283" s="337"/>
      <c r="Q283" s="337"/>
      <c r="R283" s="337"/>
      <c r="S283" s="337"/>
      <c r="T283" s="337"/>
      <c r="U283" s="337"/>
      <c r="V283" s="337"/>
      <c r="W283" s="337"/>
      <c r="X283" s="337"/>
      <c r="Y283" s="337"/>
      <c r="Z283" s="337"/>
    </row>
    <row r="284" ht="15.75" customHeight="1">
      <c r="A284" s="651" t="s">
        <v>1537</v>
      </c>
      <c r="B284" s="345" t="s">
        <v>2249</v>
      </c>
      <c r="C284" s="666"/>
      <c r="D284" s="796" t="s">
        <v>73</v>
      </c>
      <c r="E284" s="667">
        <v>45712.0</v>
      </c>
      <c r="F284" s="667">
        <v>45712.0</v>
      </c>
      <c r="G284" s="666"/>
      <c r="H284" s="667">
        <v>45721.0</v>
      </c>
      <c r="I284" s="349">
        <f>IF(ISBLANK(H284), NETWORKDAYS(F284, TODAY(),Hoja2!$A$1:$A$18), NETWORKDAYS(F284, H284, Hoja2!$A$1:$A$18))</f>
        <v>8</v>
      </c>
      <c r="J284" s="666"/>
      <c r="K284" s="666"/>
      <c r="L284" s="797" t="s">
        <v>2250</v>
      </c>
    </row>
    <row r="285" ht="15.75" customHeight="1">
      <c r="A285" s="375" t="s">
        <v>1436</v>
      </c>
      <c r="B285" s="758" t="s">
        <v>2251</v>
      </c>
      <c r="C285" s="784" t="s">
        <v>2252</v>
      </c>
      <c r="D285" s="354" t="s">
        <v>73</v>
      </c>
      <c r="E285" s="379">
        <v>45687.0</v>
      </c>
      <c r="F285" s="380">
        <v>45687.0</v>
      </c>
      <c r="G285" s="377"/>
      <c r="H285" s="379">
        <v>45692.0</v>
      </c>
      <c r="I285" s="357">
        <f>IF(ISBLANK(H285), NETWORKDAYS(F285, TODAY(),Hoja2!$A$1:$A$18), NETWORKDAYS(F285, H285, Hoja2!$A$1:$A$18))</f>
        <v>4</v>
      </c>
      <c r="J285" s="379">
        <v>45692.0</v>
      </c>
      <c r="K285" s="377"/>
      <c r="L285" s="735" t="s">
        <v>2253</v>
      </c>
      <c r="M285" s="382"/>
      <c r="N285" s="382"/>
      <c r="O285" s="382"/>
      <c r="P285" s="382"/>
      <c r="Q285" s="382"/>
      <c r="R285" s="382"/>
      <c r="S285" s="382"/>
      <c r="T285" s="382"/>
      <c r="U285" s="382"/>
      <c r="V285" s="382"/>
      <c r="W285" s="382"/>
      <c r="X285" s="382"/>
      <c r="Y285" s="382"/>
      <c r="Z285" s="382"/>
    </row>
    <row r="286" ht="15.75" customHeight="1">
      <c r="A286" s="375" t="s">
        <v>1436</v>
      </c>
      <c r="B286" s="566" t="s">
        <v>2254</v>
      </c>
      <c r="C286" s="784"/>
      <c r="D286" s="354" t="s">
        <v>73</v>
      </c>
      <c r="E286" s="379">
        <v>45720.0</v>
      </c>
      <c r="F286" s="380">
        <v>45720.0</v>
      </c>
      <c r="G286" s="377"/>
      <c r="H286" s="379">
        <v>45721.0</v>
      </c>
      <c r="I286" s="357">
        <f>IF(ISBLANK(H286), NETWORKDAYS(F286, TODAY(),Hoja2!$A$1:$A$18), NETWORKDAYS(F286, H286, Hoja2!$A$1:$A$18))</f>
        <v>2</v>
      </c>
      <c r="J286" s="379"/>
      <c r="K286" s="377"/>
      <c r="L286" s="775" t="s">
        <v>2255</v>
      </c>
      <c r="M286" s="382"/>
      <c r="N286" s="382"/>
      <c r="O286" s="382"/>
      <c r="P286" s="382"/>
      <c r="Q286" s="382"/>
      <c r="R286" s="382"/>
      <c r="S286" s="382"/>
      <c r="T286" s="382"/>
      <c r="U286" s="382"/>
      <c r="V286" s="382"/>
      <c r="W286" s="382"/>
      <c r="X286" s="382"/>
      <c r="Y286" s="382"/>
      <c r="Z286" s="382"/>
    </row>
    <row r="287" ht="15.75" customHeight="1">
      <c r="A287" s="375" t="s">
        <v>1411</v>
      </c>
      <c r="B287" s="592" t="s">
        <v>2256</v>
      </c>
      <c r="C287" s="795"/>
      <c r="D287" s="602" t="s">
        <v>73</v>
      </c>
      <c r="E287" s="379">
        <v>45722.0</v>
      </c>
      <c r="F287" s="379">
        <v>45722.0</v>
      </c>
      <c r="G287" s="379"/>
      <c r="H287" s="379">
        <v>45722.0</v>
      </c>
      <c r="I287" s="357">
        <f>IF(ISBLANK(H287), NETWORKDAYS(F287, TODAY(),Hoja2!$A$1:$A$18), NETWORKDAYS(F287, H287, Hoja2!$A$1:$A$18))</f>
        <v>1</v>
      </c>
      <c r="J287" s="379"/>
      <c r="K287" s="379"/>
      <c r="L287" s="798" t="s">
        <v>2257</v>
      </c>
      <c r="M287" s="337"/>
      <c r="N287" s="337"/>
      <c r="O287" s="337"/>
      <c r="P287" s="337"/>
      <c r="Q287" s="337"/>
      <c r="R287" s="337"/>
      <c r="S287" s="337"/>
      <c r="T287" s="337"/>
      <c r="U287" s="337"/>
      <c r="V287" s="337"/>
      <c r="W287" s="337"/>
      <c r="X287" s="337"/>
      <c r="Y287" s="337"/>
      <c r="Z287" s="337"/>
    </row>
    <row r="288" ht="15.75" customHeight="1">
      <c r="A288" s="375" t="s">
        <v>1411</v>
      </c>
      <c r="B288" s="572" t="s">
        <v>2258</v>
      </c>
      <c r="C288" s="795"/>
      <c r="D288" s="602" t="s">
        <v>73</v>
      </c>
      <c r="E288" s="379">
        <v>45722.0</v>
      </c>
      <c r="F288" s="379">
        <v>45723.0</v>
      </c>
      <c r="G288" s="379"/>
      <c r="H288" s="379">
        <v>45723.0</v>
      </c>
      <c r="I288" s="357">
        <f>IF(ISBLANK(H288), NETWORKDAYS(F288, TODAY(),Hoja2!$A$1:$A$18), NETWORKDAYS(F288, H288, Hoja2!$A$1:$A$18))</f>
        <v>1</v>
      </c>
      <c r="J288" s="379"/>
      <c r="K288" s="379"/>
      <c r="L288" s="798" t="s">
        <v>2259</v>
      </c>
      <c r="M288" s="337"/>
      <c r="N288" s="337"/>
      <c r="O288" s="337"/>
      <c r="P288" s="337"/>
      <c r="Q288" s="337"/>
      <c r="R288" s="337"/>
      <c r="S288" s="337"/>
      <c r="T288" s="337"/>
      <c r="U288" s="337"/>
      <c r="V288" s="337"/>
      <c r="W288" s="337"/>
      <c r="X288" s="337"/>
      <c r="Y288" s="337"/>
      <c r="Z288" s="337"/>
    </row>
    <row r="289" ht="15.75" customHeight="1">
      <c r="A289" s="375" t="s">
        <v>1436</v>
      </c>
      <c r="B289" s="799" t="s">
        <v>2260</v>
      </c>
      <c r="C289" s="786"/>
      <c r="D289" s="348" t="s">
        <v>73</v>
      </c>
      <c r="E289" s="347">
        <v>45722.0</v>
      </c>
      <c r="F289" s="665">
        <v>45723.0</v>
      </c>
      <c r="G289" s="607"/>
      <c r="H289" s="665">
        <v>45723.0</v>
      </c>
      <c r="I289" s="357">
        <f>IF(ISBLANK(H289), NETWORKDAYS(F289, TODAY(),Hoja2!$A$1:$A$18), NETWORKDAYS(F289, H289, Hoja2!$A$1:$A$18))</f>
        <v>1</v>
      </c>
      <c r="J289" s="607"/>
      <c r="K289" s="607"/>
      <c r="L289" s="607" t="s">
        <v>2261</v>
      </c>
      <c r="M289" s="800" t="s">
        <v>2262</v>
      </c>
      <c r="N289" s="382"/>
      <c r="O289" s="382"/>
      <c r="P289" s="382"/>
      <c r="Q289" s="382"/>
      <c r="R289" s="382"/>
      <c r="S289" s="382"/>
      <c r="T289" s="382"/>
      <c r="U289" s="382"/>
      <c r="V289" s="382"/>
      <c r="W289" s="382"/>
      <c r="X289" s="382"/>
      <c r="Y289" s="382"/>
      <c r="Z289" s="382"/>
    </row>
    <row r="290" ht="15.75" hidden="1" customHeight="1">
      <c r="A290" s="375" t="s">
        <v>1436</v>
      </c>
      <c r="B290" s="799" t="s">
        <v>2263</v>
      </c>
      <c r="C290" s="607"/>
      <c r="D290" s="348" t="s">
        <v>212</v>
      </c>
      <c r="E290" s="347">
        <v>45722.0</v>
      </c>
      <c r="F290" s="801"/>
      <c r="G290" s="607"/>
      <c r="H290" s="348"/>
      <c r="I290" s="357">
        <f>IF(ISBLANK(H290), NETWORKDAYS(F290, TODAY(),Hoja2!$A$1:$A$18), NETWORKDAYS(F290, H290, Hoja2!$A$1:$A$18))</f>
        <v>32812</v>
      </c>
      <c r="J290" s="607"/>
      <c r="K290" s="607"/>
      <c r="L290" s="607" t="s">
        <v>2264</v>
      </c>
      <c r="M290" s="382"/>
      <c r="N290" s="382"/>
      <c r="O290" s="382"/>
      <c r="P290" s="382"/>
      <c r="Q290" s="382"/>
      <c r="R290" s="382"/>
      <c r="S290" s="382"/>
      <c r="T290" s="382"/>
      <c r="U290" s="382"/>
      <c r="V290" s="382"/>
      <c r="W290" s="382"/>
      <c r="X290" s="382"/>
      <c r="Y290" s="382"/>
      <c r="Z290" s="382"/>
    </row>
    <row r="291" ht="15.75" hidden="1" customHeight="1">
      <c r="A291" s="375" t="s">
        <v>1436</v>
      </c>
      <c r="B291" s="799" t="s">
        <v>2265</v>
      </c>
      <c r="C291" s="607"/>
      <c r="D291" s="348" t="s">
        <v>212</v>
      </c>
      <c r="E291" s="347">
        <v>45722.0</v>
      </c>
      <c r="F291" s="801"/>
      <c r="G291" s="607"/>
      <c r="H291" s="348"/>
      <c r="I291" s="357">
        <f>IF(ISBLANK(H291), NETWORKDAYS(F291, TODAY(),Hoja2!$A$1:$A$18), NETWORKDAYS(F291, H291, Hoja2!$A$1:$A$18))</f>
        <v>32812</v>
      </c>
      <c r="J291" s="607"/>
      <c r="K291" s="607"/>
      <c r="L291" s="607"/>
      <c r="M291" s="382"/>
      <c r="N291" s="382"/>
      <c r="O291" s="382"/>
      <c r="P291" s="382"/>
      <c r="Q291" s="382"/>
      <c r="R291" s="382"/>
      <c r="S291" s="382"/>
      <c r="T291" s="382"/>
      <c r="U291" s="382"/>
      <c r="V291" s="382"/>
      <c r="W291" s="382"/>
      <c r="X291" s="382"/>
      <c r="Y291" s="382"/>
      <c r="Z291" s="382"/>
    </row>
    <row r="292" ht="15.75" customHeight="1">
      <c r="A292" s="375" t="s">
        <v>1436</v>
      </c>
      <c r="B292" s="799" t="s">
        <v>2266</v>
      </c>
      <c r="C292" s="786"/>
      <c r="D292" s="348" t="s">
        <v>73</v>
      </c>
      <c r="E292" s="347">
        <v>45722.0</v>
      </c>
      <c r="F292" s="665">
        <v>45723.0</v>
      </c>
      <c r="G292" s="607"/>
      <c r="H292" s="665">
        <v>45723.0</v>
      </c>
      <c r="I292" s="357">
        <f>IF(ISBLANK(H292), NETWORKDAYS(F292, TODAY(),Hoja2!$A$1:$A$18), NETWORKDAYS(F292, H292, Hoja2!$A$1:$A$18))</f>
        <v>1</v>
      </c>
      <c r="J292" s="607"/>
      <c r="K292" s="567">
        <v>45723.0</v>
      </c>
      <c r="L292" s="607" t="s">
        <v>2267</v>
      </c>
      <c r="M292" s="382" t="s">
        <v>2268</v>
      </c>
      <c r="N292" s="382"/>
      <c r="O292" s="382"/>
      <c r="P292" s="382"/>
      <c r="Q292" s="382"/>
      <c r="R292" s="382"/>
      <c r="S292" s="382"/>
      <c r="T292" s="382"/>
      <c r="U292" s="382"/>
      <c r="V292" s="382"/>
      <c r="W292" s="382"/>
      <c r="X292" s="382"/>
      <c r="Y292" s="382"/>
      <c r="Z292" s="382"/>
    </row>
    <row r="293" ht="15.75" customHeight="1">
      <c r="A293" s="375" t="s">
        <v>1436</v>
      </c>
      <c r="B293" s="799" t="s">
        <v>2269</v>
      </c>
      <c r="C293" s="786"/>
      <c r="D293" s="348" t="s">
        <v>73</v>
      </c>
      <c r="E293" s="347">
        <v>45722.0</v>
      </c>
      <c r="F293" s="665">
        <v>45722.0</v>
      </c>
      <c r="G293" s="607"/>
      <c r="H293" s="665">
        <v>45723.0</v>
      </c>
      <c r="I293" s="357">
        <f>IF(ISBLANK(H293), NETWORKDAYS(F293, TODAY(),Hoja2!$A$1:$A$18), NETWORKDAYS(F293, H293, Hoja2!$A$1:$A$18))</f>
        <v>2</v>
      </c>
      <c r="J293" s="607"/>
      <c r="K293" s="567">
        <v>45723.0</v>
      </c>
      <c r="L293" s="607" t="s">
        <v>2270</v>
      </c>
      <c r="M293" s="382" t="s">
        <v>2268</v>
      </c>
      <c r="N293" s="382"/>
      <c r="O293" s="382"/>
      <c r="P293" s="382"/>
      <c r="Q293" s="382"/>
      <c r="R293" s="382"/>
      <c r="S293" s="382"/>
      <c r="T293" s="382"/>
      <c r="U293" s="382"/>
      <c r="V293" s="382"/>
      <c r="W293" s="382"/>
      <c r="X293" s="382"/>
      <c r="Y293" s="382"/>
      <c r="Z293" s="382"/>
    </row>
    <row r="294" ht="15.75" customHeight="1">
      <c r="A294" s="375" t="s">
        <v>1436</v>
      </c>
      <c r="B294" s="802" t="s">
        <v>2271</v>
      </c>
      <c r="C294" s="786"/>
      <c r="D294" s="602" t="s">
        <v>73</v>
      </c>
      <c r="E294" s="347">
        <v>45721.0</v>
      </c>
      <c r="F294" s="665">
        <v>45721.0</v>
      </c>
      <c r="G294" s="607"/>
      <c r="H294" s="347">
        <v>45722.0</v>
      </c>
      <c r="I294" s="357">
        <f>IF(ISBLANK(H294), NETWORKDAYS(F294, TODAY(),Hoja2!$A$1:$A$18), NETWORKDAYS(F294, H294, Hoja2!$A$1:$A$18))</f>
        <v>2</v>
      </c>
      <c r="J294" s="347">
        <v>45722.0</v>
      </c>
      <c r="K294" s="567">
        <v>45723.0</v>
      </c>
      <c r="L294" s="607" t="s">
        <v>2272</v>
      </c>
      <c r="M294" s="382" t="s">
        <v>2268</v>
      </c>
      <c r="N294" s="382"/>
      <c r="O294" s="382"/>
      <c r="P294" s="382"/>
      <c r="Q294" s="382"/>
      <c r="R294" s="382"/>
      <c r="S294" s="382"/>
      <c r="T294" s="382"/>
      <c r="U294" s="382"/>
      <c r="V294" s="382"/>
      <c r="W294" s="382"/>
      <c r="X294" s="382"/>
      <c r="Y294" s="382"/>
      <c r="Z294" s="382"/>
    </row>
    <row r="295" ht="15.75" customHeight="1">
      <c r="A295" s="375" t="s">
        <v>1436</v>
      </c>
      <c r="B295" s="803" t="s">
        <v>2273</v>
      </c>
      <c r="C295" s="786"/>
      <c r="D295" s="348" t="s">
        <v>73</v>
      </c>
      <c r="E295" s="347">
        <v>45726.0</v>
      </c>
      <c r="F295" s="665">
        <v>45727.0</v>
      </c>
      <c r="G295" s="607"/>
      <c r="H295" s="347">
        <v>45727.0</v>
      </c>
      <c r="I295" s="357">
        <f>IF(ISBLANK(H295), NETWORKDAYS(F295, TODAY(),Hoja2!$A$1:$A$18), NETWORKDAYS(F295, H295, Hoja2!$A$1:$A$18))</f>
        <v>1</v>
      </c>
      <c r="J295" s="607"/>
      <c r="K295" s="607"/>
      <c r="L295" s="607" t="s">
        <v>2274</v>
      </c>
      <c r="M295" s="382"/>
      <c r="N295" s="382"/>
      <c r="O295" s="382"/>
      <c r="P295" s="382"/>
      <c r="Q295" s="382"/>
      <c r="R295" s="382"/>
      <c r="S295" s="382"/>
      <c r="T295" s="382"/>
      <c r="U295" s="382"/>
      <c r="V295" s="382"/>
      <c r="W295" s="382"/>
      <c r="X295" s="382"/>
      <c r="Y295" s="382"/>
      <c r="Z295" s="382"/>
    </row>
    <row r="296" ht="15.75" customHeight="1">
      <c r="A296" s="375" t="s">
        <v>1436</v>
      </c>
      <c r="B296" s="742" t="s">
        <v>2275</v>
      </c>
      <c r="C296" s="804"/>
      <c r="D296" s="348" t="s">
        <v>73</v>
      </c>
      <c r="E296" s="347">
        <v>45726.0</v>
      </c>
      <c r="F296" s="347">
        <v>45726.0</v>
      </c>
      <c r="H296" s="805">
        <v>45727.0</v>
      </c>
      <c r="I296" s="357">
        <f>IF(ISBLANK(H296), NETWORKDAYS(F296, TODAY(),Hoja2!$A$1:$A$18), NETWORKDAYS(F296, H296, Hoja2!$A$1:$A$18))</f>
        <v>2</v>
      </c>
      <c r="K296" s="805">
        <v>45727.0</v>
      </c>
      <c r="L296" s="742" t="s">
        <v>2276</v>
      </c>
    </row>
    <row r="297" ht="15.75" customHeight="1">
      <c r="A297" s="375" t="s">
        <v>1436</v>
      </c>
      <c r="B297" s="651" t="s">
        <v>2277</v>
      </c>
      <c r="C297" s="650"/>
      <c r="D297" s="354" t="s">
        <v>73</v>
      </c>
      <c r="E297" s="379">
        <v>45722.0</v>
      </c>
      <c r="F297" s="379">
        <v>45722.0</v>
      </c>
      <c r="G297" s="379">
        <v>45694.0</v>
      </c>
      <c r="H297" s="379">
        <v>45727.0</v>
      </c>
      <c r="I297" s="357">
        <f>IF(ISBLANK(H297), NETWORKDAYS(F297, TODAY(),Hoja2!$A$1:$A$18), NETWORKDAYS(F297, H297, Hoja2!$A$1:$A$18))</f>
        <v>4</v>
      </c>
      <c r="J297" s="379">
        <v>45727.0</v>
      </c>
      <c r="K297" s="379">
        <v>45728.0</v>
      </c>
      <c r="L297" s="798" t="s">
        <v>2278</v>
      </c>
      <c r="M297" s="382"/>
      <c r="N297" s="382"/>
      <c r="O297" s="382"/>
      <c r="P297" s="382"/>
      <c r="Q297" s="382"/>
      <c r="R297" s="382"/>
      <c r="S297" s="382"/>
      <c r="T297" s="382"/>
      <c r="U297" s="382"/>
      <c r="V297" s="382"/>
      <c r="W297" s="382"/>
      <c r="X297" s="382"/>
      <c r="Y297" s="382"/>
      <c r="Z297" s="382"/>
    </row>
    <row r="298" ht="15.75" customHeight="1">
      <c r="A298" s="375" t="s">
        <v>1436</v>
      </c>
      <c r="B298" s="572" t="s">
        <v>2279</v>
      </c>
      <c r="C298" s="370"/>
      <c r="D298" s="354" t="s">
        <v>73</v>
      </c>
      <c r="E298" s="806">
        <v>45714.0</v>
      </c>
      <c r="F298" s="379">
        <v>45716.0</v>
      </c>
      <c r="G298" s="379"/>
      <c r="H298" s="355">
        <v>45722.0</v>
      </c>
      <c r="I298" s="357">
        <f>IF(ISBLANK(H298), NETWORKDAYS(F298, TODAY(),Hoja2!$A$1:$A$18), NETWORKDAYS(F298, H298, Hoja2!$A$1:$A$18))</f>
        <v>5</v>
      </c>
      <c r="J298" s="355">
        <v>45722.0</v>
      </c>
      <c r="K298" s="355">
        <v>45728.0</v>
      </c>
      <c r="L298" s="775" t="s">
        <v>2280</v>
      </c>
      <c r="M298" s="807" t="s">
        <v>2281</v>
      </c>
      <c r="N298" s="382"/>
      <c r="O298" s="382"/>
      <c r="P298" s="382"/>
      <c r="Q298" s="382"/>
      <c r="R298" s="382"/>
      <c r="S298" s="382"/>
      <c r="T298" s="382"/>
      <c r="U298" s="382"/>
      <c r="V298" s="382"/>
      <c r="W298" s="382"/>
      <c r="X298" s="382"/>
      <c r="Y298" s="382"/>
      <c r="Z298" s="382"/>
    </row>
    <row r="299" ht="15.75" customHeight="1">
      <c r="A299" s="375" t="s">
        <v>1411</v>
      </c>
      <c r="B299" s="808" t="s">
        <v>2282</v>
      </c>
      <c r="C299" s="788"/>
      <c r="D299" s="809" t="s">
        <v>73</v>
      </c>
      <c r="E299" s="727">
        <v>45694.0</v>
      </c>
      <c r="F299" s="727">
        <v>45695.0</v>
      </c>
      <c r="G299" s="725"/>
      <c r="H299" s="727">
        <v>45714.0</v>
      </c>
      <c r="I299" s="357">
        <f>IF(ISBLANK(H299), NETWORKDAYS(F299, TODAY(),Hoja2!$A$1:$A$18), NETWORKDAYS(F299, H299, Hoja2!$A$1:$A$18))</f>
        <v>14</v>
      </c>
      <c r="J299" s="727">
        <v>45715.0</v>
      </c>
      <c r="K299" s="727">
        <v>45728.0</v>
      </c>
      <c r="L299" s="810" t="s">
        <v>2283</v>
      </c>
      <c r="M299" s="337"/>
      <c r="N299" s="337"/>
      <c r="O299" s="337"/>
      <c r="P299" s="337"/>
      <c r="Q299" s="337"/>
      <c r="R299" s="337"/>
      <c r="S299" s="337"/>
      <c r="T299" s="337"/>
      <c r="U299" s="337"/>
      <c r="V299" s="337"/>
      <c r="W299" s="337"/>
      <c r="X299" s="337"/>
      <c r="Y299" s="337"/>
      <c r="Z299" s="337"/>
    </row>
    <row r="300" ht="15.75" customHeight="1">
      <c r="A300" s="375" t="s">
        <v>1411</v>
      </c>
      <c r="B300" s="811" t="s">
        <v>2284</v>
      </c>
      <c r="C300" s="804"/>
      <c r="D300" s="812" t="s">
        <v>73</v>
      </c>
      <c r="E300" s="805">
        <v>45726.0</v>
      </c>
      <c r="F300" s="805">
        <v>45726.0</v>
      </c>
      <c r="H300" s="805">
        <v>45733.0</v>
      </c>
      <c r="I300" s="357">
        <f>IF(ISBLANK(H300), NETWORKDAYS(F300, TODAY(),Hoja2!$A$1:$A$18), NETWORKDAYS(F300, H300, Hoja2!$A$1:$A$18))</f>
        <v>6</v>
      </c>
      <c r="L300" s="382" t="s">
        <v>2285</v>
      </c>
    </row>
    <row r="301" ht="15.75" customHeight="1">
      <c r="A301" s="375" t="s">
        <v>1411</v>
      </c>
      <c r="B301" s="813" t="s">
        <v>2286</v>
      </c>
      <c r="C301" s="814"/>
      <c r="D301" s="364" t="s">
        <v>73</v>
      </c>
      <c r="E301" s="734">
        <v>45730.0</v>
      </c>
      <c r="F301" s="734">
        <v>45733.0</v>
      </c>
      <c r="G301" s="734"/>
      <c r="H301" s="734">
        <v>45733.0</v>
      </c>
      <c r="I301" s="357">
        <f>IF(ISBLANK(H301), NETWORKDAYS(F301, TODAY(),Hoja2!$A$1:$A$18), NETWORKDAYS(F301, H301, Hoja2!$A$1:$A$18))</f>
        <v>1</v>
      </c>
      <c r="J301" s="734"/>
      <c r="K301" s="734"/>
      <c r="L301" s="815" t="s">
        <v>2287</v>
      </c>
      <c r="M301" s="337"/>
      <c r="N301" s="337"/>
      <c r="O301" s="337"/>
      <c r="P301" s="337"/>
      <c r="Q301" s="337"/>
      <c r="R301" s="337"/>
      <c r="S301" s="337"/>
      <c r="T301" s="337"/>
      <c r="U301" s="337"/>
      <c r="V301" s="337"/>
      <c r="W301" s="337"/>
      <c r="X301" s="337"/>
      <c r="Y301" s="337"/>
      <c r="Z301" s="337"/>
    </row>
    <row r="302" ht="15.75" customHeight="1">
      <c r="A302" s="375" t="s">
        <v>1436</v>
      </c>
      <c r="B302" s="797" t="s">
        <v>2288</v>
      </c>
      <c r="C302" s="816"/>
      <c r="D302" s="348" t="s">
        <v>73</v>
      </c>
      <c r="E302" s="667">
        <v>45730.0</v>
      </c>
      <c r="F302" s="667">
        <v>45730.0</v>
      </c>
      <c r="G302" s="666"/>
      <c r="H302" s="667">
        <v>45730.0</v>
      </c>
      <c r="I302" s="357">
        <f>IF(ISBLANK(H302), NETWORKDAYS(F302, TODAY(),Hoja2!$A$1:$A$18), NETWORKDAYS(F302, H302, Hoja2!$A$1:$A$18))</f>
        <v>1</v>
      </c>
      <c r="J302" s="666"/>
      <c r="K302" s="666"/>
      <c r="L302" s="666" t="s">
        <v>2289</v>
      </c>
    </row>
    <row r="303" ht="15.75" customHeight="1">
      <c r="A303" s="375" t="s">
        <v>1436</v>
      </c>
      <c r="B303" s="799" t="s">
        <v>2290</v>
      </c>
      <c r="C303" s="786"/>
      <c r="D303" s="348" t="s">
        <v>73</v>
      </c>
      <c r="E303" s="347">
        <v>45726.0</v>
      </c>
      <c r="F303" s="665">
        <v>45726.0</v>
      </c>
      <c r="G303" s="607"/>
      <c r="H303" s="347">
        <v>45727.0</v>
      </c>
      <c r="I303" s="357">
        <f>IF(ISBLANK(H303), NETWORKDAYS(F303, TODAY(),Hoja2!$A$1:$A$18), NETWORKDAYS(F303, H303, Hoja2!$A$1:$A$18))</f>
        <v>2</v>
      </c>
      <c r="J303" s="607"/>
      <c r="K303" s="607"/>
      <c r="L303" s="607" t="s">
        <v>2291</v>
      </c>
      <c r="M303" s="382"/>
      <c r="N303" s="382"/>
      <c r="O303" s="382"/>
      <c r="P303" s="382"/>
      <c r="Q303" s="382"/>
      <c r="R303" s="382"/>
      <c r="S303" s="382"/>
      <c r="T303" s="382"/>
      <c r="U303" s="382"/>
      <c r="V303" s="382"/>
      <c r="W303" s="382"/>
      <c r="X303" s="382"/>
      <c r="Y303" s="382"/>
      <c r="Z303" s="382"/>
    </row>
    <row r="304" ht="15.75" customHeight="1">
      <c r="A304" s="655" t="s">
        <v>1436</v>
      </c>
      <c r="B304" s="817" t="s">
        <v>2292</v>
      </c>
      <c r="C304" s="818"/>
      <c r="D304" s="580" t="s">
        <v>73</v>
      </c>
      <c r="E304" s="581">
        <v>45726.0</v>
      </c>
      <c r="F304" s="819">
        <v>45729.0</v>
      </c>
      <c r="G304" s="340"/>
      <c r="H304" s="581">
        <v>45736.0</v>
      </c>
      <c r="I304" s="820">
        <f>IF(ISBLANK(H304), NETWORKDAYS(F304, TODAY(),Hoja2!$A$1:$A$18), NETWORKDAYS(F304, H304, Hoja2!$A$1:$A$18))</f>
        <v>6</v>
      </c>
      <c r="J304" s="342">
        <v>45735.0</v>
      </c>
      <c r="K304" s="342">
        <v>45736.0</v>
      </c>
      <c r="L304" s="340" t="s">
        <v>2293</v>
      </c>
      <c r="M304" s="382"/>
      <c r="N304" s="382"/>
      <c r="O304" s="382"/>
      <c r="P304" s="382"/>
      <c r="Q304" s="382"/>
      <c r="R304" s="382"/>
      <c r="S304" s="382"/>
      <c r="T304" s="382"/>
      <c r="U304" s="382"/>
      <c r="V304" s="382"/>
      <c r="W304" s="382"/>
      <c r="X304" s="382"/>
      <c r="Y304" s="382"/>
      <c r="Z304" s="382"/>
    </row>
    <row r="305" ht="15.75" customHeight="1">
      <c r="A305" s="375" t="s">
        <v>1411</v>
      </c>
      <c r="B305" s="821" t="s">
        <v>2294</v>
      </c>
      <c r="C305" s="814"/>
      <c r="D305" s="364" t="s">
        <v>73</v>
      </c>
      <c r="E305" s="734">
        <v>45737.0</v>
      </c>
      <c r="F305" s="734">
        <v>45737.0</v>
      </c>
      <c r="G305" s="734"/>
      <c r="H305" s="734">
        <v>45737.0</v>
      </c>
      <c r="I305" s="357">
        <f>IF(ISBLANK(H305), NETWORKDAYS(F305, TODAY(),Hoja2!$A$1:$A$18), NETWORKDAYS(F305, H305, Hoja2!$A$1:$A$18))</f>
        <v>1</v>
      </c>
      <c r="J305" s="734"/>
      <c r="K305" s="734"/>
      <c r="L305" s="815" t="s">
        <v>2295</v>
      </c>
      <c r="M305" s="337"/>
      <c r="N305" s="337"/>
      <c r="O305" s="337"/>
      <c r="P305" s="337"/>
      <c r="Q305" s="337"/>
      <c r="R305" s="337"/>
      <c r="S305" s="337"/>
      <c r="T305" s="337"/>
      <c r="U305" s="337"/>
      <c r="V305" s="337"/>
      <c r="W305" s="337"/>
      <c r="X305" s="337"/>
      <c r="Y305" s="337"/>
      <c r="Z305" s="337"/>
    </row>
    <row r="306" ht="15.75" customHeight="1">
      <c r="A306" s="375" t="s">
        <v>1436</v>
      </c>
      <c r="B306" s="822" t="s">
        <v>2296</v>
      </c>
      <c r="C306" s="647"/>
      <c r="D306" s="348" t="s">
        <v>73</v>
      </c>
      <c r="E306" s="581">
        <v>45737.0</v>
      </c>
      <c r="F306" s="581">
        <v>45737.0</v>
      </c>
      <c r="G306" s="340"/>
      <c r="H306" s="581">
        <v>45737.0</v>
      </c>
      <c r="I306" s="357">
        <f>IF(ISBLANK(H306), NETWORKDAYS(F306, TODAY(),Hoja2!$A$1:$A$18), NETWORKDAYS(F306, H306, Hoja2!$A$1:$A$18))</f>
        <v>1</v>
      </c>
      <c r="J306" s="340"/>
      <c r="K306" s="340"/>
      <c r="L306" s="340" t="s">
        <v>2297</v>
      </c>
      <c r="M306" s="382"/>
      <c r="N306" s="382"/>
      <c r="O306" s="382"/>
      <c r="P306" s="382"/>
      <c r="Q306" s="382"/>
      <c r="R306" s="382"/>
      <c r="S306" s="382"/>
      <c r="T306" s="382"/>
      <c r="U306" s="382"/>
      <c r="V306" s="382"/>
      <c r="W306" s="382"/>
      <c r="X306" s="382"/>
      <c r="Y306" s="382"/>
      <c r="Z306" s="382"/>
    </row>
    <row r="307" ht="15.75" customHeight="1">
      <c r="A307" s="360" t="s">
        <v>1426</v>
      </c>
      <c r="B307" s="566" t="s">
        <v>2298</v>
      </c>
      <c r="C307" s="592"/>
      <c r="D307" s="375" t="s">
        <v>73</v>
      </c>
      <c r="E307" s="785">
        <v>45734.0</v>
      </c>
      <c r="F307" s="785">
        <v>45734.0</v>
      </c>
      <c r="G307" s="361"/>
      <c r="H307" s="785">
        <v>45741.0</v>
      </c>
      <c r="I307" s="349">
        <f>IF(ISBLANK(H307), NETWORKDAYS(F307, TODAY(),Hoja2!$A$1:$A$18), NETWORKDAYS(F307, H307, Hoja2!$A$1:$A$18))</f>
        <v>6</v>
      </c>
      <c r="J307" s="357"/>
      <c r="K307" s="785">
        <v>45741.0</v>
      </c>
      <c r="L307" s="823" t="s">
        <v>2299</v>
      </c>
      <c r="M307" s="824"/>
      <c r="N307" s="337"/>
      <c r="O307" s="337"/>
      <c r="P307" s="337"/>
      <c r="Q307" s="337"/>
      <c r="R307" s="337"/>
      <c r="S307" s="337"/>
      <c r="T307" s="337"/>
      <c r="U307" s="337"/>
      <c r="V307" s="337"/>
      <c r="W307" s="337"/>
      <c r="X307" s="337"/>
      <c r="Y307" s="337"/>
      <c r="Z307" s="337"/>
    </row>
    <row r="308" ht="15.75" customHeight="1">
      <c r="A308" s="375" t="s">
        <v>1436</v>
      </c>
      <c r="B308" s="822" t="s">
        <v>2300</v>
      </c>
      <c r="C308" s="647"/>
      <c r="D308" s="348" t="s">
        <v>73</v>
      </c>
      <c r="E308" s="581">
        <v>45741.0</v>
      </c>
      <c r="F308" s="581">
        <v>45741.0</v>
      </c>
      <c r="G308" s="340"/>
      <c r="H308" s="581">
        <v>45741.0</v>
      </c>
      <c r="I308" s="357">
        <f>IF(ISBLANK(H308), NETWORKDAYS(F308, TODAY(),Hoja2!$A$1:$A$18), NETWORKDAYS(F308, H308, Hoja2!$A$1:$A$18))</f>
        <v>1</v>
      </c>
      <c r="J308" s="340"/>
      <c r="K308" s="581">
        <v>45741.0</v>
      </c>
      <c r="L308" s="825" t="s">
        <v>2301</v>
      </c>
      <c r="M308" s="382"/>
      <c r="N308" s="382"/>
      <c r="O308" s="382"/>
      <c r="P308" s="382"/>
      <c r="Q308" s="382"/>
      <c r="R308" s="382"/>
      <c r="S308" s="382"/>
      <c r="T308" s="382"/>
      <c r="U308" s="382"/>
      <c r="V308" s="382"/>
      <c r="W308" s="382"/>
      <c r="X308" s="382"/>
      <c r="Y308" s="382"/>
      <c r="Z308" s="382"/>
    </row>
    <row r="309" ht="15.75" customHeight="1">
      <c r="A309" s="375" t="s">
        <v>1436</v>
      </c>
      <c r="B309" s="822" t="s">
        <v>2302</v>
      </c>
      <c r="C309" s="647"/>
      <c r="D309" s="348" t="s">
        <v>73</v>
      </c>
      <c r="E309" s="581">
        <v>45741.0</v>
      </c>
      <c r="F309" s="581">
        <v>45741.0</v>
      </c>
      <c r="G309" s="340"/>
      <c r="H309" s="581">
        <v>45741.0</v>
      </c>
      <c r="I309" s="357">
        <f>IF(ISBLANK(H309), NETWORKDAYS(F309, TODAY(),Hoja2!$A$1:$A$18), NETWORKDAYS(F309, H309, Hoja2!$A$1:$A$18))</f>
        <v>1</v>
      </c>
      <c r="J309" s="340"/>
      <c r="K309" s="340"/>
      <c r="L309" s="825" t="s">
        <v>2303</v>
      </c>
      <c r="M309" s="382"/>
      <c r="N309" s="382"/>
      <c r="O309" s="382"/>
      <c r="P309" s="382"/>
      <c r="Q309" s="382"/>
      <c r="R309" s="382"/>
      <c r="S309" s="382"/>
      <c r="T309" s="382"/>
      <c r="U309" s="382"/>
      <c r="V309" s="382"/>
      <c r="W309" s="382"/>
      <c r="X309" s="382"/>
      <c r="Y309" s="382"/>
      <c r="Z309" s="382"/>
    </row>
    <row r="310" ht="15.0" customHeight="1">
      <c r="A310" s="375" t="s">
        <v>1436</v>
      </c>
      <c r="B310" s="826" t="s">
        <v>2304</v>
      </c>
      <c r="C310" s="804"/>
      <c r="D310" s="781" t="s">
        <v>73</v>
      </c>
      <c r="E310" s="805">
        <v>45742.0</v>
      </c>
      <c r="F310" s="805">
        <v>45743.0</v>
      </c>
      <c r="I310" s="357">
        <f>IF(ISBLANK(H310), NETWORKDAYS(F310, TODAY(),Hoja2!$A$1:$A$18), NETWORKDAYS(F310, H310, Hoja2!$A$1:$A$18))</f>
        <v>155</v>
      </c>
      <c r="L310" s="382" t="s">
        <v>2305</v>
      </c>
    </row>
    <row r="311" ht="15.75" customHeight="1">
      <c r="A311" s="360" t="s">
        <v>1426</v>
      </c>
      <c r="B311" s="370" t="s">
        <v>2306</v>
      </c>
      <c r="C311" s="592"/>
      <c r="D311" s="375" t="s">
        <v>73</v>
      </c>
      <c r="E311" s="785">
        <v>45744.0</v>
      </c>
      <c r="F311" s="785">
        <v>45744.0</v>
      </c>
      <c r="G311" s="361"/>
      <c r="H311" s="785">
        <v>45744.0</v>
      </c>
      <c r="I311" s="349">
        <f>IF(ISBLANK(H311), NETWORKDAYS(F311, TODAY(),Hoja2!$A$1:$A$18), NETWORKDAYS(F311, H311, Hoja2!$A$1:$A$18))</f>
        <v>1</v>
      </c>
      <c r="J311" s="357"/>
      <c r="K311" s="785">
        <v>45744.0</v>
      </c>
      <c r="L311" s="823" t="s">
        <v>2307</v>
      </c>
      <c r="M311" s="824"/>
      <c r="N311" s="337"/>
      <c r="O311" s="337"/>
      <c r="P311" s="337"/>
      <c r="Q311" s="337"/>
      <c r="R311" s="337"/>
      <c r="S311" s="337"/>
      <c r="T311" s="337"/>
      <c r="U311" s="337"/>
      <c r="V311" s="337"/>
      <c r="W311" s="337"/>
      <c r="X311" s="337"/>
      <c r="Y311" s="337"/>
      <c r="Z311" s="337"/>
    </row>
    <row r="312" ht="15.0" customHeight="1">
      <c r="A312" s="720" t="s">
        <v>1436</v>
      </c>
      <c r="B312" s="826" t="s">
        <v>2308</v>
      </c>
      <c r="C312" s="816"/>
      <c r="D312" s="781" t="s">
        <v>73</v>
      </c>
      <c r="E312" s="805">
        <v>45743.0</v>
      </c>
      <c r="F312" s="805">
        <v>45744.0</v>
      </c>
      <c r="G312" s="382"/>
      <c r="H312" s="805">
        <v>45744.0</v>
      </c>
      <c r="I312" s="707">
        <f>IF(ISBLANK(H312), NETWORKDAYS(F312, TODAY(),Hoja2!$A$1:$A$18), NETWORKDAYS(F312, H312, Hoja2!$A$1:$A$18))</f>
        <v>1</v>
      </c>
      <c r="J312" s="382"/>
      <c r="K312" s="805">
        <v>45744.0</v>
      </c>
      <c r="L312" s="382" t="s">
        <v>2309</v>
      </c>
    </row>
    <row r="313" ht="15.75" customHeight="1">
      <c r="A313" s="375" t="s">
        <v>1436</v>
      </c>
      <c r="B313" s="627" t="s">
        <v>2310</v>
      </c>
      <c r="C313" s="786"/>
      <c r="D313" s="827" t="s">
        <v>73</v>
      </c>
      <c r="E313" s="379">
        <v>45744.0</v>
      </c>
      <c r="F313" s="379">
        <v>45744.0</v>
      </c>
      <c r="G313" s="377"/>
      <c r="H313" s="379">
        <v>45744.0</v>
      </c>
      <c r="I313" s="357">
        <f>IF(ISBLANK(H313), NETWORKDAYS(F313, TODAY(),Hoja2!$A$1:$A$18), NETWORKDAYS(F313, H313, Hoja2!$A$1:$A$18))</f>
        <v>1</v>
      </c>
      <c r="J313" s="379"/>
      <c r="K313" s="379">
        <v>45744.0</v>
      </c>
      <c r="L313" s="377" t="s">
        <v>2311</v>
      </c>
      <c r="M313" s="382"/>
      <c r="N313" s="382"/>
      <c r="O313" s="382"/>
      <c r="P313" s="382"/>
      <c r="Q313" s="382"/>
      <c r="R313" s="382"/>
      <c r="S313" s="382"/>
      <c r="T313" s="382"/>
      <c r="U313" s="382"/>
      <c r="V313" s="382"/>
      <c r="W313" s="382"/>
      <c r="X313" s="382"/>
      <c r="Y313" s="382"/>
      <c r="Z313" s="382"/>
    </row>
    <row r="314" ht="15.75" customHeight="1">
      <c r="A314" s="375" t="s">
        <v>1436</v>
      </c>
      <c r="B314" s="828" t="s">
        <v>1437</v>
      </c>
      <c r="C314" s="786"/>
      <c r="D314" s="827" t="s">
        <v>73</v>
      </c>
      <c r="E314" s="379">
        <v>45671.0</v>
      </c>
      <c r="F314" s="380">
        <v>45673.0</v>
      </c>
      <c r="G314" s="377" t="s">
        <v>1440</v>
      </c>
      <c r="H314" s="379">
        <v>45680.0</v>
      </c>
      <c r="I314" s="357">
        <f>IF(ISBLANK(H314), NETWORKDAYS(F314, TODAY(),Hoja2!$A$1:$A$18), NETWORKDAYS(F314, H314, Hoja2!$A$1:$A$18))</f>
        <v>6</v>
      </c>
      <c r="J314" s="379">
        <v>45680.0</v>
      </c>
      <c r="K314" s="377"/>
      <c r="L314" s="377" t="s">
        <v>2312</v>
      </c>
      <c r="M314" s="800" t="s">
        <v>2313</v>
      </c>
      <c r="N314" s="382"/>
      <c r="O314" s="382"/>
      <c r="P314" s="382"/>
      <c r="Q314" s="382"/>
      <c r="R314" s="382"/>
      <c r="S314" s="382"/>
      <c r="T314" s="382"/>
      <c r="U314" s="382"/>
      <c r="V314" s="382"/>
      <c r="W314" s="382"/>
      <c r="X314" s="382"/>
      <c r="Y314" s="382"/>
      <c r="Z314" s="382"/>
    </row>
    <row r="315" ht="15.75" customHeight="1">
      <c r="A315" s="655" t="s">
        <v>1436</v>
      </c>
      <c r="B315" s="829" t="s">
        <v>2314</v>
      </c>
      <c r="C315" s="385"/>
      <c r="D315" s="648" t="s">
        <v>73</v>
      </c>
      <c r="E315" s="581">
        <v>45736.0</v>
      </c>
      <c r="F315" s="581">
        <v>45736.0</v>
      </c>
      <c r="G315" s="340"/>
      <c r="H315" s="581">
        <v>45749.0</v>
      </c>
      <c r="I315" s="659">
        <f>IF(ISBLANK(H315), NETWORKDAYS(F315, TODAY(),Hoja2!$A$1:$A$18), NETWORKDAYS(F315, H315, Hoja2!$A$1:$A$18))</f>
        <v>10</v>
      </c>
      <c r="J315" s="342">
        <v>45749.0</v>
      </c>
      <c r="K315" s="342">
        <v>45755.0</v>
      </c>
      <c r="L315" s="825" t="s">
        <v>2315</v>
      </c>
      <c r="M315" s="382"/>
      <c r="N315" s="382"/>
      <c r="O315" s="382"/>
      <c r="P315" s="382"/>
      <c r="Q315" s="382"/>
      <c r="R315" s="382"/>
      <c r="S315" s="382"/>
      <c r="T315" s="382"/>
      <c r="U315" s="382"/>
      <c r="V315" s="382"/>
      <c r="W315" s="382"/>
      <c r="X315" s="382"/>
      <c r="Y315" s="382"/>
      <c r="Z315" s="382"/>
    </row>
    <row r="316" ht="15.75" customHeight="1">
      <c r="A316" s="360" t="s">
        <v>1426</v>
      </c>
      <c r="B316" s="370" t="s">
        <v>2316</v>
      </c>
      <c r="C316" s="592"/>
      <c r="D316" s="360" t="s">
        <v>73</v>
      </c>
      <c r="E316" s="785">
        <v>45741.0</v>
      </c>
      <c r="F316" s="785">
        <v>45741.0</v>
      </c>
      <c r="G316" s="361"/>
      <c r="H316" s="361">
        <v>45755.0</v>
      </c>
      <c r="I316" s="357">
        <f>IF(ISBLANK(H316), NETWORKDAYS(F316, TODAY(),Hoja2!$A$1:$A$18), NETWORKDAYS(F316, H316, Hoja2!$A$1:$A$18))</f>
        <v>11</v>
      </c>
      <c r="J316" s="785"/>
      <c r="K316" s="361">
        <v>45755.0</v>
      </c>
      <c r="L316" s="823" t="s">
        <v>2317</v>
      </c>
      <c r="M316" s="573"/>
      <c r="N316" s="337"/>
      <c r="O316" s="337"/>
      <c r="P316" s="337"/>
      <c r="Q316" s="337"/>
      <c r="R316" s="337"/>
      <c r="S316" s="337"/>
      <c r="T316" s="337"/>
      <c r="U316" s="337"/>
      <c r="V316" s="337"/>
      <c r="W316" s="337"/>
      <c r="X316" s="337"/>
      <c r="Y316" s="337"/>
      <c r="Z316" s="337"/>
    </row>
    <row r="317" ht="15.75" customHeight="1">
      <c r="A317" s="375" t="s">
        <v>1411</v>
      </c>
      <c r="B317" s="830" t="s">
        <v>2318</v>
      </c>
      <c r="C317" s="788"/>
      <c r="D317" s="570" t="s">
        <v>73</v>
      </c>
      <c r="E317" s="727">
        <v>45709.0</v>
      </c>
      <c r="F317" s="727">
        <v>45715.0</v>
      </c>
      <c r="G317" s="725"/>
      <c r="H317" s="727">
        <v>45757.0</v>
      </c>
      <c r="I317" s="831">
        <f>IF(ISBLANK(H317), NETWORKDAYS(F317, TODAY(),Hoja2!$A$1:$A$18), NETWORKDAYS(F317, H317, Hoja2!$A$1:$A$18))</f>
        <v>31</v>
      </c>
      <c r="J317" s="727">
        <v>45716.0</v>
      </c>
      <c r="K317" s="727">
        <v>45757.0</v>
      </c>
      <c r="L317" s="810" t="s">
        <v>2319</v>
      </c>
      <c r="M317" s="337"/>
      <c r="N317" s="337"/>
      <c r="O317" s="337"/>
      <c r="P317" s="337"/>
      <c r="Q317" s="337"/>
      <c r="R317" s="337"/>
      <c r="S317" s="337"/>
      <c r="T317" s="337"/>
      <c r="U317" s="337"/>
      <c r="V317" s="337"/>
      <c r="W317" s="337"/>
      <c r="X317" s="337"/>
      <c r="Y317" s="337"/>
      <c r="Z317" s="337"/>
    </row>
    <row r="318" ht="15.75" customHeight="1">
      <c r="A318" s="572" t="s">
        <v>1411</v>
      </c>
      <c r="B318" s="832" t="s">
        <v>2320</v>
      </c>
      <c r="C318" s="833"/>
      <c r="D318" s="570" t="s">
        <v>73</v>
      </c>
      <c r="E318" s="834">
        <v>45695.0</v>
      </c>
      <c r="F318" s="790">
        <v>45712.0</v>
      </c>
      <c r="G318" s="834">
        <v>45715.0</v>
      </c>
      <c r="H318" s="834">
        <v>45757.0</v>
      </c>
      <c r="I318" s="349">
        <f>IF(ISBLANK(H318), NETWORKDAYS(F318, TODAY(),Hoja2!$A$1:$A$18), NETWORKDAYS(F318, H318, Hoja2!$A$1:$A$18))</f>
        <v>34</v>
      </c>
      <c r="J318" s="834">
        <v>45715.0</v>
      </c>
      <c r="K318" s="834">
        <v>45757.0</v>
      </c>
      <c r="L318" s="359" t="s">
        <v>2321</v>
      </c>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row>
    <row r="319" ht="15.75" customHeight="1">
      <c r="A319" s="375" t="s">
        <v>1411</v>
      </c>
      <c r="B319" s="566" t="s">
        <v>2322</v>
      </c>
      <c r="C319" s="795"/>
      <c r="D319" s="570" t="s">
        <v>73</v>
      </c>
      <c r="E319" s="379">
        <v>45755.0</v>
      </c>
      <c r="F319" s="379">
        <v>45755.0</v>
      </c>
      <c r="G319" s="379"/>
      <c r="H319" s="379">
        <v>45757.0</v>
      </c>
      <c r="I319" s="357">
        <f>IF(ISBLANK(H319), NETWORKDAYS(F319, TODAY(),Hoja2!$A$1:$A$18), NETWORKDAYS(F319, H319, Hoja2!$A$1:$A$18))</f>
        <v>3</v>
      </c>
      <c r="J319" s="379"/>
      <c r="K319" s="379">
        <v>45757.0</v>
      </c>
      <c r="L319" s="798" t="s">
        <v>2323</v>
      </c>
      <c r="M319" s="337"/>
      <c r="N319" s="337"/>
      <c r="O319" s="337"/>
      <c r="P319" s="337"/>
      <c r="Q319" s="337"/>
      <c r="R319" s="337"/>
      <c r="S319" s="337"/>
      <c r="T319" s="337"/>
      <c r="U319" s="337"/>
      <c r="V319" s="337"/>
      <c r="W319" s="337"/>
      <c r="X319" s="337"/>
      <c r="Y319" s="337"/>
      <c r="Z319" s="337"/>
    </row>
    <row r="320" ht="15.75" customHeight="1">
      <c r="A320" s="375" t="s">
        <v>1436</v>
      </c>
      <c r="B320" s="799" t="s">
        <v>2324</v>
      </c>
      <c r="C320" s="786"/>
      <c r="D320" s="348" t="s">
        <v>73</v>
      </c>
      <c r="E320" s="347">
        <v>45749.0</v>
      </c>
      <c r="F320" s="347">
        <v>45749.0</v>
      </c>
      <c r="G320" s="607"/>
      <c r="H320" s="347">
        <v>45757.0</v>
      </c>
      <c r="I320" s="357">
        <f>IF(ISBLANK(H320), NETWORKDAYS(F320, TODAY(),Hoja2!$A$1:$A$18), NETWORKDAYS(F320, H320, Hoja2!$A$1:$A$18))</f>
        <v>7</v>
      </c>
      <c r="J320" s="607"/>
      <c r="K320" s="347">
        <v>45757.0</v>
      </c>
      <c r="L320" s="836" t="s">
        <v>2325</v>
      </c>
      <c r="M320" s="382"/>
      <c r="N320" s="382"/>
      <c r="O320" s="382"/>
      <c r="P320" s="382"/>
      <c r="Q320" s="382"/>
      <c r="R320" s="382"/>
      <c r="S320" s="382"/>
      <c r="T320" s="382"/>
      <c r="U320" s="382"/>
      <c r="V320" s="382"/>
      <c r="W320" s="382"/>
      <c r="X320" s="382"/>
      <c r="Y320" s="382"/>
      <c r="Z320" s="382"/>
    </row>
    <row r="321" ht="29.25" customHeight="1">
      <c r="A321" s="680" t="s">
        <v>1689</v>
      </c>
      <c r="B321" s="457" t="s">
        <v>2326</v>
      </c>
      <c r="C321" s="837" t="s">
        <v>2327</v>
      </c>
      <c r="D321" s="412"/>
      <c r="E321" s="688" t="s">
        <v>2328</v>
      </c>
      <c r="F321" s="682">
        <v>45688.0</v>
      </c>
      <c r="G321" s="682">
        <v>45691.0</v>
      </c>
      <c r="H321" s="682">
        <v>45694.0</v>
      </c>
      <c r="I321" s="681"/>
      <c r="J321" s="677">
        <f>IF(ISBLANK(I321), NETWORKDAYS(G321, TODAY(),Hoja2!$A$1:$A$18), NETWORKDAYS(G321, I321, Hoja2!$A$1:$A$18))</f>
        <v>193</v>
      </c>
      <c r="K321" s="682"/>
      <c r="L321" s="682"/>
      <c r="M321" s="838" t="s">
        <v>2329</v>
      </c>
      <c r="N321" s="573"/>
      <c r="O321" s="337"/>
      <c r="P321" s="337"/>
      <c r="Q321" s="337"/>
      <c r="R321" s="337"/>
      <c r="S321" s="337"/>
      <c r="T321" s="337"/>
      <c r="U321" s="337"/>
      <c r="V321" s="337"/>
      <c r="W321" s="337"/>
      <c r="X321" s="337"/>
      <c r="Y321" s="337"/>
      <c r="Z321" s="337"/>
      <c r="AA321" s="337"/>
    </row>
    <row r="322" ht="15.75" customHeight="1">
      <c r="A322" s="434"/>
      <c r="B322" s="434"/>
      <c r="C322" s="434"/>
      <c r="D322" s="839"/>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ht="15.75" customHeight="1">
      <c r="A323" s="434"/>
      <c r="B323" s="434"/>
      <c r="C323" s="434"/>
      <c r="D323" s="839"/>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ht="15.75" customHeight="1">
      <c r="A324" s="434"/>
      <c r="B324" s="434"/>
      <c r="C324" s="434"/>
      <c r="D324" s="839"/>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ht="15.75" customHeight="1">
      <c r="A325" s="434"/>
      <c r="B325" s="434"/>
      <c r="C325" s="434"/>
      <c r="D325" s="839"/>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ht="15.75" customHeight="1">
      <c r="A326" s="434"/>
      <c r="B326" s="434"/>
      <c r="C326" s="434"/>
      <c r="D326" s="839"/>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ht="15.75" customHeight="1">
      <c r="A327" s="434"/>
      <c r="B327" s="434"/>
      <c r="C327" s="434"/>
      <c r="D327" s="839"/>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ht="15.75" customHeight="1">
      <c r="A328" s="434"/>
      <c r="B328" s="434"/>
      <c r="C328" s="434"/>
      <c r="D328" s="839"/>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ht="15.75" customHeight="1">
      <c r="A329" s="434"/>
      <c r="B329" s="434"/>
      <c r="C329" s="434"/>
      <c r="D329" s="839"/>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ht="15.75" customHeight="1">
      <c r="A330" s="434"/>
      <c r="B330" s="434"/>
      <c r="C330" s="434"/>
      <c r="D330" s="839"/>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ht="15.75" customHeight="1">
      <c r="A331" s="434"/>
      <c r="B331" s="434"/>
      <c r="C331" s="434"/>
      <c r="D331" s="839"/>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ht="15.75" customHeight="1">
      <c r="A332" s="434"/>
      <c r="B332" s="434"/>
      <c r="C332" s="434"/>
      <c r="D332" s="839"/>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ht="15.75" customHeight="1">
      <c r="A333" s="434"/>
      <c r="B333" s="434"/>
      <c r="C333" s="434"/>
      <c r="D333" s="839"/>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ht="15.75" customHeight="1">
      <c r="A334" s="434"/>
      <c r="B334" s="434"/>
      <c r="C334" s="434"/>
      <c r="D334" s="839"/>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ht="15.75" customHeight="1">
      <c r="A335" s="434"/>
      <c r="B335" s="434"/>
      <c r="C335" s="434"/>
      <c r="D335" s="839"/>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ht="15.75" customHeight="1">
      <c r="A336" s="434"/>
      <c r="B336" s="434"/>
      <c r="C336" s="434"/>
      <c r="D336" s="839"/>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ht="15.75" customHeight="1">
      <c r="A337" s="434"/>
      <c r="B337" s="434"/>
      <c r="C337" s="434"/>
      <c r="D337" s="839"/>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ht="15.75" customHeight="1">
      <c r="A338" s="434"/>
      <c r="B338" s="434"/>
      <c r="C338" s="434"/>
      <c r="D338" s="839"/>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ht="15.75" customHeight="1">
      <c r="A339" s="434"/>
      <c r="B339" s="434"/>
      <c r="C339" s="434"/>
      <c r="D339" s="839"/>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ht="15.75" customHeight="1">
      <c r="A340" s="434"/>
      <c r="B340" s="434"/>
      <c r="C340" s="434"/>
      <c r="D340" s="839"/>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ht="15.75" customHeight="1">
      <c r="A341" s="434"/>
      <c r="B341" s="434"/>
      <c r="C341" s="434"/>
      <c r="D341" s="839"/>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ht="15.75" customHeight="1">
      <c r="A342" s="434"/>
      <c r="B342" s="434"/>
      <c r="C342" s="434"/>
      <c r="D342" s="839"/>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ht="15.75" customHeight="1">
      <c r="A343" s="434"/>
      <c r="B343" s="434"/>
      <c r="C343" s="434"/>
      <c r="D343" s="839"/>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ht="15.75" customHeight="1">
      <c r="A344" s="434"/>
      <c r="B344" s="434"/>
      <c r="C344" s="434"/>
      <c r="D344" s="839"/>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ht="15.75" customHeight="1">
      <c r="A345" s="434"/>
      <c r="B345" s="434"/>
      <c r="C345" s="434"/>
      <c r="D345" s="839"/>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ht="15.75" customHeight="1">
      <c r="A346" s="434"/>
      <c r="B346" s="434"/>
      <c r="C346" s="434"/>
      <c r="D346" s="839"/>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ht="15.75" customHeight="1">
      <c r="A347" s="434"/>
      <c r="B347" s="434"/>
      <c r="C347" s="434"/>
      <c r="D347" s="839"/>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ht="15.75" customHeight="1">
      <c r="A348" s="434"/>
      <c r="B348" s="434"/>
      <c r="C348" s="434"/>
      <c r="D348" s="839"/>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ht="15.75" customHeight="1">
      <c r="A349" s="434"/>
      <c r="B349" s="434"/>
      <c r="C349" s="434"/>
      <c r="D349" s="839"/>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ht="15.75" customHeight="1">
      <c r="A350" s="434"/>
      <c r="B350" s="434"/>
      <c r="C350" s="434"/>
      <c r="D350" s="839"/>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ht="15.75" customHeight="1">
      <c r="A351" s="434"/>
      <c r="B351" s="434"/>
      <c r="C351" s="434"/>
      <c r="D351" s="839"/>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ht="15.75" customHeight="1">
      <c r="A352" s="434"/>
      <c r="B352" s="434"/>
      <c r="C352" s="434"/>
      <c r="D352" s="839"/>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ht="15.75" customHeight="1">
      <c r="A353" s="434"/>
      <c r="B353" s="434"/>
      <c r="C353" s="434"/>
      <c r="D353" s="839"/>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ht="15.75" customHeight="1">
      <c r="A354" s="434"/>
      <c r="B354" s="434"/>
      <c r="C354" s="434"/>
      <c r="D354" s="839"/>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ht="15.75" customHeight="1">
      <c r="A355" s="434"/>
      <c r="B355" s="434"/>
      <c r="C355" s="434"/>
      <c r="D355" s="839"/>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ht="15.75" customHeight="1">
      <c r="A356" s="434"/>
      <c r="B356" s="434"/>
      <c r="C356" s="434"/>
      <c r="D356" s="839"/>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ht="15.75" customHeight="1">
      <c r="A357" s="434"/>
      <c r="B357" s="434"/>
      <c r="C357" s="434"/>
      <c r="D357" s="839"/>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ht="15.75" customHeight="1">
      <c r="A358" s="434"/>
      <c r="B358" s="434"/>
      <c r="C358" s="434"/>
      <c r="D358" s="839"/>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ht="15.75" customHeight="1">
      <c r="A359" s="434"/>
      <c r="B359" s="434"/>
      <c r="C359" s="434"/>
      <c r="D359" s="839"/>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ht="15.75" customHeight="1">
      <c r="A360" s="434"/>
      <c r="B360" s="434"/>
      <c r="C360" s="434"/>
      <c r="D360" s="839"/>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ht="15.75" customHeight="1">
      <c r="A361" s="434"/>
      <c r="B361" s="434"/>
      <c r="C361" s="434"/>
      <c r="D361" s="839"/>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ht="15.75" customHeight="1">
      <c r="A362" s="434"/>
      <c r="B362" s="434"/>
      <c r="C362" s="434"/>
      <c r="D362" s="839"/>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ht="15.75" customHeight="1">
      <c r="A363" s="434"/>
      <c r="B363" s="434"/>
      <c r="C363" s="434"/>
      <c r="D363" s="839"/>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ht="15.75" customHeight="1">
      <c r="A364" s="434"/>
      <c r="B364" s="434"/>
      <c r="C364" s="434"/>
      <c r="D364" s="839"/>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ht="15.75" customHeight="1">
      <c r="A365" s="434"/>
      <c r="B365" s="434"/>
      <c r="C365" s="434"/>
      <c r="D365" s="839"/>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ht="15.75" customHeight="1">
      <c r="A366" s="434"/>
      <c r="B366" s="434"/>
      <c r="C366" s="434"/>
      <c r="D366" s="839"/>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ht="15.75" customHeight="1">
      <c r="A367" s="434"/>
      <c r="B367" s="434"/>
      <c r="C367" s="434"/>
      <c r="D367" s="839"/>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ht="15.75" customHeight="1">
      <c r="A368" s="434"/>
      <c r="B368" s="434"/>
      <c r="C368" s="434"/>
      <c r="D368" s="839"/>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ht="15.75" customHeight="1">
      <c r="A369" s="434"/>
      <c r="B369" s="434"/>
      <c r="C369" s="434"/>
      <c r="D369" s="839"/>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ht="15.75" customHeight="1">
      <c r="A370" s="434"/>
      <c r="B370" s="434"/>
      <c r="C370" s="434"/>
      <c r="D370" s="839"/>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ht="15.75" customHeight="1">
      <c r="A371" s="434"/>
      <c r="B371" s="434"/>
      <c r="C371" s="434"/>
      <c r="D371" s="839"/>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ht="15.75" customHeight="1">
      <c r="A372" s="434"/>
      <c r="B372" s="434"/>
      <c r="C372" s="434"/>
      <c r="D372" s="839"/>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ht="15.75" customHeight="1">
      <c r="A373" s="434"/>
      <c r="B373" s="434"/>
      <c r="C373" s="434"/>
      <c r="D373" s="839"/>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ht="15.75" customHeight="1">
      <c r="A374" s="434"/>
      <c r="B374" s="434"/>
      <c r="C374" s="434"/>
      <c r="D374" s="839"/>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ht="15.75" customHeight="1">
      <c r="A375" s="434"/>
      <c r="B375" s="434"/>
      <c r="C375" s="434"/>
      <c r="D375" s="839"/>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ht="15.75" customHeight="1">
      <c r="A376" s="434"/>
      <c r="B376" s="434"/>
      <c r="C376" s="434"/>
      <c r="D376" s="839"/>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ht="15.75" customHeight="1">
      <c r="A377" s="434"/>
      <c r="B377" s="434"/>
      <c r="C377" s="434"/>
      <c r="D377" s="839"/>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ht="15.75" customHeight="1">
      <c r="A378" s="434"/>
      <c r="B378" s="434"/>
      <c r="C378" s="434"/>
      <c r="D378" s="839"/>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ht="15.75" customHeight="1">
      <c r="A379" s="434"/>
      <c r="B379" s="434"/>
      <c r="C379" s="434"/>
      <c r="D379" s="839"/>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ht="15.75" customHeight="1">
      <c r="A380" s="434"/>
      <c r="B380" s="434"/>
      <c r="C380" s="434"/>
      <c r="D380" s="839"/>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ht="15.75" customHeight="1">
      <c r="A381" s="434"/>
      <c r="B381" s="434"/>
      <c r="C381" s="434"/>
      <c r="D381" s="839"/>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ht="15.75" customHeight="1">
      <c r="A382" s="434"/>
      <c r="B382" s="434"/>
      <c r="C382" s="434"/>
      <c r="D382" s="839"/>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ht="15.75" customHeight="1">
      <c r="A383" s="434"/>
      <c r="B383" s="434"/>
      <c r="C383" s="434"/>
      <c r="D383" s="839"/>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ht="15.75" customHeight="1">
      <c r="A384" s="434"/>
      <c r="B384" s="434"/>
      <c r="C384" s="434"/>
      <c r="D384" s="839"/>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ht="15.75" customHeight="1">
      <c r="A385" s="434"/>
      <c r="B385" s="434"/>
      <c r="C385" s="434"/>
      <c r="D385" s="839"/>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ht="15.75" customHeight="1">
      <c r="A386" s="434"/>
      <c r="B386" s="434"/>
      <c r="C386" s="434"/>
      <c r="D386" s="839"/>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ht="15.75" customHeight="1">
      <c r="A387" s="434"/>
      <c r="B387" s="434"/>
      <c r="C387" s="434"/>
      <c r="D387" s="839"/>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ht="15.75" customHeight="1">
      <c r="A388" s="434"/>
      <c r="B388" s="434"/>
      <c r="C388" s="434"/>
      <c r="D388" s="839"/>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ht="15.75" customHeight="1">
      <c r="A389" s="434"/>
      <c r="B389" s="434"/>
      <c r="C389" s="434"/>
      <c r="D389" s="839"/>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ht="15.75" customHeight="1">
      <c r="A390" s="434"/>
      <c r="B390" s="434"/>
      <c r="C390" s="434"/>
      <c r="D390" s="839"/>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ht="15.75" customHeight="1">
      <c r="A391" s="434"/>
      <c r="B391" s="434"/>
      <c r="C391" s="434"/>
      <c r="D391" s="839"/>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ht="15.75" customHeight="1">
      <c r="A392" s="434"/>
      <c r="B392" s="434"/>
      <c r="C392" s="434"/>
      <c r="D392" s="839"/>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ht="15.75" customHeight="1">
      <c r="A393" s="434"/>
      <c r="B393" s="434"/>
      <c r="C393" s="434"/>
      <c r="D393" s="839"/>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ht="15.75" customHeight="1">
      <c r="A394" s="434"/>
      <c r="B394" s="434"/>
      <c r="C394" s="434"/>
      <c r="D394" s="839"/>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ht="15.75" customHeight="1">
      <c r="A395" s="434"/>
      <c r="B395" s="434"/>
      <c r="C395" s="434"/>
      <c r="D395" s="839"/>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ht="15.75" customHeight="1">
      <c r="A396" s="434"/>
      <c r="B396" s="434"/>
      <c r="C396" s="434"/>
      <c r="D396" s="839"/>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ht="15.75" customHeight="1">
      <c r="A397" s="434"/>
      <c r="B397" s="434"/>
      <c r="C397" s="434"/>
      <c r="D397" s="839"/>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ht="15.75" customHeight="1">
      <c r="A398" s="434"/>
      <c r="B398" s="434"/>
      <c r="C398" s="434"/>
      <c r="D398" s="839"/>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ht="15.75" customHeight="1">
      <c r="A399" s="434"/>
      <c r="B399" s="434"/>
      <c r="C399" s="434"/>
      <c r="D399" s="839"/>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ht="15.75" customHeight="1">
      <c r="A400" s="434"/>
      <c r="B400" s="434"/>
      <c r="C400" s="434"/>
      <c r="D400" s="839"/>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ht="15.75" customHeight="1">
      <c r="A401" s="434"/>
      <c r="B401" s="434"/>
      <c r="C401" s="434"/>
      <c r="D401" s="839"/>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ht="15.75" customHeight="1">
      <c r="A402" s="434"/>
      <c r="B402" s="434"/>
      <c r="C402" s="434"/>
      <c r="D402" s="839"/>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ht="15.75" customHeight="1">
      <c r="A403" s="434"/>
      <c r="B403" s="434"/>
      <c r="C403" s="434"/>
      <c r="D403" s="839"/>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ht="15.75" customHeight="1">
      <c r="A404" s="434"/>
      <c r="B404" s="434"/>
      <c r="C404" s="434"/>
      <c r="D404" s="839"/>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ht="15.75" customHeight="1">
      <c r="A405" s="434"/>
      <c r="B405" s="434"/>
      <c r="C405" s="434"/>
      <c r="D405" s="839"/>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ht="15.75" customHeight="1">
      <c r="A406" s="434"/>
      <c r="B406" s="434"/>
      <c r="C406" s="434"/>
      <c r="D406" s="839"/>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ht="15.75" customHeight="1">
      <c r="A407" s="434"/>
      <c r="B407" s="434"/>
      <c r="C407" s="434"/>
      <c r="D407" s="839"/>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ht="15.75" customHeight="1">
      <c r="A408" s="434"/>
      <c r="B408" s="434"/>
      <c r="C408" s="434"/>
      <c r="D408" s="839"/>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ht="15.75" customHeight="1">
      <c r="A409" s="434"/>
      <c r="B409" s="434"/>
      <c r="C409" s="434"/>
      <c r="D409" s="839"/>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ht="15.75" customHeight="1">
      <c r="A410" s="434"/>
      <c r="B410" s="434"/>
      <c r="C410" s="434"/>
      <c r="D410" s="839"/>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ht="15.75" customHeight="1">
      <c r="A411" s="434"/>
      <c r="B411" s="434"/>
      <c r="C411" s="434"/>
      <c r="D411" s="839"/>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ht="15.75" customHeight="1">
      <c r="A412" s="434"/>
      <c r="B412" s="434"/>
      <c r="C412" s="434"/>
      <c r="D412" s="839"/>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ht="15.75" customHeight="1">
      <c r="A413" s="434"/>
      <c r="B413" s="434"/>
      <c r="C413" s="434"/>
      <c r="D413" s="839"/>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ht="15.75" customHeight="1">
      <c r="A414" s="434"/>
      <c r="B414" s="434"/>
      <c r="C414" s="434"/>
      <c r="D414" s="839"/>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ht="15.75" customHeight="1">
      <c r="A415" s="434"/>
      <c r="B415" s="434"/>
      <c r="C415" s="434"/>
      <c r="D415" s="839"/>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ht="15.75" customHeight="1">
      <c r="A416" s="434"/>
      <c r="B416" s="434"/>
      <c r="C416" s="434"/>
      <c r="D416" s="839"/>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ht="15.75" customHeight="1">
      <c r="A417" s="434"/>
      <c r="B417" s="434"/>
      <c r="C417" s="434"/>
      <c r="D417" s="839"/>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ht="15.75" customHeight="1">
      <c r="A418" s="434"/>
      <c r="B418" s="434"/>
      <c r="C418" s="434"/>
      <c r="D418" s="839"/>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ht="15.75" customHeight="1">
      <c r="A419" s="434"/>
      <c r="B419" s="434"/>
      <c r="C419" s="434"/>
      <c r="D419" s="839"/>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ht="15.75" customHeight="1">
      <c r="A420" s="434"/>
      <c r="B420" s="434"/>
      <c r="C420" s="434"/>
      <c r="D420" s="839"/>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ht="15.75" customHeight="1">
      <c r="A421" s="434"/>
      <c r="B421" s="434"/>
      <c r="C421" s="434"/>
      <c r="D421" s="839"/>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ht="15.75" customHeight="1">
      <c r="A422" s="434"/>
      <c r="B422" s="434"/>
      <c r="C422" s="434"/>
      <c r="D422" s="839"/>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ht="15.75" customHeight="1">
      <c r="A423" s="434"/>
      <c r="B423" s="434"/>
      <c r="C423" s="434"/>
      <c r="D423" s="839"/>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ht="15.75" customHeight="1">
      <c r="A424" s="434"/>
      <c r="B424" s="434"/>
      <c r="C424" s="434"/>
      <c r="D424" s="839"/>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ht="15.75" customHeight="1">
      <c r="A425" s="434"/>
      <c r="B425" s="434"/>
      <c r="C425" s="434"/>
      <c r="D425" s="839"/>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ht="15.75" customHeight="1">
      <c r="A426" s="434"/>
      <c r="B426" s="434"/>
      <c r="C426" s="434"/>
      <c r="D426" s="839"/>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ht="15.75" customHeight="1">
      <c r="A427" s="434"/>
      <c r="B427" s="434"/>
      <c r="C427" s="434"/>
      <c r="D427" s="839"/>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ht="15.75" customHeight="1">
      <c r="A428" s="434"/>
      <c r="B428" s="434"/>
      <c r="C428" s="434"/>
      <c r="D428" s="839"/>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ht="15.75" customHeight="1">
      <c r="A429" s="434"/>
      <c r="B429" s="434"/>
      <c r="C429" s="434"/>
      <c r="D429" s="839"/>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ht="15.75" customHeight="1">
      <c r="A430" s="434"/>
      <c r="B430" s="434"/>
      <c r="C430" s="434"/>
      <c r="D430" s="839"/>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ht="15.75" customHeight="1">
      <c r="A431" s="434"/>
      <c r="B431" s="434"/>
      <c r="C431" s="434"/>
      <c r="D431" s="839"/>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ht="15.75" customHeight="1">
      <c r="A432" s="434"/>
      <c r="B432" s="434"/>
      <c r="C432" s="434"/>
      <c r="D432" s="839"/>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ht="15.75" customHeight="1">
      <c r="A433" s="434"/>
      <c r="B433" s="434"/>
      <c r="C433" s="434"/>
      <c r="D433" s="839"/>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ht="15.75" customHeight="1">
      <c r="A434" s="434"/>
      <c r="B434" s="434"/>
      <c r="C434" s="434"/>
      <c r="D434" s="839"/>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ht="15.75" customHeight="1">
      <c r="A435" s="434"/>
      <c r="B435" s="434"/>
      <c r="C435" s="434"/>
      <c r="D435" s="839"/>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ht="15.75" customHeight="1">
      <c r="A436" s="434"/>
      <c r="B436" s="434"/>
      <c r="C436" s="434"/>
      <c r="D436" s="839"/>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ht="15.75" customHeight="1">
      <c r="A437" s="434"/>
      <c r="B437" s="434"/>
      <c r="C437" s="434"/>
      <c r="D437" s="839"/>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ht="15.75" customHeight="1">
      <c r="A438" s="434"/>
      <c r="B438" s="434"/>
      <c r="C438" s="434"/>
      <c r="D438" s="839"/>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ht="15.75" customHeight="1">
      <c r="A439" s="434"/>
      <c r="B439" s="434"/>
      <c r="C439" s="434"/>
      <c r="D439" s="839"/>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ht="15.75" customHeight="1">
      <c r="A440" s="434"/>
      <c r="B440" s="434"/>
      <c r="C440" s="434"/>
      <c r="D440" s="839"/>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ht="15.75" customHeight="1">
      <c r="A441" s="434"/>
      <c r="B441" s="434"/>
      <c r="C441" s="434"/>
      <c r="D441" s="839"/>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ht="15.75" customHeight="1">
      <c r="A442" s="434"/>
      <c r="B442" s="434"/>
      <c r="C442" s="434"/>
      <c r="D442" s="839"/>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ht="15.75" customHeight="1">
      <c r="A443" s="434"/>
      <c r="B443" s="434"/>
      <c r="C443" s="434"/>
      <c r="D443" s="839"/>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ht="15.75" customHeight="1">
      <c r="A444" s="434"/>
      <c r="B444" s="434"/>
      <c r="C444" s="434"/>
      <c r="D444" s="839"/>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ht="15.75" customHeight="1">
      <c r="A445" s="434"/>
      <c r="B445" s="434"/>
      <c r="C445" s="434"/>
      <c r="D445" s="839"/>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ht="15.75" customHeight="1">
      <c r="A446" s="434"/>
      <c r="B446" s="434"/>
      <c r="C446" s="434"/>
      <c r="D446" s="839"/>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ht="15.75" customHeight="1">
      <c r="A447" s="434"/>
      <c r="B447" s="434"/>
      <c r="C447" s="434"/>
      <c r="D447" s="839"/>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ht="15.75" customHeight="1">
      <c r="A448" s="434"/>
      <c r="B448" s="434"/>
      <c r="C448" s="434"/>
      <c r="D448" s="839"/>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ht="15.75" customHeight="1">
      <c r="A449" s="434"/>
      <c r="B449" s="434"/>
      <c r="C449" s="434"/>
      <c r="D449" s="839"/>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ht="15.75" customHeight="1">
      <c r="A450" s="434"/>
      <c r="B450" s="434"/>
      <c r="C450" s="434"/>
      <c r="D450" s="839"/>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ht="15.75" customHeight="1">
      <c r="A451" s="434"/>
      <c r="B451" s="434"/>
      <c r="C451" s="434"/>
      <c r="D451" s="839"/>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ht="15.75" customHeight="1">
      <c r="A452" s="434"/>
      <c r="B452" s="434"/>
      <c r="C452" s="434"/>
      <c r="D452" s="839"/>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ht="15.75" customHeight="1">
      <c r="A453" s="434"/>
      <c r="B453" s="434"/>
      <c r="C453" s="434"/>
      <c r="D453" s="839"/>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ht="15.75" customHeight="1">
      <c r="A454" s="434"/>
      <c r="B454" s="434"/>
      <c r="C454" s="434"/>
      <c r="D454" s="839"/>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ht="15.75" customHeight="1">
      <c r="A455" s="434"/>
      <c r="B455" s="434"/>
      <c r="C455" s="434"/>
      <c r="D455" s="839"/>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ht="15.75" customHeight="1">
      <c r="A456" s="434"/>
      <c r="B456" s="434"/>
      <c r="C456" s="434"/>
      <c r="D456" s="839"/>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ht="15.75" customHeight="1">
      <c r="A457" s="434"/>
      <c r="B457" s="434"/>
      <c r="C457" s="434"/>
      <c r="D457" s="839"/>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ht="15.75" customHeight="1">
      <c r="A458" s="434"/>
      <c r="B458" s="434"/>
      <c r="C458" s="434"/>
      <c r="D458" s="839"/>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ht="15.75" customHeight="1">
      <c r="A459" s="434"/>
      <c r="B459" s="434"/>
      <c r="C459" s="434"/>
      <c r="D459" s="839"/>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ht="15.75" customHeight="1">
      <c r="A460" s="434"/>
      <c r="B460" s="434"/>
      <c r="C460" s="434"/>
      <c r="D460" s="839"/>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ht="15.75" customHeight="1">
      <c r="A461" s="434"/>
      <c r="B461" s="434"/>
      <c r="C461" s="434"/>
      <c r="D461" s="839"/>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ht="15.75" customHeight="1">
      <c r="A462" s="434"/>
      <c r="B462" s="434"/>
      <c r="C462" s="434"/>
      <c r="D462" s="839"/>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ht="15.75" customHeight="1">
      <c r="A463" s="434"/>
      <c r="B463" s="434"/>
      <c r="C463" s="434"/>
      <c r="D463" s="839"/>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ht="15.75" customHeight="1">
      <c r="A464" s="434"/>
      <c r="B464" s="434"/>
      <c r="C464" s="434"/>
      <c r="D464" s="839"/>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ht="15.75" customHeight="1">
      <c r="A465" s="434"/>
      <c r="B465" s="434"/>
      <c r="C465" s="434"/>
      <c r="D465" s="839"/>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ht="15.75" customHeight="1">
      <c r="A466" s="434"/>
      <c r="B466" s="434"/>
      <c r="C466" s="434"/>
      <c r="D466" s="839"/>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ht="15.75" customHeight="1">
      <c r="A467" s="434"/>
      <c r="B467" s="434"/>
      <c r="C467" s="434"/>
      <c r="D467" s="839"/>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ht="15.75" customHeight="1">
      <c r="A468" s="434"/>
      <c r="B468" s="434"/>
      <c r="C468" s="434"/>
      <c r="D468" s="839"/>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ht="15.75" customHeight="1">
      <c r="A469" s="434"/>
      <c r="B469" s="434"/>
      <c r="C469" s="434"/>
      <c r="D469" s="839"/>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ht="15.75" customHeight="1">
      <c r="A470" s="434"/>
      <c r="B470" s="434"/>
      <c r="C470" s="434"/>
      <c r="D470" s="839"/>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ht="15.75" customHeight="1">
      <c r="A471" s="434"/>
      <c r="B471" s="434"/>
      <c r="C471" s="434"/>
      <c r="D471" s="839"/>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ht="15.75" customHeight="1">
      <c r="A472" s="434"/>
      <c r="B472" s="434"/>
      <c r="C472" s="434"/>
      <c r="D472" s="839"/>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ht="15.75" customHeight="1">
      <c r="A473" s="434"/>
      <c r="B473" s="434"/>
      <c r="C473" s="434"/>
      <c r="D473" s="839"/>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ht="15.75" customHeight="1">
      <c r="A474" s="434"/>
      <c r="B474" s="434"/>
      <c r="C474" s="434"/>
      <c r="D474" s="839"/>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ht="15.75" customHeight="1">
      <c r="A475" s="434"/>
      <c r="B475" s="434"/>
      <c r="C475" s="434"/>
      <c r="D475" s="839"/>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ht="15.75" customHeight="1">
      <c r="A476" s="434"/>
      <c r="B476" s="434"/>
      <c r="C476" s="434"/>
      <c r="D476" s="839"/>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ht="15.75" customHeight="1">
      <c r="A477" s="434"/>
      <c r="B477" s="434"/>
      <c r="C477" s="434"/>
      <c r="D477" s="839"/>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ht="15.75" customHeight="1">
      <c r="A478" s="434"/>
      <c r="B478" s="434"/>
      <c r="C478" s="434"/>
      <c r="D478" s="839"/>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ht="15.75" customHeight="1">
      <c r="A479" s="434"/>
      <c r="B479" s="434"/>
      <c r="C479" s="434"/>
      <c r="D479" s="839"/>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ht="15.75" customHeight="1">
      <c r="A480" s="434"/>
      <c r="B480" s="434"/>
      <c r="C480" s="434"/>
      <c r="D480" s="839"/>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ht="15.75" customHeight="1">
      <c r="A481" s="434"/>
      <c r="B481" s="434"/>
      <c r="C481" s="434"/>
      <c r="D481" s="839"/>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ht="15.75" customHeight="1">
      <c r="A482" s="434"/>
      <c r="B482" s="434"/>
      <c r="C482" s="434"/>
      <c r="D482" s="839"/>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ht="15.75" customHeight="1">
      <c r="A483" s="434"/>
      <c r="B483" s="434"/>
      <c r="C483" s="434"/>
      <c r="D483" s="839"/>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ht="15.75" customHeight="1">
      <c r="A484" s="434"/>
      <c r="B484" s="434"/>
      <c r="C484" s="434"/>
      <c r="D484" s="839"/>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ht="15.75" customHeight="1">
      <c r="A485" s="434"/>
      <c r="B485" s="434"/>
      <c r="C485" s="434"/>
      <c r="D485" s="839"/>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ht="15.75" customHeight="1">
      <c r="A486" s="434"/>
      <c r="B486" s="434"/>
      <c r="C486" s="434"/>
      <c r="D486" s="839"/>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ht="15.75" customHeight="1">
      <c r="A487" s="434"/>
      <c r="B487" s="434"/>
      <c r="C487" s="434"/>
      <c r="D487" s="839"/>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ht="15.75" customHeight="1">
      <c r="A488" s="434"/>
      <c r="B488" s="434"/>
      <c r="C488" s="434"/>
      <c r="D488" s="839"/>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ht="15.75" customHeight="1">
      <c r="A489" s="434"/>
      <c r="B489" s="434"/>
      <c r="C489" s="434"/>
      <c r="D489" s="839"/>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ht="15.75" customHeight="1">
      <c r="A490" s="434"/>
      <c r="B490" s="434"/>
      <c r="C490" s="434"/>
      <c r="D490" s="839"/>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ht="15.75" customHeight="1">
      <c r="A491" s="434"/>
      <c r="B491" s="434"/>
      <c r="C491" s="434"/>
      <c r="D491" s="839"/>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ht="15.75" customHeight="1">
      <c r="A492" s="434"/>
      <c r="B492" s="434"/>
      <c r="C492" s="434"/>
      <c r="D492" s="839"/>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ht="15.75" customHeight="1">
      <c r="A493" s="434"/>
      <c r="B493" s="434"/>
      <c r="C493" s="434"/>
      <c r="D493" s="839"/>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ht="15.75" customHeight="1">
      <c r="A494" s="434"/>
      <c r="B494" s="434"/>
      <c r="C494" s="434"/>
      <c r="D494" s="839"/>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ht="15.75" customHeight="1">
      <c r="A495" s="434"/>
      <c r="B495" s="434"/>
      <c r="C495" s="434"/>
      <c r="D495" s="839"/>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ht="15.75" customHeight="1">
      <c r="A496" s="434"/>
      <c r="B496" s="434"/>
      <c r="C496" s="434"/>
      <c r="D496" s="839"/>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ht="15.75" customHeight="1">
      <c r="A497" s="434"/>
      <c r="B497" s="434"/>
      <c r="C497" s="434"/>
      <c r="D497" s="839"/>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ht="15.75" customHeight="1">
      <c r="A498" s="434"/>
      <c r="B498" s="434"/>
      <c r="C498" s="434"/>
      <c r="D498" s="839"/>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ht="15.75" customHeight="1">
      <c r="A499" s="434"/>
      <c r="B499" s="434"/>
      <c r="C499" s="434"/>
      <c r="D499" s="839"/>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ht="15.75" customHeight="1">
      <c r="A500" s="434"/>
      <c r="B500" s="434"/>
      <c r="C500" s="434"/>
      <c r="D500" s="839"/>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ht="15.75" customHeight="1">
      <c r="A501" s="434"/>
      <c r="B501" s="434"/>
      <c r="C501" s="434"/>
      <c r="D501" s="839"/>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ht="15.75" customHeight="1">
      <c r="A502" s="434"/>
      <c r="B502" s="434"/>
      <c r="C502" s="434"/>
      <c r="D502" s="839"/>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ht="15.75" customHeight="1">
      <c r="A503" s="434"/>
      <c r="B503" s="434"/>
      <c r="C503" s="434"/>
      <c r="D503" s="839"/>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ht="15.75" customHeight="1">
      <c r="A504" s="434"/>
      <c r="B504" s="434"/>
      <c r="C504" s="434"/>
      <c r="D504" s="839"/>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ht="15.75" customHeight="1">
      <c r="A505" s="434"/>
      <c r="B505" s="434"/>
      <c r="C505" s="434"/>
      <c r="D505" s="839"/>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ht="15.75" customHeight="1">
      <c r="A506" s="434"/>
      <c r="B506" s="434"/>
      <c r="C506" s="434"/>
      <c r="D506" s="839"/>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ht="15.75" customHeight="1">
      <c r="A507" s="434"/>
      <c r="B507" s="434"/>
      <c r="C507" s="434"/>
      <c r="D507" s="839"/>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ht="15.75" customHeight="1">
      <c r="A508" s="434"/>
      <c r="B508" s="434"/>
      <c r="C508" s="434"/>
      <c r="D508" s="839"/>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ht="15.75" customHeight="1">
      <c r="A509" s="434"/>
      <c r="B509" s="434"/>
      <c r="C509" s="434"/>
      <c r="D509" s="839"/>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ht="15.75" customHeight="1">
      <c r="A510" s="434"/>
      <c r="B510" s="434"/>
      <c r="C510" s="434"/>
      <c r="D510" s="839"/>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ht="15.75" customHeight="1">
      <c r="A511" s="434"/>
      <c r="B511" s="434"/>
      <c r="C511" s="434"/>
      <c r="D511" s="839"/>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ht="15.75" customHeight="1">
      <c r="A512" s="434"/>
      <c r="B512" s="434"/>
      <c r="C512" s="434"/>
      <c r="D512" s="839"/>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ht="15.75" customHeight="1">
      <c r="A513" s="434"/>
      <c r="B513" s="434"/>
      <c r="C513" s="434"/>
      <c r="D513" s="839"/>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ht="15.75" customHeight="1">
      <c r="A514" s="434"/>
      <c r="B514" s="434"/>
      <c r="C514" s="434"/>
      <c r="D514" s="839"/>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ht="15.75" customHeight="1">
      <c r="A515" s="434"/>
      <c r="B515" s="434"/>
      <c r="C515" s="434"/>
      <c r="D515" s="839"/>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ht="15.75" customHeight="1">
      <c r="A516" s="434"/>
      <c r="B516" s="434"/>
      <c r="C516" s="434"/>
      <c r="D516" s="839"/>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ht="15.75" customHeight="1">
      <c r="A517" s="434"/>
      <c r="B517" s="434"/>
      <c r="C517" s="434"/>
      <c r="D517" s="839"/>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ht="15.75" customHeight="1">
      <c r="A518" s="434"/>
      <c r="B518" s="434"/>
      <c r="C518" s="434"/>
      <c r="D518" s="839"/>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ht="15.75" customHeight="1">
      <c r="A519" s="434"/>
      <c r="B519" s="434"/>
      <c r="C519" s="434"/>
      <c r="D519" s="839"/>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ht="15.75" customHeight="1">
      <c r="A520" s="434"/>
      <c r="B520" s="434"/>
      <c r="C520" s="434"/>
      <c r="D520" s="839"/>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ht="15.75" customHeight="1">
      <c r="D521" s="840"/>
    </row>
    <row r="522" ht="15.75" customHeight="1">
      <c r="D522" s="840"/>
    </row>
    <row r="523" ht="15.75" customHeight="1">
      <c r="D523" s="840"/>
    </row>
    <row r="524" ht="15.75" customHeight="1">
      <c r="D524" s="840"/>
    </row>
    <row r="525" ht="15.75" customHeight="1">
      <c r="D525" s="840"/>
    </row>
    <row r="526" ht="15.75" customHeight="1">
      <c r="D526" s="840"/>
    </row>
    <row r="527" ht="15.75" customHeight="1">
      <c r="D527" s="840"/>
    </row>
    <row r="528" ht="15.75" customHeight="1">
      <c r="D528" s="840"/>
    </row>
    <row r="529" ht="15.75" customHeight="1">
      <c r="D529" s="840"/>
    </row>
    <row r="530" ht="15.75" customHeight="1">
      <c r="D530" s="840"/>
    </row>
    <row r="531" ht="15.75" customHeight="1">
      <c r="D531" s="840"/>
    </row>
    <row r="532" ht="15.75" customHeight="1">
      <c r="D532" s="840"/>
    </row>
    <row r="533" ht="15.75" customHeight="1">
      <c r="D533" s="840"/>
    </row>
    <row r="534" ht="15.75" customHeight="1">
      <c r="D534" s="840"/>
    </row>
    <row r="535" ht="15.75" customHeight="1">
      <c r="D535" s="840"/>
    </row>
    <row r="536" ht="15.75" customHeight="1">
      <c r="D536" s="840"/>
    </row>
    <row r="537" ht="15.75" customHeight="1">
      <c r="D537" s="840"/>
    </row>
    <row r="538" ht="15.75" customHeight="1">
      <c r="D538" s="840"/>
    </row>
    <row r="539" ht="15.75" customHeight="1">
      <c r="D539" s="840"/>
    </row>
    <row r="540" ht="15.75" customHeight="1">
      <c r="D540" s="840"/>
    </row>
    <row r="541" ht="15.75" customHeight="1">
      <c r="D541" s="840"/>
    </row>
    <row r="542" ht="15.75" customHeight="1">
      <c r="D542" s="840"/>
    </row>
    <row r="543" ht="15.75" customHeight="1">
      <c r="D543" s="840"/>
    </row>
    <row r="544" ht="15.75" customHeight="1">
      <c r="D544" s="840"/>
    </row>
    <row r="545" ht="15.75" customHeight="1">
      <c r="D545" s="840"/>
    </row>
    <row r="546" ht="15.75" customHeight="1">
      <c r="D546" s="840"/>
    </row>
    <row r="547" ht="15.75" customHeight="1">
      <c r="D547" s="840"/>
    </row>
    <row r="548" ht="15.75" customHeight="1">
      <c r="D548" s="840"/>
    </row>
    <row r="549" ht="15.75" customHeight="1">
      <c r="D549" s="840"/>
    </row>
    <row r="550" ht="15.75" customHeight="1">
      <c r="D550" s="840"/>
    </row>
    <row r="551" ht="15.75" customHeight="1">
      <c r="D551" s="840"/>
    </row>
    <row r="552" ht="15.75" customHeight="1">
      <c r="D552" s="840"/>
    </row>
    <row r="553" ht="15.75" customHeight="1">
      <c r="D553" s="840"/>
    </row>
    <row r="554" ht="15.75" customHeight="1">
      <c r="D554" s="840"/>
    </row>
    <row r="555" ht="15.75" customHeight="1">
      <c r="D555" s="840"/>
    </row>
    <row r="556" ht="15.75" customHeight="1">
      <c r="D556" s="840"/>
    </row>
    <row r="557" ht="15.75" customHeight="1">
      <c r="D557" s="840"/>
    </row>
    <row r="558" ht="15.75" customHeight="1">
      <c r="D558" s="840"/>
    </row>
    <row r="559" ht="15.75" customHeight="1">
      <c r="D559" s="840"/>
    </row>
    <row r="560" ht="15.75" customHeight="1">
      <c r="D560" s="840"/>
    </row>
    <row r="561" ht="15.75" customHeight="1">
      <c r="D561" s="840"/>
    </row>
    <row r="562" ht="15.75" customHeight="1">
      <c r="D562" s="840"/>
    </row>
    <row r="563" ht="15.75" customHeight="1">
      <c r="D563" s="840"/>
    </row>
    <row r="564" ht="15.75" customHeight="1">
      <c r="D564" s="840"/>
    </row>
    <row r="565" ht="15.75" customHeight="1">
      <c r="D565" s="840"/>
    </row>
    <row r="566" ht="15.75" customHeight="1">
      <c r="D566" s="840"/>
    </row>
    <row r="567" ht="15.75" customHeight="1">
      <c r="D567" s="840"/>
    </row>
    <row r="568" ht="15.75" customHeight="1">
      <c r="D568" s="840"/>
    </row>
    <row r="569" ht="15.75" customHeight="1">
      <c r="D569" s="840"/>
    </row>
    <row r="570" ht="15.75" customHeight="1">
      <c r="D570" s="840"/>
    </row>
    <row r="571" ht="15.75" customHeight="1">
      <c r="D571" s="840"/>
    </row>
    <row r="572" ht="15.75" customHeight="1">
      <c r="D572" s="840"/>
    </row>
    <row r="573" ht="15.75" customHeight="1">
      <c r="D573" s="840"/>
    </row>
    <row r="574" ht="15.75" customHeight="1">
      <c r="D574" s="840"/>
    </row>
    <row r="575" ht="15.75" customHeight="1">
      <c r="D575" s="840"/>
    </row>
    <row r="576" ht="15.75" customHeight="1">
      <c r="D576" s="840"/>
    </row>
    <row r="577" ht="15.75" customHeight="1">
      <c r="D577" s="840"/>
    </row>
    <row r="578" ht="15.75" customHeight="1">
      <c r="D578" s="840"/>
    </row>
    <row r="579" ht="15.75" customHeight="1">
      <c r="D579" s="840"/>
    </row>
    <row r="580" ht="15.75" customHeight="1">
      <c r="D580" s="840"/>
    </row>
    <row r="581" ht="15.75" customHeight="1">
      <c r="D581" s="840"/>
    </row>
    <row r="582" ht="15.75" customHeight="1">
      <c r="D582" s="840"/>
    </row>
    <row r="583" ht="15.75" customHeight="1">
      <c r="D583" s="840"/>
    </row>
    <row r="584" ht="15.75" customHeight="1">
      <c r="D584" s="840"/>
    </row>
    <row r="585" ht="15.75" customHeight="1">
      <c r="D585" s="840"/>
    </row>
    <row r="586" ht="15.75" customHeight="1">
      <c r="D586" s="840"/>
    </row>
    <row r="587" ht="15.75" customHeight="1">
      <c r="D587" s="840"/>
    </row>
    <row r="588" ht="15.75" customHeight="1">
      <c r="D588" s="840"/>
    </row>
    <row r="589" ht="15.75" customHeight="1">
      <c r="D589" s="840"/>
    </row>
    <row r="590" ht="15.75" customHeight="1">
      <c r="D590" s="840"/>
    </row>
    <row r="591" ht="15.75" customHeight="1">
      <c r="D591" s="840"/>
    </row>
    <row r="592" ht="15.75" customHeight="1">
      <c r="D592" s="840"/>
    </row>
    <row r="593" ht="15.75" customHeight="1">
      <c r="D593" s="840"/>
    </row>
    <row r="594" ht="15.75" customHeight="1">
      <c r="D594" s="840"/>
    </row>
    <row r="595" ht="15.75" customHeight="1">
      <c r="D595" s="840"/>
    </row>
    <row r="596" ht="15.75" customHeight="1">
      <c r="D596" s="840"/>
    </row>
    <row r="597" ht="15.75" customHeight="1">
      <c r="D597" s="840"/>
    </row>
    <row r="598" ht="15.75" customHeight="1">
      <c r="D598" s="840"/>
    </row>
    <row r="599" ht="15.75" customHeight="1">
      <c r="D599" s="840"/>
    </row>
    <row r="600" ht="15.75" customHeight="1">
      <c r="D600" s="840"/>
    </row>
    <row r="601" ht="15.75" customHeight="1">
      <c r="D601" s="840"/>
    </row>
    <row r="602" ht="15.75" customHeight="1">
      <c r="D602" s="840"/>
    </row>
    <row r="603" ht="15.75" customHeight="1">
      <c r="D603" s="840"/>
    </row>
    <row r="604" ht="15.75" customHeight="1">
      <c r="D604" s="840"/>
    </row>
    <row r="605" ht="15.75" customHeight="1">
      <c r="D605" s="840"/>
    </row>
    <row r="606" ht="15.75" customHeight="1">
      <c r="D606" s="840"/>
    </row>
    <row r="607" ht="15.75" customHeight="1">
      <c r="D607" s="840"/>
    </row>
    <row r="608" ht="15.75" customHeight="1">
      <c r="D608" s="840"/>
    </row>
    <row r="609" ht="15.75" customHeight="1">
      <c r="D609" s="840"/>
    </row>
    <row r="610" ht="15.75" customHeight="1">
      <c r="D610" s="840"/>
    </row>
    <row r="611" ht="15.75" customHeight="1">
      <c r="D611" s="840"/>
    </row>
    <row r="612" ht="15.75" customHeight="1">
      <c r="D612" s="840"/>
    </row>
    <row r="613" ht="15.75" customHeight="1">
      <c r="D613" s="840"/>
    </row>
    <row r="614" ht="15.75" customHeight="1">
      <c r="D614" s="840"/>
    </row>
    <row r="615" ht="15.75" customHeight="1">
      <c r="D615" s="840"/>
    </row>
    <row r="616" ht="15.75" customHeight="1">
      <c r="D616" s="840"/>
    </row>
    <row r="617" ht="15.75" customHeight="1">
      <c r="D617" s="840"/>
    </row>
    <row r="618" ht="15.75" customHeight="1">
      <c r="D618" s="840"/>
    </row>
    <row r="619" ht="15.75" customHeight="1">
      <c r="D619" s="840"/>
    </row>
    <row r="620" ht="15.75" customHeight="1">
      <c r="D620" s="840"/>
    </row>
    <row r="621" ht="15.75" customHeight="1">
      <c r="D621" s="840"/>
    </row>
    <row r="622" ht="15.75" customHeight="1">
      <c r="D622" s="840"/>
    </row>
    <row r="623" ht="15.75" customHeight="1">
      <c r="D623" s="840"/>
    </row>
    <row r="624" ht="15.75" customHeight="1">
      <c r="D624" s="840"/>
    </row>
    <row r="625" ht="15.75" customHeight="1">
      <c r="D625" s="840"/>
    </row>
    <row r="626" ht="15.75" customHeight="1">
      <c r="D626" s="840"/>
    </row>
    <row r="627" ht="15.75" customHeight="1">
      <c r="D627" s="840"/>
    </row>
    <row r="628" ht="15.75" customHeight="1">
      <c r="D628" s="840"/>
    </row>
    <row r="629" ht="15.75" customHeight="1">
      <c r="D629" s="840"/>
    </row>
    <row r="630" ht="15.75" customHeight="1">
      <c r="D630" s="840"/>
    </row>
    <row r="631" ht="15.75" customHeight="1">
      <c r="D631" s="840"/>
    </row>
    <row r="632" ht="15.75" customHeight="1">
      <c r="D632" s="840"/>
    </row>
    <row r="633" ht="15.75" customHeight="1">
      <c r="D633" s="840"/>
    </row>
    <row r="634" ht="15.75" customHeight="1">
      <c r="D634" s="840"/>
    </row>
    <row r="635" ht="15.75" customHeight="1">
      <c r="D635" s="840"/>
    </row>
    <row r="636" ht="15.75" customHeight="1">
      <c r="D636" s="840"/>
    </row>
    <row r="637" ht="15.75" customHeight="1">
      <c r="D637" s="840"/>
    </row>
    <row r="638" ht="15.75" customHeight="1">
      <c r="D638" s="840"/>
    </row>
    <row r="639" ht="15.75" customHeight="1">
      <c r="D639" s="840"/>
    </row>
    <row r="640" ht="15.75" customHeight="1">
      <c r="D640" s="840"/>
    </row>
    <row r="641" ht="15.75" customHeight="1">
      <c r="D641" s="840"/>
    </row>
    <row r="642" ht="15.75" customHeight="1">
      <c r="D642" s="840"/>
    </row>
    <row r="643" ht="15.75" customHeight="1">
      <c r="D643" s="840"/>
    </row>
    <row r="644" ht="15.75" customHeight="1">
      <c r="D644" s="840"/>
    </row>
    <row r="645" ht="15.75" customHeight="1">
      <c r="D645" s="840"/>
    </row>
    <row r="646" ht="15.75" customHeight="1">
      <c r="D646" s="840"/>
    </row>
    <row r="647" ht="15.75" customHeight="1">
      <c r="D647" s="840"/>
    </row>
    <row r="648" ht="15.75" customHeight="1">
      <c r="D648" s="840"/>
    </row>
    <row r="649" ht="15.75" customHeight="1">
      <c r="D649" s="840"/>
    </row>
    <row r="650" ht="15.75" customHeight="1">
      <c r="D650" s="840"/>
    </row>
    <row r="651" ht="15.75" customHeight="1">
      <c r="D651" s="840"/>
    </row>
    <row r="652" ht="15.75" customHeight="1">
      <c r="D652" s="840"/>
    </row>
    <row r="653" ht="15.75" customHeight="1">
      <c r="D653" s="840"/>
    </row>
    <row r="654" ht="15.75" customHeight="1">
      <c r="D654" s="840"/>
    </row>
    <row r="655" ht="15.75" customHeight="1">
      <c r="D655" s="840"/>
    </row>
    <row r="656" ht="15.75" customHeight="1">
      <c r="D656" s="840"/>
    </row>
    <row r="657" ht="15.75" customHeight="1">
      <c r="D657" s="840"/>
    </row>
    <row r="658" ht="15.75" customHeight="1">
      <c r="D658" s="840"/>
    </row>
    <row r="659" ht="15.75" customHeight="1">
      <c r="D659" s="840"/>
    </row>
    <row r="660" ht="15.75" customHeight="1">
      <c r="D660" s="840"/>
    </row>
    <row r="661" ht="15.75" customHeight="1">
      <c r="D661" s="840"/>
    </row>
    <row r="662" ht="15.75" customHeight="1">
      <c r="D662" s="840"/>
    </row>
    <row r="663" ht="15.75" customHeight="1">
      <c r="D663" s="840"/>
    </row>
    <row r="664" ht="15.75" customHeight="1">
      <c r="D664" s="840"/>
    </row>
    <row r="665" ht="15.75" customHeight="1">
      <c r="D665" s="840"/>
    </row>
    <row r="666" ht="15.75" customHeight="1">
      <c r="D666" s="840"/>
    </row>
    <row r="667" ht="15.75" customHeight="1">
      <c r="D667" s="840"/>
    </row>
    <row r="668" ht="15.75" customHeight="1">
      <c r="D668" s="840"/>
    </row>
    <row r="669" ht="15.75" customHeight="1">
      <c r="D669" s="840"/>
    </row>
    <row r="670" ht="15.75" customHeight="1">
      <c r="D670" s="840"/>
    </row>
    <row r="671" ht="15.75" customHeight="1">
      <c r="D671" s="840"/>
    </row>
    <row r="672" ht="15.75" customHeight="1">
      <c r="D672" s="840"/>
    </row>
    <row r="673" ht="15.75" customHeight="1">
      <c r="D673" s="840"/>
    </row>
    <row r="674" ht="15.75" customHeight="1">
      <c r="D674" s="840"/>
    </row>
    <row r="675" ht="15.75" customHeight="1">
      <c r="D675" s="840"/>
    </row>
    <row r="676" ht="15.75" customHeight="1">
      <c r="D676" s="840"/>
    </row>
    <row r="677" ht="15.75" customHeight="1">
      <c r="D677" s="840"/>
    </row>
    <row r="678" ht="15.75" customHeight="1">
      <c r="D678" s="840"/>
    </row>
    <row r="679" ht="15.75" customHeight="1">
      <c r="D679" s="840"/>
    </row>
    <row r="680" ht="15.75" customHeight="1">
      <c r="D680" s="840"/>
    </row>
    <row r="681" ht="15.75" customHeight="1">
      <c r="D681" s="840"/>
    </row>
    <row r="682" ht="15.75" customHeight="1">
      <c r="D682" s="840"/>
    </row>
    <row r="683" ht="15.75" customHeight="1">
      <c r="D683" s="840"/>
    </row>
    <row r="684" ht="15.75" customHeight="1">
      <c r="D684" s="840"/>
    </row>
    <row r="685" ht="15.75" customHeight="1">
      <c r="D685" s="840"/>
    </row>
    <row r="686" ht="15.75" customHeight="1">
      <c r="D686" s="840"/>
    </row>
    <row r="687" ht="15.75" customHeight="1">
      <c r="D687" s="840"/>
    </row>
    <row r="688" ht="15.75" customHeight="1">
      <c r="D688" s="840"/>
    </row>
    <row r="689" ht="15.75" customHeight="1">
      <c r="D689" s="840"/>
    </row>
    <row r="690" ht="15.75" customHeight="1">
      <c r="D690" s="840"/>
    </row>
    <row r="691" ht="15.75" customHeight="1">
      <c r="D691" s="840"/>
    </row>
    <row r="692" ht="15.75" customHeight="1">
      <c r="D692" s="840"/>
    </row>
    <row r="693" ht="15.75" customHeight="1">
      <c r="D693" s="840"/>
    </row>
    <row r="694" ht="15.75" customHeight="1">
      <c r="D694" s="840"/>
    </row>
    <row r="695" ht="15.75" customHeight="1">
      <c r="D695" s="840"/>
    </row>
    <row r="696" ht="15.75" customHeight="1">
      <c r="D696" s="840"/>
    </row>
    <row r="697" ht="15.75" customHeight="1">
      <c r="D697" s="840"/>
    </row>
    <row r="698" ht="15.75" customHeight="1">
      <c r="D698" s="840"/>
    </row>
    <row r="699" ht="15.75" customHeight="1">
      <c r="D699" s="840"/>
    </row>
    <row r="700" ht="15.75" customHeight="1">
      <c r="D700" s="840"/>
    </row>
    <row r="701" ht="15.75" customHeight="1">
      <c r="D701" s="840"/>
    </row>
    <row r="702" ht="15.75" customHeight="1">
      <c r="D702" s="840"/>
    </row>
    <row r="703" ht="15.75" customHeight="1">
      <c r="D703" s="840"/>
    </row>
    <row r="704" ht="15.75" customHeight="1">
      <c r="D704" s="840"/>
    </row>
    <row r="705" ht="15.75" customHeight="1">
      <c r="D705" s="840"/>
    </row>
    <row r="706" ht="15.75" customHeight="1">
      <c r="D706" s="840"/>
    </row>
    <row r="707" ht="15.75" customHeight="1">
      <c r="D707" s="840"/>
    </row>
    <row r="708" ht="15.75" customHeight="1">
      <c r="D708" s="840"/>
    </row>
    <row r="709" ht="15.75" customHeight="1">
      <c r="D709" s="840"/>
    </row>
    <row r="710" ht="15.75" customHeight="1">
      <c r="D710" s="840"/>
    </row>
    <row r="711" ht="15.75" customHeight="1">
      <c r="D711" s="840"/>
    </row>
    <row r="712" ht="15.75" customHeight="1">
      <c r="D712" s="840"/>
    </row>
    <row r="713" ht="15.75" customHeight="1">
      <c r="D713" s="840"/>
    </row>
    <row r="714" ht="15.75" customHeight="1">
      <c r="D714" s="840"/>
    </row>
    <row r="715" ht="15.75" customHeight="1">
      <c r="D715" s="840"/>
    </row>
    <row r="716" ht="15.75" customHeight="1">
      <c r="D716" s="840"/>
    </row>
    <row r="717" ht="15.75" customHeight="1">
      <c r="D717" s="840"/>
    </row>
    <row r="718" ht="15.75" customHeight="1">
      <c r="D718" s="840"/>
    </row>
    <row r="719" ht="15.75" customHeight="1">
      <c r="D719" s="840"/>
    </row>
    <row r="720" ht="15.75" customHeight="1">
      <c r="D720" s="840"/>
    </row>
    <row r="721" ht="15.75" customHeight="1">
      <c r="D721" s="840"/>
    </row>
    <row r="722" ht="15.75" customHeight="1">
      <c r="D722" s="840"/>
    </row>
    <row r="723" ht="15.75" customHeight="1">
      <c r="D723" s="840"/>
    </row>
    <row r="724" ht="15.75" customHeight="1">
      <c r="D724" s="840"/>
    </row>
    <row r="725" ht="15.75" customHeight="1">
      <c r="D725" s="840"/>
    </row>
    <row r="726" ht="15.75" customHeight="1">
      <c r="D726" s="840"/>
    </row>
    <row r="727" ht="15.75" customHeight="1">
      <c r="D727" s="840"/>
    </row>
    <row r="728" ht="15.75" customHeight="1">
      <c r="D728" s="840"/>
    </row>
    <row r="729" ht="15.75" customHeight="1">
      <c r="D729" s="840"/>
    </row>
    <row r="730" ht="15.75" customHeight="1">
      <c r="D730" s="840"/>
    </row>
    <row r="731" ht="15.75" customHeight="1">
      <c r="D731" s="840"/>
    </row>
    <row r="732" ht="15.75" customHeight="1">
      <c r="D732" s="840"/>
    </row>
    <row r="733" ht="15.75" customHeight="1">
      <c r="D733" s="840"/>
    </row>
    <row r="734" ht="15.75" customHeight="1">
      <c r="D734" s="840"/>
    </row>
    <row r="735" ht="15.75" customHeight="1">
      <c r="D735" s="840"/>
    </row>
    <row r="736" ht="15.75" customHeight="1">
      <c r="D736" s="840"/>
    </row>
    <row r="737" ht="15.75" customHeight="1">
      <c r="D737" s="840"/>
    </row>
    <row r="738" ht="15.75" customHeight="1">
      <c r="D738" s="840"/>
    </row>
    <row r="739" ht="15.75" customHeight="1">
      <c r="D739" s="840"/>
    </row>
    <row r="740" ht="15.75" customHeight="1">
      <c r="D740" s="840"/>
    </row>
    <row r="741" ht="15.75" customHeight="1">
      <c r="D741" s="840"/>
    </row>
    <row r="742" ht="15.75" customHeight="1">
      <c r="D742" s="840"/>
    </row>
    <row r="743" ht="15.75" customHeight="1">
      <c r="D743" s="840"/>
    </row>
    <row r="744" ht="15.75" customHeight="1">
      <c r="D744" s="840"/>
    </row>
    <row r="745" ht="15.75" customHeight="1">
      <c r="D745" s="840"/>
    </row>
    <row r="746" ht="15.75" customHeight="1">
      <c r="D746" s="840"/>
    </row>
    <row r="747" ht="15.75" customHeight="1">
      <c r="D747" s="840"/>
    </row>
    <row r="748" ht="15.75" customHeight="1">
      <c r="D748" s="840"/>
    </row>
    <row r="749" ht="15.75" customHeight="1">
      <c r="D749" s="840"/>
    </row>
    <row r="750" ht="15.75" customHeight="1">
      <c r="D750" s="840"/>
    </row>
    <row r="751" ht="15.75" customHeight="1">
      <c r="D751" s="840"/>
    </row>
    <row r="752" ht="15.75" customHeight="1">
      <c r="D752" s="840"/>
    </row>
    <row r="753" ht="15.75" customHeight="1">
      <c r="D753" s="840"/>
    </row>
    <row r="754" ht="15.75" customHeight="1">
      <c r="D754" s="840"/>
    </row>
    <row r="755" ht="15.75" customHeight="1">
      <c r="D755" s="840"/>
    </row>
    <row r="756" ht="15.75" customHeight="1">
      <c r="D756" s="840"/>
    </row>
    <row r="757" ht="15.75" customHeight="1">
      <c r="D757" s="840"/>
    </row>
    <row r="758" ht="15.75" customHeight="1">
      <c r="D758" s="840"/>
    </row>
    <row r="759" ht="15.75" customHeight="1">
      <c r="D759" s="840"/>
    </row>
    <row r="760" ht="15.75" customHeight="1">
      <c r="D760" s="840"/>
    </row>
    <row r="761" ht="15.75" customHeight="1">
      <c r="D761" s="840"/>
    </row>
    <row r="762" ht="15.75" customHeight="1">
      <c r="D762" s="840"/>
    </row>
    <row r="763" ht="15.75" customHeight="1">
      <c r="D763" s="840"/>
    </row>
    <row r="764" ht="15.75" customHeight="1">
      <c r="D764" s="840"/>
    </row>
    <row r="765" ht="15.75" customHeight="1">
      <c r="D765" s="840"/>
    </row>
    <row r="766" ht="15.75" customHeight="1">
      <c r="D766" s="840"/>
    </row>
    <row r="767" ht="15.75" customHeight="1">
      <c r="D767" s="840"/>
    </row>
    <row r="768" ht="15.75" customHeight="1">
      <c r="D768" s="840"/>
    </row>
    <row r="769" ht="15.75" customHeight="1">
      <c r="D769" s="840"/>
    </row>
    <row r="770" ht="15.75" customHeight="1">
      <c r="D770" s="840"/>
    </row>
    <row r="771" ht="15.75" customHeight="1">
      <c r="D771" s="840"/>
    </row>
    <row r="772" ht="15.75" customHeight="1">
      <c r="D772" s="840"/>
    </row>
    <row r="773" ht="15.75" customHeight="1">
      <c r="D773" s="840"/>
    </row>
    <row r="774" ht="15.75" customHeight="1">
      <c r="D774" s="840"/>
    </row>
    <row r="775" ht="15.75" customHeight="1">
      <c r="D775" s="840"/>
    </row>
    <row r="776" ht="15.75" customHeight="1">
      <c r="D776" s="840"/>
    </row>
    <row r="777" ht="15.75" customHeight="1">
      <c r="D777" s="840"/>
    </row>
    <row r="778" ht="15.75" customHeight="1">
      <c r="D778" s="840"/>
    </row>
    <row r="779" ht="15.75" customHeight="1">
      <c r="D779" s="840"/>
    </row>
    <row r="780" ht="15.75" customHeight="1">
      <c r="D780" s="840"/>
    </row>
    <row r="781" ht="15.75" customHeight="1">
      <c r="D781" s="840"/>
    </row>
    <row r="782" ht="15.75" customHeight="1">
      <c r="D782" s="840"/>
    </row>
    <row r="783" ht="15.75" customHeight="1">
      <c r="D783" s="840"/>
    </row>
    <row r="784" ht="15.75" customHeight="1">
      <c r="D784" s="840"/>
    </row>
    <row r="785" ht="15.75" customHeight="1">
      <c r="D785" s="840"/>
    </row>
    <row r="786" ht="15.75" customHeight="1">
      <c r="D786" s="840"/>
    </row>
    <row r="787" ht="15.75" customHeight="1">
      <c r="D787" s="840"/>
    </row>
    <row r="788" ht="15.75" customHeight="1">
      <c r="D788" s="840"/>
    </row>
    <row r="789" ht="15.75" customHeight="1">
      <c r="D789" s="840"/>
    </row>
    <row r="790" ht="15.75" customHeight="1">
      <c r="D790" s="840"/>
    </row>
    <row r="791" ht="15.75" customHeight="1">
      <c r="D791" s="840"/>
    </row>
    <row r="792" ht="15.75" customHeight="1">
      <c r="D792" s="840"/>
    </row>
    <row r="793" ht="15.75" customHeight="1">
      <c r="D793" s="840"/>
    </row>
    <row r="794" ht="15.75" customHeight="1">
      <c r="D794" s="840"/>
    </row>
    <row r="795" ht="15.75" customHeight="1">
      <c r="D795" s="840"/>
    </row>
    <row r="796" ht="15.75" customHeight="1">
      <c r="D796" s="840"/>
    </row>
    <row r="797" ht="15.75" customHeight="1">
      <c r="D797" s="840"/>
    </row>
    <row r="798" ht="15.75" customHeight="1">
      <c r="D798" s="840"/>
    </row>
    <row r="799" ht="15.75" customHeight="1">
      <c r="D799" s="840"/>
    </row>
    <row r="800" ht="15.75" customHeight="1">
      <c r="D800" s="840"/>
    </row>
    <row r="801" ht="15.75" customHeight="1">
      <c r="D801" s="840"/>
    </row>
    <row r="802" ht="15.75" customHeight="1">
      <c r="D802" s="840"/>
    </row>
    <row r="803" ht="15.75" customHeight="1">
      <c r="D803" s="840"/>
    </row>
    <row r="804" ht="15.75" customHeight="1">
      <c r="D804" s="840"/>
    </row>
    <row r="805" ht="15.75" customHeight="1">
      <c r="D805" s="840"/>
    </row>
    <row r="806" ht="15.75" customHeight="1">
      <c r="D806" s="840"/>
    </row>
    <row r="807" ht="15.75" customHeight="1">
      <c r="D807" s="840"/>
    </row>
    <row r="808" ht="15.75" customHeight="1">
      <c r="D808" s="840"/>
    </row>
    <row r="809" ht="15.75" customHeight="1">
      <c r="D809" s="840"/>
    </row>
    <row r="810" ht="15.75" customHeight="1">
      <c r="D810" s="840"/>
    </row>
    <row r="811" ht="15.75" customHeight="1">
      <c r="D811" s="840"/>
    </row>
    <row r="812" ht="15.75" customHeight="1">
      <c r="D812" s="840"/>
    </row>
    <row r="813" ht="15.75" customHeight="1">
      <c r="D813" s="840"/>
    </row>
    <row r="814" ht="15.75" customHeight="1">
      <c r="D814" s="840"/>
    </row>
    <row r="815" ht="15.75" customHeight="1">
      <c r="D815" s="840"/>
    </row>
    <row r="816" ht="15.75" customHeight="1">
      <c r="D816" s="840"/>
    </row>
    <row r="817" ht="15.75" customHeight="1">
      <c r="D817" s="840"/>
    </row>
    <row r="818" ht="15.75" customHeight="1">
      <c r="D818" s="840"/>
    </row>
    <row r="819" ht="15.75" customHeight="1">
      <c r="D819" s="840"/>
    </row>
    <row r="820" ht="15.75" customHeight="1">
      <c r="D820" s="840"/>
    </row>
    <row r="821" ht="15.75" customHeight="1">
      <c r="D821" s="840"/>
    </row>
    <row r="822" ht="15.75" customHeight="1">
      <c r="D822" s="840"/>
    </row>
    <row r="823" ht="15.75" customHeight="1">
      <c r="D823" s="840"/>
    </row>
    <row r="824" ht="15.75" customHeight="1">
      <c r="D824" s="840"/>
    </row>
    <row r="825" ht="15.75" customHeight="1">
      <c r="D825" s="840"/>
    </row>
    <row r="826" ht="15.75" customHeight="1">
      <c r="D826" s="840"/>
    </row>
    <row r="827" ht="15.75" customHeight="1">
      <c r="D827" s="840"/>
    </row>
    <row r="828" ht="15.75" customHeight="1">
      <c r="D828" s="840"/>
    </row>
    <row r="829" ht="15.75" customHeight="1">
      <c r="D829" s="840"/>
    </row>
    <row r="830" ht="15.75" customHeight="1">
      <c r="D830" s="840"/>
    </row>
    <row r="831" ht="15.75" customHeight="1">
      <c r="D831" s="840"/>
    </row>
    <row r="832" ht="15.75" customHeight="1">
      <c r="D832" s="840"/>
    </row>
    <row r="833" ht="15.75" customHeight="1">
      <c r="D833" s="840"/>
    </row>
    <row r="834" ht="15.75" customHeight="1">
      <c r="D834" s="840"/>
    </row>
    <row r="835" ht="15.75" customHeight="1">
      <c r="D835" s="840"/>
    </row>
    <row r="836" ht="15.75" customHeight="1">
      <c r="D836" s="840"/>
    </row>
    <row r="837" ht="15.75" customHeight="1">
      <c r="D837" s="840"/>
    </row>
    <row r="838" ht="15.75" customHeight="1">
      <c r="D838" s="840"/>
    </row>
    <row r="839" ht="15.75" customHeight="1">
      <c r="D839" s="840"/>
    </row>
    <row r="840" ht="15.75" customHeight="1">
      <c r="D840" s="840"/>
    </row>
    <row r="841" ht="15.75" customHeight="1">
      <c r="D841" s="840"/>
    </row>
    <row r="842" ht="15.75" customHeight="1">
      <c r="D842" s="840"/>
    </row>
    <row r="843" ht="15.75" customHeight="1">
      <c r="D843" s="840"/>
    </row>
    <row r="844" ht="15.75" customHeight="1">
      <c r="D844" s="840"/>
    </row>
    <row r="845" ht="15.75" customHeight="1">
      <c r="D845" s="840"/>
    </row>
    <row r="846" ht="15.75" customHeight="1">
      <c r="D846" s="840"/>
    </row>
    <row r="847" ht="15.75" customHeight="1">
      <c r="D847" s="840"/>
    </row>
    <row r="848" ht="15.75" customHeight="1">
      <c r="D848" s="840"/>
    </row>
    <row r="849" ht="15.75" customHeight="1">
      <c r="D849" s="840"/>
    </row>
    <row r="850" ht="15.75" customHeight="1">
      <c r="D850" s="840"/>
    </row>
    <row r="851" ht="15.75" customHeight="1">
      <c r="D851" s="840"/>
    </row>
    <row r="852" ht="15.75" customHeight="1">
      <c r="D852" s="840"/>
    </row>
    <row r="853" ht="15.75" customHeight="1">
      <c r="D853" s="840"/>
    </row>
    <row r="854" ht="15.75" customHeight="1">
      <c r="D854" s="840"/>
    </row>
    <row r="855" ht="15.75" customHeight="1">
      <c r="D855" s="840"/>
    </row>
    <row r="856" ht="15.75" customHeight="1">
      <c r="D856" s="840"/>
    </row>
    <row r="857" ht="15.75" customHeight="1">
      <c r="D857" s="840"/>
    </row>
    <row r="858" ht="15.75" customHeight="1">
      <c r="D858" s="840"/>
    </row>
    <row r="859" ht="15.75" customHeight="1">
      <c r="D859" s="840"/>
    </row>
    <row r="860" ht="15.75" customHeight="1">
      <c r="D860" s="840"/>
    </row>
    <row r="861" ht="15.75" customHeight="1">
      <c r="D861" s="840"/>
    </row>
    <row r="862" ht="15.75" customHeight="1">
      <c r="D862" s="840"/>
    </row>
    <row r="863" ht="15.75" customHeight="1">
      <c r="D863" s="840"/>
    </row>
    <row r="864" ht="15.75" customHeight="1">
      <c r="D864" s="840"/>
    </row>
    <row r="865" ht="15.75" customHeight="1">
      <c r="D865" s="840"/>
    </row>
    <row r="866" ht="15.75" customHeight="1">
      <c r="D866" s="840"/>
    </row>
    <row r="867" ht="15.75" customHeight="1">
      <c r="D867" s="840"/>
    </row>
    <row r="868" ht="15.75" customHeight="1">
      <c r="D868" s="840"/>
    </row>
    <row r="869" ht="15.75" customHeight="1">
      <c r="D869" s="840"/>
    </row>
    <row r="870" ht="15.75" customHeight="1">
      <c r="D870" s="840"/>
    </row>
    <row r="871" ht="15.75" customHeight="1">
      <c r="D871" s="840"/>
    </row>
    <row r="872" ht="15.75" customHeight="1">
      <c r="D872" s="840"/>
    </row>
    <row r="873" ht="15.75" customHeight="1">
      <c r="D873" s="840"/>
    </row>
    <row r="874" ht="15.75" customHeight="1">
      <c r="D874" s="840"/>
    </row>
    <row r="875" ht="15.75" customHeight="1">
      <c r="D875" s="840"/>
    </row>
    <row r="876" ht="15.75" customHeight="1">
      <c r="D876" s="840"/>
    </row>
    <row r="877" ht="15.75" customHeight="1">
      <c r="D877" s="840"/>
    </row>
    <row r="878" ht="15.75" customHeight="1">
      <c r="D878" s="840"/>
    </row>
    <row r="879" ht="15.75" customHeight="1">
      <c r="D879" s="840"/>
    </row>
    <row r="880" ht="15.75" customHeight="1">
      <c r="D880" s="840"/>
    </row>
    <row r="881" ht="15.75" customHeight="1">
      <c r="D881" s="840"/>
    </row>
    <row r="882" ht="15.75" customHeight="1">
      <c r="D882" s="840"/>
    </row>
    <row r="883" ht="15.75" customHeight="1">
      <c r="D883" s="840"/>
    </row>
    <row r="884" ht="15.75" customHeight="1">
      <c r="D884" s="840"/>
    </row>
    <row r="885" ht="15.75" customHeight="1">
      <c r="D885" s="840"/>
    </row>
    <row r="886" ht="15.75" customHeight="1">
      <c r="D886" s="840"/>
    </row>
    <row r="887" ht="15.75" customHeight="1">
      <c r="D887" s="840"/>
    </row>
    <row r="888" ht="15.75" customHeight="1">
      <c r="D888" s="840"/>
    </row>
    <row r="889" ht="15.75" customHeight="1">
      <c r="D889" s="840"/>
    </row>
    <row r="890" ht="15.75" customHeight="1">
      <c r="D890" s="840"/>
    </row>
    <row r="891" ht="15.75" customHeight="1">
      <c r="D891" s="840"/>
    </row>
    <row r="892" ht="15.75" customHeight="1">
      <c r="D892" s="840"/>
    </row>
    <row r="893" ht="15.75" customHeight="1">
      <c r="D893" s="840"/>
    </row>
    <row r="894" ht="15.75" customHeight="1">
      <c r="D894" s="840"/>
    </row>
    <row r="895" ht="15.75" customHeight="1">
      <c r="D895" s="840"/>
    </row>
    <row r="896" ht="15.75" customHeight="1">
      <c r="D896" s="840"/>
    </row>
    <row r="897" ht="15.75" customHeight="1">
      <c r="D897" s="840"/>
    </row>
    <row r="898" ht="15.75" customHeight="1">
      <c r="D898" s="840"/>
    </row>
    <row r="899" ht="15.75" customHeight="1">
      <c r="D899" s="840"/>
    </row>
    <row r="900" ht="15.75" customHeight="1">
      <c r="D900" s="840"/>
    </row>
    <row r="901" ht="15.75" customHeight="1">
      <c r="D901" s="840"/>
    </row>
    <row r="902" ht="15.75" customHeight="1">
      <c r="D902" s="840"/>
    </row>
    <row r="903" ht="15.75" customHeight="1">
      <c r="D903" s="840"/>
    </row>
    <row r="904" ht="15.75" customHeight="1">
      <c r="D904" s="840"/>
    </row>
    <row r="905" ht="15.75" customHeight="1">
      <c r="D905" s="840"/>
    </row>
    <row r="906" ht="15.75" customHeight="1">
      <c r="D906" s="840"/>
    </row>
    <row r="907" ht="15.75" customHeight="1">
      <c r="D907" s="840"/>
    </row>
    <row r="908" ht="15.75" customHeight="1">
      <c r="D908" s="840"/>
    </row>
    <row r="909" ht="15.75" customHeight="1">
      <c r="D909" s="840"/>
    </row>
    <row r="910" ht="15.75" customHeight="1">
      <c r="D910" s="840"/>
    </row>
    <row r="911" ht="15.75" customHeight="1">
      <c r="D911" s="840"/>
    </row>
    <row r="912" ht="15.75" customHeight="1">
      <c r="D912" s="840"/>
    </row>
    <row r="913" ht="15.75" customHeight="1">
      <c r="D913" s="840"/>
    </row>
    <row r="914" ht="15.75" customHeight="1">
      <c r="D914" s="840"/>
    </row>
    <row r="915" ht="15.75" customHeight="1">
      <c r="D915" s="840"/>
    </row>
    <row r="916" ht="15.75" customHeight="1">
      <c r="D916" s="840"/>
    </row>
    <row r="917" ht="15.75" customHeight="1">
      <c r="D917" s="840"/>
    </row>
    <row r="918" ht="15.75" customHeight="1">
      <c r="D918" s="840"/>
    </row>
    <row r="919" ht="15.75" customHeight="1">
      <c r="D919" s="840"/>
    </row>
    <row r="920" ht="15.75" customHeight="1">
      <c r="D920" s="840"/>
    </row>
    <row r="921" ht="15.75" customHeight="1">
      <c r="D921" s="840"/>
    </row>
    <row r="922" ht="15.75" customHeight="1">
      <c r="D922" s="840"/>
    </row>
    <row r="923" ht="15.75" customHeight="1">
      <c r="D923" s="840"/>
    </row>
    <row r="924" ht="15.75" customHeight="1">
      <c r="D924" s="840"/>
    </row>
    <row r="925" ht="15.75" customHeight="1">
      <c r="D925" s="840"/>
    </row>
    <row r="926" ht="15.75" customHeight="1">
      <c r="D926" s="840"/>
    </row>
    <row r="927" ht="15.75" customHeight="1">
      <c r="D927" s="840"/>
    </row>
    <row r="928" ht="15.75" customHeight="1">
      <c r="D928" s="840"/>
    </row>
    <row r="929" ht="15.75" customHeight="1">
      <c r="D929" s="840"/>
    </row>
    <row r="930" ht="15.75" customHeight="1">
      <c r="D930" s="840"/>
    </row>
    <row r="931" ht="15.75" customHeight="1">
      <c r="D931" s="840"/>
    </row>
    <row r="932" ht="15.75" customHeight="1">
      <c r="D932" s="840"/>
    </row>
    <row r="933" ht="15.75" customHeight="1">
      <c r="D933" s="840"/>
    </row>
    <row r="934" ht="15.75" customHeight="1">
      <c r="D934" s="840"/>
    </row>
    <row r="935" ht="15.75" customHeight="1">
      <c r="D935" s="840"/>
    </row>
    <row r="936" ht="15.75" customHeight="1">
      <c r="D936" s="840"/>
    </row>
    <row r="937" ht="15.75" customHeight="1">
      <c r="D937" s="840"/>
    </row>
    <row r="938" ht="15.75" customHeight="1">
      <c r="D938" s="840"/>
    </row>
    <row r="939" ht="15.75" customHeight="1">
      <c r="D939" s="840"/>
    </row>
    <row r="940" ht="15.75" customHeight="1">
      <c r="D940" s="840"/>
    </row>
    <row r="941" ht="15.75" customHeight="1">
      <c r="D941" s="840"/>
    </row>
    <row r="942" ht="15.75" customHeight="1">
      <c r="D942" s="840"/>
    </row>
    <row r="943" ht="15.75" customHeight="1">
      <c r="D943" s="840"/>
    </row>
    <row r="944" ht="15.75" customHeight="1">
      <c r="D944" s="840"/>
    </row>
    <row r="945" ht="15.75" customHeight="1">
      <c r="D945" s="840"/>
    </row>
    <row r="946" ht="15.75" customHeight="1">
      <c r="D946" s="840"/>
    </row>
    <row r="947" ht="15.75" customHeight="1">
      <c r="D947" s="840"/>
    </row>
    <row r="948" ht="15.75" customHeight="1">
      <c r="D948" s="840"/>
    </row>
    <row r="949" ht="15.75" customHeight="1">
      <c r="D949" s="840"/>
    </row>
    <row r="950" ht="15.75" customHeight="1">
      <c r="D950" s="840"/>
    </row>
    <row r="951" ht="15.75" customHeight="1">
      <c r="D951" s="840"/>
    </row>
    <row r="952" ht="15.75" customHeight="1">
      <c r="D952" s="840"/>
    </row>
    <row r="953" ht="15.75" customHeight="1">
      <c r="D953" s="840"/>
    </row>
    <row r="954" ht="15.75" customHeight="1">
      <c r="D954" s="840"/>
    </row>
    <row r="955" ht="15.75" customHeight="1">
      <c r="D955" s="840"/>
    </row>
    <row r="956" ht="15.75" customHeight="1">
      <c r="D956" s="840"/>
    </row>
    <row r="957" ht="15.75" customHeight="1">
      <c r="D957" s="840"/>
    </row>
    <row r="958" ht="15.75" customHeight="1">
      <c r="D958" s="840"/>
    </row>
    <row r="959" ht="15.75" customHeight="1">
      <c r="D959" s="840"/>
    </row>
    <row r="960" ht="15.75" customHeight="1">
      <c r="D960" s="840"/>
    </row>
    <row r="961" ht="15.75" customHeight="1">
      <c r="D961" s="840"/>
    </row>
    <row r="962" ht="15.75" customHeight="1">
      <c r="D962" s="840"/>
    </row>
    <row r="963" ht="15.75" customHeight="1">
      <c r="D963" s="840"/>
    </row>
    <row r="964" ht="15.75" customHeight="1">
      <c r="D964" s="840"/>
    </row>
    <row r="965" ht="15.75" customHeight="1">
      <c r="D965" s="840"/>
    </row>
    <row r="966" ht="15.75" customHeight="1">
      <c r="D966" s="840"/>
    </row>
    <row r="967" ht="15.75" customHeight="1">
      <c r="D967" s="840"/>
    </row>
    <row r="968" ht="15.75" customHeight="1">
      <c r="D968" s="840"/>
    </row>
    <row r="969" ht="15.75" customHeight="1">
      <c r="D969" s="840"/>
    </row>
    <row r="970" ht="15.75" customHeight="1">
      <c r="D970" s="840"/>
    </row>
    <row r="971" ht="15.75" customHeight="1">
      <c r="D971" s="840"/>
    </row>
    <row r="972" ht="15.75" customHeight="1">
      <c r="D972" s="840"/>
    </row>
    <row r="973" ht="15.75" customHeight="1">
      <c r="D973" s="840"/>
    </row>
    <row r="974" ht="15.75" customHeight="1">
      <c r="D974" s="840"/>
    </row>
    <row r="975" ht="15.75" customHeight="1">
      <c r="D975" s="840"/>
    </row>
    <row r="976" ht="15.75" customHeight="1">
      <c r="D976" s="840"/>
    </row>
    <row r="977" ht="15.75" customHeight="1">
      <c r="D977" s="840"/>
    </row>
    <row r="978" ht="15.75" customHeight="1">
      <c r="D978" s="840"/>
    </row>
    <row r="979" ht="15.75" customHeight="1">
      <c r="D979" s="840"/>
    </row>
    <row r="980" ht="15.75" customHeight="1">
      <c r="D980" s="840"/>
    </row>
    <row r="981" ht="15.75" customHeight="1">
      <c r="D981" s="840"/>
    </row>
    <row r="982" ht="15.75" customHeight="1">
      <c r="D982" s="840"/>
    </row>
    <row r="983" ht="15.75" customHeight="1">
      <c r="D983" s="840"/>
    </row>
    <row r="984" ht="15.75" customHeight="1">
      <c r="D984" s="840"/>
    </row>
    <row r="985" ht="15.75" customHeight="1">
      <c r="D985" s="840"/>
    </row>
    <row r="986" ht="15.75" customHeight="1">
      <c r="D986" s="840"/>
    </row>
    <row r="987" ht="15.75" customHeight="1">
      <c r="D987" s="840"/>
    </row>
    <row r="988" ht="15.75" customHeight="1">
      <c r="D988" s="840"/>
    </row>
    <row r="989" ht="15.75" customHeight="1">
      <c r="D989" s="840"/>
    </row>
    <row r="990" ht="15.75" customHeight="1">
      <c r="D990" s="840"/>
    </row>
    <row r="991" ht="15.75" customHeight="1">
      <c r="D991" s="840"/>
    </row>
    <row r="992" ht="15.75" customHeight="1">
      <c r="D992" s="840"/>
    </row>
    <row r="993" ht="15.75" customHeight="1">
      <c r="D993" s="840"/>
    </row>
    <row r="994" ht="15.75" customHeight="1">
      <c r="D994" s="840"/>
    </row>
    <row r="995" ht="15.75" customHeight="1">
      <c r="D995" s="840"/>
    </row>
    <row r="996" ht="15.75" customHeight="1">
      <c r="D996" s="840"/>
    </row>
    <row r="997" ht="15.75" customHeight="1">
      <c r="D997" s="840"/>
    </row>
    <row r="998" ht="15.75" customHeight="1">
      <c r="D998" s="840"/>
    </row>
    <row r="999" ht="15.75" customHeight="1">
      <c r="D999" s="840"/>
    </row>
    <row r="1000" ht="15.75" customHeight="1">
      <c r="D1000" s="840"/>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05">
        <v>45292.0</v>
      </c>
      <c r="B1" s="382" t="s">
        <v>2330</v>
      </c>
    </row>
    <row r="2" ht="17.25" customHeight="1">
      <c r="A2" s="805">
        <v>45299.0</v>
      </c>
      <c r="B2" s="382" t="s">
        <v>2331</v>
      </c>
    </row>
    <row r="3" ht="17.25" customHeight="1">
      <c r="A3" s="805">
        <v>45376.0</v>
      </c>
      <c r="B3" s="382" t="s">
        <v>2332</v>
      </c>
    </row>
    <row r="4" ht="17.25" customHeight="1">
      <c r="A4" s="805">
        <v>45379.0</v>
      </c>
      <c r="B4" s="382" t="s">
        <v>2333</v>
      </c>
    </row>
    <row r="5" ht="17.25" customHeight="1">
      <c r="A5" s="805">
        <v>45380.0</v>
      </c>
      <c r="B5" s="382" t="s">
        <v>2334</v>
      </c>
    </row>
    <row r="6" ht="17.25" customHeight="1">
      <c r="A6" s="805">
        <v>45413.0</v>
      </c>
      <c r="B6" s="382" t="s">
        <v>2335</v>
      </c>
    </row>
    <row r="7" ht="17.25" customHeight="1">
      <c r="A7" s="805">
        <v>45425.0</v>
      </c>
      <c r="B7" s="382" t="s">
        <v>2336</v>
      </c>
    </row>
    <row r="8" ht="17.25" customHeight="1">
      <c r="A8" s="805">
        <v>45446.0</v>
      </c>
      <c r="B8" s="382" t="s">
        <v>2337</v>
      </c>
    </row>
    <row r="9" ht="17.25" customHeight="1">
      <c r="A9" s="805">
        <v>45453.0</v>
      </c>
      <c r="B9" s="382" t="s">
        <v>2338</v>
      </c>
    </row>
    <row r="10" ht="17.25" customHeight="1">
      <c r="A10" s="805">
        <v>45474.0</v>
      </c>
      <c r="B10" s="382" t="s">
        <v>2339</v>
      </c>
    </row>
    <row r="11" ht="17.25" customHeight="1">
      <c r="A11" s="805">
        <v>45493.0</v>
      </c>
      <c r="B11" s="382" t="s">
        <v>2340</v>
      </c>
    </row>
    <row r="12" ht="17.25" customHeight="1">
      <c r="A12" s="805">
        <v>45511.0</v>
      </c>
      <c r="B12" s="382" t="s">
        <v>2341</v>
      </c>
    </row>
    <row r="13" ht="17.25" customHeight="1">
      <c r="A13" s="805">
        <v>45523.0</v>
      </c>
      <c r="B13" s="382" t="s">
        <v>2342</v>
      </c>
    </row>
    <row r="14" ht="17.25" customHeight="1">
      <c r="A14" s="805">
        <v>45579.0</v>
      </c>
      <c r="B14" s="382" t="s">
        <v>2343</v>
      </c>
    </row>
    <row r="15" ht="17.25" customHeight="1">
      <c r="A15" s="805">
        <v>45600.0</v>
      </c>
      <c r="B15" s="382" t="s">
        <v>2344</v>
      </c>
    </row>
    <row r="16" ht="17.25" customHeight="1">
      <c r="A16" s="805">
        <v>45607.0</v>
      </c>
      <c r="B16" s="382" t="s">
        <v>2345</v>
      </c>
    </row>
    <row r="17" ht="17.25" customHeight="1">
      <c r="A17" s="805">
        <v>45634.0</v>
      </c>
      <c r="B17" s="382" t="s">
        <v>2346</v>
      </c>
    </row>
    <row r="18" ht="17.25" customHeight="1">
      <c r="A18" s="805">
        <v>45651.0</v>
      </c>
      <c r="B18" s="382" t="s">
        <v>2347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26" t="s">
        <v>2348</v>
      </c>
      <c r="B1" s="382"/>
      <c r="C1" s="382"/>
      <c r="D1" s="382"/>
      <c r="E1" s="382"/>
      <c r="F1" s="382"/>
      <c r="G1" s="382"/>
      <c r="H1" s="382"/>
      <c r="I1" s="382"/>
      <c r="J1" s="382"/>
      <c r="K1" s="382"/>
      <c r="L1" s="382"/>
      <c r="M1" s="382"/>
      <c r="N1" s="382"/>
      <c r="O1" s="382"/>
      <c r="P1" s="382"/>
      <c r="Q1" s="382"/>
      <c r="R1" s="382"/>
      <c r="S1" s="382"/>
      <c r="T1" s="382"/>
      <c r="U1" s="382"/>
      <c r="V1" s="382"/>
      <c r="W1" s="382"/>
      <c r="X1" s="382"/>
      <c r="Y1" s="382"/>
      <c r="Z1" s="382"/>
    </row>
    <row r="2">
      <c r="A2" s="382"/>
      <c r="B2" s="382"/>
      <c r="C2" s="382"/>
      <c r="D2" s="382"/>
      <c r="E2" s="382"/>
      <c r="F2" s="382"/>
      <c r="G2" s="382"/>
      <c r="H2" s="382"/>
      <c r="I2" s="382"/>
      <c r="J2" s="382"/>
      <c r="K2" s="382"/>
      <c r="L2" s="382"/>
      <c r="M2" s="382"/>
      <c r="N2" s="382"/>
      <c r="O2" s="382"/>
      <c r="P2" s="382"/>
      <c r="Q2" s="382"/>
      <c r="R2" s="382"/>
      <c r="S2" s="382"/>
      <c r="T2" s="382"/>
      <c r="U2" s="382"/>
      <c r="V2" s="382"/>
      <c r="W2" s="382"/>
      <c r="X2" s="382"/>
      <c r="Y2" s="382"/>
      <c r="Z2" s="382"/>
    </row>
    <row r="3" ht="32.25" customHeight="1">
      <c r="A3" s="841" t="s">
        <v>2349</v>
      </c>
      <c r="B3" s="842">
        <v>45596.0</v>
      </c>
      <c r="C3" s="842">
        <v>45597.0</v>
      </c>
      <c r="D3" s="842">
        <v>45601.0</v>
      </c>
      <c r="E3" s="842">
        <v>45602.0</v>
      </c>
      <c r="F3" s="842">
        <v>45603.0</v>
      </c>
      <c r="G3" s="842">
        <v>45604.0</v>
      </c>
      <c r="H3" s="842">
        <v>45608.0</v>
      </c>
      <c r="I3" s="842">
        <v>45609.0</v>
      </c>
      <c r="J3" s="842">
        <v>45610.0</v>
      </c>
      <c r="K3" s="842">
        <v>45611.0</v>
      </c>
      <c r="L3" s="842">
        <v>45614.0</v>
      </c>
      <c r="M3" s="842">
        <v>45615.0</v>
      </c>
      <c r="N3" s="842">
        <v>45616.0</v>
      </c>
      <c r="O3" s="842">
        <v>45617.0</v>
      </c>
      <c r="P3" s="842">
        <v>45618.0</v>
      </c>
      <c r="Q3" s="843">
        <v>45621.0</v>
      </c>
      <c r="R3" s="843">
        <v>45622.0</v>
      </c>
      <c r="S3" s="843">
        <v>45623.0</v>
      </c>
      <c r="T3" s="843">
        <v>45624.0</v>
      </c>
      <c r="U3" s="843">
        <v>45625.0</v>
      </c>
      <c r="V3" s="843">
        <v>45628.0</v>
      </c>
      <c r="W3" s="843">
        <v>45629.0</v>
      </c>
      <c r="X3" s="843">
        <v>45630.0</v>
      </c>
      <c r="Y3" s="843">
        <v>45631.0</v>
      </c>
      <c r="Z3" s="843">
        <v>45632.0</v>
      </c>
      <c r="AA3" s="843">
        <v>45635.0</v>
      </c>
      <c r="AB3" s="843">
        <v>45636.0</v>
      </c>
      <c r="AC3" s="843">
        <v>45637.0</v>
      </c>
      <c r="AD3" s="843">
        <v>45638.0</v>
      </c>
      <c r="AE3" s="844">
        <v>45639.0</v>
      </c>
      <c r="AF3" s="842">
        <v>45642.0</v>
      </c>
      <c r="AG3" s="842">
        <v>45643.0</v>
      </c>
      <c r="AH3" s="842">
        <v>45644.0</v>
      </c>
      <c r="AI3" s="842">
        <v>45645.0</v>
      </c>
      <c r="AJ3" s="842">
        <v>45646.0</v>
      </c>
      <c r="AK3" s="842">
        <v>45649.0</v>
      </c>
      <c r="AL3" s="842">
        <v>45650.0</v>
      </c>
      <c r="AM3" s="842">
        <v>45652.0</v>
      </c>
      <c r="AN3" s="842">
        <v>45653.0</v>
      </c>
      <c r="AO3" s="842">
        <v>45656.0</v>
      </c>
      <c r="AP3" s="842">
        <v>45656.0</v>
      </c>
      <c r="AQ3" s="842">
        <v>45664.0</v>
      </c>
      <c r="AR3" s="842">
        <v>45665.0</v>
      </c>
      <c r="AS3" s="842">
        <v>45666.0</v>
      </c>
      <c r="AT3" s="842">
        <v>45667.0</v>
      </c>
      <c r="AU3" s="842">
        <v>45670.0</v>
      </c>
      <c r="AV3" s="842">
        <v>45671.0</v>
      </c>
      <c r="AW3" s="842">
        <v>45672.0</v>
      </c>
      <c r="AX3" s="842">
        <v>45673.0</v>
      </c>
      <c r="AY3" s="842">
        <v>45674.0</v>
      </c>
      <c r="AZ3" s="842">
        <v>45677.0</v>
      </c>
      <c r="BA3" s="842">
        <v>45678.0</v>
      </c>
      <c r="BB3" s="842">
        <v>45679.0</v>
      </c>
      <c r="BC3" s="842">
        <v>45680.0</v>
      </c>
      <c r="BD3" s="842">
        <v>45681.0</v>
      </c>
      <c r="BE3" s="842">
        <v>45684.0</v>
      </c>
      <c r="BF3" s="842">
        <v>45685.0</v>
      </c>
      <c r="BG3" s="842">
        <v>45686.0</v>
      </c>
      <c r="BH3" s="842">
        <v>45687.0</v>
      </c>
      <c r="BI3" s="842">
        <v>45688.0</v>
      </c>
      <c r="BJ3" s="843">
        <v>45691.0</v>
      </c>
      <c r="BK3" s="843">
        <v>45692.0</v>
      </c>
      <c r="BL3" s="843">
        <v>45693.0</v>
      </c>
      <c r="BM3" s="843">
        <v>45694.0</v>
      </c>
      <c r="BN3" s="843">
        <v>45695.0</v>
      </c>
      <c r="BO3" s="843">
        <v>45698.0</v>
      </c>
      <c r="BP3" s="843">
        <v>45699.0</v>
      </c>
      <c r="BQ3" s="843">
        <v>45700.0</v>
      </c>
      <c r="BR3" s="843">
        <v>45701.0</v>
      </c>
      <c r="BS3" s="843">
        <v>45702.0</v>
      </c>
      <c r="BT3" s="843">
        <v>45705.0</v>
      </c>
      <c r="BU3" s="843">
        <v>45706.0</v>
      </c>
      <c r="BV3" s="843">
        <v>45707.0</v>
      </c>
      <c r="BW3" s="843">
        <v>45708.0</v>
      </c>
      <c r="BX3" s="843">
        <v>45709.0</v>
      </c>
      <c r="BY3" s="843">
        <v>45712.0</v>
      </c>
      <c r="BZ3" s="843">
        <v>45713.0</v>
      </c>
      <c r="CA3" s="843">
        <v>45714.0</v>
      </c>
      <c r="CB3" s="843">
        <v>45715.0</v>
      </c>
      <c r="CC3" s="843">
        <v>45716.0</v>
      </c>
      <c r="CD3" s="843">
        <v>45719.0</v>
      </c>
      <c r="CE3" s="843">
        <v>45720.0</v>
      </c>
      <c r="CF3" s="843">
        <v>45721.0</v>
      </c>
      <c r="CG3" s="843">
        <v>45722.0</v>
      </c>
      <c r="CH3" s="843">
        <v>45723.0</v>
      </c>
      <c r="CI3" s="843">
        <v>45726.0</v>
      </c>
      <c r="CJ3" s="843">
        <v>45727.0</v>
      </c>
      <c r="CK3" s="843">
        <v>45728.0</v>
      </c>
      <c r="CL3" s="843">
        <v>45729.0</v>
      </c>
      <c r="CM3" s="843">
        <v>45730.0</v>
      </c>
      <c r="CN3" s="843">
        <v>45733.0</v>
      </c>
      <c r="CO3" s="843">
        <v>45734.0</v>
      </c>
      <c r="CP3" s="843">
        <v>45735.0</v>
      </c>
      <c r="CQ3" s="843">
        <v>45736.0</v>
      </c>
      <c r="CR3" s="843">
        <v>45737.0</v>
      </c>
      <c r="CS3" s="843">
        <v>45741.0</v>
      </c>
    </row>
    <row r="4" ht="30.75" customHeight="1">
      <c r="A4" s="845" t="s">
        <v>1426</v>
      </c>
      <c r="B4" s="846" t="s">
        <v>2350</v>
      </c>
      <c r="C4" s="847" t="s">
        <v>2351</v>
      </c>
      <c r="D4" s="666" t="s">
        <v>2350</v>
      </c>
      <c r="E4" s="666" t="s">
        <v>2350</v>
      </c>
      <c r="F4" s="666" t="s">
        <v>2350</v>
      </c>
      <c r="G4" s="666" t="s">
        <v>2350</v>
      </c>
      <c r="H4" s="666" t="s">
        <v>2350</v>
      </c>
      <c r="I4" s="666" t="s">
        <v>2350</v>
      </c>
      <c r="J4" s="666" t="s">
        <v>2350</v>
      </c>
      <c r="K4" s="666" t="s">
        <v>2350</v>
      </c>
      <c r="L4" s="666" t="s">
        <v>2350</v>
      </c>
      <c r="M4" s="666" t="s">
        <v>2350</v>
      </c>
      <c r="N4" s="666" t="s">
        <v>2350</v>
      </c>
      <c r="O4" s="666" t="s">
        <v>2352</v>
      </c>
      <c r="P4" s="848" t="s">
        <v>2350</v>
      </c>
      <c r="Q4" s="666" t="s">
        <v>2350</v>
      </c>
      <c r="R4" s="666" t="s">
        <v>2350</v>
      </c>
      <c r="S4" s="666" t="s">
        <v>2350</v>
      </c>
      <c r="T4" s="666" t="s">
        <v>2350</v>
      </c>
      <c r="U4" s="848" t="s">
        <v>2353</v>
      </c>
      <c r="V4" s="666" t="s">
        <v>2350</v>
      </c>
      <c r="W4" s="666" t="s">
        <v>2350</v>
      </c>
      <c r="X4" s="666" t="s">
        <v>2350</v>
      </c>
      <c r="Y4" s="666" t="s">
        <v>2350</v>
      </c>
      <c r="Z4" s="666" t="s">
        <v>2350</v>
      </c>
      <c r="AA4" s="666" t="s">
        <v>2350</v>
      </c>
      <c r="AB4" s="666" t="s">
        <v>2350</v>
      </c>
      <c r="AC4" s="666" t="s">
        <v>2350</v>
      </c>
      <c r="AD4" s="666" t="s">
        <v>2350</v>
      </c>
      <c r="AE4" s="849" t="s">
        <v>2354</v>
      </c>
      <c r="AF4" s="666" t="s">
        <v>2350</v>
      </c>
      <c r="AG4" s="666" t="s">
        <v>2350</v>
      </c>
      <c r="AH4" s="666" t="s">
        <v>2350</v>
      </c>
      <c r="AI4" s="666" t="s">
        <v>2350</v>
      </c>
      <c r="AJ4" s="666" t="s">
        <v>2350</v>
      </c>
      <c r="AK4" s="666" t="s">
        <v>2350</v>
      </c>
      <c r="AL4" s="849" t="s">
        <v>2355</v>
      </c>
      <c r="AM4" s="666" t="s">
        <v>2353</v>
      </c>
      <c r="AN4" s="666" t="s">
        <v>2353</v>
      </c>
      <c r="AO4" s="666" t="s">
        <v>2350</v>
      </c>
      <c r="AP4" s="849" t="s">
        <v>2356</v>
      </c>
      <c r="AQ4" s="666" t="s">
        <v>2350</v>
      </c>
      <c r="AR4" s="666" t="s">
        <v>2350</v>
      </c>
      <c r="AS4" s="849" t="s">
        <v>2356</v>
      </c>
      <c r="AT4" s="793" t="s">
        <v>2350</v>
      </c>
      <c r="AU4" s="666" t="s">
        <v>2350</v>
      </c>
      <c r="AV4" s="666" t="s">
        <v>2350</v>
      </c>
      <c r="AW4" s="666" t="s">
        <v>2350</v>
      </c>
      <c r="AX4" s="666" t="s">
        <v>2350</v>
      </c>
      <c r="AY4" s="849" t="s">
        <v>2356</v>
      </c>
      <c r="AZ4" s="666" t="s">
        <v>2350</v>
      </c>
      <c r="BA4" s="666" t="s">
        <v>2350</v>
      </c>
      <c r="BB4" s="666" t="s">
        <v>2350</v>
      </c>
      <c r="BC4" s="666" t="s">
        <v>2350</v>
      </c>
      <c r="BD4" s="666" t="s">
        <v>2350</v>
      </c>
      <c r="BE4" s="666" t="s">
        <v>2350</v>
      </c>
      <c r="BF4" s="666" t="s">
        <v>2350</v>
      </c>
      <c r="BG4" s="666" t="s">
        <v>2350</v>
      </c>
      <c r="BH4" s="666" t="s">
        <v>2350</v>
      </c>
      <c r="BI4" s="848" t="s">
        <v>2350</v>
      </c>
      <c r="BJ4" s="849" t="s">
        <v>2356</v>
      </c>
      <c r="BK4" s="848" t="s">
        <v>2357</v>
      </c>
      <c r="BL4" s="848" t="s">
        <v>2357</v>
      </c>
      <c r="BM4" s="848" t="s">
        <v>2357</v>
      </c>
      <c r="BN4" s="848" t="s">
        <v>2357</v>
      </c>
      <c r="BO4" s="848" t="s">
        <v>2357</v>
      </c>
      <c r="BP4" s="848" t="s">
        <v>2357</v>
      </c>
      <c r="BQ4" s="848" t="s">
        <v>2357</v>
      </c>
      <c r="BR4" s="666" t="s">
        <v>2350</v>
      </c>
      <c r="BS4" s="666" t="s">
        <v>2350</v>
      </c>
      <c r="BT4" s="666" t="s">
        <v>2350</v>
      </c>
      <c r="BU4" s="666" t="s">
        <v>2350</v>
      </c>
      <c r="BV4" s="666" t="s">
        <v>2350</v>
      </c>
      <c r="BW4" s="666" t="s">
        <v>2350</v>
      </c>
      <c r="BX4" s="666" t="s">
        <v>2350</v>
      </c>
      <c r="BY4" s="666" t="s">
        <v>2350</v>
      </c>
      <c r="BZ4" s="666" t="s">
        <v>2350</v>
      </c>
      <c r="CA4" s="666" t="s">
        <v>2350</v>
      </c>
      <c r="CB4" s="666" t="s">
        <v>2350</v>
      </c>
      <c r="CC4" s="666" t="s">
        <v>2350</v>
      </c>
      <c r="CD4" s="666" t="s">
        <v>2350</v>
      </c>
      <c r="CE4" s="666" t="s">
        <v>2350</v>
      </c>
      <c r="CF4" s="666" t="s">
        <v>2350</v>
      </c>
      <c r="CG4" s="666"/>
      <c r="CH4" s="666"/>
      <c r="CI4" s="849" t="s">
        <v>2358</v>
      </c>
      <c r="CJ4" s="666"/>
      <c r="CK4" s="666"/>
      <c r="CL4" s="666"/>
      <c r="CM4" s="666"/>
      <c r="CN4" s="666"/>
      <c r="CO4" s="666"/>
      <c r="CP4" s="666"/>
      <c r="CQ4" s="666"/>
      <c r="CR4" s="666"/>
      <c r="CS4" s="666" t="s">
        <v>2350</v>
      </c>
    </row>
    <row r="5" ht="15.75" customHeight="1">
      <c r="A5" s="845" t="s">
        <v>1411</v>
      </c>
      <c r="B5" s="846" t="s">
        <v>2350</v>
      </c>
      <c r="C5" s="666" t="s">
        <v>2350</v>
      </c>
      <c r="D5" s="666" t="s">
        <v>2350</v>
      </c>
      <c r="E5" s="666" t="s">
        <v>2350</v>
      </c>
      <c r="F5" s="666" t="s">
        <v>2350</v>
      </c>
      <c r="G5" s="666" t="s">
        <v>2350</v>
      </c>
      <c r="H5" s="666" t="s">
        <v>2350</v>
      </c>
      <c r="I5" s="666" t="s">
        <v>2350</v>
      </c>
      <c r="J5" s="666" t="s">
        <v>2350</v>
      </c>
      <c r="K5" s="666" t="s">
        <v>2350</v>
      </c>
      <c r="L5" s="666" t="s">
        <v>2357</v>
      </c>
      <c r="M5" s="666" t="s">
        <v>2357</v>
      </c>
      <c r="N5" s="666" t="s">
        <v>2357</v>
      </c>
      <c r="O5" s="666" t="s">
        <v>2357</v>
      </c>
      <c r="P5" s="848" t="s">
        <v>2357</v>
      </c>
      <c r="Q5" s="666" t="s">
        <v>2350</v>
      </c>
      <c r="R5" s="666" t="s">
        <v>2350</v>
      </c>
      <c r="S5" s="666" t="s">
        <v>2350</v>
      </c>
      <c r="T5" s="666" t="s">
        <v>2350</v>
      </c>
      <c r="U5" s="848" t="s">
        <v>2350</v>
      </c>
      <c r="V5" s="666" t="s">
        <v>2350</v>
      </c>
      <c r="W5" s="666" t="s">
        <v>2350</v>
      </c>
      <c r="X5" s="666" t="s">
        <v>2350</v>
      </c>
      <c r="Y5" s="666" t="s">
        <v>2350</v>
      </c>
      <c r="Z5" s="666" t="s">
        <v>2350</v>
      </c>
      <c r="AA5" s="666" t="s">
        <v>2350</v>
      </c>
      <c r="AB5" s="666" t="s">
        <v>2350</v>
      </c>
      <c r="AC5" s="666" t="s">
        <v>2350</v>
      </c>
      <c r="AD5" s="666" t="s">
        <v>2350</v>
      </c>
      <c r="AE5" s="850"/>
      <c r="AF5" s="666" t="s">
        <v>2350</v>
      </c>
      <c r="AG5" s="666" t="s">
        <v>2350</v>
      </c>
      <c r="AH5" s="666" t="s">
        <v>2350</v>
      </c>
      <c r="AI5" s="666" t="s">
        <v>2350</v>
      </c>
      <c r="AJ5" s="666" t="s">
        <v>2350</v>
      </c>
      <c r="AK5" s="666" t="s">
        <v>2350</v>
      </c>
      <c r="AL5" s="850"/>
      <c r="AM5" s="666" t="s">
        <v>2350</v>
      </c>
      <c r="AN5" s="666" t="s">
        <v>2350</v>
      </c>
      <c r="AO5" s="666" t="s">
        <v>2350</v>
      </c>
      <c r="AP5" s="850"/>
      <c r="AQ5" s="666" t="s">
        <v>2357</v>
      </c>
      <c r="AR5" s="666" t="s">
        <v>2357</v>
      </c>
      <c r="AS5" s="850"/>
      <c r="AT5" s="666" t="s">
        <v>2357</v>
      </c>
      <c r="AU5" s="666" t="s">
        <v>2357</v>
      </c>
      <c r="AV5" s="666" t="s">
        <v>2357</v>
      </c>
      <c r="AW5" s="666" t="s">
        <v>2357</v>
      </c>
      <c r="AX5" s="666" t="s">
        <v>2357</v>
      </c>
      <c r="AY5" s="850"/>
      <c r="AZ5" s="666" t="s">
        <v>2357</v>
      </c>
      <c r="BA5" s="666" t="s">
        <v>2350</v>
      </c>
      <c r="BB5" s="666" t="s">
        <v>2350</v>
      </c>
      <c r="BC5" s="666" t="s">
        <v>2350</v>
      </c>
      <c r="BD5" s="666" t="s">
        <v>2350</v>
      </c>
      <c r="BE5" s="666" t="s">
        <v>2350</v>
      </c>
      <c r="BF5" s="666" t="s">
        <v>2350</v>
      </c>
      <c r="BG5" s="666" t="s">
        <v>2350</v>
      </c>
      <c r="BH5" s="666" t="s">
        <v>2350</v>
      </c>
      <c r="BI5" s="848" t="s">
        <v>2350</v>
      </c>
      <c r="BJ5" s="850"/>
      <c r="BK5" s="848" t="s">
        <v>2350</v>
      </c>
      <c r="BL5" s="848" t="s">
        <v>2350</v>
      </c>
      <c r="BM5" s="666" t="s">
        <v>2350</v>
      </c>
      <c r="BN5" s="848" t="s">
        <v>2350</v>
      </c>
      <c r="BO5" s="666" t="s">
        <v>2350</v>
      </c>
      <c r="BP5" s="666" t="s">
        <v>2350</v>
      </c>
      <c r="BQ5" s="666" t="s">
        <v>2350</v>
      </c>
      <c r="BR5" s="666" t="s">
        <v>2350</v>
      </c>
      <c r="BS5" s="666" t="s">
        <v>2350</v>
      </c>
      <c r="BT5" s="666" t="s">
        <v>2350</v>
      </c>
      <c r="BU5" s="666" t="s">
        <v>2350</v>
      </c>
      <c r="BV5" s="666" t="s">
        <v>2350</v>
      </c>
      <c r="BW5" s="666" t="s">
        <v>2350</v>
      </c>
      <c r="BX5" s="666" t="s">
        <v>2350</v>
      </c>
      <c r="BY5" s="666" t="s">
        <v>2350</v>
      </c>
      <c r="BZ5" s="666" t="s">
        <v>2350</v>
      </c>
      <c r="CA5" s="666" t="s">
        <v>2350</v>
      </c>
      <c r="CB5" s="666" t="s">
        <v>2350</v>
      </c>
      <c r="CC5" s="666" t="s">
        <v>2350</v>
      </c>
      <c r="CD5" s="666" t="s">
        <v>2350</v>
      </c>
      <c r="CE5" s="666" t="s">
        <v>2350</v>
      </c>
      <c r="CF5" s="666" t="s">
        <v>2350</v>
      </c>
      <c r="CG5" s="666"/>
      <c r="CH5" s="666"/>
      <c r="CI5" s="850"/>
      <c r="CJ5" s="666"/>
      <c r="CK5" s="666"/>
      <c r="CL5" s="666"/>
      <c r="CM5" s="666"/>
      <c r="CN5" s="666"/>
      <c r="CO5" s="666"/>
      <c r="CP5" s="666"/>
      <c r="CQ5" s="666"/>
      <c r="CR5" s="666"/>
      <c r="CS5" s="666" t="s">
        <v>2350</v>
      </c>
    </row>
    <row r="6">
      <c r="A6" s="845" t="s">
        <v>1436</v>
      </c>
      <c r="B6" s="846" t="s">
        <v>2350</v>
      </c>
      <c r="C6" s="666" t="s">
        <v>2350</v>
      </c>
      <c r="D6" s="666" t="s">
        <v>2350</v>
      </c>
      <c r="E6" s="666" t="s">
        <v>2350</v>
      </c>
      <c r="F6" s="666" t="s">
        <v>2350</v>
      </c>
      <c r="G6" s="666" t="s">
        <v>2350</v>
      </c>
      <c r="H6" s="666" t="s">
        <v>2350</v>
      </c>
      <c r="I6" s="666" t="s">
        <v>2350</v>
      </c>
      <c r="J6" s="666" t="s">
        <v>2350</v>
      </c>
      <c r="K6" s="851" t="s">
        <v>2359</v>
      </c>
      <c r="L6" s="666" t="s">
        <v>2350</v>
      </c>
      <c r="M6" s="666" t="s">
        <v>2350</v>
      </c>
      <c r="N6" s="666" t="s">
        <v>2350</v>
      </c>
      <c r="O6" s="666" t="s">
        <v>2352</v>
      </c>
      <c r="P6" s="848" t="s">
        <v>2350</v>
      </c>
      <c r="Q6" s="666" t="s">
        <v>2350</v>
      </c>
      <c r="R6" s="666" t="s">
        <v>2350</v>
      </c>
      <c r="S6" s="666" t="s">
        <v>2350</v>
      </c>
      <c r="T6" s="666" t="s">
        <v>2350</v>
      </c>
      <c r="U6" s="848" t="s">
        <v>2350</v>
      </c>
      <c r="V6" s="666" t="s">
        <v>2350</v>
      </c>
      <c r="W6" s="666" t="s">
        <v>2350</v>
      </c>
      <c r="X6" s="666" t="s">
        <v>2350</v>
      </c>
      <c r="Y6" s="666" t="s">
        <v>2350</v>
      </c>
      <c r="Z6" s="666" t="s">
        <v>2350</v>
      </c>
      <c r="AA6" s="666" t="s">
        <v>2350</v>
      </c>
      <c r="AB6" s="666" t="s">
        <v>2350</v>
      </c>
      <c r="AC6" s="666" t="s">
        <v>2350</v>
      </c>
      <c r="AD6" s="666" t="s">
        <v>2350</v>
      </c>
      <c r="AE6" s="850"/>
      <c r="AF6" s="666" t="s">
        <v>2350</v>
      </c>
      <c r="AG6" s="666" t="s">
        <v>2350</v>
      </c>
      <c r="AH6" s="666" t="s">
        <v>2350</v>
      </c>
      <c r="AI6" s="666" t="s">
        <v>2350</v>
      </c>
      <c r="AJ6" s="666" t="s">
        <v>2350</v>
      </c>
      <c r="AK6" s="666" t="s">
        <v>2350</v>
      </c>
      <c r="AL6" s="850"/>
      <c r="AM6" s="666" t="s">
        <v>2350</v>
      </c>
      <c r="AN6" s="666" t="s">
        <v>2350</v>
      </c>
      <c r="AO6" s="666" t="s">
        <v>2350</v>
      </c>
      <c r="AP6" s="850"/>
      <c r="AQ6" s="666" t="s">
        <v>2350</v>
      </c>
      <c r="AR6" s="666" t="s">
        <v>2350</v>
      </c>
      <c r="AS6" s="850"/>
      <c r="AT6" s="666" t="s">
        <v>2350</v>
      </c>
      <c r="AU6" s="666" t="s">
        <v>2350</v>
      </c>
      <c r="AV6" s="666" t="s">
        <v>2350</v>
      </c>
      <c r="AW6" s="666" t="s">
        <v>2350</v>
      </c>
      <c r="AX6" s="666" t="s">
        <v>2350</v>
      </c>
      <c r="AY6" s="850"/>
      <c r="AZ6" s="666" t="s">
        <v>2350</v>
      </c>
      <c r="BA6" s="666" t="s">
        <v>2350</v>
      </c>
      <c r="BB6" s="666" t="s">
        <v>2350</v>
      </c>
      <c r="BC6" s="666" t="s">
        <v>2350</v>
      </c>
      <c r="BD6" s="666" t="s">
        <v>2350</v>
      </c>
      <c r="BE6" s="666" t="s">
        <v>2350</v>
      </c>
      <c r="BF6" s="666" t="s">
        <v>2350</v>
      </c>
      <c r="BG6" s="666" t="s">
        <v>2350</v>
      </c>
      <c r="BH6" s="666" t="s">
        <v>2350</v>
      </c>
      <c r="BI6" s="848" t="s">
        <v>2350</v>
      </c>
      <c r="BJ6" s="850"/>
      <c r="BK6" s="848" t="s">
        <v>2350</v>
      </c>
      <c r="BL6" s="848" t="s">
        <v>2350</v>
      </c>
      <c r="BM6" s="666" t="s">
        <v>2360</v>
      </c>
      <c r="BN6" s="848" t="s">
        <v>2350</v>
      </c>
      <c r="BO6" s="666" t="s">
        <v>2350</v>
      </c>
      <c r="BP6" s="666" t="s">
        <v>2350</v>
      </c>
      <c r="BQ6" s="666" t="s">
        <v>2350</v>
      </c>
      <c r="BR6" s="666" t="s">
        <v>2350</v>
      </c>
      <c r="BS6" s="666" t="s">
        <v>2350</v>
      </c>
      <c r="BT6" s="666" t="s">
        <v>2350</v>
      </c>
      <c r="BU6" s="666" t="s">
        <v>2350</v>
      </c>
      <c r="BV6" s="666" t="s">
        <v>2350</v>
      </c>
      <c r="BW6" s="666" t="s">
        <v>2350</v>
      </c>
      <c r="BX6" s="666" t="s">
        <v>2350</v>
      </c>
      <c r="BY6" s="666" t="s">
        <v>2350</v>
      </c>
      <c r="BZ6" s="666" t="s">
        <v>2350</v>
      </c>
      <c r="CA6" s="666" t="s">
        <v>2350</v>
      </c>
      <c r="CB6" s="666" t="s">
        <v>2350</v>
      </c>
      <c r="CC6" s="666" t="s">
        <v>2350</v>
      </c>
      <c r="CD6" s="666" t="s">
        <v>2350</v>
      </c>
      <c r="CE6" s="666" t="s">
        <v>2350</v>
      </c>
      <c r="CF6" s="666" t="s">
        <v>2350</v>
      </c>
      <c r="CG6" s="666"/>
      <c r="CH6" s="666"/>
      <c r="CI6" s="850"/>
      <c r="CJ6" s="666"/>
      <c r="CK6" s="666"/>
      <c r="CL6" s="666"/>
      <c r="CM6" s="666"/>
      <c r="CN6" s="666"/>
      <c r="CO6" s="666"/>
      <c r="CP6" s="666"/>
      <c r="CQ6" s="666"/>
      <c r="CR6" s="666"/>
      <c r="CS6" s="666" t="s">
        <v>2350</v>
      </c>
    </row>
    <row r="7" ht="15.75" hidden="1" customHeight="1">
      <c r="A7" s="845" t="s">
        <v>2361</v>
      </c>
      <c r="B7" s="846" t="s">
        <v>2350</v>
      </c>
      <c r="C7" s="666" t="s">
        <v>2350</v>
      </c>
      <c r="D7" s="666" t="s">
        <v>2350</v>
      </c>
      <c r="E7" s="666" t="s">
        <v>2350</v>
      </c>
      <c r="F7" s="666" t="s">
        <v>2350</v>
      </c>
      <c r="G7" s="666" t="s">
        <v>2350</v>
      </c>
      <c r="H7" s="666" t="s">
        <v>2350</v>
      </c>
      <c r="I7" s="666" t="s">
        <v>2350</v>
      </c>
      <c r="J7" s="666" t="s">
        <v>2350</v>
      </c>
      <c r="K7" s="666" t="s">
        <v>2350</v>
      </c>
      <c r="L7" s="851" t="s">
        <v>2359</v>
      </c>
      <c r="M7" s="666" t="s">
        <v>2350</v>
      </c>
      <c r="N7" s="666" t="s">
        <v>2350</v>
      </c>
      <c r="O7" s="666" t="s">
        <v>2352</v>
      </c>
      <c r="P7" s="848" t="s">
        <v>2350</v>
      </c>
      <c r="Q7" s="666" t="s">
        <v>2350</v>
      </c>
      <c r="R7" s="666" t="s">
        <v>2350</v>
      </c>
      <c r="S7" s="666" t="s">
        <v>2350</v>
      </c>
      <c r="T7" s="666" t="s">
        <v>2350</v>
      </c>
      <c r="U7" s="848" t="s">
        <v>2362</v>
      </c>
      <c r="V7" s="666" t="s">
        <v>2350</v>
      </c>
      <c r="W7" s="666" t="s">
        <v>2350</v>
      </c>
      <c r="X7" s="666" t="s">
        <v>2350</v>
      </c>
      <c r="Y7" s="666" t="s">
        <v>2350</v>
      </c>
      <c r="Z7" s="666" t="s">
        <v>2353</v>
      </c>
      <c r="AA7" s="666" t="s">
        <v>2350</v>
      </c>
      <c r="AB7" s="666" t="s">
        <v>2350</v>
      </c>
      <c r="AC7" s="666" t="s">
        <v>2350</v>
      </c>
      <c r="AD7" s="666" t="s">
        <v>2350</v>
      </c>
      <c r="AE7" s="850"/>
      <c r="AF7" s="666" t="s">
        <v>2350</v>
      </c>
      <c r="AG7" s="666" t="s">
        <v>2350</v>
      </c>
      <c r="AH7" s="666" t="s">
        <v>2350</v>
      </c>
      <c r="AI7" s="666" t="s">
        <v>2350</v>
      </c>
      <c r="AJ7" s="666" t="s">
        <v>2350</v>
      </c>
      <c r="AK7" s="666" t="s">
        <v>2350</v>
      </c>
      <c r="AL7" s="850"/>
      <c r="AM7" s="666" t="s">
        <v>2350</v>
      </c>
      <c r="AN7" s="666" t="s">
        <v>2350</v>
      </c>
      <c r="AO7" s="666" t="s">
        <v>2350</v>
      </c>
      <c r="AP7" s="850"/>
      <c r="AQ7" s="666" t="s">
        <v>2350</v>
      </c>
      <c r="AR7" s="666" t="s">
        <v>2350</v>
      </c>
      <c r="AS7" s="850"/>
      <c r="AT7" s="666" t="s">
        <v>2350</v>
      </c>
      <c r="AU7" s="666" t="s">
        <v>2353</v>
      </c>
      <c r="AV7" s="666" t="s">
        <v>2350</v>
      </c>
      <c r="AW7" s="666" t="s">
        <v>2350</v>
      </c>
      <c r="AX7" s="666" t="s">
        <v>2350</v>
      </c>
      <c r="AY7" s="850"/>
      <c r="AZ7" s="666" t="s">
        <v>2350</v>
      </c>
      <c r="BA7" s="666" t="s">
        <v>2350</v>
      </c>
      <c r="BB7" s="666" t="s">
        <v>2350</v>
      </c>
      <c r="BC7" s="666" t="s">
        <v>2350</v>
      </c>
      <c r="BD7" s="666" t="s">
        <v>2350</v>
      </c>
      <c r="BE7" s="666" t="s">
        <v>2350</v>
      </c>
      <c r="BF7" s="666" t="s">
        <v>2350</v>
      </c>
      <c r="BG7" s="666" t="s">
        <v>2350</v>
      </c>
      <c r="BH7" s="666" t="s">
        <v>2350</v>
      </c>
      <c r="BI7" s="848" t="s">
        <v>2350</v>
      </c>
      <c r="BJ7" s="850"/>
      <c r="BK7" s="848" t="s">
        <v>2350</v>
      </c>
      <c r="BL7" s="848" t="s">
        <v>2350</v>
      </c>
      <c r="BM7" s="666" t="s">
        <v>2350</v>
      </c>
      <c r="BN7" s="848" t="s">
        <v>2350</v>
      </c>
      <c r="BO7" s="666" t="s">
        <v>2353</v>
      </c>
      <c r="BP7" s="666"/>
      <c r="BQ7" s="666"/>
      <c r="BR7" s="666"/>
      <c r="BS7" s="666"/>
      <c r="BT7" s="666"/>
      <c r="BU7" s="666" t="s">
        <v>2350</v>
      </c>
      <c r="BV7" s="666" t="s">
        <v>2350</v>
      </c>
      <c r="BW7" s="666" t="s">
        <v>2350</v>
      </c>
      <c r="BX7" s="666" t="s">
        <v>2350</v>
      </c>
      <c r="BY7" s="666"/>
      <c r="BZ7" s="666"/>
      <c r="CA7" s="666"/>
      <c r="CB7" s="666"/>
      <c r="CC7" s="666"/>
      <c r="CD7" s="666"/>
      <c r="CE7" s="666"/>
      <c r="CF7" s="666"/>
      <c r="CG7" s="666"/>
      <c r="CH7" s="666"/>
      <c r="CI7" s="850"/>
      <c r="CJ7" s="666"/>
      <c r="CK7" s="666"/>
      <c r="CL7" s="666"/>
      <c r="CM7" s="666"/>
      <c r="CN7" s="666"/>
      <c r="CO7" s="666"/>
      <c r="CP7" s="666"/>
      <c r="CQ7" s="666"/>
      <c r="CR7" s="666"/>
      <c r="CS7" s="666"/>
    </row>
    <row r="8" ht="15.75" hidden="1" customHeight="1">
      <c r="A8" s="845" t="s">
        <v>2363</v>
      </c>
      <c r="B8" s="846" t="s">
        <v>2350</v>
      </c>
      <c r="C8" s="666" t="s">
        <v>2350</v>
      </c>
      <c r="D8" s="666" t="s">
        <v>2350</v>
      </c>
      <c r="E8" s="666" t="s">
        <v>2350</v>
      </c>
      <c r="F8" s="666" t="s">
        <v>2350</v>
      </c>
      <c r="G8" s="666" t="s">
        <v>2350</v>
      </c>
      <c r="H8" s="666" t="s">
        <v>2350</v>
      </c>
      <c r="I8" s="666" t="s">
        <v>2350</v>
      </c>
      <c r="J8" s="666" t="s">
        <v>2350</v>
      </c>
      <c r="K8" s="666" t="s">
        <v>2350</v>
      </c>
      <c r="L8" s="666" t="s">
        <v>2353</v>
      </c>
      <c r="M8" s="666" t="s">
        <v>2350</v>
      </c>
      <c r="N8" s="666" t="s">
        <v>2350</v>
      </c>
      <c r="O8" s="666" t="s">
        <v>2352</v>
      </c>
      <c r="P8" s="848" t="s">
        <v>2350</v>
      </c>
      <c r="Q8" s="666" t="s">
        <v>2350</v>
      </c>
      <c r="R8" s="666" t="s">
        <v>2350</v>
      </c>
      <c r="S8" s="666" t="s">
        <v>2350</v>
      </c>
      <c r="T8" s="666" t="s">
        <v>2350</v>
      </c>
      <c r="U8" s="848" t="s">
        <v>2350</v>
      </c>
      <c r="V8" s="666" t="s">
        <v>2350</v>
      </c>
      <c r="W8" s="666" t="s">
        <v>2364</v>
      </c>
      <c r="X8" s="666" t="s">
        <v>2350</v>
      </c>
      <c r="Y8" s="666" t="s">
        <v>2350</v>
      </c>
      <c r="Z8" s="666" t="s">
        <v>2350</v>
      </c>
      <c r="AA8" s="666" t="s">
        <v>2350</v>
      </c>
      <c r="AB8" s="666" t="s">
        <v>2353</v>
      </c>
      <c r="AC8" s="666" t="s">
        <v>2350</v>
      </c>
      <c r="AD8" s="666" t="s">
        <v>2350</v>
      </c>
      <c r="AE8" s="850"/>
      <c r="AF8" s="666" t="s">
        <v>2350</v>
      </c>
      <c r="AG8" s="666" t="s">
        <v>2350</v>
      </c>
      <c r="AH8" s="666" t="s">
        <v>2350</v>
      </c>
      <c r="AI8" s="666" t="s">
        <v>2350</v>
      </c>
      <c r="AJ8" s="666" t="s">
        <v>2350</v>
      </c>
      <c r="AK8" s="666" t="s">
        <v>2350</v>
      </c>
      <c r="AL8" s="850"/>
      <c r="AM8" s="666" t="s">
        <v>2350</v>
      </c>
      <c r="AN8" s="666" t="s">
        <v>2353</v>
      </c>
      <c r="AO8" s="666" t="s">
        <v>2350</v>
      </c>
      <c r="AP8" s="850"/>
      <c r="AQ8" s="666" t="s">
        <v>2350</v>
      </c>
      <c r="AR8" s="666" t="s">
        <v>2350</v>
      </c>
      <c r="AS8" s="850"/>
      <c r="AT8" s="666" t="s">
        <v>2350</v>
      </c>
      <c r="AU8" s="666" t="s">
        <v>2350</v>
      </c>
      <c r="AV8" s="666" t="s">
        <v>2350</v>
      </c>
      <c r="AW8" s="666" t="s">
        <v>2350</v>
      </c>
      <c r="AX8" s="666" t="s">
        <v>2350</v>
      </c>
      <c r="AY8" s="850"/>
      <c r="AZ8" s="666" t="s">
        <v>2350</v>
      </c>
      <c r="BA8" s="666" t="s">
        <v>2350</v>
      </c>
      <c r="BB8" s="666" t="s">
        <v>2350</v>
      </c>
      <c r="BC8" s="666" t="s">
        <v>2350</v>
      </c>
      <c r="BD8" s="666" t="s">
        <v>2350</v>
      </c>
      <c r="BE8" s="666" t="s">
        <v>2350</v>
      </c>
      <c r="BF8" s="666" t="s">
        <v>2350</v>
      </c>
      <c r="BG8" s="666" t="s">
        <v>2365</v>
      </c>
      <c r="BH8" s="666" t="s">
        <v>2350</v>
      </c>
      <c r="BI8" s="848" t="s">
        <v>2350</v>
      </c>
      <c r="BJ8" s="850"/>
      <c r="BK8" s="848" t="s">
        <v>2350</v>
      </c>
      <c r="BL8" s="848" t="s">
        <v>2350</v>
      </c>
      <c r="BM8" s="666" t="s">
        <v>2350</v>
      </c>
      <c r="BN8" s="848" t="s">
        <v>2350</v>
      </c>
      <c r="BO8" s="666" t="s">
        <v>2350</v>
      </c>
      <c r="BP8" s="666" t="s">
        <v>2350</v>
      </c>
      <c r="BQ8" s="666" t="s">
        <v>2350</v>
      </c>
      <c r="BR8" s="666" t="s">
        <v>2350</v>
      </c>
      <c r="BS8" s="666" t="s">
        <v>2350</v>
      </c>
      <c r="BT8" s="666" t="s">
        <v>2350</v>
      </c>
      <c r="BU8" s="666" t="s">
        <v>2350</v>
      </c>
      <c r="BV8" s="666" t="s">
        <v>2350</v>
      </c>
      <c r="BW8" s="666" t="s">
        <v>2350</v>
      </c>
      <c r="BX8" s="666" t="s">
        <v>2366</v>
      </c>
      <c r="BY8" s="666"/>
      <c r="BZ8" s="666"/>
      <c r="CA8" s="666"/>
      <c r="CB8" s="666"/>
      <c r="CC8" s="666"/>
      <c r="CD8" s="666"/>
      <c r="CE8" s="666"/>
      <c r="CF8" s="666"/>
      <c r="CG8" s="666"/>
      <c r="CH8" s="666"/>
      <c r="CI8" s="850"/>
      <c r="CJ8" s="666"/>
      <c r="CK8" s="666"/>
      <c r="CL8" s="666"/>
      <c r="CM8" s="666"/>
      <c r="CN8" s="666"/>
      <c r="CO8" s="666"/>
      <c r="CP8" s="666"/>
      <c r="CQ8" s="666"/>
      <c r="CR8" s="666"/>
      <c r="CS8" s="666"/>
    </row>
    <row r="9">
      <c r="A9" s="845" t="s">
        <v>1537</v>
      </c>
      <c r="B9" s="846" t="s">
        <v>2350</v>
      </c>
      <c r="C9" s="666" t="s">
        <v>2350</v>
      </c>
      <c r="D9" s="666" t="s">
        <v>2350</v>
      </c>
      <c r="E9" s="666" t="s">
        <v>2350</v>
      </c>
      <c r="F9" s="666" t="s">
        <v>2350</v>
      </c>
      <c r="G9" s="666" t="s">
        <v>2350</v>
      </c>
      <c r="H9" s="666" t="s">
        <v>2350</v>
      </c>
      <c r="I9" s="666" t="s">
        <v>2350</v>
      </c>
      <c r="J9" s="666" t="s">
        <v>2350</v>
      </c>
      <c r="K9" s="666" t="s">
        <v>2350</v>
      </c>
      <c r="L9" s="666" t="s">
        <v>2350</v>
      </c>
      <c r="M9" s="666" t="s">
        <v>2350</v>
      </c>
      <c r="N9" s="666" t="s">
        <v>2350</v>
      </c>
      <c r="O9" s="851" t="s">
        <v>2359</v>
      </c>
      <c r="P9" s="848" t="s">
        <v>2350</v>
      </c>
      <c r="Q9" s="666" t="s">
        <v>2350</v>
      </c>
      <c r="R9" s="666" t="s">
        <v>2350</v>
      </c>
      <c r="S9" s="666" t="s">
        <v>2350</v>
      </c>
      <c r="T9" s="666" t="s">
        <v>2350</v>
      </c>
      <c r="U9" s="848" t="s">
        <v>2350</v>
      </c>
      <c r="V9" s="666" t="s">
        <v>2350</v>
      </c>
      <c r="W9" s="666" t="s">
        <v>2350</v>
      </c>
      <c r="X9" s="666" t="s">
        <v>2350</v>
      </c>
      <c r="Y9" s="666" t="s">
        <v>2350</v>
      </c>
      <c r="Z9" s="666" t="s">
        <v>2350</v>
      </c>
      <c r="AA9" s="666" t="s">
        <v>2350</v>
      </c>
      <c r="AB9" s="666" t="s">
        <v>2350</v>
      </c>
      <c r="AC9" s="666" t="s">
        <v>2350</v>
      </c>
      <c r="AD9" s="666" t="s">
        <v>2350</v>
      </c>
      <c r="AE9" s="850"/>
      <c r="AF9" s="666" t="s">
        <v>2350</v>
      </c>
      <c r="AG9" s="666" t="s">
        <v>2350</v>
      </c>
      <c r="AH9" s="666" t="s">
        <v>2350</v>
      </c>
      <c r="AI9" s="666" t="s">
        <v>2350</v>
      </c>
      <c r="AJ9" s="666" t="s">
        <v>2350</v>
      </c>
      <c r="AK9" s="666" t="s">
        <v>2350</v>
      </c>
      <c r="AL9" s="850"/>
      <c r="AM9" s="666" t="s">
        <v>2350</v>
      </c>
      <c r="AN9" s="666" t="s">
        <v>2350</v>
      </c>
      <c r="AO9" s="666" t="s">
        <v>2350</v>
      </c>
      <c r="AP9" s="850"/>
      <c r="AQ9" s="666" t="s">
        <v>2350</v>
      </c>
      <c r="AR9" s="666" t="s">
        <v>2350</v>
      </c>
      <c r="AS9" s="850"/>
      <c r="AT9" s="666" t="s">
        <v>2350</v>
      </c>
      <c r="AU9" s="666" t="s">
        <v>2350</v>
      </c>
      <c r="AV9" s="666" t="s">
        <v>2350</v>
      </c>
      <c r="AW9" s="666" t="s">
        <v>2350</v>
      </c>
      <c r="AX9" s="666" t="s">
        <v>2350</v>
      </c>
      <c r="AY9" s="850"/>
      <c r="AZ9" s="666" t="s">
        <v>2350</v>
      </c>
      <c r="BA9" s="666" t="s">
        <v>2350</v>
      </c>
      <c r="BB9" s="666" t="s">
        <v>2350</v>
      </c>
      <c r="BC9" s="666" t="s">
        <v>2350</v>
      </c>
      <c r="BD9" s="666" t="s">
        <v>2350</v>
      </c>
      <c r="BE9" s="666" t="s">
        <v>2350</v>
      </c>
      <c r="BF9" s="666" t="s">
        <v>2350</v>
      </c>
      <c r="BG9" s="666" t="s">
        <v>2350</v>
      </c>
      <c r="BH9" s="666" t="s">
        <v>2350</v>
      </c>
      <c r="BI9" s="848" t="s">
        <v>2350</v>
      </c>
      <c r="BJ9" s="850"/>
      <c r="BK9" s="848" t="s">
        <v>2350</v>
      </c>
      <c r="BL9" s="848" t="s">
        <v>2350</v>
      </c>
      <c r="BM9" s="666" t="s">
        <v>2350</v>
      </c>
      <c r="BN9" s="848" t="s">
        <v>2350</v>
      </c>
      <c r="BO9" s="666" t="s">
        <v>2350</v>
      </c>
      <c r="BP9" s="666" t="s">
        <v>2350</v>
      </c>
      <c r="BQ9" s="666" t="s">
        <v>2350</v>
      </c>
      <c r="BR9" s="666" t="s">
        <v>2350</v>
      </c>
      <c r="BS9" s="666" t="s">
        <v>2350</v>
      </c>
      <c r="BT9" s="666" t="s">
        <v>2350</v>
      </c>
      <c r="BU9" s="666" t="s">
        <v>2350</v>
      </c>
      <c r="BV9" s="666" t="s">
        <v>2350</v>
      </c>
      <c r="BW9" s="666" t="s">
        <v>2350</v>
      </c>
      <c r="BX9" s="666" t="s">
        <v>2350</v>
      </c>
      <c r="BY9" s="666" t="s">
        <v>2350</v>
      </c>
      <c r="BZ9" s="666" t="s">
        <v>2350</v>
      </c>
      <c r="CA9" s="666" t="s">
        <v>2350</v>
      </c>
      <c r="CB9" s="666" t="s">
        <v>2350</v>
      </c>
      <c r="CC9" s="666" t="s">
        <v>2350</v>
      </c>
      <c r="CD9" s="666" t="s">
        <v>2350</v>
      </c>
      <c r="CE9" s="666" t="s">
        <v>2350</v>
      </c>
      <c r="CF9" s="666" t="s">
        <v>2350</v>
      </c>
      <c r="CG9" s="666"/>
      <c r="CH9" s="666"/>
      <c r="CI9" s="850"/>
      <c r="CJ9" s="666"/>
      <c r="CK9" s="666"/>
      <c r="CL9" s="666"/>
      <c r="CM9" s="666"/>
      <c r="CN9" s="666"/>
      <c r="CO9" s="666"/>
      <c r="CP9" s="666"/>
      <c r="CQ9" s="666"/>
      <c r="CR9" s="666"/>
      <c r="CS9" s="666" t="s">
        <v>2350</v>
      </c>
    </row>
    <row r="10">
      <c r="A10" s="845" t="s">
        <v>2367</v>
      </c>
      <c r="B10" s="846" t="s">
        <v>2350</v>
      </c>
      <c r="C10" s="666" t="s">
        <v>2350</v>
      </c>
      <c r="D10" s="666" t="s">
        <v>2350</v>
      </c>
      <c r="E10" s="666" t="s">
        <v>2350</v>
      </c>
      <c r="F10" s="666" t="s">
        <v>2350</v>
      </c>
      <c r="G10" s="666" t="s">
        <v>2350</v>
      </c>
      <c r="H10" s="666" t="s">
        <v>2350</v>
      </c>
      <c r="I10" s="666" t="s">
        <v>2353</v>
      </c>
      <c r="J10" s="666" t="s">
        <v>2350</v>
      </c>
      <c r="K10" s="666" t="s">
        <v>2353</v>
      </c>
      <c r="L10" s="666" t="s">
        <v>2350</v>
      </c>
      <c r="M10" s="666" t="s">
        <v>2350</v>
      </c>
      <c r="N10" s="666" t="s">
        <v>2353</v>
      </c>
      <c r="O10" s="666" t="s">
        <v>2352</v>
      </c>
      <c r="P10" s="848" t="s">
        <v>2353</v>
      </c>
      <c r="Q10" s="666" t="s">
        <v>2353</v>
      </c>
      <c r="R10" s="666" t="s">
        <v>2350</v>
      </c>
      <c r="S10" s="666" t="s">
        <v>2350</v>
      </c>
      <c r="T10" s="666" t="s">
        <v>2350</v>
      </c>
      <c r="U10" s="848" t="s">
        <v>2353</v>
      </c>
      <c r="V10" s="666" t="s">
        <v>2350</v>
      </c>
      <c r="W10" s="666" t="s">
        <v>2350</v>
      </c>
      <c r="X10" s="666" t="s">
        <v>2350</v>
      </c>
      <c r="Y10" s="666" t="s">
        <v>2350</v>
      </c>
      <c r="Z10" s="666" t="s">
        <v>2350</v>
      </c>
      <c r="AA10" s="666" t="s">
        <v>2350</v>
      </c>
      <c r="AB10" s="666" t="s">
        <v>2350</v>
      </c>
      <c r="AC10" s="666" t="s">
        <v>2350</v>
      </c>
      <c r="AD10" s="666" t="s">
        <v>2350</v>
      </c>
      <c r="AE10" s="850"/>
      <c r="AF10" s="666" t="s">
        <v>2350</v>
      </c>
      <c r="AG10" s="666" t="s">
        <v>2350</v>
      </c>
      <c r="AH10" s="666" t="s">
        <v>2350</v>
      </c>
      <c r="AI10" s="666" t="s">
        <v>2350</v>
      </c>
      <c r="AJ10" s="666" t="s">
        <v>2350</v>
      </c>
      <c r="AK10" s="666" t="s">
        <v>2353</v>
      </c>
      <c r="AL10" s="850"/>
      <c r="AM10" s="666" t="s">
        <v>2353</v>
      </c>
      <c r="AN10" s="666" t="s">
        <v>2350</v>
      </c>
      <c r="AO10" s="666" t="s">
        <v>2350</v>
      </c>
      <c r="AP10" s="850"/>
      <c r="AQ10" s="666" t="s">
        <v>2350</v>
      </c>
      <c r="AR10" s="666" t="s">
        <v>2350</v>
      </c>
      <c r="AS10" s="850"/>
      <c r="AT10" s="666" t="s">
        <v>2350</v>
      </c>
      <c r="AU10" s="666" t="s">
        <v>2350</v>
      </c>
      <c r="AV10" s="666" t="s">
        <v>2350</v>
      </c>
      <c r="AW10" s="666" t="s">
        <v>2350</v>
      </c>
      <c r="AX10" s="666" t="s">
        <v>2350</v>
      </c>
      <c r="AY10" s="850"/>
      <c r="AZ10" s="666" t="s">
        <v>2350</v>
      </c>
      <c r="BA10" s="666" t="s">
        <v>2353</v>
      </c>
      <c r="BB10" s="666" t="s">
        <v>2353</v>
      </c>
      <c r="BC10" s="666" t="s">
        <v>2353</v>
      </c>
      <c r="BD10" s="666" t="s">
        <v>2353</v>
      </c>
      <c r="BE10" s="666" t="s">
        <v>2353</v>
      </c>
      <c r="BF10" s="666" t="s">
        <v>2350</v>
      </c>
      <c r="BG10" s="666" t="s">
        <v>2350</v>
      </c>
      <c r="BH10" s="666" t="s">
        <v>2350</v>
      </c>
      <c r="BI10" s="848" t="s">
        <v>2350</v>
      </c>
      <c r="BJ10" s="850"/>
      <c r="BK10" s="848" t="s">
        <v>2350</v>
      </c>
      <c r="BL10" s="848" t="s">
        <v>2350</v>
      </c>
      <c r="BM10" s="666" t="s">
        <v>2350</v>
      </c>
      <c r="BN10" s="848" t="s">
        <v>2350</v>
      </c>
      <c r="BO10" s="666" t="s">
        <v>2350</v>
      </c>
      <c r="BP10" s="666" t="s">
        <v>2350</v>
      </c>
      <c r="BQ10" s="666" t="s">
        <v>2350</v>
      </c>
      <c r="BR10" s="666" t="s">
        <v>2350</v>
      </c>
      <c r="BS10" s="666" t="s">
        <v>2350</v>
      </c>
      <c r="BT10" s="666" t="s">
        <v>2350</v>
      </c>
      <c r="BU10" s="666" t="s">
        <v>2350</v>
      </c>
      <c r="BV10" s="666" t="s">
        <v>2350</v>
      </c>
      <c r="BW10" s="666" t="s">
        <v>2353</v>
      </c>
      <c r="BX10" s="666" t="s">
        <v>2350</v>
      </c>
      <c r="BY10" s="666" t="s">
        <v>2350</v>
      </c>
      <c r="BZ10" s="666" t="s">
        <v>2350</v>
      </c>
      <c r="CA10" s="666" t="s">
        <v>2350</v>
      </c>
      <c r="CB10" s="666" t="s">
        <v>2350</v>
      </c>
      <c r="CC10" s="666" t="s">
        <v>2350</v>
      </c>
      <c r="CD10" s="666" t="s">
        <v>2350</v>
      </c>
      <c r="CE10" s="666" t="s">
        <v>2350</v>
      </c>
      <c r="CF10" s="666" t="s">
        <v>2350</v>
      </c>
      <c r="CG10" s="666"/>
      <c r="CH10" s="666"/>
      <c r="CI10" s="850"/>
      <c r="CJ10" s="666"/>
      <c r="CK10" s="666"/>
      <c r="CL10" s="666"/>
      <c r="CM10" s="666"/>
      <c r="CN10" s="666"/>
      <c r="CO10" s="666"/>
      <c r="CP10" s="666"/>
      <c r="CQ10" s="666"/>
      <c r="CR10" s="666"/>
      <c r="CS10" s="666" t="s">
        <v>2350</v>
      </c>
    </row>
    <row r="11">
      <c r="A11" s="845" t="s">
        <v>2368</v>
      </c>
      <c r="B11" s="846" t="s">
        <v>2350</v>
      </c>
      <c r="C11" s="666" t="s">
        <v>2350</v>
      </c>
      <c r="D11" s="666" t="s">
        <v>2350</v>
      </c>
      <c r="E11" s="666" t="s">
        <v>2350</v>
      </c>
      <c r="F11" s="666" t="s">
        <v>2350</v>
      </c>
      <c r="G11" s="666" t="s">
        <v>2350</v>
      </c>
      <c r="H11" s="666" t="s">
        <v>2350</v>
      </c>
      <c r="I11" s="666" t="s">
        <v>2350</v>
      </c>
      <c r="J11" s="666" t="s">
        <v>2369</v>
      </c>
      <c r="K11" s="666" t="s">
        <v>2353</v>
      </c>
      <c r="L11" s="666" t="s">
        <v>2350</v>
      </c>
      <c r="M11" s="666" t="s">
        <v>2353</v>
      </c>
      <c r="N11" s="666" t="s">
        <v>2350</v>
      </c>
      <c r="O11" s="666" t="s">
        <v>2352</v>
      </c>
      <c r="P11" s="848" t="s">
        <v>2350</v>
      </c>
      <c r="Q11" s="666" t="s">
        <v>2350</v>
      </c>
      <c r="R11" s="666" t="s">
        <v>2350</v>
      </c>
      <c r="S11" s="666" t="s">
        <v>2353</v>
      </c>
      <c r="T11" s="666" t="s">
        <v>2353</v>
      </c>
      <c r="U11" s="848" t="s">
        <v>2353</v>
      </c>
      <c r="V11" s="666" t="s">
        <v>2350</v>
      </c>
      <c r="W11" s="666" t="s">
        <v>2350</v>
      </c>
      <c r="X11" s="666" t="s">
        <v>2350</v>
      </c>
      <c r="Y11" s="666" t="s">
        <v>2350</v>
      </c>
      <c r="Z11" s="666" t="s">
        <v>2350</v>
      </c>
      <c r="AA11" s="666" t="s">
        <v>2350</v>
      </c>
      <c r="AB11" s="666" t="s">
        <v>2350</v>
      </c>
      <c r="AC11" s="666" t="s">
        <v>2350</v>
      </c>
      <c r="AD11" s="666" t="s">
        <v>2353</v>
      </c>
      <c r="AE11" s="850"/>
      <c r="AF11" s="666" t="s">
        <v>2350</v>
      </c>
      <c r="AG11" s="666" t="s">
        <v>2350</v>
      </c>
      <c r="AH11" s="666" t="s">
        <v>2350</v>
      </c>
      <c r="AI11" s="666" t="s">
        <v>2350</v>
      </c>
      <c r="AJ11" s="666" t="s">
        <v>2350</v>
      </c>
      <c r="AK11" s="666" t="s">
        <v>2350</v>
      </c>
      <c r="AL11" s="850"/>
      <c r="AM11" s="666" t="s">
        <v>2350</v>
      </c>
      <c r="AN11" s="666" t="s">
        <v>2350</v>
      </c>
      <c r="AO11" s="666" t="s">
        <v>2350</v>
      </c>
      <c r="AP11" s="850"/>
      <c r="AQ11" s="666" t="s">
        <v>2350</v>
      </c>
      <c r="AR11" s="666" t="s">
        <v>2350</v>
      </c>
      <c r="AS11" s="850"/>
      <c r="AT11" s="666" t="s">
        <v>2350</v>
      </c>
      <c r="AU11" s="666" t="s">
        <v>2353</v>
      </c>
      <c r="AV11" s="666" t="s">
        <v>2353</v>
      </c>
      <c r="AW11" s="666" t="s">
        <v>2350</v>
      </c>
      <c r="AX11" s="666" t="s">
        <v>2350</v>
      </c>
      <c r="AY11" s="850"/>
      <c r="AZ11" s="666" t="s">
        <v>2353</v>
      </c>
      <c r="BA11" s="666" t="s">
        <v>2350</v>
      </c>
      <c r="BB11" s="666" t="s">
        <v>2350</v>
      </c>
      <c r="BC11" s="666" t="s">
        <v>2350</v>
      </c>
      <c r="BD11" s="666" t="s">
        <v>2350</v>
      </c>
      <c r="BE11" s="666" t="s">
        <v>2353</v>
      </c>
      <c r="BF11" s="666" t="s">
        <v>2353</v>
      </c>
      <c r="BG11" s="666" t="s">
        <v>2353</v>
      </c>
      <c r="BH11" s="666" t="s">
        <v>2350</v>
      </c>
      <c r="BI11" s="848" t="s">
        <v>2350</v>
      </c>
      <c r="BJ11" s="850"/>
      <c r="BK11" s="848" t="s">
        <v>2350</v>
      </c>
      <c r="BL11" s="848" t="s">
        <v>2350</v>
      </c>
      <c r="BM11" s="666" t="s">
        <v>2350</v>
      </c>
      <c r="BN11" s="848" t="s">
        <v>2350</v>
      </c>
      <c r="BO11" s="666" t="s">
        <v>2353</v>
      </c>
      <c r="BP11" s="666" t="s">
        <v>2350</v>
      </c>
      <c r="BQ11" s="666" t="s">
        <v>2350</v>
      </c>
      <c r="BR11" s="666" t="s">
        <v>2370</v>
      </c>
      <c r="BS11" s="666" t="s">
        <v>2350</v>
      </c>
      <c r="BT11" s="666" t="s">
        <v>2350</v>
      </c>
      <c r="BU11" s="666" t="s">
        <v>2350</v>
      </c>
      <c r="BV11" s="666" t="s">
        <v>2350</v>
      </c>
      <c r="BW11" s="666" t="s">
        <v>2350</v>
      </c>
      <c r="BX11" s="666" t="s">
        <v>2350</v>
      </c>
      <c r="BY11" s="666" t="s">
        <v>2350</v>
      </c>
      <c r="BZ11" s="666" t="s">
        <v>2350</v>
      </c>
      <c r="CA11" s="666" t="s">
        <v>2350</v>
      </c>
      <c r="CB11" s="666" t="s">
        <v>2353</v>
      </c>
      <c r="CC11" s="666" t="s">
        <v>2353</v>
      </c>
      <c r="CD11" s="666" t="s">
        <v>2350</v>
      </c>
      <c r="CE11" s="666" t="s">
        <v>2350</v>
      </c>
      <c r="CF11" s="666" t="s">
        <v>2350</v>
      </c>
      <c r="CG11" s="666"/>
      <c r="CH11" s="666"/>
      <c r="CI11" s="850"/>
      <c r="CJ11" s="666"/>
      <c r="CK11" s="666"/>
      <c r="CL11" s="666"/>
      <c r="CM11" s="666"/>
      <c r="CN11" s="666"/>
      <c r="CO11" s="666"/>
      <c r="CP11" s="666"/>
      <c r="CQ11" s="666"/>
      <c r="CR11" s="666"/>
      <c r="CS11" s="666" t="s">
        <v>2350</v>
      </c>
    </row>
    <row r="12">
      <c r="A12" s="845" t="s">
        <v>1530</v>
      </c>
      <c r="B12" s="846" t="s">
        <v>2350</v>
      </c>
      <c r="C12" s="666" t="s">
        <v>2353</v>
      </c>
      <c r="D12" s="666" t="s">
        <v>2350</v>
      </c>
      <c r="E12" s="666" t="s">
        <v>2350</v>
      </c>
      <c r="F12" s="666" t="s">
        <v>2353</v>
      </c>
      <c r="G12" s="666" t="s">
        <v>2353</v>
      </c>
      <c r="H12" s="666" t="s">
        <v>2350</v>
      </c>
      <c r="I12" s="666" t="s">
        <v>2353</v>
      </c>
      <c r="J12" s="666" t="s">
        <v>2350</v>
      </c>
      <c r="K12" s="666" t="s">
        <v>2353</v>
      </c>
      <c r="L12" s="666" t="s">
        <v>2350</v>
      </c>
      <c r="M12" s="666" t="s">
        <v>2353</v>
      </c>
      <c r="N12" s="666" t="s">
        <v>2353</v>
      </c>
      <c r="O12" s="666" t="s">
        <v>2352</v>
      </c>
      <c r="P12" s="848" t="s">
        <v>2350</v>
      </c>
      <c r="Q12" s="666" t="s">
        <v>2353</v>
      </c>
      <c r="R12" s="666" t="s">
        <v>2353</v>
      </c>
      <c r="S12" s="666" t="s">
        <v>2353</v>
      </c>
      <c r="T12" s="666" t="s">
        <v>2353</v>
      </c>
      <c r="U12" s="848" t="s">
        <v>2353</v>
      </c>
      <c r="V12" s="666" t="s">
        <v>2353</v>
      </c>
      <c r="W12" s="666" t="s">
        <v>2350</v>
      </c>
      <c r="X12" s="666" t="s">
        <v>2353</v>
      </c>
      <c r="Y12" s="666" t="s">
        <v>2353</v>
      </c>
      <c r="Z12" s="666" t="s">
        <v>2350</v>
      </c>
      <c r="AA12" s="666" t="s">
        <v>2353</v>
      </c>
      <c r="AB12" s="666" t="s">
        <v>2353</v>
      </c>
      <c r="AC12" s="666" t="s">
        <v>2350</v>
      </c>
      <c r="AD12" s="666" t="s">
        <v>2353</v>
      </c>
      <c r="AE12" s="850"/>
      <c r="AF12" s="666" t="s">
        <v>2353</v>
      </c>
      <c r="AG12" s="666" t="s">
        <v>2353</v>
      </c>
      <c r="AH12" s="666" t="s">
        <v>2353</v>
      </c>
      <c r="AI12" s="666" t="s">
        <v>2353</v>
      </c>
      <c r="AJ12" s="666" t="s">
        <v>2350</v>
      </c>
      <c r="AK12" s="666" t="s">
        <v>2350</v>
      </c>
      <c r="AL12" s="850"/>
      <c r="AM12" s="666" t="s">
        <v>2353</v>
      </c>
      <c r="AN12" s="666" t="s">
        <v>2353</v>
      </c>
      <c r="AO12" s="666" t="s">
        <v>2353</v>
      </c>
      <c r="AP12" s="850"/>
      <c r="AQ12" s="666" t="s">
        <v>2353</v>
      </c>
      <c r="AR12" s="666" t="s">
        <v>2353</v>
      </c>
      <c r="AS12" s="850"/>
      <c r="AT12" s="666" t="s">
        <v>2353</v>
      </c>
      <c r="AU12" s="666" t="s">
        <v>2353</v>
      </c>
      <c r="AV12" s="666" t="s">
        <v>2350</v>
      </c>
      <c r="AW12" s="666" t="s">
        <v>2350</v>
      </c>
      <c r="AX12" s="666" t="s">
        <v>2353</v>
      </c>
      <c r="AY12" s="850"/>
      <c r="AZ12" s="666" t="s">
        <v>2353</v>
      </c>
      <c r="BA12" s="666" t="s">
        <v>2353</v>
      </c>
      <c r="BB12" s="666" t="s">
        <v>2353</v>
      </c>
      <c r="BC12" s="666" t="s">
        <v>2350</v>
      </c>
      <c r="BD12" s="666" t="s">
        <v>2353</v>
      </c>
      <c r="BE12" s="666" t="s">
        <v>2350</v>
      </c>
      <c r="BF12" s="666" t="s">
        <v>2353</v>
      </c>
      <c r="BG12" s="666" t="s">
        <v>2353</v>
      </c>
      <c r="BH12" s="666" t="s">
        <v>2350</v>
      </c>
      <c r="BI12" s="848" t="s">
        <v>2353</v>
      </c>
      <c r="BJ12" s="850"/>
      <c r="BK12" s="848" t="s">
        <v>2353</v>
      </c>
      <c r="BL12" s="848" t="s">
        <v>2353</v>
      </c>
      <c r="BM12" s="666" t="s">
        <v>2350</v>
      </c>
      <c r="BN12" s="848" t="s">
        <v>2353</v>
      </c>
      <c r="BO12" s="666" t="s">
        <v>2353</v>
      </c>
      <c r="BP12" s="666" t="s">
        <v>2353</v>
      </c>
      <c r="BQ12" s="666" t="s">
        <v>2353</v>
      </c>
      <c r="BR12" s="666" t="s">
        <v>2350</v>
      </c>
      <c r="BS12" s="666" t="s">
        <v>2353</v>
      </c>
      <c r="BT12" s="666" t="s">
        <v>2353</v>
      </c>
      <c r="BU12" s="666" t="s">
        <v>2350</v>
      </c>
      <c r="BV12" s="666" t="s">
        <v>2350</v>
      </c>
      <c r="BW12" s="666" t="s">
        <v>2353</v>
      </c>
      <c r="BX12" s="666" t="s">
        <v>2353</v>
      </c>
      <c r="BY12" s="666" t="s">
        <v>2350</v>
      </c>
      <c r="BZ12" s="666" t="s">
        <v>2353</v>
      </c>
      <c r="CA12" s="666" t="s">
        <v>2353</v>
      </c>
      <c r="CB12" s="666" t="s">
        <v>2350</v>
      </c>
      <c r="CC12" s="666" t="s">
        <v>2353</v>
      </c>
      <c r="CD12" s="666" t="s">
        <v>2353</v>
      </c>
      <c r="CE12" s="666" t="s">
        <v>2350</v>
      </c>
      <c r="CF12" s="666" t="s">
        <v>2353</v>
      </c>
      <c r="CG12" s="666"/>
      <c r="CH12" s="666"/>
      <c r="CI12" s="850"/>
      <c r="CJ12" s="666"/>
      <c r="CK12" s="666"/>
      <c r="CL12" s="666"/>
      <c r="CM12" s="666"/>
      <c r="CN12" s="666"/>
      <c r="CO12" s="666"/>
      <c r="CP12" s="666"/>
      <c r="CQ12" s="666"/>
      <c r="CR12" s="666"/>
      <c r="CS12" s="666" t="s">
        <v>2353</v>
      </c>
    </row>
    <row r="13">
      <c r="A13" s="845" t="s">
        <v>1717</v>
      </c>
      <c r="B13" s="846" t="s">
        <v>2350</v>
      </c>
      <c r="C13" s="666" t="s">
        <v>2353</v>
      </c>
      <c r="D13" s="666" t="s">
        <v>2353</v>
      </c>
      <c r="E13" s="666" t="s">
        <v>2353</v>
      </c>
      <c r="F13" s="666" t="s">
        <v>2353</v>
      </c>
      <c r="G13" s="666" t="s">
        <v>2353</v>
      </c>
      <c r="H13" s="666" t="s">
        <v>2353</v>
      </c>
      <c r="I13" s="666" t="s">
        <v>2353</v>
      </c>
      <c r="J13" s="666" t="s">
        <v>2350</v>
      </c>
      <c r="K13" s="666" t="s">
        <v>2353</v>
      </c>
      <c r="L13" s="666" t="s">
        <v>2353</v>
      </c>
      <c r="M13" s="666" t="s">
        <v>2350</v>
      </c>
      <c r="N13" s="666" t="s">
        <v>2353</v>
      </c>
      <c r="O13" s="666" t="s">
        <v>2352</v>
      </c>
      <c r="P13" s="848" t="s">
        <v>2353</v>
      </c>
      <c r="Q13" s="666" t="s">
        <v>2353</v>
      </c>
      <c r="R13" s="666" t="s">
        <v>2353</v>
      </c>
      <c r="S13" s="666" t="s">
        <v>2353</v>
      </c>
      <c r="T13" s="666" t="s">
        <v>2353</v>
      </c>
      <c r="U13" s="848" t="s">
        <v>2353</v>
      </c>
      <c r="V13" s="666" t="s">
        <v>2350</v>
      </c>
      <c r="W13" s="666" t="s">
        <v>2353</v>
      </c>
      <c r="X13" s="666" t="s">
        <v>2353</v>
      </c>
      <c r="Y13" s="666" t="s">
        <v>2353</v>
      </c>
      <c r="Z13" s="666" t="s">
        <v>2353</v>
      </c>
      <c r="AA13" s="666" t="s">
        <v>2353</v>
      </c>
      <c r="AB13" s="666" t="s">
        <v>2353</v>
      </c>
      <c r="AC13" s="666" t="s">
        <v>2350</v>
      </c>
      <c r="AD13" s="666" t="s">
        <v>2353</v>
      </c>
      <c r="AE13" s="779"/>
      <c r="AF13" s="666" t="s">
        <v>2353</v>
      </c>
      <c r="AG13" s="666" t="s">
        <v>2353</v>
      </c>
      <c r="AH13" s="666" t="s">
        <v>2353</v>
      </c>
      <c r="AI13" s="666" t="s">
        <v>2350</v>
      </c>
      <c r="AJ13" s="666" t="s">
        <v>2353</v>
      </c>
      <c r="AK13" s="666" t="s">
        <v>2353</v>
      </c>
      <c r="AL13" s="779"/>
      <c r="AM13" s="666" t="s">
        <v>2353</v>
      </c>
      <c r="AN13" s="666" t="s">
        <v>2353</v>
      </c>
      <c r="AO13" s="666" t="s">
        <v>2353</v>
      </c>
      <c r="AP13" s="779"/>
      <c r="AQ13" s="666" t="s">
        <v>2353</v>
      </c>
      <c r="AR13" s="666" t="s">
        <v>2353</v>
      </c>
      <c r="AS13" s="779"/>
      <c r="AT13" s="666" t="s">
        <v>2353</v>
      </c>
      <c r="AU13" s="666" t="s">
        <v>2353</v>
      </c>
      <c r="AV13" s="666" t="s">
        <v>2353</v>
      </c>
      <c r="AW13" s="666" t="s">
        <v>2353</v>
      </c>
      <c r="AX13" s="666" t="s">
        <v>2353</v>
      </c>
      <c r="AY13" s="779"/>
      <c r="AZ13" s="666" t="s">
        <v>2353</v>
      </c>
      <c r="BA13" s="666" t="s">
        <v>2353</v>
      </c>
      <c r="BB13" s="666" t="s">
        <v>2353</v>
      </c>
      <c r="BC13" s="666" t="s">
        <v>2353</v>
      </c>
      <c r="BD13" s="666" t="s">
        <v>2353</v>
      </c>
      <c r="BE13" s="666" t="s">
        <v>2353</v>
      </c>
      <c r="BF13" s="666" t="s">
        <v>2353</v>
      </c>
      <c r="BG13" s="666" t="s">
        <v>2353</v>
      </c>
      <c r="BH13" s="666" t="s">
        <v>2353</v>
      </c>
      <c r="BI13" s="848" t="s">
        <v>2353</v>
      </c>
      <c r="BJ13" s="779"/>
      <c r="BK13" s="848" t="s">
        <v>2353</v>
      </c>
      <c r="BL13" s="848" t="s">
        <v>2353</v>
      </c>
      <c r="BM13" s="666" t="s">
        <v>2353</v>
      </c>
      <c r="BN13" s="848" t="s">
        <v>2353</v>
      </c>
      <c r="BO13" s="666" t="s">
        <v>2353</v>
      </c>
      <c r="BP13" s="666" t="s">
        <v>2353</v>
      </c>
      <c r="BQ13" s="666" t="s">
        <v>2353</v>
      </c>
      <c r="BR13" s="666" t="s">
        <v>2370</v>
      </c>
      <c r="BS13" s="666" t="s">
        <v>2353</v>
      </c>
      <c r="BT13" s="666" t="s">
        <v>2353</v>
      </c>
      <c r="BU13" s="666" t="s">
        <v>2353</v>
      </c>
      <c r="BV13" s="666" t="s">
        <v>2353</v>
      </c>
      <c r="BW13" s="666" t="s">
        <v>2353</v>
      </c>
      <c r="BX13" s="666" t="s">
        <v>2353</v>
      </c>
      <c r="BY13" s="666" t="s">
        <v>2353</v>
      </c>
      <c r="BZ13" s="666" t="s">
        <v>2353</v>
      </c>
      <c r="CA13" s="666" t="s">
        <v>2353</v>
      </c>
      <c r="CB13" s="666" t="s">
        <v>2353</v>
      </c>
      <c r="CC13" s="666" t="s">
        <v>2353</v>
      </c>
      <c r="CD13" s="666" t="s">
        <v>2350</v>
      </c>
      <c r="CE13" s="666" t="s">
        <v>2350</v>
      </c>
      <c r="CF13" s="666" t="s">
        <v>2350</v>
      </c>
      <c r="CG13" s="666"/>
      <c r="CH13" s="666"/>
      <c r="CI13" s="779"/>
      <c r="CJ13" s="666"/>
      <c r="CK13" s="666"/>
      <c r="CL13" s="666"/>
      <c r="CM13" s="666"/>
      <c r="CN13" s="666"/>
      <c r="CO13" s="666"/>
      <c r="CP13" s="666"/>
      <c r="CQ13" s="666"/>
      <c r="CR13" s="666"/>
      <c r="CS13" s="666" t="s">
        <v>2353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52" t="s">
        <v>2371</v>
      </c>
      <c r="B1" s="853" t="s">
        <v>2372</v>
      </c>
      <c r="C1" s="853" t="s">
        <v>2373</v>
      </c>
      <c r="D1" s="853" t="s">
        <v>2374</v>
      </c>
      <c r="E1" s="853" t="s">
        <v>2375</v>
      </c>
      <c r="F1" s="854" t="s">
        <v>2376</v>
      </c>
    </row>
    <row r="2">
      <c r="A2" s="855">
        <v>45793.0</v>
      </c>
      <c r="B2" s="856">
        <v>0.38333333333333336</v>
      </c>
      <c r="C2" s="856">
        <v>0.4652777777777778</v>
      </c>
      <c r="D2" s="856">
        <f t="shared" ref="D2:D4" si="1">C2-B2</f>
        <v>0.08194444444</v>
      </c>
      <c r="E2" s="857" t="s">
        <v>2377</v>
      </c>
      <c r="F2" s="858" t="s">
        <v>2378</v>
      </c>
      <c r="G2" s="859"/>
      <c r="H2" s="859"/>
      <c r="I2" s="859"/>
      <c r="J2" s="859"/>
      <c r="K2" s="859"/>
      <c r="L2" s="859"/>
      <c r="M2" s="859"/>
      <c r="N2" s="859"/>
      <c r="O2" s="859"/>
      <c r="P2" s="859"/>
      <c r="Q2" s="859"/>
      <c r="R2" s="859"/>
      <c r="S2" s="859"/>
      <c r="T2" s="859"/>
      <c r="U2" s="859"/>
      <c r="V2" s="859"/>
      <c r="W2" s="859"/>
      <c r="X2" s="859"/>
      <c r="Y2" s="859"/>
      <c r="Z2" s="859"/>
      <c r="AA2" s="859"/>
    </row>
    <row r="3">
      <c r="A3" s="855">
        <v>45817.0</v>
      </c>
      <c r="B3" s="860">
        <v>0.4423611111111111</v>
      </c>
      <c r="C3" s="860">
        <v>0.45069444444444445</v>
      </c>
      <c r="D3" s="856">
        <f t="shared" si="1"/>
        <v>0.008333333333</v>
      </c>
      <c r="E3" s="861" t="s">
        <v>2377</v>
      </c>
      <c r="F3" s="862" t="s">
        <v>2379</v>
      </c>
    </row>
    <row r="4">
      <c r="A4" s="863">
        <v>45817.0</v>
      </c>
      <c r="B4" s="864">
        <v>0.6326388888888889</v>
      </c>
      <c r="C4" s="864">
        <v>0.6479166666666667</v>
      </c>
      <c r="D4" s="865">
        <f t="shared" si="1"/>
        <v>0.01527777778</v>
      </c>
      <c r="E4" s="866" t="s">
        <v>2377</v>
      </c>
      <c r="F4" s="867" t="s">
        <v>2380</v>
      </c>
    </row>
    <row r="5">
      <c r="A5" s="868"/>
      <c r="B5" s="869"/>
      <c r="C5" s="869"/>
      <c r="D5" s="869"/>
      <c r="E5" s="869"/>
      <c r="F5" s="870"/>
    </row>
    <row r="6">
      <c r="A6" s="868"/>
      <c r="B6" s="869"/>
      <c r="C6" s="869"/>
      <c r="D6" s="869"/>
      <c r="E6" s="869"/>
      <c r="F6" s="870"/>
    </row>
    <row r="7">
      <c r="A7" s="868"/>
      <c r="B7" s="869"/>
      <c r="C7" s="869"/>
      <c r="D7" s="869"/>
      <c r="E7" s="869"/>
      <c r="F7" s="870"/>
    </row>
    <row r="8">
      <c r="A8" s="868"/>
      <c r="B8" s="869"/>
      <c r="C8" s="869"/>
      <c r="D8" s="869"/>
      <c r="E8" s="869"/>
      <c r="F8" s="870"/>
    </row>
    <row r="9">
      <c r="A9" s="868"/>
      <c r="B9" s="869"/>
      <c r="C9" s="869"/>
      <c r="D9" s="869"/>
      <c r="E9" s="869"/>
      <c r="F9" s="870"/>
    </row>
    <row r="10">
      <c r="A10" s="868"/>
      <c r="B10" s="869"/>
      <c r="C10" s="869"/>
      <c r="D10" s="869"/>
      <c r="E10" s="869"/>
      <c r="F10" s="870"/>
    </row>
    <row r="11">
      <c r="A11" s="868"/>
      <c r="B11" s="869"/>
      <c r="C11" s="869"/>
      <c r="D11" s="869"/>
      <c r="E11" s="869"/>
      <c r="F11" s="870"/>
    </row>
    <row r="12">
      <c r="A12" s="868"/>
      <c r="B12" s="869"/>
      <c r="C12" s="869"/>
      <c r="D12" s="869"/>
      <c r="E12" s="869"/>
      <c r="F12" s="870"/>
    </row>
    <row r="13">
      <c r="A13" s="868"/>
      <c r="B13" s="869"/>
      <c r="C13" s="869"/>
      <c r="D13" s="869"/>
      <c r="E13" s="869"/>
      <c r="F13" s="870"/>
    </row>
    <row r="14">
      <c r="A14" s="868"/>
      <c r="B14" s="869"/>
      <c r="C14" s="869"/>
      <c r="D14" s="869"/>
      <c r="E14" s="869"/>
      <c r="F14" s="870"/>
    </row>
    <row r="15">
      <c r="B15" s="840"/>
      <c r="C15" s="840"/>
      <c r="D15" s="840"/>
      <c r="E15" s="840"/>
      <c r="F15" s="871"/>
    </row>
    <row r="16">
      <c r="B16" s="840"/>
      <c r="C16" s="840"/>
      <c r="D16" s="840"/>
      <c r="E16" s="840"/>
      <c r="F16" s="871"/>
    </row>
    <row r="17">
      <c r="B17" s="840"/>
      <c r="C17" s="840"/>
      <c r="D17" s="840"/>
      <c r="E17" s="840"/>
      <c r="F17" s="871"/>
    </row>
    <row r="18">
      <c r="B18" s="840"/>
      <c r="C18" s="840"/>
      <c r="D18" s="840"/>
      <c r="E18" s="840"/>
      <c r="F18" s="871"/>
    </row>
    <row r="19">
      <c r="B19" s="840"/>
      <c r="C19" s="840"/>
      <c r="D19" s="840"/>
      <c r="E19" s="840"/>
      <c r="F19" s="871"/>
    </row>
    <row r="20">
      <c r="B20" s="840"/>
      <c r="C20" s="840"/>
      <c r="D20" s="840"/>
      <c r="E20" s="840"/>
      <c r="F20" s="871"/>
    </row>
    <row r="21">
      <c r="B21" s="840"/>
      <c r="C21" s="840"/>
      <c r="D21" s="840"/>
      <c r="E21" s="840"/>
      <c r="F21" s="871"/>
    </row>
    <row r="22">
      <c r="B22" s="840"/>
      <c r="C22" s="840"/>
      <c r="D22" s="840"/>
      <c r="E22" s="840"/>
      <c r="F22" s="871"/>
    </row>
    <row r="23">
      <c r="B23" s="840"/>
      <c r="C23" s="840"/>
      <c r="D23" s="840"/>
      <c r="E23" s="840"/>
      <c r="F23" s="871"/>
    </row>
    <row r="24">
      <c r="B24" s="840"/>
      <c r="C24" s="840"/>
      <c r="D24" s="840"/>
      <c r="E24" s="840"/>
      <c r="F24" s="871"/>
    </row>
    <row r="25">
      <c r="B25" s="840"/>
      <c r="C25" s="840"/>
      <c r="D25" s="840"/>
      <c r="E25" s="840"/>
      <c r="F25" s="871"/>
    </row>
    <row r="26">
      <c r="B26" s="840"/>
      <c r="C26" s="840"/>
      <c r="D26" s="840"/>
      <c r="E26" s="840"/>
      <c r="F26" s="871"/>
    </row>
    <row r="27">
      <c r="B27" s="840"/>
      <c r="C27" s="840"/>
      <c r="D27" s="840"/>
      <c r="E27" s="840"/>
      <c r="F27" s="871"/>
    </row>
    <row r="28">
      <c r="B28" s="840"/>
      <c r="C28" s="840"/>
      <c r="D28" s="840"/>
      <c r="E28" s="840"/>
      <c r="F28" s="871"/>
    </row>
    <row r="29">
      <c r="B29" s="840"/>
      <c r="C29" s="840"/>
      <c r="D29" s="840"/>
      <c r="E29" s="840"/>
      <c r="F29" s="871"/>
    </row>
    <row r="30">
      <c r="B30" s="840"/>
      <c r="C30" s="840"/>
      <c r="D30" s="840"/>
      <c r="E30" s="840"/>
      <c r="F30" s="871"/>
    </row>
    <row r="31">
      <c r="B31" s="840"/>
      <c r="C31" s="840"/>
      <c r="D31" s="840"/>
      <c r="E31" s="840"/>
      <c r="F31" s="871"/>
    </row>
    <row r="32">
      <c r="B32" s="840"/>
      <c r="C32" s="840"/>
      <c r="D32" s="840"/>
      <c r="E32" s="840"/>
      <c r="F32" s="871"/>
    </row>
    <row r="33">
      <c r="B33" s="840"/>
      <c r="C33" s="840"/>
      <c r="D33" s="840"/>
      <c r="E33" s="840"/>
      <c r="F33" s="871"/>
    </row>
    <row r="34">
      <c r="B34" s="840"/>
      <c r="C34" s="840"/>
      <c r="D34" s="840"/>
      <c r="E34" s="840"/>
      <c r="F34" s="871"/>
    </row>
    <row r="35">
      <c r="B35" s="840"/>
      <c r="C35" s="840"/>
      <c r="D35" s="840"/>
      <c r="E35" s="840"/>
      <c r="F35" s="871"/>
    </row>
    <row r="36">
      <c r="B36" s="840"/>
      <c r="C36" s="840"/>
      <c r="D36" s="840"/>
      <c r="E36" s="840"/>
      <c r="F36" s="871"/>
    </row>
    <row r="37">
      <c r="B37" s="840"/>
      <c r="C37" s="840"/>
      <c r="D37" s="840"/>
      <c r="E37" s="840"/>
      <c r="F37" s="871"/>
    </row>
    <row r="38">
      <c r="B38" s="840"/>
      <c r="C38" s="840"/>
      <c r="D38" s="840"/>
      <c r="E38" s="840"/>
      <c r="F38" s="871"/>
    </row>
    <row r="39">
      <c r="B39" s="840"/>
      <c r="C39" s="840"/>
      <c r="D39" s="840"/>
      <c r="E39" s="840"/>
      <c r="F39" s="871"/>
    </row>
    <row r="40">
      <c r="B40" s="840"/>
      <c r="C40" s="840"/>
      <c r="D40" s="840"/>
      <c r="E40" s="840"/>
      <c r="F40" s="871"/>
    </row>
    <row r="41">
      <c r="B41" s="840"/>
      <c r="C41" s="840"/>
      <c r="D41" s="840"/>
      <c r="E41" s="840"/>
      <c r="F41" s="871"/>
    </row>
    <row r="42">
      <c r="B42" s="840"/>
      <c r="C42" s="840"/>
      <c r="D42" s="840"/>
      <c r="E42" s="840"/>
      <c r="F42" s="871"/>
    </row>
    <row r="43">
      <c r="B43" s="840"/>
      <c r="C43" s="840"/>
      <c r="D43" s="840"/>
      <c r="E43" s="840"/>
      <c r="F43" s="871"/>
    </row>
    <row r="44">
      <c r="B44" s="840"/>
      <c r="C44" s="840"/>
      <c r="D44" s="840"/>
      <c r="E44" s="840"/>
      <c r="F44" s="871"/>
    </row>
    <row r="45">
      <c r="B45" s="840"/>
      <c r="C45" s="840"/>
      <c r="D45" s="840"/>
      <c r="E45" s="840"/>
      <c r="F45" s="871"/>
    </row>
    <row r="46">
      <c r="B46" s="840"/>
      <c r="C46" s="840"/>
      <c r="D46" s="840"/>
      <c r="E46" s="840"/>
      <c r="F46" s="871"/>
    </row>
    <row r="47">
      <c r="B47" s="840"/>
      <c r="C47" s="840"/>
      <c r="D47" s="840"/>
      <c r="E47" s="840"/>
      <c r="F47" s="871"/>
    </row>
    <row r="48">
      <c r="B48" s="840"/>
      <c r="C48" s="840"/>
      <c r="D48" s="840"/>
      <c r="E48" s="840"/>
      <c r="F48" s="871"/>
    </row>
    <row r="49">
      <c r="B49" s="840"/>
      <c r="C49" s="840"/>
      <c r="D49" s="840"/>
      <c r="E49" s="840"/>
      <c r="F49" s="871"/>
    </row>
    <row r="50">
      <c r="B50" s="840"/>
      <c r="C50" s="840"/>
      <c r="D50" s="840"/>
      <c r="E50" s="840"/>
      <c r="F50" s="871"/>
    </row>
    <row r="51">
      <c r="B51" s="840"/>
      <c r="C51" s="840"/>
      <c r="D51" s="840"/>
      <c r="E51" s="840"/>
      <c r="F51" s="871"/>
    </row>
    <row r="52">
      <c r="B52" s="840"/>
      <c r="C52" s="840"/>
      <c r="D52" s="840"/>
      <c r="E52" s="840"/>
      <c r="F52" s="871"/>
    </row>
    <row r="53">
      <c r="B53" s="840"/>
      <c r="C53" s="840"/>
      <c r="D53" s="840"/>
      <c r="E53" s="840"/>
      <c r="F53" s="871"/>
    </row>
    <row r="54">
      <c r="B54" s="840"/>
      <c r="C54" s="840"/>
      <c r="D54" s="840"/>
      <c r="E54" s="840"/>
      <c r="F54" s="871"/>
    </row>
    <row r="55">
      <c r="B55" s="840"/>
      <c r="C55" s="840"/>
      <c r="D55" s="840"/>
      <c r="E55" s="840"/>
      <c r="F55" s="871"/>
    </row>
    <row r="56">
      <c r="B56" s="840"/>
      <c r="C56" s="840"/>
      <c r="D56" s="840"/>
      <c r="E56" s="840"/>
      <c r="F56" s="871"/>
    </row>
    <row r="57">
      <c r="B57" s="840"/>
      <c r="C57" s="840"/>
      <c r="D57" s="840"/>
      <c r="E57" s="840"/>
      <c r="F57" s="871"/>
    </row>
    <row r="58">
      <c r="B58" s="840"/>
      <c r="C58" s="840"/>
      <c r="D58" s="840"/>
      <c r="E58" s="840"/>
      <c r="F58" s="871"/>
    </row>
    <row r="59">
      <c r="B59" s="840"/>
      <c r="C59" s="840"/>
      <c r="D59" s="840"/>
      <c r="E59" s="840"/>
      <c r="F59" s="871"/>
    </row>
    <row r="60">
      <c r="B60" s="840"/>
      <c r="C60" s="840"/>
      <c r="D60" s="840"/>
      <c r="E60" s="840"/>
      <c r="F60" s="871"/>
    </row>
    <row r="61">
      <c r="B61" s="840"/>
      <c r="C61" s="840"/>
      <c r="D61" s="840"/>
      <c r="E61" s="840"/>
      <c r="F61" s="871"/>
    </row>
    <row r="62">
      <c r="B62" s="840"/>
      <c r="C62" s="840"/>
      <c r="D62" s="840"/>
      <c r="E62" s="840"/>
      <c r="F62" s="871"/>
    </row>
    <row r="63">
      <c r="B63" s="840"/>
      <c r="C63" s="840"/>
      <c r="D63" s="840"/>
      <c r="E63" s="840"/>
      <c r="F63" s="871"/>
    </row>
    <row r="64">
      <c r="B64" s="840"/>
      <c r="C64" s="840"/>
      <c r="D64" s="840"/>
      <c r="E64" s="840"/>
      <c r="F64" s="871"/>
    </row>
    <row r="65">
      <c r="B65" s="840"/>
      <c r="C65" s="840"/>
      <c r="D65" s="840"/>
      <c r="E65" s="840"/>
      <c r="F65" s="871"/>
    </row>
    <row r="66">
      <c r="B66" s="840"/>
      <c r="C66" s="840"/>
      <c r="D66" s="840"/>
      <c r="E66" s="840"/>
      <c r="F66" s="871"/>
    </row>
    <row r="67">
      <c r="B67" s="840"/>
      <c r="C67" s="840"/>
      <c r="D67" s="840"/>
      <c r="E67" s="840"/>
      <c r="F67" s="871"/>
    </row>
    <row r="68">
      <c r="B68" s="840"/>
      <c r="C68" s="840"/>
      <c r="D68" s="840"/>
      <c r="E68" s="840"/>
      <c r="F68" s="871"/>
    </row>
    <row r="69">
      <c r="B69" s="840"/>
      <c r="C69" s="840"/>
      <c r="D69" s="840"/>
      <c r="E69" s="840"/>
      <c r="F69" s="871"/>
    </row>
    <row r="70">
      <c r="B70" s="840"/>
      <c r="C70" s="840"/>
      <c r="D70" s="840"/>
      <c r="E70" s="840"/>
      <c r="F70" s="871"/>
    </row>
    <row r="71">
      <c r="B71" s="840"/>
      <c r="C71" s="840"/>
      <c r="D71" s="840"/>
      <c r="E71" s="840"/>
      <c r="F71" s="871"/>
    </row>
    <row r="72">
      <c r="B72" s="840"/>
      <c r="C72" s="840"/>
      <c r="D72" s="840"/>
      <c r="E72" s="840"/>
      <c r="F72" s="871"/>
    </row>
    <row r="73">
      <c r="B73" s="840"/>
      <c r="C73" s="840"/>
      <c r="D73" s="840"/>
      <c r="E73" s="840"/>
      <c r="F73" s="871"/>
    </row>
    <row r="74">
      <c r="B74" s="840"/>
      <c r="C74" s="840"/>
      <c r="D74" s="840"/>
      <c r="E74" s="840"/>
      <c r="F74" s="871"/>
    </row>
    <row r="75">
      <c r="B75" s="840"/>
      <c r="C75" s="840"/>
      <c r="D75" s="840"/>
      <c r="E75" s="840"/>
      <c r="F75" s="871"/>
    </row>
    <row r="76">
      <c r="B76" s="840"/>
      <c r="C76" s="840"/>
      <c r="D76" s="840"/>
      <c r="E76" s="840"/>
      <c r="F76" s="871"/>
    </row>
    <row r="77">
      <c r="B77" s="840"/>
      <c r="C77" s="840"/>
      <c r="D77" s="840"/>
      <c r="E77" s="840"/>
      <c r="F77" s="871"/>
    </row>
    <row r="78">
      <c r="B78" s="840"/>
      <c r="C78" s="840"/>
      <c r="D78" s="840"/>
      <c r="E78" s="840"/>
      <c r="F78" s="871"/>
    </row>
    <row r="79">
      <c r="B79" s="840"/>
      <c r="C79" s="840"/>
      <c r="D79" s="840"/>
      <c r="E79" s="840"/>
      <c r="F79" s="871"/>
    </row>
    <row r="80">
      <c r="B80" s="840"/>
      <c r="C80" s="840"/>
      <c r="D80" s="840"/>
      <c r="E80" s="840"/>
      <c r="F80" s="871"/>
    </row>
    <row r="81">
      <c r="B81" s="840"/>
      <c r="C81" s="840"/>
      <c r="D81" s="840"/>
      <c r="E81" s="840"/>
      <c r="F81" s="871"/>
    </row>
    <row r="82">
      <c r="B82" s="840"/>
      <c r="C82" s="840"/>
      <c r="D82" s="840"/>
      <c r="E82" s="840"/>
      <c r="F82" s="871"/>
    </row>
    <row r="83">
      <c r="B83" s="840"/>
      <c r="C83" s="840"/>
      <c r="D83" s="840"/>
      <c r="E83" s="840"/>
      <c r="F83" s="871"/>
    </row>
    <row r="84">
      <c r="B84" s="840"/>
      <c r="C84" s="840"/>
      <c r="D84" s="840"/>
      <c r="E84" s="840"/>
      <c r="F84" s="871"/>
    </row>
    <row r="85">
      <c r="B85" s="840"/>
      <c r="C85" s="840"/>
      <c r="D85" s="840"/>
      <c r="E85" s="840"/>
      <c r="F85" s="871"/>
    </row>
    <row r="86">
      <c r="B86" s="840"/>
      <c r="C86" s="840"/>
      <c r="D86" s="840"/>
      <c r="E86" s="840"/>
      <c r="F86" s="871"/>
    </row>
    <row r="87">
      <c r="B87" s="840"/>
      <c r="C87" s="840"/>
      <c r="D87" s="840"/>
      <c r="E87" s="840"/>
      <c r="F87" s="871"/>
    </row>
    <row r="88">
      <c r="B88" s="840"/>
      <c r="C88" s="840"/>
      <c r="D88" s="840"/>
      <c r="E88" s="840"/>
      <c r="F88" s="871"/>
    </row>
    <row r="89">
      <c r="B89" s="840"/>
      <c r="C89" s="840"/>
      <c r="D89" s="840"/>
      <c r="E89" s="840"/>
      <c r="F89" s="871"/>
    </row>
    <row r="90">
      <c r="B90" s="840"/>
      <c r="C90" s="840"/>
      <c r="D90" s="840"/>
      <c r="E90" s="840"/>
      <c r="F90" s="871"/>
    </row>
    <row r="91">
      <c r="B91" s="840"/>
      <c r="C91" s="840"/>
      <c r="D91" s="840"/>
      <c r="E91" s="840"/>
      <c r="F91" s="871"/>
    </row>
    <row r="92">
      <c r="B92" s="840"/>
      <c r="C92" s="840"/>
      <c r="D92" s="840"/>
      <c r="E92" s="840"/>
      <c r="F92" s="871"/>
    </row>
    <row r="93">
      <c r="B93" s="840"/>
      <c r="C93" s="840"/>
      <c r="D93" s="840"/>
      <c r="E93" s="840"/>
      <c r="F93" s="871"/>
    </row>
    <row r="94">
      <c r="B94" s="840"/>
      <c r="C94" s="840"/>
      <c r="D94" s="840"/>
      <c r="E94" s="840"/>
      <c r="F94" s="871"/>
    </row>
    <row r="95">
      <c r="B95" s="840"/>
      <c r="C95" s="840"/>
      <c r="D95" s="840"/>
      <c r="E95" s="840"/>
      <c r="F95" s="871"/>
    </row>
    <row r="96">
      <c r="B96" s="840"/>
      <c r="C96" s="840"/>
      <c r="D96" s="840"/>
      <c r="E96" s="840"/>
      <c r="F96" s="871"/>
    </row>
    <row r="97">
      <c r="B97" s="840"/>
      <c r="C97" s="840"/>
      <c r="D97" s="840"/>
      <c r="E97" s="840"/>
      <c r="F97" s="871"/>
    </row>
    <row r="98">
      <c r="B98" s="840"/>
      <c r="C98" s="840"/>
      <c r="D98" s="840"/>
      <c r="E98" s="840"/>
      <c r="F98" s="871"/>
    </row>
    <row r="99">
      <c r="B99" s="840"/>
      <c r="C99" s="840"/>
      <c r="D99" s="840"/>
      <c r="E99" s="840"/>
      <c r="F99" s="871"/>
    </row>
    <row r="100">
      <c r="B100" s="840"/>
      <c r="C100" s="840"/>
      <c r="D100" s="840"/>
      <c r="E100" s="840"/>
      <c r="F100" s="871"/>
    </row>
    <row r="101">
      <c r="B101" s="840"/>
      <c r="C101" s="840"/>
      <c r="D101" s="840"/>
      <c r="E101" s="840"/>
      <c r="F101" s="871"/>
    </row>
    <row r="102">
      <c r="B102" s="840"/>
      <c r="C102" s="840"/>
      <c r="D102" s="840"/>
      <c r="E102" s="840"/>
      <c r="F102" s="871"/>
    </row>
    <row r="103">
      <c r="B103" s="840"/>
      <c r="C103" s="840"/>
      <c r="D103" s="840"/>
      <c r="E103" s="840"/>
      <c r="F103" s="871"/>
    </row>
    <row r="104">
      <c r="B104" s="840"/>
      <c r="C104" s="840"/>
      <c r="D104" s="840"/>
      <c r="E104" s="840"/>
      <c r="F104" s="871"/>
    </row>
    <row r="105">
      <c r="B105" s="840"/>
      <c r="C105" s="840"/>
      <c r="D105" s="840"/>
      <c r="E105" s="840"/>
      <c r="F105" s="871"/>
    </row>
    <row r="106">
      <c r="B106" s="840"/>
      <c r="C106" s="840"/>
      <c r="D106" s="840"/>
      <c r="E106" s="840"/>
      <c r="F106" s="871"/>
    </row>
    <row r="107">
      <c r="B107" s="840"/>
      <c r="C107" s="840"/>
      <c r="D107" s="840"/>
      <c r="E107" s="840"/>
      <c r="F107" s="871"/>
    </row>
    <row r="108">
      <c r="B108" s="840"/>
      <c r="C108" s="840"/>
      <c r="D108" s="840"/>
      <c r="E108" s="840"/>
      <c r="F108" s="871"/>
    </row>
    <row r="109">
      <c r="B109" s="840"/>
      <c r="C109" s="840"/>
      <c r="D109" s="840"/>
      <c r="E109" s="840"/>
      <c r="F109" s="871"/>
    </row>
    <row r="110">
      <c r="B110" s="840"/>
      <c r="C110" s="840"/>
      <c r="D110" s="840"/>
      <c r="E110" s="840"/>
      <c r="F110" s="871"/>
    </row>
    <row r="111">
      <c r="B111" s="840"/>
      <c r="C111" s="840"/>
      <c r="D111" s="840"/>
      <c r="E111" s="840"/>
      <c r="F111" s="871"/>
    </row>
    <row r="112">
      <c r="B112" s="840"/>
      <c r="C112" s="840"/>
      <c r="D112" s="840"/>
      <c r="E112" s="840"/>
      <c r="F112" s="871"/>
    </row>
    <row r="113">
      <c r="B113" s="840"/>
      <c r="C113" s="840"/>
      <c r="D113" s="840"/>
      <c r="E113" s="840"/>
      <c r="F113" s="871"/>
    </row>
    <row r="114">
      <c r="B114" s="840"/>
      <c r="C114" s="840"/>
      <c r="D114" s="840"/>
      <c r="E114" s="840"/>
      <c r="F114" s="871"/>
    </row>
    <row r="115">
      <c r="B115" s="840"/>
      <c r="C115" s="840"/>
      <c r="D115" s="840"/>
      <c r="E115" s="840"/>
      <c r="F115" s="871"/>
    </row>
    <row r="116">
      <c r="B116" s="840"/>
      <c r="C116" s="840"/>
      <c r="D116" s="840"/>
      <c r="E116" s="840"/>
      <c r="F116" s="871"/>
    </row>
    <row r="117">
      <c r="B117" s="840"/>
      <c r="C117" s="840"/>
      <c r="D117" s="840"/>
      <c r="E117" s="840"/>
      <c r="F117" s="871"/>
    </row>
    <row r="118">
      <c r="B118" s="840"/>
      <c r="C118" s="840"/>
      <c r="D118" s="840"/>
      <c r="E118" s="840"/>
      <c r="F118" s="871"/>
    </row>
    <row r="119">
      <c r="B119" s="840"/>
      <c r="C119" s="840"/>
      <c r="D119" s="840"/>
      <c r="E119" s="840"/>
      <c r="F119" s="871"/>
    </row>
    <row r="120">
      <c r="B120" s="840"/>
      <c r="C120" s="840"/>
      <c r="D120" s="840"/>
      <c r="E120" s="840"/>
      <c r="F120" s="871"/>
    </row>
    <row r="121">
      <c r="B121" s="840"/>
      <c r="C121" s="840"/>
      <c r="D121" s="840"/>
      <c r="E121" s="840"/>
      <c r="F121" s="871"/>
    </row>
    <row r="122">
      <c r="B122" s="840"/>
      <c r="C122" s="840"/>
      <c r="D122" s="840"/>
      <c r="E122" s="840"/>
      <c r="F122" s="871"/>
    </row>
    <row r="123">
      <c r="B123" s="840"/>
      <c r="C123" s="840"/>
      <c r="D123" s="840"/>
      <c r="E123" s="840"/>
      <c r="F123" s="871"/>
    </row>
    <row r="124">
      <c r="B124" s="840"/>
      <c r="C124" s="840"/>
      <c r="D124" s="840"/>
      <c r="E124" s="840"/>
      <c r="F124" s="871"/>
    </row>
    <row r="125">
      <c r="B125" s="840"/>
      <c r="C125" s="840"/>
      <c r="D125" s="840"/>
      <c r="E125" s="840"/>
      <c r="F125" s="871"/>
    </row>
    <row r="126">
      <c r="B126" s="840"/>
      <c r="C126" s="840"/>
      <c r="D126" s="840"/>
      <c r="E126" s="840"/>
      <c r="F126" s="871"/>
    </row>
    <row r="127">
      <c r="B127" s="840"/>
      <c r="C127" s="840"/>
      <c r="D127" s="840"/>
      <c r="E127" s="840"/>
      <c r="F127" s="871"/>
    </row>
    <row r="128">
      <c r="B128" s="840"/>
      <c r="C128" s="840"/>
      <c r="D128" s="840"/>
      <c r="E128" s="840"/>
      <c r="F128" s="871"/>
    </row>
    <row r="129">
      <c r="B129" s="840"/>
      <c r="C129" s="840"/>
      <c r="D129" s="840"/>
      <c r="E129" s="840"/>
      <c r="F129" s="871"/>
    </row>
    <row r="130">
      <c r="B130" s="840"/>
      <c r="C130" s="840"/>
      <c r="D130" s="840"/>
      <c r="E130" s="840"/>
      <c r="F130" s="871"/>
    </row>
    <row r="131">
      <c r="B131" s="840"/>
      <c r="C131" s="840"/>
      <c r="D131" s="840"/>
      <c r="E131" s="840"/>
      <c r="F131" s="871"/>
    </row>
    <row r="132">
      <c r="B132" s="840"/>
      <c r="C132" s="840"/>
      <c r="D132" s="840"/>
      <c r="E132" s="840"/>
      <c r="F132" s="871"/>
    </row>
    <row r="133">
      <c r="B133" s="840"/>
      <c r="C133" s="840"/>
      <c r="D133" s="840"/>
      <c r="E133" s="840"/>
      <c r="F133" s="871"/>
    </row>
    <row r="134">
      <c r="B134" s="840"/>
      <c r="C134" s="840"/>
      <c r="D134" s="840"/>
      <c r="E134" s="840"/>
      <c r="F134" s="871"/>
    </row>
    <row r="135">
      <c r="B135" s="840"/>
      <c r="C135" s="840"/>
      <c r="D135" s="840"/>
      <c r="E135" s="840"/>
      <c r="F135" s="871"/>
    </row>
    <row r="136">
      <c r="B136" s="840"/>
      <c r="C136" s="840"/>
      <c r="D136" s="840"/>
      <c r="E136" s="840"/>
      <c r="F136" s="871"/>
    </row>
    <row r="137">
      <c r="B137" s="840"/>
      <c r="C137" s="840"/>
      <c r="D137" s="840"/>
      <c r="E137" s="840"/>
      <c r="F137" s="871"/>
    </row>
    <row r="138">
      <c r="B138" s="840"/>
      <c r="C138" s="840"/>
      <c r="D138" s="840"/>
      <c r="E138" s="840"/>
      <c r="F138" s="871"/>
    </row>
    <row r="139">
      <c r="B139" s="840"/>
      <c r="C139" s="840"/>
      <c r="D139" s="840"/>
      <c r="E139" s="840"/>
      <c r="F139" s="871"/>
    </row>
    <row r="140">
      <c r="B140" s="840"/>
      <c r="C140" s="840"/>
      <c r="D140" s="840"/>
      <c r="E140" s="840"/>
      <c r="F140" s="871"/>
    </row>
    <row r="141">
      <c r="B141" s="840"/>
      <c r="C141" s="840"/>
      <c r="D141" s="840"/>
      <c r="E141" s="840"/>
      <c r="F141" s="871"/>
    </row>
    <row r="142">
      <c r="B142" s="840"/>
      <c r="C142" s="840"/>
      <c r="D142" s="840"/>
      <c r="E142" s="840"/>
      <c r="F142" s="871"/>
    </row>
    <row r="143">
      <c r="B143" s="840"/>
      <c r="C143" s="840"/>
      <c r="D143" s="840"/>
      <c r="E143" s="840"/>
      <c r="F143" s="871"/>
    </row>
    <row r="144">
      <c r="B144" s="840"/>
      <c r="C144" s="840"/>
      <c r="D144" s="840"/>
      <c r="E144" s="840"/>
      <c r="F144" s="871"/>
    </row>
    <row r="145">
      <c r="B145" s="840"/>
      <c r="C145" s="840"/>
      <c r="D145" s="840"/>
      <c r="E145" s="840"/>
      <c r="F145" s="871"/>
    </row>
    <row r="146">
      <c r="B146" s="840"/>
      <c r="C146" s="840"/>
      <c r="D146" s="840"/>
      <c r="E146" s="840"/>
      <c r="F146" s="871"/>
    </row>
    <row r="147">
      <c r="B147" s="840"/>
      <c r="C147" s="840"/>
      <c r="D147" s="840"/>
      <c r="E147" s="840"/>
      <c r="F147" s="871"/>
    </row>
    <row r="148">
      <c r="B148" s="840"/>
      <c r="C148" s="840"/>
      <c r="D148" s="840"/>
      <c r="E148" s="840"/>
      <c r="F148" s="871"/>
    </row>
    <row r="149">
      <c r="B149" s="840"/>
      <c r="C149" s="840"/>
      <c r="D149" s="840"/>
      <c r="E149" s="840"/>
      <c r="F149" s="871"/>
    </row>
    <row r="150">
      <c r="B150" s="840"/>
      <c r="C150" s="840"/>
      <c r="D150" s="840"/>
      <c r="E150" s="840"/>
      <c r="F150" s="871"/>
    </row>
    <row r="151">
      <c r="B151" s="840"/>
      <c r="C151" s="840"/>
      <c r="D151" s="840"/>
      <c r="E151" s="840"/>
      <c r="F151" s="871"/>
    </row>
    <row r="152">
      <c r="B152" s="840"/>
      <c r="C152" s="840"/>
      <c r="D152" s="840"/>
      <c r="E152" s="840"/>
      <c r="F152" s="871"/>
    </row>
    <row r="153">
      <c r="B153" s="840"/>
      <c r="C153" s="840"/>
      <c r="D153" s="840"/>
      <c r="E153" s="840"/>
      <c r="F153" s="871"/>
    </row>
    <row r="154">
      <c r="B154" s="840"/>
      <c r="C154" s="840"/>
      <c r="D154" s="840"/>
      <c r="E154" s="840"/>
      <c r="F154" s="871"/>
    </row>
    <row r="155">
      <c r="B155" s="840"/>
      <c r="C155" s="840"/>
      <c r="D155" s="840"/>
      <c r="E155" s="840"/>
      <c r="F155" s="871"/>
    </row>
    <row r="156">
      <c r="B156" s="840"/>
      <c r="C156" s="840"/>
      <c r="D156" s="840"/>
      <c r="E156" s="840"/>
      <c r="F156" s="871"/>
    </row>
    <row r="157">
      <c r="B157" s="840"/>
      <c r="C157" s="840"/>
      <c r="D157" s="840"/>
      <c r="E157" s="840"/>
      <c r="F157" s="871"/>
    </row>
    <row r="158">
      <c r="B158" s="840"/>
      <c r="C158" s="840"/>
      <c r="D158" s="840"/>
      <c r="E158" s="840"/>
      <c r="F158" s="871"/>
    </row>
    <row r="159">
      <c r="B159" s="840"/>
      <c r="C159" s="840"/>
      <c r="D159" s="840"/>
      <c r="E159" s="840"/>
      <c r="F159" s="871"/>
    </row>
    <row r="160">
      <c r="B160" s="840"/>
      <c r="C160" s="840"/>
      <c r="D160" s="840"/>
      <c r="E160" s="840"/>
      <c r="F160" s="871"/>
    </row>
    <row r="161">
      <c r="B161" s="840"/>
      <c r="C161" s="840"/>
      <c r="D161" s="840"/>
      <c r="E161" s="840"/>
      <c r="F161" s="871"/>
    </row>
    <row r="162">
      <c r="B162" s="840"/>
      <c r="C162" s="840"/>
      <c r="D162" s="840"/>
      <c r="E162" s="840"/>
      <c r="F162" s="871"/>
    </row>
    <row r="163">
      <c r="B163" s="840"/>
      <c r="C163" s="840"/>
      <c r="D163" s="840"/>
      <c r="E163" s="840"/>
      <c r="F163" s="871"/>
    </row>
    <row r="164">
      <c r="B164" s="840"/>
      <c r="C164" s="840"/>
      <c r="D164" s="840"/>
      <c r="E164" s="840"/>
      <c r="F164" s="871"/>
    </row>
    <row r="165">
      <c r="B165" s="840"/>
      <c r="C165" s="840"/>
      <c r="D165" s="840"/>
      <c r="E165" s="840"/>
      <c r="F165" s="871"/>
    </row>
    <row r="166">
      <c r="B166" s="840"/>
      <c r="C166" s="840"/>
      <c r="D166" s="840"/>
      <c r="E166" s="840"/>
      <c r="F166" s="871"/>
    </row>
    <row r="167">
      <c r="B167" s="840"/>
      <c r="C167" s="840"/>
      <c r="D167" s="840"/>
      <c r="E167" s="840"/>
      <c r="F167" s="871"/>
    </row>
    <row r="168">
      <c r="B168" s="840"/>
      <c r="C168" s="840"/>
      <c r="D168" s="840"/>
      <c r="E168" s="840"/>
      <c r="F168" s="871"/>
    </row>
    <row r="169">
      <c r="B169" s="840"/>
      <c r="C169" s="840"/>
      <c r="D169" s="840"/>
      <c r="E169" s="840"/>
      <c r="F169" s="871"/>
    </row>
    <row r="170">
      <c r="B170" s="840"/>
      <c r="C170" s="840"/>
      <c r="D170" s="840"/>
      <c r="E170" s="840"/>
      <c r="F170" s="871"/>
    </row>
    <row r="171">
      <c r="B171" s="840"/>
      <c r="C171" s="840"/>
      <c r="D171" s="840"/>
      <c r="E171" s="840"/>
      <c r="F171" s="871"/>
    </row>
    <row r="172">
      <c r="B172" s="840"/>
      <c r="C172" s="840"/>
      <c r="D172" s="840"/>
      <c r="E172" s="840"/>
      <c r="F172" s="871"/>
    </row>
    <row r="173">
      <c r="B173" s="840"/>
      <c r="C173" s="840"/>
      <c r="D173" s="840"/>
      <c r="E173" s="840"/>
      <c r="F173" s="871"/>
    </row>
    <row r="174">
      <c r="B174" s="840"/>
      <c r="C174" s="840"/>
      <c r="D174" s="840"/>
      <c r="E174" s="840"/>
      <c r="F174" s="871"/>
    </row>
    <row r="175">
      <c r="B175" s="840"/>
      <c r="C175" s="840"/>
      <c r="D175" s="840"/>
      <c r="E175" s="840"/>
      <c r="F175" s="871"/>
    </row>
    <row r="176">
      <c r="B176" s="840"/>
      <c r="C176" s="840"/>
      <c r="D176" s="840"/>
      <c r="E176" s="840"/>
      <c r="F176" s="871"/>
    </row>
    <row r="177">
      <c r="B177" s="840"/>
      <c r="C177" s="840"/>
      <c r="D177" s="840"/>
      <c r="E177" s="840"/>
      <c r="F177" s="871"/>
    </row>
    <row r="178">
      <c r="B178" s="840"/>
      <c r="C178" s="840"/>
      <c r="D178" s="840"/>
      <c r="E178" s="840"/>
      <c r="F178" s="871"/>
    </row>
    <row r="179">
      <c r="B179" s="840"/>
      <c r="C179" s="840"/>
      <c r="D179" s="840"/>
      <c r="E179" s="840"/>
      <c r="F179" s="871"/>
    </row>
    <row r="180">
      <c r="B180" s="840"/>
      <c r="C180" s="840"/>
      <c r="D180" s="840"/>
      <c r="E180" s="840"/>
      <c r="F180" s="871"/>
    </row>
    <row r="181">
      <c r="B181" s="840"/>
      <c r="C181" s="840"/>
      <c r="D181" s="840"/>
      <c r="E181" s="840"/>
      <c r="F181" s="871"/>
    </row>
    <row r="182">
      <c r="B182" s="840"/>
      <c r="C182" s="840"/>
      <c r="D182" s="840"/>
      <c r="E182" s="840"/>
      <c r="F182" s="871"/>
    </row>
    <row r="183">
      <c r="B183" s="840"/>
      <c r="C183" s="840"/>
      <c r="D183" s="840"/>
      <c r="E183" s="840"/>
      <c r="F183" s="871"/>
    </row>
    <row r="184">
      <c r="B184" s="840"/>
      <c r="C184" s="840"/>
      <c r="D184" s="840"/>
      <c r="E184" s="840"/>
      <c r="F184" s="871"/>
    </row>
    <row r="185">
      <c r="B185" s="840"/>
      <c r="C185" s="840"/>
      <c r="D185" s="840"/>
      <c r="E185" s="840"/>
      <c r="F185" s="871"/>
    </row>
    <row r="186">
      <c r="B186" s="840"/>
      <c r="C186" s="840"/>
      <c r="D186" s="840"/>
      <c r="E186" s="840"/>
      <c r="F186" s="871"/>
    </row>
    <row r="187">
      <c r="B187" s="840"/>
      <c r="C187" s="840"/>
      <c r="D187" s="840"/>
      <c r="E187" s="840"/>
      <c r="F187" s="871"/>
    </row>
    <row r="188">
      <c r="B188" s="840"/>
      <c r="C188" s="840"/>
      <c r="D188" s="840"/>
      <c r="E188" s="840"/>
      <c r="F188" s="871"/>
    </row>
    <row r="189">
      <c r="B189" s="840"/>
      <c r="C189" s="840"/>
      <c r="D189" s="840"/>
      <c r="E189" s="840"/>
      <c r="F189" s="871"/>
    </row>
    <row r="190">
      <c r="B190" s="840"/>
      <c r="C190" s="840"/>
      <c r="D190" s="840"/>
      <c r="E190" s="840"/>
      <c r="F190" s="871"/>
    </row>
    <row r="191">
      <c r="B191" s="840"/>
      <c r="C191" s="840"/>
      <c r="D191" s="840"/>
      <c r="E191" s="840"/>
      <c r="F191" s="871"/>
    </row>
    <row r="192">
      <c r="B192" s="840"/>
      <c r="C192" s="840"/>
      <c r="D192" s="840"/>
      <c r="E192" s="840"/>
      <c r="F192" s="871"/>
    </row>
    <row r="193">
      <c r="B193" s="840"/>
      <c r="C193" s="840"/>
      <c r="D193" s="840"/>
      <c r="E193" s="840"/>
      <c r="F193" s="871"/>
    </row>
    <row r="194">
      <c r="B194" s="840"/>
      <c r="C194" s="840"/>
      <c r="D194" s="840"/>
      <c r="E194" s="840"/>
      <c r="F194" s="871"/>
    </row>
    <row r="195">
      <c r="B195" s="840"/>
      <c r="C195" s="840"/>
      <c r="D195" s="840"/>
      <c r="E195" s="840"/>
      <c r="F195" s="871"/>
    </row>
    <row r="196">
      <c r="B196" s="840"/>
      <c r="C196" s="840"/>
      <c r="D196" s="840"/>
      <c r="E196" s="840"/>
      <c r="F196" s="871"/>
    </row>
    <row r="197">
      <c r="B197" s="840"/>
      <c r="C197" s="840"/>
      <c r="D197" s="840"/>
      <c r="E197" s="840"/>
      <c r="F197" s="871"/>
    </row>
    <row r="198">
      <c r="B198" s="840"/>
      <c r="C198" s="840"/>
      <c r="D198" s="840"/>
      <c r="E198" s="840"/>
      <c r="F198" s="871"/>
    </row>
    <row r="199">
      <c r="B199" s="840"/>
      <c r="C199" s="840"/>
      <c r="D199" s="840"/>
      <c r="E199" s="840"/>
      <c r="F199" s="871"/>
    </row>
    <row r="200">
      <c r="B200" s="840"/>
      <c r="C200" s="840"/>
      <c r="D200" s="840"/>
      <c r="E200" s="840"/>
      <c r="F200" s="871"/>
    </row>
    <row r="201">
      <c r="B201" s="840"/>
      <c r="C201" s="840"/>
      <c r="D201" s="840"/>
      <c r="E201" s="840"/>
      <c r="F201" s="871"/>
    </row>
    <row r="202">
      <c r="B202" s="840"/>
      <c r="C202" s="840"/>
      <c r="D202" s="840"/>
      <c r="E202" s="840"/>
      <c r="F202" s="871"/>
    </row>
    <row r="203">
      <c r="B203" s="840"/>
      <c r="C203" s="840"/>
      <c r="D203" s="840"/>
      <c r="E203" s="840"/>
      <c r="F203" s="871"/>
    </row>
    <row r="204">
      <c r="B204" s="840"/>
      <c r="C204" s="840"/>
      <c r="D204" s="840"/>
      <c r="E204" s="840"/>
      <c r="F204" s="871"/>
    </row>
    <row r="205">
      <c r="B205" s="840"/>
      <c r="C205" s="840"/>
      <c r="D205" s="840"/>
      <c r="E205" s="840"/>
      <c r="F205" s="871"/>
    </row>
    <row r="206">
      <c r="B206" s="840"/>
      <c r="C206" s="840"/>
      <c r="D206" s="840"/>
      <c r="E206" s="840"/>
      <c r="F206" s="871"/>
    </row>
    <row r="207">
      <c r="B207" s="840"/>
      <c r="C207" s="840"/>
      <c r="D207" s="840"/>
      <c r="E207" s="840"/>
      <c r="F207" s="871"/>
    </row>
    <row r="208">
      <c r="B208" s="840"/>
      <c r="C208" s="840"/>
      <c r="D208" s="840"/>
      <c r="E208" s="840"/>
      <c r="F208" s="871"/>
    </row>
    <row r="209">
      <c r="B209" s="840"/>
      <c r="C209" s="840"/>
      <c r="D209" s="840"/>
      <c r="E209" s="840"/>
      <c r="F209" s="871"/>
    </row>
    <row r="210">
      <c r="B210" s="840"/>
      <c r="C210" s="840"/>
      <c r="D210" s="840"/>
      <c r="E210" s="840"/>
      <c r="F210" s="871"/>
    </row>
    <row r="211">
      <c r="B211" s="840"/>
      <c r="C211" s="840"/>
      <c r="D211" s="840"/>
      <c r="E211" s="840"/>
      <c r="F211" s="871"/>
    </row>
    <row r="212">
      <c r="B212" s="840"/>
      <c r="C212" s="840"/>
      <c r="D212" s="840"/>
      <c r="E212" s="840"/>
      <c r="F212" s="871"/>
    </row>
    <row r="213">
      <c r="B213" s="840"/>
      <c r="C213" s="840"/>
      <c r="D213" s="840"/>
      <c r="E213" s="840"/>
      <c r="F213" s="871"/>
    </row>
    <row r="214">
      <c r="B214" s="840"/>
      <c r="C214" s="840"/>
      <c r="D214" s="840"/>
      <c r="E214" s="840"/>
      <c r="F214" s="871"/>
    </row>
    <row r="215">
      <c r="B215" s="840"/>
      <c r="C215" s="840"/>
      <c r="D215" s="840"/>
      <c r="E215" s="840"/>
      <c r="F215" s="871"/>
    </row>
    <row r="216">
      <c r="B216" s="840"/>
      <c r="C216" s="840"/>
      <c r="D216" s="840"/>
      <c r="E216" s="840"/>
      <c r="F216" s="871"/>
    </row>
    <row r="217">
      <c r="B217" s="840"/>
      <c r="C217" s="840"/>
      <c r="D217" s="840"/>
      <c r="E217" s="840"/>
      <c r="F217" s="871"/>
    </row>
    <row r="218">
      <c r="B218" s="840"/>
      <c r="C218" s="840"/>
      <c r="D218" s="840"/>
      <c r="E218" s="840"/>
      <c r="F218" s="871"/>
    </row>
    <row r="219">
      <c r="B219" s="840"/>
      <c r="C219" s="840"/>
      <c r="D219" s="840"/>
      <c r="E219" s="840"/>
      <c r="F219" s="871"/>
    </row>
    <row r="220">
      <c r="B220" s="840"/>
      <c r="C220" s="840"/>
      <c r="D220" s="840"/>
      <c r="E220" s="840"/>
      <c r="F220" s="871"/>
    </row>
    <row r="221">
      <c r="B221" s="840"/>
      <c r="C221" s="840"/>
      <c r="D221" s="840"/>
      <c r="E221" s="840"/>
      <c r="F221" s="871"/>
    </row>
    <row r="222">
      <c r="B222" s="840"/>
      <c r="C222" s="840"/>
      <c r="D222" s="840"/>
      <c r="E222" s="840"/>
      <c r="F222" s="871"/>
    </row>
    <row r="223">
      <c r="B223" s="840"/>
      <c r="C223" s="840"/>
      <c r="D223" s="840"/>
      <c r="E223" s="840"/>
      <c r="F223" s="871"/>
    </row>
    <row r="224">
      <c r="B224" s="840"/>
      <c r="C224" s="840"/>
      <c r="D224" s="840"/>
      <c r="E224" s="840"/>
      <c r="F224" s="871"/>
    </row>
    <row r="225">
      <c r="B225" s="840"/>
      <c r="C225" s="840"/>
      <c r="D225" s="840"/>
      <c r="E225" s="840"/>
      <c r="F225" s="871"/>
    </row>
    <row r="226">
      <c r="B226" s="840"/>
      <c r="C226" s="840"/>
      <c r="D226" s="840"/>
      <c r="E226" s="840"/>
      <c r="F226" s="871"/>
    </row>
    <row r="227">
      <c r="B227" s="840"/>
      <c r="C227" s="840"/>
      <c r="D227" s="840"/>
      <c r="E227" s="840"/>
      <c r="F227" s="871"/>
    </row>
    <row r="228">
      <c r="B228" s="840"/>
      <c r="C228" s="840"/>
      <c r="D228" s="840"/>
      <c r="E228" s="840"/>
      <c r="F228" s="871"/>
    </row>
    <row r="229">
      <c r="B229" s="840"/>
      <c r="C229" s="840"/>
      <c r="D229" s="840"/>
      <c r="E229" s="840"/>
      <c r="F229" s="871"/>
    </row>
    <row r="230">
      <c r="B230" s="840"/>
      <c r="C230" s="840"/>
      <c r="D230" s="840"/>
      <c r="E230" s="840"/>
      <c r="F230" s="871"/>
    </row>
    <row r="231">
      <c r="B231" s="840"/>
      <c r="C231" s="840"/>
      <c r="D231" s="840"/>
      <c r="E231" s="840"/>
      <c r="F231" s="871"/>
    </row>
    <row r="232">
      <c r="B232" s="840"/>
      <c r="C232" s="840"/>
      <c r="D232" s="840"/>
      <c r="E232" s="840"/>
      <c r="F232" s="871"/>
    </row>
    <row r="233">
      <c r="B233" s="840"/>
      <c r="C233" s="840"/>
      <c r="D233" s="840"/>
      <c r="E233" s="840"/>
      <c r="F233" s="871"/>
    </row>
    <row r="234">
      <c r="B234" s="840"/>
      <c r="C234" s="840"/>
      <c r="D234" s="840"/>
      <c r="E234" s="840"/>
      <c r="F234" s="871"/>
    </row>
    <row r="235">
      <c r="B235" s="840"/>
      <c r="C235" s="840"/>
      <c r="D235" s="840"/>
      <c r="E235" s="840"/>
      <c r="F235" s="871"/>
    </row>
    <row r="236">
      <c r="B236" s="840"/>
      <c r="C236" s="840"/>
      <c r="D236" s="840"/>
      <c r="E236" s="840"/>
      <c r="F236" s="871"/>
    </row>
    <row r="237">
      <c r="B237" s="840"/>
      <c r="C237" s="840"/>
      <c r="D237" s="840"/>
      <c r="E237" s="840"/>
      <c r="F237" s="871"/>
    </row>
    <row r="238">
      <c r="B238" s="840"/>
      <c r="C238" s="840"/>
      <c r="D238" s="840"/>
      <c r="E238" s="840"/>
      <c r="F238" s="871"/>
    </row>
    <row r="239">
      <c r="B239" s="840"/>
      <c r="C239" s="840"/>
      <c r="D239" s="840"/>
      <c r="E239" s="840"/>
      <c r="F239" s="871"/>
    </row>
    <row r="240">
      <c r="B240" s="840"/>
      <c r="C240" s="840"/>
      <c r="D240" s="840"/>
      <c r="E240" s="840"/>
      <c r="F240" s="871"/>
    </row>
    <row r="241">
      <c r="B241" s="840"/>
      <c r="C241" s="840"/>
      <c r="D241" s="840"/>
      <c r="E241" s="840"/>
      <c r="F241" s="871"/>
    </row>
    <row r="242">
      <c r="B242" s="840"/>
      <c r="C242" s="840"/>
      <c r="D242" s="840"/>
      <c r="E242" s="840"/>
      <c r="F242" s="871"/>
    </row>
    <row r="243">
      <c r="B243" s="840"/>
      <c r="C243" s="840"/>
      <c r="D243" s="840"/>
      <c r="E243" s="840"/>
      <c r="F243" s="871"/>
    </row>
    <row r="244">
      <c r="B244" s="840"/>
      <c r="C244" s="840"/>
      <c r="D244" s="840"/>
      <c r="E244" s="840"/>
      <c r="F244" s="871"/>
    </row>
    <row r="245">
      <c r="B245" s="840"/>
      <c r="C245" s="840"/>
      <c r="D245" s="840"/>
      <c r="E245" s="840"/>
      <c r="F245" s="871"/>
    </row>
    <row r="246">
      <c r="B246" s="840"/>
      <c r="C246" s="840"/>
      <c r="D246" s="840"/>
      <c r="E246" s="840"/>
      <c r="F246" s="871"/>
    </row>
    <row r="247">
      <c r="B247" s="840"/>
      <c r="C247" s="840"/>
      <c r="D247" s="840"/>
      <c r="E247" s="840"/>
      <c r="F247" s="871"/>
    </row>
    <row r="248">
      <c r="B248" s="840"/>
      <c r="C248" s="840"/>
      <c r="D248" s="840"/>
      <c r="E248" s="840"/>
      <c r="F248" s="871"/>
    </row>
    <row r="249">
      <c r="B249" s="840"/>
      <c r="C249" s="840"/>
      <c r="D249" s="840"/>
      <c r="E249" s="840"/>
      <c r="F249" s="871"/>
    </row>
    <row r="250">
      <c r="B250" s="840"/>
      <c r="C250" s="840"/>
      <c r="D250" s="840"/>
      <c r="E250" s="840"/>
      <c r="F250" s="871"/>
    </row>
    <row r="251">
      <c r="B251" s="840"/>
      <c r="C251" s="840"/>
      <c r="D251" s="840"/>
      <c r="E251" s="840"/>
      <c r="F251" s="871"/>
    </row>
    <row r="252">
      <c r="B252" s="840"/>
      <c r="C252" s="840"/>
      <c r="D252" s="840"/>
      <c r="E252" s="840"/>
      <c r="F252" s="871"/>
    </row>
    <row r="253">
      <c r="B253" s="840"/>
      <c r="C253" s="840"/>
      <c r="D253" s="840"/>
      <c r="E253" s="840"/>
      <c r="F253" s="871"/>
    </row>
    <row r="254">
      <c r="B254" s="840"/>
      <c r="C254" s="840"/>
      <c r="D254" s="840"/>
      <c r="E254" s="840"/>
      <c r="F254" s="871"/>
    </row>
    <row r="255">
      <c r="B255" s="840"/>
      <c r="C255" s="840"/>
      <c r="D255" s="840"/>
      <c r="E255" s="840"/>
      <c r="F255" s="871"/>
    </row>
    <row r="256">
      <c r="B256" s="840"/>
      <c r="C256" s="840"/>
      <c r="D256" s="840"/>
      <c r="E256" s="840"/>
      <c r="F256" s="871"/>
    </row>
    <row r="257">
      <c r="B257" s="840"/>
      <c r="C257" s="840"/>
      <c r="D257" s="840"/>
      <c r="E257" s="840"/>
      <c r="F257" s="871"/>
    </row>
    <row r="258">
      <c r="B258" s="840"/>
      <c r="C258" s="840"/>
      <c r="D258" s="840"/>
      <c r="E258" s="840"/>
      <c r="F258" s="871"/>
    </row>
    <row r="259">
      <c r="B259" s="840"/>
      <c r="C259" s="840"/>
      <c r="D259" s="840"/>
      <c r="E259" s="840"/>
      <c r="F259" s="871"/>
    </row>
    <row r="260">
      <c r="B260" s="840"/>
      <c r="C260" s="840"/>
      <c r="D260" s="840"/>
      <c r="E260" s="840"/>
      <c r="F260" s="871"/>
    </row>
    <row r="261">
      <c r="B261" s="840"/>
      <c r="C261" s="840"/>
      <c r="D261" s="840"/>
      <c r="E261" s="840"/>
      <c r="F261" s="871"/>
    </row>
    <row r="262">
      <c r="B262" s="840"/>
      <c r="C262" s="840"/>
      <c r="D262" s="840"/>
      <c r="E262" s="840"/>
      <c r="F262" s="871"/>
    </row>
    <row r="263">
      <c r="B263" s="840"/>
      <c r="C263" s="840"/>
      <c r="D263" s="840"/>
      <c r="E263" s="840"/>
      <c r="F263" s="871"/>
    </row>
    <row r="264">
      <c r="B264" s="840"/>
      <c r="C264" s="840"/>
      <c r="D264" s="840"/>
      <c r="E264" s="840"/>
      <c r="F264" s="871"/>
    </row>
    <row r="265">
      <c r="B265" s="840"/>
      <c r="C265" s="840"/>
      <c r="D265" s="840"/>
      <c r="E265" s="840"/>
      <c r="F265" s="871"/>
    </row>
    <row r="266">
      <c r="B266" s="840"/>
      <c r="C266" s="840"/>
      <c r="D266" s="840"/>
      <c r="E266" s="840"/>
      <c r="F266" s="871"/>
    </row>
    <row r="267">
      <c r="B267" s="840"/>
      <c r="C267" s="840"/>
      <c r="D267" s="840"/>
      <c r="E267" s="840"/>
      <c r="F267" s="871"/>
    </row>
    <row r="268">
      <c r="B268" s="840"/>
      <c r="C268" s="840"/>
      <c r="D268" s="840"/>
      <c r="E268" s="840"/>
      <c r="F268" s="871"/>
    </row>
    <row r="269">
      <c r="B269" s="840"/>
      <c r="C269" s="840"/>
      <c r="D269" s="840"/>
      <c r="E269" s="840"/>
      <c r="F269" s="871"/>
    </row>
    <row r="270">
      <c r="B270" s="840"/>
      <c r="C270" s="840"/>
      <c r="D270" s="840"/>
      <c r="E270" s="840"/>
      <c r="F270" s="871"/>
    </row>
    <row r="271">
      <c r="B271" s="840"/>
      <c r="C271" s="840"/>
      <c r="D271" s="840"/>
      <c r="E271" s="840"/>
      <c r="F271" s="871"/>
    </row>
    <row r="272">
      <c r="B272" s="840"/>
      <c r="C272" s="840"/>
      <c r="D272" s="840"/>
      <c r="E272" s="840"/>
      <c r="F272" s="871"/>
    </row>
    <row r="273">
      <c r="B273" s="840"/>
      <c r="C273" s="840"/>
      <c r="D273" s="840"/>
      <c r="E273" s="840"/>
      <c r="F273" s="871"/>
    </row>
    <row r="274">
      <c r="B274" s="840"/>
      <c r="C274" s="840"/>
      <c r="D274" s="840"/>
      <c r="E274" s="840"/>
      <c r="F274" s="871"/>
    </row>
    <row r="275">
      <c r="B275" s="840"/>
      <c r="C275" s="840"/>
      <c r="D275" s="840"/>
      <c r="E275" s="840"/>
      <c r="F275" s="871"/>
    </row>
    <row r="276">
      <c r="B276" s="840"/>
      <c r="C276" s="840"/>
      <c r="D276" s="840"/>
      <c r="E276" s="840"/>
      <c r="F276" s="871"/>
    </row>
    <row r="277">
      <c r="B277" s="840"/>
      <c r="C277" s="840"/>
      <c r="D277" s="840"/>
      <c r="E277" s="840"/>
      <c r="F277" s="871"/>
    </row>
    <row r="278">
      <c r="B278" s="840"/>
      <c r="C278" s="840"/>
      <c r="D278" s="840"/>
      <c r="E278" s="840"/>
      <c r="F278" s="871"/>
    </row>
    <row r="279">
      <c r="B279" s="840"/>
      <c r="C279" s="840"/>
      <c r="D279" s="840"/>
      <c r="E279" s="840"/>
      <c r="F279" s="871"/>
    </row>
    <row r="280">
      <c r="B280" s="840"/>
      <c r="C280" s="840"/>
      <c r="D280" s="840"/>
      <c r="E280" s="840"/>
      <c r="F280" s="871"/>
    </row>
    <row r="281">
      <c r="B281" s="840"/>
      <c r="C281" s="840"/>
      <c r="D281" s="840"/>
      <c r="E281" s="840"/>
      <c r="F281" s="871"/>
    </row>
    <row r="282">
      <c r="B282" s="840"/>
      <c r="C282" s="840"/>
      <c r="D282" s="840"/>
      <c r="E282" s="840"/>
      <c r="F282" s="871"/>
    </row>
    <row r="283">
      <c r="B283" s="840"/>
      <c r="C283" s="840"/>
      <c r="D283" s="840"/>
      <c r="E283" s="840"/>
      <c r="F283" s="871"/>
    </row>
    <row r="284">
      <c r="B284" s="840"/>
      <c r="C284" s="840"/>
      <c r="D284" s="840"/>
      <c r="E284" s="840"/>
      <c r="F284" s="871"/>
    </row>
    <row r="285">
      <c r="B285" s="840"/>
      <c r="C285" s="840"/>
      <c r="D285" s="840"/>
      <c r="E285" s="840"/>
      <c r="F285" s="871"/>
    </row>
    <row r="286">
      <c r="B286" s="840"/>
      <c r="C286" s="840"/>
      <c r="D286" s="840"/>
      <c r="E286" s="840"/>
      <c r="F286" s="871"/>
    </row>
    <row r="287">
      <c r="B287" s="840"/>
      <c r="C287" s="840"/>
      <c r="D287" s="840"/>
      <c r="E287" s="840"/>
      <c r="F287" s="871"/>
    </row>
    <row r="288">
      <c r="B288" s="840"/>
      <c r="C288" s="840"/>
      <c r="D288" s="840"/>
      <c r="E288" s="840"/>
      <c r="F288" s="871"/>
    </row>
    <row r="289">
      <c r="B289" s="840"/>
      <c r="C289" s="840"/>
      <c r="D289" s="840"/>
      <c r="E289" s="840"/>
      <c r="F289" s="871"/>
    </row>
    <row r="290">
      <c r="B290" s="840"/>
      <c r="C290" s="840"/>
      <c r="D290" s="840"/>
      <c r="E290" s="840"/>
      <c r="F290" s="871"/>
    </row>
    <row r="291">
      <c r="B291" s="840"/>
      <c r="C291" s="840"/>
      <c r="D291" s="840"/>
      <c r="E291" s="840"/>
      <c r="F291" s="871"/>
    </row>
    <row r="292">
      <c r="B292" s="840"/>
      <c r="C292" s="840"/>
      <c r="D292" s="840"/>
      <c r="E292" s="840"/>
      <c r="F292" s="871"/>
    </row>
    <row r="293">
      <c r="B293" s="840"/>
      <c r="C293" s="840"/>
      <c r="D293" s="840"/>
      <c r="E293" s="840"/>
      <c r="F293" s="871"/>
    </row>
    <row r="294">
      <c r="B294" s="840"/>
      <c r="C294" s="840"/>
      <c r="D294" s="840"/>
      <c r="E294" s="840"/>
      <c r="F294" s="871"/>
    </row>
    <row r="295">
      <c r="B295" s="840"/>
      <c r="C295" s="840"/>
      <c r="D295" s="840"/>
      <c r="E295" s="840"/>
      <c r="F295" s="871"/>
    </row>
    <row r="296">
      <c r="B296" s="840"/>
      <c r="C296" s="840"/>
      <c r="D296" s="840"/>
      <c r="E296" s="840"/>
      <c r="F296" s="871"/>
    </row>
    <row r="297">
      <c r="B297" s="840"/>
      <c r="C297" s="840"/>
      <c r="D297" s="840"/>
      <c r="E297" s="840"/>
      <c r="F297" s="871"/>
    </row>
    <row r="298">
      <c r="B298" s="840"/>
      <c r="C298" s="840"/>
      <c r="D298" s="840"/>
      <c r="E298" s="840"/>
      <c r="F298" s="871"/>
    </row>
    <row r="299">
      <c r="B299" s="840"/>
      <c r="C299" s="840"/>
      <c r="D299" s="840"/>
      <c r="E299" s="840"/>
      <c r="F299" s="871"/>
    </row>
    <row r="300">
      <c r="B300" s="840"/>
      <c r="C300" s="840"/>
      <c r="D300" s="840"/>
      <c r="E300" s="840"/>
      <c r="F300" s="871"/>
    </row>
    <row r="301">
      <c r="B301" s="840"/>
      <c r="C301" s="840"/>
      <c r="D301" s="840"/>
      <c r="E301" s="840"/>
      <c r="F301" s="871"/>
    </row>
    <row r="302">
      <c r="B302" s="840"/>
      <c r="C302" s="840"/>
      <c r="D302" s="840"/>
      <c r="E302" s="840"/>
      <c r="F302" s="871"/>
    </row>
    <row r="303">
      <c r="B303" s="840"/>
      <c r="C303" s="840"/>
      <c r="D303" s="840"/>
      <c r="E303" s="840"/>
      <c r="F303" s="871"/>
    </row>
    <row r="304">
      <c r="B304" s="840"/>
      <c r="C304" s="840"/>
      <c r="D304" s="840"/>
      <c r="E304" s="840"/>
      <c r="F304" s="871"/>
    </row>
    <row r="305">
      <c r="B305" s="840"/>
      <c r="C305" s="840"/>
      <c r="D305" s="840"/>
      <c r="E305" s="840"/>
      <c r="F305" s="871"/>
    </row>
    <row r="306">
      <c r="B306" s="840"/>
      <c r="C306" s="840"/>
      <c r="D306" s="840"/>
      <c r="E306" s="840"/>
      <c r="F306" s="871"/>
    </row>
    <row r="307">
      <c r="B307" s="840"/>
      <c r="C307" s="840"/>
      <c r="D307" s="840"/>
      <c r="E307" s="840"/>
      <c r="F307" s="871"/>
    </row>
    <row r="308">
      <c r="B308" s="840"/>
      <c r="C308" s="840"/>
      <c r="D308" s="840"/>
      <c r="E308" s="840"/>
      <c r="F308" s="871"/>
    </row>
    <row r="309">
      <c r="B309" s="840"/>
      <c r="C309" s="840"/>
      <c r="D309" s="840"/>
      <c r="E309" s="840"/>
      <c r="F309" s="871"/>
    </row>
    <row r="310">
      <c r="B310" s="840"/>
      <c r="C310" s="840"/>
      <c r="D310" s="840"/>
      <c r="E310" s="840"/>
      <c r="F310" s="871"/>
    </row>
    <row r="311">
      <c r="B311" s="840"/>
      <c r="C311" s="840"/>
      <c r="D311" s="840"/>
      <c r="E311" s="840"/>
      <c r="F311" s="871"/>
    </row>
    <row r="312">
      <c r="B312" s="840"/>
      <c r="C312" s="840"/>
      <c r="D312" s="840"/>
      <c r="E312" s="840"/>
      <c r="F312" s="871"/>
    </row>
    <row r="313">
      <c r="B313" s="840"/>
      <c r="C313" s="840"/>
      <c r="D313" s="840"/>
      <c r="E313" s="840"/>
      <c r="F313" s="871"/>
    </row>
    <row r="314">
      <c r="B314" s="840"/>
      <c r="C314" s="840"/>
      <c r="D314" s="840"/>
      <c r="E314" s="840"/>
      <c r="F314" s="871"/>
    </row>
    <row r="315">
      <c r="B315" s="840"/>
      <c r="C315" s="840"/>
      <c r="D315" s="840"/>
      <c r="E315" s="840"/>
      <c r="F315" s="871"/>
    </row>
    <row r="316">
      <c r="B316" s="840"/>
      <c r="C316" s="840"/>
      <c r="D316" s="840"/>
      <c r="E316" s="840"/>
      <c r="F316" s="871"/>
    </row>
    <row r="317">
      <c r="B317" s="840"/>
      <c r="C317" s="840"/>
      <c r="D317" s="840"/>
      <c r="E317" s="840"/>
      <c r="F317" s="871"/>
    </row>
    <row r="318">
      <c r="B318" s="840"/>
      <c r="C318" s="840"/>
      <c r="D318" s="840"/>
      <c r="E318" s="840"/>
      <c r="F318" s="871"/>
    </row>
    <row r="319">
      <c r="B319" s="840"/>
      <c r="C319" s="840"/>
      <c r="D319" s="840"/>
      <c r="E319" s="840"/>
      <c r="F319" s="871"/>
    </row>
    <row r="320">
      <c r="B320" s="840"/>
      <c r="C320" s="840"/>
      <c r="D320" s="840"/>
      <c r="E320" s="840"/>
      <c r="F320" s="871"/>
    </row>
    <row r="321">
      <c r="B321" s="840"/>
      <c r="C321" s="840"/>
      <c r="D321" s="840"/>
      <c r="E321" s="840"/>
      <c r="F321" s="871"/>
    </row>
    <row r="322">
      <c r="B322" s="840"/>
      <c r="C322" s="840"/>
      <c r="D322" s="840"/>
      <c r="E322" s="840"/>
      <c r="F322" s="871"/>
    </row>
    <row r="323">
      <c r="B323" s="840"/>
      <c r="C323" s="840"/>
      <c r="D323" s="840"/>
      <c r="E323" s="840"/>
      <c r="F323" s="871"/>
    </row>
    <row r="324">
      <c r="B324" s="840"/>
      <c r="C324" s="840"/>
      <c r="D324" s="840"/>
      <c r="E324" s="840"/>
      <c r="F324" s="871"/>
    </row>
    <row r="325">
      <c r="B325" s="840"/>
      <c r="C325" s="840"/>
      <c r="D325" s="840"/>
      <c r="E325" s="840"/>
      <c r="F325" s="871"/>
    </row>
    <row r="326">
      <c r="B326" s="840"/>
      <c r="C326" s="840"/>
      <c r="D326" s="840"/>
      <c r="E326" s="840"/>
      <c r="F326" s="871"/>
    </row>
    <row r="327">
      <c r="B327" s="840"/>
      <c r="C327" s="840"/>
      <c r="D327" s="840"/>
      <c r="E327" s="840"/>
      <c r="F327" s="871"/>
    </row>
    <row r="328">
      <c r="B328" s="840"/>
      <c r="C328" s="840"/>
      <c r="D328" s="840"/>
      <c r="E328" s="840"/>
      <c r="F328" s="871"/>
    </row>
    <row r="329">
      <c r="B329" s="840"/>
      <c r="C329" s="840"/>
      <c r="D329" s="840"/>
      <c r="E329" s="840"/>
      <c r="F329" s="871"/>
    </row>
    <row r="330">
      <c r="B330" s="840"/>
      <c r="C330" s="840"/>
      <c r="D330" s="840"/>
      <c r="E330" s="840"/>
      <c r="F330" s="871"/>
    </row>
    <row r="331">
      <c r="B331" s="840"/>
      <c r="C331" s="840"/>
      <c r="D331" s="840"/>
      <c r="E331" s="840"/>
      <c r="F331" s="871"/>
    </row>
    <row r="332">
      <c r="B332" s="840"/>
      <c r="C332" s="840"/>
      <c r="D332" s="840"/>
      <c r="E332" s="840"/>
      <c r="F332" s="871"/>
    </row>
    <row r="333">
      <c r="B333" s="840"/>
      <c r="C333" s="840"/>
      <c r="D333" s="840"/>
      <c r="E333" s="840"/>
      <c r="F333" s="871"/>
    </row>
    <row r="334">
      <c r="B334" s="840"/>
      <c r="C334" s="840"/>
      <c r="D334" s="840"/>
      <c r="E334" s="840"/>
      <c r="F334" s="871"/>
    </row>
    <row r="335">
      <c r="B335" s="840"/>
      <c r="C335" s="840"/>
      <c r="D335" s="840"/>
      <c r="E335" s="840"/>
      <c r="F335" s="871"/>
    </row>
    <row r="336">
      <c r="B336" s="840"/>
      <c r="C336" s="840"/>
      <c r="D336" s="840"/>
      <c r="E336" s="840"/>
      <c r="F336" s="871"/>
    </row>
    <row r="337">
      <c r="B337" s="840"/>
      <c r="C337" s="840"/>
      <c r="D337" s="840"/>
      <c r="E337" s="840"/>
      <c r="F337" s="871"/>
    </row>
    <row r="338">
      <c r="B338" s="840"/>
      <c r="C338" s="840"/>
      <c r="D338" s="840"/>
      <c r="E338" s="840"/>
      <c r="F338" s="871"/>
    </row>
    <row r="339">
      <c r="B339" s="840"/>
      <c r="C339" s="840"/>
      <c r="D339" s="840"/>
      <c r="E339" s="840"/>
      <c r="F339" s="871"/>
    </row>
    <row r="340">
      <c r="B340" s="840"/>
      <c r="C340" s="840"/>
      <c r="D340" s="840"/>
      <c r="E340" s="840"/>
      <c r="F340" s="871"/>
    </row>
    <row r="341">
      <c r="B341" s="840"/>
      <c r="C341" s="840"/>
      <c r="D341" s="840"/>
      <c r="E341" s="840"/>
      <c r="F341" s="871"/>
    </row>
    <row r="342">
      <c r="B342" s="840"/>
      <c r="C342" s="840"/>
      <c r="D342" s="840"/>
      <c r="E342" s="840"/>
      <c r="F342" s="871"/>
    </row>
    <row r="343">
      <c r="B343" s="840"/>
      <c r="C343" s="840"/>
      <c r="D343" s="840"/>
      <c r="E343" s="840"/>
      <c r="F343" s="871"/>
    </row>
    <row r="344">
      <c r="B344" s="840"/>
      <c r="C344" s="840"/>
      <c r="D344" s="840"/>
      <c r="E344" s="840"/>
      <c r="F344" s="871"/>
    </row>
    <row r="345">
      <c r="B345" s="840"/>
      <c r="C345" s="840"/>
      <c r="D345" s="840"/>
      <c r="E345" s="840"/>
      <c r="F345" s="871"/>
    </row>
    <row r="346">
      <c r="B346" s="840"/>
      <c r="C346" s="840"/>
      <c r="D346" s="840"/>
      <c r="E346" s="840"/>
      <c r="F346" s="871"/>
    </row>
    <row r="347">
      <c r="B347" s="840"/>
      <c r="C347" s="840"/>
      <c r="D347" s="840"/>
      <c r="E347" s="840"/>
      <c r="F347" s="871"/>
    </row>
    <row r="348">
      <c r="B348" s="840"/>
      <c r="C348" s="840"/>
      <c r="D348" s="840"/>
      <c r="E348" s="840"/>
      <c r="F348" s="871"/>
    </row>
    <row r="349">
      <c r="B349" s="840"/>
      <c r="C349" s="840"/>
      <c r="D349" s="840"/>
      <c r="E349" s="840"/>
      <c r="F349" s="871"/>
    </row>
    <row r="350">
      <c r="B350" s="840"/>
      <c r="C350" s="840"/>
      <c r="D350" s="840"/>
      <c r="E350" s="840"/>
      <c r="F350" s="871"/>
    </row>
    <row r="351">
      <c r="B351" s="840"/>
      <c r="C351" s="840"/>
      <c r="D351" s="840"/>
      <c r="E351" s="840"/>
      <c r="F351" s="871"/>
    </row>
    <row r="352">
      <c r="B352" s="840"/>
      <c r="C352" s="840"/>
      <c r="D352" s="840"/>
      <c r="E352" s="840"/>
      <c r="F352" s="871"/>
    </row>
    <row r="353">
      <c r="B353" s="840"/>
      <c r="C353" s="840"/>
      <c r="D353" s="840"/>
      <c r="E353" s="840"/>
      <c r="F353" s="871"/>
    </row>
    <row r="354">
      <c r="B354" s="840"/>
      <c r="C354" s="840"/>
      <c r="D354" s="840"/>
      <c r="E354" s="840"/>
      <c r="F354" s="871"/>
    </row>
    <row r="355">
      <c r="B355" s="840"/>
      <c r="C355" s="840"/>
      <c r="D355" s="840"/>
      <c r="E355" s="840"/>
      <c r="F355" s="871"/>
    </row>
    <row r="356">
      <c r="B356" s="840"/>
      <c r="C356" s="840"/>
      <c r="D356" s="840"/>
      <c r="E356" s="840"/>
      <c r="F356" s="871"/>
    </row>
    <row r="357">
      <c r="B357" s="840"/>
      <c r="C357" s="840"/>
      <c r="D357" s="840"/>
      <c r="E357" s="840"/>
      <c r="F357" s="871"/>
    </row>
    <row r="358">
      <c r="B358" s="840"/>
      <c r="C358" s="840"/>
      <c r="D358" s="840"/>
      <c r="E358" s="840"/>
      <c r="F358" s="871"/>
    </row>
    <row r="359">
      <c r="B359" s="840"/>
      <c r="C359" s="840"/>
      <c r="D359" s="840"/>
      <c r="E359" s="840"/>
      <c r="F359" s="871"/>
    </row>
    <row r="360">
      <c r="B360" s="840"/>
      <c r="C360" s="840"/>
      <c r="D360" s="840"/>
      <c r="E360" s="840"/>
      <c r="F360" s="871"/>
    </row>
    <row r="361">
      <c r="B361" s="840"/>
      <c r="C361" s="840"/>
      <c r="D361" s="840"/>
      <c r="E361" s="840"/>
      <c r="F361" s="871"/>
    </row>
    <row r="362">
      <c r="B362" s="840"/>
      <c r="C362" s="840"/>
      <c r="D362" s="840"/>
      <c r="E362" s="840"/>
      <c r="F362" s="871"/>
    </row>
    <row r="363">
      <c r="B363" s="840"/>
      <c r="C363" s="840"/>
      <c r="D363" s="840"/>
      <c r="E363" s="840"/>
      <c r="F363" s="871"/>
    </row>
    <row r="364">
      <c r="B364" s="840"/>
      <c r="C364" s="840"/>
      <c r="D364" s="840"/>
      <c r="E364" s="840"/>
      <c r="F364" s="871"/>
    </row>
    <row r="365">
      <c r="B365" s="840"/>
      <c r="C365" s="840"/>
      <c r="D365" s="840"/>
      <c r="E365" s="840"/>
      <c r="F365" s="871"/>
    </row>
    <row r="366">
      <c r="B366" s="840"/>
      <c r="C366" s="840"/>
      <c r="D366" s="840"/>
      <c r="E366" s="840"/>
      <c r="F366" s="871"/>
    </row>
    <row r="367">
      <c r="B367" s="840"/>
      <c r="C367" s="840"/>
      <c r="D367" s="840"/>
      <c r="E367" s="840"/>
      <c r="F367" s="871"/>
    </row>
    <row r="368">
      <c r="B368" s="840"/>
      <c r="C368" s="840"/>
      <c r="D368" s="840"/>
      <c r="E368" s="840"/>
      <c r="F368" s="871"/>
    </row>
    <row r="369">
      <c r="B369" s="840"/>
      <c r="C369" s="840"/>
      <c r="D369" s="840"/>
      <c r="E369" s="840"/>
      <c r="F369" s="871"/>
    </row>
    <row r="370">
      <c r="B370" s="840"/>
      <c r="C370" s="840"/>
      <c r="D370" s="840"/>
      <c r="E370" s="840"/>
      <c r="F370" s="871"/>
    </row>
    <row r="371">
      <c r="B371" s="840"/>
      <c r="C371" s="840"/>
      <c r="D371" s="840"/>
      <c r="E371" s="840"/>
      <c r="F371" s="871"/>
    </row>
    <row r="372">
      <c r="B372" s="840"/>
      <c r="C372" s="840"/>
      <c r="D372" s="840"/>
      <c r="E372" s="840"/>
      <c r="F372" s="871"/>
    </row>
    <row r="373">
      <c r="B373" s="840"/>
      <c r="C373" s="840"/>
      <c r="D373" s="840"/>
      <c r="E373" s="840"/>
      <c r="F373" s="871"/>
    </row>
    <row r="374">
      <c r="B374" s="840"/>
      <c r="C374" s="840"/>
      <c r="D374" s="840"/>
      <c r="E374" s="840"/>
      <c r="F374" s="871"/>
    </row>
    <row r="375">
      <c r="B375" s="840"/>
      <c r="C375" s="840"/>
      <c r="D375" s="840"/>
      <c r="E375" s="840"/>
      <c r="F375" s="871"/>
    </row>
    <row r="376">
      <c r="B376" s="840"/>
      <c r="C376" s="840"/>
      <c r="D376" s="840"/>
      <c r="E376" s="840"/>
      <c r="F376" s="871"/>
    </row>
    <row r="377">
      <c r="B377" s="840"/>
      <c r="C377" s="840"/>
      <c r="D377" s="840"/>
      <c r="E377" s="840"/>
      <c r="F377" s="871"/>
    </row>
    <row r="378">
      <c r="B378" s="840"/>
      <c r="C378" s="840"/>
      <c r="D378" s="840"/>
      <c r="E378" s="840"/>
      <c r="F378" s="871"/>
    </row>
    <row r="379">
      <c r="B379" s="840"/>
      <c r="C379" s="840"/>
      <c r="D379" s="840"/>
      <c r="E379" s="840"/>
      <c r="F379" s="871"/>
    </row>
    <row r="380">
      <c r="B380" s="840"/>
      <c r="C380" s="840"/>
      <c r="D380" s="840"/>
      <c r="E380" s="840"/>
      <c r="F380" s="871"/>
    </row>
    <row r="381">
      <c r="B381" s="840"/>
      <c r="C381" s="840"/>
      <c r="D381" s="840"/>
      <c r="E381" s="840"/>
      <c r="F381" s="871"/>
    </row>
    <row r="382">
      <c r="B382" s="840"/>
      <c r="C382" s="840"/>
      <c r="D382" s="840"/>
      <c r="E382" s="840"/>
      <c r="F382" s="871"/>
    </row>
    <row r="383">
      <c r="B383" s="840"/>
      <c r="C383" s="840"/>
      <c r="D383" s="840"/>
      <c r="E383" s="840"/>
      <c r="F383" s="871"/>
    </row>
    <row r="384">
      <c r="B384" s="840"/>
      <c r="C384" s="840"/>
      <c r="D384" s="840"/>
      <c r="E384" s="840"/>
      <c r="F384" s="871"/>
    </row>
    <row r="385">
      <c r="B385" s="840"/>
      <c r="C385" s="840"/>
      <c r="D385" s="840"/>
      <c r="E385" s="840"/>
      <c r="F385" s="871"/>
    </row>
    <row r="386">
      <c r="B386" s="840"/>
      <c r="C386" s="840"/>
      <c r="D386" s="840"/>
      <c r="E386" s="840"/>
      <c r="F386" s="871"/>
    </row>
    <row r="387">
      <c r="B387" s="840"/>
      <c r="C387" s="840"/>
      <c r="D387" s="840"/>
      <c r="E387" s="840"/>
      <c r="F387" s="871"/>
    </row>
    <row r="388">
      <c r="B388" s="840"/>
      <c r="C388" s="840"/>
      <c r="D388" s="840"/>
      <c r="E388" s="840"/>
      <c r="F388" s="871"/>
    </row>
    <row r="389">
      <c r="B389" s="840"/>
      <c r="C389" s="840"/>
      <c r="D389" s="840"/>
      <c r="E389" s="840"/>
      <c r="F389" s="871"/>
    </row>
    <row r="390">
      <c r="B390" s="840"/>
      <c r="C390" s="840"/>
      <c r="D390" s="840"/>
      <c r="E390" s="840"/>
      <c r="F390" s="871"/>
    </row>
    <row r="391">
      <c r="B391" s="840"/>
      <c r="C391" s="840"/>
      <c r="D391" s="840"/>
      <c r="E391" s="840"/>
      <c r="F391" s="871"/>
    </row>
    <row r="392">
      <c r="B392" s="840"/>
      <c r="C392" s="840"/>
      <c r="D392" s="840"/>
      <c r="E392" s="840"/>
      <c r="F392" s="871"/>
    </row>
    <row r="393">
      <c r="B393" s="840"/>
      <c r="C393" s="840"/>
      <c r="D393" s="840"/>
      <c r="E393" s="840"/>
      <c r="F393" s="871"/>
    </row>
    <row r="394">
      <c r="B394" s="840"/>
      <c r="C394" s="840"/>
      <c r="D394" s="840"/>
      <c r="E394" s="840"/>
      <c r="F394" s="871"/>
    </row>
    <row r="395">
      <c r="B395" s="840"/>
      <c r="C395" s="840"/>
      <c r="D395" s="840"/>
      <c r="E395" s="840"/>
      <c r="F395" s="871"/>
    </row>
    <row r="396">
      <c r="B396" s="840"/>
      <c r="C396" s="840"/>
      <c r="D396" s="840"/>
      <c r="E396" s="840"/>
      <c r="F396" s="871"/>
    </row>
    <row r="397">
      <c r="B397" s="840"/>
      <c r="C397" s="840"/>
      <c r="D397" s="840"/>
      <c r="E397" s="840"/>
      <c r="F397" s="871"/>
    </row>
    <row r="398">
      <c r="B398" s="840"/>
      <c r="C398" s="840"/>
      <c r="D398" s="840"/>
      <c r="E398" s="840"/>
      <c r="F398" s="871"/>
    </row>
    <row r="399">
      <c r="B399" s="840"/>
      <c r="C399" s="840"/>
      <c r="D399" s="840"/>
      <c r="E399" s="840"/>
      <c r="F399" s="871"/>
    </row>
    <row r="400">
      <c r="B400" s="840"/>
      <c r="C400" s="840"/>
      <c r="D400" s="840"/>
      <c r="E400" s="840"/>
      <c r="F400" s="871"/>
    </row>
    <row r="401">
      <c r="B401" s="840"/>
      <c r="C401" s="840"/>
      <c r="D401" s="840"/>
      <c r="E401" s="840"/>
      <c r="F401" s="871"/>
    </row>
    <row r="402">
      <c r="B402" s="840"/>
      <c r="C402" s="840"/>
      <c r="D402" s="840"/>
      <c r="E402" s="840"/>
      <c r="F402" s="871"/>
    </row>
    <row r="403">
      <c r="B403" s="840"/>
      <c r="C403" s="840"/>
      <c r="D403" s="840"/>
      <c r="E403" s="840"/>
      <c r="F403" s="871"/>
    </row>
    <row r="404">
      <c r="B404" s="840"/>
      <c r="C404" s="840"/>
      <c r="D404" s="840"/>
      <c r="E404" s="840"/>
      <c r="F404" s="871"/>
    </row>
    <row r="405">
      <c r="B405" s="840"/>
      <c r="C405" s="840"/>
      <c r="D405" s="840"/>
      <c r="E405" s="840"/>
      <c r="F405" s="871"/>
    </row>
    <row r="406">
      <c r="B406" s="840"/>
      <c r="C406" s="840"/>
      <c r="D406" s="840"/>
      <c r="E406" s="840"/>
      <c r="F406" s="871"/>
    </row>
    <row r="407">
      <c r="B407" s="840"/>
      <c r="C407" s="840"/>
      <c r="D407" s="840"/>
      <c r="E407" s="840"/>
      <c r="F407" s="871"/>
    </row>
    <row r="408">
      <c r="B408" s="840"/>
      <c r="C408" s="840"/>
      <c r="D408" s="840"/>
      <c r="E408" s="840"/>
      <c r="F408" s="871"/>
    </row>
    <row r="409">
      <c r="B409" s="840"/>
      <c r="C409" s="840"/>
      <c r="D409" s="840"/>
      <c r="E409" s="840"/>
      <c r="F409" s="871"/>
    </row>
    <row r="410">
      <c r="B410" s="840"/>
      <c r="C410" s="840"/>
      <c r="D410" s="840"/>
      <c r="E410" s="840"/>
      <c r="F410" s="871"/>
    </row>
    <row r="411">
      <c r="B411" s="840"/>
      <c r="C411" s="840"/>
      <c r="D411" s="840"/>
      <c r="E411" s="840"/>
      <c r="F411" s="871"/>
    </row>
    <row r="412">
      <c r="B412" s="840"/>
      <c r="C412" s="840"/>
      <c r="D412" s="840"/>
      <c r="E412" s="840"/>
      <c r="F412" s="871"/>
    </row>
    <row r="413">
      <c r="B413" s="840"/>
      <c r="C413" s="840"/>
      <c r="D413" s="840"/>
      <c r="E413" s="840"/>
      <c r="F413" s="871"/>
    </row>
    <row r="414">
      <c r="B414" s="840"/>
      <c r="C414" s="840"/>
      <c r="D414" s="840"/>
      <c r="E414" s="840"/>
      <c r="F414" s="871"/>
    </row>
    <row r="415">
      <c r="B415" s="840"/>
      <c r="C415" s="840"/>
      <c r="D415" s="840"/>
      <c r="E415" s="840"/>
      <c r="F415" s="871"/>
    </row>
    <row r="416">
      <c r="B416" s="840"/>
      <c r="C416" s="840"/>
      <c r="D416" s="840"/>
      <c r="E416" s="840"/>
      <c r="F416" s="871"/>
    </row>
    <row r="417">
      <c r="B417" s="840"/>
      <c r="C417" s="840"/>
      <c r="D417" s="840"/>
      <c r="E417" s="840"/>
      <c r="F417" s="871"/>
    </row>
    <row r="418">
      <c r="B418" s="840"/>
      <c r="C418" s="840"/>
      <c r="D418" s="840"/>
      <c r="E418" s="840"/>
      <c r="F418" s="871"/>
    </row>
    <row r="419">
      <c r="B419" s="840"/>
      <c r="C419" s="840"/>
      <c r="D419" s="840"/>
      <c r="E419" s="840"/>
      <c r="F419" s="871"/>
    </row>
    <row r="420">
      <c r="B420" s="840"/>
      <c r="C420" s="840"/>
      <c r="D420" s="840"/>
      <c r="E420" s="840"/>
      <c r="F420" s="871"/>
    </row>
    <row r="421">
      <c r="B421" s="840"/>
      <c r="C421" s="840"/>
      <c r="D421" s="840"/>
      <c r="E421" s="840"/>
      <c r="F421" s="871"/>
    </row>
    <row r="422">
      <c r="B422" s="840"/>
      <c r="C422" s="840"/>
      <c r="D422" s="840"/>
      <c r="E422" s="840"/>
      <c r="F422" s="871"/>
    </row>
    <row r="423">
      <c r="B423" s="840"/>
      <c r="C423" s="840"/>
      <c r="D423" s="840"/>
      <c r="E423" s="840"/>
      <c r="F423" s="871"/>
    </row>
    <row r="424">
      <c r="B424" s="840"/>
      <c r="C424" s="840"/>
      <c r="D424" s="840"/>
      <c r="E424" s="840"/>
      <c r="F424" s="871"/>
    </row>
    <row r="425">
      <c r="B425" s="840"/>
      <c r="C425" s="840"/>
      <c r="D425" s="840"/>
      <c r="E425" s="840"/>
      <c r="F425" s="871"/>
    </row>
    <row r="426">
      <c r="B426" s="840"/>
      <c r="C426" s="840"/>
      <c r="D426" s="840"/>
      <c r="E426" s="840"/>
      <c r="F426" s="871"/>
    </row>
    <row r="427">
      <c r="B427" s="840"/>
      <c r="C427" s="840"/>
      <c r="D427" s="840"/>
      <c r="E427" s="840"/>
      <c r="F427" s="871"/>
    </row>
    <row r="428">
      <c r="B428" s="840"/>
      <c r="C428" s="840"/>
      <c r="D428" s="840"/>
      <c r="E428" s="840"/>
      <c r="F428" s="871"/>
    </row>
    <row r="429">
      <c r="B429" s="840"/>
      <c r="C429" s="840"/>
      <c r="D429" s="840"/>
      <c r="E429" s="840"/>
      <c r="F429" s="871"/>
    </row>
    <row r="430">
      <c r="B430" s="840"/>
      <c r="C430" s="840"/>
      <c r="D430" s="840"/>
      <c r="E430" s="840"/>
      <c r="F430" s="871"/>
    </row>
    <row r="431">
      <c r="B431" s="840"/>
      <c r="C431" s="840"/>
      <c r="D431" s="840"/>
      <c r="E431" s="840"/>
      <c r="F431" s="871"/>
    </row>
    <row r="432">
      <c r="B432" s="840"/>
      <c r="C432" s="840"/>
      <c r="D432" s="840"/>
      <c r="E432" s="840"/>
      <c r="F432" s="871"/>
    </row>
    <row r="433">
      <c r="B433" s="840"/>
      <c r="C433" s="840"/>
      <c r="D433" s="840"/>
      <c r="E433" s="840"/>
      <c r="F433" s="871"/>
    </row>
    <row r="434">
      <c r="B434" s="840"/>
      <c r="C434" s="840"/>
      <c r="D434" s="840"/>
      <c r="E434" s="840"/>
      <c r="F434" s="871"/>
    </row>
    <row r="435">
      <c r="B435" s="840"/>
      <c r="C435" s="840"/>
      <c r="D435" s="840"/>
      <c r="E435" s="840"/>
      <c r="F435" s="871"/>
    </row>
    <row r="436">
      <c r="B436" s="840"/>
      <c r="C436" s="840"/>
      <c r="D436" s="840"/>
      <c r="E436" s="840"/>
      <c r="F436" s="871"/>
    </row>
    <row r="437">
      <c r="B437" s="840"/>
      <c r="C437" s="840"/>
      <c r="D437" s="840"/>
      <c r="E437" s="840"/>
      <c r="F437" s="871"/>
    </row>
    <row r="438">
      <c r="B438" s="840"/>
      <c r="C438" s="840"/>
      <c r="D438" s="840"/>
      <c r="E438" s="840"/>
      <c r="F438" s="871"/>
    </row>
    <row r="439">
      <c r="B439" s="840"/>
      <c r="C439" s="840"/>
      <c r="D439" s="840"/>
      <c r="E439" s="840"/>
      <c r="F439" s="871"/>
    </row>
    <row r="440">
      <c r="B440" s="840"/>
      <c r="C440" s="840"/>
      <c r="D440" s="840"/>
      <c r="E440" s="840"/>
      <c r="F440" s="871"/>
    </row>
    <row r="441">
      <c r="B441" s="840"/>
      <c r="C441" s="840"/>
      <c r="D441" s="840"/>
      <c r="E441" s="840"/>
      <c r="F441" s="871"/>
    </row>
    <row r="442">
      <c r="B442" s="840"/>
      <c r="C442" s="840"/>
      <c r="D442" s="840"/>
      <c r="E442" s="840"/>
      <c r="F442" s="871"/>
    </row>
    <row r="443">
      <c r="B443" s="840"/>
      <c r="C443" s="840"/>
      <c r="D443" s="840"/>
      <c r="E443" s="840"/>
      <c r="F443" s="871"/>
    </row>
    <row r="444">
      <c r="B444" s="840"/>
      <c r="C444" s="840"/>
      <c r="D444" s="840"/>
      <c r="E444" s="840"/>
      <c r="F444" s="871"/>
    </row>
    <row r="445">
      <c r="B445" s="840"/>
      <c r="C445" s="840"/>
      <c r="D445" s="840"/>
      <c r="E445" s="840"/>
      <c r="F445" s="871"/>
    </row>
    <row r="446">
      <c r="B446" s="840"/>
      <c r="C446" s="840"/>
      <c r="D446" s="840"/>
      <c r="E446" s="840"/>
      <c r="F446" s="871"/>
    </row>
    <row r="447">
      <c r="B447" s="840"/>
      <c r="C447" s="840"/>
      <c r="D447" s="840"/>
      <c r="E447" s="840"/>
      <c r="F447" s="871"/>
    </row>
    <row r="448">
      <c r="B448" s="840"/>
      <c r="C448" s="840"/>
      <c r="D448" s="840"/>
      <c r="E448" s="840"/>
      <c r="F448" s="871"/>
    </row>
    <row r="449">
      <c r="B449" s="840"/>
      <c r="C449" s="840"/>
      <c r="D449" s="840"/>
      <c r="E449" s="840"/>
      <c r="F449" s="871"/>
    </row>
    <row r="450">
      <c r="B450" s="840"/>
      <c r="C450" s="840"/>
      <c r="D450" s="840"/>
      <c r="E450" s="840"/>
      <c r="F450" s="871"/>
    </row>
    <row r="451">
      <c r="B451" s="840"/>
      <c r="C451" s="840"/>
      <c r="D451" s="840"/>
      <c r="E451" s="840"/>
      <c r="F451" s="871"/>
    </row>
    <row r="452">
      <c r="B452" s="840"/>
      <c r="C452" s="840"/>
      <c r="D452" s="840"/>
      <c r="E452" s="840"/>
      <c r="F452" s="871"/>
    </row>
    <row r="453">
      <c r="B453" s="840"/>
      <c r="C453" s="840"/>
      <c r="D453" s="840"/>
      <c r="E453" s="840"/>
      <c r="F453" s="871"/>
    </row>
    <row r="454">
      <c r="B454" s="840"/>
      <c r="C454" s="840"/>
      <c r="D454" s="840"/>
      <c r="E454" s="840"/>
      <c r="F454" s="871"/>
    </row>
    <row r="455">
      <c r="B455" s="840"/>
      <c r="C455" s="840"/>
      <c r="D455" s="840"/>
      <c r="E455" s="840"/>
      <c r="F455" s="871"/>
    </row>
    <row r="456">
      <c r="B456" s="840"/>
      <c r="C456" s="840"/>
      <c r="D456" s="840"/>
      <c r="E456" s="840"/>
      <c r="F456" s="871"/>
    </row>
    <row r="457">
      <c r="B457" s="840"/>
      <c r="C457" s="840"/>
      <c r="D457" s="840"/>
      <c r="E457" s="840"/>
      <c r="F457" s="871"/>
    </row>
    <row r="458">
      <c r="B458" s="840"/>
      <c r="C458" s="840"/>
      <c r="D458" s="840"/>
      <c r="E458" s="840"/>
      <c r="F458" s="871"/>
    </row>
    <row r="459">
      <c r="B459" s="840"/>
      <c r="C459" s="840"/>
      <c r="D459" s="840"/>
      <c r="E459" s="840"/>
      <c r="F459" s="871"/>
    </row>
    <row r="460">
      <c r="B460" s="840"/>
      <c r="C460" s="840"/>
      <c r="D460" s="840"/>
      <c r="E460" s="840"/>
      <c r="F460" s="871"/>
    </row>
    <row r="461">
      <c r="B461" s="840"/>
      <c r="C461" s="840"/>
      <c r="D461" s="840"/>
      <c r="E461" s="840"/>
      <c r="F461" s="871"/>
    </row>
    <row r="462">
      <c r="B462" s="840"/>
      <c r="C462" s="840"/>
      <c r="D462" s="840"/>
      <c r="E462" s="840"/>
      <c r="F462" s="871"/>
    </row>
    <row r="463">
      <c r="B463" s="840"/>
      <c r="C463" s="840"/>
      <c r="D463" s="840"/>
      <c r="E463" s="840"/>
      <c r="F463" s="871"/>
    </row>
    <row r="464">
      <c r="B464" s="840"/>
      <c r="C464" s="840"/>
      <c r="D464" s="840"/>
      <c r="E464" s="840"/>
      <c r="F464" s="871"/>
    </row>
    <row r="465">
      <c r="B465" s="840"/>
      <c r="C465" s="840"/>
      <c r="D465" s="840"/>
      <c r="E465" s="840"/>
      <c r="F465" s="871"/>
    </row>
    <row r="466">
      <c r="B466" s="840"/>
      <c r="C466" s="840"/>
      <c r="D466" s="840"/>
      <c r="E466" s="840"/>
      <c r="F466" s="871"/>
    </row>
    <row r="467">
      <c r="B467" s="840"/>
      <c r="C467" s="840"/>
      <c r="D467" s="840"/>
      <c r="E467" s="840"/>
      <c r="F467" s="871"/>
    </row>
    <row r="468">
      <c r="B468" s="840"/>
      <c r="C468" s="840"/>
      <c r="D468" s="840"/>
      <c r="E468" s="840"/>
      <c r="F468" s="871"/>
    </row>
    <row r="469">
      <c r="B469" s="840"/>
      <c r="C469" s="840"/>
      <c r="D469" s="840"/>
      <c r="E469" s="840"/>
      <c r="F469" s="871"/>
    </row>
    <row r="470">
      <c r="B470" s="840"/>
      <c r="C470" s="840"/>
      <c r="D470" s="840"/>
      <c r="E470" s="840"/>
      <c r="F470" s="871"/>
    </row>
    <row r="471">
      <c r="B471" s="840"/>
      <c r="C471" s="840"/>
      <c r="D471" s="840"/>
      <c r="E471" s="840"/>
      <c r="F471" s="871"/>
    </row>
    <row r="472">
      <c r="B472" s="840"/>
      <c r="C472" s="840"/>
      <c r="D472" s="840"/>
      <c r="E472" s="840"/>
      <c r="F472" s="871"/>
    </row>
    <row r="473">
      <c r="B473" s="840"/>
      <c r="C473" s="840"/>
      <c r="D473" s="840"/>
      <c r="E473" s="840"/>
      <c r="F473" s="871"/>
    </row>
    <row r="474">
      <c r="B474" s="840"/>
      <c r="C474" s="840"/>
      <c r="D474" s="840"/>
      <c r="E474" s="840"/>
      <c r="F474" s="871"/>
    </row>
    <row r="475">
      <c r="B475" s="840"/>
      <c r="C475" s="840"/>
      <c r="D475" s="840"/>
      <c r="E475" s="840"/>
      <c r="F475" s="871"/>
    </row>
    <row r="476">
      <c r="B476" s="840"/>
      <c r="C476" s="840"/>
      <c r="D476" s="840"/>
      <c r="E476" s="840"/>
      <c r="F476" s="871"/>
    </row>
    <row r="477">
      <c r="B477" s="840"/>
      <c r="C477" s="840"/>
      <c r="D477" s="840"/>
      <c r="E477" s="840"/>
      <c r="F477" s="871"/>
    </row>
    <row r="478">
      <c r="B478" s="840"/>
      <c r="C478" s="840"/>
      <c r="D478" s="840"/>
      <c r="E478" s="840"/>
      <c r="F478" s="871"/>
    </row>
    <row r="479">
      <c r="B479" s="840"/>
      <c r="C479" s="840"/>
      <c r="D479" s="840"/>
      <c r="E479" s="840"/>
      <c r="F479" s="871"/>
    </row>
    <row r="480">
      <c r="B480" s="840"/>
      <c r="C480" s="840"/>
      <c r="D480" s="840"/>
      <c r="E480" s="840"/>
      <c r="F480" s="871"/>
    </row>
    <row r="481">
      <c r="B481" s="840"/>
      <c r="C481" s="840"/>
      <c r="D481" s="840"/>
      <c r="E481" s="840"/>
      <c r="F481" s="871"/>
    </row>
    <row r="482">
      <c r="B482" s="840"/>
      <c r="C482" s="840"/>
      <c r="D482" s="840"/>
      <c r="E482" s="840"/>
      <c r="F482" s="871"/>
    </row>
    <row r="483">
      <c r="B483" s="840"/>
      <c r="C483" s="840"/>
      <c r="D483" s="840"/>
      <c r="E483" s="840"/>
      <c r="F483" s="871"/>
    </row>
    <row r="484">
      <c r="B484" s="840"/>
      <c r="C484" s="840"/>
      <c r="D484" s="840"/>
      <c r="E484" s="840"/>
      <c r="F484" s="871"/>
    </row>
    <row r="485">
      <c r="B485" s="840"/>
      <c r="C485" s="840"/>
      <c r="D485" s="840"/>
      <c r="E485" s="840"/>
      <c r="F485" s="871"/>
    </row>
    <row r="486">
      <c r="B486" s="840"/>
      <c r="C486" s="840"/>
      <c r="D486" s="840"/>
      <c r="E486" s="840"/>
      <c r="F486" s="871"/>
    </row>
    <row r="487">
      <c r="B487" s="840"/>
      <c r="C487" s="840"/>
      <c r="D487" s="840"/>
      <c r="E487" s="840"/>
      <c r="F487" s="871"/>
    </row>
    <row r="488">
      <c r="B488" s="840"/>
      <c r="C488" s="840"/>
      <c r="D488" s="840"/>
      <c r="E488" s="840"/>
      <c r="F488" s="871"/>
    </row>
    <row r="489">
      <c r="B489" s="840"/>
      <c r="C489" s="840"/>
      <c r="D489" s="840"/>
      <c r="E489" s="840"/>
      <c r="F489" s="871"/>
    </row>
    <row r="490">
      <c r="B490" s="840"/>
      <c r="C490" s="840"/>
      <c r="D490" s="840"/>
      <c r="E490" s="840"/>
      <c r="F490" s="871"/>
    </row>
    <row r="491">
      <c r="B491" s="840"/>
      <c r="C491" s="840"/>
      <c r="D491" s="840"/>
      <c r="E491" s="840"/>
      <c r="F491" s="871"/>
    </row>
    <row r="492">
      <c r="B492" s="840"/>
      <c r="C492" s="840"/>
      <c r="D492" s="840"/>
      <c r="E492" s="840"/>
      <c r="F492" s="871"/>
    </row>
    <row r="493">
      <c r="B493" s="840"/>
      <c r="C493" s="840"/>
      <c r="D493" s="840"/>
      <c r="E493" s="840"/>
      <c r="F493" s="871"/>
    </row>
    <row r="494">
      <c r="B494" s="840"/>
      <c r="C494" s="840"/>
      <c r="D494" s="840"/>
      <c r="E494" s="840"/>
      <c r="F494" s="871"/>
    </row>
    <row r="495">
      <c r="B495" s="840"/>
      <c r="C495" s="840"/>
      <c r="D495" s="840"/>
      <c r="E495" s="840"/>
      <c r="F495" s="871"/>
    </row>
    <row r="496">
      <c r="B496" s="840"/>
      <c r="C496" s="840"/>
      <c r="D496" s="840"/>
      <c r="E496" s="840"/>
      <c r="F496" s="871"/>
    </row>
    <row r="497">
      <c r="B497" s="840"/>
      <c r="C497" s="840"/>
      <c r="D497" s="840"/>
      <c r="E497" s="840"/>
      <c r="F497" s="871"/>
    </row>
    <row r="498">
      <c r="B498" s="840"/>
      <c r="C498" s="840"/>
      <c r="D498" s="840"/>
      <c r="E498" s="840"/>
      <c r="F498" s="871"/>
    </row>
    <row r="499">
      <c r="B499" s="840"/>
      <c r="C499" s="840"/>
      <c r="D499" s="840"/>
      <c r="E499" s="840"/>
      <c r="F499" s="871"/>
    </row>
    <row r="500">
      <c r="B500" s="840"/>
      <c r="C500" s="840"/>
      <c r="D500" s="840"/>
      <c r="E500" s="840"/>
      <c r="F500" s="871"/>
    </row>
    <row r="501">
      <c r="B501" s="840"/>
      <c r="C501" s="840"/>
      <c r="D501" s="840"/>
      <c r="E501" s="840"/>
      <c r="F501" s="871"/>
    </row>
    <row r="502">
      <c r="B502" s="840"/>
      <c r="C502" s="840"/>
      <c r="D502" s="840"/>
      <c r="E502" s="840"/>
      <c r="F502" s="871"/>
    </row>
    <row r="503">
      <c r="B503" s="840"/>
      <c r="C503" s="840"/>
      <c r="D503" s="840"/>
      <c r="E503" s="840"/>
      <c r="F503" s="871"/>
    </row>
    <row r="504">
      <c r="B504" s="840"/>
      <c r="C504" s="840"/>
      <c r="D504" s="840"/>
      <c r="E504" s="840"/>
      <c r="F504" s="871"/>
    </row>
    <row r="505">
      <c r="B505" s="840"/>
      <c r="C505" s="840"/>
      <c r="D505" s="840"/>
      <c r="E505" s="840"/>
      <c r="F505" s="871"/>
    </row>
    <row r="506">
      <c r="B506" s="840"/>
      <c r="C506" s="840"/>
      <c r="D506" s="840"/>
      <c r="E506" s="840"/>
      <c r="F506" s="871"/>
    </row>
    <row r="507">
      <c r="B507" s="840"/>
      <c r="C507" s="840"/>
      <c r="D507" s="840"/>
      <c r="E507" s="840"/>
      <c r="F507" s="871"/>
    </row>
    <row r="508">
      <c r="B508" s="840"/>
      <c r="C508" s="840"/>
      <c r="D508" s="840"/>
      <c r="E508" s="840"/>
      <c r="F508" s="871"/>
    </row>
    <row r="509">
      <c r="B509" s="840"/>
      <c r="C509" s="840"/>
      <c r="D509" s="840"/>
      <c r="E509" s="840"/>
      <c r="F509" s="871"/>
    </row>
    <row r="510">
      <c r="B510" s="840"/>
      <c r="C510" s="840"/>
      <c r="D510" s="840"/>
      <c r="E510" s="840"/>
      <c r="F510" s="871"/>
    </row>
    <row r="511">
      <c r="B511" s="840"/>
      <c r="C511" s="840"/>
      <c r="D511" s="840"/>
      <c r="E511" s="840"/>
      <c r="F511" s="871"/>
    </row>
    <row r="512">
      <c r="B512" s="840"/>
      <c r="C512" s="840"/>
      <c r="D512" s="840"/>
      <c r="E512" s="840"/>
      <c r="F512" s="871"/>
    </row>
    <row r="513">
      <c r="B513" s="840"/>
      <c r="C513" s="840"/>
      <c r="D513" s="840"/>
      <c r="E513" s="840"/>
      <c r="F513" s="871"/>
    </row>
    <row r="514">
      <c r="B514" s="840"/>
      <c r="C514" s="840"/>
      <c r="D514" s="840"/>
      <c r="E514" s="840"/>
      <c r="F514" s="871"/>
    </row>
    <row r="515">
      <c r="B515" s="840"/>
      <c r="C515" s="840"/>
      <c r="D515" s="840"/>
      <c r="E515" s="840"/>
      <c r="F515" s="871"/>
    </row>
    <row r="516">
      <c r="B516" s="840"/>
      <c r="C516" s="840"/>
      <c r="D516" s="840"/>
      <c r="E516" s="840"/>
      <c r="F516" s="871"/>
    </row>
    <row r="517">
      <c r="B517" s="840"/>
      <c r="C517" s="840"/>
      <c r="D517" s="840"/>
      <c r="E517" s="840"/>
      <c r="F517" s="871"/>
    </row>
    <row r="518">
      <c r="B518" s="840"/>
      <c r="C518" s="840"/>
      <c r="D518" s="840"/>
      <c r="E518" s="840"/>
      <c r="F518" s="871"/>
    </row>
    <row r="519">
      <c r="B519" s="840"/>
      <c r="C519" s="840"/>
      <c r="D519" s="840"/>
      <c r="E519" s="840"/>
      <c r="F519" s="871"/>
    </row>
    <row r="520">
      <c r="B520" s="840"/>
      <c r="C520" s="840"/>
      <c r="D520" s="840"/>
      <c r="E520" s="840"/>
      <c r="F520" s="871"/>
    </row>
    <row r="521">
      <c r="B521" s="840"/>
      <c r="C521" s="840"/>
      <c r="D521" s="840"/>
      <c r="E521" s="840"/>
      <c r="F521" s="871"/>
    </row>
    <row r="522">
      <c r="B522" s="840"/>
      <c r="C522" s="840"/>
      <c r="D522" s="840"/>
      <c r="E522" s="840"/>
      <c r="F522" s="871"/>
    </row>
    <row r="523">
      <c r="B523" s="840"/>
      <c r="C523" s="840"/>
      <c r="D523" s="840"/>
      <c r="E523" s="840"/>
      <c r="F523" s="871"/>
    </row>
    <row r="524">
      <c r="B524" s="840"/>
      <c r="C524" s="840"/>
      <c r="D524" s="840"/>
      <c r="E524" s="840"/>
      <c r="F524" s="871"/>
    </row>
    <row r="525">
      <c r="B525" s="840"/>
      <c r="C525" s="840"/>
      <c r="D525" s="840"/>
      <c r="E525" s="840"/>
      <c r="F525" s="871"/>
    </row>
    <row r="526">
      <c r="B526" s="840"/>
      <c r="C526" s="840"/>
      <c r="D526" s="840"/>
      <c r="E526" s="840"/>
      <c r="F526" s="871"/>
    </row>
    <row r="527">
      <c r="B527" s="840"/>
      <c r="C527" s="840"/>
      <c r="D527" s="840"/>
      <c r="E527" s="840"/>
      <c r="F527" s="871"/>
    </row>
    <row r="528">
      <c r="B528" s="840"/>
      <c r="C528" s="840"/>
      <c r="D528" s="840"/>
      <c r="E528" s="840"/>
      <c r="F528" s="871"/>
    </row>
    <row r="529">
      <c r="B529" s="840"/>
      <c r="C529" s="840"/>
      <c r="D529" s="840"/>
      <c r="E529" s="840"/>
      <c r="F529" s="871"/>
    </row>
    <row r="530">
      <c r="B530" s="840"/>
      <c r="C530" s="840"/>
      <c r="D530" s="840"/>
      <c r="E530" s="840"/>
      <c r="F530" s="871"/>
    </row>
    <row r="531">
      <c r="B531" s="840"/>
      <c r="C531" s="840"/>
      <c r="D531" s="840"/>
      <c r="E531" s="840"/>
      <c r="F531" s="871"/>
    </row>
    <row r="532">
      <c r="B532" s="840"/>
      <c r="C532" s="840"/>
      <c r="D532" s="840"/>
      <c r="E532" s="840"/>
      <c r="F532" s="871"/>
    </row>
    <row r="533">
      <c r="B533" s="840"/>
      <c r="C533" s="840"/>
      <c r="D533" s="840"/>
      <c r="E533" s="840"/>
      <c r="F533" s="871"/>
    </row>
    <row r="534">
      <c r="B534" s="840"/>
      <c r="C534" s="840"/>
      <c r="D534" s="840"/>
      <c r="E534" s="840"/>
      <c r="F534" s="871"/>
    </row>
    <row r="535">
      <c r="B535" s="840"/>
      <c r="C535" s="840"/>
      <c r="D535" s="840"/>
      <c r="E535" s="840"/>
      <c r="F535" s="871"/>
    </row>
    <row r="536">
      <c r="B536" s="840"/>
      <c r="C536" s="840"/>
      <c r="D536" s="840"/>
      <c r="E536" s="840"/>
      <c r="F536" s="871"/>
    </row>
    <row r="537">
      <c r="B537" s="840"/>
      <c r="C537" s="840"/>
      <c r="D537" s="840"/>
      <c r="E537" s="840"/>
      <c r="F537" s="871"/>
    </row>
    <row r="538">
      <c r="B538" s="840"/>
      <c r="C538" s="840"/>
      <c r="D538" s="840"/>
      <c r="E538" s="840"/>
      <c r="F538" s="871"/>
    </row>
    <row r="539">
      <c r="B539" s="840"/>
      <c r="C539" s="840"/>
      <c r="D539" s="840"/>
      <c r="E539" s="840"/>
      <c r="F539" s="871"/>
    </row>
    <row r="540">
      <c r="B540" s="840"/>
      <c r="C540" s="840"/>
      <c r="D540" s="840"/>
      <c r="E540" s="840"/>
      <c r="F540" s="871"/>
    </row>
    <row r="541">
      <c r="B541" s="840"/>
      <c r="C541" s="840"/>
      <c r="D541" s="840"/>
      <c r="E541" s="840"/>
      <c r="F541" s="871"/>
    </row>
    <row r="542">
      <c r="B542" s="840"/>
      <c r="C542" s="840"/>
      <c r="D542" s="840"/>
      <c r="E542" s="840"/>
      <c r="F542" s="871"/>
    </row>
    <row r="543">
      <c r="B543" s="840"/>
      <c r="C543" s="840"/>
      <c r="D543" s="840"/>
      <c r="E543" s="840"/>
      <c r="F543" s="871"/>
    </row>
    <row r="544">
      <c r="B544" s="840"/>
      <c r="C544" s="840"/>
      <c r="D544" s="840"/>
      <c r="E544" s="840"/>
      <c r="F544" s="871"/>
    </row>
    <row r="545">
      <c r="B545" s="840"/>
      <c r="C545" s="840"/>
      <c r="D545" s="840"/>
      <c r="E545" s="840"/>
      <c r="F545" s="871"/>
    </row>
    <row r="546">
      <c r="B546" s="840"/>
      <c r="C546" s="840"/>
      <c r="D546" s="840"/>
      <c r="E546" s="840"/>
      <c r="F546" s="871"/>
    </row>
    <row r="547">
      <c r="B547" s="840"/>
      <c r="C547" s="840"/>
      <c r="D547" s="840"/>
      <c r="E547" s="840"/>
      <c r="F547" s="871"/>
    </row>
    <row r="548">
      <c r="B548" s="840"/>
      <c r="C548" s="840"/>
      <c r="D548" s="840"/>
      <c r="E548" s="840"/>
      <c r="F548" s="871"/>
    </row>
    <row r="549">
      <c r="B549" s="840"/>
      <c r="C549" s="840"/>
      <c r="D549" s="840"/>
      <c r="E549" s="840"/>
      <c r="F549" s="871"/>
    </row>
    <row r="550">
      <c r="B550" s="840"/>
      <c r="C550" s="840"/>
      <c r="D550" s="840"/>
      <c r="E550" s="840"/>
      <c r="F550" s="871"/>
    </row>
    <row r="551">
      <c r="B551" s="840"/>
      <c r="C551" s="840"/>
      <c r="D551" s="840"/>
      <c r="E551" s="840"/>
      <c r="F551" s="871"/>
    </row>
    <row r="552">
      <c r="B552" s="840"/>
      <c r="C552" s="840"/>
      <c r="D552" s="840"/>
      <c r="E552" s="840"/>
      <c r="F552" s="871"/>
    </row>
    <row r="553">
      <c r="B553" s="840"/>
      <c r="C553" s="840"/>
      <c r="D553" s="840"/>
      <c r="E553" s="840"/>
      <c r="F553" s="871"/>
    </row>
    <row r="554">
      <c r="B554" s="840"/>
      <c r="C554" s="840"/>
      <c r="D554" s="840"/>
      <c r="E554" s="840"/>
      <c r="F554" s="871"/>
    </row>
    <row r="555">
      <c r="B555" s="840"/>
      <c r="C555" s="840"/>
      <c r="D555" s="840"/>
      <c r="E555" s="840"/>
      <c r="F555" s="871"/>
    </row>
    <row r="556">
      <c r="B556" s="840"/>
      <c r="C556" s="840"/>
      <c r="D556" s="840"/>
      <c r="E556" s="840"/>
      <c r="F556" s="871"/>
    </row>
    <row r="557">
      <c r="B557" s="840"/>
      <c r="C557" s="840"/>
      <c r="D557" s="840"/>
      <c r="E557" s="840"/>
      <c r="F557" s="871"/>
    </row>
    <row r="558">
      <c r="B558" s="840"/>
      <c r="C558" s="840"/>
      <c r="D558" s="840"/>
      <c r="E558" s="840"/>
      <c r="F558" s="871"/>
    </row>
    <row r="559">
      <c r="B559" s="840"/>
      <c r="C559" s="840"/>
      <c r="D559" s="840"/>
      <c r="E559" s="840"/>
      <c r="F559" s="871"/>
    </row>
    <row r="560">
      <c r="B560" s="840"/>
      <c r="C560" s="840"/>
      <c r="D560" s="840"/>
      <c r="E560" s="840"/>
      <c r="F560" s="871"/>
    </row>
    <row r="561">
      <c r="B561" s="840"/>
      <c r="C561" s="840"/>
      <c r="D561" s="840"/>
      <c r="E561" s="840"/>
      <c r="F561" s="871"/>
    </row>
    <row r="562">
      <c r="B562" s="840"/>
      <c r="C562" s="840"/>
      <c r="D562" s="840"/>
      <c r="E562" s="840"/>
      <c r="F562" s="871"/>
    </row>
    <row r="563">
      <c r="B563" s="840"/>
      <c r="C563" s="840"/>
      <c r="D563" s="840"/>
      <c r="E563" s="840"/>
      <c r="F563" s="871"/>
    </row>
    <row r="564">
      <c r="B564" s="840"/>
      <c r="C564" s="840"/>
      <c r="D564" s="840"/>
      <c r="E564" s="840"/>
      <c r="F564" s="871"/>
    </row>
    <row r="565">
      <c r="B565" s="840"/>
      <c r="C565" s="840"/>
      <c r="D565" s="840"/>
      <c r="E565" s="840"/>
      <c r="F565" s="871"/>
    </row>
    <row r="566">
      <c r="B566" s="840"/>
      <c r="C566" s="840"/>
      <c r="D566" s="840"/>
      <c r="E566" s="840"/>
      <c r="F566" s="871"/>
    </row>
    <row r="567">
      <c r="B567" s="840"/>
      <c r="C567" s="840"/>
      <c r="D567" s="840"/>
      <c r="E567" s="840"/>
      <c r="F567" s="871"/>
    </row>
    <row r="568">
      <c r="B568" s="840"/>
      <c r="C568" s="840"/>
      <c r="D568" s="840"/>
      <c r="E568" s="840"/>
      <c r="F568" s="871"/>
    </row>
    <row r="569">
      <c r="B569" s="840"/>
      <c r="C569" s="840"/>
      <c r="D569" s="840"/>
      <c r="E569" s="840"/>
      <c r="F569" s="871"/>
    </row>
    <row r="570">
      <c r="B570" s="840"/>
      <c r="C570" s="840"/>
      <c r="D570" s="840"/>
      <c r="E570" s="840"/>
      <c r="F570" s="871"/>
    </row>
    <row r="571">
      <c r="B571" s="840"/>
      <c r="C571" s="840"/>
      <c r="D571" s="840"/>
      <c r="E571" s="840"/>
      <c r="F571" s="871"/>
    </row>
    <row r="572">
      <c r="B572" s="840"/>
      <c r="C572" s="840"/>
      <c r="D572" s="840"/>
      <c r="E572" s="840"/>
      <c r="F572" s="871"/>
    </row>
    <row r="573">
      <c r="B573" s="840"/>
      <c r="C573" s="840"/>
      <c r="D573" s="840"/>
      <c r="E573" s="840"/>
      <c r="F573" s="871"/>
    </row>
    <row r="574">
      <c r="B574" s="840"/>
      <c r="C574" s="840"/>
      <c r="D574" s="840"/>
      <c r="E574" s="840"/>
      <c r="F574" s="871"/>
    </row>
    <row r="575">
      <c r="B575" s="840"/>
      <c r="C575" s="840"/>
      <c r="D575" s="840"/>
      <c r="E575" s="840"/>
      <c r="F575" s="871"/>
    </row>
    <row r="576">
      <c r="B576" s="840"/>
      <c r="C576" s="840"/>
      <c r="D576" s="840"/>
      <c r="E576" s="840"/>
      <c r="F576" s="871"/>
    </row>
    <row r="577">
      <c r="B577" s="840"/>
      <c r="C577" s="840"/>
      <c r="D577" s="840"/>
      <c r="E577" s="840"/>
      <c r="F577" s="871"/>
    </row>
    <row r="578">
      <c r="B578" s="840"/>
      <c r="C578" s="840"/>
      <c r="D578" s="840"/>
      <c r="E578" s="840"/>
      <c r="F578" s="871"/>
    </row>
    <row r="579">
      <c r="B579" s="840"/>
      <c r="C579" s="840"/>
      <c r="D579" s="840"/>
      <c r="E579" s="840"/>
      <c r="F579" s="871"/>
    </row>
    <row r="580">
      <c r="B580" s="840"/>
      <c r="C580" s="840"/>
      <c r="D580" s="840"/>
      <c r="E580" s="840"/>
      <c r="F580" s="871"/>
    </row>
    <row r="581">
      <c r="B581" s="840"/>
      <c r="C581" s="840"/>
      <c r="D581" s="840"/>
      <c r="E581" s="840"/>
      <c r="F581" s="871"/>
    </row>
    <row r="582">
      <c r="B582" s="840"/>
      <c r="C582" s="840"/>
      <c r="D582" s="840"/>
      <c r="E582" s="840"/>
      <c r="F582" s="871"/>
    </row>
    <row r="583">
      <c r="B583" s="840"/>
      <c r="C583" s="840"/>
      <c r="D583" s="840"/>
      <c r="E583" s="840"/>
      <c r="F583" s="871"/>
    </row>
    <row r="584">
      <c r="B584" s="840"/>
      <c r="C584" s="840"/>
      <c r="D584" s="840"/>
      <c r="E584" s="840"/>
      <c r="F584" s="871"/>
    </row>
    <row r="585">
      <c r="B585" s="840"/>
      <c r="C585" s="840"/>
      <c r="D585" s="840"/>
      <c r="E585" s="840"/>
      <c r="F585" s="871"/>
    </row>
    <row r="586">
      <c r="B586" s="840"/>
      <c r="C586" s="840"/>
      <c r="D586" s="840"/>
      <c r="E586" s="840"/>
      <c r="F586" s="871"/>
    </row>
    <row r="587">
      <c r="B587" s="840"/>
      <c r="C587" s="840"/>
      <c r="D587" s="840"/>
      <c r="E587" s="840"/>
      <c r="F587" s="871"/>
    </row>
    <row r="588">
      <c r="B588" s="840"/>
      <c r="C588" s="840"/>
      <c r="D588" s="840"/>
      <c r="E588" s="840"/>
      <c r="F588" s="871"/>
    </row>
    <row r="589">
      <c r="B589" s="840"/>
      <c r="C589" s="840"/>
      <c r="D589" s="840"/>
      <c r="E589" s="840"/>
      <c r="F589" s="871"/>
    </row>
    <row r="590">
      <c r="B590" s="840"/>
      <c r="C590" s="840"/>
      <c r="D590" s="840"/>
      <c r="E590" s="840"/>
      <c r="F590" s="871"/>
    </row>
    <row r="591">
      <c r="B591" s="840"/>
      <c r="C591" s="840"/>
      <c r="D591" s="840"/>
      <c r="E591" s="840"/>
      <c r="F591" s="871"/>
    </row>
    <row r="592">
      <c r="B592" s="840"/>
      <c r="C592" s="840"/>
      <c r="D592" s="840"/>
      <c r="E592" s="840"/>
      <c r="F592" s="871"/>
    </row>
    <row r="593">
      <c r="B593" s="840"/>
      <c r="C593" s="840"/>
      <c r="D593" s="840"/>
      <c r="E593" s="840"/>
      <c r="F593" s="871"/>
    </row>
    <row r="594">
      <c r="B594" s="840"/>
      <c r="C594" s="840"/>
      <c r="D594" s="840"/>
      <c r="E594" s="840"/>
      <c r="F594" s="871"/>
    </row>
    <row r="595">
      <c r="B595" s="840"/>
      <c r="C595" s="840"/>
      <c r="D595" s="840"/>
      <c r="E595" s="840"/>
      <c r="F595" s="871"/>
    </row>
    <row r="596">
      <c r="B596" s="840"/>
      <c r="C596" s="840"/>
      <c r="D596" s="840"/>
      <c r="E596" s="840"/>
      <c r="F596" s="871"/>
    </row>
    <row r="597">
      <c r="B597" s="840"/>
      <c r="C597" s="840"/>
      <c r="D597" s="840"/>
      <c r="E597" s="840"/>
      <c r="F597" s="871"/>
    </row>
    <row r="598">
      <c r="B598" s="840"/>
      <c r="C598" s="840"/>
      <c r="D598" s="840"/>
      <c r="E598" s="840"/>
      <c r="F598" s="871"/>
    </row>
    <row r="599">
      <c r="B599" s="840"/>
      <c r="C599" s="840"/>
      <c r="D599" s="840"/>
      <c r="E599" s="840"/>
      <c r="F599" s="871"/>
    </row>
    <row r="600">
      <c r="B600" s="840"/>
      <c r="C600" s="840"/>
      <c r="D600" s="840"/>
      <c r="E600" s="840"/>
      <c r="F600" s="871"/>
    </row>
    <row r="601">
      <c r="B601" s="840"/>
      <c r="C601" s="840"/>
      <c r="D601" s="840"/>
      <c r="E601" s="840"/>
      <c r="F601" s="871"/>
    </row>
    <row r="602">
      <c r="B602" s="840"/>
      <c r="C602" s="840"/>
      <c r="D602" s="840"/>
      <c r="E602" s="840"/>
      <c r="F602" s="871"/>
    </row>
    <row r="603">
      <c r="B603" s="840"/>
      <c r="C603" s="840"/>
      <c r="D603" s="840"/>
      <c r="E603" s="840"/>
      <c r="F603" s="871"/>
    </row>
    <row r="604">
      <c r="B604" s="840"/>
      <c r="C604" s="840"/>
      <c r="D604" s="840"/>
      <c r="E604" s="840"/>
      <c r="F604" s="871"/>
    </row>
    <row r="605">
      <c r="B605" s="840"/>
      <c r="C605" s="840"/>
      <c r="D605" s="840"/>
      <c r="E605" s="840"/>
      <c r="F605" s="871"/>
    </row>
    <row r="606">
      <c r="B606" s="840"/>
      <c r="C606" s="840"/>
      <c r="D606" s="840"/>
      <c r="E606" s="840"/>
      <c r="F606" s="871"/>
    </row>
    <row r="607">
      <c r="B607" s="840"/>
      <c r="C607" s="840"/>
      <c r="D607" s="840"/>
      <c r="E607" s="840"/>
      <c r="F607" s="871"/>
    </row>
    <row r="608">
      <c r="B608" s="840"/>
      <c r="C608" s="840"/>
      <c r="D608" s="840"/>
      <c r="E608" s="840"/>
      <c r="F608" s="871"/>
    </row>
    <row r="609">
      <c r="B609" s="840"/>
      <c r="C609" s="840"/>
      <c r="D609" s="840"/>
      <c r="E609" s="840"/>
      <c r="F609" s="871"/>
    </row>
    <row r="610">
      <c r="B610" s="840"/>
      <c r="C610" s="840"/>
      <c r="D610" s="840"/>
      <c r="E610" s="840"/>
      <c r="F610" s="871"/>
    </row>
    <row r="611">
      <c r="B611" s="840"/>
      <c r="C611" s="840"/>
      <c r="D611" s="840"/>
      <c r="E611" s="840"/>
      <c r="F611" s="871"/>
    </row>
    <row r="612">
      <c r="B612" s="840"/>
      <c r="C612" s="840"/>
      <c r="D612" s="840"/>
      <c r="E612" s="840"/>
      <c r="F612" s="871"/>
    </row>
    <row r="613">
      <c r="B613" s="840"/>
      <c r="C613" s="840"/>
      <c r="D613" s="840"/>
      <c r="E613" s="840"/>
      <c r="F613" s="871"/>
    </row>
    <row r="614">
      <c r="B614" s="840"/>
      <c r="C614" s="840"/>
      <c r="D614" s="840"/>
      <c r="E614" s="840"/>
      <c r="F614" s="871"/>
    </row>
    <row r="615">
      <c r="B615" s="840"/>
      <c r="C615" s="840"/>
      <c r="D615" s="840"/>
      <c r="E615" s="840"/>
      <c r="F615" s="871"/>
    </row>
    <row r="616">
      <c r="B616" s="840"/>
      <c r="C616" s="840"/>
      <c r="D616" s="840"/>
      <c r="E616" s="840"/>
      <c r="F616" s="871"/>
    </row>
    <row r="617">
      <c r="B617" s="840"/>
      <c r="C617" s="840"/>
      <c r="D617" s="840"/>
      <c r="E617" s="840"/>
      <c r="F617" s="871"/>
    </row>
    <row r="618">
      <c r="B618" s="840"/>
      <c r="C618" s="840"/>
      <c r="D618" s="840"/>
      <c r="E618" s="840"/>
      <c r="F618" s="871"/>
    </row>
    <row r="619">
      <c r="B619" s="840"/>
      <c r="C619" s="840"/>
      <c r="D619" s="840"/>
      <c r="E619" s="840"/>
      <c r="F619" s="871"/>
    </row>
    <row r="620">
      <c r="B620" s="840"/>
      <c r="C620" s="840"/>
      <c r="D620" s="840"/>
      <c r="E620" s="840"/>
      <c r="F620" s="871"/>
    </row>
    <row r="621">
      <c r="B621" s="840"/>
      <c r="C621" s="840"/>
      <c r="D621" s="840"/>
      <c r="E621" s="840"/>
      <c r="F621" s="871"/>
    </row>
    <row r="622">
      <c r="B622" s="840"/>
      <c r="C622" s="840"/>
      <c r="D622" s="840"/>
      <c r="E622" s="840"/>
      <c r="F622" s="871"/>
    </row>
    <row r="623">
      <c r="B623" s="840"/>
      <c r="C623" s="840"/>
      <c r="D623" s="840"/>
      <c r="E623" s="840"/>
      <c r="F623" s="871"/>
    </row>
    <row r="624">
      <c r="B624" s="840"/>
      <c r="C624" s="840"/>
      <c r="D624" s="840"/>
      <c r="E624" s="840"/>
      <c r="F624" s="871"/>
    </row>
    <row r="625">
      <c r="B625" s="840"/>
      <c r="C625" s="840"/>
      <c r="D625" s="840"/>
      <c r="E625" s="840"/>
      <c r="F625" s="871"/>
    </row>
    <row r="626">
      <c r="B626" s="840"/>
      <c r="C626" s="840"/>
      <c r="D626" s="840"/>
      <c r="E626" s="840"/>
      <c r="F626" s="871"/>
    </row>
    <row r="627">
      <c r="B627" s="840"/>
      <c r="C627" s="840"/>
      <c r="D627" s="840"/>
      <c r="E627" s="840"/>
      <c r="F627" s="871"/>
    </row>
    <row r="628">
      <c r="B628" s="840"/>
      <c r="C628" s="840"/>
      <c r="D628" s="840"/>
      <c r="E628" s="840"/>
      <c r="F628" s="871"/>
    </row>
    <row r="629">
      <c r="B629" s="840"/>
      <c r="C629" s="840"/>
      <c r="D629" s="840"/>
      <c r="E629" s="840"/>
      <c r="F629" s="871"/>
    </row>
    <row r="630">
      <c r="B630" s="840"/>
      <c r="C630" s="840"/>
      <c r="D630" s="840"/>
      <c r="E630" s="840"/>
      <c r="F630" s="871"/>
    </row>
    <row r="631">
      <c r="B631" s="840"/>
      <c r="C631" s="840"/>
      <c r="D631" s="840"/>
      <c r="E631" s="840"/>
      <c r="F631" s="871"/>
    </row>
    <row r="632">
      <c r="B632" s="840"/>
      <c r="C632" s="840"/>
      <c r="D632" s="840"/>
      <c r="E632" s="840"/>
      <c r="F632" s="871"/>
    </row>
    <row r="633">
      <c r="B633" s="840"/>
      <c r="C633" s="840"/>
      <c r="D633" s="840"/>
      <c r="E633" s="840"/>
      <c r="F633" s="871"/>
    </row>
    <row r="634">
      <c r="B634" s="840"/>
      <c r="C634" s="840"/>
      <c r="D634" s="840"/>
      <c r="E634" s="840"/>
      <c r="F634" s="871"/>
    </row>
    <row r="635">
      <c r="B635" s="840"/>
      <c r="C635" s="840"/>
      <c r="D635" s="840"/>
      <c r="E635" s="840"/>
      <c r="F635" s="871"/>
    </row>
    <row r="636">
      <c r="B636" s="840"/>
      <c r="C636" s="840"/>
      <c r="D636" s="840"/>
      <c r="E636" s="840"/>
      <c r="F636" s="871"/>
    </row>
    <row r="637">
      <c r="B637" s="840"/>
      <c r="C637" s="840"/>
      <c r="D637" s="840"/>
      <c r="E637" s="840"/>
      <c r="F637" s="871"/>
    </row>
    <row r="638">
      <c r="B638" s="840"/>
      <c r="C638" s="840"/>
      <c r="D638" s="840"/>
      <c r="E638" s="840"/>
      <c r="F638" s="871"/>
    </row>
    <row r="639">
      <c r="B639" s="840"/>
      <c r="C639" s="840"/>
      <c r="D639" s="840"/>
      <c r="E639" s="840"/>
      <c r="F639" s="871"/>
    </row>
    <row r="640">
      <c r="B640" s="840"/>
      <c r="C640" s="840"/>
      <c r="D640" s="840"/>
      <c r="E640" s="840"/>
      <c r="F640" s="871"/>
    </row>
    <row r="641">
      <c r="B641" s="840"/>
      <c r="C641" s="840"/>
      <c r="D641" s="840"/>
      <c r="E641" s="840"/>
      <c r="F641" s="871"/>
    </row>
    <row r="642">
      <c r="B642" s="840"/>
      <c r="C642" s="840"/>
      <c r="D642" s="840"/>
      <c r="E642" s="840"/>
      <c r="F642" s="871"/>
    </row>
    <row r="643">
      <c r="B643" s="840"/>
      <c r="C643" s="840"/>
      <c r="D643" s="840"/>
      <c r="E643" s="840"/>
      <c r="F643" s="871"/>
    </row>
    <row r="644">
      <c r="B644" s="840"/>
      <c r="C644" s="840"/>
      <c r="D644" s="840"/>
      <c r="E644" s="840"/>
      <c r="F644" s="871"/>
    </row>
    <row r="645">
      <c r="B645" s="840"/>
      <c r="C645" s="840"/>
      <c r="D645" s="840"/>
      <c r="E645" s="840"/>
      <c r="F645" s="871"/>
    </row>
    <row r="646">
      <c r="B646" s="840"/>
      <c r="C646" s="840"/>
      <c r="D646" s="840"/>
      <c r="E646" s="840"/>
      <c r="F646" s="871"/>
    </row>
    <row r="647">
      <c r="B647" s="840"/>
      <c r="C647" s="840"/>
      <c r="D647" s="840"/>
      <c r="E647" s="840"/>
      <c r="F647" s="871"/>
    </row>
    <row r="648">
      <c r="B648" s="840"/>
      <c r="C648" s="840"/>
      <c r="D648" s="840"/>
      <c r="E648" s="840"/>
      <c r="F648" s="871"/>
    </row>
    <row r="649">
      <c r="B649" s="840"/>
      <c r="C649" s="840"/>
      <c r="D649" s="840"/>
      <c r="E649" s="840"/>
      <c r="F649" s="871"/>
    </row>
    <row r="650">
      <c r="B650" s="840"/>
      <c r="C650" s="840"/>
      <c r="D650" s="840"/>
      <c r="E650" s="840"/>
      <c r="F650" s="871"/>
    </row>
    <row r="651">
      <c r="B651" s="840"/>
      <c r="C651" s="840"/>
      <c r="D651" s="840"/>
      <c r="E651" s="840"/>
      <c r="F651" s="871"/>
    </row>
    <row r="652">
      <c r="B652" s="840"/>
      <c r="C652" s="840"/>
      <c r="D652" s="840"/>
      <c r="E652" s="840"/>
      <c r="F652" s="871"/>
    </row>
    <row r="653">
      <c r="B653" s="840"/>
      <c r="C653" s="840"/>
      <c r="D653" s="840"/>
      <c r="E653" s="840"/>
      <c r="F653" s="871"/>
    </row>
    <row r="654">
      <c r="B654" s="840"/>
      <c r="C654" s="840"/>
      <c r="D654" s="840"/>
      <c r="E654" s="840"/>
      <c r="F654" s="871"/>
    </row>
    <row r="655">
      <c r="B655" s="840"/>
      <c r="C655" s="840"/>
      <c r="D655" s="840"/>
      <c r="E655" s="840"/>
      <c r="F655" s="871"/>
    </row>
    <row r="656">
      <c r="B656" s="840"/>
      <c r="C656" s="840"/>
      <c r="D656" s="840"/>
      <c r="E656" s="840"/>
      <c r="F656" s="871"/>
    </row>
    <row r="657">
      <c r="B657" s="840"/>
      <c r="C657" s="840"/>
      <c r="D657" s="840"/>
      <c r="E657" s="840"/>
      <c r="F657" s="871"/>
    </row>
    <row r="658">
      <c r="B658" s="840"/>
      <c r="C658" s="840"/>
      <c r="D658" s="840"/>
      <c r="E658" s="840"/>
      <c r="F658" s="871"/>
    </row>
    <row r="659">
      <c r="B659" s="840"/>
      <c r="C659" s="840"/>
      <c r="D659" s="840"/>
      <c r="E659" s="840"/>
      <c r="F659" s="871"/>
    </row>
    <row r="660">
      <c r="B660" s="840"/>
      <c r="C660" s="840"/>
      <c r="D660" s="840"/>
      <c r="E660" s="840"/>
      <c r="F660" s="871"/>
    </row>
    <row r="661">
      <c r="B661" s="840"/>
      <c r="C661" s="840"/>
      <c r="D661" s="840"/>
      <c r="E661" s="840"/>
      <c r="F661" s="871"/>
    </row>
    <row r="662">
      <c r="B662" s="840"/>
      <c r="C662" s="840"/>
      <c r="D662" s="840"/>
      <c r="E662" s="840"/>
      <c r="F662" s="871"/>
    </row>
    <row r="663">
      <c r="B663" s="840"/>
      <c r="C663" s="840"/>
      <c r="D663" s="840"/>
      <c r="E663" s="840"/>
      <c r="F663" s="871"/>
    </row>
    <row r="664">
      <c r="B664" s="840"/>
      <c r="C664" s="840"/>
      <c r="D664" s="840"/>
      <c r="E664" s="840"/>
      <c r="F664" s="871"/>
    </row>
    <row r="665">
      <c r="B665" s="840"/>
      <c r="C665" s="840"/>
      <c r="D665" s="840"/>
      <c r="E665" s="840"/>
      <c r="F665" s="871"/>
    </row>
    <row r="666">
      <c r="B666" s="840"/>
      <c r="C666" s="840"/>
      <c r="D666" s="840"/>
      <c r="E666" s="840"/>
      <c r="F666" s="871"/>
    </row>
    <row r="667">
      <c r="B667" s="840"/>
      <c r="C667" s="840"/>
      <c r="D667" s="840"/>
      <c r="E667" s="840"/>
      <c r="F667" s="871"/>
    </row>
    <row r="668">
      <c r="B668" s="840"/>
      <c r="C668" s="840"/>
      <c r="D668" s="840"/>
      <c r="E668" s="840"/>
      <c r="F668" s="871"/>
    </row>
    <row r="669">
      <c r="B669" s="840"/>
      <c r="C669" s="840"/>
      <c r="D669" s="840"/>
      <c r="E669" s="840"/>
      <c r="F669" s="871"/>
    </row>
    <row r="670">
      <c r="B670" s="840"/>
      <c r="C670" s="840"/>
      <c r="D670" s="840"/>
      <c r="E670" s="840"/>
      <c r="F670" s="871"/>
    </row>
    <row r="671">
      <c r="B671" s="840"/>
      <c r="C671" s="840"/>
      <c r="D671" s="840"/>
      <c r="E671" s="840"/>
      <c r="F671" s="871"/>
    </row>
    <row r="672">
      <c r="B672" s="840"/>
      <c r="C672" s="840"/>
      <c r="D672" s="840"/>
      <c r="E672" s="840"/>
      <c r="F672" s="871"/>
    </row>
    <row r="673">
      <c r="B673" s="840"/>
      <c r="C673" s="840"/>
      <c r="D673" s="840"/>
      <c r="E673" s="840"/>
      <c r="F673" s="871"/>
    </row>
    <row r="674">
      <c r="B674" s="840"/>
      <c r="C674" s="840"/>
      <c r="D674" s="840"/>
      <c r="E674" s="840"/>
      <c r="F674" s="871"/>
    </row>
    <row r="675">
      <c r="B675" s="840"/>
      <c r="C675" s="840"/>
      <c r="D675" s="840"/>
      <c r="E675" s="840"/>
      <c r="F675" s="871"/>
    </row>
    <row r="676">
      <c r="B676" s="840"/>
      <c r="C676" s="840"/>
      <c r="D676" s="840"/>
      <c r="E676" s="840"/>
      <c r="F676" s="871"/>
    </row>
    <row r="677">
      <c r="B677" s="840"/>
      <c r="C677" s="840"/>
      <c r="D677" s="840"/>
      <c r="E677" s="840"/>
      <c r="F677" s="871"/>
    </row>
    <row r="678">
      <c r="B678" s="840"/>
      <c r="C678" s="840"/>
      <c r="D678" s="840"/>
      <c r="E678" s="840"/>
      <c r="F678" s="871"/>
    </row>
    <row r="679">
      <c r="B679" s="840"/>
      <c r="C679" s="840"/>
      <c r="D679" s="840"/>
      <c r="E679" s="840"/>
      <c r="F679" s="871"/>
    </row>
    <row r="680">
      <c r="B680" s="840"/>
      <c r="C680" s="840"/>
      <c r="D680" s="840"/>
      <c r="E680" s="840"/>
      <c r="F680" s="871"/>
    </row>
    <row r="681">
      <c r="B681" s="840"/>
      <c r="C681" s="840"/>
      <c r="D681" s="840"/>
      <c r="E681" s="840"/>
      <c r="F681" s="871"/>
    </row>
    <row r="682">
      <c r="B682" s="840"/>
      <c r="C682" s="840"/>
      <c r="D682" s="840"/>
      <c r="E682" s="840"/>
      <c r="F682" s="871"/>
    </row>
    <row r="683">
      <c r="B683" s="840"/>
      <c r="C683" s="840"/>
      <c r="D683" s="840"/>
      <c r="E683" s="840"/>
      <c r="F683" s="871"/>
    </row>
    <row r="684">
      <c r="B684" s="840"/>
      <c r="C684" s="840"/>
      <c r="D684" s="840"/>
      <c r="E684" s="840"/>
      <c r="F684" s="871"/>
    </row>
    <row r="685">
      <c r="B685" s="840"/>
      <c r="C685" s="840"/>
      <c r="D685" s="840"/>
      <c r="E685" s="840"/>
      <c r="F685" s="871"/>
    </row>
    <row r="686">
      <c r="B686" s="840"/>
      <c r="C686" s="840"/>
      <c r="D686" s="840"/>
      <c r="E686" s="840"/>
      <c r="F686" s="871"/>
    </row>
    <row r="687">
      <c r="B687" s="840"/>
      <c r="C687" s="840"/>
      <c r="D687" s="840"/>
      <c r="E687" s="840"/>
      <c r="F687" s="871"/>
    </row>
    <row r="688">
      <c r="B688" s="840"/>
      <c r="C688" s="840"/>
      <c r="D688" s="840"/>
      <c r="E688" s="840"/>
      <c r="F688" s="871"/>
    </row>
    <row r="689">
      <c r="B689" s="840"/>
      <c r="C689" s="840"/>
      <c r="D689" s="840"/>
      <c r="E689" s="840"/>
      <c r="F689" s="871"/>
    </row>
    <row r="690">
      <c r="B690" s="840"/>
      <c r="C690" s="840"/>
      <c r="D690" s="840"/>
      <c r="E690" s="840"/>
      <c r="F690" s="871"/>
    </row>
    <row r="691">
      <c r="B691" s="840"/>
      <c r="C691" s="840"/>
      <c r="D691" s="840"/>
      <c r="E691" s="840"/>
      <c r="F691" s="871"/>
    </row>
    <row r="692">
      <c r="B692" s="840"/>
      <c r="C692" s="840"/>
      <c r="D692" s="840"/>
      <c r="E692" s="840"/>
      <c r="F692" s="871"/>
    </row>
    <row r="693">
      <c r="B693" s="840"/>
      <c r="C693" s="840"/>
      <c r="D693" s="840"/>
      <c r="E693" s="840"/>
      <c r="F693" s="871"/>
    </row>
    <row r="694">
      <c r="B694" s="840"/>
      <c r="C694" s="840"/>
      <c r="D694" s="840"/>
      <c r="E694" s="840"/>
      <c r="F694" s="871"/>
    </row>
    <row r="695">
      <c r="B695" s="840"/>
      <c r="C695" s="840"/>
      <c r="D695" s="840"/>
      <c r="E695" s="840"/>
      <c r="F695" s="871"/>
    </row>
    <row r="696">
      <c r="B696" s="840"/>
      <c r="C696" s="840"/>
      <c r="D696" s="840"/>
      <c r="E696" s="840"/>
      <c r="F696" s="871"/>
    </row>
    <row r="697">
      <c r="B697" s="840"/>
      <c r="C697" s="840"/>
      <c r="D697" s="840"/>
      <c r="E697" s="840"/>
      <c r="F697" s="871"/>
    </row>
    <row r="698">
      <c r="B698" s="840"/>
      <c r="C698" s="840"/>
      <c r="D698" s="840"/>
      <c r="E698" s="840"/>
      <c r="F698" s="871"/>
    </row>
    <row r="699">
      <c r="B699" s="840"/>
      <c r="C699" s="840"/>
      <c r="D699" s="840"/>
      <c r="E699" s="840"/>
      <c r="F699" s="871"/>
    </row>
    <row r="700">
      <c r="B700" s="840"/>
      <c r="C700" s="840"/>
      <c r="D700" s="840"/>
      <c r="E700" s="840"/>
      <c r="F700" s="871"/>
    </row>
    <row r="701">
      <c r="B701" s="840"/>
      <c r="C701" s="840"/>
      <c r="D701" s="840"/>
      <c r="E701" s="840"/>
      <c r="F701" s="871"/>
    </row>
    <row r="702">
      <c r="B702" s="840"/>
      <c r="C702" s="840"/>
      <c r="D702" s="840"/>
      <c r="E702" s="840"/>
      <c r="F702" s="871"/>
    </row>
    <row r="703">
      <c r="B703" s="840"/>
      <c r="C703" s="840"/>
      <c r="D703" s="840"/>
      <c r="E703" s="840"/>
      <c r="F703" s="871"/>
    </row>
    <row r="704">
      <c r="B704" s="840"/>
      <c r="C704" s="840"/>
      <c r="D704" s="840"/>
      <c r="E704" s="840"/>
      <c r="F704" s="871"/>
    </row>
    <row r="705">
      <c r="B705" s="840"/>
      <c r="C705" s="840"/>
      <c r="D705" s="840"/>
      <c r="E705" s="840"/>
      <c r="F705" s="871"/>
    </row>
    <row r="706">
      <c r="B706" s="840"/>
      <c r="C706" s="840"/>
      <c r="D706" s="840"/>
      <c r="E706" s="840"/>
      <c r="F706" s="871"/>
    </row>
    <row r="707">
      <c r="B707" s="840"/>
      <c r="C707" s="840"/>
      <c r="D707" s="840"/>
      <c r="E707" s="840"/>
      <c r="F707" s="871"/>
    </row>
    <row r="708">
      <c r="B708" s="840"/>
      <c r="C708" s="840"/>
      <c r="D708" s="840"/>
      <c r="E708" s="840"/>
      <c r="F708" s="871"/>
    </row>
    <row r="709">
      <c r="B709" s="840"/>
      <c r="C709" s="840"/>
      <c r="D709" s="840"/>
      <c r="E709" s="840"/>
      <c r="F709" s="871"/>
    </row>
    <row r="710">
      <c r="B710" s="840"/>
      <c r="C710" s="840"/>
      <c r="D710" s="840"/>
      <c r="E710" s="840"/>
      <c r="F710" s="871"/>
    </row>
    <row r="711">
      <c r="B711" s="840"/>
      <c r="C711" s="840"/>
      <c r="D711" s="840"/>
      <c r="E711" s="840"/>
      <c r="F711" s="871"/>
    </row>
    <row r="712">
      <c r="B712" s="840"/>
      <c r="C712" s="840"/>
      <c r="D712" s="840"/>
      <c r="E712" s="840"/>
      <c r="F712" s="871"/>
    </row>
    <row r="713">
      <c r="B713" s="840"/>
      <c r="C713" s="840"/>
      <c r="D713" s="840"/>
      <c r="E713" s="840"/>
      <c r="F713" s="871"/>
    </row>
    <row r="714">
      <c r="B714" s="840"/>
      <c r="C714" s="840"/>
      <c r="D714" s="840"/>
      <c r="E714" s="840"/>
      <c r="F714" s="871"/>
    </row>
    <row r="715">
      <c r="B715" s="840"/>
      <c r="C715" s="840"/>
      <c r="D715" s="840"/>
      <c r="E715" s="840"/>
      <c r="F715" s="871"/>
    </row>
    <row r="716">
      <c r="B716" s="840"/>
      <c r="C716" s="840"/>
      <c r="D716" s="840"/>
      <c r="E716" s="840"/>
      <c r="F716" s="871"/>
    </row>
    <row r="717">
      <c r="B717" s="840"/>
      <c r="C717" s="840"/>
      <c r="D717" s="840"/>
      <c r="E717" s="840"/>
      <c r="F717" s="871"/>
    </row>
    <row r="718">
      <c r="B718" s="840"/>
      <c r="C718" s="840"/>
      <c r="D718" s="840"/>
      <c r="E718" s="840"/>
      <c r="F718" s="871"/>
    </row>
    <row r="719">
      <c r="B719" s="840"/>
      <c r="C719" s="840"/>
      <c r="D719" s="840"/>
      <c r="E719" s="840"/>
      <c r="F719" s="871"/>
    </row>
    <row r="720">
      <c r="B720" s="840"/>
      <c r="C720" s="840"/>
      <c r="D720" s="840"/>
      <c r="E720" s="840"/>
      <c r="F720" s="871"/>
    </row>
    <row r="721">
      <c r="B721" s="840"/>
      <c r="C721" s="840"/>
      <c r="D721" s="840"/>
      <c r="E721" s="840"/>
      <c r="F721" s="871"/>
    </row>
    <row r="722">
      <c r="B722" s="840"/>
      <c r="C722" s="840"/>
      <c r="D722" s="840"/>
      <c r="E722" s="840"/>
      <c r="F722" s="871"/>
    </row>
    <row r="723">
      <c r="B723" s="840"/>
      <c r="C723" s="840"/>
      <c r="D723" s="840"/>
      <c r="E723" s="840"/>
      <c r="F723" s="871"/>
    </row>
    <row r="724">
      <c r="B724" s="840"/>
      <c r="C724" s="840"/>
      <c r="D724" s="840"/>
      <c r="E724" s="840"/>
      <c r="F724" s="871"/>
    </row>
    <row r="725">
      <c r="B725" s="840"/>
      <c r="C725" s="840"/>
      <c r="D725" s="840"/>
      <c r="E725" s="840"/>
      <c r="F725" s="871"/>
    </row>
    <row r="726">
      <c r="B726" s="840"/>
      <c r="C726" s="840"/>
      <c r="D726" s="840"/>
      <c r="E726" s="840"/>
      <c r="F726" s="871"/>
    </row>
    <row r="727">
      <c r="B727" s="840"/>
      <c r="C727" s="840"/>
      <c r="D727" s="840"/>
      <c r="E727" s="840"/>
      <c r="F727" s="871"/>
    </row>
    <row r="728">
      <c r="B728" s="840"/>
      <c r="C728" s="840"/>
      <c r="D728" s="840"/>
      <c r="E728" s="840"/>
      <c r="F728" s="871"/>
    </row>
    <row r="729">
      <c r="B729" s="840"/>
      <c r="C729" s="840"/>
      <c r="D729" s="840"/>
      <c r="E729" s="840"/>
      <c r="F729" s="871"/>
    </row>
    <row r="730">
      <c r="B730" s="840"/>
      <c r="C730" s="840"/>
      <c r="D730" s="840"/>
      <c r="E730" s="840"/>
      <c r="F730" s="871"/>
    </row>
    <row r="731">
      <c r="B731" s="840"/>
      <c r="C731" s="840"/>
      <c r="D731" s="840"/>
      <c r="E731" s="840"/>
      <c r="F731" s="871"/>
    </row>
    <row r="732">
      <c r="B732" s="840"/>
      <c r="C732" s="840"/>
      <c r="D732" s="840"/>
      <c r="E732" s="840"/>
      <c r="F732" s="871"/>
    </row>
    <row r="733">
      <c r="B733" s="840"/>
      <c r="C733" s="840"/>
      <c r="D733" s="840"/>
      <c r="E733" s="840"/>
      <c r="F733" s="871"/>
    </row>
    <row r="734">
      <c r="B734" s="840"/>
      <c r="C734" s="840"/>
      <c r="D734" s="840"/>
      <c r="E734" s="840"/>
      <c r="F734" s="871"/>
    </row>
    <row r="735">
      <c r="B735" s="840"/>
      <c r="C735" s="840"/>
      <c r="D735" s="840"/>
      <c r="E735" s="840"/>
      <c r="F735" s="871"/>
    </row>
    <row r="736">
      <c r="B736" s="840"/>
      <c r="C736" s="840"/>
      <c r="D736" s="840"/>
      <c r="E736" s="840"/>
      <c r="F736" s="871"/>
    </row>
    <row r="737">
      <c r="B737" s="840"/>
      <c r="C737" s="840"/>
      <c r="D737" s="840"/>
      <c r="E737" s="840"/>
      <c r="F737" s="871"/>
    </row>
    <row r="738">
      <c r="B738" s="840"/>
      <c r="C738" s="840"/>
      <c r="D738" s="840"/>
      <c r="E738" s="840"/>
      <c r="F738" s="871"/>
    </row>
    <row r="739">
      <c r="B739" s="840"/>
      <c r="C739" s="840"/>
      <c r="D739" s="840"/>
      <c r="E739" s="840"/>
      <c r="F739" s="871"/>
    </row>
    <row r="740">
      <c r="B740" s="840"/>
      <c r="C740" s="840"/>
      <c r="D740" s="840"/>
      <c r="E740" s="840"/>
      <c r="F740" s="871"/>
    </row>
    <row r="741">
      <c r="B741" s="840"/>
      <c r="C741" s="840"/>
      <c r="D741" s="840"/>
      <c r="E741" s="840"/>
      <c r="F741" s="871"/>
    </row>
    <row r="742">
      <c r="B742" s="840"/>
      <c r="C742" s="840"/>
      <c r="D742" s="840"/>
      <c r="E742" s="840"/>
      <c r="F742" s="871"/>
    </row>
    <row r="743">
      <c r="B743" s="840"/>
      <c r="C743" s="840"/>
      <c r="D743" s="840"/>
      <c r="E743" s="840"/>
      <c r="F743" s="871"/>
    </row>
    <row r="744">
      <c r="B744" s="840"/>
      <c r="C744" s="840"/>
      <c r="D744" s="840"/>
      <c r="E744" s="840"/>
      <c r="F744" s="871"/>
    </row>
    <row r="745">
      <c r="B745" s="840"/>
      <c r="C745" s="840"/>
      <c r="D745" s="840"/>
      <c r="E745" s="840"/>
      <c r="F745" s="871"/>
    </row>
    <row r="746">
      <c r="B746" s="840"/>
      <c r="C746" s="840"/>
      <c r="D746" s="840"/>
      <c r="E746" s="840"/>
      <c r="F746" s="871"/>
    </row>
    <row r="747">
      <c r="B747" s="840"/>
      <c r="C747" s="840"/>
      <c r="D747" s="840"/>
      <c r="E747" s="840"/>
      <c r="F747" s="871"/>
    </row>
    <row r="748">
      <c r="B748" s="840"/>
      <c r="C748" s="840"/>
      <c r="D748" s="840"/>
      <c r="E748" s="840"/>
      <c r="F748" s="871"/>
    </row>
    <row r="749">
      <c r="B749" s="840"/>
      <c r="C749" s="840"/>
      <c r="D749" s="840"/>
      <c r="E749" s="840"/>
      <c r="F749" s="871"/>
    </row>
    <row r="750">
      <c r="B750" s="840"/>
      <c r="C750" s="840"/>
      <c r="D750" s="840"/>
      <c r="E750" s="840"/>
      <c r="F750" s="871"/>
    </row>
    <row r="751">
      <c r="B751" s="840"/>
      <c r="C751" s="840"/>
      <c r="D751" s="840"/>
      <c r="E751" s="840"/>
      <c r="F751" s="871"/>
    </row>
    <row r="752">
      <c r="B752" s="840"/>
      <c r="C752" s="840"/>
      <c r="D752" s="840"/>
      <c r="E752" s="840"/>
      <c r="F752" s="871"/>
    </row>
    <row r="753">
      <c r="B753" s="840"/>
      <c r="C753" s="840"/>
      <c r="D753" s="840"/>
      <c r="E753" s="840"/>
      <c r="F753" s="871"/>
    </row>
    <row r="754">
      <c r="B754" s="840"/>
      <c r="C754" s="840"/>
      <c r="D754" s="840"/>
      <c r="E754" s="840"/>
      <c r="F754" s="871"/>
    </row>
    <row r="755">
      <c r="B755" s="840"/>
      <c r="C755" s="840"/>
      <c r="D755" s="840"/>
      <c r="E755" s="840"/>
      <c r="F755" s="871"/>
    </row>
    <row r="756">
      <c r="B756" s="840"/>
      <c r="C756" s="840"/>
      <c r="D756" s="840"/>
      <c r="E756" s="840"/>
      <c r="F756" s="871"/>
    </row>
    <row r="757">
      <c r="B757" s="840"/>
      <c r="C757" s="840"/>
      <c r="D757" s="840"/>
      <c r="E757" s="840"/>
      <c r="F757" s="871"/>
    </row>
    <row r="758">
      <c r="B758" s="840"/>
      <c r="C758" s="840"/>
      <c r="D758" s="840"/>
      <c r="E758" s="840"/>
      <c r="F758" s="871"/>
    </row>
    <row r="759">
      <c r="B759" s="840"/>
      <c r="C759" s="840"/>
      <c r="D759" s="840"/>
      <c r="E759" s="840"/>
      <c r="F759" s="871"/>
    </row>
    <row r="760">
      <c r="B760" s="840"/>
      <c r="C760" s="840"/>
      <c r="D760" s="840"/>
      <c r="E760" s="840"/>
      <c r="F760" s="871"/>
    </row>
    <row r="761">
      <c r="B761" s="840"/>
      <c r="C761" s="840"/>
      <c r="D761" s="840"/>
      <c r="E761" s="840"/>
      <c r="F761" s="871"/>
    </row>
    <row r="762">
      <c r="B762" s="840"/>
      <c r="C762" s="840"/>
      <c r="D762" s="840"/>
      <c r="E762" s="840"/>
      <c r="F762" s="871"/>
    </row>
    <row r="763">
      <c r="B763" s="840"/>
      <c r="C763" s="840"/>
      <c r="D763" s="840"/>
      <c r="E763" s="840"/>
      <c r="F763" s="871"/>
    </row>
    <row r="764">
      <c r="B764" s="840"/>
      <c r="C764" s="840"/>
      <c r="D764" s="840"/>
      <c r="E764" s="840"/>
      <c r="F764" s="871"/>
    </row>
    <row r="765">
      <c r="B765" s="840"/>
      <c r="C765" s="840"/>
      <c r="D765" s="840"/>
      <c r="E765" s="840"/>
      <c r="F765" s="871"/>
    </row>
    <row r="766">
      <c r="B766" s="840"/>
      <c r="C766" s="840"/>
      <c r="D766" s="840"/>
      <c r="E766" s="840"/>
      <c r="F766" s="871"/>
    </row>
    <row r="767">
      <c r="B767" s="840"/>
      <c r="C767" s="840"/>
      <c r="D767" s="840"/>
      <c r="E767" s="840"/>
      <c r="F767" s="871"/>
    </row>
    <row r="768">
      <c r="B768" s="840"/>
      <c r="C768" s="840"/>
      <c r="D768" s="840"/>
      <c r="E768" s="840"/>
      <c r="F768" s="871"/>
    </row>
    <row r="769">
      <c r="B769" s="840"/>
      <c r="C769" s="840"/>
      <c r="D769" s="840"/>
      <c r="E769" s="840"/>
      <c r="F769" s="871"/>
    </row>
    <row r="770">
      <c r="B770" s="840"/>
      <c r="C770" s="840"/>
      <c r="D770" s="840"/>
      <c r="E770" s="840"/>
      <c r="F770" s="871"/>
    </row>
    <row r="771">
      <c r="B771" s="840"/>
      <c r="C771" s="840"/>
      <c r="D771" s="840"/>
      <c r="E771" s="840"/>
      <c r="F771" s="871"/>
    </row>
    <row r="772">
      <c r="B772" s="840"/>
      <c r="C772" s="840"/>
      <c r="D772" s="840"/>
      <c r="E772" s="840"/>
      <c r="F772" s="871"/>
    </row>
    <row r="773">
      <c r="B773" s="840"/>
      <c r="C773" s="840"/>
      <c r="D773" s="840"/>
      <c r="E773" s="840"/>
      <c r="F773" s="871"/>
    </row>
    <row r="774">
      <c r="B774" s="840"/>
      <c r="C774" s="840"/>
      <c r="D774" s="840"/>
      <c r="E774" s="840"/>
      <c r="F774" s="871"/>
    </row>
    <row r="775">
      <c r="B775" s="840"/>
      <c r="C775" s="840"/>
      <c r="D775" s="840"/>
      <c r="E775" s="840"/>
      <c r="F775" s="871"/>
    </row>
    <row r="776">
      <c r="B776" s="840"/>
      <c r="C776" s="840"/>
      <c r="D776" s="840"/>
      <c r="E776" s="840"/>
      <c r="F776" s="871"/>
    </row>
    <row r="777">
      <c r="B777" s="840"/>
      <c r="C777" s="840"/>
      <c r="D777" s="840"/>
      <c r="E777" s="840"/>
      <c r="F777" s="871"/>
    </row>
    <row r="778">
      <c r="B778" s="840"/>
      <c r="C778" s="840"/>
      <c r="D778" s="840"/>
      <c r="E778" s="840"/>
      <c r="F778" s="871"/>
    </row>
    <row r="779">
      <c r="B779" s="840"/>
      <c r="C779" s="840"/>
      <c r="D779" s="840"/>
      <c r="E779" s="840"/>
      <c r="F779" s="871"/>
    </row>
    <row r="780">
      <c r="B780" s="840"/>
      <c r="C780" s="840"/>
      <c r="D780" s="840"/>
      <c r="E780" s="840"/>
      <c r="F780" s="871"/>
    </row>
    <row r="781">
      <c r="B781" s="840"/>
      <c r="C781" s="840"/>
      <c r="D781" s="840"/>
      <c r="E781" s="840"/>
      <c r="F781" s="871"/>
    </row>
    <row r="782">
      <c r="B782" s="840"/>
      <c r="C782" s="840"/>
      <c r="D782" s="840"/>
      <c r="E782" s="840"/>
      <c r="F782" s="871"/>
    </row>
    <row r="783">
      <c r="B783" s="840"/>
      <c r="C783" s="840"/>
      <c r="D783" s="840"/>
      <c r="E783" s="840"/>
      <c r="F783" s="871"/>
    </row>
    <row r="784">
      <c r="B784" s="840"/>
      <c r="C784" s="840"/>
      <c r="D784" s="840"/>
      <c r="E784" s="840"/>
      <c r="F784" s="871"/>
    </row>
    <row r="785">
      <c r="B785" s="840"/>
      <c r="C785" s="840"/>
      <c r="D785" s="840"/>
      <c r="E785" s="840"/>
      <c r="F785" s="871"/>
    </row>
    <row r="786">
      <c r="B786" s="840"/>
      <c r="C786" s="840"/>
      <c r="D786" s="840"/>
      <c r="E786" s="840"/>
      <c r="F786" s="871"/>
    </row>
    <row r="787">
      <c r="B787" s="840"/>
      <c r="C787" s="840"/>
      <c r="D787" s="840"/>
      <c r="E787" s="840"/>
      <c r="F787" s="871"/>
    </row>
    <row r="788">
      <c r="B788" s="840"/>
      <c r="C788" s="840"/>
      <c r="D788" s="840"/>
      <c r="E788" s="840"/>
      <c r="F788" s="871"/>
    </row>
    <row r="789">
      <c r="B789" s="840"/>
      <c r="C789" s="840"/>
      <c r="D789" s="840"/>
      <c r="E789" s="840"/>
      <c r="F789" s="871"/>
    </row>
    <row r="790">
      <c r="B790" s="840"/>
      <c r="C790" s="840"/>
      <c r="D790" s="840"/>
      <c r="E790" s="840"/>
      <c r="F790" s="871"/>
    </row>
    <row r="791">
      <c r="B791" s="840"/>
      <c r="C791" s="840"/>
      <c r="D791" s="840"/>
      <c r="E791" s="840"/>
      <c r="F791" s="871"/>
    </row>
    <row r="792">
      <c r="B792" s="840"/>
      <c r="C792" s="840"/>
      <c r="D792" s="840"/>
      <c r="E792" s="840"/>
      <c r="F792" s="871"/>
    </row>
    <row r="793">
      <c r="B793" s="840"/>
      <c r="C793" s="840"/>
      <c r="D793" s="840"/>
      <c r="E793" s="840"/>
      <c r="F793" s="871"/>
    </row>
    <row r="794">
      <c r="B794" s="840"/>
      <c r="C794" s="840"/>
      <c r="D794" s="840"/>
      <c r="E794" s="840"/>
      <c r="F794" s="871"/>
    </row>
    <row r="795">
      <c r="B795" s="840"/>
      <c r="C795" s="840"/>
      <c r="D795" s="840"/>
      <c r="E795" s="840"/>
      <c r="F795" s="871"/>
    </row>
    <row r="796">
      <c r="B796" s="840"/>
      <c r="C796" s="840"/>
      <c r="D796" s="840"/>
      <c r="E796" s="840"/>
      <c r="F796" s="871"/>
    </row>
    <row r="797">
      <c r="B797" s="840"/>
      <c r="C797" s="840"/>
      <c r="D797" s="840"/>
      <c r="E797" s="840"/>
      <c r="F797" s="871"/>
    </row>
    <row r="798">
      <c r="B798" s="840"/>
      <c r="C798" s="840"/>
      <c r="D798" s="840"/>
      <c r="E798" s="840"/>
      <c r="F798" s="871"/>
    </row>
    <row r="799">
      <c r="B799" s="840"/>
      <c r="C799" s="840"/>
      <c r="D799" s="840"/>
      <c r="E799" s="840"/>
      <c r="F799" s="871"/>
    </row>
    <row r="800">
      <c r="B800" s="840"/>
      <c r="C800" s="840"/>
      <c r="D800" s="840"/>
      <c r="E800" s="840"/>
      <c r="F800" s="871"/>
    </row>
    <row r="801">
      <c r="B801" s="840"/>
      <c r="C801" s="840"/>
      <c r="D801" s="840"/>
      <c r="E801" s="840"/>
      <c r="F801" s="871"/>
    </row>
    <row r="802">
      <c r="B802" s="840"/>
      <c r="C802" s="840"/>
      <c r="D802" s="840"/>
      <c r="E802" s="840"/>
      <c r="F802" s="871"/>
    </row>
    <row r="803">
      <c r="B803" s="840"/>
      <c r="C803" s="840"/>
      <c r="D803" s="840"/>
      <c r="E803" s="840"/>
      <c r="F803" s="871"/>
    </row>
    <row r="804">
      <c r="B804" s="840"/>
      <c r="C804" s="840"/>
      <c r="D804" s="840"/>
      <c r="E804" s="840"/>
      <c r="F804" s="871"/>
    </row>
    <row r="805">
      <c r="B805" s="840"/>
      <c r="C805" s="840"/>
      <c r="D805" s="840"/>
      <c r="E805" s="840"/>
      <c r="F805" s="871"/>
    </row>
    <row r="806">
      <c r="B806" s="840"/>
      <c r="C806" s="840"/>
      <c r="D806" s="840"/>
      <c r="E806" s="840"/>
      <c r="F806" s="871"/>
    </row>
    <row r="807">
      <c r="B807" s="840"/>
      <c r="C807" s="840"/>
      <c r="D807" s="840"/>
      <c r="E807" s="840"/>
      <c r="F807" s="871"/>
    </row>
    <row r="808">
      <c r="B808" s="840"/>
      <c r="C808" s="840"/>
      <c r="D808" s="840"/>
      <c r="E808" s="840"/>
      <c r="F808" s="871"/>
    </row>
    <row r="809">
      <c r="B809" s="840"/>
      <c r="C809" s="840"/>
      <c r="D809" s="840"/>
      <c r="E809" s="840"/>
      <c r="F809" s="871"/>
    </row>
    <row r="810">
      <c r="B810" s="840"/>
      <c r="C810" s="840"/>
      <c r="D810" s="840"/>
      <c r="E810" s="840"/>
      <c r="F810" s="871"/>
    </row>
    <row r="811">
      <c r="B811" s="840"/>
      <c r="C811" s="840"/>
      <c r="D811" s="840"/>
      <c r="E811" s="840"/>
      <c r="F811" s="871"/>
    </row>
    <row r="812">
      <c r="B812" s="840"/>
      <c r="C812" s="840"/>
      <c r="D812" s="840"/>
      <c r="E812" s="840"/>
      <c r="F812" s="871"/>
    </row>
    <row r="813">
      <c r="B813" s="840"/>
      <c r="C813" s="840"/>
      <c r="D813" s="840"/>
      <c r="E813" s="840"/>
      <c r="F813" s="871"/>
    </row>
    <row r="814">
      <c r="B814" s="840"/>
      <c r="C814" s="840"/>
      <c r="D814" s="840"/>
      <c r="E814" s="840"/>
      <c r="F814" s="871"/>
    </row>
    <row r="815">
      <c r="B815" s="840"/>
      <c r="C815" s="840"/>
      <c r="D815" s="840"/>
      <c r="E815" s="840"/>
      <c r="F815" s="871"/>
    </row>
    <row r="816">
      <c r="B816" s="840"/>
      <c r="C816" s="840"/>
      <c r="D816" s="840"/>
      <c r="E816" s="840"/>
      <c r="F816" s="871"/>
    </row>
    <row r="817">
      <c r="B817" s="840"/>
      <c r="C817" s="840"/>
      <c r="D817" s="840"/>
      <c r="E817" s="840"/>
      <c r="F817" s="871"/>
    </row>
    <row r="818">
      <c r="B818" s="840"/>
      <c r="C818" s="840"/>
      <c r="D818" s="840"/>
      <c r="E818" s="840"/>
      <c r="F818" s="871"/>
    </row>
    <row r="819">
      <c r="B819" s="840"/>
      <c r="C819" s="840"/>
      <c r="D819" s="840"/>
      <c r="E819" s="840"/>
      <c r="F819" s="871"/>
    </row>
    <row r="820">
      <c r="B820" s="840"/>
      <c r="C820" s="840"/>
      <c r="D820" s="840"/>
      <c r="E820" s="840"/>
      <c r="F820" s="871"/>
    </row>
    <row r="821">
      <c r="B821" s="840"/>
      <c r="C821" s="840"/>
      <c r="D821" s="840"/>
      <c r="E821" s="840"/>
      <c r="F821" s="871"/>
    </row>
    <row r="822">
      <c r="B822" s="840"/>
      <c r="C822" s="840"/>
      <c r="D822" s="840"/>
      <c r="E822" s="840"/>
      <c r="F822" s="871"/>
    </row>
    <row r="823">
      <c r="B823" s="840"/>
      <c r="C823" s="840"/>
      <c r="D823" s="840"/>
      <c r="E823" s="840"/>
      <c r="F823" s="871"/>
    </row>
    <row r="824">
      <c r="B824" s="840"/>
      <c r="C824" s="840"/>
      <c r="D824" s="840"/>
      <c r="E824" s="840"/>
      <c r="F824" s="871"/>
    </row>
    <row r="825">
      <c r="B825" s="840"/>
      <c r="C825" s="840"/>
      <c r="D825" s="840"/>
      <c r="E825" s="840"/>
      <c r="F825" s="871"/>
    </row>
    <row r="826">
      <c r="B826" s="840"/>
      <c r="C826" s="840"/>
      <c r="D826" s="840"/>
      <c r="E826" s="840"/>
      <c r="F826" s="871"/>
    </row>
    <row r="827">
      <c r="B827" s="840"/>
      <c r="C827" s="840"/>
      <c r="D827" s="840"/>
      <c r="E827" s="840"/>
      <c r="F827" s="871"/>
    </row>
    <row r="828">
      <c r="B828" s="840"/>
      <c r="C828" s="840"/>
      <c r="D828" s="840"/>
      <c r="E828" s="840"/>
      <c r="F828" s="871"/>
    </row>
    <row r="829">
      <c r="B829" s="840"/>
      <c r="C829" s="840"/>
      <c r="D829" s="840"/>
      <c r="E829" s="840"/>
      <c r="F829" s="871"/>
    </row>
    <row r="830">
      <c r="B830" s="840"/>
      <c r="C830" s="840"/>
      <c r="D830" s="840"/>
      <c r="E830" s="840"/>
      <c r="F830" s="871"/>
    </row>
    <row r="831">
      <c r="B831" s="840"/>
      <c r="C831" s="840"/>
      <c r="D831" s="840"/>
      <c r="E831" s="840"/>
      <c r="F831" s="871"/>
    </row>
    <row r="832">
      <c r="B832" s="840"/>
      <c r="C832" s="840"/>
      <c r="D832" s="840"/>
      <c r="E832" s="840"/>
      <c r="F832" s="871"/>
    </row>
    <row r="833">
      <c r="B833" s="840"/>
      <c r="C833" s="840"/>
      <c r="D833" s="840"/>
      <c r="E833" s="840"/>
      <c r="F833" s="871"/>
    </row>
    <row r="834">
      <c r="B834" s="840"/>
      <c r="C834" s="840"/>
      <c r="D834" s="840"/>
      <c r="E834" s="840"/>
      <c r="F834" s="871"/>
    </row>
    <row r="835">
      <c r="B835" s="840"/>
      <c r="C835" s="840"/>
      <c r="D835" s="840"/>
      <c r="E835" s="840"/>
      <c r="F835" s="871"/>
    </row>
    <row r="836">
      <c r="B836" s="840"/>
      <c r="C836" s="840"/>
      <c r="D836" s="840"/>
      <c r="E836" s="840"/>
      <c r="F836" s="871"/>
    </row>
    <row r="837">
      <c r="B837" s="840"/>
      <c r="C837" s="840"/>
      <c r="D837" s="840"/>
      <c r="E837" s="840"/>
      <c r="F837" s="871"/>
    </row>
    <row r="838">
      <c r="B838" s="840"/>
      <c r="C838" s="840"/>
      <c r="D838" s="840"/>
      <c r="E838" s="840"/>
      <c r="F838" s="871"/>
    </row>
    <row r="839">
      <c r="B839" s="840"/>
      <c r="C839" s="840"/>
      <c r="D839" s="840"/>
      <c r="E839" s="840"/>
      <c r="F839" s="871"/>
    </row>
    <row r="840">
      <c r="B840" s="840"/>
      <c r="C840" s="840"/>
      <c r="D840" s="840"/>
      <c r="E840" s="840"/>
      <c r="F840" s="871"/>
    </row>
    <row r="841">
      <c r="B841" s="840"/>
      <c r="C841" s="840"/>
      <c r="D841" s="840"/>
      <c r="E841" s="840"/>
      <c r="F841" s="871"/>
    </row>
    <row r="842">
      <c r="B842" s="840"/>
      <c r="C842" s="840"/>
      <c r="D842" s="840"/>
      <c r="E842" s="840"/>
      <c r="F842" s="871"/>
    </row>
    <row r="843">
      <c r="B843" s="840"/>
      <c r="C843" s="840"/>
      <c r="D843" s="840"/>
      <c r="E843" s="840"/>
      <c r="F843" s="871"/>
    </row>
    <row r="844">
      <c r="B844" s="840"/>
      <c r="C844" s="840"/>
      <c r="D844" s="840"/>
      <c r="E844" s="840"/>
      <c r="F844" s="871"/>
    </row>
    <row r="845">
      <c r="B845" s="840"/>
      <c r="C845" s="840"/>
      <c r="D845" s="840"/>
      <c r="E845" s="840"/>
      <c r="F845" s="871"/>
    </row>
    <row r="846">
      <c r="B846" s="840"/>
      <c r="C846" s="840"/>
      <c r="D846" s="840"/>
      <c r="E846" s="840"/>
      <c r="F846" s="871"/>
    </row>
    <row r="847">
      <c r="B847" s="840"/>
      <c r="C847" s="840"/>
      <c r="D847" s="840"/>
      <c r="E847" s="840"/>
      <c r="F847" s="871"/>
    </row>
    <row r="848">
      <c r="B848" s="840"/>
      <c r="C848" s="840"/>
      <c r="D848" s="840"/>
      <c r="E848" s="840"/>
      <c r="F848" s="871"/>
    </row>
    <row r="849">
      <c r="B849" s="840"/>
      <c r="C849" s="840"/>
      <c r="D849" s="840"/>
      <c r="E849" s="840"/>
      <c r="F849" s="871"/>
    </row>
    <row r="850">
      <c r="B850" s="840"/>
      <c r="C850" s="840"/>
      <c r="D850" s="840"/>
      <c r="E850" s="840"/>
      <c r="F850" s="871"/>
    </row>
    <row r="851">
      <c r="B851" s="840"/>
      <c r="C851" s="840"/>
      <c r="D851" s="840"/>
      <c r="E851" s="840"/>
      <c r="F851" s="871"/>
    </row>
    <row r="852">
      <c r="B852" s="840"/>
      <c r="C852" s="840"/>
      <c r="D852" s="840"/>
      <c r="E852" s="840"/>
      <c r="F852" s="871"/>
    </row>
    <row r="853">
      <c r="B853" s="840"/>
      <c r="C853" s="840"/>
      <c r="D853" s="840"/>
      <c r="E853" s="840"/>
      <c r="F853" s="871"/>
    </row>
    <row r="854">
      <c r="B854" s="840"/>
      <c r="C854" s="840"/>
      <c r="D854" s="840"/>
      <c r="E854" s="840"/>
      <c r="F854" s="871"/>
    </row>
    <row r="855">
      <c r="B855" s="840"/>
      <c r="C855" s="840"/>
      <c r="D855" s="840"/>
      <c r="E855" s="840"/>
      <c r="F855" s="871"/>
    </row>
    <row r="856">
      <c r="B856" s="840"/>
      <c r="C856" s="840"/>
      <c r="D856" s="840"/>
      <c r="E856" s="840"/>
      <c r="F856" s="871"/>
    </row>
    <row r="857">
      <c r="B857" s="840"/>
      <c r="C857" s="840"/>
      <c r="D857" s="840"/>
      <c r="E857" s="840"/>
      <c r="F857" s="871"/>
    </row>
    <row r="858">
      <c r="B858" s="840"/>
      <c r="C858" s="840"/>
      <c r="D858" s="840"/>
      <c r="E858" s="840"/>
      <c r="F858" s="871"/>
    </row>
    <row r="859">
      <c r="B859" s="840"/>
      <c r="C859" s="840"/>
      <c r="D859" s="840"/>
      <c r="E859" s="840"/>
      <c r="F859" s="871"/>
    </row>
    <row r="860">
      <c r="B860" s="840"/>
      <c r="C860" s="840"/>
      <c r="D860" s="840"/>
      <c r="E860" s="840"/>
      <c r="F860" s="871"/>
    </row>
    <row r="861">
      <c r="B861" s="840"/>
      <c r="C861" s="840"/>
      <c r="D861" s="840"/>
      <c r="E861" s="840"/>
      <c r="F861" s="871"/>
    </row>
    <row r="862">
      <c r="B862" s="840"/>
      <c r="C862" s="840"/>
      <c r="D862" s="840"/>
      <c r="E862" s="840"/>
      <c r="F862" s="871"/>
    </row>
    <row r="863">
      <c r="B863" s="840"/>
      <c r="C863" s="840"/>
      <c r="D863" s="840"/>
      <c r="E863" s="840"/>
      <c r="F863" s="871"/>
    </row>
    <row r="864">
      <c r="B864" s="840"/>
      <c r="C864" s="840"/>
      <c r="D864" s="840"/>
      <c r="E864" s="840"/>
      <c r="F864" s="871"/>
    </row>
    <row r="865">
      <c r="B865" s="840"/>
      <c r="C865" s="840"/>
      <c r="D865" s="840"/>
      <c r="E865" s="840"/>
      <c r="F865" s="871"/>
    </row>
    <row r="866">
      <c r="B866" s="840"/>
      <c r="C866" s="840"/>
      <c r="D866" s="840"/>
      <c r="E866" s="840"/>
      <c r="F866" s="871"/>
    </row>
    <row r="867">
      <c r="B867" s="840"/>
      <c r="C867" s="840"/>
      <c r="D867" s="840"/>
      <c r="E867" s="840"/>
      <c r="F867" s="871"/>
    </row>
    <row r="868">
      <c r="B868" s="840"/>
      <c r="C868" s="840"/>
      <c r="D868" s="840"/>
      <c r="E868" s="840"/>
      <c r="F868" s="871"/>
    </row>
    <row r="869">
      <c r="B869" s="840"/>
      <c r="C869" s="840"/>
      <c r="D869" s="840"/>
      <c r="E869" s="840"/>
      <c r="F869" s="871"/>
    </row>
    <row r="870">
      <c r="B870" s="840"/>
      <c r="C870" s="840"/>
      <c r="D870" s="840"/>
      <c r="E870" s="840"/>
      <c r="F870" s="871"/>
    </row>
    <row r="871">
      <c r="B871" s="840"/>
      <c r="C871" s="840"/>
      <c r="D871" s="840"/>
      <c r="E871" s="840"/>
      <c r="F871" s="871"/>
    </row>
    <row r="872">
      <c r="B872" s="840"/>
      <c r="C872" s="840"/>
      <c r="D872" s="840"/>
      <c r="E872" s="840"/>
      <c r="F872" s="871"/>
    </row>
    <row r="873">
      <c r="B873" s="840"/>
      <c r="C873" s="840"/>
      <c r="D873" s="840"/>
      <c r="E873" s="840"/>
      <c r="F873" s="871"/>
    </row>
    <row r="874">
      <c r="B874" s="840"/>
      <c r="C874" s="840"/>
      <c r="D874" s="840"/>
      <c r="E874" s="840"/>
      <c r="F874" s="871"/>
    </row>
    <row r="875">
      <c r="B875" s="840"/>
      <c r="C875" s="840"/>
      <c r="D875" s="840"/>
      <c r="E875" s="840"/>
      <c r="F875" s="871"/>
    </row>
    <row r="876">
      <c r="B876" s="840"/>
      <c r="C876" s="840"/>
      <c r="D876" s="840"/>
      <c r="E876" s="840"/>
      <c r="F876" s="871"/>
    </row>
    <row r="877">
      <c r="B877" s="840"/>
      <c r="C877" s="840"/>
      <c r="D877" s="840"/>
      <c r="E877" s="840"/>
      <c r="F877" s="871"/>
    </row>
    <row r="878">
      <c r="B878" s="840"/>
      <c r="C878" s="840"/>
      <c r="D878" s="840"/>
      <c r="E878" s="840"/>
      <c r="F878" s="871"/>
    </row>
    <row r="879">
      <c r="B879" s="840"/>
      <c r="C879" s="840"/>
      <c r="D879" s="840"/>
      <c r="E879" s="840"/>
      <c r="F879" s="871"/>
    </row>
    <row r="880">
      <c r="B880" s="840"/>
      <c r="C880" s="840"/>
      <c r="D880" s="840"/>
      <c r="E880" s="840"/>
      <c r="F880" s="871"/>
    </row>
    <row r="881">
      <c r="B881" s="840"/>
      <c r="C881" s="840"/>
      <c r="D881" s="840"/>
      <c r="E881" s="840"/>
      <c r="F881" s="871"/>
    </row>
    <row r="882">
      <c r="B882" s="840"/>
      <c r="C882" s="840"/>
      <c r="D882" s="840"/>
      <c r="E882" s="840"/>
      <c r="F882" s="871"/>
    </row>
    <row r="883">
      <c r="B883" s="840"/>
      <c r="C883" s="840"/>
      <c r="D883" s="840"/>
      <c r="E883" s="840"/>
      <c r="F883" s="871"/>
    </row>
    <row r="884">
      <c r="B884" s="840"/>
      <c r="C884" s="840"/>
      <c r="D884" s="840"/>
      <c r="E884" s="840"/>
      <c r="F884" s="871"/>
    </row>
    <row r="885">
      <c r="B885" s="840"/>
      <c r="C885" s="840"/>
      <c r="D885" s="840"/>
      <c r="E885" s="840"/>
      <c r="F885" s="871"/>
    </row>
    <row r="886">
      <c r="B886" s="840"/>
      <c r="C886" s="840"/>
      <c r="D886" s="840"/>
      <c r="E886" s="840"/>
      <c r="F886" s="871"/>
    </row>
    <row r="887">
      <c r="B887" s="840"/>
      <c r="C887" s="840"/>
      <c r="D887" s="840"/>
      <c r="E887" s="840"/>
      <c r="F887" s="871"/>
    </row>
    <row r="888">
      <c r="B888" s="840"/>
      <c r="C888" s="840"/>
      <c r="D888" s="840"/>
      <c r="E888" s="840"/>
      <c r="F888" s="871"/>
    </row>
    <row r="889">
      <c r="B889" s="840"/>
      <c r="C889" s="840"/>
      <c r="D889" s="840"/>
      <c r="E889" s="840"/>
      <c r="F889" s="871"/>
    </row>
    <row r="890">
      <c r="B890" s="840"/>
      <c r="C890" s="840"/>
      <c r="D890" s="840"/>
      <c r="E890" s="840"/>
      <c r="F890" s="871"/>
    </row>
    <row r="891">
      <c r="B891" s="840"/>
      <c r="C891" s="840"/>
      <c r="D891" s="840"/>
      <c r="E891" s="840"/>
      <c r="F891" s="871"/>
    </row>
    <row r="892">
      <c r="B892" s="840"/>
      <c r="C892" s="840"/>
      <c r="D892" s="840"/>
      <c r="E892" s="840"/>
      <c r="F892" s="871"/>
    </row>
    <row r="893">
      <c r="B893" s="840"/>
      <c r="C893" s="840"/>
      <c r="D893" s="840"/>
      <c r="E893" s="840"/>
      <c r="F893" s="871"/>
    </row>
    <row r="894">
      <c r="B894" s="840"/>
      <c r="C894" s="840"/>
      <c r="D894" s="840"/>
      <c r="E894" s="840"/>
      <c r="F894" s="871"/>
    </row>
    <row r="895">
      <c r="B895" s="840"/>
      <c r="C895" s="840"/>
      <c r="D895" s="840"/>
      <c r="E895" s="840"/>
      <c r="F895" s="871"/>
    </row>
    <row r="896">
      <c r="B896" s="840"/>
      <c r="C896" s="840"/>
      <c r="D896" s="840"/>
      <c r="E896" s="840"/>
      <c r="F896" s="871"/>
    </row>
    <row r="897">
      <c r="B897" s="840"/>
      <c r="C897" s="840"/>
      <c r="D897" s="840"/>
      <c r="E897" s="840"/>
      <c r="F897" s="871"/>
    </row>
    <row r="898">
      <c r="B898" s="840"/>
      <c r="C898" s="840"/>
      <c r="D898" s="840"/>
      <c r="E898" s="840"/>
      <c r="F898" s="871"/>
    </row>
    <row r="899">
      <c r="B899" s="840"/>
      <c r="C899" s="840"/>
      <c r="D899" s="840"/>
      <c r="E899" s="840"/>
      <c r="F899" s="871"/>
    </row>
    <row r="900">
      <c r="B900" s="840"/>
      <c r="C900" s="840"/>
      <c r="D900" s="840"/>
      <c r="E900" s="840"/>
      <c r="F900" s="871"/>
    </row>
    <row r="901">
      <c r="B901" s="840"/>
      <c r="C901" s="840"/>
      <c r="D901" s="840"/>
      <c r="E901" s="840"/>
      <c r="F901" s="871"/>
    </row>
    <row r="902">
      <c r="B902" s="840"/>
      <c r="C902" s="840"/>
      <c r="D902" s="840"/>
      <c r="E902" s="840"/>
      <c r="F902" s="871"/>
    </row>
    <row r="903">
      <c r="B903" s="840"/>
      <c r="C903" s="840"/>
      <c r="D903" s="840"/>
      <c r="E903" s="840"/>
      <c r="F903" s="871"/>
    </row>
    <row r="904">
      <c r="B904" s="840"/>
      <c r="C904" s="840"/>
      <c r="D904" s="840"/>
      <c r="E904" s="840"/>
      <c r="F904" s="871"/>
    </row>
    <row r="905">
      <c r="B905" s="840"/>
      <c r="C905" s="840"/>
      <c r="D905" s="840"/>
      <c r="E905" s="840"/>
      <c r="F905" s="871"/>
    </row>
    <row r="906">
      <c r="B906" s="840"/>
      <c r="C906" s="840"/>
      <c r="D906" s="840"/>
      <c r="E906" s="840"/>
      <c r="F906" s="871"/>
    </row>
    <row r="907">
      <c r="B907" s="840"/>
      <c r="C907" s="840"/>
      <c r="D907" s="840"/>
      <c r="E907" s="840"/>
      <c r="F907" s="871"/>
    </row>
    <row r="908">
      <c r="B908" s="840"/>
      <c r="C908" s="840"/>
      <c r="D908" s="840"/>
      <c r="E908" s="840"/>
      <c r="F908" s="871"/>
    </row>
    <row r="909">
      <c r="B909" s="840"/>
      <c r="C909" s="840"/>
      <c r="D909" s="840"/>
      <c r="E909" s="840"/>
      <c r="F909" s="871"/>
    </row>
    <row r="910">
      <c r="B910" s="840"/>
      <c r="C910" s="840"/>
      <c r="D910" s="840"/>
      <c r="E910" s="840"/>
      <c r="F910" s="871"/>
    </row>
    <row r="911">
      <c r="B911" s="840"/>
      <c r="C911" s="840"/>
      <c r="D911" s="840"/>
      <c r="E911" s="840"/>
      <c r="F911" s="871"/>
    </row>
    <row r="912">
      <c r="B912" s="840"/>
      <c r="C912" s="840"/>
      <c r="D912" s="840"/>
      <c r="E912" s="840"/>
      <c r="F912" s="871"/>
    </row>
    <row r="913">
      <c r="B913" s="840"/>
      <c r="C913" s="840"/>
      <c r="D913" s="840"/>
      <c r="E913" s="840"/>
      <c r="F913" s="871"/>
    </row>
    <row r="914">
      <c r="B914" s="840"/>
      <c r="C914" s="840"/>
      <c r="D914" s="840"/>
      <c r="E914" s="840"/>
      <c r="F914" s="871"/>
    </row>
    <row r="915">
      <c r="B915" s="840"/>
      <c r="C915" s="840"/>
      <c r="D915" s="840"/>
      <c r="E915" s="840"/>
      <c r="F915" s="871"/>
    </row>
    <row r="916">
      <c r="B916" s="840"/>
      <c r="C916" s="840"/>
      <c r="D916" s="840"/>
      <c r="E916" s="840"/>
      <c r="F916" s="871"/>
    </row>
    <row r="917">
      <c r="B917" s="840"/>
      <c r="C917" s="840"/>
      <c r="D917" s="840"/>
      <c r="E917" s="840"/>
      <c r="F917" s="871"/>
    </row>
    <row r="918">
      <c r="B918" s="840"/>
      <c r="C918" s="840"/>
      <c r="D918" s="840"/>
      <c r="E918" s="840"/>
      <c r="F918" s="871"/>
    </row>
    <row r="919">
      <c r="B919" s="840"/>
      <c r="C919" s="840"/>
      <c r="D919" s="840"/>
      <c r="E919" s="840"/>
      <c r="F919" s="871"/>
    </row>
    <row r="920">
      <c r="B920" s="840"/>
      <c r="C920" s="840"/>
      <c r="D920" s="840"/>
      <c r="E920" s="840"/>
      <c r="F920" s="871"/>
    </row>
    <row r="921">
      <c r="B921" s="840"/>
      <c r="C921" s="840"/>
      <c r="D921" s="840"/>
      <c r="E921" s="840"/>
      <c r="F921" s="871"/>
    </row>
    <row r="922">
      <c r="B922" s="840"/>
      <c r="C922" s="840"/>
      <c r="D922" s="840"/>
      <c r="E922" s="840"/>
      <c r="F922" s="871"/>
    </row>
    <row r="923">
      <c r="B923" s="840"/>
      <c r="C923" s="840"/>
      <c r="D923" s="840"/>
      <c r="E923" s="840"/>
      <c r="F923" s="871"/>
    </row>
    <row r="924">
      <c r="B924" s="840"/>
      <c r="C924" s="840"/>
      <c r="D924" s="840"/>
      <c r="E924" s="840"/>
      <c r="F924" s="871"/>
    </row>
    <row r="925">
      <c r="B925" s="840"/>
      <c r="C925" s="840"/>
      <c r="D925" s="840"/>
      <c r="E925" s="840"/>
      <c r="F925" s="871"/>
    </row>
    <row r="926">
      <c r="B926" s="840"/>
      <c r="C926" s="840"/>
      <c r="D926" s="840"/>
      <c r="E926" s="840"/>
      <c r="F926" s="871"/>
    </row>
    <row r="927">
      <c r="B927" s="840"/>
      <c r="C927" s="840"/>
      <c r="D927" s="840"/>
      <c r="E927" s="840"/>
      <c r="F927" s="871"/>
    </row>
    <row r="928">
      <c r="B928" s="840"/>
      <c r="C928" s="840"/>
      <c r="D928" s="840"/>
      <c r="E928" s="840"/>
      <c r="F928" s="871"/>
    </row>
    <row r="929">
      <c r="B929" s="840"/>
      <c r="C929" s="840"/>
      <c r="D929" s="840"/>
      <c r="E929" s="840"/>
      <c r="F929" s="871"/>
    </row>
    <row r="930">
      <c r="B930" s="840"/>
      <c r="C930" s="840"/>
      <c r="D930" s="840"/>
      <c r="E930" s="840"/>
      <c r="F930" s="871"/>
    </row>
    <row r="931">
      <c r="B931" s="840"/>
      <c r="C931" s="840"/>
      <c r="D931" s="840"/>
      <c r="E931" s="840"/>
      <c r="F931" s="871"/>
    </row>
    <row r="932">
      <c r="B932" s="840"/>
      <c r="C932" s="840"/>
      <c r="D932" s="840"/>
      <c r="E932" s="840"/>
      <c r="F932" s="871"/>
    </row>
    <row r="933">
      <c r="B933" s="840"/>
      <c r="C933" s="840"/>
      <c r="D933" s="840"/>
      <c r="E933" s="840"/>
      <c r="F933" s="871"/>
    </row>
    <row r="934">
      <c r="B934" s="840"/>
      <c r="C934" s="840"/>
      <c r="D934" s="840"/>
      <c r="E934" s="840"/>
      <c r="F934" s="871"/>
    </row>
    <row r="935">
      <c r="B935" s="840"/>
      <c r="C935" s="840"/>
      <c r="D935" s="840"/>
      <c r="E935" s="840"/>
      <c r="F935" s="871"/>
    </row>
    <row r="936">
      <c r="B936" s="840"/>
      <c r="C936" s="840"/>
      <c r="D936" s="840"/>
      <c r="E936" s="840"/>
      <c r="F936" s="871"/>
    </row>
    <row r="937">
      <c r="B937" s="840"/>
      <c r="C937" s="840"/>
      <c r="D937" s="840"/>
      <c r="E937" s="840"/>
      <c r="F937" s="871"/>
    </row>
    <row r="938">
      <c r="B938" s="840"/>
      <c r="C938" s="840"/>
      <c r="D938" s="840"/>
      <c r="E938" s="840"/>
      <c r="F938" s="871"/>
    </row>
    <row r="939">
      <c r="B939" s="840"/>
      <c r="C939" s="840"/>
      <c r="D939" s="840"/>
      <c r="E939" s="840"/>
      <c r="F939" s="871"/>
    </row>
    <row r="940">
      <c r="B940" s="840"/>
      <c r="C940" s="840"/>
      <c r="D940" s="840"/>
      <c r="E940" s="840"/>
      <c r="F940" s="871"/>
    </row>
    <row r="941">
      <c r="B941" s="840"/>
      <c r="C941" s="840"/>
      <c r="D941" s="840"/>
      <c r="E941" s="840"/>
      <c r="F941" s="871"/>
    </row>
    <row r="942">
      <c r="B942" s="840"/>
      <c r="C942" s="840"/>
      <c r="D942" s="840"/>
      <c r="E942" s="840"/>
      <c r="F942" s="871"/>
    </row>
    <row r="943">
      <c r="B943" s="840"/>
      <c r="C943" s="840"/>
      <c r="D943" s="840"/>
      <c r="E943" s="840"/>
      <c r="F943" s="871"/>
    </row>
    <row r="944">
      <c r="B944" s="840"/>
      <c r="C944" s="840"/>
      <c r="D944" s="840"/>
      <c r="E944" s="840"/>
      <c r="F944" s="871"/>
    </row>
    <row r="945">
      <c r="B945" s="840"/>
      <c r="C945" s="840"/>
      <c r="D945" s="840"/>
      <c r="E945" s="840"/>
      <c r="F945" s="871"/>
    </row>
    <row r="946">
      <c r="B946" s="840"/>
      <c r="C946" s="840"/>
      <c r="D946" s="840"/>
      <c r="E946" s="840"/>
      <c r="F946" s="871"/>
    </row>
    <row r="947">
      <c r="B947" s="840"/>
      <c r="C947" s="840"/>
      <c r="D947" s="840"/>
      <c r="E947" s="840"/>
      <c r="F947" s="871"/>
    </row>
    <row r="948">
      <c r="B948" s="840"/>
      <c r="C948" s="840"/>
      <c r="D948" s="840"/>
      <c r="E948" s="840"/>
      <c r="F948" s="871"/>
    </row>
    <row r="949">
      <c r="B949" s="840"/>
      <c r="C949" s="840"/>
      <c r="D949" s="840"/>
      <c r="E949" s="840"/>
      <c r="F949" s="871"/>
    </row>
    <row r="950">
      <c r="B950" s="840"/>
      <c r="C950" s="840"/>
      <c r="D950" s="840"/>
      <c r="E950" s="840"/>
      <c r="F950" s="871"/>
    </row>
    <row r="951">
      <c r="B951" s="840"/>
      <c r="C951" s="840"/>
      <c r="D951" s="840"/>
      <c r="E951" s="840"/>
      <c r="F951" s="871"/>
    </row>
    <row r="952">
      <c r="B952" s="840"/>
      <c r="C952" s="840"/>
      <c r="D952" s="840"/>
      <c r="E952" s="840"/>
      <c r="F952" s="871"/>
    </row>
    <row r="953">
      <c r="B953" s="840"/>
      <c r="C953" s="840"/>
      <c r="D953" s="840"/>
      <c r="E953" s="840"/>
      <c r="F953" s="871"/>
    </row>
    <row r="954">
      <c r="B954" s="840"/>
      <c r="C954" s="840"/>
      <c r="D954" s="840"/>
      <c r="E954" s="840"/>
      <c r="F954" s="871"/>
    </row>
    <row r="955">
      <c r="B955" s="840"/>
      <c r="C955" s="840"/>
      <c r="D955" s="840"/>
      <c r="E955" s="840"/>
      <c r="F955" s="871"/>
    </row>
    <row r="956">
      <c r="B956" s="840"/>
      <c r="C956" s="840"/>
      <c r="D956" s="840"/>
      <c r="E956" s="840"/>
      <c r="F956" s="871"/>
    </row>
    <row r="957">
      <c r="B957" s="840"/>
      <c r="C957" s="840"/>
      <c r="D957" s="840"/>
      <c r="E957" s="840"/>
      <c r="F957" s="871"/>
    </row>
    <row r="958">
      <c r="B958" s="840"/>
      <c r="C958" s="840"/>
      <c r="D958" s="840"/>
      <c r="E958" s="840"/>
      <c r="F958" s="871"/>
    </row>
    <row r="959">
      <c r="B959" s="840"/>
      <c r="C959" s="840"/>
      <c r="D959" s="840"/>
      <c r="E959" s="840"/>
      <c r="F959" s="871"/>
    </row>
    <row r="960">
      <c r="B960" s="840"/>
      <c r="C960" s="840"/>
      <c r="D960" s="840"/>
      <c r="E960" s="840"/>
      <c r="F960" s="871"/>
    </row>
    <row r="961">
      <c r="B961" s="840"/>
      <c r="C961" s="840"/>
      <c r="D961" s="840"/>
      <c r="E961" s="840"/>
      <c r="F961" s="871"/>
    </row>
    <row r="962">
      <c r="B962" s="840"/>
      <c r="C962" s="840"/>
      <c r="D962" s="840"/>
      <c r="E962" s="840"/>
      <c r="F962" s="871"/>
    </row>
    <row r="963">
      <c r="B963" s="840"/>
      <c r="C963" s="840"/>
      <c r="D963" s="840"/>
      <c r="E963" s="840"/>
      <c r="F963" s="871"/>
    </row>
    <row r="964">
      <c r="B964" s="840"/>
      <c r="C964" s="840"/>
      <c r="D964" s="840"/>
      <c r="E964" s="840"/>
      <c r="F964" s="871"/>
    </row>
    <row r="965">
      <c r="B965" s="840"/>
      <c r="C965" s="840"/>
      <c r="D965" s="840"/>
      <c r="E965" s="840"/>
      <c r="F965" s="871"/>
    </row>
    <row r="966">
      <c r="B966" s="840"/>
      <c r="C966" s="840"/>
      <c r="D966" s="840"/>
      <c r="E966" s="840"/>
      <c r="F966" s="871"/>
    </row>
    <row r="967">
      <c r="B967" s="840"/>
      <c r="C967" s="840"/>
      <c r="D967" s="840"/>
      <c r="E967" s="840"/>
      <c r="F967" s="871"/>
    </row>
    <row r="968">
      <c r="B968" s="840"/>
      <c r="C968" s="840"/>
      <c r="D968" s="840"/>
      <c r="E968" s="840"/>
      <c r="F968" s="871"/>
    </row>
    <row r="969">
      <c r="B969" s="840"/>
      <c r="C969" s="840"/>
      <c r="D969" s="840"/>
      <c r="E969" s="840"/>
      <c r="F969" s="871"/>
    </row>
    <row r="970">
      <c r="B970" s="840"/>
      <c r="C970" s="840"/>
      <c r="D970" s="840"/>
      <c r="E970" s="840"/>
      <c r="F970" s="871"/>
    </row>
    <row r="971">
      <c r="B971" s="840"/>
      <c r="C971" s="840"/>
      <c r="D971" s="840"/>
      <c r="E971" s="840"/>
      <c r="F971" s="871"/>
    </row>
    <row r="972">
      <c r="B972" s="840"/>
      <c r="C972" s="840"/>
      <c r="D972" s="840"/>
      <c r="E972" s="840"/>
      <c r="F972" s="871"/>
    </row>
    <row r="973">
      <c r="B973" s="840"/>
      <c r="C973" s="840"/>
      <c r="D973" s="840"/>
      <c r="E973" s="840"/>
      <c r="F973" s="871"/>
    </row>
    <row r="974">
      <c r="B974" s="840"/>
      <c r="C974" s="840"/>
      <c r="D974" s="840"/>
      <c r="E974" s="840"/>
      <c r="F974" s="871"/>
    </row>
    <row r="975">
      <c r="B975" s="840"/>
      <c r="C975" s="840"/>
      <c r="D975" s="840"/>
      <c r="E975" s="840"/>
      <c r="F975" s="871"/>
    </row>
    <row r="976">
      <c r="B976" s="840"/>
      <c r="C976" s="840"/>
      <c r="D976" s="840"/>
      <c r="E976" s="840"/>
      <c r="F976" s="871"/>
    </row>
    <row r="977">
      <c r="B977" s="840"/>
      <c r="C977" s="840"/>
      <c r="D977" s="840"/>
      <c r="E977" s="840"/>
      <c r="F977" s="871"/>
    </row>
    <row r="978">
      <c r="B978" s="840"/>
      <c r="C978" s="840"/>
      <c r="D978" s="840"/>
      <c r="E978" s="840"/>
      <c r="F978" s="871"/>
    </row>
    <row r="979">
      <c r="B979" s="840"/>
      <c r="C979" s="840"/>
      <c r="D979" s="840"/>
      <c r="E979" s="840"/>
      <c r="F979" s="871"/>
    </row>
    <row r="980">
      <c r="B980" s="840"/>
      <c r="C980" s="840"/>
      <c r="D980" s="840"/>
      <c r="E980" s="840"/>
      <c r="F980" s="871"/>
    </row>
    <row r="981">
      <c r="B981" s="840"/>
      <c r="C981" s="840"/>
      <c r="D981" s="840"/>
      <c r="E981" s="840"/>
      <c r="F981" s="871"/>
    </row>
    <row r="982">
      <c r="B982" s="840"/>
      <c r="C982" s="840"/>
      <c r="D982" s="840"/>
      <c r="E982" s="840"/>
      <c r="F982" s="871"/>
    </row>
    <row r="983">
      <c r="B983" s="840"/>
      <c r="C983" s="840"/>
      <c r="D983" s="840"/>
      <c r="E983" s="840"/>
      <c r="F983" s="871"/>
    </row>
    <row r="984">
      <c r="B984" s="840"/>
      <c r="C984" s="840"/>
      <c r="D984" s="840"/>
      <c r="E984" s="840"/>
      <c r="F984" s="871"/>
    </row>
    <row r="985">
      <c r="B985" s="840"/>
      <c r="C985" s="840"/>
      <c r="D985" s="840"/>
      <c r="E985" s="840"/>
      <c r="F985" s="871"/>
    </row>
    <row r="986">
      <c r="B986" s="840"/>
      <c r="C986" s="840"/>
      <c r="D986" s="840"/>
      <c r="E986" s="840"/>
      <c r="F986" s="871"/>
    </row>
    <row r="987">
      <c r="B987" s="840"/>
      <c r="C987" s="840"/>
      <c r="D987" s="840"/>
      <c r="E987" s="840"/>
      <c r="F987" s="871"/>
    </row>
    <row r="988">
      <c r="B988" s="840"/>
      <c r="C988" s="840"/>
      <c r="D988" s="840"/>
      <c r="E988" s="840"/>
      <c r="F988" s="871"/>
    </row>
    <row r="989">
      <c r="B989" s="840"/>
      <c r="C989" s="840"/>
      <c r="D989" s="840"/>
      <c r="E989" s="840"/>
      <c r="F989" s="871"/>
    </row>
    <row r="990">
      <c r="B990" s="840"/>
      <c r="C990" s="840"/>
      <c r="D990" s="840"/>
      <c r="E990" s="840"/>
      <c r="F990" s="871"/>
    </row>
    <row r="991">
      <c r="B991" s="840"/>
      <c r="C991" s="840"/>
      <c r="D991" s="840"/>
      <c r="E991" s="840"/>
      <c r="F991" s="871"/>
    </row>
    <row r="992">
      <c r="B992" s="840"/>
      <c r="C992" s="840"/>
      <c r="D992" s="840"/>
      <c r="E992" s="840"/>
      <c r="F992" s="871"/>
    </row>
    <row r="993">
      <c r="B993" s="840"/>
      <c r="C993" s="840"/>
      <c r="D993" s="840"/>
      <c r="E993" s="840"/>
      <c r="F993" s="871"/>
    </row>
    <row r="994">
      <c r="B994" s="840"/>
      <c r="C994" s="840"/>
      <c r="D994" s="840"/>
      <c r="E994" s="840"/>
      <c r="F994" s="871"/>
    </row>
    <row r="995">
      <c r="B995" s="840"/>
      <c r="C995" s="840"/>
      <c r="D995" s="840"/>
      <c r="E995" s="840"/>
      <c r="F995" s="871"/>
    </row>
    <row r="996">
      <c r="B996" s="840"/>
      <c r="C996" s="840"/>
      <c r="D996" s="840"/>
      <c r="E996" s="840"/>
      <c r="F996" s="871"/>
    </row>
    <row r="997">
      <c r="B997" s="840"/>
      <c r="C997" s="840"/>
      <c r="D997" s="840"/>
      <c r="E997" s="840"/>
      <c r="F997" s="871"/>
    </row>
    <row r="998">
      <c r="B998" s="840"/>
      <c r="C998" s="840"/>
      <c r="D998" s="840"/>
      <c r="E998" s="840"/>
      <c r="F998" s="871"/>
    </row>
    <row r="999">
      <c r="B999" s="840"/>
      <c r="C999" s="840"/>
      <c r="D999" s="840"/>
      <c r="E999" s="840"/>
      <c r="F999" s="871"/>
    </row>
    <row r="1000">
      <c r="B1000" s="840"/>
      <c r="C1000" s="840"/>
      <c r="D1000" s="840"/>
      <c r="E1000" s="840"/>
      <c r="F1000" s="87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72" t="s">
        <v>1409</v>
      </c>
      <c r="B1" s="872" t="s">
        <v>2</v>
      </c>
      <c r="C1" s="872" t="s">
        <v>4</v>
      </c>
      <c r="D1" s="872" t="s">
        <v>5</v>
      </c>
      <c r="E1" s="509" t="s">
        <v>8</v>
      </c>
      <c r="F1" s="509" t="s">
        <v>9</v>
      </c>
      <c r="G1" s="510" t="s">
        <v>1109</v>
      </c>
      <c r="H1" s="509" t="s">
        <v>11</v>
      </c>
      <c r="I1" s="513" t="s">
        <v>12</v>
      </c>
      <c r="J1" s="511" t="s">
        <v>13</v>
      </c>
      <c r="K1" s="512" t="s">
        <v>14</v>
      </c>
      <c r="L1" s="513" t="s">
        <v>1410</v>
      </c>
      <c r="M1" s="420"/>
      <c r="N1" s="420"/>
      <c r="O1" s="420"/>
      <c r="P1" s="420"/>
      <c r="Q1" s="420"/>
      <c r="R1" s="420"/>
      <c r="S1" s="420"/>
      <c r="T1" s="420"/>
      <c r="U1" s="420"/>
      <c r="V1" s="420"/>
      <c r="W1" s="420"/>
      <c r="X1" s="420"/>
      <c r="Y1" s="420"/>
      <c r="Z1" s="420"/>
    </row>
    <row r="2">
      <c r="A2" s="549" t="s">
        <v>1418</v>
      </c>
      <c r="B2" s="529" t="s">
        <v>2381</v>
      </c>
      <c r="C2" s="516"/>
      <c r="D2" s="516" t="s">
        <v>73</v>
      </c>
      <c r="E2" s="518">
        <v>45567.0</v>
      </c>
      <c r="F2" s="518">
        <v>45567.0</v>
      </c>
      <c r="G2" s="518">
        <v>45568.0</v>
      </c>
      <c r="H2" s="518">
        <v>45569.0</v>
      </c>
      <c r="I2" s="520">
        <f>IF(ISBLANK(H2), NETWORKDAYS(F2, TODAY(),Hoja2!$A$1:$A$18), NETWORKDAYS(F2, H2, Hoja2!$A$1:$A$18))</f>
        <v>3</v>
      </c>
      <c r="J2" s="518">
        <v>45572.0</v>
      </c>
      <c r="K2" s="517"/>
      <c r="L2" s="521" t="s">
        <v>2382</v>
      </c>
      <c r="M2" s="420"/>
      <c r="N2" s="420"/>
      <c r="O2" s="420"/>
      <c r="P2" s="420"/>
      <c r="Q2" s="420"/>
      <c r="R2" s="420"/>
      <c r="S2" s="420"/>
      <c r="T2" s="420"/>
      <c r="U2" s="420"/>
      <c r="V2" s="420"/>
      <c r="W2" s="420"/>
      <c r="X2" s="420"/>
      <c r="Y2" s="420"/>
      <c r="Z2" s="420"/>
    </row>
    <row r="3">
      <c r="A3" s="549" t="s">
        <v>1537</v>
      </c>
      <c r="B3" s="873" t="s">
        <v>1746</v>
      </c>
      <c r="C3" s="525" t="s">
        <v>1747</v>
      </c>
      <c r="D3" s="516" t="s">
        <v>212</v>
      </c>
      <c r="E3" s="518">
        <v>45575.0</v>
      </c>
      <c r="F3" s="518"/>
      <c r="G3" s="518"/>
      <c r="H3" s="517">
        <v>0.0</v>
      </c>
      <c r="I3" s="520">
        <f>IF(ISBLANK(H3), NETWORKDAYS(F3, TODAY(),Hoja2!$A$1:$A$18), NETWORKDAYS(F3, H3, Hoja2!$A$1:$A$18))</f>
        <v>0</v>
      </c>
      <c r="J3" s="518">
        <v>45569.0</v>
      </c>
      <c r="K3" s="518"/>
      <c r="L3" s="521" t="s">
        <v>2383</v>
      </c>
      <c r="M3" s="874"/>
      <c r="N3" s="420"/>
      <c r="O3" s="420"/>
      <c r="P3" s="420"/>
      <c r="Q3" s="420"/>
      <c r="R3" s="420"/>
      <c r="S3" s="420"/>
      <c r="T3" s="420"/>
      <c r="U3" s="420"/>
      <c r="V3" s="420"/>
      <c r="W3" s="420"/>
      <c r="X3" s="420"/>
      <c r="Y3" s="420"/>
      <c r="Z3" s="420"/>
    </row>
    <row r="4">
      <c r="A4" s="549" t="s">
        <v>1537</v>
      </c>
      <c r="B4" s="850"/>
      <c r="C4" s="553" t="s">
        <v>2384</v>
      </c>
      <c r="D4" s="516" t="s">
        <v>212</v>
      </c>
      <c r="E4" s="518">
        <v>45575.0</v>
      </c>
      <c r="F4" s="542"/>
      <c r="G4" s="542"/>
      <c r="H4" s="544">
        <v>0.0</v>
      </c>
      <c r="I4" s="543">
        <f>IF(ISBLANK(H4), NETWORKDAYS(F4, TODAY(),Hoja2!$A$1:$A$18), NETWORKDAYS(F4, H4, Hoja2!$A$1:$A$18))</f>
        <v>0</v>
      </c>
      <c r="J4" s="542">
        <v>45569.0</v>
      </c>
      <c r="K4" s="542"/>
      <c r="L4" s="545" t="s">
        <v>1750</v>
      </c>
      <c r="M4" s="874"/>
      <c r="N4" s="420"/>
      <c r="O4" s="420"/>
      <c r="P4" s="420"/>
      <c r="Q4" s="420"/>
      <c r="R4" s="420"/>
      <c r="S4" s="420"/>
      <c r="T4" s="420"/>
      <c r="U4" s="420"/>
      <c r="V4" s="420"/>
      <c r="W4" s="420"/>
      <c r="X4" s="420"/>
      <c r="Y4" s="420"/>
      <c r="Z4" s="420"/>
    </row>
    <row r="5">
      <c r="A5" s="549" t="s">
        <v>1537</v>
      </c>
      <c r="B5" s="513" t="s">
        <v>1677</v>
      </c>
      <c r="C5" s="516" t="s">
        <v>1751</v>
      </c>
      <c r="D5" s="516" t="s">
        <v>212</v>
      </c>
      <c r="E5" s="518">
        <v>45575.0</v>
      </c>
      <c r="F5" s="518"/>
      <c r="G5" s="518"/>
      <c r="H5" s="517">
        <v>0.0</v>
      </c>
      <c r="I5" s="520">
        <f>IF(ISBLANK(H5), NETWORKDAYS(F5, TODAY(),Hoja2!$A$1:$A$18), NETWORKDAYS(F5, H5, Hoja2!$A$1:$A$18))</f>
        <v>0</v>
      </c>
      <c r="J5" s="518">
        <v>45569.0</v>
      </c>
      <c r="K5" s="518"/>
      <c r="L5" s="521" t="s">
        <v>1750</v>
      </c>
      <c r="M5" s="874"/>
      <c r="N5" s="420"/>
      <c r="O5" s="420"/>
      <c r="P5" s="420"/>
      <c r="Q5" s="420"/>
      <c r="R5" s="420"/>
      <c r="S5" s="420"/>
      <c r="T5" s="420"/>
      <c r="U5" s="420"/>
      <c r="V5" s="420"/>
      <c r="W5" s="420"/>
      <c r="X5" s="420"/>
      <c r="Y5" s="420"/>
      <c r="Z5" s="420"/>
    </row>
    <row r="6">
      <c r="A6" s="434"/>
      <c r="B6" s="434"/>
      <c r="C6" s="434"/>
      <c r="D6" s="434"/>
      <c r="E6" s="434"/>
      <c r="F6" s="434"/>
      <c r="G6" s="434"/>
      <c r="H6" s="434"/>
      <c r="I6" s="434"/>
      <c r="J6" s="434"/>
      <c r="K6" s="434"/>
      <c r="L6" s="434"/>
      <c r="M6" s="434"/>
      <c r="N6" s="434"/>
      <c r="O6" s="434"/>
      <c r="P6" s="434"/>
      <c r="Q6" s="434"/>
      <c r="R6" s="434"/>
      <c r="S6" s="434"/>
      <c r="T6" s="434"/>
      <c r="U6" s="434"/>
      <c r="V6" s="434"/>
      <c r="W6" s="434"/>
      <c r="X6" s="434"/>
      <c r="Y6" s="434"/>
      <c r="Z6" s="434"/>
    </row>
    <row r="7">
      <c r="A7" s="434"/>
      <c r="B7" s="434"/>
      <c r="C7" s="434"/>
      <c r="D7" s="434"/>
      <c r="E7" s="434"/>
      <c r="F7" s="434"/>
      <c r="G7" s="434"/>
      <c r="H7" s="434"/>
      <c r="I7" s="434"/>
      <c r="J7" s="434"/>
      <c r="K7" s="434"/>
      <c r="L7" s="434"/>
      <c r="M7" s="434"/>
      <c r="N7" s="434"/>
      <c r="O7" s="434"/>
      <c r="P7" s="434"/>
      <c r="Q7" s="434"/>
      <c r="R7" s="434"/>
      <c r="S7" s="434"/>
      <c r="T7" s="434"/>
      <c r="U7" s="434"/>
      <c r="V7" s="434"/>
      <c r="W7" s="434"/>
      <c r="X7" s="434"/>
      <c r="Y7" s="434"/>
      <c r="Z7" s="434"/>
    </row>
    <row r="8">
      <c r="A8" s="434"/>
      <c r="B8" s="434"/>
      <c r="C8" s="434"/>
      <c r="D8" s="434"/>
      <c r="E8" s="434"/>
      <c r="F8" s="434"/>
      <c r="G8" s="434"/>
      <c r="H8" s="434"/>
      <c r="I8" s="434"/>
      <c r="J8" s="434"/>
      <c r="K8" s="434"/>
      <c r="L8" s="434"/>
      <c r="M8" s="434"/>
      <c r="N8" s="434"/>
      <c r="O8" s="434"/>
      <c r="P8" s="434"/>
      <c r="Q8" s="434"/>
      <c r="R8" s="434"/>
      <c r="S8" s="434"/>
      <c r="T8" s="434"/>
      <c r="U8" s="434"/>
      <c r="V8" s="434"/>
      <c r="W8" s="434"/>
      <c r="X8" s="434"/>
      <c r="Y8" s="434"/>
      <c r="Z8" s="434"/>
    </row>
    <row r="9">
      <c r="A9" s="434"/>
      <c r="B9" s="434"/>
      <c r="C9" s="434"/>
      <c r="D9" s="434"/>
      <c r="E9" s="434"/>
      <c r="F9" s="434"/>
      <c r="G9" s="434"/>
      <c r="H9" s="434"/>
      <c r="I9" s="434"/>
      <c r="J9" s="434"/>
      <c r="K9" s="434"/>
      <c r="L9" s="434"/>
      <c r="M9" s="434"/>
      <c r="N9" s="434"/>
      <c r="O9" s="434"/>
      <c r="P9" s="434"/>
      <c r="Q9" s="434"/>
      <c r="R9" s="434"/>
      <c r="S9" s="434"/>
      <c r="T9" s="434"/>
      <c r="U9" s="434"/>
      <c r="V9" s="434"/>
      <c r="W9" s="434"/>
      <c r="X9" s="434"/>
      <c r="Y9" s="434"/>
      <c r="Z9" s="434"/>
    </row>
    <row r="10">
      <c r="A10" s="434"/>
      <c r="B10" s="434"/>
      <c r="C10" s="434"/>
      <c r="D10" s="434"/>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4"/>
      <c r="B11" s="434"/>
      <c r="C11" s="434"/>
      <c r="D11" s="434"/>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34"/>
      <c r="B12" s="434"/>
      <c r="C12" s="434"/>
      <c r="D12" s="43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34"/>
      <c r="B13" s="434"/>
      <c r="C13" s="434"/>
      <c r="D13" s="43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34"/>
      <c r="B14" s="434"/>
      <c r="C14" s="434"/>
      <c r="D14" s="43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34"/>
      <c r="B15" s="434"/>
      <c r="C15" s="434"/>
      <c r="D15" s="43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34"/>
      <c r="B16" s="434"/>
      <c r="C16" s="434"/>
      <c r="D16" s="43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34"/>
      <c r="B17" s="434"/>
      <c r="C17" s="434"/>
      <c r="D17" s="43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34"/>
      <c r="B18" s="434"/>
      <c r="C18" s="434"/>
      <c r="D18" s="43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34"/>
      <c r="B19" s="434"/>
      <c r="C19" s="434"/>
      <c r="D19" s="43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34"/>
      <c r="B20" s="434"/>
      <c r="C20" s="434"/>
      <c r="D20" s="434"/>
      <c r="E20" s="434"/>
      <c r="F20" s="434"/>
      <c r="G20" s="434"/>
      <c r="H20" s="434"/>
      <c r="I20" s="434"/>
      <c r="J20" s="434"/>
      <c r="K20" s="434"/>
      <c r="L20" s="434"/>
      <c r="M20" s="434"/>
      <c r="N20" s="434"/>
      <c r="O20" s="434"/>
      <c r="P20" s="434"/>
      <c r="Q20" s="434"/>
      <c r="R20" s="434"/>
      <c r="S20" s="434"/>
      <c r="T20" s="434"/>
      <c r="U20" s="434"/>
      <c r="V20" s="434"/>
      <c r="W20" s="434"/>
      <c r="X20" s="434"/>
      <c r="Y20" s="434"/>
      <c r="Z20" s="434"/>
    </row>
    <row r="21" ht="15.75" customHeight="1">
      <c r="A21" s="434"/>
      <c r="B21" s="434"/>
      <c r="C21" s="434"/>
      <c r="D21" s="434"/>
      <c r="E21" s="434"/>
      <c r="F21" s="434"/>
      <c r="G21" s="434"/>
      <c r="H21" s="434"/>
      <c r="I21" s="434"/>
      <c r="J21" s="434"/>
      <c r="K21" s="434"/>
      <c r="L21" s="434"/>
      <c r="M21" s="434"/>
      <c r="N21" s="434"/>
      <c r="O21" s="434"/>
      <c r="P21" s="434"/>
      <c r="Q21" s="434"/>
      <c r="R21" s="434"/>
      <c r="S21" s="434"/>
      <c r="T21" s="434"/>
      <c r="U21" s="434"/>
      <c r="V21" s="434"/>
      <c r="W21" s="434"/>
      <c r="X21" s="434"/>
      <c r="Y21" s="434"/>
      <c r="Z21" s="434"/>
    </row>
    <row r="22" ht="15.75" customHeight="1">
      <c r="A22" s="434"/>
      <c r="B22" s="434"/>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row>
    <row r="23" ht="15.75" customHeight="1">
      <c r="A23" s="434"/>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row>
    <row r="24" ht="15.75" customHeight="1">
      <c r="A24" s="434"/>
      <c r="B24" s="434"/>
      <c r="C24" s="434"/>
      <c r="D24" s="434"/>
      <c r="E24" s="434"/>
      <c r="F24" s="434"/>
      <c r="G24" s="434"/>
      <c r="H24" s="434"/>
      <c r="I24" s="434"/>
      <c r="J24" s="434"/>
      <c r="K24" s="434"/>
      <c r="L24" s="434"/>
      <c r="M24" s="434"/>
      <c r="N24" s="434"/>
      <c r="O24" s="434"/>
      <c r="P24" s="434"/>
      <c r="Q24" s="434"/>
      <c r="R24" s="434"/>
      <c r="S24" s="434"/>
      <c r="T24" s="434"/>
      <c r="U24" s="434"/>
      <c r="V24" s="434"/>
      <c r="W24" s="434"/>
      <c r="X24" s="434"/>
      <c r="Y24" s="434"/>
      <c r="Z24" s="434"/>
    </row>
    <row r="25" ht="15.75" customHeight="1">
      <c r="A25" s="434"/>
      <c r="B25" s="434"/>
      <c r="C25" s="434"/>
      <c r="D25" s="434"/>
      <c r="E25" s="434"/>
      <c r="F25" s="434"/>
      <c r="G25" s="434"/>
      <c r="H25" s="434"/>
      <c r="I25" s="434"/>
      <c r="J25" s="434"/>
      <c r="K25" s="434"/>
      <c r="L25" s="434"/>
      <c r="M25" s="434"/>
      <c r="N25" s="434"/>
      <c r="O25" s="434"/>
      <c r="P25" s="434"/>
      <c r="Q25" s="434"/>
      <c r="R25" s="434"/>
      <c r="S25" s="434"/>
      <c r="T25" s="434"/>
      <c r="U25" s="434"/>
      <c r="V25" s="434"/>
      <c r="W25" s="434"/>
      <c r="X25" s="434"/>
      <c r="Y25" s="434"/>
      <c r="Z25" s="434"/>
    </row>
    <row r="26" ht="15.75" customHeight="1">
      <c r="A26" s="434"/>
      <c r="B26" s="434"/>
      <c r="C26" s="434"/>
      <c r="D26" s="434"/>
      <c r="E26" s="434"/>
      <c r="F26" s="434"/>
      <c r="G26" s="434"/>
      <c r="H26" s="434"/>
      <c r="I26" s="434"/>
      <c r="J26" s="434"/>
      <c r="K26" s="434"/>
      <c r="L26" s="434"/>
      <c r="M26" s="434"/>
      <c r="N26" s="434"/>
      <c r="O26" s="434"/>
      <c r="P26" s="434"/>
      <c r="Q26" s="434"/>
      <c r="R26" s="434"/>
      <c r="S26" s="434"/>
      <c r="T26" s="434"/>
      <c r="U26" s="434"/>
      <c r="V26" s="434"/>
      <c r="W26" s="434"/>
      <c r="X26" s="434"/>
      <c r="Y26" s="434"/>
      <c r="Z26" s="434"/>
    </row>
    <row r="27" ht="15.75" customHeight="1">
      <c r="A27" s="434"/>
      <c r="B27" s="434"/>
      <c r="C27" s="434"/>
      <c r="D27" s="434"/>
      <c r="E27" s="434"/>
      <c r="F27" s="434"/>
      <c r="G27" s="434"/>
      <c r="H27" s="434"/>
      <c r="I27" s="434"/>
      <c r="J27" s="434"/>
      <c r="K27" s="434"/>
      <c r="L27" s="434"/>
      <c r="M27" s="434"/>
      <c r="N27" s="434"/>
      <c r="O27" s="434"/>
      <c r="P27" s="434"/>
      <c r="Q27" s="434"/>
      <c r="R27" s="434"/>
      <c r="S27" s="434"/>
      <c r="T27" s="434"/>
      <c r="U27" s="434"/>
      <c r="V27" s="434"/>
      <c r="W27" s="434"/>
      <c r="X27" s="434"/>
      <c r="Y27" s="434"/>
      <c r="Z27" s="434"/>
    </row>
    <row r="28" ht="15.75" customHeight="1">
      <c r="A28" s="434"/>
      <c r="B28" s="434"/>
      <c r="C28" s="434"/>
      <c r="D28" s="434"/>
      <c r="E28" s="434"/>
      <c r="F28" s="434"/>
      <c r="G28" s="434"/>
      <c r="H28" s="434"/>
      <c r="I28" s="434"/>
      <c r="J28" s="434"/>
      <c r="K28" s="434"/>
      <c r="L28" s="434"/>
      <c r="M28" s="434"/>
      <c r="N28" s="434"/>
      <c r="O28" s="434"/>
      <c r="P28" s="434"/>
      <c r="Q28" s="434"/>
      <c r="R28" s="434"/>
      <c r="S28" s="434"/>
      <c r="T28" s="434"/>
      <c r="U28" s="434"/>
      <c r="V28" s="434"/>
      <c r="W28" s="434"/>
      <c r="X28" s="434"/>
      <c r="Y28" s="434"/>
      <c r="Z28" s="434"/>
    </row>
    <row r="29" ht="15.75" customHeight="1">
      <c r="A29" s="434"/>
      <c r="B29" s="434"/>
      <c r="C29" s="434"/>
      <c r="D29" s="434"/>
      <c r="E29" s="434"/>
      <c r="F29" s="434"/>
      <c r="G29" s="434"/>
      <c r="H29" s="434"/>
      <c r="I29" s="434"/>
      <c r="J29" s="434"/>
      <c r="K29" s="434"/>
      <c r="L29" s="434"/>
      <c r="M29" s="434"/>
      <c r="N29" s="434"/>
      <c r="O29" s="434"/>
      <c r="P29" s="434"/>
      <c r="Q29" s="434"/>
      <c r="R29" s="434"/>
      <c r="S29" s="434"/>
      <c r="T29" s="434"/>
      <c r="U29" s="434"/>
      <c r="V29" s="434"/>
      <c r="W29" s="434"/>
      <c r="X29" s="434"/>
      <c r="Y29" s="434"/>
      <c r="Z29" s="434"/>
    </row>
    <row r="30" ht="15.75" customHeight="1">
      <c r="A30" s="434"/>
      <c r="B30" s="434"/>
      <c r="C30" s="434"/>
      <c r="D30" s="434"/>
      <c r="E30" s="434"/>
      <c r="F30" s="434"/>
      <c r="G30" s="434"/>
      <c r="H30" s="434"/>
      <c r="I30" s="434"/>
      <c r="J30" s="434"/>
      <c r="K30" s="434"/>
      <c r="L30" s="434"/>
      <c r="M30" s="434"/>
      <c r="N30" s="434"/>
      <c r="O30" s="434"/>
      <c r="P30" s="434"/>
      <c r="Q30" s="434"/>
      <c r="R30" s="434"/>
      <c r="S30" s="434"/>
      <c r="T30" s="434"/>
      <c r="U30" s="434"/>
      <c r="V30" s="434"/>
      <c r="W30" s="434"/>
      <c r="X30" s="434"/>
      <c r="Y30" s="434"/>
      <c r="Z30" s="434"/>
    </row>
    <row r="31" ht="15.75" customHeight="1">
      <c r="A31" s="434"/>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row>
    <row r="32" ht="15.75" customHeight="1">
      <c r="A32" s="434"/>
      <c r="B32" s="434"/>
      <c r="C32" s="434"/>
      <c r="D32" s="434"/>
      <c r="E32" s="434"/>
      <c r="F32" s="434"/>
      <c r="G32" s="434"/>
      <c r="H32" s="434"/>
      <c r="I32" s="434"/>
      <c r="J32" s="434"/>
      <c r="K32" s="434"/>
      <c r="L32" s="434"/>
      <c r="M32" s="434"/>
      <c r="N32" s="434"/>
      <c r="O32" s="434"/>
      <c r="P32" s="434"/>
      <c r="Q32" s="434"/>
      <c r="R32" s="434"/>
      <c r="S32" s="434"/>
      <c r="T32" s="434"/>
      <c r="U32" s="434"/>
      <c r="V32" s="434"/>
      <c r="W32" s="434"/>
      <c r="X32" s="434"/>
      <c r="Y32" s="434"/>
      <c r="Z32" s="434"/>
    </row>
    <row r="33" ht="15.75" customHeight="1">
      <c r="A33" s="434"/>
      <c r="B33" s="434"/>
      <c r="C33" s="434"/>
      <c r="D33" s="434"/>
      <c r="E33" s="434"/>
      <c r="F33" s="434"/>
      <c r="G33" s="434"/>
      <c r="H33" s="434"/>
      <c r="I33" s="434"/>
      <c r="J33" s="434"/>
      <c r="K33" s="434"/>
      <c r="L33" s="434"/>
      <c r="M33" s="434"/>
      <c r="N33" s="434"/>
      <c r="O33" s="434"/>
      <c r="P33" s="434"/>
      <c r="Q33" s="434"/>
      <c r="R33" s="434"/>
      <c r="S33" s="434"/>
      <c r="T33" s="434"/>
      <c r="U33" s="434"/>
      <c r="V33" s="434"/>
      <c r="W33" s="434"/>
      <c r="X33" s="434"/>
      <c r="Y33" s="434"/>
      <c r="Z33" s="434"/>
    </row>
    <row r="34" ht="15.75" customHeight="1">
      <c r="A34" s="434"/>
      <c r="B34" s="434"/>
      <c r="C34" s="434"/>
      <c r="D34" s="434"/>
      <c r="E34" s="434"/>
      <c r="F34" s="434"/>
      <c r="G34" s="434"/>
      <c r="H34" s="434"/>
      <c r="I34" s="434"/>
      <c r="J34" s="434"/>
      <c r="K34" s="434"/>
      <c r="L34" s="434"/>
      <c r="M34" s="434"/>
      <c r="N34" s="434"/>
      <c r="O34" s="434"/>
      <c r="P34" s="434"/>
      <c r="Q34" s="434"/>
      <c r="R34" s="434"/>
      <c r="S34" s="434"/>
      <c r="T34" s="434"/>
      <c r="U34" s="434"/>
      <c r="V34" s="434"/>
      <c r="W34" s="434"/>
      <c r="X34" s="434"/>
      <c r="Y34" s="434"/>
      <c r="Z34" s="434"/>
    </row>
    <row r="35" ht="15.75" customHeight="1">
      <c r="A35" s="434"/>
      <c r="B35" s="434"/>
      <c r="C35" s="434"/>
      <c r="D35" s="434"/>
      <c r="E35" s="434"/>
      <c r="F35" s="434"/>
      <c r="G35" s="434"/>
      <c r="H35" s="434"/>
      <c r="I35" s="434"/>
      <c r="J35" s="434"/>
      <c r="K35" s="434"/>
      <c r="L35" s="434"/>
      <c r="M35" s="434"/>
      <c r="N35" s="434"/>
      <c r="O35" s="434"/>
      <c r="P35" s="434"/>
      <c r="Q35" s="434"/>
      <c r="R35" s="434"/>
      <c r="S35" s="434"/>
      <c r="T35" s="434"/>
      <c r="U35" s="434"/>
      <c r="V35" s="434"/>
      <c r="W35" s="434"/>
      <c r="X35" s="434"/>
      <c r="Y35" s="434"/>
      <c r="Z35" s="434"/>
    </row>
    <row r="36" ht="15.75" customHeight="1">
      <c r="A36" s="434"/>
      <c r="B36" s="434"/>
      <c r="C36" s="434"/>
      <c r="D36" s="434"/>
      <c r="E36" s="434"/>
      <c r="F36" s="434"/>
      <c r="G36" s="434"/>
      <c r="H36" s="434"/>
      <c r="I36" s="434"/>
      <c r="J36" s="434"/>
      <c r="K36" s="434"/>
      <c r="L36" s="434"/>
      <c r="M36" s="434"/>
      <c r="N36" s="434"/>
      <c r="O36" s="434"/>
      <c r="P36" s="434"/>
      <c r="Q36" s="434"/>
      <c r="R36" s="434"/>
      <c r="S36" s="434"/>
      <c r="T36" s="434"/>
      <c r="U36" s="434"/>
      <c r="V36" s="434"/>
      <c r="W36" s="434"/>
      <c r="X36" s="434"/>
      <c r="Y36" s="434"/>
      <c r="Z36" s="434"/>
    </row>
    <row r="37" ht="15.75" customHeight="1">
      <c r="A37" s="434"/>
      <c r="B37" s="434"/>
      <c r="C37" s="434"/>
      <c r="D37" s="434"/>
      <c r="E37" s="434"/>
      <c r="F37" s="434"/>
      <c r="G37" s="434"/>
      <c r="H37" s="434"/>
      <c r="I37" s="434"/>
      <c r="J37" s="434"/>
      <c r="K37" s="434"/>
      <c r="L37" s="434"/>
      <c r="M37" s="434"/>
      <c r="N37" s="434"/>
      <c r="O37" s="434"/>
      <c r="P37" s="434"/>
      <c r="Q37" s="434"/>
      <c r="R37" s="434"/>
      <c r="S37" s="434"/>
      <c r="T37" s="434"/>
      <c r="U37" s="434"/>
      <c r="V37" s="434"/>
      <c r="W37" s="434"/>
      <c r="X37" s="434"/>
      <c r="Y37" s="434"/>
      <c r="Z37" s="434"/>
    </row>
    <row r="38" ht="15.75" customHeight="1">
      <c r="A38" s="434"/>
      <c r="B38" s="434"/>
      <c r="C38" s="434"/>
      <c r="D38" s="434"/>
      <c r="E38" s="434"/>
      <c r="F38" s="434"/>
      <c r="G38" s="434"/>
      <c r="H38" s="434"/>
      <c r="I38" s="434"/>
      <c r="J38" s="434"/>
      <c r="K38" s="434"/>
      <c r="L38" s="434"/>
      <c r="M38" s="434"/>
      <c r="N38" s="434"/>
      <c r="O38" s="434"/>
      <c r="P38" s="434"/>
      <c r="Q38" s="434"/>
      <c r="R38" s="434"/>
      <c r="S38" s="434"/>
      <c r="T38" s="434"/>
      <c r="U38" s="434"/>
      <c r="V38" s="434"/>
      <c r="W38" s="434"/>
      <c r="X38" s="434"/>
      <c r="Y38" s="434"/>
      <c r="Z38" s="434"/>
    </row>
    <row r="39" ht="15.75" customHeight="1">
      <c r="A39" s="434"/>
      <c r="B39" s="434"/>
      <c r="C39" s="434"/>
      <c r="D39" s="434"/>
      <c r="E39" s="434"/>
      <c r="F39" s="434"/>
      <c r="G39" s="434"/>
      <c r="H39" s="434"/>
      <c r="I39" s="434"/>
      <c r="J39" s="434"/>
      <c r="K39" s="434"/>
      <c r="L39" s="434"/>
      <c r="M39" s="434"/>
      <c r="N39" s="434"/>
      <c r="O39" s="434"/>
      <c r="P39" s="434"/>
      <c r="Q39" s="434"/>
      <c r="R39" s="434"/>
      <c r="S39" s="434"/>
      <c r="T39" s="434"/>
      <c r="U39" s="434"/>
      <c r="V39" s="434"/>
      <c r="W39" s="434"/>
      <c r="X39" s="434"/>
      <c r="Y39" s="434"/>
      <c r="Z39" s="434"/>
    </row>
    <row r="40" ht="15.75" customHeight="1">
      <c r="A40" s="434"/>
      <c r="B40" s="434"/>
      <c r="C40" s="434"/>
      <c r="D40" s="434"/>
      <c r="E40" s="434"/>
      <c r="F40" s="434"/>
      <c r="G40" s="434"/>
      <c r="H40" s="434"/>
      <c r="I40" s="434"/>
      <c r="J40" s="434"/>
      <c r="K40" s="434"/>
      <c r="L40" s="434"/>
      <c r="M40" s="434"/>
      <c r="N40" s="434"/>
      <c r="O40" s="434"/>
      <c r="P40" s="434"/>
      <c r="Q40" s="434"/>
      <c r="R40" s="434"/>
      <c r="S40" s="434"/>
      <c r="T40" s="434"/>
      <c r="U40" s="434"/>
      <c r="V40" s="434"/>
      <c r="W40" s="434"/>
      <c r="X40" s="434"/>
      <c r="Y40" s="434"/>
      <c r="Z40" s="434"/>
    </row>
    <row r="41" ht="15.75" customHeight="1">
      <c r="A41" s="434"/>
      <c r="B41" s="434"/>
      <c r="C41" s="434"/>
      <c r="D41" s="434"/>
      <c r="E41" s="434"/>
      <c r="F41" s="434"/>
      <c r="G41" s="434"/>
      <c r="H41" s="434"/>
      <c r="I41" s="434"/>
      <c r="J41" s="434"/>
      <c r="K41" s="434"/>
      <c r="L41" s="434"/>
      <c r="M41" s="434"/>
      <c r="N41" s="434"/>
      <c r="O41" s="434"/>
      <c r="P41" s="434"/>
      <c r="Q41" s="434"/>
      <c r="R41" s="434"/>
      <c r="S41" s="434"/>
      <c r="T41" s="434"/>
      <c r="U41" s="434"/>
      <c r="V41" s="434"/>
      <c r="W41" s="434"/>
      <c r="X41" s="434"/>
      <c r="Y41" s="434"/>
      <c r="Z41" s="434"/>
    </row>
    <row r="42" ht="15.75" customHeight="1">
      <c r="A42" s="434"/>
      <c r="B42" s="434"/>
      <c r="C42" s="434"/>
      <c r="D42" s="434"/>
      <c r="E42" s="434"/>
      <c r="F42" s="434"/>
      <c r="G42" s="434"/>
      <c r="H42" s="434"/>
      <c r="I42" s="434"/>
      <c r="J42" s="434"/>
      <c r="K42" s="434"/>
      <c r="L42" s="434"/>
      <c r="M42" s="434"/>
      <c r="N42" s="434"/>
      <c r="O42" s="434"/>
      <c r="P42" s="434"/>
      <c r="Q42" s="434"/>
      <c r="R42" s="434"/>
      <c r="S42" s="434"/>
      <c r="T42" s="434"/>
      <c r="U42" s="434"/>
      <c r="V42" s="434"/>
      <c r="W42" s="434"/>
      <c r="X42" s="434"/>
      <c r="Y42" s="434"/>
      <c r="Z42" s="434"/>
    </row>
    <row r="43" ht="15.75" customHeight="1">
      <c r="A43" s="434"/>
      <c r="B43" s="434"/>
      <c r="C43" s="434"/>
      <c r="D43" s="434"/>
      <c r="E43" s="434"/>
      <c r="F43" s="434"/>
      <c r="G43" s="434"/>
      <c r="H43" s="434"/>
      <c r="I43" s="434"/>
      <c r="J43" s="434"/>
      <c r="K43" s="434"/>
      <c r="L43" s="434"/>
      <c r="M43" s="434"/>
      <c r="N43" s="434"/>
      <c r="O43" s="434"/>
      <c r="P43" s="434"/>
      <c r="Q43" s="434"/>
      <c r="R43" s="434"/>
      <c r="S43" s="434"/>
      <c r="T43" s="434"/>
      <c r="U43" s="434"/>
      <c r="V43" s="434"/>
      <c r="W43" s="434"/>
      <c r="X43" s="434"/>
      <c r="Y43" s="434"/>
      <c r="Z43" s="434"/>
    </row>
    <row r="44" ht="15.75" customHeight="1">
      <c r="A44" s="434"/>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row>
    <row r="45" ht="15.75" customHeight="1">
      <c r="A45" s="434"/>
      <c r="B45" s="434"/>
      <c r="C45" s="434"/>
      <c r="D45" s="434"/>
      <c r="E45" s="434"/>
      <c r="F45" s="434"/>
      <c r="G45" s="434"/>
      <c r="H45" s="434"/>
      <c r="I45" s="434"/>
      <c r="J45" s="434"/>
      <c r="K45" s="434"/>
      <c r="L45" s="434"/>
      <c r="M45" s="434"/>
      <c r="N45" s="434"/>
      <c r="O45" s="434"/>
      <c r="P45" s="434"/>
      <c r="Q45" s="434"/>
      <c r="R45" s="434"/>
      <c r="S45" s="434"/>
      <c r="T45" s="434"/>
      <c r="U45" s="434"/>
      <c r="V45" s="434"/>
      <c r="W45" s="434"/>
      <c r="X45" s="434"/>
      <c r="Y45" s="434"/>
      <c r="Z45" s="434"/>
    </row>
    <row r="46" ht="15.75" customHeight="1">
      <c r="A46" s="434"/>
      <c r="B46" s="434"/>
      <c r="C46" s="434"/>
      <c r="D46" s="434"/>
      <c r="E46" s="434"/>
      <c r="F46" s="434"/>
      <c r="G46" s="434"/>
      <c r="H46" s="434"/>
      <c r="I46" s="434"/>
      <c r="J46" s="434"/>
      <c r="K46" s="434"/>
      <c r="L46" s="434"/>
      <c r="M46" s="434"/>
      <c r="N46" s="434"/>
      <c r="O46" s="434"/>
      <c r="P46" s="434"/>
      <c r="Q46" s="434"/>
      <c r="R46" s="434"/>
      <c r="S46" s="434"/>
      <c r="T46" s="434"/>
      <c r="U46" s="434"/>
      <c r="V46" s="434"/>
      <c r="W46" s="434"/>
      <c r="X46" s="434"/>
      <c r="Y46" s="434"/>
      <c r="Z46" s="434"/>
    </row>
    <row r="47" ht="15.75" customHeight="1">
      <c r="A47" s="434"/>
      <c r="B47" s="434"/>
      <c r="C47" s="434"/>
      <c r="D47" s="434"/>
      <c r="E47" s="434"/>
      <c r="F47" s="434"/>
      <c r="G47" s="434"/>
      <c r="H47" s="434"/>
      <c r="I47" s="434"/>
      <c r="J47" s="434"/>
      <c r="K47" s="434"/>
      <c r="L47" s="434"/>
      <c r="M47" s="434"/>
      <c r="N47" s="434"/>
      <c r="O47" s="434"/>
      <c r="P47" s="434"/>
      <c r="Q47" s="434"/>
      <c r="R47" s="434"/>
      <c r="S47" s="434"/>
      <c r="T47" s="434"/>
      <c r="U47" s="434"/>
      <c r="V47" s="434"/>
      <c r="W47" s="434"/>
      <c r="X47" s="434"/>
      <c r="Y47" s="434"/>
      <c r="Z47" s="434"/>
    </row>
    <row r="48" ht="15.75" customHeight="1">
      <c r="A48" s="434"/>
      <c r="B48" s="434"/>
      <c r="C48" s="434"/>
      <c r="D48" s="434"/>
      <c r="E48" s="434"/>
      <c r="F48" s="434"/>
      <c r="G48" s="434"/>
      <c r="H48" s="434"/>
      <c r="I48" s="434"/>
      <c r="J48" s="434"/>
      <c r="K48" s="434"/>
      <c r="L48" s="434"/>
      <c r="M48" s="434"/>
      <c r="N48" s="434"/>
      <c r="O48" s="434"/>
      <c r="P48" s="434"/>
      <c r="Q48" s="434"/>
      <c r="R48" s="434"/>
      <c r="S48" s="434"/>
      <c r="T48" s="434"/>
      <c r="U48" s="434"/>
      <c r="V48" s="434"/>
      <c r="W48" s="434"/>
      <c r="X48" s="434"/>
      <c r="Y48" s="434"/>
      <c r="Z48" s="434"/>
    </row>
    <row r="49" ht="15.75" customHeight="1">
      <c r="A49" s="434"/>
      <c r="B49" s="434"/>
      <c r="C49" s="434"/>
      <c r="D49" s="434"/>
      <c r="E49" s="434"/>
      <c r="F49" s="434"/>
      <c r="G49" s="434"/>
      <c r="H49" s="434"/>
      <c r="I49" s="434"/>
      <c r="J49" s="434"/>
      <c r="K49" s="434"/>
      <c r="L49" s="434"/>
      <c r="M49" s="434"/>
      <c r="N49" s="434"/>
      <c r="O49" s="434"/>
      <c r="P49" s="434"/>
      <c r="Q49" s="434"/>
      <c r="R49" s="434"/>
      <c r="S49" s="434"/>
      <c r="T49" s="434"/>
      <c r="U49" s="434"/>
      <c r="V49" s="434"/>
      <c r="W49" s="434"/>
      <c r="X49" s="434"/>
      <c r="Y49" s="434"/>
      <c r="Z49" s="434"/>
    </row>
    <row r="50" ht="15.75" customHeight="1">
      <c r="A50" s="434"/>
      <c r="B50" s="434"/>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row>
    <row r="51" ht="15.75" customHeight="1">
      <c r="A51" s="434"/>
      <c r="B51" s="434"/>
      <c r="C51" s="434"/>
      <c r="D51" s="434"/>
      <c r="E51" s="434"/>
      <c r="F51" s="434"/>
      <c r="G51" s="434"/>
      <c r="H51" s="434"/>
      <c r="I51" s="434"/>
      <c r="J51" s="434"/>
      <c r="K51" s="434"/>
      <c r="L51" s="434"/>
      <c r="M51" s="434"/>
      <c r="N51" s="434"/>
      <c r="O51" s="434"/>
      <c r="P51" s="434"/>
      <c r="Q51" s="434"/>
      <c r="R51" s="434"/>
      <c r="S51" s="434"/>
      <c r="T51" s="434"/>
      <c r="U51" s="434"/>
      <c r="V51" s="434"/>
      <c r="W51" s="434"/>
      <c r="X51" s="434"/>
      <c r="Y51" s="434"/>
      <c r="Z51" s="434"/>
    </row>
    <row r="52" ht="15.75" customHeight="1">
      <c r="A52" s="434"/>
      <c r="B52" s="434"/>
      <c r="C52" s="434"/>
      <c r="D52" s="434"/>
      <c r="E52" s="434"/>
      <c r="F52" s="434"/>
      <c r="G52" s="434"/>
      <c r="H52" s="434"/>
      <c r="I52" s="434"/>
      <c r="J52" s="434"/>
      <c r="K52" s="434"/>
      <c r="L52" s="434"/>
      <c r="M52" s="434"/>
      <c r="N52" s="434"/>
      <c r="O52" s="434"/>
      <c r="P52" s="434"/>
      <c r="Q52" s="434"/>
      <c r="R52" s="434"/>
      <c r="S52" s="434"/>
      <c r="T52" s="434"/>
      <c r="U52" s="434"/>
      <c r="V52" s="434"/>
      <c r="W52" s="434"/>
      <c r="X52" s="434"/>
      <c r="Y52" s="434"/>
      <c r="Z52" s="434"/>
    </row>
    <row r="53" ht="15.75" customHeight="1">
      <c r="A53" s="434"/>
      <c r="B53" s="434"/>
      <c r="C53" s="434"/>
      <c r="D53" s="434"/>
      <c r="E53" s="434"/>
      <c r="F53" s="434"/>
      <c r="G53" s="434"/>
      <c r="H53" s="434"/>
      <c r="I53" s="434"/>
      <c r="J53" s="434"/>
      <c r="K53" s="434"/>
      <c r="L53" s="434"/>
      <c r="M53" s="434"/>
      <c r="N53" s="434"/>
      <c r="O53" s="434"/>
      <c r="P53" s="434"/>
      <c r="Q53" s="434"/>
      <c r="R53" s="434"/>
      <c r="S53" s="434"/>
      <c r="T53" s="434"/>
      <c r="U53" s="434"/>
      <c r="V53" s="434"/>
      <c r="W53" s="434"/>
      <c r="X53" s="434"/>
      <c r="Y53" s="434"/>
      <c r="Z53" s="434"/>
    </row>
    <row r="54" ht="15.75" customHeight="1">
      <c r="A54" s="434"/>
      <c r="B54" s="434"/>
      <c r="C54" s="434"/>
      <c r="D54" s="434"/>
      <c r="E54" s="434"/>
      <c r="F54" s="434"/>
      <c r="G54" s="434"/>
      <c r="H54" s="434"/>
      <c r="I54" s="434"/>
      <c r="J54" s="434"/>
      <c r="K54" s="434"/>
      <c r="L54" s="434"/>
      <c r="M54" s="434"/>
      <c r="N54" s="434"/>
      <c r="O54" s="434"/>
      <c r="P54" s="434"/>
      <c r="Q54" s="434"/>
      <c r="R54" s="434"/>
      <c r="S54" s="434"/>
      <c r="T54" s="434"/>
      <c r="U54" s="434"/>
      <c r="V54" s="434"/>
      <c r="W54" s="434"/>
      <c r="X54" s="434"/>
      <c r="Y54" s="434"/>
      <c r="Z54" s="434"/>
    </row>
    <row r="55" ht="15.75" customHeight="1">
      <c r="A55" s="434"/>
      <c r="B55" s="434"/>
      <c r="C55" s="434"/>
      <c r="D55" s="434"/>
      <c r="E55" s="434"/>
      <c r="F55" s="434"/>
      <c r="G55" s="434"/>
      <c r="H55" s="434"/>
      <c r="I55" s="434"/>
      <c r="J55" s="434"/>
      <c r="K55" s="434"/>
      <c r="L55" s="434"/>
      <c r="M55" s="434"/>
      <c r="N55" s="434"/>
      <c r="O55" s="434"/>
      <c r="P55" s="434"/>
      <c r="Q55" s="434"/>
      <c r="R55" s="434"/>
      <c r="S55" s="434"/>
      <c r="T55" s="434"/>
      <c r="U55" s="434"/>
      <c r="V55" s="434"/>
      <c r="W55" s="434"/>
      <c r="X55" s="434"/>
      <c r="Y55" s="434"/>
      <c r="Z55" s="434"/>
    </row>
    <row r="56" ht="15.75" customHeight="1">
      <c r="A56" s="434"/>
      <c r="B56" s="434"/>
      <c r="C56" s="434"/>
      <c r="D56" s="434"/>
      <c r="E56" s="434"/>
      <c r="F56" s="434"/>
      <c r="G56" s="434"/>
      <c r="H56" s="434"/>
      <c r="I56" s="434"/>
      <c r="J56" s="434"/>
      <c r="K56" s="434"/>
      <c r="L56" s="434"/>
      <c r="M56" s="434"/>
      <c r="N56" s="434"/>
      <c r="O56" s="434"/>
      <c r="P56" s="434"/>
      <c r="Q56" s="434"/>
      <c r="R56" s="434"/>
      <c r="S56" s="434"/>
      <c r="T56" s="434"/>
      <c r="U56" s="434"/>
      <c r="V56" s="434"/>
      <c r="W56" s="434"/>
      <c r="X56" s="434"/>
      <c r="Y56" s="434"/>
      <c r="Z56" s="434"/>
    </row>
    <row r="57" ht="15.75" customHeight="1">
      <c r="A57" s="434"/>
      <c r="B57" s="434"/>
      <c r="C57" s="434"/>
      <c r="D57" s="434"/>
      <c r="E57" s="434"/>
      <c r="F57" s="434"/>
      <c r="G57" s="434"/>
      <c r="H57" s="434"/>
      <c r="I57" s="434"/>
      <c r="J57" s="434"/>
      <c r="K57" s="434"/>
      <c r="L57" s="434"/>
      <c r="M57" s="434"/>
      <c r="N57" s="434"/>
      <c r="O57" s="434"/>
      <c r="P57" s="434"/>
      <c r="Q57" s="434"/>
      <c r="R57" s="434"/>
      <c r="S57" s="434"/>
      <c r="T57" s="434"/>
      <c r="U57" s="434"/>
      <c r="V57" s="434"/>
      <c r="W57" s="434"/>
      <c r="X57" s="434"/>
      <c r="Y57" s="434"/>
      <c r="Z57" s="434"/>
    </row>
    <row r="58" ht="15.75" customHeight="1">
      <c r="A58" s="434"/>
      <c r="B58" s="434"/>
      <c r="C58" s="434"/>
      <c r="D58" s="434"/>
      <c r="E58" s="434"/>
      <c r="F58" s="434"/>
      <c r="G58" s="434"/>
      <c r="H58" s="434"/>
      <c r="I58" s="434"/>
      <c r="J58" s="434"/>
      <c r="K58" s="434"/>
      <c r="L58" s="434"/>
      <c r="M58" s="434"/>
      <c r="N58" s="434"/>
      <c r="O58" s="434"/>
      <c r="P58" s="434"/>
      <c r="Q58" s="434"/>
      <c r="R58" s="434"/>
      <c r="S58" s="434"/>
      <c r="T58" s="434"/>
      <c r="U58" s="434"/>
      <c r="V58" s="434"/>
      <c r="W58" s="434"/>
      <c r="X58" s="434"/>
      <c r="Y58" s="434"/>
      <c r="Z58" s="434"/>
    </row>
    <row r="59" ht="15.75" customHeight="1">
      <c r="A59" s="434"/>
      <c r="B59" s="434"/>
      <c r="C59" s="434"/>
      <c r="D59" s="434"/>
      <c r="E59" s="434"/>
      <c r="F59" s="434"/>
      <c r="G59" s="434"/>
      <c r="H59" s="434"/>
      <c r="I59" s="434"/>
      <c r="J59" s="434"/>
      <c r="K59" s="434"/>
      <c r="L59" s="434"/>
      <c r="M59" s="434"/>
      <c r="N59" s="434"/>
      <c r="O59" s="434"/>
      <c r="P59" s="434"/>
      <c r="Q59" s="434"/>
      <c r="R59" s="434"/>
      <c r="S59" s="434"/>
      <c r="T59" s="434"/>
      <c r="U59" s="434"/>
      <c r="V59" s="434"/>
      <c r="W59" s="434"/>
      <c r="X59" s="434"/>
      <c r="Y59" s="434"/>
      <c r="Z59" s="434"/>
    </row>
    <row r="60" ht="15.75" customHeight="1">
      <c r="A60" s="434"/>
      <c r="B60" s="434"/>
      <c r="C60" s="434"/>
      <c r="D60" s="434"/>
      <c r="E60" s="434"/>
      <c r="F60" s="434"/>
      <c r="G60" s="434"/>
      <c r="H60" s="434"/>
      <c r="I60" s="434"/>
      <c r="J60" s="434"/>
      <c r="K60" s="434"/>
      <c r="L60" s="434"/>
      <c r="M60" s="434"/>
      <c r="N60" s="434"/>
      <c r="O60" s="434"/>
      <c r="P60" s="434"/>
      <c r="Q60" s="434"/>
      <c r="R60" s="434"/>
      <c r="S60" s="434"/>
      <c r="T60" s="434"/>
      <c r="U60" s="434"/>
      <c r="V60" s="434"/>
      <c r="W60" s="434"/>
      <c r="X60" s="434"/>
      <c r="Y60" s="434"/>
      <c r="Z60" s="434"/>
    </row>
    <row r="61" ht="15.75" customHeight="1">
      <c r="A61" s="434"/>
      <c r="B61" s="434"/>
      <c r="C61" s="434"/>
      <c r="D61" s="434"/>
      <c r="E61" s="434"/>
      <c r="F61" s="434"/>
      <c r="G61" s="434"/>
      <c r="H61" s="434"/>
      <c r="I61" s="434"/>
      <c r="J61" s="434"/>
      <c r="K61" s="434"/>
      <c r="L61" s="434"/>
      <c r="M61" s="434"/>
      <c r="N61" s="434"/>
      <c r="O61" s="434"/>
      <c r="P61" s="434"/>
      <c r="Q61" s="434"/>
      <c r="R61" s="434"/>
      <c r="S61" s="434"/>
      <c r="T61" s="434"/>
      <c r="U61" s="434"/>
      <c r="V61" s="434"/>
      <c r="W61" s="434"/>
      <c r="X61" s="434"/>
      <c r="Y61" s="434"/>
      <c r="Z61" s="434"/>
    </row>
    <row r="62" ht="15.75" customHeight="1">
      <c r="A62" s="434"/>
      <c r="B62" s="434"/>
      <c r="C62" s="434"/>
      <c r="D62" s="434"/>
      <c r="E62" s="434"/>
      <c r="F62" s="434"/>
      <c r="G62" s="434"/>
      <c r="H62" s="434"/>
      <c r="I62" s="434"/>
      <c r="J62" s="434"/>
      <c r="K62" s="434"/>
      <c r="L62" s="434"/>
      <c r="M62" s="434"/>
      <c r="N62" s="434"/>
      <c r="O62" s="434"/>
      <c r="P62" s="434"/>
      <c r="Q62" s="434"/>
      <c r="R62" s="434"/>
      <c r="S62" s="434"/>
      <c r="T62" s="434"/>
      <c r="U62" s="434"/>
      <c r="V62" s="434"/>
      <c r="W62" s="434"/>
      <c r="X62" s="434"/>
      <c r="Y62" s="434"/>
      <c r="Z62" s="434"/>
    </row>
    <row r="63" ht="15.75" customHeight="1">
      <c r="A63" s="434"/>
      <c r="B63" s="434"/>
      <c r="C63" s="434"/>
      <c r="D63" s="434"/>
      <c r="E63" s="434"/>
      <c r="F63" s="434"/>
      <c r="G63" s="434"/>
      <c r="H63" s="434"/>
      <c r="I63" s="434"/>
      <c r="J63" s="434"/>
      <c r="K63" s="434"/>
      <c r="L63" s="434"/>
      <c r="M63" s="434"/>
      <c r="N63" s="434"/>
      <c r="O63" s="434"/>
      <c r="P63" s="434"/>
      <c r="Q63" s="434"/>
      <c r="R63" s="434"/>
      <c r="S63" s="434"/>
      <c r="T63" s="434"/>
      <c r="U63" s="434"/>
      <c r="V63" s="434"/>
      <c r="W63" s="434"/>
      <c r="X63" s="434"/>
      <c r="Y63" s="434"/>
      <c r="Z63" s="434"/>
    </row>
    <row r="64" ht="15.75" customHeight="1">
      <c r="A64" s="434"/>
      <c r="B64" s="434"/>
      <c r="C64" s="434"/>
      <c r="D64" s="434"/>
      <c r="E64" s="434"/>
      <c r="F64" s="434"/>
      <c r="G64" s="434"/>
      <c r="H64" s="434"/>
      <c r="I64" s="434"/>
      <c r="J64" s="434"/>
      <c r="K64" s="434"/>
      <c r="L64" s="434"/>
      <c r="M64" s="434"/>
      <c r="N64" s="434"/>
      <c r="O64" s="434"/>
      <c r="P64" s="434"/>
      <c r="Q64" s="434"/>
      <c r="R64" s="434"/>
      <c r="S64" s="434"/>
      <c r="T64" s="434"/>
      <c r="U64" s="434"/>
      <c r="V64" s="434"/>
      <c r="W64" s="434"/>
      <c r="X64" s="434"/>
      <c r="Y64" s="434"/>
      <c r="Z64" s="434"/>
    </row>
    <row r="65" ht="15.75" customHeight="1">
      <c r="A65" s="434"/>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row>
    <row r="66" ht="15.75" customHeight="1">
      <c r="A66" s="434"/>
      <c r="B66" s="434"/>
      <c r="C66" s="434"/>
      <c r="D66" s="434"/>
      <c r="E66" s="434"/>
      <c r="F66" s="434"/>
      <c r="G66" s="434"/>
      <c r="H66" s="434"/>
      <c r="I66" s="434"/>
      <c r="J66" s="434"/>
      <c r="K66" s="434"/>
      <c r="L66" s="434"/>
      <c r="M66" s="434"/>
      <c r="N66" s="434"/>
      <c r="O66" s="434"/>
      <c r="P66" s="434"/>
      <c r="Q66" s="434"/>
      <c r="R66" s="434"/>
      <c r="S66" s="434"/>
      <c r="T66" s="434"/>
      <c r="U66" s="434"/>
      <c r="V66" s="434"/>
      <c r="W66" s="434"/>
      <c r="X66" s="434"/>
      <c r="Y66" s="434"/>
      <c r="Z66" s="434"/>
    </row>
    <row r="67" ht="15.75" customHeight="1">
      <c r="A67" s="434"/>
      <c r="B67" s="434"/>
      <c r="C67" s="434"/>
      <c r="D67" s="434"/>
      <c r="E67" s="434"/>
      <c r="F67" s="434"/>
      <c r="G67" s="434"/>
      <c r="H67" s="434"/>
      <c r="I67" s="434"/>
      <c r="J67" s="434"/>
      <c r="K67" s="434"/>
      <c r="L67" s="434"/>
      <c r="M67" s="434"/>
      <c r="N67" s="434"/>
      <c r="O67" s="434"/>
      <c r="P67" s="434"/>
      <c r="Q67" s="434"/>
      <c r="R67" s="434"/>
      <c r="S67" s="434"/>
      <c r="T67" s="434"/>
      <c r="U67" s="434"/>
      <c r="V67" s="434"/>
      <c r="W67" s="434"/>
      <c r="X67" s="434"/>
      <c r="Y67" s="434"/>
      <c r="Z67" s="434"/>
    </row>
    <row r="68" ht="15.75" customHeight="1">
      <c r="A68" s="434"/>
      <c r="B68" s="434"/>
      <c r="C68" s="434"/>
      <c r="D68" s="434"/>
      <c r="E68" s="434"/>
      <c r="F68" s="434"/>
      <c r="G68" s="434"/>
      <c r="H68" s="434"/>
      <c r="I68" s="434"/>
      <c r="J68" s="434"/>
      <c r="K68" s="434"/>
      <c r="L68" s="434"/>
      <c r="M68" s="434"/>
      <c r="N68" s="434"/>
      <c r="O68" s="434"/>
      <c r="P68" s="434"/>
      <c r="Q68" s="434"/>
      <c r="R68" s="434"/>
      <c r="S68" s="434"/>
      <c r="T68" s="434"/>
      <c r="U68" s="434"/>
      <c r="V68" s="434"/>
      <c r="W68" s="434"/>
      <c r="X68" s="434"/>
      <c r="Y68" s="434"/>
      <c r="Z68" s="434"/>
    </row>
    <row r="69" ht="15.75" customHeight="1">
      <c r="A69" s="434"/>
      <c r="B69" s="434"/>
      <c r="C69" s="434"/>
      <c r="D69" s="434"/>
      <c r="E69" s="434"/>
      <c r="F69" s="434"/>
      <c r="G69" s="434"/>
      <c r="H69" s="434"/>
      <c r="I69" s="434"/>
      <c r="J69" s="434"/>
      <c r="K69" s="434"/>
      <c r="L69" s="434"/>
      <c r="M69" s="434"/>
      <c r="N69" s="434"/>
      <c r="O69" s="434"/>
      <c r="P69" s="434"/>
      <c r="Q69" s="434"/>
      <c r="R69" s="434"/>
      <c r="S69" s="434"/>
      <c r="T69" s="434"/>
      <c r="U69" s="434"/>
      <c r="V69" s="434"/>
      <c r="W69" s="434"/>
      <c r="X69" s="434"/>
      <c r="Y69" s="434"/>
      <c r="Z69" s="434"/>
    </row>
    <row r="70" ht="15.75" customHeight="1">
      <c r="A70" s="434"/>
      <c r="B70" s="434"/>
      <c r="C70" s="434"/>
      <c r="D70" s="434"/>
      <c r="E70" s="434"/>
      <c r="F70" s="434"/>
      <c r="G70" s="434"/>
      <c r="H70" s="434"/>
      <c r="I70" s="434"/>
      <c r="J70" s="434"/>
      <c r="K70" s="434"/>
      <c r="L70" s="434"/>
      <c r="M70" s="434"/>
      <c r="N70" s="434"/>
      <c r="O70" s="434"/>
      <c r="P70" s="434"/>
      <c r="Q70" s="434"/>
      <c r="R70" s="434"/>
      <c r="S70" s="434"/>
      <c r="T70" s="434"/>
      <c r="U70" s="434"/>
      <c r="V70" s="434"/>
      <c r="W70" s="434"/>
      <c r="X70" s="434"/>
      <c r="Y70" s="434"/>
      <c r="Z70" s="434"/>
    </row>
    <row r="71" ht="15.75" customHeight="1">
      <c r="A71" s="434"/>
      <c r="B71" s="434"/>
      <c r="C71" s="434"/>
      <c r="D71" s="434"/>
      <c r="E71" s="434"/>
      <c r="F71" s="434"/>
      <c r="G71" s="434"/>
      <c r="H71" s="434"/>
      <c r="I71" s="434"/>
      <c r="J71" s="434"/>
      <c r="K71" s="434"/>
      <c r="L71" s="434"/>
      <c r="M71" s="434"/>
      <c r="N71" s="434"/>
      <c r="O71" s="434"/>
      <c r="P71" s="434"/>
      <c r="Q71" s="434"/>
      <c r="R71" s="434"/>
      <c r="S71" s="434"/>
      <c r="T71" s="434"/>
      <c r="U71" s="434"/>
      <c r="V71" s="434"/>
      <c r="W71" s="434"/>
      <c r="X71" s="434"/>
      <c r="Y71" s="434"/>
      <c r="Z71" s="434"/>
    </row>
    <row r="72" ht="15.75" customHeight="1">
      <c r="A72" s="434"/>
      <c r="B72" s="434"/>
      <c r="C72" s="434"/>
      <c r="D72" s="434"/>
      <c r="E72" s="434"/>
      <c r="F72" s="434"/>
      <c r="G72" s="434"/>
      <c r="H72" s="434"/>
      <c r="I72" s="434"/>
      <c r="J72" s="434"/>
      <c r="K72" s="434"/>
      <c r="L72" s="434"/>
      <c r="M72" s="434"/>
      <c r="N72" s="434"/>
      <c r="O72" s="434"/>
      <c r="P72" s="434"/>
      <c r="Q72" s="434"/>
      <c r="R72" s="434"/>
      <c r="S72" s="434"/>
      <c r="T72" s="434"/>
      <c r="U72" s="434"/>
      <c r="V72" s="434"/>
      <c r="W72" s="434"/>
      <c r="X72" s="434"/>
      <c r="Y72" s="434"/>
      <c r="Z72" s="434"/>
    </row>
    <row r="73" ht="15.75" customHeight="1">
      <c r="A73" s="434"/>
      <c r="B73" s="434"/>
      <c r="C73" s="434"/>
      <c r="D73" s="434"/>
      <c r="E73" s="434"/>
      <c r="F73" s="434"/>
      <c r="G73" s="434"/>
      <c r="H73" s="434"/>
      <c r="I73" s="434"/>
      <c r="J73" s="434"/>
      <c r="K73" s="434"/>
      <c r="L73" s="434"/>
      <c r="M73" s="434"/>
      <c r="N73" s="434"/>
      <c r="O73" s="434"/>
      <c r="P73" s="434"/>
      <c r="Q73" s="434"/>
      <c r="R73" s="434"/>
      <c r="S73" s="434"/>
      <c r="T73" s="434"/>
      <c r="U73" s="434"/>
      <c r="V73" s="434"/>
      <c r="W73" s="434"/>
      <c r="X73" s="434"/>
      <c r="Y73" s="434"/>
      <c r="Z73" s="434"/>
    </row>
    <row r="74" ht="15.75" customHeight="1">
      <c r="A74" s="434"/>
      <c r="B74" s="434"/>
      <c r="C74" s="434"/>
      <c r="D74" s="434"/>
      <c r="E74" s="434"/>
      <c r="F74" s="434"/>
      <c r="G74" s="434"/>
      <c r="H74" s="434"/>
      <c r="I74" s="434"/>
      <c r="J74" s="434"/>
      <c r="K74" s="434"/>
      <c r="L74" s="434"/>
      <c r="M74" s="434"/>
      <c r="N74" s="434"/>
      <c r="O74" s="434"/>
      <c r="P74" s="434"/>
      <c r="Q74" s="434"/>
      <c r="R74" s="434"/>
      <c r="S74" s="434"/>
      <c r="T74" s="434"/>
      <c r="U74" s="434"/>
      <c r="V74" s="434"/>
      <c r="W74" s="434"/>
      <c r="X74" s="434"/>
      <c r="Y74" s="434"/>
      <c r="Z74" s="434"/>
    </row>
    <row r="75" ht="15.75" customHeight="1">
      <c r="A75" s="434"/>
      <c r="B75" s="434"/>
      <c r="C75" s="434"/>
      <c r="D75" s="434"/>
      <c r="E75" s="434"/>
      <c r="F75" s="434"/>
      <c r="G75" s="434"/>
      <c r="H75" s="434"/>
      <c r="I75" s="434"/>
      <c r="J75" s="434"/>
      <c r="K75" s="434"/>
      <c r="L75" s="434"/>
      <c r="M75" s="434"/>
      <c r="N75" s="434"/>
      <c r="O75" s="434"/>
      <c r="P75" s="434"/>
      <c r="Q75" s="434"/>
      <c r="R75" s="434"/>
      <c r="S75" s="434"/>
      <c r="T75" s="434"/>
      <c r="U75" s="434"/>
      <c r="V75" s="434"/>
      <c r="W75" s="434"/>
      <c r="X75" s="434"/>
      <c r="Y75" s="434"/>
      <c r="Z75" s="434"/>
    </row>
    <row r="76" ht="15.75" customHeight="1">
      <c r="A76" s="434"/>
      <c r="B76" s="434"/>
      <c r="C76" s="434"/>
      <c r="D76" s="434"/>
      <c r="E76" s="434"/>
      <c r="F76" s="434"/>
      <c r="G76" s="434"/>
      <c r="H76" s="434"/>
      <c r="I76" s="434"/>
      <c r="J76" s="434"/>
      <c r="K76" s="434"/>
      <c r="L76" s="434"/>
      <c r="M76" s="434"/>
      <c r="N76" s="434"/>
      <c r="O76" s="434"/>
      <c r="P76" s="434"/>
      <c r="Q76" s="434"/>
      <c r="R76" s="434"/>
      <c r="S76" s="434"/>
      <c r="T76" s="434"/>
      <c r="U76" s="434"/>
      <c r="V76" s="434"/>
      <c r="W76" s="434"/>
      <c r="X76" s="434"/>
      <c r="Y76" s="434"/>
      <c r="Z76" s="434"/>
    </row>
    <row r="77" ht="15.75" customHeight="1">
      <c r="A77" s="434"/>
      <c r="B77" s="434"/>
      <c r="C77" s="434"/>
      <c r="D77" s="434"/>
      <c r="E77" s="434"/>
      <c r="F77" s="434"/>
      <c r="G77" s="434"/>
      <c r="H77" s="434"/>
      <c r="I77" s="434"/>
      <c r="J77" s="434"/>
      <c r="K77" s="434"/>
      <c r="L77" s="434"/>
      <c r="M77" s="434"/>
      <c r="N77" s="434"/>
      <c r="O77" s="434"/>
      <c r="P77" s="434"/>
      <c r="Q77" s="434"/>
      <c r="R77" s="434"/>
      <c r="S77" s="434"/>
      <c r="T77" s="434"/>
      <c r="U77" s="434"/>
      <c r="V77" s="434"/>
      <c r="W77" s="434"/>
      <c r="X77" s="434"/>
      <c r="Y77" s="434"/>
      <c r="Z77" s="434"/>
    </row>
    <row r="78" ht="15.75" customHeight="1">
      <c r="A78" s="434"/>
      <c r="B78" s="434"/>
      <c r="C78" s="434"/>
      <c r="D78" s="434"/>
      <c r="E78" s="434"/>
      <c r="F78" s="434"/>
      <c r="G78" s="434"/>
      <c r="H78" s="434"/>
      <c r="I78" s="434"/>
      <c r="J78" s="434"/>
      <c r="K78" s="434"/>
      <c r="L78" s="434"/>
      <c r="M78" s="434"/>
      <c r="N78" s="434"/>
      <c r="O78" s="434"/>
      <c r="P78" s="434"/>
      <c r="Q78" s="434"/>
      <c r="R78" s="434"/>
      <c r="S78" s="434"/>
      <c r="T78" s="434"/>
      <c r="U78" s="434"/>
      <c r="V78" s="434"/>
      <c r="W78" s="434"/>
      <c r="X78" s="434"/>
      <c r="Y78" s="434"/>
      <c r="Z78" s="434"/>
    </row>
    <row r="79" ht="15.75" customHeight="1">
      <c r="A79" s="434"/>
      <c r="B79" s="434"/>
      <c r="C79" s="434"/>
      <c r="D79" s="434"/>
      <c r="E79" s="434"/>
      <c r="F79" s="434"/>
      <c r="G79" s="434"/>
      <c r="H79" s="434"/>
      <c r="I79" s="434"/>
      <c r="J79" s="434"/>
      <c r="K79" s="434"/>
      <c r="L79" s="434"/>
      <c r="M79" s="434"/>
      <c r="N79" s="434"/>
      <c r="O79" s="434"/>
      <c r="P79" s="434"/>
      <c r="Q79" s="434"/>
      <c r="R79" s="434"/>
      <c r="S79" s="434"/>
      <c r="T79" s="434"/>
      <c r="U79" s="434"/>
      <c r="V79" s="434"/>
      <c r="W79" s="434"/>
      <c r="X79" s="434"/>
      <c r="Y79" s="434"/>
      <c r="Z79" s="434"/>
    </row>
    <row r="80" ht="15.75" customHeight="1">
      <c r="A80" s="434"/>
      <c r="B80" s="434"/>
      <c r="C80" s="434"/>
      <c r="D80" s="434"/>
      <c r="E80" s="434"/>
      <c r="F80" s="434"/>
      <c r="G80" s="434"/>
      <c r="H80" s="434"/>
      <c r="I80" s="434"/>
      <c r="J80" s="434"/>
      <c r="K80" s="434"/>
      <c r="L80" s="434"/>
      <c r="M80" s="434"/>
      <c r="N80" s="434"/>
      <c r="O80" s="434"/>
      <c r="P80" s="434"/>
      <c r="Q80" s="434"/>
      <c r="R80" s="434"/>
      <c r="S80" s="434"/>
      <c r="T80" s="434"/>
      <c r="U80" s="434"/>
      <c r="V80" s="434"/>
      <c r="W80" s="434"/>
      <c r="X80" s="434"/>
      <c r="Y80" s="434"/>
      <c r="Z80" s="434"/>
    </row>
    <row r="81" ht="15.75" customHeight="1">
      <c r="A81" s="434"/>
      <c r="B81" s="434"/>
      <c r="C81" s="434"/>
      <c r="D81" s="434"/>
      <c r="E81" s="434"/>
      <c r="F81" s="434"/>
      <c r="G81" s="434"/>
      <c r="H81" s="434"/>
      <c r="I81" s="434"/>
      <c r="J81" s="434"/>
      <c r="K81" s="434"/>
      <c r="L81" s="434"/>
      <c r="M81" s="434"/>
      <c r="N81" s="434"/>
      <c r="O81" s="434"/>
      <c r="P81" s="434"/>
      <c r="Q81" s="434"/>
      <c r="R81" s="434"/>
      <c r="S81" s="434"/>
      <c r="T81" s="434"/>
      <c r="U81" s="434"/>
      <c r="V81" s="434"/>
      <c r="W81" s="434"/>
      <c r="X81" s="434"/>
      <c r="Y81" s="434"/>
      <c r="Z81" s="434"/>
    </row>
    <row r="82" ht="15.75" customHeight="1">
      <c r="A82" s="434"/>
      <c r="B82" s="434"/>
      <c r="C82" s="434"/>
      <c r="D82" s="434"/>
      <c r="E82" s="434"/>
      <c r="F82" s="434"/>
      <c r="G82" s="434"/>
      <c r="H82" s="434"/>
      <c r="I82" s="434"/>
      <c r="J82" s="434"/>
      <c r="K82" s="434"/>
      <c r="L82" s="434"/>
      <c r="M82" s="434"/>
      <c r="N82" s="434"/>
      <c r="O82" s="434"/>
      <c r="P82" s="434"/>
      <c r="Q82" s="434"/>
      <c r="R82" s="434"/>
      <c r="S82" s="434"/>
      <c r="T82" s="434"/>
      <c r="U82" s="434"/>
      <c r="V82" s="434"/>
      <c r="W82" s="434"/>
      <c r="X82" s="434"/>
      <c r="Y82" s="434"/>
      <c r="Z82" s="434"/>
    </row>
    <row r="83" ht="15.75" customHeight="1">
      <c r="A83" s="434"/>
      <c r="B83" s="434"/>
      <c r="C83" s="434"/>
      <c r="D83" s="434"/>
      <c r="E83" s="434"/>
      <c r="F83" s="434"/>
      <c r="G83" s="434"/>
      <c r="H83" s="434"/>
      <c r="I83" s="434"/>
      <c r="J83" s="434"/>
      <c r="K83" s="434"/>
      <c r="L83" s="434"/>
      <c r="M83" s="434"/>
      <c r="N83" s="434"/>
      <c r="O83" s="434"/>
      <c r="P83" s="434"/>
      <c r="Q83" s="434"/>
      <c r="R83" s="434"/>
      <c r="S83" s="434"/>
      <c r="T83" s="434"/>
      <c r="U83" s="434"/>
      <c r="V83" s="434"/>
      <c r="W83" s="434"/>
      <c r="X83" s="434"/>
      <c r="Y83" s="434"/>
      <c r="Z83" s="434"/>
    </row>
    <row r="84" ht="15.75" customHeight="1">
      <c r="A84" s="434"/>
      <c r="B84" s="434"/>
      <c r="C84" s="434"/>
      <c r="D84" s="434"/>
      <c r="E84" s="434"/>
      <c r="F84" s="434"/>
      <c r="G84" s="434"/>
      <c r="H84" s="434"/>
      <c r="I84" s="434"/>
      <c r="J84" s="434"/>
      <c r="K84" s="434"/>
      <c r="L84" s="434"/>
      <c r="M84" s="434"/>
      <c r="N84" s="434"/>
      <c r="O84" s="434"/>
      <c r="P84" s="434"/>
      <c r="Q84" s="434"/>
      <c r="R84" s="434"/>
      <c r="S84" s="434"/>
      <c r="T84" s="434"/>
      <c r="U84" s="434"/>
      <c r="V84" s="434"/>
      <c r="W84" s="434"/>
      <c r="X84" s="434"/>
      <c r="Y84" s="434"/>
      <c r="Z84" s="434"/>
    </row>
    <row r="85" ht="15.75" customHeight="1">
      <c r="A85" s="434"/>
      <c r="B85" s="434"/>
      <c r="C85" s="434"/>
      <c r="D85" s="434"/>
      <c r="E85" s="434"/>
      <c r="F85" s="434"/>
      <c r="G85" s="434"/>
      <c r="H85" s="434"/>
      <c r="I85" s="434"/>
      <c r="J85" s="434"/>
      <c r="K85" s="434"/>
      <c r="L85" s="434"/>
      <c r="M85" s="434"/>
      <c r="N85" s="434"/>
      <c r="O85" s="434"/>
      <c r="P85" s="434"/>
      <c r="Q85" s="434"/>
      <c r="R85" s="434"/>
      <c r="S85" s="434"/>
      <c r="T85" s="434"/>
      <c r="U85" s="434"/>
      <c r="V85" s="434"/>
      <c r="W85" s="434"/>
      <c r="X85" s="434"/>
      <c r="Y85" s="434"/>
      <c r="Z85" s="434"/>
    </row>
    <row r="86" ht="15.75" customHeight="1">
      <c r="A86" s="434"/>
      <c r="B86" s="434"/>
      <c r="C86" s="434"/>
      <c r="D86" s="434"/>
      <c r="E86" s="434"/>
      <c r="F86" s="434"/>
      <c r="G86" s="434"/>
      <c r="H86" s="434"/>
      <c r="I86" s="434"/>
      <c r="J86" s="434"/>
      <c r="K86" s="434"/>
      <c r="L86" s="434"/>
      <c r="M86" s="434"/>
      <c r="N86" s="434"/>
      <c r="O86" s="434"/>
      <c r="P86" s="434"/>
      <c r="Q86" s="434"/>
      <c r="R86" s="434"/>
      <c r="S86" s="434"/>
      <c r="T86" s="434"/>
      <c r="U86" s="434"/>
      <c r="V86" s="434"/>
      <c r="W86" s="434"/>
      <c r="X86" s="434"/>
      <c r="Y86" s="434"/>
      <c r="Z86" s="434"/>
    </row>
    <row r="87" ht="15.75" customHeight="1">
      <c r="A87" s="434"/>
      <c r="B87" s="434"/>
      <c r="C87" s="434"/>
      <c r="D87" s="434"/>
      <c r="E87" s="434"/>
      <c r="F87" s="434"/>
      <c r="G87" s="434"/>
      <c r="H87" s="434"/>
      <c r="I87" s="434"/>
      <c r="J87" s="434"/>
      <c r="K87" s="434"/>
      <c r="L87" s="434"/>
      <c r="M87" s="434"/>
      <c r="N87" s="434"/>
      <c r="O87" s="434"/>
      <c r="P87" s="434"/>
      <c r="Q87" s="434"/>
      <c r="R87" s="434"/>
      <c r="S87" s="434"/>
      <c r="T87" s="434"/>
      <c r="U87" s="434"/>
      <c r="V87" s="434"/>
      <c r="W87" s="434"/>
      <c r="X87" s="434"/>
      <c r="Y87" s="434"/>
      <c r="Z87" s="434"/>
    </row>
    <row r="88" ht="15.75" customHeight="1">
      <c r="A88" s="434"/>
      <c r="B88" s="434"/>
      <c r="C88" s="434"/>
      <c r="D88" s="434"/>
      <c r="E88" s="434"/>
      <c r="F88" s="434"/>
      <c r="G88" s="434"/>
      <c r="H88" s="434"/>
      <c r="I88" s="434"/>
      <c r="J88" s="434"/>
      <c r="K88" s="434"/>
      <c r="L88" s="434"/>
      <c r="M88" s="434"/>
      <c r="N88" s="434"/>
      <c r="O88" s="434"/>
      <c r="P88" s="434"/>
      <c r="Q88" s="434"/>
      <c r="R88" s="434"/>
      <c r="S88" s="434"/>
      <c r="T88" s="434"/>
      <c r="U88" s="434"/>
      <c r="V88" s="434"/>
      <c r="W88" s="434"/>
      <c r="X88" s="434"/>
      <c r="Y88" s="434"/>
      <c r="Z88" s="434"/>
    </row>
    <row r="89" ht="15.75" customHeight="1">
      <c r="A89" s="434"/>
      <c r="B89" s="434"/>
      <c r="C89" s="434"/>
      <c r="D89" s="434"/>
      <c r="E89" s="434"/>
      <c r="F89" s="434"/>
      <c r="G89" s="434"/>
      <c r="H89" s="434"/>
      <c r="I89" s="434"/>
      <c r="J89" s="434"/>
      <c r="K89" s="434"/>
      <c r="L89" s="434"/>
      <c r="M89" s="434"/>
      <c r="N89" s="434"/>
      <c r="O89" s="434"/>
      <c r="P89" s="434"/>
      <c r="Q89" s="434"/>
      <c r="R89" s="434"/>
      <c r="S89" s="434"/>
      <c r="T89" s="434"/>
      <c r="U89" s="434"/>
      <c r="V89" s="434"/>
      <c r="W89" s="434"/>
      <c r="X89" s="434"/>
      <c r="Y89" s="434"/>
      <c r="Z89" s="434"/>
    </row>
    <row r="90" ht="15.75" customHeight="1">
      <c r="A90" s="434"/>
      <c r="B90" s="434"/>
      <c r="C90" s="434"/>
      <c r="D90" s="434"/>
      <c r="E90" s="434"/>
      <c r="F90" s="434"/>
      <c r="G90" s="434"/>
      <c r="H90" s="434"/>
      <c r="I90" s="434"/>
      <c r="J90" s="434"/>
      <c r="K90" s="434"/>
      <c r="L90" s="434"/>
      <c r="M90" s="434"/>
      <c r="N90" s="434"/>
      <c r="O90" s="434"/>
      <c r="P90" s="434"/>
      <c r="Q90" s="434"/>
      <c r="R90" s="434"/>
      <c r="S90" s="434"/>
      <c r="T90" s="434"/>
      <c r="U90" s="434"/>
      <c r="V90" s="434"/>
      <c r="W90" s="434"/>
      <c r="X90" s="434"/>
      <c r="Y90" s="434"/>
      <c r="Z90" s="434"/>
    </row>
    <row r="91" ht="15.75" customHeight="1">
      <c r="A91" s="434"/>
      <c r="B91" s="434"/>
      <c r="C91" s="434"/>
      <c r="D91" s="434"/>
      <c r="E91" s="434"/>
      <c r="F91" s="434"/>
      <c r="G91" s="434"/>
      <c r="H91" s="434"/>
      <c r="I91" s="434"/>
      <c r="J91" s="434"/>
      <c r="K91" s="434"/>
      <c r="L91" s="434"/>
      <c r="M91" s="434"/>
      <c r="N91" s="434"/>
      <c r="O91" s="434"/>
      <c r="P91" s="434"/>
      <c r="Q91" s="434"/>
      <c r="R91" s="434"/>
      <c r="S91" s="434"/>
      <c r="T91" s="434"/>
      <c r="U91" s="434"/>
      <c r="V91" s="434"/>
      <c r="W91" s="434"/>
      <c r="X91" s="434"/>
      <c r="Y91" s="434"/>
      <c r="Z91" s="434"/>
    </row>
    <row r="92" ht="15.75" customHeight="1">
      <c r="A92" s="434"/>
      <c r="B92" s="434"/>
      <c r="C92" s="434"/>
      <c r="D92" s="434"/>
      <c r="E92" s="434"/>
      <c r="F92" s="434"/>
      <c r="G92" s="434"/>
      <c r="H92" s="434"/>
      <c r="I92" s="434"/>
      <c r="J92" s="434"/>
      <c r="K92" s="434"/>
      <c r="L92" s="434"/>
      <c r="M92" s="434"/>
      <c r="N92" s="434"/>
      <c r="O92" s="434"/>
      <c r="P92" s="434"/>
      <c r="Q92" s="434"/>
      <c r="R92" s="434"/>
      <c r="S92" s="434"/>
      <c r="T92" s="434"/>
      <c r="U92" s="434"/>
      <c r="V92" s="434"/>
      <c r="W92" s="434"/>
      <c r="X92" s="434"/>
      <c r="Y92" s="434"/>
      <c r="Z92" s="434"/>
    </row>
    <row r="93" ht="15.75" customHeight="1">
      <c r="A93" s="434"/>
      <c r="B93" s="434"/>
      <c r="C93" s="434"/>
      <c r="D93" s="434"/>
      <c r="E93" s="434"/>
      <c r="F93" s="434"/>
      <c r="G93" s="434"/>
      <c r="H93" s="434"/>
      <c r="I93" s="434"/>
      <c r="J93" s="434"/>
      <c r="K93" s="434"/>
      <c r="L93" s="434"/>
      <c r="M93" s="434"/>
      <c r="N93" s="434"/>
      <c r="O93" s="434"/>
      <c r="P93" s="434"/>
      <c r="Q93" s="434"/>
      <c r="R93" s="434"/>
      <c r="S93" s="434"/>
      <c r="T93" s="434"/>
      <c r="U93" s="434"/>
      <c r="V93" s="434"/>
      <c r="W93" s="434"/>
      <c r="X93" s="434"/>
      <c r="Y93" s="434"/>
      <c r="Z93" s="434"/>
    </row>
    <row r="94" ht="15.75" customHeight="1">
      <c r="A94" s="434"/>
      <c r="B94" s="434"/>
      <c r="C94" s="434"/>
      <c r="D94" s="434"/>
      <c r="E94" s="434"/>
      <c r="F94" s="434"/>
      <c r="G94" s="434"/>
      <c r="H94" s="434"/>
      <c r="I94" s="434"/>
      <c r="J94" s="434"/>
      <c r="K94" s="434"/>
      <c r="L94" s="434"/>
      <c r="M94" s="434"/>
      <c r="N94" s="434"/>
      <c r="O94" s="434"/>
      <c r="P94" s="434"/>
      <c r="Q94" s="434"/>
      <c r="R94" s="434"/>
      <c r="S94" s="434"/>
      <c r="T94" s="434"/>
      <c r="U94" s="434"/>
      <c r="V94" s="434"/>
      <c r="W94" s="434"/>
      <c r="X94" s="434"/>
      <c r="Y94" s="434"/>
      <c r="Z94" s="434"/>
    </row>
    <row r="95" ht="15.75" customHeight="1">
      <c r="A95" s="434"/>
      <c r="B95" s="434"/>
      <c r="C95" s="434"/>
      <c r="D95" s="434"/>
      <c r="E95" s="434"/>
      <c r="F95" s="434"/>
      <c r="G95" s="434"/>
      <c r="H95" s="434"/>
      <c r="I95" s="434"/>
      <c r="J95" s="434"/>
      <c r="K95" s="434"/>
      <c r="L95" s="434"/>
      <c r="M95" s="434"/>
      <c r="N95" s="434"/>
      <c r="O95" s="434"/>
      <c r="P95" s="434"/>
      <c r="Q95" s="434"/>
      <c r="R95" s="434"/>
      <c r="S95" s="434"/>
      <c r="T95" s="434"/>
      <c r="U95" s="434"/>
      <c r="V95" s="434"/>
      <c r="W95" s="434"/>
      <c r="X95" s="434"/>
      <c r="Y95" s="434"/>
      <c r="Z95" s="434"/>
    </row>
    <row r="96" ht="15.75" customHeight="1">
      <c r="A96" s="434"/>
      <c r="B96" s="434"/>
      <c r="C96" s="434"/>
      <c r="D96" s="434"/>
      <c r="E96" s="434"/>
      <c r="F96" s="434"/>
      <c r="G96" s="434"/>
      <c r="H96" s="434"/>
      <c r="I96" s="434"/>
      <c r="J96" s="434"/>
      <c r="K96" s="434"/>
      <c r="L96" s="434"/>
      <c r="M96" s="434"/>
      <c r="N96" s="434"/>
      <c r="O96" s="434"/>
      <c r="P96" s="434"/>
      <c r="Q96" s="434"/>
      <c r="R96" s="434"/>
      <c r="S96" s="434"/>
      <c r="T96" s="434"/>
      <c r="U96" s="434"/>
      <c r="V96" s="434"/>
      <c r="W96" s="434"/>
      <c r="X96" s="434"/>
      <c r="Y96" s="434"/>
      <c r="Z96" s="434"/>
    </row>
    <row r="97" ht="15.75" customHeight="1">
      <c r="A97" s="434"/>
      <c r="B97" s="434"/>
      <c r="C97" s="434"/>
      <c r="D97" s="434"/>
      <c r="E97" s="434"/>
      <c r="F97" s="434"/>
      <c r="G97" s="434"/>
      <c r="H97" s="434"/>
      <c r="I97" s="434"/>
      <c r="J97" s="434"/>
      <c r="K97" s="434"/>
      <c r="L97" s="434"/>
      <c r="M97" s="434"/>
      <c r="N97" s="434"/>
      <c r="O97" s="434"/>
      <c r="P97" s="434"/>
      <c r="Q97" s="434"/>
      <c r="R97" s="434"/>
      <c r="S97" s="434"/>
      <c r="T97" s="434"/>
      <c r="U97" s="434"/>
      <c r="V97" s="434"/>
      <c r="W97" s="434"/>
      <c r="X97" s="434"/>
      <c r="Y97" s="434"/>
      <c r="Z97" s="434"/>
    </row>
    <row r="98" ht="15.75" customHeight="1">
      <c r="A98" s="434"/>
      <c r="B98" s="434"/>
      <c r="C98" s="434"/>
      <c r="D98" s="434"/>
      <c r="E98" s="434"/>
      <c r="F98" s="434"/>
      <c r="G98" s="434"/>
      <c r="H98" s="434"/>
      <c r="I98" s="434"/>
      <c r="J98" s="434"/>
      <c r="K98" s="434"/>
      <c r="L98" s="434"/>
      <c r="M98" s="434"/>
      <c r="N98" s="434"/>
      <c r="O98" s="434"/>
      <c r="P98" s="434"/>
      <c r="Q98" s="434"/>
      <c r="R98" s="434"/>
      <c r="S98" s="434"/>
      <c r="T98" s="434"/>
      <c r="U98" s="434"/>
      <c r="V98" s="434"/>
      <c r="W98" s="434"/>
      <c r="X98" s="434"/>
      <c r="Y98" s="434"/>
      <c r="Z98" s="434"/>
    </row>
    <row r="99" ht="15.75" customHeight="1">
      <c r="A99" s="434"/>
      <c r="B99" s="434"/>
      <c r="C99" s="434"/>
      <c r="D99" s="434"/>
      <c r="E99" s="434"/>
      <c r="F99" s="434"/>
      <c r="G99" s="434"/>
      <c r="H99" s="434"/>
      <c r="I99" s="434"/>
      <c r="J99" s="434"/>
      <c r="K99" s="434"/>
      <c r="L99" s="434"/>
      <c r="M99" s="434"/>
      <c r="N99" s="434"/>
      <c r="O99" s="434"/>
      <c r="P99" s="434"/>
      <c r="Q99" s="434"/>
      <c r="R99" s="434"/>
      <c r="S99" s="434"/>
      <c r="T99" s="434"/>
      <c r="U99" s="434"/>
      <c r="V99" s="434"/>
      <c r="W99" s="434"/>
      <c r="X99" s="434"/>
      <c r="Y99" s="434"/>
      <c r="Z99" s="434"/>
    </row>
    <row r="100" ht="15.75" customHeight="1">
      <c r="A100" s="434"/>
      <c r="B100" s="434"/>
      <c r="C100" s="434"/>
      <c r="D100" s="43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ht="15.75" customHeight="1">
      <c r="A101" s="434"/>
      <c r="B101" s="434"/>
      <c r="C101" s="434"/>
      <c r="D101" s="43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ht="15.75" customHeight="1">
      <c r="A102" s="434"/>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ht="15.75" customHeight="1">
      <c r="A103" s="434"/>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ht="15.75" customHeight="1">
      <c r="A104" s="434"/>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ht="15.75" customHeight="1">
      <c r="A105" s="434"/>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ht="15.75" customHeight="1">
      <c r="A106" s="434"/>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ht="15.75" customHeight="1">
      <c r="A107" s="434"/>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ht="15.75" customHeight="1">
      <c r="A108" s="434"/>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ht="15.75" customHeight="1">
      <c r="A109" s="434"/>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ht="15.75" customHeight="1">
      <c r="A110" s="434"/>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ht="15.75" customHeight="1">
      <c r="A111" s="434"/>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ht="15.75" customHeight="1">
      <c r="A112" s="434"/>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ht="15.75" customHeight="1">
      <c r="A113" s="434"/>
      <c r="B113" s="434"/>
      <c r="C113" s="434"/>
      <c r="D113" s="43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ht="15.75" customHeight="1">
      <c r="A114" s="434"/>
      <c r="B114" s="434"/>
      <c r="C114" s="434"/>
      <c r="D114" s="43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ht="15.75" customHeight="1">
      <c r="A115" s="434"/>
      <c r="B115" s="434"/>
      <c r="C115" s="434"/>
      <c r="D115" s="43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ht="15.75" customHeight="1">
      <c r="A116" s="434"/>
      <c r="B116" s="434"/>
      <c r="C116" s="434"/>
      <c r="D116" s="43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ht="15.75" customHeight="1">
      <c r="A117" s="434"/>
      <c r="B117" s="434"/>
      <c r="C117" s="434"/>
      <c r="D117" s="43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ht="15.75" customHeight="1">
      <c r="A118" s="434"/>
      <c r="B118" s="434"/>
      <c r="C118" s="434"/>
      <c r="D118" s="43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ht="15.75" customHeight="1">
      <c r="A119" s="434"/>
      <c r="B119" s="434"/>
      <c r="C119" s="434"/>
      <c r="D119" s="43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ht="15.75" customHeight="1">
      <c r="A120" s="434"/>
      <c r="B120" s="434"/>
      <c r="C120" s="434"/>
      <c r="D120" s="43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ht="15.75" customHeight="1">
      <c r="A121" s="434"/>
      <c r="B121" s="434"/>
      <c r="C121" s="434"/>
      <c r="D121" s="43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ht="15.75" customHeight="1">
      <c r="A122" s="434"/>
      <c r="B122" s="434"/>
      <c r="C122" s="434"/>
      <c r="D122" s="43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ht="15.75" customHeight="1">
      <c r="A123" s="434"/>
      <c r="B123" s="434"/>
      <c r="C123" s="434"/>
      <c r="D123" s="43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ht="15.75" customHeight="1">
      <c r="A124" s="434"/>
      <c r="B124" s="434"/>
      <c r="C124" s="434"/>
      <c r="D124" s="43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ht="15.75" customHeight="1">
      <c r="A125" s="434"/>
      <c r="B125" s="434"/>
      <c r="C125" s="434"/>
      <c r="D125" s="43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ht="15.75" customHeight="1">
      <c r="A126" s="434"/>
      <c r="B126" s="434"/>
      <c r="C126" s="434"/>
      <c r="D126" s="43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ht="15.75" customHeight="1">
      <c r="A127" s="434"/>
      <c r="B127" s="434"/>
      <c r="C127" s="434"/>
      <c r="D127" s="43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ht="15.75" customHeight="1">
      <c r="A128" s="434"/>
      <c r="B128" s="434"/>
      <c r="C128" s="434"/>
      <c r="D128" s="43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ht="15.75" customHeight="1">
      <c r="A129" s="434"/>
      <c r="B129" s="434"/>
      <c r="C129" s="434"/>
      <c r="D129" s="43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ht="15.75" customHeight="1">
      <c r="A130" s="434"/>
      <c r="B130" s="434"/>
      <c r="C130" s="434"/>
      <c r="D130" s="43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ht="15.75" customHeight="1">
      <c r="A131" s="434"/>
      <c r="B131" s="434"/>
      <c r="C131" s="434"/>
      <c r="D131" s="43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ht="15.75" customHeight="1">
      <c r="A132" s="434"/>
      <c r="B132" s="434"/>
      <c r="C132" s="434"/>
      <c r="D132" s="43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ht="15.75" customHeight="1">
      <c r="A133" s="434"/>
      <c r="B133" s="434"/>
      <c r="C133" s="434"/>
      <c r="D133" s="43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ht="15.75" customHeight="1">
      <c r="A134" s="434"/>
      <c r="B134" s="434"/>
      <c r="C134" s="434"/>
      <c r="D134" s="43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ht="15.75" customHeight="1">
      <c r="A135" s="434"/>
      <c r="B135" s="434"/>
      <c r="C135" s="434"/>
      <c r="D135" s="43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ht="15.75" customHeight="1">
      <c r="A136" s="434"/>
      <c r="B136" s="434"/>
      <c r="C136" s="434"/>
      <c r="D136" s="43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ht="15.75" customHeight="1">
      <c r="A137" s="434"/>
      <c r="B137" s="434"/>
      <c r="C137" s="434"/>
      <c r="D137" s="43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ht="15.75" customHeight="1">
      <c r="A138" s="434"/>
      <c r="B138" s="434"/>
      <c r="C138" s="434"/>
      <c r="D138" s="43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ht="15.75" customHeight="1">
      <c r="A139" s="434"/>
      <c r="B139" s="434"/>
      <c r="C139" s="434"/>
      <c r="D139" s="43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ht="15.75" customHeight="1">
      <c r="A140" s="434"/>
      <c r="B140" s="434"/>
      <c r="C140" s="434"/>
      <c r="D140" s="43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ht="15.75" customHeight="1">
      <c r="A141" s="434"/>
      <c r="B141" s="434"/>
      <c r="C141" s="434"/>
      <c r="D141" s="43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ht="15.75" customHeight="1">
      <c r="A142" s="434"/>
      <c r="B142" s="434"/>
      <c r="C142" s="434"/>
      <c r="D142" s="43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ht="15.75" customHeight="1">
      <c r="A143" s="434"/>
      <c r="B143" s="434"/>
      <c r="C143" s="434"/>
      <c r="D143" s="43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ht="15.75" customHeight="1">
      <c r="A144" s="434"/>
      <c r="B144" s="434"/>
      <c r="C144" s="434"/>
      <c r="D144" s="43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ht="15.75" customHeight="1">
      <c r="A145" s="434"/>
      <c r="B145" s="434"/>
      <c r="C145" s="434"/>
      <c r="D145" s="43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ht="15.75" customHeight="1">
      <c r="A146" s="434"/>
      <c r="B146" s="434"/>
      <c r="C146" s="434"/>
      <c r="D146" s="43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ht="15.75" customHeight="1">
      <c r="A147" s="434"/>
      <c r="B147" s="434"/>
      <c r="C147" s="434"/>
      <c r="D147" s="43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ht="15.75" customHeight="1">
      <c r="A148" s="434"/>
      <c r="B148" s="434"/>
      <c r="C148" s="434"/>
      <c r="D148" s="43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ht="15.75" customHeight="1">
      <c r="A149" s="434"/>
      <c r="B149" s="434"/>
      <c r="C149" s="434"/>
      <c r="D149" s="43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ht="15.75" customHeight="1">
      <c r="A150" s="434"/>
      <c r="B150" s="434"/>
      <c r="C150" s="434"/>
      <c r="D150" s="43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ht="15.75" customHeight="1">
      <c r="A151" s="434"/>
      <c r="B151" s="434"/>
      <c r="C151" s="434"/>
      <c r="D151" s="43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ht="15.75" customHeight="1">
      <c r="A152" s="434"/>
      <c r="B152" s="434"/>
      <c r="C152" s="434"/>
      <c r="D152" s="43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ht="15.75" customHeight="1">
      <c r="A153" s="434"/>
      <c r="B153" s="434"/>
      <c r="C153" s="434"/>
      <c r="D153" s="43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ht="15.75" customHeight="1">
      <c r="A154" s="434"/>
      <c r="B154" s="434"/>
      <c r="C154" s="434"/>
      <c r="D154" s="43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ht="15.75" customHeight="1">
      <c r="A155" s="434"/>
      <c r="B155" s="434"/>
      <c r="C155" s="434"/>
      <c r="D155" s="43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ht="15.75" customHeight="1">
      <c r="A156" s="434"/>
      <c r="B156" s="434"/>
      <c r="C156" s="434"/>
      <c r="D156" s="43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ht="15.75" customHeight="1">
      <c r="A157" s="434"/>
      <c r="B157" s="434"/>
      <c r="C157" s="434"/>
      <c r="D157" s="43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ht="15.75" customHeight="1">
      <c r="A158" s="434"/>
      <c r="B158" s="434"/>
      <c r="C158" s="434"/>
      <c r="D158" s="43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ht="15.75" customHeight="1">
      <c r="A159" s="434"/>
      <c r="B159" s="434"/>
      <c r="C159" s="434"/>
      <c r="D159" s="43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ht="15.75" customHeight="1">
      <c r="A160" s="434"/>
      <c r="B160" s="434"/>
      <c r="C160" s="434"/>
      <c r="D160" s="43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ht="15.75" customHeight="1">
      <c r="A161" s="434"/>
      <c r="B161" s="434"/>
      <c r="C161" s="434"/>
      <c r="D161" s="43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ht="15.75" customHeight="1">
      <c r="A162" s="434"/>
      <c r="B162" s="434"/>
      <c r="C162" s="434"/>
      <c r="D162" s="43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ht="15.75" customHeight="1">
      <c r="A163" s="434"/>
      <c r="B163" s="434"/>
      <c r="C163" s="434"/>
      <c r="D163" s="43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ht="15.75" customHeight="1">
      <c r="A164" s="434"/>
      <c r="B164" s="434"/>
      <c r="C164" s="434"/>
      <c r="D164" s="43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ht="15.75" customHeight="1">
      <c r="A165" s="434"/>
      <c r="B165" s="434"/>
      <c r="C165" s="434"/>
      <c r="D165" s="43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ht="15.75" customHeight="1">
      <c r="A166" s="434"/>
      <c r="B166" s="434"/>
      <c r="C166" s="434"/>
      <c r="D166" s="43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ht="15.75" customHeight="1">
      <c r="A167" s="434"/>
      <c r="B167" s="434"/>
      <c r="C167" s="434"/>
      <c r="D167" s="43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ht="15.75" customHeight="1">
      <c r="A168" s="434"/>
      <c r="B168" s="434"/>
      <c r="C168" s="434"/>
      <c r="D168" s="43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ht="15.75" customHeight="1">
      <c r="A169" s="434"/>
      <c r="B169" s="434"/>
      <c r="C169" s="434"/>
      <c r="D169" s="43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ht="15.75" customHeight="1">
      <c r="A170" s="434"/>
      <c r="B170" s="434"/>
      <c r="C170" s="434"/>
      <c r="D170" s="43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ht="15.75" customHeight="1">
      <c r="A171" s="434"/>
      <c r="B171" s="434"/>
      <c r="C171" s="434"/>
      <c r="D171" s="43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ht="15.75" customHeight="1">
      <c r="A172" s="434"/>
      <c r="B172" s="434"/>
      <c r="C172" s="434"/>
      <c r="D172" s="43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ht="15.75" customHeight="1">
      <c r="A173" s="434"/>
      <c r="B173" s="434"/>
      <c r="C173" s="434"/>
      <c r="D173" s="43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ht="15.75" customHeight="1">
      <c r="A174" s="434"/>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ht="15.75" customHeight="1">
      <c r="A175" s="434"/>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ht="15.75" customHeight="1">
      <c r="A176" s="434"/>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ht="15.75" customHeight="1">
      <c r="A177" s="434"/>
      <c r="B177" s="434"/>
      <c r="C177" s="434"/>
      <c r="D177" s="43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ht="15.75" customHeight="1">
      <c r="A178" s="434"/>
      <c r="B178" s="434"/>
      <c r="C178" s="434"/>
      <c r="D178" s="43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ht="15.75" customHeight="1">
      <c r="A179" s="434"/>
      <c r="B179" s="434"/>
      <c r="C179" s="434"/>
      <c r="D179" s="43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ht="15.75" customHeight="1">
      <c r="A180" s="434"/>
      <c r="B180" s="434"/>
      <c r="C180" s="434"/>
      <c r="D180" s="43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ht="15.75" customHeight="1">
      <c r="A181" s="434"/>
      <c r="B181" s="434"/>
      <c r="C181" s="434"/>
      <c r="D181" s="43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ht="15.75" customHeight="1">
      <c r="A182" s="434"/>
      <c r="B182" s="434"/>
      <c r="C182" s="434"/>
      <c r="D182" s="43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ht="15.75" customHeight="1">
      <c r="A183" s="434"/>
      <c r="B183" s="434"/>
      <c r="C183" s="434"/>
      <c r="D183" s="43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ht="15.75" customHeight="1">
      <c r="A184" s="434"/>
      <c r="B184" s="434"/>
      <c r="C184" s="434"/>
      <c r="D184" s="43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ht="15.75" customHeight="1">
      <c r="A185" s="434"/>
      <c r="B185" s="434"/>
      <c r="C185" s="434"/>
      <c r="D185" s="43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ht="15.75" customHeight="1">
      <c r="A186" s="434"/>
      <c r="B186" s="434"/>
      <c r="C186" s="434"/>
      <c r="D186" s="43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ht="15.75" customHeight="1">
      <c r="A187" s="434"/>
      <c r="B187" s="434"/>
      <c r="C187" s="434"/>
      <c r="D187" s="43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ht="15.75" customHeight="1">
      <c r="A188" s="434"/>
      <c r="B188" s="434"/>
      <c r="C188" s="434"/>
      <c r="D188" s="43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ht="15.75" customHeight="1">
      <c r="A189" s="434"/>
      <c r="B189" s="434"/>
      <c r="C189" s="434"/>
      <c r="D189" s="43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ht="15.75" customHeight="1">
      <c r="A190" s="434"/>
      <c r="B190" s="434"/>
      <c r="C190" s="434"/>
      <c r="D190" s="43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ht="15.75" customHeight="1">
      <c r="A191" s="434"/>
      <c r="B191" s="434"/>
      <c r="C191" s="434"/>
      <c r="D191" s="43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ht="15.75" customHeight="1">
      <c r="A192" s="434"/>
      <c r="B192" s="434"/>
      <c r="C192" s="434"/>
      <c r="D192" s="43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ht="15.75" customHeight="1">
      <c r="A193" s="434"/>
      <c r="B193" s="434"/>
      <c r="C193" s="434"/>
      <c r="D193" s="43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ht="15.75" customHeight="1">
      <c r="A194" s="434"/>
      <c r="B194" s="434"/>
      <c r="C194" s="434"/>
      <c r="D194" s="43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ht="15.75" customHeight="1">
      <c r="A195" s="434"/>
      <c r="B195" s="434"/>
      <c r="C195" s="434"/>
      <c r="D195" s="43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ht="15.75" customHeight="1">
      <c r="A196" s="434"/>
      <c r="B196" s="434"/>
      <c r="C196" s="434"/>
      <c r="D196" s="43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ht="15.75" customHeight="1">
      <c r="A197" s="434"/>
      <c r="B197" s="434"/>
      <c r="C197" s="434"/>
      <c r="D197" s="43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ht="15.75" customHeight="1">
      <c r="A198" s="434"/>
      <c r="B198" s="434"/>
      <c r="C198" s="434"/>
      <c r="D198" s="43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ht="15.75" customHeight="1">
      <c r="A199" s="434"/>
      <c r="B199" s="434"/>
      <c r="C199" s="434"/>
      <c r="D199" s="43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ht="15.75" customHeight="1">
      <c r="A200" s="434"/>
      <c r="B200" s="434"/>
      <c r="C200" s="434"/>
      <c r="D200" s="43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ht="15.75" customHeight="1">
      <c r="A201" s="434"/>
      <c r="B201" s="434"/>
      <c r="C201" s="434"/>
      <c r="D201" s="43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ht="15.75" customHeight="1">
      <c r="A202" s="434"/>
      <c r="B202" s="434"/>
      <c r="C202" s="434"/>
      <c r="D202" s="43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ht="15.75" customHeight="1">
      <c r="A203" s="434"/>
      <c r="B203" s="434"/>
      <c r="C203" s="434"/>
      <c r="D203" s="43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ht="15.75" customHeight="1">
      <c r="A204" s="434"/>
      <c r="B204" s="434"/>
      <c r="C204" s="434"/>
      <c r="D204" s="43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ht="15.75" customHeight="1">
      <c r="A205" s="434"/>
      <c r="B205" s="434"/>
      <c r="C205" s="434"/>
      <c r="D205" s="43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ht="15.75" customHeight="1">
      <c r="A206" s="434"/>
      <c r="B206" s="434"/>
      <c r="C206" s="434"/>
      <c r="D206" s="43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ht="15.75" customHeight="1">
      <c r="A207" s="434"/>
      <c r="B207" s="434"/>
      <c r="C207" s="434"/>
      <c r="D207" s="43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ht="15.75" customHeight="1">
      <c r="A208" s="434"/>
      <c r="B208" s="434"/>
      <c r="C208" s="434"/>
      <c r="D208" s="43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ht="15.75" customHeight="1">
      <c r="A209" s="434"/>
      <c r="B209" s="434"/>
      <c r="C209" s="434"/>
      <c r="D209" s="43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ht="15.75" customHeight="1">
      <c r="A210" s="434"/>
      <c r="B210" s="434"/>
      <c r="C210" s="434"/>
      <c r="D210" s="43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ht="15.75" customHeight="1">
      <c r="A211" s="434"/>
      <c r="B211" s="434"/>
      <c r="C211" s="434"/>
      <c r="D211" s="43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ht="15.75" customHeight="1">
      <c r="A212" s="434"/>
      <c r="B212" s="434"/>
      <c r="C212" s="434"/>
      <c r="D212" s="43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ht="15.75" customHeight="1">
      <c r="A213" s="434"/>
      <c r="B213" s="434"/>
      <c r="C213" s="434"/>
      <c r="D213" s="43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ht="15.75" customHeight="1">
      <c r="A214" s="434"/>
      <c r="B214" s="434"/>
      <c r="C214" s="434"/>
      <c r="D214" s="43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ht="15.75" customHeight="1">
      <c r="A215" s="434"/>
      <c r="B215" s="434"/>
      <c r="C215" s="434"/>
      <c r="D215" s="43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ht="15.75" customHeight="1">
      <c r="A216" s="434"/>
      <c r="B216" s="434"/>
      <c r="C216" s="434"/>
      <c r="D216" s="43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ht="15.75" customHeight="1">
      <c r="A217" s="434"/>
      <c r="B217" s="434"/>
      <c r="C217" s="434"/>
      <c r="D217" s="43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ht="15.75" customHeight="1">
      <c r="A218" s="434"/>
      <c r="B218" s="434"/>
      <c r="C218" s="434"/>
      <c r="D218" s="43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ht="15.75" customHeight="1">
      <c r="A219" s="434"/>
      <c r="B219" s="434"/>
      <c r="C219" s="434"/>
      <c r="D219" s="43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ht="15.75" customHeight="1">
      <c r="A220" s="434"/>
      <c r="B220" s="434"/>
      <c r="C220" s="434"/>
      <c r="D220" s="43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